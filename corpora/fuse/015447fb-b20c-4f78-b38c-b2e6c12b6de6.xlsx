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3820"/>
  <bookViews>
    <workbookView xWindow="480" yWindow="15" windowWidth="15120" windowHeight="9285" activeTab="8"/>
  </bookViews>
  <sheets>
    <sheet name="All" sheetId="1" r:id="rId1"/>
    <sheet name="Carolyn" sheetId="2" r:id="rId2"/>
    <sheet name="Dan" sheetId="3" r:id="rId3"/>
    <sheet name="Daniel" sheetId="4" r:id="rId4"/>
    <sheet name="Danny" sheetId="5" r:id="rId5"/>
    <sheet name="Dianne" sheetId="6" r:id="rId6"/>
    <sheet name="Laurel" sheetId="7" r:id="rId7"/>
    <sheet name="Mike Perez" sheetId="8" r:id="rId8"/>
    <sheet name="Mina" sheetId="9" r:id="rId9"/>
    <sheet name="Penny" sheetId="10" r:id="rId10"/>
    <sheet name="Peter" sheetId="11" r:id="rId11"/>
    <sheet name="Rick" sheetId="12" r:id="rId12"/>
    <sheet name="Rita" sheetId="13" r:id="rId13"/>
    <sheet name="Sarah" sheetId="14" r:id="rId14"/>
    <sheet name="Tim" sheetId="15" r:id="rId15"/>
    <sheet name="Lottery Supplies" sheetId="16" r:id="rId16"/>
  </sheets>
  <definedNames>
    <definedName name="_xlnm.Print_Titles" localSheetId="0">All!$2:$2</definedName>
    <definedName name="_xlnm.Print_Titles" localSheetId="2">Dan!$1:$2</definedName>
    <definedName name="_xlnm.Print_Titles" localSheetId="3">Daniel!$1:$2</definedName>
    <definedName name="_xlnm.Print_Titles" localSheetId="4">Danny!$1:$2</definedName>
    <definedName name="_xlnm.Print_Titles" localSheetId="6">Laurel!$1:$2</definedName>
    <definedName name="_xlnm.Print_Titles" localSheetId="8">Mina!$1:$2</definedName>
    <definedName name="_xlnm.Print_Titles" localSheetId="9">Penny!$1:$2</definedName>
    <definedName name="_xlnm.Print_Titles" localSheetId="10">Peter!$1:$2</definedName>
    <definedName name="_xlnm.Print_Titles" localSheetId="11">Rick!$1:$2</definedName>
    <definedName name="_xlnm.Print_Titles" localSheetId="12">Rita!$1:$2</definedName>
    <definedName name="_xlnm.Print_Titles" localSheetId="13">Sarah!$1:$2</definedName>
    <definedName name="_xlnm.Print_Titles" localSheetId="14">Tim!$1:$2</definedName>
  </definedNames>
  <calcPr calcId="144525"/>
  <webPublishing codePage="1252"/>
</workbook>
</file>

<file path=xl/calcChain.xml><?xml version="1.0" encoding="utf-8"?>
<calcChain xmlns="http://schemas.openxmlformats.org/spreadsheetml/2006/main">
  <c r="F36" i="16" l="1"/>
  <c r="O119" i="12"/>
  <c r="O115" i="12"/>
  <c r="O123" i="12"/>
  <c r="W86" i="12"/>
  <c r="W84" i="12"/>
  <c r="R84" i="12"/>
  <c r="Q84" i="12"/>
  <c r="P84" i="12"/>
  <c r="O84" i="12"/>
  <c r="S63" i="9" l="1"/>
  <c r="M63" i="9"/>
  <c r="H63" i="9"/>
  <c r="S62" i="9"/>
  <c r="M62" i="9"/>
  <c r="H62" i="9"/>
  <c r="S61" i="9"/>
  <c r="M61" i="9"/>
  <c r="H61" i="9"/>
  <c r="H60" i="9"/>
  <c r="O52" i="9"/>
  <c r="Q91" i="15" l="1"/>
  <c r="P87" i="15"/>
  <c r="O82" i="15"/>
  <c r="Q88" i="15"/>
  <c r="Q87" i="15"/>
  <c r="O87" i="15"/>
  <c r="O118" i="12" l="1"/>
  <c r="O117" i="12"/>
  <c r="O116" i="12"/>
  <c r="O66" i="9"/>
  <c r="O68" i="9" s="1"/>
  <c r="O70" i="9" s="1"/>
  <c r="S64" i="9"/>
  <c r="M64" i="9"/>
  <c r="S59" i="9"/>
  <c r="M59" i="9"/>
  <c r="H59" i="9"/>
  <c r="S58" i="9"/>
  <c r="M58" i="9"/>
  <c r="H58" i="9"/>
  <c r="W56" i="9"/>
  <c r="S56" i="9"/>
  <c r="M56" i="9"/>
  <c r="H56" i="9"/>
  <c r="K29" i="16" l="1"/>
  <c r="K28" i="16"/>
  <c r="K27" i="16"/>
  <c r="K26" i="16"/>
  <c r="K25" i="16"/>
  <c r="K24" i="16"/>
  <c r="K23" i="16"/>
  <c r="K22" i="16"/>
  <c r="K21" i="16"/>
  <c r="K20" i="16"/>
  <c r="K19" i="16"/>
  <c r="K18" i="16"/>
  <c r="K17" i="16"/>
  <c r="K16" i="16"/>
  <c r="K15" i="16"/>
  <c r="K13" i="16"/>
  <c r="K12" i="16"/>
  <c r="K11" i="16"/>
  <c r="K10" i="16"/>
  <c r="K9" i="16"/>
  <c r="K8" i="16"/>
  <c r="K7" i="16"/>
  <c r="K6" i="16"/>
  <c r="K5" i="16"/>
  <c r="K4" i="16"/>
  <c r="K3" i="16"/>
  <c r="K2" i="16"/>
  <c r="J30" i="16" l="1"/>
  <c r="I30" i="16"/>
  <c r="H30" i="16"/>
  <c r="G30" i="16"/>
  <c r="F30" i="16"/>
  <c r="T82" i="15" l="1"/>
  <c r="R82" i="15"/>
  <c r="Q82" i="15"/>
  <c r="P82" i="15"/>
  <c r="L82" i="15"/>
  <c r="K82" i="15"/>
  <c r="J82" i="15"/>
  <c r="I82" i="15"/>
  <c r="G82" i="15"/>
  <c r="F82" i="15"/>
  <c r="E82" i="15"/>
  <c r="H81" i="15"/>
  <c r="M80" i="15"/>
  <c r="H80" i="15"/>
  <c r="N79" i="15"/>
  <c r="M79" i="15"/>
  <c r="H79" i="15"/>
  <c r="S78" i="15"/>
  <c r="M78" i="15"/>
  <c r="H78" i="15"/>
  <c r="S77" i="15"/>
  <c r="M77" i="15"/>
  <c r="H77" i="15"/>
  <c r="S76" i="15"/>
  <c r="N76" i="15"/>
  <c r="M76" i="15"/>
  <c r="H76" i="15"/>
  <c r="S75" i="15"/>
  <c r="M75" i="15"/>
  <c r="H75" i="15"/>
  <c r="M74" i="15"/>
  <c r="H74" i="15"/>
  <c r="S73" i="15"/>
  <c r="N73" i="15"/>
  <c r="M73" i="15"/>
  <c r="H73" i="15"/>
  <c r="S71" i="15"/>
  <c r="M71" i="15"/>
  <c r="H71" i="15"/>
  <c r="S70" i="15"/>
  <c r="N70" i="15"/>
  <c r="M70" i="15"/>
  <c r="H70" i="15"/>
  <c r="S69" i="15"/>
  <c r="M69" i="15"/>
  <c r="H69" i="15"/>
  <c r="S68" i="15"/>
  <c r="N68" i="15"/>
  <c r="M68" i="15"/>
  <c r="H68" i="15"/>
  <c r="S67" i="15"/>
  <c r="M67" i="15"/>
  <c r="H67" i="15"/>
  <c r="S66" i="15"/>
  <c r="M66" i="15"/>
  <c r="H66" i="15"/>
  <c r="M64" i="15"/>
  <c r="H64" i="15"/>
  <c r="M63" i="15"/>
  <c r="H63" i="15"/>
  <c r="M62" i="15"/>
  <c r="H62" i="15"/>
  <c r="H61" i="15"/>
  <c r="M60" i="15"/>
  <c r="M59" i="15"/>
  <c r="H59" i="15"/>
  <c r="N58" i="15"/>
  <c r="M58" i="15"/>
  <c r="H58" i="15"/>
  <c r="M57" i="15"/>
  <c r="H57" i="15"/>
  <c r="M56" i="15"/>
  <c r="H56" i="15"/>
  <c r="M55" i="15"/>
  <c r="H55" i="15"/>
  <c r="M54" i="15"/>
  <c r="H54" i="15"/>
  <c r="M53" i="15"/>
  <c r="H53" i="15"/>
  <c r="M52" i="15"/>
  <c r="H52" i="15"/>
  <c r="M51" i="15"/>
  <c r="H51" i="15"/>
  <c r="M50" i="15"/>
  <c r="S49" i="15"/>
  <c r="S47" i="15"/>
  <c r="N47" i="15"/>
  <c r="H47" i="15"/>
  <c r="M46" i="15"/>
  <c r="H46" i="15"/>
  <c r="H45" i="15"/>
  <c r="M44" i="15"/>
  <c r="H44" i="15"/>
  <c r="N43" i="15"/>
  <c r="M43" i="15"/>
  <c r="H43" i="15"/>
  <c r="S40" i="15"/>
  <c r="M42" i="15"/>
  <c r="H42" i="15"/>
  <c r="S38" i="15"/>
  <c r="M36" i="15"/>
  <c r="H36" i="15"/>
  <c r="S35" i="15"/>
  <c r="M35" i="15"/>
  <c r="H35" i="15"/>
  <c r="M34" i="15"/>
  <c r="H34" i="15"/>
  <c r="M33" i="15"/>
  <c r="H33" i="15"/>
  <c r="M32" i="15"/>
  <c r="H32" i="15"/>
  <c r="M31" i="15"/>
  <c r="H31" i="15"/>
  <c r="S30" i="15"/>
  <c r="M30" i="15"/>
  <c r="H30" i="15"/>
  <c r="M29" i="15"/>
  <c r="H29" i="15"/>
  <c r="M28" i="15"/>
  <c r="H28" i="15"/>
  <c r="S24" i="15"/>
  <c r="M24" i="15"/>
  <c r="H24" i="15"/>
  <c r="S23" i="15"/>
  <c r="M23" i="15"/>
  <c r="H23" i="15"/>
  <c r="S22" i="15"/>
  <c r="M22" i="15"/>
  <c r="H22" i="15"/>
  <c r="S21" i="15"/>
  <c r="M21" i="15"/>
  <c r="H21" i="15"/>
  <c r="S20" i="15"/>
  <c r="M20" i="15"/>
  <c r="H20" i="15"/>
  <c r="S19" i="15"/>
  <c r="N19" i="15"/>
  <c r="M19" i="15"/>
  <c r="H19" i="15"/>
  <c r="S17" i="15"/>
  <c r="M17" i="15"/>
  <c r="H17" i="15"/>
  <c r="S16" i="15"/>
  <c r="M16" i="15"/>
  <c r="H16" i="15"/>
  <c r="M15" i="15"/>
  <c r="H15" i="15"/>
  <c r="N14" i="15"/>
  <c r="M14" i="15"/>
  <c r="H14" i="15"/>
  <c r="M13" i="15"/>
  <c r="H13" i="15"/>
  <c r="N12" i="15"/>
  <c r="M12" i="15"/>
  <c r="H12" i="15"/>
  <c r="M11" i="15"/>
  <c r="H11" i="15"/>
  <c r="N10" i="15"/>
  <c r="M10" i="15"/>
  <c r="H10" i="15"/>
  <c r="H9" i="15"/>
  <c r="S5" i="15"/>
  <c r="M5" i="15"/>
  <c r="H5" i="15"/>
  <c r="S4" i="15"/>
  <c r="M4" i="15"/>
  <c r="H4" i="15"/>
  <c r="S3" i="15"/>
  <c r="M3" i="15"/>
  <c r="H3" i="15"/>
  <c r="S11" i="14"/>
  <c r="Q11" i="14"/>
  <c r="P11" i="14"/>
  <c r="O11" i="14"/>
  <c r="N11" i="14"/>
  <c r="L11" i="14"/>
  <c r="K11" i="14"/>
  <c r="J11" i="14"/>
  <c r="I11" i="14"/>
  <c r="G11" i="14"/>
  <c r="F11" i="14"/>
  <c r="E11" i="14"/>
  <c r="R10" i="14"/>
  <c r="M10" i="14"/>
  <c r="H10" i="14"/>
  <c r="R9" i="14"/>
  <c r="M9" i="14"/>
  <c r="H9" i="14"/>
  <c r="R8" i="14"/>
  <c r="M8" i="14"/>
  <c r="H8" i="14"/>
  <c r="R7" i="14"/>
  <c r="M7" i="14"/>
  <c r="H7" i="14"/>
  <c r="R6" i="14"/>
  <c r="M6" i="14"/>
  <c r="H6" i="14"/>
  <c r="R5" i="14"/>
  <c r="M5" i="14"/>
  <c r="H5" i="14"/>
  <c r="R3" i="14"/>
  <c r="M3" i="14"/>
  <c r="H3" i="14"/>
  <c r="S18" i="13"/>
  <c r="Q18" i="13"/>
  <c r="P18" i="13"/>
  <c r="O18" i="13"/>
  <c r="N18" i="13"/>
  <c r="L18" i="13"/>
  <c r="K18" i="13"/>
  <c r="J18" i="13"/>
  <c r="I18" i="13"/>
  <c r="G18" i="13"/>
  <c r="F18" i="13"/>
  <c r="E18" i="13"/>
  <c r="M17" i="13"/>
  <c r="H17" i="13"/>
  <c r="M16" i="13"/>
  <c r="H16" i="13"/>
  <c r="M13" i="13"/>
  <c r="H13" i="13"/>
  <c r="M12" i="13"/>
  <c r="H12" i="13"/>
  <c r="M11" i="13"/>
  <c r="H11" i="13"/>
  <c r="R8" i="13"/>
  <c r="M8" i="13"/>
  <c r="H8" i="13"/>
  <c r="R6" i="13"/>
  <c r="M6" i="13"/>
  <c r="H6" i="13"/>
  <c r="R5" i="13"/>
  <c r="M5" i="13"/>
  <c r="H5" i="13"/>
  <c r="R4" i="13"/>
  <c r="M4" i="13"/>
  <c r="H4" i="13"/>
  <c r="R3" i="13"/>
  <c r="M3" i="13"/>
  <c r="H3" i="13"/>
  <c r="T112" i="12"/>
  <c r="R112" i="12"/>
  <c r="Q112" i="12"/>
  <c r="P112" i="12"/>
  <c r="O112" i="12"/>
  <c r="K112" i="12"/>
  <c r="J112" i="12"/>
  <c r="I112" i="12"/>
  <c r="G112" i="12"/>
  <c r="F112" i="12"/>
  <c r="E112" i="12"/>
  <c r="S111" i="12"/>
  <c r="M111" i="12"/>
  <c r="H111" i="12"/>
  <c r="S110" i="12"/>
  <c r="M110" i="12"/>
  <c r="H110" i="12"/>
  <c r="S109" i="12"/>
  <c r="N109" i="12"/>
  <c r="M109" i="12"/>
  <c r="H109" i="12"/>
  <c r="S108" i="12"/>
  <c r="N108" i="12"/>
  <c r="M108" i="12"/>
  <c r="H108" i="12"/>
  <c r="S107" i="12"/>
  <c r="M107" i="12"/>
  <c r="H107" i="12"/>
  <c r="S106" i="12"/>
  <c r="N106" i="12"/>
  <c r="M106" i="12"/>
  <c r="H106" i="12"/>
  <c r="S105" i="12"/>
  <c r="M105" i="12"/>
  <c r="H105" i="12"/>
  <c r="S104" i="12"/>
  <c r="N104" i="12"/>
  <c r="M104" i="12"/>
  <c r="H104" i="12"/>
  <c r="S101" i="12"/>
  <c r="M101" i="12"/>
  <c r="H101" i="12"/>
  <c r="S100" i="12"/>
  <c r="M100" i="12"/>
  <c r="H100" i="12"/>
  <c r="S99" i="12"/>
  <c r="M99" i="12"/>
  <c r="H99" i="12"/>
  <c r="S98" i="12"/>
  <c r="N98" i="12"/>
  <c r="M98" i="12"/>
  <c r="H98" i="12"/>
  <c r="S97" i="12"/>
  <c r="N97" i="12"/>
  <c r="L97" i="12"/>
  <c r="L112" i="12" s="1"/>
  <c r="H97" i="12"/>
  <c r="S93" i="12"/>
  <c r="M93" i="12"/>
  <c r="H93" i="12"/>
  <c r="S92" i="12"/>
  <c r="M92" i="12"/>
  <c r="H92" i="12"/>
  <c r="S91" i="12"/>
  <c r="M91" i="12"/>
  <c r="H91" i="12"/>
  <c r="S90" i="12"/>
  <c r="M90" i="12"/>
  <c r="H90" i="12"/>
  <c r="K84" i="12"/>
  <c r="J84" i="12"/>
  <c r="F84" i="12"/>
  <c r="E84" i="12"/>
  <c r="S82" i="12"/>
  <c r="M82" i="12"/>
  <c r="H82" i="12"/>
  <c r="S81" i="12"/>
  <c r="M81" i="12"/>
  <c r="H81" i="12"/>
  <c r="N80" i="12"/>
  <c r="N79" i="12"/>
  <c r="L79" i="12"/>
  <c r="N77" i="12"/>
  <c r="L77" i="12"/>
  <c r="S76" i="12"/>
  <c r="M76" i="12"/>
  <c r="H76" i="12"/>
  <c r="M75" i="12"/>
  <c r="H75" i="12"/>
  <c r="S74" i="12"/>
  <c r="N74" i="12"/>
  <c r="L74" i="12"/>
  <c r="M74" i="12" s="1"/>
  <c r="I74" i="12"/>
  <c r="I84" i="12" s="1"/>
  <c r="G74" i="12"/>
  <c r="G84" i="12" s="1"/>
  <c r="S72" i="12"/>
  <c r="M72" i="12"/>
  <c r="H72" i="12"/>
  <c r="M69" i="12"/>
  <c r="H69" i="12"/>
  <c r="S68" i="12"/>
  <c r="M68" i="12"/>
  <c r="H68" i="12"/>
  <c r="S67" i="12"/>
  <c r="N67" i="12"/>
  <c r="M67" i="12"/>
  <c r="H67" i="12"/>
  <c r="S65" i="12"/>
  <c r="S64" i="12"/>
  <c r="N62" i="12"/>
  <c r="L62" i="12"/>
  <c r="S59" i="12"/>
  <c r="N59" i="12"/>
  <c r="L59" i="12"/>
  <c r="M59" i="12" s="1"/>
  <c r="H59" i="12"/>
  <c r="S57" i="12"/>
  <c r="M57" i="12"/>
  <c r="H57" i="12"/>
  <c r="S56" i="12"/>
  <c r="M55" i="12"/>
  <c r="H55" i="12"/>
  <c r="S52" i="12"/>
  <c r="M52" i="12"/>
  <c r="H52" i="12"/>
  <c r="S48" i="12"/>
  <c r="M48" i="12"/>
  <c r="S47" i="12"/>
  <c r="M47" i="12"/>
  <c r="H46" i="12"/>
  <c r="S45" i="12"/>
  <c r="M45" i="12"/>
  <c r="S44" i="12"/>
  <c r="M44" i="12"/>
  <c r="H44" i="12"/>
  <c r="S42" i="12"/>
  <c r="S41" i="12"/>
  <c r="M41" i="12"/>
  <c r="S40" i="12"/>
  <c r="M40" i="12"/>
  <c r="M39" i="12"/>
  <c r="S38" i="12"/>
  <c r="M37" i="12"/>
  <c r="S36" i="12"/>
  <c r="M35" i="12"/>
  <c r="S34" i="12"/>
  <c r="N34" i="12"/>
  <c r="L34" i="12"/>
  <c r="M33" i="12"/>
  <c r="S32" i="12"/>
  <c r="M32" i="12"/>
  <c r="H32" i="12"/>
  <c r="M31" i="12"/>
  <c r="S30" i="12"/>
  <c r="M30" i="12"/>
  <c r="H30" i="12"/>
  <c r="S29" i="12"/>
  <c r="M29" i="12"/>
  <c r="H29" i="12"/>
  <c r="S28" i="12"/>
  <c r="M28" i="12"/>
  <c r="H28" i="12"/>
  <c r="S27" i="12"/>
  <c r="S25" i="12"/>
  <c r="M25" i="12"/>
  <c r="H25" i="12"/>
  <c r="S24" i="12"/>
  <c r="N24" i="12"/>
  <c r="L24" i="12"/>
  <c r="M24" i="12" s="1"/>
  <c r="H24" i="12"/>
  <c r="S12" i="12"/>
  <c r="M12" i="12"/>
  <c r="H12" i="12"/>
  <c r="S11" i="12"/>
  <c r="S10" i="12"/>
  <c r="M10" i="12"/>
  <c r="H10" i="12"/>
  <c r="S9" i="12"/>
  <c r="N9" i="12"/>
  <c r="M9" i="12"/>
  <c r="H9" i="12"/>
  <c r="S7" i="12"/>
  <c r="M7" i="12"/>
  <c r="H7" i="12"/>
  <c r="S5" i="12"/>
  <c r="N5" i="12"/>
  <c r="M5" i="12"/>
  <c r="H5" i="12"/>
  <c r="T27" i="11"/>
  <c r="R27" i="11"/>
  <c r="Q27" i="11"/>
  <c r="P27" i="11"/>
  <c r="O27" i="11"/>
  <c r="N27" i="11"/>
  <c r="L27" i="11"/>
  <c r="K27" i="11"/>
  <c r="J27" i="11"/>
  <c r="I27" i="11"/>
  <c r="G27" i="11"/>
  <c r="F27" i="11"/>
  <c r="E27" i="11"/>
  <c r="S20" i="11"/>
  <c r="M20" i="11"/>
  <c r="H20" i="11"/>
  <c r="H18" i="11"/>
  <c r="S16" i="11"/>
  <c r="M16" i="11"/>
  <c r="H16" i="11"/>
  <c r="S15" i="11"/>
  <c r="M15" i="11"/>
  <c r="H15" i="11"/>
  <c r="S12" i="11"/>
  <c r="M12" i="11"/>
  <c r="H12" i="11"/>
  <c r="Q27" i="10"/>
  <c r="P27" i="10"/>
  <c r="O27" i="10"/>
  <c r="L27" i="10"/>
  <c r="K27" i="10"/>
  <c r="J27" i="10"/>
  <c r="I27" i="10"/>
  <c r="G27" i="10"/>
  <c r="F27" i="10"/>
  <c r="E27" i="10"/>
  <c r="H23" i="10"/>
  <c r="S22" i="10"/>
  <c r="S27" i="10" s="1"/>
  <c r="R22" i="10"/>
  <c r="M22" i="10"/>
  <c r="H20" i="10"/>
  <c r="R19" i="10"/>
  <c r="M19" i="10"/>
  <c r="H19" i="10"/>
  <c r="R18" i="10"/>
  <c r="M18" i="10"/>
  <c r="H18" i="10"/>
  <c r="R17" i="10"/>
  <c r="M17" i="10"/>
  <c r="H17" i="10"/>
  <c r="R16" i="10"/>
  <c r="M16" i="10"/>
  <c r="H16" i="10"/>
  <c r="H15" i="10"/>
  <c r="H14" i="10"/>
  <c r="R12" i="10"/>
  <c r="M12" i="10"/>
  <c r="H12" i="10"/>
  <c r="R11" i="10"/>
  <c r="M11" i="10"/>
  <c r="H11" i="10"/>
  <c r="R9" i="10"/>
  <c r="M9" i="10"/>
  <c r="H9" i="10"/>
  <c r="R8" i="10"/>
  <c r="M8" i="10"/>
  <c r="H8" i="10"/>
  <c r="R7" i="10"/>
  <c r="M7" i="10"/>
  <c r="H7" i="10"/>
  <c r="N6" i="10"/>
  <c r="N27" i="10" s="1"/>
  <c r="T52" i="9"/>
  <c r="R52" i="9"/>
  <c r="Q52" i="9"/>
  <c r="P52" i="9"/>
  <c r="K52" i="9"/>
  <c r="J52" i="9"/>
  <c r="I52" i="9"/>
  <c r="G52" i="9"/>
  <c r="F52" i="9"/>
  <c r="E52" i="9"/>
  <c r="S50" i="9"/>
  <c r="M50" i="9"/>
  <c r="H50" i="9"/>
  <c r="S48" i="9"/>
  <c r="M48" i="9"/>
  <c r="H48" i="9"/>
  <c r="S47" i="9"/>
  <c r="M47" i="9"/>
  <c r="H47" i="9"/>
  <c r="H46" i="9"/>
  <c r="H45" i="9"/>
  <c r="H44" i="9"/>
  <c r="S42" i="9"/>
  <c r="M42" i="9"/>
  <c r="H42" i="9"/>
  <c r="S41" i="9"/>
  <c r="N41" i="9"/>
  <c r="M41" i="9"/>
  <c r="H41" i="9"/>
  <c r="S40" i="9"/>
  <c r="M40" i="9"/>
  <c r="H40" i="9"/>
  <c r="S39" i="9"/>
  <c r="N39" i="9"/>
  <c r="M39" i="9"/>
  <c r="H39" i="9"/>
  <c r="S37" i="9"/>
  <c r="M37" i="9"/>
  <c r="H37" i="9"/>
  <c r="S36" i="9"/>
  <c r="M36" i="9"/>
  <c r="H36" i="9"/>
  <c r="S35" i="9"/>
  <c r="N35" i="9"/>
  <c r="M35" i="9"/>
  <c r="H35" i="9"/>
  <c r="S34" i="9"/>
  <c r="M34" i="9"/>
  <c r="H34" i="9"/>
  <c r="S33" i="9"/>
  <c r="N33" i="9"/>
  <c r="M33" i="9"/>
  <c r="H33" i="9"/>
  <c r="S31" i="9"/>
  <c r="N31" i="9"/>
  <c r="M31" i="9"/>
  <c r="H31" i="9"/>
  <c r="S30" i="9"/>
  <c r="M30" i="9"/>
  <c r="H30" i="9"/>
  <c r="S29" i="9"/>
  <c r="M29" i="9"/>
  <c r="H29" i="9"/>
  <c r="S28" i="9"/>
  <c r="L28" i="9"/>
  <c r="M28" i="9" s="1"/>
  <c r="H28" i="9"/>
  <c r="S25" i="9"/>
  <c r="M25" i="9"/>
  <c r="H25" i="9"/>
  <c r="S24" i="9"/>
  <c r="N24" i="9"/>
  <c r="M24" i="9"/>
  <c r="N23" i="9"/>
  <c r="L23" i="9"/>
  <c r="S22" i="9"/>
  <c r="M22" i="9"/>
  <c r="H22" i="9"/>
  <c r="S19" i="9"/>
  <c r="M19" i="9"/>
  <c r="H19" i="9"/>
  <c r="S18" i="9"/>
  <c r="N18" i="9"/>
  <c r="L18" i="9"/>
  <c r="M18" i="9" s="1"/>
  <c r="H18" i="9"/>
  <c r="S17" i="9"/>
  <c r="M17" i="9"/>
  <c r="S16" i="9"/>
  <c r="M16" i="9"/>
  <c r="H16" i="9"/>
  <c r="S15" i="9"/>
  <c r="N15" i="9"/>
  <c r="M15" i="9"/>
  <c r="H15" i="9"/>
  <c r="S14" i="9"/>
  <c r="M14" i="9"/>
  <c r="H14" i="9"/>
  <c r="S13" i="9"/>
  <c r="N13" i="9"/>
  <c r="M13" i="9"/>
  <c r="H13" i="9"/>
  <c r="S12" i="9"/>
  <c r="M12" i="9"/>
  <c r="H12" i="9"/>
  <c r="S11" i="9"/>
  <c r="N11" i="9"/>
  <c r="M11" i="9"/>
  <c r="H11" i="9"/>
  <c r="S10" i="9"/>
  <c r="M10" i="9"/>
  <c r="H10" i="9"/>
  <c r="S9" i="9"/>
  <c r="M9" i="9"/>
  <c r="H9" i="9"/>
  <c r="S7" i="9"/>
  <c r="N7" i="9"/>
  <c r="M7" i="9"/>
  <c r="H7" i="9"/>
  <c r="S6" i="9"/>
  <c r="M6" i="9"/>
  <c r="H6" i="9"/>
  <c r="M5" i="9"/>
  <c r="H5" i="9"/>
  <c r="S4" i="9"/>
  <c r="M4" i="9"/>
  <c r="H4" i="9"/>
  <c r="S3" i="9"/>
  <c r="N3" i="9"/>
  <c r="L3" i="9"/>
  <c r="M3" i="9" s="1"/>
  <c r="H3" i="9"/>
  <c r="T17" i="8"/>
  <c r="R17" i="8"/>
  <c r="Q17" i="8"/>
  <c r="P17" i="8"/>
  <c r="O17" i="8"/>
  <c r="K17" i="8"/>
  <c r="J17" i="8"/>
  <c r="I17" i="8"/>
  <c r="G17" i="8"/>
  <c r="F17" i="8"/>
  <c r="E17" i="8"/>
  <c r="S16" i="8"/>
  <c r="N16" i="8"/>
  <c r="M16" i="8"/>
  <c r="S15" i="8"/>
  <c r="M15" i="8"/>
  <c r="H15" i="8"/>
  <c r="S14" i="8"/>
  <c r="M14" i="8"/>
  <c r="H14" i="8"/>
  <c r="S13" i="8"/>
  <c r="M13" i="8"/>
  <c r="H13" i="8"/>
  <c r="S11" i="8"/>
  <c r="M11" i="8"/>
  <c r="H11" i="8"/>
  <c r="S9" i="8"/>
  <c r="M9" i="8"/>
  <c r="H9" i="8"/>
  <c r="S8" i="8"/>
  <c r="M8" i="8"/>
  <c r="H8" i="8"/>
  <c r="N7" i="8"/>
  <c r="N17" i="8" s="1"/>
  <c r="L7" i="8"/>
  <c r="L17" i="8" s="1"/>
  <c r="M6" i="8"/>
  <c r="S5" i="8"/>
  <c r="M5" i="8"/>
  <c r="H5" i="8"/>
  <c r="S4" i="8"/>
  <c r="M4" i="8"/>
  <c r="S3" i="8"/>
  <c r="M3" i="8"/>
  <c r="S38" i="7"/>
  <c r="Q38" i="7"/>
  <c r="P38" i="7"/>
  <c r="O38" i="7"/>
  <c r="L38" i="7"/>
  <c r="K38" i="7"/>
  <c r="J38" i="7"/>
  <c r="I38" i="7"/>
  <c r="G38" i="7"/>
  <c r="F38" i="7"/>
  <c r="E38" i="7"/>
  <c r="H37" i="7"/>
  <c r="N35" i="7"/>
  <c r="H35" i="7"/>
  <c r="R34" i="7"/>
  <c r="M34" i="7"/>
  <c r="R32" i="7"/>
  <c r="M32" i="7"/>
  <c r="H32" i="7"/>
  <c r="R31" i="7"/>
  <c r="M30" i="7"/>
  <c r="H30" i="7"/>
  <c r="R29" i="7"/>
  <c r="N29" i="7"/>
  <c r="M29" i="7"/>
  <c r="H29" i="7"/>
  <c r="R27" i="7"/>
  <c r="M27" i="7"/>
  <c r="H27" i="7"/>
  <c r="R26" i="7"/>
  <c r="M26" i="7"/>
  <c r="H26" i="7"/>
  <c r="R25" i="7"/>
  <c r="M25" i="7"/>
  <c r="H25" i="7"/>
  <c r="R24" i="7"/>
  <c r="M24" i="7"/>
  <c r="H24" i="7"/>
  <c r="S23" i="7"/>
  <c r="Q23" i="7"/>
  <c r="P23" i="7"/>
  <c r="O23" i="7"/>
  <c r="L23" i="7"/>
  <c r="K23" i="7"/>
  <c r="J23" i="7"/>
  <c r="I23" i="7"/>
  <c r="G23" i="7"/>
  <c r="F23" i="7"/>
  <c r="E23" i="7"/>
  <c r="N21" i="7"/>
  <c r="N23" i="7" s="1"/>
  <c r="R15" i="7"/>
  <c r="M15" i="7"/>
  <c r="H15" i="7"/>
  <c r="R12" i="7"/>
  <c r="M12" i="7"/>
  <c r="R8" i="7"/>
  <c r="M8" i="7"/>
  <c r="R6" i="7"/>
  <c r="M6" i="7"/>
  <c r="H6" i="7"/>
  <c r="T15" i="6"/>
  <c r="R15" i="6"/>
  <c r="Q15" i="6"/>
  <c r="P15" i="6"/>
  <c r="O15" i="6"/>
  <c r="N15" i="6"/>
  <c r="L15" i="6"/>
  <c r="K15" i="6"/>
  <c r="J15" i="6"/>
  <c r="I15" i="6"/>
  <c r="G15" i="6"/>
  <c r="F15" i="6"/>
  <c r="E15" i="6"/>
  <c r="S14" i="6"/>
  <c r="M14" i="6"/>
  <c r="H14" i="6"/>
  <c r="S12" i="6"/>
  <c r="M12" i="6"/>
  <c r="H12" i="6"/>
  <c r="S11" i="6"/>
  <c r="M11" i="6"/>
  <c r="H11" i="6"/>
  <c r="S10" i="6"/>
  <c r="M10" i="6"/>
  <c r="H10" i="6"/>
  <c r="S9" i="6"/>
  <c r="M9" i="6"/>
  <c r="H9" i="6"/>
  <c r="S8" i="6"/>
  <c r="M8" i="6"/>
  <c r="H8" i="6"/>
  <c r="S7" i="6"/>
  <c r="M7" i="6"/>
  <c r="H7" i="6"/>
  <c r="S6" i="6"/>
  <c r="M6" i="6"/>
  <c r="H6" i="6"/>
  <c r="S3" i="6"/>
  <c r="M3" i="6"/>
  <c r="H3" i="6"/>
  <c r="T52" i="5"/>
  <c r="R52" i="5"/>
  <c r="Q52" i="5"/>
  <c r="P52" i="5"/>
  <c r="O52" i="5"/>
  <c r="K52" i="5"/>
  <c r="J52" i="5"/>
  <c r="I52" i="5"/>
  <c r="G52" i="5"/>
  <c r="F52" i="5"/>
  <c r="E52" i="5"/>
  <c r="S51" i="5"/>
  <c r="M51" i="5"/>
  <c r="H51" i="5"/>
  <c r="S50" i="5"/>
  <c r="N50" i="5"/>
  <c r="M50" i="5"/>
  <c r="H50" i="5"/>
  <c r="S49" i="5"/>
  <c r="M49" i="5"/>
  <c r="H49" i="5"/>
  <c r="S48" i="5"/>
  <c r="N48" i="5"/>
  <c r="M48" i="5"/>
  <c r="H48" i="5"/>
  <c r="N46" i="5"/>
  <c r="S45" i="5"/>
  <c r="M45" i="5"/>
  <c r="H45" i="5"/>
  <c r="S44" i="5"/>
  <c r="N44" i="5"/>
  <c r="L44" i="5"/>
  <c r="M44" i="5" s="1"/>
  <c r="H44" i="5"/>
  <c r="S43" i="5"/>
  <c r="M43" i="5"/>
  <c r="H43" i="5"/>
  <c r="S41" i="5"/>
  <c r="M41" i="5"/>
  <c r="H41" i="5"/>
  <c r="S40" i="5"/>
  <c r="N40" i="5"/>
  <c r="L40" i="5"/>
  <c r="M40" i="5" s="1"/>
  <c r="H40" i="5"/>
  <c r="S38" i="5"/>
  <c r="M38" i="5"/>
  <c r="H38" i="5"/>
  <c r="H36" i="5"/>
  <c r="S35" i="5"/>
  <c r="M35" i="5"/>
  <c r="H35" i="5"/>
  <c r="S34" i="5"/>
  <c r="M34" i="5"/>
  <c r="H34" i="5"/>
  <c r="S33" i="5"/>
  <c r="M33" i="5"/>
  <c r="H33" i="5"/>
  <c r="S32" i="5"/>
  <c r="N32" i="5"/>
  <c r="M32" i="5"/>
  <c r="H32" i="5"/>
  <c r="H31" i="5"/>
  <c r="S28" i="5"/>
  <c r="M28" i="5"/>
  <c r="H28" i="5"/>
  <c r="S26" i="5"/>
  <c r="M26" i="5"/>
  <c r="H25" i="5"/>
  <c r="M24" i="5"/>
  <c r="H24" i="5"/>
  <c r="S23" i="5"/>
  <c r="M23" i="5"/>
  <c r="H23" i="5"/>
  <c r="S22" i="5"/>
  <c r="N22" i="5"/>
  <c r="M22" i="5"/>
  <c r="H22" i="5"/>
  <c r="S21" i="5"/>
  <c r="M21" i="5"/>
  <c r="H21" i="5"/>
  <c r="S19" i="5"/>
  <c r="M19" i="5"/>
  <c r="H19" i="5"/>
  <c r="S18" i="5"/>
  <c r="N18" i="5"/>
  <c r="M18" i="5"/>
  <c r="H18" i="5"/>
  <c r="S17" i="5"/>
  <c r="M17" i="5"/>
  <c r="H17" i="5"/>
  <c r="S16" i="5"/>
  <c r="M16" i="5"/>
  <c r="H16" i="5"/>
  <c r="S15" i="5"/>
  <c r="N15" i="5"/>
  <c r="M15" i="5"/>
  <c r="H15" i="5"/>
  <c r="N14" i="5"/>
  <c r="M14" i="5"/>
  <c r="H14" i="5"/>
  <c r="S13" i="5"/>
  <c r="M13" i="5"/>
  <c r="H13" i="5"/>
  <c r="S12" i="5"/>
  <c r="N12" i="5"/>
  <c r="L12" i="5"/>
  <c r="M12" i="5" s="1"/>
  <c r="H12" i="5"/>
  <c r="S11" i="5"/>
  <c r="M11" i="5"/>
  <c r="H11" i="5"/>
  <c r="S7" i="5"/>
  <c r="N7" i="5"/>
  <c r="M7" i="5"/>
  <c r="S6" i="5"/>
  <c r="N6" i="5"/>
  <c r="M6" i="5"/>
  <c r="H5" i="5"/>
  <c r="S4" i="5"/>
  <c r="M4" i="5"/>
  <c r="H4" i="5"/>
  <c r="T69" i="4"/>
  <c r="R69" i="4"/>
  <c r="Q69" i="4"/>
  <c r="P69" i="4"/>
  <c r="O69" i="4"/>
  <c r="K69" i="4"/>
  <c r="J69" i="4"/>
  <c r="I69" i="4"/>
  <c r="G69" i="4"/>
  <c r="F69" i="4"/>
  <c r="E69" i="4"/>
  <c r="H68" i="4"/>
  <c r="S65" i="4"/>
  <c r="N65" i="4"/>
  <c r="M65" i="4"/>
  <c r="H65" i="4"/>
  <c r="S64" i="4"/>
  <c r="M64" i="4"/>
  <c r="H64" i="4"/>
  <c r="S62" i="4"/>
  <c r="M62" i="4"/>
  <c r="H62" i="4"/>
  <c r="S61" i="4"/>
  <c r="M61" i="4"/>
  <c r="H61" i="4"/>
  <c r="S60" i="4"/>
  <c r="M60" i="4"/>
  <c r="H60" i="4"/>
  <c r="S59" i="4"/>
  <c r="M59" i="4"/>
  <c r="H58" i="4"/>
  <c r="S57" i="4"/>
  <c r="M57" i="4"/>
  <c r="H57" i="4"/>
  <c r="H54" i="4"/>
  <c r="S50" i="4"/>
  <c r="M50" i="4"/>
  <c r="H50" i="4"/>
  <c r="S49" i="4"/>
  <c r="M49" i="4"/>
  <c r="H49" i="4"/>
  <c r="S46" i="4"/>
  <c r="M46" i="4"/>
  <c r="H46" i="4"/>
  <c r="S45" i="4"/>
  <c r="M45" i="4"/>
  <c r="H45" i="4"/>
  <c r="S44" i="4"/>
  <c r="M44" i="4"/>
  <c r="S43" i="4"/>
  <c r="S42" i="4"/>
  <c r="H42" i="4"/>
  <c r="S41" i="4"/>
  <c r="H41" i="4"/>
  <c r="S40" i="4"/>
  <c r="M40" i="4"/>
  <c r="H40" i="4"/>
  <c r="H39" i="4"/>
  <c r="S37" i="4"/>
  <c r="M37" i="4"/>
  <c r="H37" i="4"/>
  <c r="S36" i="4"/>
  <c r="M36" i="4"/>
  <c r="H36" i="4"/>
  <c r="H33" i="4"/>
  <c r="N32" i="4"/>
  <c r="N31" i="4"/>
  <c r="L28" i="4"/>
  <c r="L69" i="4" s="1"/>
  <c r="M27" i="4"/>
  <c r="M26" i="4"/>
  <c r="S25" i="4"/>
  <c r="M25" i="4"/>
  <c r="H25" i="4"/>
  <c r="S24" i="4"/>
  <c r="M24" i="4"/>
  <c r="H24" i="4"/>
  <c r="H23" i="4"/>
  <c r="S21" i="4"/>
  <c r="H21" i="4"/>
  <c r="H14" i="4"/>
  <c r="T12" i="4"/>
  <c r="R12" i="4"/>
  <c r="Q12" i="4"/>
  <c r="P12" i="4"/>
  <c r="O12" i="4"/>
  <c r="K12" i="4"/>
  <c r="J12" i="4"/>
  <c r="I12" i="4"/>
  <c r="G12" i="4"/>
  <c r="F12" i="4"/>
  <c r="E12" i="4"/>
  <c r="N11" i="4"/>
  <c r="N12" i="4" s="1"/>
  <c r="L11" i="4"/>
  <c r="L12" i="4" s="1"/>
  <c r="S10" i="4"/>
  <c r="M10" i="4"/>
  <c r="H10" i="4"/>
  <c r="S8" i="4"/>
  <c r="M8" i="4"/>
  <c r="H8" i="4"/>
  <c r="S7" i="4"/>
  <c r="M7" i="4"/>
  <c r="H7" i="4"/>
  <c r="S5" i="4"/>
  <c r="M5" i="4"/>
  <c r="H5" i="4"/>
  <c r="T16" i="3"/>
  <c r="R16" i="3"/>
  <c r="Q16" i="3"/>
  <c r="P16" i="3"/>
  <c r="O16" i="3"/>
  <c r="L16" i="3"/>
  <c r="M16" i="3" s="1"/>
  <c r="K16" i="3"/>
  <c r="J16" i="3"/>
  <c r="I16" i="3"/>
  <c r="G16" i="3"/>
  <c r="F16" i="3"/>
  <c r="E16" i="3"/>
  <c r="S14" i="3"/>
  <c r="M14" i="3"/>
  <c r="S12" i="3"/>
  <c r="M12" i="3"/>
  <c r="H12" i="3"/>
  <c r="S11" i="3"/>
  <c r="M11" i="3"/>
  <c r="H11" i="3"/>
  <c r="M10" i="3"/>
  <c r="H10" i="3"/>
  <c r="S7" i="3"/>
  <c r="M7" i="3"/>
  <c r="H7" i="3"/>
  <c r="S5" i="3"/>
  <c r="M5" i="3"/>
  <c r="H5" i="3"/>
  <c r="S4" i="3"/>
  <c r="M4" i="3"/>
  <c r="H4" i="3"/>
  <c r="N3" i="3"/>
  <c r="N16" i="3" s="1"/>
  <c r="M3" i="3"/>
  <c r="H3" i="3"/>
  <c r="S14" i="2"/>
  <c r="Q14" i="2"/>
  <c r="P14" i="2"/>
  <c r="O14" i="2"/>
  <c r="N14" i="2"/>
  <c r="L14" i="2"/>
  <c r="K14" i="2"/>
  <c r="J14" i="2"/>
  <c r="I14" i="2"/>
  <c r="G14" i="2"/>
  <c r="F14" i="2"/>
  <c r="E14" i="2"/>
  <c r="R13" i="2"/>
  <c r="M13" i="2"/>
  <c r="H13" i="2"/>
  <c r="R12" i="2"/>
  <c r="M11" i="2"/>
  <c r="H11" i="2"/>
  <c r="R10" i="2"/>
  <c r="M10" i="2"/>
  <c r="H10" i="2"/>
  <c r="R9" i="2"/>
  <c r="M9" i="2"/>
  <c r="H9" i="2"/>
  <c r="R8" i="2"/>
  <c r="M8" i="2"/>
  <c r="H8" i="2"/>
  <c r="R6" i="2"/>
  <c r="M6" i="2"/>
  <c r="H6" i="2"/>
  <c r="R5" i="2"/>
  <c r="M5" i="2"/>
  <c r="R4" i="2"/>
  <c r="M4" i="2"/>
  <c r="R3" i="2"/>
  <c r="M3" i="2"/>
  <c r="H3" i="2"/>
  <c r="H84" i="12" l="1"/>
  <c r="S16" i="3"/>
  <c r="S52" i="9"/>
  <c r="H52" i="5"/>
  <c r="S27" i="11"/>
  <c r="R18" i="13"/>
  <c r="M12" i="4"/>
  <c r="H27" i="11"/>
  <c r="M69" i="4"/>
  <c r="M15" i="6"/>
  <c r="N69" i="4"/>
  <c r="S69" i="4"/>
  <c r="S12" i="4"/>
  <c r="H12" i="4"/>
  <c r="H69" i="4"/>
  <c r="M82" i="15"/>
  <c r="H82" i="15"/>
  <c r="N82" i="15"/>
  <c r="S82" i="15"/>
  <c r="M11" i="14"/>
  <c r="H11" i="14"/>
  <c r="R11" i="14"/>
  <c r="M18" i="13"/>
  <c r="H18" i="13"/>
  <c r="M112" i="12"/>
  <c r="S112" i="12"/>
  <c r="H112" i="12"/>
  <c r="L84" i="12"/>
  <c r="M84" i="12" s="1"/>
  <c r="N112" i="12"/>
  <c r="N84" i="12"/>
  <c r="H74" i="12"/>
  <c r="M27" i="11"/>
  <c r="M27" i="10"/>
  <c r="R27" i="10"/>
  <c r="N52" i="5"/>
  <c r="L52" i="5"/>
  <c r="M52" i="5" s="1"/>
  <c r="S52" i="5"/>
  <c r="S17" i="8"/>
  <c r="M17" i="8"/>
  <c r="H52" i="9"/>
  <c r="N52" i="9"/>
  <c r="H27" i="10"/>
  <c r="H17" i="8"/>
  <c r="R23" i="7"/>
  <c r="H38" i="7"/>
  <c r="R38" i="7"/>
  <c r="M23" i="7"/>
  <c r="N38" i="7"/>
  <c r="H23" i="7"/>
  <c r="M38" i="7"/>
  <c r="S15" i="6"/>
  <c r="H15" i="6"/>
  <c r="H16" i="3"/>
  <c r="M97" i="12"/>
  <c r="L52" i="9"/>
  <c r="M52" i="9" s="1"/>
  <c r="M14" i="2"/>
  <c r="H14" i="2"/>
  <c r="R14" i="2"/>
  <c r="T520" i="1"/>
  <c r="T519" i="1"/>
  <c r="T518" i="1"/>
  <c r="T517" i="1"/>
  <c r="T515" i="1"/>
  <c r="T513" i="1"/>
  <c r="T512" i="1"/>
  <c r="T511" i="1"/>
  <c r="T510" i="1"/>
  <c r="T509" i="1"/>
  <c r="T508" i="1"/>
  <c r="T491" i="1"/>
  <c r="T489" i="1"/>
  <c r="T484" i="1"/>
  <c r="T480" i="1"/>
  <c r="T477" i="1"/>
  <c r="T472" i="1"/>
  <c r="T466" i="1"/>
  <c r="T465" i="1"/>
  <c r="T464" i="1"/>
  <c r="T463" i="1"/>
  <c r="T462" i="1"/>
  <c r="T461" i="1"/>
  <c r="T459" i="1"/>
  <c r="T458" i="1"/>
  <c r="T447" i="1"/>
  <c r="T446" i="1"/>
  <c r="T445" i="1"/>
  <c r="T443" i="1"/>
  <c r="T442" i="1"/>
  <c r="T441" i="1"/>
  <c r="T440" i="1"/>
  <c r="T439" i="1"/>
  <c r="T438" i="1"/>
  <c r="T436" i="1"/>
  <c r="T425" i="1"/>
  <c r="T423" i="1"/>
  <c r="T422" i="1"/>
  <c r="T421" i="1"/>
  <c r="T420" i="1"/>
  <c r="T418" i="1"/>
  <c r="T417" i="1"/>
  <c r="T416" i="1"/>
  <c r="T415" i="1"/>
  <c r="T413" i="1"/>
  <c r="T412" i="1"/>
  <c r="T411" i="1"/>
  <c r="T410" i="1"/>
  <c r="T409" i="1"/>
  <c r="T408" i="1"/>
  <c r="T407" i="1"/>
  <c r="T406" i="1"/>
  <c r="T403" i="1"/>
  <c r="T402" i="1"/>
  <c r="T401" i="1"/>
  <c r="T400" i="1"/>
  <c r="T399" i="1"/>
  <c r="T395" i="1"/>
  <c r="T394" i="1"/>
  <c r="T393" i="1"/>
  <c r="T392" i="1"/>
  <c r="T391" i="1"/>
  <c r="T390" i="1"/>
  <c r="T388" i="1"/>
  <c r="T385" i="1"/>
  <c r="T384" i="1"/>
  <c r="T379" i="1"/>
  <c r="T377" i="1"/>
  <c r="T375" i="1"/>
  <c r="T371" i="1"/>
  <c r="T370" i="1"/>
  <c r="T368" i="1"/>
  <c r="T367" i="1"/>
  <c r="T362" i="1"/>
  <c r="T360" i="1"/>
  <c r="T359" i="1"/>
  <c r="T355" i="1"/>
  <c r="T354" i="1"/>
  <c r="T353" i="1"/>
  <c r="T351" i="1"/>
  <c r="T350" i="1"/>
  <c r="T348" i="1"/>
  <c r="T347" i="1"/>
  <c r="T346" i="1"/>
  <c r="T344" i="1"/>
  <c r="T342" i="1"/>
  <c r="T340" i="1"/>
  <c r="T338" i="1"/>
  <c r="T336" i="1"/>
  <c r="T335" i="1"/>
  <c r="T334" i="1"/>
  <c r="T333" i="1"/>
  <c r="T331" i="1"/>
  <c r="T330" i="1"/>
  <c r="T318" i="1"/>
  <c r="T317" i="1"/>
  <c r="T316" i="1"/>
  <c r="T315" i="1"/>
  <c r="T313" i="1"/>
  <c r="T311" i="1"/>
  <c r="T301" i="1"/>
  <c r="T297" i="1"/>
  <c r="T296" i="1"/>
  <c r="T293" i="1"/>
  <c r="T278" i="1"/>
  <c r="T275" i="1"/>
  <c r="T274" i="1"/>
  <c r="T273" i="1"/>
  <c r="T272" i="1"/>
  <c r="T268" i="1"/>
  <c r="T267" i="1"/>
  <c r="T265" i="1"/>
  <c r="T264" i="1"/>
  <c r="T263" i="1"/>
  <c r="T256" i="1"/>
  <c r="T254" i="1"/>
  <c r="T253" i="1"/>
  <c r="T248" i="1"/>
  <c r="T247" i="1"/>
  <c r="T246" i="1"/>
  <c r="T245" i="1"/>
  <c r="T243" i="1"/>
  <c r="T242" i="1"/>
  <c r="T241" i="1"/>
  <c r="T240" i="1"/>
  <c r="T239" i="1"/>
  <c r="T237" i="1"/>
  <c r="T236" i="1"/>
  <c r="T235" i="1"/>
  <c r="T234" i="1"/>
  <c r="T231" i="1"/>
  <c r="T230" i="1"/>
  <c r="T228" i="1"/>
  <c r="T225" i="1"/>
  <c r="T224" i="1"/>
  <c r="T223" i="1"/>
  <c r="T222" i="1"/>
  <c r="T221" i="1"/>
  <c r="T220" i="1"/>
  <c r="T219" i="1"/>
  <c r="T218" i="1"/>
  <c r="T217" i="1"/>
  <c r="T216" i="1"/>
  <c r="T215" i="1"/>
  <c r="T213" i="1"/>
  <c r="T212" i="1"/>
  <c r="T210" i="1"/>
  <c r="T209" i="1"/>
  <c r="T207" i="1"/>
  <c r="T206" i="1"/>
  <c r="T205" i="1"/>
  <c r="T204" i="1"/>
  <c r="T202" i="1"/>
  <c r="T200" i="1"/>
  <c r="T199" i="1"/>
  <c r="T196" i="1"/>
  <c r="T195" i="1"/>
  <c r="T194" i="1"/>
  <c r="T189" i="1"/>
  <c r="T187" i="1"/>
  <c r="T186" i="1"/>
  <c r="T184" i="1"/>
  <c r="T182" i="1"/>
  <c r="T181" i="1"/>
  <c r="T180" i="1"/>
  <c r="T179" i="1"/>
  <c r="T170" i="1"/>
  <c r="T167" i="1"/>
  <c r="T163" i="1"/>
  <c r="T161" i="1"/>
  <c r="T156" i="1"/>
  <c r="T154" i="1"/>
  <c r="T153" i="1"/>
  <c r="T152" i="1"/>
  <c r="T151" i="1"/>
  <c r="T150" i="1"/>
  <c r="T149" i="1"/>
  <c r="T148" i="1"/>
  <c r="T145" i="1"/>
  <c r="T143" i="1"/>
  <c r="T142" i="1"/>
  <c r="T141" i="1"/>
  <c r="T140" i="1"/>
  <c r="T137" i="1"/>
  <c r="T136" i="1"/>
  <c r="T135" i="1"/>
  <c r="T133" i="1"/>
  <c r="T132" i="1"/>
  <c r="T130" i="1"/>
  <c r="T127" i="1"/>
  <c r="T126" i="1"/>
  <c r="T125" i="1"/>
  <c r="T124" i="1"/>
  <c r="T120" i="1"/>
  <c r="T118" i="1"/>
  <c r="T115" i="1"/>
  <c r="T114" i="1"/>
  <c r="T113" i="1"/>
  <c r="T111" i="1"/>
  <c r="T110" i="1"/>
  <c r="T109" i="1"/>
  <c r="T108" i="1"/>
  <c r="T107" i="1"/>
  <c r="T105" i="1"/>
  <c r="T104" i="1"/>
  <c r="T103" i="1"/>
  <c r="T99" i="1"/>
  <c r="T98" i="1"/>
  <c r="T96" i="1"/>
  <c r="T90" i="1"/>
  <c r="T89" i="1"/>
  <c r="T87" i="1"/>
  <c r="T86" i="1"/>
  <c r="T85" i="1"/>
  <c r="T84" i="1"/>
  <c r="T82" i="1"/>
  <c r="T75" i="1"/>
  <c r="T74" i="1"/>
  <c r="T71" i="1"/>
  <c r="T70" i="1"/>
  <c r="T69" i="1"/>
  <c r="T68" i="1"/>
  <c r="T67" i="1"/>
  <c r="T66" i="1"/>
  <c r="T65" i="1"/>
  <c r="T62" i="1"/>
  <c r="T61" i="1"/>
  <c r="T50" i="1"/>
  <c r="T49" i="1"/>
  <c r="T46" i="1"/>
  <c r="T36" i="1"/>
  <c r="T34" i="1"/>
  <c r="T33" i="1"/>
  <c r="T31" i="1"/>
  <c r="T26" i="1"/>
  <c r="T24" i="1"/>
  <c r="T23" i="1"/>
  <c r="T19" i="1"/>
  <c r="T17" i="1"/>
  <c r="T16" i="1"/>
  <c r="T13" i="1"/>
  <c r="T12" i="1"/>
  <c r="T10" i="1"/>
  <c r="T9" i="1"/>
  <c r="T8" i="1"/>
  <c r="T6" i="1"/>
  <c r="T5" i="1"/>
  <c r="T4" i="1"/>
  <c r="T3" i="1"/>
  <c r="N522" i="1"/>
  <c r="N521" i="1"/>
  <c r="N520" i="1"/>
  <c r="N519" i="1"/>
  <c r="N518" i="1"/>
  <c r="N517" i="1"/>
  <c r="N516" i="1"/>
  <c r="N515" i="1"/>
  <c r="N513" i="1"/>
  <c r="N512" i="1"/>
  <c r="N511" i="1"/>
  <c r="N510" i="1"/>
  <c r="N509" i="1"/>
  <c r="N508" i="1"/>
  <c r="N506" i="1"/>
  <c r="N505" i="1"/>
  <c r="N504" i="1"/>
  <c r="N502" i="1"/>
  <c r="N501" i="1"/>
  <c r="N500" i="1"/>
  <c r="N499" i="1"/>
  <c r="N498" i="1"/>
  <c r="N497" i="1"/>
  <c r="N496" i="1"/>
  <c r="N495" i="1"/>
  <c r="N494" i="1"/>
  <c r="N493" i="1"/>
  <c r="N492" i="1"/>
  <c r="N488" i="1"/>
  <c r="N486" i="1"/>
  <c r="N485" i="1"/>
  <c r="N483" i="1"/>
  <c r="N478" i="1"/>
  <c r="N477" i="1"/>
  <c r="N476" i="1"/>
  <c r="N475" i="1"/>
  <c r="N474" i="1"/>
  <c r="N473" i="1"/>
  <c r="N472" i="1"/>
  <c r="N471" i="1"/>
  <c r="N470" i="1"/>
  <c r="N466" i="1"/>
  <c r="N465" i="1"/>
  <c r="N464" i="1"/>
  <c r="N463" i="1"/>
  <c r="N462" i="1"/>
  <c r="N461" i="1"/>
  <c r="N459" i="1"/>
  <c r="N458" i="1"/>
  <c r="N457" i="1"/>
  <c r="N456" i="1"/>
  <c r="N455" i="1"/>
  <c r="N454" i="1"/>
  <c r="N453" i="1"/>
  <c r="N452" i="1"/>
  <c r="N447" i="1"/>
  <c r="N446" i="1"/>
  <c r="N445" i="1"/>
  <c r="N443" i="1"/>
  <c r="N442" i="1"/>
  <c r="N441" i="1"/>
  <c r="N440" i="1"/>
  <c r="N439" i="1"/>
  <c r="N438" i="1"/>
  <c r="N436" i="1"/>
  <c r="N434" i="1"/>
  <c r="N433" i="1"/>
  <c r="N430" i="1"/>
  <c r="N429" i="1"/>
  <c r="N428" i="1"/>
  <c r="N425" i="1"/>
  <c r="N423" i="1"/>
  <c r="N422" i="1"/>
  <c r="N421" i="1"/>
  <c r="N420" i="1"/>
  <c r="N418" i="1"/>
  <c r="N417" i="1"/>
  <c r="N416" i="1"/>
  <c r="N415" i="1"/>
  <c r="N413" i="1"/>
  <c r="N412" i="1"/>
  <c r="N411" i="1"/>
  <c r="N410" i="1"/>
  <c r="N409" i="1"/>
  <c r="N408" i="1"/>
  <c r="N407" i="1"/>
  <c r="N406" i="1"/>
  <c r="N403" i="1"/>
  <c r="N402" i="1"/>
  <c r="N401" i="1"/>
  <c r="N400" i="1"/>
  <c r="N395" i="1"/>
  <c r="N394" i="1"/>
  <c r="N393" i="1"/>
  <c r="N392" i="1"/>
  <c r="N391" i="1"/>
  <c r="N390" i="1"/>
  <c r="N388" i="1"/>
  <c r="N385" i="1"/>
  <c r="N384" i="1"/>
  <c r="N379" i="1"/>
  <c r="N378" i="1"/>
  <c r="N375" i="1"/>
  <c r="N372" i="1"/>
  <c r="N371" i="1"/>
  <c r="N370" i="1"/>
  <c r="N360" i="1"/>
  <c r="N358" i="1"/>
  <c r="N355" i="1"/>
  <c r="N354" i="1"/>
  <c r="N353" i="1"/>
  <c r="N351" i="1"/>
  <c r="N350" i="1"/>
  <c r="N347" i="1"/>
  <c r="N346" i="1"/>
  <c r="N345" i="1"/>
  <c r="N343" i="1"/>
  <c r="N341" i="1"/>
  <c r="N339" i="1"/>
  <c r="N338" i="1"/>
  <c r="N337" i="1"/>
  <c r="N336" i="1"/>
  <c r="N335" i="1"/>
  <c r="N334" i="1"/>
  <c r="N331" i="1"/>
  <c r="N318" i="1"/>
  <c r="N316" i="1"/>
  <c r="N315" i="1"/>
  <c r="N313" i="1"/>
  <c r="N311" i="1"/>
  <c r="N301" i="1"/>
  <c r="N297" i="1"/>
  <c r="N296" i="1"/>
  <c r="N293" i="1"/>
  <c r="N278" i="1"/>
  <c r="N275" i="1"/>
  <c r="N274" i="1"/>
  <c r="N273" i="1"/>
  <c r="N272" i="1"/>
  <c r="N268" i="1"/>
  <c r="N267" i="1"/>
  <c r="N265" i="1"/>
  <c r="N264" i="1"/>
  <c r="N263" i="1"/>
  <c r="N256" i="1"/>
  <c r="N254" i="1"/>
  <c r="N253" i="1"/>
  <c r="N248" i="1"/>
  <c r="N247" i="1"/>
  <c r="N246" i="1"/>
  <c r="N245" i="1"/>
  <c r="N243" i="1"/>
  <c r="N242" i="1"/>
  <c r="N241" i="1"/>
  <c r="N240" i="1"/>
  <c r="N239" i="1"/>
  <c r="N237" i="1"/>
  <c r="N236" i="1"/>
  <c r="N235" i="1"/>
  <c r="N231" i="1"/>
  <c r="N230" i="1"/>
  <c r="N228" i="1"/>
  <c r="N225" i="1"/>
  <c r="N223" i="1"/>
  <c r="N222" i="1"/>
  <c r="N221" i="1"/>
  <c r="N220" i="1"/>
  <c r="N219" i="1"/>
  <c r="N218" i="1"/>
  <c r="N217" i="1"/>
  <c r="N216" i="1"/>
  <c r="N215" i="1"/>
  <c r="N213" i="1"/>
  <c r="N212" i="1"/>
  <c r="N211" i="1"/>
  <c r="N210" i="1"/>
  <c r="N207" i="1"/>
  <c r="N206" i="1"/>
  <c r="N205" i="1"/>
  <c r="N204" i="1"/>
  <c r="N202" i="1"/>
  <c r="N200" i="1"/>
  <c r="N199" i="1"/>
  <c r="N197" i="1"/>
  <c r="N196" i="1"/>
  <c r="N195" i="1"/>
  <c r="N194" i="1"/>
  <c r="N189" i="1"/>
  <c r="N187" i="1"/>
  <c r="N185" i="1"/>
  <c r="N184" i="1"/>
  <c r="N182" i="1"/>
  <c r="N181" i="1"/>
  <c r="N180" i="1"/>
  <c r="N179" i="1"/>
  <c r="N170" i="1"/>
  <c r="N167" i="1"/>
  <c r="N163" i="1"/>
  <c r="N161" i="1"/>
  <c r="N156" i="1"/>
  <c r="N154" i="1"/>
  <c r="N153" i="1"/>
  <c r="N152" i="1"/>
  <c r="N151" i="1"/>
  <c r="N150" i="1"/>
  <c r="N149" i="1"/>
  <c r="N148" i="1"/>
  <c r="N145" i="1"/>
  <c r="N143" i="1"/>
  <c r="N142" i="1"/>
  <c r="N141" i="1"/>
  <c r="N140" i="1"/>
  <c r="N137" i="1"/>
  <c r="N135" i="1"/>
  <c r="N133" i="1"/>
  <c r="N130" i="1"/>
  <c r="N127" i="1"/>
  <c r="N126" i="1"/>
  <c r="N125" i="1"/>
  <c r="N124" i="1"/>
  <c r="N120" i="1"/>
  <c r="N118" i="1"/>
  <c r="N116" i="1"/>
  <c r="N115" i="1"/>
  <c r="N114" i="1"/>
  <c r="N113" i="1"/>
  <c r="N111" i="1"/>
  <c r="N110" i="1"/>
  <c r="N109" i="1"/>
  <c r="N108" i="1"/>
  <c r="N107" i="1"/>
  <c r="N106" i="1"/>
  <c r="N105" i="1"/>
  <c r="N103" i="1"/>
  <c r="N99" i="1"/>
  <c r="N98" i="1"/>
  <c r="N96" i="1"/>
  <c r="N90" i="1"/>
  <c r="N89" i="1"/>
  <c r="N87" i="1"/>
  <c r="N86" i="1"/>
  <c r="N85" i="1"/>
  <c r="N84" i="1"/>
  <c r="N82" i="1"/>
  <c r="N75" i="1"/>
  <c r="N74" i="1"/>
  <c r="N71" i="1"/>
  <c r="N70" i="1"/>
  <c r="N69" i="1"/>
  <c r="N65" i="1"/>
  <c r="N62" i="1"/>
  <c r="N61" i="1"/>
  <c r="N52" i="1"/>
  <c r="N51" i="1"/>
  <c r="N50" i="1"/>
  <c r="N49" i="1"/>
  <c r="N36" i="1"/>
  <c r="N34" i="1"/>
  <c r="N33" i="1"/>
  <c r="N31" i="1"/>
  <c r="N26" i="1"/>
  <c r="N24" i="1"/>
  <c r="N23" i="1"/>
  <c r="N22" i="1"/>
  <c r="N19" i="1"/>
  <c r="N17" i="1"/>
  <c r="N16" i="1"/>
  <c r="N15" i="1"/>
  <c r="N13" i="1"/>
  <c r="N11" i="1"/>
  <c r="N10" i="1"/>
  <c r="N9" i="1"/>
  <c r="N8" i="1"/>
  <c r="N6" i="1"/>
  <c r="N5" i="1"/>
  <c r="N4" i="1"/>
  <c r="I3" i="1"/>
  <c r="N3" i="1"/>
  <c r="I523" i="1"/>
  <c r="I522" i="1"/>
  <c r="I521" i="1"/>
  <c r="I520" i="1"/>
  <c r="I519" i="1"/>
  <c r="I518" i="1"/>
  <c r="I517" i="1"/>
  <c r="I516" i="1"/>
  <c r="I515" i="1"/>
  <c r="I513" i="1"/>
  <c r="I512" i="1"/>
  <c r="I511" i="1"/>
  <c r="I510" i="1"/>
  <c r="I509" i="1"/>
  <c r="I508" i="1"/>
  <c r="I506" i="1"/>
  <c r="I505" i="1"/>
  <c r="I504" i="1"/>
  <c r="I503" i="1"/>
  <c r="I501" i="1"/>
  <c r="I500" i="1"/>
  <c r="I499" i="1"/>
  <c r="I498" i="1"/>
  <c r="I497" i="1"/>
  <c r="I496" i="1"/>
  <c r="I495" i="1"/>
  <c r="I494" i="1"/>
  <c r="I493" i="1"/>
  <c r="I489" i="1"/>
  <c r="I488" i="1"/>
  <c r="I487" i="1"/>
  <c r="I486" i="1"/>
  <c r="I485" i="1"/>
  <c r="I483" i="1"/>
  <c r="I478" i="1"/>
  <c r="I477" i="1"/>
  <c r="I476" i="1"/>
  <c r="I475" i="1"/>
  <c r="I474" i="1"/>
  <c r="I473" i="1"/>
  <c r="I472" i="1"/>
  <c r="I471" i="1"/>
  <c r="I470" i="1"/>
  <c r="I466" i="1"/>
  <c r="I465" i="1"/>
  <c r="I464" i="1"/>
  <c r="I463" i="1"/>
  <c r="I462" i="1"/>
  <c r="I461" i="1"/>
  <c r="I459" i="1"/>
  <c r="I458" i="1"/>
  <c r="I457" i="1"/>
  <c r="I456" i="1"/>
  <c r="I455" i="1"/>
  <c r="I454" i="1"/>
  <c r="I453" i="1"/>
  <c r="I452" i="1"/>
  <c r="I451" i="1"/>
  <c r="I447" i="1"/>
  <c r="I446" i="1"/>
  <c r="I445" i="1"/>
  <c r="I443" i="1"/>
  <c r="I442" i="1"/>
  <c r="I441" i="1"/>
  <c r="I440" i="1"/>
  <c r="I439" i="1"/>
  <c r="I438" i="1"/>
  <c r="I436" i="1"/>
  <c r="I434" i="1"/>
  <c r="I433" i="1"/>
  <c r="I430" i="1"/>
  <c r="I429" i="1"/>
  <c r="I428" i="1"/>
  <c r="I425" i="1"/>
  <c r="I423" i="1"/>
  <c r="I422" i="1"/>
  <c r="I421" i="1"/>
  <c r="I420" i="1"/>
  <c r="I418" i="1"/>
  <c r="I417" i="1"/>
  <c r="I416" i="1"/>
  <c r="I414" i="1"/>
  <c r="I413" i="1"/>
  <c r="I412" i="1"/>
  <c r="I411" i="1"/>
  <c r="I410" i="1"/>
  <c r="I409" i="1"/>
  <c r="I408" i="1"/>
  <c r="I407" i="1"/>
  <c r="I406" i="1"/>
  <c r="I403" i="1"/>
  <c r="I402" i="1"/>
  <c r="I401" i="1"/>
  <c r="I400" i="1"/>
  <c r="I399" i="1"/>
  <c r="I395" i="1"/>
  <c r="I394" i="1"/>
  <c r="I393" i="1"/>
  <c r="I392" i="1"/>
  <c r="I391" i="1"/>
  <c r="I390" i="1"/>
  <c r="I388" i="1"/>
  <c r="I385" i="1"/>
  <c r="I384" i="1"/>
  <c r="I379" i="1"/>
  <c r="I378" i="1"/>
  <c r="I375" i="1"/>
  <c r="I372" i="1"/>
  <c r="I371" i="1"/>
  <c r="I370" i="1"/>
  <c r="I362" i="1"/>
  <c r="I360" i="1"/>
  <c r="I358" i="1"/>
  <c r="I355" i="1"/>
  <c r="I352" i="1"/>
  <c r="I350" i="1"/>
  <c r="I338" i="1"/>
  <c r="I336" i="1"/>
  <c r="I335" i="1"/>
  <c r="I334" i="1"/>
  <c r="I331" i="1"/>
  <c r="I330" i="1"/>
  <c r="I318" i="1"/>
  <c r="I316" i="1"/>
  <c r="I315" i="1"/>
  <c r="I313" i="1"/>
  <c r="I311" i="1"/>
  <c r="I301" i="1"/>
  <c r="I299" i="1"/>
  <c r="I297" i="1"/>
  <c r="I296" i="1"/>
  <c r="I293" i="1"/>
  <c r="I279" i="1"/>
  <c r="I276" i="1"/>
  <c r="I275" i="1"/>
  <c r="I274" i="1"/>
  <c r="I273" i="1"/>
  <c r="I272" i="1"/>
  <c r="I271" i="1"/>
  <c r="I270" i="1"/>
  <c r="I268" i="1"/>
  <c r="I267" i="1"/>
  <c r="I265" i="1"/>
  <c r="I264" i="1"/>
  <c r="I263" i="1"/>
  <c r="I256" i="1"/>
  <c r="I254" i="1"/>
  <c r="I253" i="1"/>
  <c r="I252" i="1"/>
  <c r="I251" i="1"/>
  <c r="I250" i="1"/>
  <c r="I248" i="1"/>
  <c r="I247" i="1"/>
  <c r="I246" i="1"/>
  <c r="I245" i="1"/>
  <c r="I243" i="1"/>
  <c r="I242" i="1"/>
  <c r="I241" i="1"/>
  <c r="I240" i="1"/>
  <c r="I239" i="1"/>
  <c r="I237" i="1"/>
  <c r="I236" i="1"/>
  <c r="I235" i="1"/>
  <c r="I234" i="1"/>
  <c r="I231" i="1"/>
  <c r="I228" i="1"/>
  <c r="I225" i="1"/>
  <c r="I224" i="1"/>
  <c r="I222" i="1"/>
  <c r="I221" i="1"/>
  <c r="I220" i="1"/>
  <c r="I219" i="1"/>
  <c r="I218" i="1"/>
  <c r="I217" i="1"/>
  <c r="I216" i="1"/>
  <c r="I215" i="1"/>
  <c r="I213" i="1"/>
  <c r="I212" i="1"/>
  <c r="I211" i="1"/>
  <c r="I210" i="1"/>
  <c r="I209" i="1"/>
  <c r="I206" i="1"/>
  <c r="I205" i="1"/>
  <c r="I204" i="1"/>
  <c r="I202" i="1"/>
  <c r="I200" i="1"/>
  <c r="I199" i="1"/>
  <c r="I196" i="1"/>
  <c r="I192" i="1"/>
  <c r="I190" i="1"/>
  <c r="I187" i="1"/>
  <c r="I185" i="1"/>
  <c r="I184" i="1"/>
  <c r="I182" i="1"/>
  <c r="I181" i="1"/>
  <c r="I180" i="1"/>
  <c r="I179" i="1"/>
  <c r="I170" i="1"/>
  <c r="I161" i="1"/>
  <c r="I156" i="1"/>
  <c r="I154" i="1"/>
  <c r="I153" i="1"/>
  <c r="I152" i="1"/>
  <c r="I151" i="1"/>
  <c r="I150" i="1"/>
  <c r="I149" i="1"/>
  <c r="I148" i="1"/>
  <c r="I145" i="1"/>
  <c r="I143" i="1"/>
  <c r="I142" i="1"/>
  <c r="I141" i="1"/>
  <c r="I140" i="1"/>
  <c r="I137" i="1"/>
  <c r="I136" i="1"/>
  <c r="I135" i="1"/>
  <c r="I133" i="1"/>
  <c r="I132" i="1"/>
  <c r="I130" i="1"/>
  <c r="I128" i="1"/>
  <c r="I127" i="1"/>
  <c r="I126" i="1"/>
  <c r="I125" i="1"/>
  <c r="I124" i="1"/>
  <c r="I123" i="1"/>
  <c r="I120" i="1"/>
  <c r="I117" i="1"/>
  <c r="I116" i="1"/>
  <c r="I115" i="1"/>
  <c r="I114" i="1"/>
  <c r="I113" i="1"/>
  <c r="I111" i="1"/>
  <c r="I110" i="1"/>
  <c r="I109" i="1"/>
  <c r="I108" i="1"/>
  <c r="I107" i="1"/>
  <c r="I106" i="1"/>
  <c r="I105" i="1"/>
  <c r="I104" i="1"/>
  <c r="I103" i="1"/>
  <c r="I97" i="1"/>
  <c r="I96" i="1"/>
  <c r="I93" i="1"/>
  <c r="I90" i="1"/>
  <c r="I89" i="1"/>
  <c r="I87" i="1"/>
  <c r="I86" i="1"/>
  <c r="I85" i="1"/>
  <c r="I83" i="1"/>
  <c r="I82" i="1"/>
  <c r="I79" i="1"/>
  <c r="I75" i="1"/>
  <c r="I74" i="1"/>
  <c r="I71" i="1"/>
  <c r="I70" i="1"/>
  <c r="I67" i="1"/>
  <c r="I66" i="1"/>
  <c r="I65" i="1"/>
  <c r="I64" i="1"/>
  <c r="I62" i="1"/>
  <c r="I61" i="1"/>
  <c r="I58" i="1"/>
  <c r="I50" i="1"/>
  <c r="I49" i="1"/>
  <c r="I48" i="1"/>
  <c r="I46" i="1"/>
  <c r="I39" i="1"/>
  <c r="I36" i="1"/>
  <c r="I34" i="1"/>
  <c r="I33" i="1"/>
  <c r="I31" i="1"/>
  <c r="I24" i="1"/>
  <c r="I23" i="1"/>
  <c r="I22" i="1"/>
  <c r="I19" i="1"/>
  <c r="I17" i="1"/>
  <c r="I16" i="1"/>
  <c r="I15" i="1"/>
  <c r="I13" i="1"/>
  <c r="I11" i="1"/>
  <c r="I10" i="1"/>
  <c r="I9" i="1"/>
  <c r="I8" i="1"/>
  <c r="I6" i="1"/>
  <c r="J377" i="1"/>
  <c r="J387" i="1" s="1"/>
  <c r="H377" i="1"/>
  <c r="H387" i="1" s="1"/>
  <c r="O229" i="1"/>
  <c r="M229" i="1"/>
  <c r="O380" i="1"/>
  <c r="M380" i="1"/>
  <c r="O57" i="1"/>
  <c r="O377" i="1"/>
  <c r="M377" i="1"/>
  <c r="N377" i="1" s="1"/>
  <c r="O138" i="1"/>
  <c r="M546" i="1"/>
  <c r="O140" i="1"/>
  <c r="O136" i="1"/>
  <c r="M136" i="1"/>
  <c r="N136" i="1" s="1"/>
  <c r="O132" i="1"/>
  <c r="M132" i="1"/>
  <c r="N132" i="1" s="1"/>
  <c r="M545" i="1"/>
  <c r="O362" i="1"/>
  <c r="M362" i="1"/>
  <c r="N362" i="1" s="1"/>
  <c r="O365" i="1"/>
  <c r="M365" i="1"/>
  <c r="M544" i="1"/>
  <c r="O224" i="1"/>
  <c r="M224" i="1"/>
  <c r="N224" i="1" s="1"/>
  <c r="M543" i="1"/>
  <c r="O399" i="1"/>
  <c r="M399" i="1"/>
  <c r="M419" i="1" s="1"/>
  <c r="M541" i="1"/>
  <c r="M234" i="1"/>
  <c r="N234" i="1" s="1"/>
  <c r="O340" i="1"/>
  <c r="M340" i="1"/>
  <c r="O521" i="1"/>
  <c r="O510" i="1"/>
  <c r="O408" i="1"/>
  <c r="O400" i="1"/>
  <c r="O184" i="1"/>
  <c r="O198" i="1"/>
  <c r="M198" i="1"/>
  <c r="M208" i="1" s="1"/>
  <c r="O247" i="1"/>
  <c r="O245" i="1"/>
  <c r="O15" i="1"/>
  <c r="O28" i="1" s="1"/>
  <c r="O500" i="1"/>
  <c r="O489" i="1"/>
  <c r="O142" i="1"/>
  <c r="O124" i="1"/>
  <c r="O485" i="1"/>
  <c r="O114" i="1"/>
  <c r="O241" i="1"/>
  <c r="O239" i="1"/>
  <c r="O461" i="1"/>
  <c r="O456" i="1"/>
  <c r="O454" i="1"/>
  <c r="O452" i="1"/>
  <c r="O230" i="1"/>
  <c r="O110" i="1"/>
  <c r="O221" i="1"/>
  <c r="O219" i="1"/>
  <c r="O217" i="1"/>
  <c r="O209" i="1"/>
  <c r="M209" i="1"/>
  <c r="N209" i="1" s="1"/>
  <c r="O104" i="1"/>
  <c r="M104" i="1"/>
  <c r="N104" i="1" s="1"/>
  <c r="O90" i="1"/>
  <c r="O311" i="1"/>
  <c r="O315" i="1"/>
  <c r="O237" i="1"/>
  <c r="O213" i="1"/>
  <c r="O107" i="1"/>
  <c r="O106" i="1"/>
  <c r="O98" i="1"/>
  <c r="O382" i="1"/>
  <c r="M382" i="1"/>
  <c r="O515" i="1"/>
  <c r="M538" i="1"/>
  <c r="M537" i="1"/>
  <c r="O518" i="1"/>
  <c r="O330" i="1"/>
  <c r="M330" i="1"/>
  <c r="N330" i="1" s="1"/>
  <c r="O512" i="1"/>
  <c r="O411" i="1"/>
  <c r="O410" i="1"/>
  <c r="M534" i="1"/>
  <c r="O370" i="1"/>
  <c r="M533" i="1"/>
  <c r="O383" i="1"/>
  <c r="O176" i="1"/>
  <c r="O178" i="1" s="1"/>
  <c r="O56" i="1"/>
  <c r="O94" i="1" s="1"/>
  <c r="O406" i="1"/>
  <c r="O190" i="1"/>
  <c r="O207" i="1"/>
  <c r="O99" i="1"/>
  <c r="O262" i="1"/>
  <c r="O283" i="1" s="1"/>
  <c r="M53" i="1"/>
  <c r="M94" i="1" s="1"/>
  <c r="O37" i="1"/>
  <c r="M37" i="1"/>
  <c r="M38" i="1" s="1"/>
  <c r="U278" i="1"/>
  <c r="U283" i="1" s="1"/>
  <c r="U94" i="1"/>
  <c r="S94" i="1"/>
  <c r="R94" i="1"/>
  <c r="Q94" i="1"/>
  <c r="P94" i="1"/>
  <c r="L94" i="1"/>
  <c r="K94" i="1"/>
  <c r="J94" i="1"/>
  <c r="H94" i="1"/>
  <c r="G94" i="1"/>
  <c r="F94" i="1"/>
  <c r="U524" i="1"/>
  <c r="S524" i="1"/>
  <c r="R524" i="1"/>
  <c r="Q524" i="1"/>
  <c r="P524" i="1"/>
  <c r="T524" i="1" s="1"/>
  <c r="M524" i="1"/>
  <c r="N524" i="1" s="1"/>
  <c r="L524" i="1"/>
  <c r="K524" i="1"/>
  <c r="J524" i="1"/>
  <c r="H524" i="1"/>
  <c r="I524" i="1" s="1"/>
  <c r="G524" i="1"/>
  <c r="F524" i="1"/>
  <c r="U444" i="1"/>
  <c r="S444" i="1"/>
  <c r="R444" i="1"/>
  <c r="T444" i="1" s="1"/>
  <c r="Q444" i="1"/>
  <c r="P444" i="1"/>
  <c r="O444" i="1"/>
  <c r="M444" i="1"/>
  <c r="L444" i="1"/>
  <c r="K444" i="1"/>
  <c r="J444" i="1"/>
  <c r="H444" i="1"/>
  <c r="G444" i="1"/>
  <c r="F444" i="1"/>
  <c r="U435" i="1"/>
  <c r="S435" i="1"/>
  <c r="R435" i="1"/>
  <c r="Q435" i="1"/>
  <c r="P435" i="1"/>
  <c r="O435" i="1"/>
  <c r="M435" i="1"/>
  <c r="L435" i="1"/>
  <c r="K435" i="1"/>
  <c r="J435" i="1"/>
  <c r="H435" i="1"/>
  <c r="G435" i="1"/>
  <c r="F435" i="1"/>
  <c r="U419" i="1"/>
  <c r="S419" i="1"/>
  <c r="R419" i="1"/>
  <c r="T419" i="1" s="1"/>
  <c r="Q419" i="1"/>
  <c r="P419" i="1"/>
  <c r="L419" i="1"/>
  <c r="K419" i="1"/>
  <c r="J419" i="1"/>
  <c r="H419" i="1"/>
  <c r="G419" i="1"/>
  <c r="F419" i="1"/>
  <c r="U387" i="1"/>
  <c r="S387" i="1"/>
  <c r="R387" i="1"/>
  <c r="Q387" i="1"/>
  <c r="P387" i="1"/>
  <c r="L387" i="1"/>
  <c r="K387" i="1"/>
  <c r="G387" i="1"/>
  <c r="F387" i="1"/>
  <c r="U308" i="1"/>
  <c r="S308" i="1"/>
  <c r="R308" i="1"/>
  <c r="Q308" i="1"/>
  <c r="P308" i="1"/>
  <c r="O308" i="1"/>
  <c r="M308" i="1"/>
  <c r="N308" i="1" s="1"/>
  <c r="L308" i="1"/>
  <c r="K308" i="1"/>
  <c r="J308" i="1"/>
  <c r="H308" i="1"/>
  <c r="G308" i="1"/>
  <c r="F308" i="1"/>
  <c r="S283" i="1"/>
  <c r="R283" i="1"/>
  <c r="Q283" i="1"/>
  <c r="P283" i="1"/>
  <c r="M283" i="1"/>
  <c r="L283" i="1"/>
  <c r="K283" i="1"/>
  <c r="J283" i="1"/>
  <c r="H283" i="1"/>
  <c r="G283" i="1"/>
  <c r="F283" i="1"/>
  <c r="U258" i="1"/>
  <c r="S258" i="1"/>
  <c r="R258" i="1"/>
  <c r="Q258" i="1"/>
  <c r="P258" i="1"/>
  <c r="L258" i="1"/>
  <c r="K258" i="1"/>
  <c r="J258" i="1"/>
  <c r="H258" i="1"/>
  <c r="G258" i="1"/>
  <c r="F258" i="1"/>
  <c r="U208" i="1"/>
  <c r="S208" i="1"/>
  <c r="R208" i="1"/>
  <c r="Q208" i="1"/>
  <c r="P208" i="1"/>
  <c r="L208" i="1"/>
  <c r="K208" i="1"/>
  <c r="J208" i="1"/>
  <c r="H208" i="1"/>
  <c r="I208" i="1" s="1"/>
  <c r="G208" i="1"/>
  <c r="F208" i="1"/>
  <c r="U193" i="1"/>
  <c r="S193" i="1"/>
  <c r="R193" i="1"/>
  <c r="Q193" i="1"/>
  <c r="P193" i="1"/>
  <c r="T193" i="1" s="1"/>
  <c r="M193" i="1"/>
  <c r="N193" i="1" s="1"/>
  <c r="L193" i="1"/>
  <c r="K193" i="1"/>
  <c r="J193" i="1"/>
  <c r="H193" i="1"/>
  <c r="G193" i="1"/>
  <c r="F193" i="1"/>
  <c r="U178" i="1"/>
  <c r="S178" i="1"/>
  <c r="R178" i="1"/>
  <c r="Q178" i="1"/>
  <c r="P178" i="1"/>
  <c r="M178" i="1"/>
  <c r="L178" i="1"/>
  <c r="K178" i="1"/>
  <c r="J178" i="1"/>
  <c r="H178" i="1"/>
  <c r="I178" i="1" s="1"/>
  <c r="G178" i="1"/>
  <c r="F178" i="1"/>
  <c r="U157" i="1"/>
  <c r="S157" i="1"/>
  <c r="R157" i="1"/>
  <c r="Q157" i="1"/>
  <c r="P157" i="1"/>
  <c r="O157" i="1"/>
  <c r="M157" i="1"/>
  <c r="L157" i="1"/>
  <c r="K157" i="1"/>
  <c r="J157" i="1"/>
  <c r="H157" i="1"/>
  <c r="G157" i="1"/>
  <c r="F157" i="1"/>
  <c r="U144" i="1"/>
  <c r="S144" i="1"/>
  <c r="R144" i="1"/>
  <c r="Q144" i="1"/>
  <c r="P144" i="1"/>
  <c r="L144" i="1"/>
  <c r="K144" i="1"/>
  <c r="J144" i="1"/>
  <c r="H144" i="1"/>
  <c r="G144" i="1"/>
  <c r="F144" i="1"/>
  <c r="U38" i="1"/>
  <c r="S38" i="1"/>
  <c r="R38" i="1"/>
  <c r="Q38" i="1"/>
  <c r="P38" i="1"/>
  <c r="O38" i="1"/>
  <c r="L38" i="1"/>
  <c r="K38" i="1"/>
  <c r="J38" i="1"/>
  <c r="H38" i="1"/>
  <c r="G38" i="1"/>
  <c r="F38" i="1"/>
  <c r="U28" i="1"/>
  <c r="S28" i="1"/>
  <c r="R28" i="1"/>
  <c r="T28" i="1" s="1"/>
  <c r="Q28" i="1"/>
  <c r="P28" i="1"/>
  <c r="M28" i="1"/>
  <c r="L28" i="1"/>
  <c r="K28" i="1"/>
  <c r="J28" i="1"/>
  <c r="H28" i="1"/>
  <c r="G28" i="1"/>
  <c r="F28" i="1"/>
  <c r="U14" i="1"/>
  <c r="S14" i="1"/>
  <c r="R14" i="1"/>
  <c r="Q14" i="1"/>
  <c r="P14" i="1"/>
  <c r="O14" i="1"/>
  <c r="M14" i="1"/>
  <c r="N14" i="1" s="1"/>
  <c r="L14" i="1"/>
  <c r="K14" i="1"/>
  <c r="J14" i="1"/>
  <c r="H14" i="1"/>
  <c r="G14" i="1"/>
  <c r="F14" i="1"/>
  <c r="T178" i="1" l="1"/>
  <c r="T144" i="1"/>
  <c r="T208" i="1"/>
  <c r="N435" i="1"/>
  <c r="I94" i="1"/>
  <c r="T94" i="1"/>
  <c r="O419" i="1"/>
  <c r="N419" i="1"/>
  <c r="T258" i="1"/>
  <c r="N28" i="1"/>
  <c r="N178" i="1"/>
  <c r="I193" i="1"/>
  <c r="N283" i="1"/>
  <c r="T14" i="1"/>
  <c r="N157" i="1"/>
  <c r="M549" i="1"/>
  <c r="O193" i="1"/>
  <c r="T157" i="1"/>
  <c r="T387" i="1"/>
  <c r="I435" i="1"/>
  <c r="T435" i="1"/>
  <c r="N94" i="1"/>
  <c r="N38" i="1"/>
  <c r="I377" i="1"/>
  <c r="I14" i="1"/>
  <c r="T308" i="1"/>
  <c r="J525" i="1"/>
  <c r="T38" i="1"/>
  <c r="T283" i="1"/>
  <c r="N444" i="1"/>
  <c r="N208" i="1"/>
  <c r="O258" i="1"/>
  <c r="M144" i="1"/>
  <c r="N144" i="1" s="1"/>
  <c r="I157" i="1"/>
  <c r="I419" i="1"/>
  <c r="I444" i="1"/>
  <c r="I387" i="1"/>
  <c r="I38" i="1"/>
  <c r="I28" i="1"/>
  <c r="I308" i="1"/>
  <c r="I144" i="1"/>
  <c r="I258" i="1"/>
  <c r="F525" i="1"/>
  <c r="N399" i="1"/>
  <c r="I283" i="1"/>
  <c r="O524" i="1"/>
  <c r="O208" i="1"/>
  <c r="H525" i="1"/>
  <c r="G525" i="1"/>
  <c r="M258" i="1"/>
  <c r="O144" i="1"/>
  <c r="S525" i="1"/>
  <c r="U525" i="1"/>
  <c r="M387" i="1"/>
  <c r="N387" i="1" s="1"/>
  <c r="Q525" i="1"/>
  <c r="O387" i="1"/>
  <c r="K525" i="1"/>
  <c r="R525" i="1"/>
  <c r="P525" i="1"/>
  <c r="L525" i="1"/>
  <c r="O525" i="1" l="1"/>
  <c r="T525" i="1"/>
  <c r="M525" i="1"/>
  <c r="N525" i="1" s="1"/>
  <c r="N258" i="1"/>
  <c r="I525" i="1"/>
</calcChain>
</file>

<file path=xl/sharedStrings.xml><?xml version="1.0" encoding="utf-8"?>
<sst xmlns="http://schemas.openxmlformats.org/spreadsheetml/2006/main" count="5254" uniqueCount="886">
  <si>
    <t>Adopted Budget</t>
  </si>
  <si>
    <t>Working Budget</t>
  </si>
  <si>
    <t>Encumbrance</t>
  </si>
  <si>
    <t>Balance</t>
  </si>
  <si>
    <t>Inter-Dept. Revenue Shari</t>
  </si>
  <si>
    <t>MC President</t>
  </si>
  <si>
    <t>100_200100_6600_52310_000</t>
  </si>
  <si>
    <t>Hourly Classified Salaries</t>
  </si>
  <si>
    <t>100_200100_6600_52350_000</t>
  </si>
  <si>
    <t>Hrly Class Special Services</t>
  </si>
  <si>
    <t>STRS - Non Instructional</t>
  </si>
  <si>
    <t>Medicare - Non-Instr.</t>
  </si>
  <si>
    <t>Med-Non-Instr - Do not use</t>
  </si>
  <si>
    <t>UI - Non Instr.</t>
  </si>
  <si>
    <t>DO NOT USE - UI - Non Instr.</t>
  </si>
  <si>
    <t>Worker's Comp.-Non Instr.</t>
  </si>
  <si>
    <t>100_200100_6600_54110_000</t>
  </si>
  <si>
    <t>Instr. Supp./ Mat.</t>
  </si>
  <si>
    <t>100_200100_6600_54210_000</t>
  </si>
  <si>
    <t>Non-Instr. Supplies/Materia</t>
  </si>
  <si>
    <t>100_200100_6600_54220_000</t>
  </si>
  <si>
    <t>Non-Instr. Books, Mag. &amp; Pe</t>
  </si>
  <si>
    <t>100_200100_6600_54240_000</t>
  </si>
  <si>
    <t>Duplicating-Non Instr</t>
  </si>
  <si>
    <t>100_200100_6600_54250_000</t>
  </si>
  <si>
    <t>Credit Cards</t>
  </si>
  <si>
    <t>100_200100_6600_55115_000</t>
  </si>
  <si>
    <t>Food Services</t>
  </si>
  <si>
    <t>100_200100_6600_55160_000</t>
  </si>
  <si>
    <t>Contracted Services</t>
  </si>
  <si>
    <t>100_200100_6600_55205_000</t>
  </si>
  <si>
    <t>Travel, Conference- Other Intl</t>
  </si>
  <si>
    <t>100_200100_6600_55400_000</t>
  </si>
  <si>
    <t>Advertising</t>
  </si>
  <si>
    <t>100_200100_6600_55510_000</t>
  </si>
  <si>
    <t>Equipment Maint. &amp; Repair</t>
  </si>
  <si>
    <t>100_200100_6600_55910_000</t>
  </si>
  <si>
    <t>Dues, Memberships &amp; Fees</t>
  </si>
  <si>
    <t>100_200100_6600_56440_000</t>
  </si>
  <si>
    <t>Equipment B</t>
  </si>
  <si>
    <t>100_200500_6600_52310_000</t>
  </si>
  <si>
    <t>Research &amp; Planning</t>
  </si>
  <si>
    <t>100_200500_6600_52350_000</t>
  </si>
  <si>
    <t>100_200500_6600_54210_000</t>
  </si>
  <si>
    <t>100_200500_6600_54240_000</t>
  </si>
  <si>
    <t>100_200500_6600_55160_000</t>
  </si>
  <si>
    <t>100_200500_6600_55205_000</t>
  </si>
  <si>
    <t>100_200500_6600_55240_000</t>
  </si>
  <si>
    <t>Mileage</t>
  </si>
  <si>
    <t>100_200500_6600_55910_000</t>
  </si>
  <si>
    <t>100_200500_6600_56400_000</t>
  </si>
  <si>
    <t>Equipment</t>
  </si>
  <si>
    <t>Class OT Salary</t>
  </si>
  <si>
    <t>Leases</t>
  </si>
  <si>
    <t>100_200700_6090_51227_819</t>
  </si>
  <si>
    <t>Accreditation/Program Rev</t>
  </si>
  <si>
    <t>Other Reassigned Time</t>
  </si>
  <si>
    <t>100_200700_6090_51450_000</t>
  </si>
  <si>
    <t>PT Fac. Non Teach Stipends</t>
  </si>
  <si>
    <t>100_200700_6090_51450_819</t>
  </si>
  <si>
    <t>100_200700_6090_53120_819</t>
  </si>
  <si>
    <t>100_200700_6090_53323_819</t>
  </si>
  <si>
    <t>100_200700_6090_53520_819</t>
  </si>
  <si>
    <t>100_200700_6090_53620_819</t>
  </si>
  <si>
    <t>100_200700_6090_54210_819</t>
  </si>
  <si>
    <t>100_200700_6090_55120_000</t>
  </si>
  <si>
    <t>Professional Services</t>
  </si>
  <si>
    <t>100_200700_6090_55120_819</t>
  </si>
  <si>
    <t>100_200700_6090_55910_000</t>
  </si>
  <si>
    <t>100_200700_6090_55910_819</t>
  </si>
  <si>
    <t>100_200999_0000_54999_000</t>
  </si>
  <si>
    <t>Contingency Fund</t>
  </si>
  <si>
    <t>Suspense</t>
  </si>
  <si>
    <t>100_200999_0000_55999_000</t>
  </si>
  <si>
    <t>Budget Carryover</t>
  </si>
  <si>
    <t>Marketing &amp; Communication</t>
  </si>
  <si>
    <t>Marketing and Communications</t>
  </si>
  <si>
    <t>100_201000_6700_55400_000</t>
  </si>
  <si>
    <t>100_201000_6700_56400_000</t>
  </si>
  <si>
    <t>100_201000_6770_51450_819</t>
  </si>
  <si>
    <t>100_201000_6770_52310_000</t>
  </si>
  <si>
    <t>100_201000_6770_52320_000</t>
  </si>
  <si>
    <t>100_201000_6770_52325_000</t>
  </si>
  <si>
    <t>Hrly Class. Replacements</t>
  </si>
  <si>
    <t>100_201000_6770_52350_000</t>
  </si>
  <si>
    <t>100_201000_6770_53340_819</t>
  </si>
  <si>
    <t>100_201000_6770_53350_819</t>
  </si>
  <si>
    <t>Apple Plan-Instr - Do not use</t>
  </si>
  <si>
    <t>100_201000_6770_53530_819</t>
  </si>
  <si>
    <t>100_201000_6770_53620_819</t>
  </si>
  <si>
    <t>100_201000_6770_54210_000</t>
  </si>
  <si>
    <t>100_201000_6770_54250_000</t>
  </si>
  <si>
    <t>100_201000_6770_54270_000</t>
  </si>
  <si>
    <t>Non-Instr. Supp. B</t>
  </si>
  <si>
    <t>100_201000_6770_55205_000</t>
  </si>
  <si>
    <t>100_201000_6770_55240_000</t>
  </si>
  <si>
    <t>100_201000_6770_55300_000</t>
  </si>
  <si>
    <t>Printing</t>
  </si>
  <si>
    <t>100_201000_6770_55300_819</t>
  </si>
  <si>
    <t>100_201000_6770_55400_000</t>
  </si>
  <si>
    <t>100_201000_6770_55400_819</t>
  </si>
  <si>
    <t>100_201000_6770_55920_819</t>
  </si>
  <si>
    <t>Postage</t>
  </si>
  <si>
    <t>100_201000_6770_55921_819</t>
  </si>
  <si>
    <t>Shipping Charges</t>
  </si>
  <si>
    <t>100_201000_6770_56400_000</t>
  </si>
  <si>
    <t>Graphics Services</t>
  </si>
  <si>
    <t>100_201100_6770_54210_000</t>
  </si>
  <si>
    <t>Academic Senate</t>
  </si>
  <si>
    <t>100_204000_6010_52325_000</t>
  </si>
  <si>
    <t>100_204000_6010_52350_000</t>
  </si>
  <si>
    <t>100_204000_6030_51450_000</t>
  </si>
  <si>
    <t>100_204000_6030_54210_000</t>
  </si>
  <si>
    <t>100_204000_6030_54240_000</t>
  </si>
  <si>
    <t>100_204000_6030_55200_000</t>
  </si>
  <si>
    <t>Travel, Conference</t>
  </si>
  <si>
    <t>100_204000_6030_55240_000</t>
  </si>
  <si>
    <t>100_204000_6030_55300_000</t>
  </si>
  <si>
    <t>100_204000_6030_55910_000</t>
  </si>
  <si>
    <t>100_205000_6600_54210_000</t>
  </si>
  <si>
    <t>Classified Senate</t>
  </si>
  <si>
    <t>100_205000_6600_55115_000</t>
  </si>
  <si>
    <t>100_205000_6600_55205_000</t>
  </si>
  <si>
    <t>100_205000_6600_55240_000</t>
  </si>
  <si>
    <t>100_206000_6750_51450_000</t>
  </si>
  <si>
    <t>College Staff Development</t>
  </si>
  <si>
    <t>Staff Development</t>
  </si>
  <si>
    <t>100_206000_6750_54210_000</t>
  </si>
  <si>
    <t>100_206000_6750_54240_000</t>
  </si>
  <si>
    <t>100_206000_6750_55115_000</t>
  </si>
  <si>
    <t>100_206000_6750_55160_000</t>
  </si>
  <si>
    <t>100_206000_6750_55205_000</t>
  </si>
  <si>
    <t>100_206200_6750_54210_819</t>
  </si>
  <si>
    <t>100_206200_6750_55115_819</t>
  </si>
  <si>
    <t>100_206200_6750_55200_819</t>
  </si>
  <si>
    <t>100_206300_6750_52310_819</t>
  </si>
  <si>
    <t>MC-Classified Senate</t>
  </si>
  <si>
    <t>100_206300_6750_54210_819</t>
  </si>
  <si>
    <t>100_206300_6750_55115_819</t>
  </si>
  <si>
    <t>100_206300_6750_55205_819</t>
  </si>
  <si>
    <t>MC Summer School</t>
  </si>
  <si>
    <t>PT Fac. Counselors</t>
  </si>
  <si>
    <t>VP Admin Services - Summer</t>
  </si>
  <si>
    <t>100_214000_2200_52310_000</t>
  </si>
  <si>
    <t>100_214000_2200_54110_000</t>
  </si>
  <si>
    <t>100_216000_2200_54110_000</t>
  </si>
  <si>
    <t>College Wide Adm Services</t>
  </si>
  <si>
    <t>VP Admin Services</t>
  </si>
  <si>
    <t>100_216000_6700_54210_000</t>
  </si>
  <si>
    <t>100_216000_6700_55160_000</t>
  </si>
  <si>
    <t>100_216000_6700_55205_000</t>
  </si>
  <si>
    <t>100_216000_6700_56400_000</t>
  </si>
  <si>
    <t>100_217000_6700_54210_000</t>
  </si>
  <si>
    <t>Ergonomic Fund</t>
  </si>
  <si>
    <t>VP Admin Service</t>
  </si>
  <si>
    <t>100_220000_6010_51221_818</t>
  </si>
  <si>
    <t>VP Administration</t>
  </si>
  <si>
    <t>Shared Gov Reassigned Time</t>
  </si>
  <si>
    <t>100_220000_6010_52320_000</t>
  </si>
  <si>
    <t>100_220000_6010_54210_000</t>
  </si>
  <si>
    <t>100_220000_6010_54240_000</t>
  </si>
  <si>
    <t>100_220000_6010_54250_000</t>
  </si>
  <si>
    <t>100_220000_6010_55160_819</t>
  </si>
  <si>
    <t>100_220000_6010_55205_000</t>
  </si>
  <si>
    <t>100_220000_6010_55240_000</t>
  </si>
  <si>
    <t>100_220000_6120_55510_819</t>
  </si>
  <si>
    <t>100_220000_6440_55940_819</t>
  </si>
  <si>
    <t>Insurance</t>
  </si>
  <si>
    <t>100_220000_6600_52320_000</t>
  </si>
  <si>
    <t>100_220000_6720_52320_000</t>
  </si>
  <si>
    <t>100_220000_6770_51450_819</t>
  </si>
  <si>
    <t>100_220000_6770_53120_819</t>
  </si>
  <si>
    <t>100_220000_6770_53314_819</t>
  </si>
  <si>
    <t>Apple Plan - Instr</t>
  </si>
  <si>
    <t>100_220000_6770_53323_819</t>
  </si>
  <si>
    <t>100_220000_6770_53340_819</t>
  </si>
  <si>
    <t>100_220000_6770_53350_819</t>
  </si>
  <si>
    <t>100_220000_6770_53520_819</t>
  </si>
  <si>
    <t>100_220000_6770_53530_819</t>
  </si>
  <si>
    <t>100_220000_6770_53620_819</t>
  </si>
  <si>
    <t>100_220000_7900_55100_000</t>
  </si>
  <si>
    <t>Temp. Agency Staff Svcs.</t>
  </si>
  <si>
    <t>100_220001_6600_57300_819</t>
  </si>
  <si>
    <t>MC Categorical MOE</t>
  </si>
  <si>
    <t>Transfers Out</t>
  </si>
  <si>
    <t>100_220001_7310_57300_819</t>
  </si>
  <si>
    <t>100_220002_6600_57300_819</t>
  </si>
  <si>
    <t>MC Financial Aid Match</t>
  </si>
  <si>
    <t>100_220002_7310_57300_819</t>
  </si>
  <si>
    <t>100_220003_6750_55500_819</t>
  </si>
  <si>
    <t>MC Claris Class TRACKS</t>
  </si>
  <si>
    <t>Soft. Lic./Soft. Purch.</t>
  </si>
  <si>
    <t>100_220004_6150_55500_819</t>
  </si>
  <si>
    <t>MC SARS</t>
  </si>
  <si>
    <t>100_220004_6750_55500_819</t>
  </si>
  <si>
    <t>100_220005_6150_55500_819</t>
  </si>
  <si>
    <t>MC Angel</t>
  </si>
  <si>
    <t>100_220006_6150_55500_819</t>
  </si>
  <si>
    <t>MC CCCApply</t>
  </si>
  <si>
    <t>100_220007_6010_55500_819</t>
  </si>
  <si>
    <t>Astra/LaserFiche/FormFusion</t>
  </si>
  <si>
    <t>Duplicating Ctr-Chargebac</t>
  </si>
  <si>
    <t>100_220300_6500_52325_000</t>
  </si>
  <si>
    <t>100_220300_6770_55510_000</t>
  </si>
  <si>
    <t>100_220300_6770_55520_000</t>
  </si>
  <si>
    <t>100_220300_6770_56400_000</t>
  </si>
  <si>
    <t>Ground Site Improvement</t>
  </si>
  <si>
    <t>100_220650_6500_54210_000</t>
  </si>
  <si>
    <t>Safety Facility Committee</t>
  </si>
  <si>
    <t>100_220650_6500_55160_000</t>
  </si>
  <si>
    <t>MC - Collegewide</t>
  </si>
  <si>
    <t>100_220900_0800_52310_000</t>
  </si>
  <si>
    <t>100_220900_0800_54150_000</t>
  </si>
  <si>
    <t>Other</t>
  </si>
  <si>
    <t>100_220900_0800_54250_000</t>
  </si>
  <si>
    <t>100_220900_0800_55510_000</t>
  </si>
  <si>
    <t>100_220900_0800_55901_000</t>
  </si>
  <si>
    <t>Other-A</t>
  </si>
  <si>
    <t>100_220900_0800_55910_000</t>
  </si>
  <si>
    <t>100_220900_0800_56430_000</t>
  </si>
  <si>
    <t>Equipment A</t>
  </si>
  <si>
    <t>PT Faculty, Teaching</t>
  </si>
  <si>
    <t>100_220900_6010_54240_000</t>
  </si>
  <si>
    <t>100_220900_6010_54290_000</t>
  </si>
  <si>
    <t>Non-Instr. Supp. D</t>
  </si>
  <si>
    <t>100_220900_6490_55160_000</t>
  </si>
  <si>
    <t>100_220900_6490_55160_819</t>
  </si>
  <si>
    <t>100_220900_6500_52310_000</t>
  </si>
  <si>
    <t>100_220900_6500_55115_000</t>
  </si>
  <si>
    <t>100_220900_6500_55160_000</t>
  </si>
  <si>
    <t>100_220900_6500_55510_000</t>
  </si>
  <si>
    <t>100_220900_6500_55810_000</t>
  </si>
  <si>
    <t>Gasoline</t>
  </si>
  <si>
    <t>100_220900_6500_55910_000</t>
  </si>
  <si>
    <t>100_220900_6500_55920_000</t>
  </si>
  <si>
    <t>100_220900_6500_56100_000</t>
  </si>
  <si>
    <t>100_220900_6500_56400_000</t>
  </si>
  <si>
    <t>100_220900_6720_55160_000</t>
  </si>
  <si>
    <t>100_220900_7900_54100_000</t>
  </si>
  <si>
    <t>Instr. Supp./Mat. Umb. Acct</t>
  </si>
  <si>
    <t>100_220900_7900_54210_000</t>
  </si>
  <si>
    <t>100_220900_7900_55160_000</t>
  </si>
  <si>
    <t>100_220910_4900_51310_819</t>
  </si>
  <si>
    <t>Utilities</t>
  </si>
  <si>
    <t>100_220911_0800_54140_000</t>
  </si>
  <si>
    <t>Collegewide - Instruction</t>
  </si>
  <si>
    <t>instructional duplicating</t>
  </si>
  <si>
    <t>100_220911_6010_52310_000</t>
  </si>
  <si>
    <t>100_220911_6010_54210_000</t>
  </si>
  <si>
    <t>100_220911_6010_55160_000</t>
  </si>
  <si>
    <t>100_220911_6010_56400_000</t>
  </si>
  <si>
    <t>100_220912_6010_54210_000</t>
  </si>
  <si>
    <t>Collegewide - Student Service</t>
  </si>
  <si>
    <t>100_220912_6010_54240_000</t>
  </si>
  <si>
    <t>100_220912_6010_56400_000</t>
  </si>
  <si>
    <t>100_220912_6490_54110_000</t>
  </si>
  <si>
    <t>100_220913_6010_52310_000</t>
  </si>
  <si>
    <t>Collegewide - President</t>
  </si>
  <si>
    <t>100_220913_6010_52325_000</t>
  </si>
  <si>
    <t>100_220913_6010_54240_000</t>
  </si>
  <si>
    <t>100_220913_6010_55160_000</t>
  </si>
  <si>
    <t>100_220913_6770_54210_000</t>
  </si>
  <si>
    <t>100_220913_6770_55400_000</t>
  </si>
  <si>
    <t>100_220914_6010_52310_000</t>
  </si>
  <si>
    <t>Collegewide - Admin Service</t>
  </si>
  <si>
    <t>100_220914_6600_51450_000</t>
  </si>
  <si>
    <t>100_220914_6600_54210_000</t>
  </si>
  <si>
    <t>100_220914_6600_55160_000</t>
  </si>
  <si>
    <t>100_221000_6700_51450_000</t>
  </si>
  <si>
    <t>Evening Administration</t>
  </si>
  <si>
    <t>100_221000_6700_52310_000</t>
  </si>
  <si>
    <t>100_221000_6700_52320_000</t>
  </si>
  <si>
    <t>Instructional Progr&amp;Svcs</t>
  </si>
  <si>
    <t>VP, Instruction</t>
  </si>
  <si>
    <t>100_230000_6010_52310_000</t>
  </si>
  <si>
    <t>100_230000_6010_52320_000</t>
  </si>
  <si>
    <t>100_230000_6010_54120_000</t>
  </si>
  <si>
    <t>Instr. Books, Mag. &amp; Period</t>
  </si>
  <si>
    <t>100_230000_6010_54210_000</t>
  </si>
  <si>
    <t>100_230000_6010_54240_000</t>
  </si>
  <si>
    <t>100_230000_6010_54250_000</t>
  </si>
  <si>
    <t>100_230000_6010_55200_000</t>
  </si>
  <si>
    <t>100_230000_6010_55205_000</t>
  </si>
  <si>
    <t>100_230000_6010_55240_000</t>
  </si>
  <si>
    <t>100_230000_6010_55510_000</t>
  </si>
  <si>
    <t>100_230000_6010_55910_000</t>
  </si>
  <si>
    <t>100_230000_6120_55510_819</t>
  </si>
  <si>
    <t>100_230100_6600_54210_000</t>
  </si>
  <si>
    <t>Communication &amp; Production</t>
  </si>
  <si>
    <t>100_230200_6010_54210_000</t>
  </si>
  <si>
    <t>Graphics/Printing</t>
  </si>
  <si>
    <t>100_230200_6010_55240_000</t>
  </si>
  <si>
    <t>100_230200_6010_55300_000</t>
  </si>
  <si>
    <t>100_230200_6010_55510_000</t>
  </si>
  <si>
    <t>100_230200_6010_55910_000</t>
  </si>
  <si>
    <t>100_230200_6010_56400_000</t>
  </si>
  <si>
    <t>100_230200_6130_54210_000</t>
  </si>
  <si>
    <t>100_230500_6010_54210_000</t>
  </si>
  <si>
    <t>Classified Development</t>
  </si>
  <si>
    <t>100_230500_6700_52320_000</t>
  </si>
  <si>
    <t>Instructional-Collegewide</t>
  </si>
  <si>
    <t>100_230800_1500_52310_000</t>
  </si>
  <si>
    <t>100_230800_6010_51450_000</t>
  </si>
  <si>
    <t>100_230800_6010_52310_000</t>
  </si>
  <si>
    <t>100_230800_6010_54110_000</t>
  </si>
  <si>
    <t>100_230800_6010_54210_000</t>
  </si>
  <si>
    <t>100_230800_6010_54240_000</t>
  </si>
  <si>
    <t>100_230800_6010_54270_000</t>
  </si>
  <si>
    <t>100_230800_6010_55125_000</t>
  </si>
  <si>
    <t>Training</t>
  </si>
  <si>
    <t>100_230800_6010_55160_000</t>
  </si>
  <si>
    <t>100_230810_4900_52410_000</t>
  </si>
  <si>
    <t>New Program Initiative-St</t>
  </si>
  <si>
    <t>Hrly Class Instr Aide Sal.</t>
  </si>
  <si>
    <t>100_230810_4900_54110_000</t>
  </si>
  <si>
    <t>100_230810_4900_54210_000</t>
  </si>
  <si>
    <t>100_230810_4900_55510_000</t>
  </si>
  <si>
    <t>100_230810_4900_56400_000</t>
  </si>
  <si>
    <t>Applied Science</t>
  </si>
  <si>
    <t>Applied Science Division</t>
  </si>
  <si>
    <t>100_231000_1000_54210_000</t>
  </si>
  <si>
    <t>100_231000_1200_52310_000</t>
  </si>
  <si>
    <t>100_231000_1200_52410_000</t>
  </si>
  <si>
    <t>100_231000_6010_54210_000</t>
  </si>
  <si>
    <t>100_231000_6010_56400_000</t>
  </si>
  <si>
    <t>Health Occupations</t>
  </si>
  <si>
    <t>100_231100_1200_51450_000</t>
  </si>
  <si>
    <t>100_231100_1200_52310_000</t>
  </si>
  <si>
    <t>100_231100_1200_52325_000</t>
  </si>
  <si>
    <t>100_231100_1200_52450_000</t>
  </si>
  <si>
    <t>Hrly Class Instr Aide Special Services</t>
  </si>
  <si>
    <t>100_231100_1200_54110_000</t>
  </si>
  <si>
    <t>100_231100_1200_54140_000</t>
  </si>
  <si>
    <t>100_231100_1200_54160_000</t>
  </si>
  <si>
    <t>Instructional Supplies A</t>
  </si>
  <si>
    <t>100_231100_1200_55155_000</t>
  </si>
  <si>
    <t>Fingerprinting</t>
  </si>
  <si>
    <t>100_231100_1200_55860_000</t>
  </si>
  <si>
    <t>Housekeeping</t>
  </si>
  <si>
    <t>100_231100_6010_54210_000</t>
  </si>
  <si>
    <t>Fire Science</t>
  </si>
  <si>
    <t>100_231700_2100_54110_000</t>
  </si>
  <si>
    <t>100_231700_2100_54140_000</t>
  </si>
  <si>
    <t>100_231700_2100_54160_000</t>
  </si>
  <si>
    <t>100_231700_6010_54210_000</t>
  </si>
  <si>
    <t>100_232000_6010_54210_000</t>
  </si>
  <si>
    <t>Commercial Service Division</t>
  </si>
  <si>
    <t>Commercial Sevices Division</t>
  </si>
  <si>
    <t>Accounting</t>
  </si>
  <si>
    <t>100_232100_0500_54110_000</t>
  </si>
  <si>
    <t>100_232100_0500_54140_000</t>
  </si>
  <si>
    <t>Comp Appl</t>
  </si>
  <si>
    <t>100_232200_0500_52410_000</t>
  </si>
  <si>
    <t>100_232200_0500_54110_000</t>
  </si>
  <si>
    <t>100_232200_0500_54140_000</t>
  </si>
  <si>
    <t>Management</t>
  </si>
  <si>
    <t>100_232300_0500_54110_000</t>
  </si>
  <si>
    <t>100_232300_0500_54140_000</t>
  </si>
  <si>
    <t>Marketing</t>
  </si>
  <si>
    <t>100_232400_0500_54110_000</t>
  </si>
  <si>
    <t>100_232400_0500_54140_000</t>
  </si>
  <si>
    <t>Hospitality Management</t>
  </si>
  <si>
    <t>PT Faculty Non Teaching</t>
  </si>
  <si>
    <t>100_232600_1300_52410_000</t>
  </si>
  <si>
    <t>100_232600_1300_54110_000</t>
  </si>
  <si>
    <t>100_232600_1300_54140_000</t>
  </si>
  <si>
    <t>100_232600_1300_54240_000</t>
  </si>
  <si>
    <t>100_232600_1300_54250_000</t>
  </si>
  <si>
    <t>100_232600_1300_55160_000</t>
  </si>
  <si>
    <t>100_232600_1300_55510_000</t>
  </si>
  <si>
    <t>Nutritional Science</t>
  </si>
  <si>
    <t>100_232700_1300_54110_000</t>
  </si>
  <si>
    <t>100_232700_1300_54140_000</t>
  </si>
  <si>
    <t>Retail Floristry</t>
  </si>
  <si>
    <t>100_232900_0500_54110_000</t>
  </si>
  <si>
    <t>100_233000_6010_54210_000</t>
  </si>
  <si>
    <t>Communication Division</t>
  </si>
  <si>
    <t>English</t>
  </si>
  <si>
    <t>100_233100_1500_54110_000</t>
  </si>
  <si>
    <t>100_233100_1500_54140_000</t>
  </si>
  <si>
    <t>Reading</t>
  </si>
  <si>
    <t>100_233200_1500_54110_000</t>
  </si>
  <si>
    <t>100_233200_1500_54140_000</t>
  </si>
  <si>
    <t>Speech</t>
  </si>
  <si>
    <t>100_233300_1500_54110_000</t>
  </si>
  <si>
    <t>100_233300_1500_54140_000</t>
  </si>
  <si>
    <t>100_233300_1500_55115_000</t>
  </si>
  <si>
    <t>100_233300_1500_55240_000</t>
  </si>
  <si>
    <t>LATC Learning Ctr</t>
  </si>
  <si>
    <t>FT Lab Faculty Specialist</t>
  </si>
  <si>
    <t>100_233500_4900_52410_000</t>
  </si>
  <si>
    <t>100_233500_6110_52310_000</t>
  </si>
  <si>
    <t>100_233500_6110_52320_000</t>
  </si>
  <si>
    <t>100_233500_6110_52410_000</t>
  </si>
  <si>
    <t>100_233500_6110_54110_000</t>
  </si>
  <si>
    <t>100_233500_6110_54140_000</t>
  </si>
  <si>
    <t>100_233500_6110_54210_000</t>
  </si>
  <si>
    <t>100_233500_6110_55200_000</t>
  </si>
  <si>
    <t xml:space="preserve">Art Model </t>
  </si>
  <si>
    <t>CATA Division</t>
  </si>
  <si>
    <t>100_234100_1000_52410_000</t>
  </si>
  <si>
    <t>100_234100_1000_54110_000</t>
  </si>
  <si>
    <t>100_234100_1000_54140_000</t>
  </si>
  <si>
    <t>100_234100_1000_54160_000</t>
  </si>
  <si>
    <t>100_234100_1000_54170_000</t>
  </si>
  <si>
    <t>Instructional Supplies B</t>
  </si>
  <si>
    <t>100_234100_1000_54180_000</t>
  </si>
  <si>
    <t>Instructional Supplies C</t>
  </si>
  <si>
    <t>100_234100_1000_55110_000</t>
  </si>
  <si>
    <t>Consultants</t>
  </si>
  <si>
    <t>Art Supply Cards</t>
  </si>
  <si>
    <t>100_234110_1000_54110_000</t>
  </si>
  <si>
    <t>Art History/Humanities</t>
  </si>
  <si>
    <t>100_234300_1500_52350_000</t>
  </si>
  <si>
    <t>100_234300_1500_52410_000</t>
  </si>
  <si>
    <t>100_234300_1500_54110_000</t>
  </si>
  <si>
    <t>100_234300_1500_54140_000</t>
  </si>
  <si>
    <t>100_234300_1500_55110_000</t>
  </si>
  <si>
    <t>Foreign Language</t>
  </si>
  <si>
    <t>100_234400_1100_54110_000</t>
  </si>
  <si>
    <t>100_234400_1100_54140_000</t>
  </si>
  <si>
    <t>Graphic Arts</t>
  </si>
  <si>
    <t>100_234500_0900_54110_000</t>
  </si>
  <si>
    <t>100_234500_0900_54140_000</t>
  </si>
  <si>
    <t>Graphic Design</t>
  </si>
  <si>
    <t>100_234600_0900_54110_000</t>
  </si>
  <si>
    <t>100_234600_0900_54140_000</t>
  </si>
  <si>
    <t>Music</t>
  </si>
  <si>
    <t>100_234700_1000_54110_000</t>
  </si>
  <si>
    <t>100_234700_1000_54140_000</t>
  </si>
  <si>
    <t>100_234700_1000_55110_000</t>
  </si>
  <si>
    <t>Physical Ed</t>
  </si>
  <si>
    <t>100_234800_0800_52310_000</t>
  </si>
  <si>
    <t>100_234800_0800_52410_000</t>
  </si>
  <si>
    <t>100_234800_0800_54110_000</t>
  </si>
  <si>
    <t>100_234800_0800_54140_000</t>
  </si>
  <si>
    <t>100_234800_0800_54160_000</t>
  </si>
  <si>
    <t>100_234800_0800_54170_000</t>
  </si>
  <si>
    <t>100_234800_0800_55510_000</t>
  </si>
  <si>
    <t>100_234800_0800_56400_000</t>
  </si>
  <si>
    <t>Global Education</t>
  </si>
  <si>
    <t>100_234900_0800_54140_000</t>
  </si>
  <si>
    <t>100_235000_1500_54110_000</t>
  </si>
  <si>
    <t>ESL Division Account</t>
  </si>
  <si>
    <t>ESL Division</t>
  </si>
  <si>
    <t>100_235000_1500_54140_000</t>
  </si>
  <si>
    <t>100_235000_4900_54110_000</t>
  </si>
  <si>
    <t>100_235000_4900_54140_000</t>
  </si>
  <si>
    <t>100_235000_6010_54210_000</t>
  </si>
  <si>
    <t>100_235000_6010_54240_000</t>
  </si>
  <si>
    <t>ESL</t>
  </si>
  <si>
    <t>100_235100_1500_54110_000</t>
  </si>
  <si>
    <t>100_235100_1500_54140_000</t>
  </si>
  <si>
    <t>100_235100_1500_54160_000</t>
  </si>
  <si>
    <t>100_235100_1500_54170_000</t>
  </si>
  <si>
    <t>100_236000_1700_54210_000</t>
  </si>
  <si>
    <t>Math Division Office</t>
  </si>
  <si>
    <t>Math Division</t>
  </si>
  <si>
    <t>100_236000_6010_54210_000</t>
  </si>
  <si>
    <t>Math</t>
  </si>
  <si>
    <t>100_236100_1700_52310_000</t>
  </si>
  <si>
    <t>100_236100_1700_52410_000</t>
  </si>
  <si>
    <t>100_236100_1700_54110_000</t>
  </si>
  <si>
    <t>100_236100_1700_54140_000</t>
  </si>
  <si>
    <t>100_236100_1700_54160_000</t>
  </si>
  <si>
    <t>100_236100_1700_55910_000</t>
  </si>
  <si>
    <t>100_236100_1700_55980_000</t>
  </si>
  <si>
    <t>Awards</t>
  </si>
  <si>
    <t>100_237000_6010_54210_000</t>
  </si>
  <si>
    <t>Natural Science Division</t>
  </si>
  <si>
    <t>Natural Sciences Division</t>
  </si>
  <si>
    <t>Biological Science</t>
  </si>
  <si>
    <t>100_237100_0400_52410_000</t>
  </si>
  <si>
    <t>100_237100_0400_52425_000</t>
  </si>
  <si>
    <t>Replacement - Instruction</t>
  </si>
  <si>
    <t>100_237100_0400_54110_000</t>
  </si>
  <si>
    <t>100_237100_0400_54140_000</t>
  </si>
  <si>
    <t>100_237100_0400_54240_000</t>
  </si>
  <si>
    <t>Chemistry</t>
  </si>
  <si>
    <t>100_237200_1900_52410_000</t>
  </si>
  <si>
    <t>100_237200_1900_54110_000</t>
  </si>
  <si>
    <t>100_237200_1900_54140_000</t>
  </si>
  <si>
    <t>100_237200_1900_56400_000</t>
  </si>
  <si>
    <t>Physics</t>
  </si>
  <si>
    <t>100_237300_1900_52410_000</t>
  </si>
  <si>
    <t>100_237300_1900_54110_000</t>
  </si>
  <si>
    <t>100_237300_1900_54140_000</t>
  </si>
  <si>
    <t xml:space="preserve">Engineering </t>
  </si>
  <si>
    <t>100_237700_0900_54110_000</t>
  </si>
  <si>
    <t>100_237700_0900_54140_000</t>
  </si>
  <si>
    <t>100_238000_2000_54140_000</t>
  </si>
  <si>
    <t>Soc Science Division Acco</t>
  </si>
  <si>
    <t>Social Science Division</t>
  </si>
  <si>
    <t>100_238000_2200_54110_000</t>
  </si>
  <si>
    <t>100_238000_2200_54140_000</t>
  </si>
  <si>
    <t>Anthropology</t>
  </si>
  <si>
    <t>100_238100_2200_54110_000</t>
  </si>
  <si>
    <t>100_238100_2200_54140_000</t>
  </si>
  <si>
    <t>Economics</t>
  </si>
  <si>
    <t>100_238200_2200_54110_000</t>
  </si>
  <si>
    <t>100_238200_2200_54140_000</t>
  </si>
  <si>
    <t>History</t>
  </si>
  <si>
    <t>100_238300_2200_54110_000</t>
  </si>
  <si>
    <t>100_238300_2200_54140_000</t>
  </si>
  <si>
    <t>Philosophy</t>
  </si>
  <si>
    <t>100_238400_1500_54110_000</t>
  </si>
  <si>
    <t>100_238400_1500_54140_000</t>
  </si>
  <si>
    <t>Political Science</t>
  </si>
  <si>
    <t>100_238500_2200_54110_000</t>
  </si>
  <si>
    <t>100_238500_2200_54140_000</t>
  </si>
  <si>
    <t>Psychology</t>
  </si>
  <si>
    <t>100_238600_2000_54110_000</t>
  </si>
  <si>
    <t>100_238600_2000_54140_000</t>
  </si>
  <si>
    <t>100_238600_2200_54110_000</t>
  </si>
  <si>
    <t>Sociology</t>
  </si>
  <si>
    <t>100_238700_2200_54110_000</t>
  </si>
  <si>
    <t>100_238700_2200_54140_000</t>
  </si>
  <si>
    <t>Counseling-Teaching</t>
  </si>
  <si>
    <t>Student Service Division</t>
  </si>
  <si>
    <t>100_239100_0800_54110_000</t>
  </si>
  <si>
    <t>100_239100_0800_54140_000</t>
  </si>
  <si>
    <t>100_240000_6010_54210_000</t>
  </si>
  <si>
    <t>Technology Div A/C</t>
  </si>
  <si>
    <t>Technology Division</t>
  </si>
  <si>
    <t>Computer/Elect. Tech (CET)</t>
  </si>
  <si>
    <t>100_240100_6190_52320_000</t>
  </si>
  <si>
    <t>Computer Info. Technology</t>
  </si>
  <si>
    <t>100_240101_0900_54110_000</t>
  </si>
  <si>
    <t>100_240101_0900_54140_000</t>
  </si>
  <si>
    <t>Computer Info Cont Ed</t>
  </si>
  <si>
    <t>100_240200_0700_54110_000</t>
  </si>
  <si>
    <t>100_240200_0700_54140_000</t>
  </si>
  <si>
    <t>Drafting Technology</t>
  </si>
  <si>
    <t>100_240300_0900_54110_000</t>
  </si>
  <si>
    <t>100_240300_0900_54140_000</t>
  </si>
  <si>
    <t>Manufacturing</t>
  </si>
  <si>
    <t>100_240400_0900_54110_000</t>
  </si>
  <si>
    <t>100_240400_0900_54140_000</t>
  </si>
  <si>
    <t>Real Estate</t>
  </si>
  <si>
    <t>100_240600_0500_54110_000</t>
  </si>
  <si>
    <t>100_240600_0500_54140_000</t>
  </si>
  <si>
    <t>Business</t>
  </si>
  <si>
    <t>100_240700_0500_54140_000</t>
  </si>
  <si>
    <t>Student Scvs/Student Acti</t>
  </si>
  <si>
    <t>VP, Student Services</t>
  </si>
  <si>
    <t>100_250000_6480_52310_000</t>
  </si>
  <si>
    <t>100_250000_6480_54210_000</t>
  </si>
  <si>
    <t>100_250000_6480_54240_000</t>
  </si>
  <si>
    <t>100_250000_6480_54250_000</t>
  </si>
  <si>
    <t>100_250000_6480_55205_000</t>
  </si>
  <si>
    <t>100_250000_6480_55240_000</t>
  </si>
  <si>
    <t>Student Recruitment</t>
  </si>
  <si>
    <t>100_250010_6400_52350_000</t>
  </si>
  <si>
    <t>100_250100_6470_54210_000</t>
  </si>
  <si>
    <t>Career Center</t>
  </si>
  <si>
    <t>100_250100_6470_54240_000</t>
  </si>
  <si>
    <t>100_250200_6300_52310_000</t>
  </si>
  <si>
    <t>Transfer Center</t>
  </si>
  <si>
    <t>100_250200_6300_54210_000</t>
  </si>
  <si>
    <t>100_250200_6300_54240_000</t>
  </si>
  <si>
    <t>100_250200_6300_55200_000</t>
  </si>
  <si>
    <t>100_250200_6300_56400_000</t>
  </si>
  <si>
    <t>100_250400_6400_52310_000</t>
  </si>
  <si>
    <t>Graduation</t>
  </si>
  <si>
    <t>100_250400_6400_52320_000</t>
  </si>
  <si>
    <t>100_250400_6400_52350_000</t>
  </si>
  <si>
    <t>100_250400_6400_54210_000</t>
  </si>
  <si>
    <t>100_250400_6400_54240_000</t>
  </si>
  <si>
    <t>100_250400_6400_55600_000</t>
  </si>
  <si>
    <t>Facilities Rental</t>
  </si>
  <si>
    <t>100_250400_6400_55980_000</t>
  </si>
  <si>
    <t>100_250500_6450_54210_000</t>
  </si>
  <si>
    <t>Outreach Recruitment</t>
  </si>
  <si>
    <t>100_250500_6450_54240_000</t>
  </si>
  <si>
    <t>100_250500_6450_55115_000</t>
  </si>
  <si>
    <t>100_250500_6450_55200_000</t>
  </si>
  <si>
    <t>100_250500_6450_56416_000</t>
  </si>
  <si>
    <t>Non-Intr. Computer Equip.</t>
  </si>
  <si>
    <t>A &amp; R</t>
  </si>
  <si>
    <t>Director, Admissions &amp; Records</t>
  </si>
  <si>
    <t>100_251000_6200_52310_000</t>
  </si>
  <si>
    <t>100_251000_6200_52320_000</t>
  </si>
  <si>
    <t>100_251000_6200_52350_000</t>
  </si>
  <si>
    <t>100_251000_6200_54210_000</t>
  </si>
  <si>
    <t>100_251000_6200_54240_000</t>
  </si>
  <si>
    <t>100_251000_6200_54260_000</t>
  </si>
  <si>
    <t>Non-Instr. Supp. A</t>
  </si>
  <si>
    <t>100_251000_6200_55160_000</t>
  </si>
  <si>
    <t>100_251000_6200_55205_000</t>
  </si>
  <si>
    <t>100_251000_6200_55300_000</t>
  </si>
  <si>
    <t>100_251000_6200_55510_000</t>
  </si>
  <si>
    <t>Counselors</t>
  </si>
  <si>
    <t>Counseling</t>
  </si>
  <si>
    <t>100_252000_6300_51410_000</t>
  </si>
  <si>
    <t>100_252000_6300_52310_000</t>
  </si>
  <si>
    <t>100_252000_6300_52320_000</t>
  </si>
  <si>
    <t>100_252000_6300_52350_000</t>
  </si>
  <si>
    <t>100_252000_6300_54180_000</t>
  </si>
  <si>
    <t>100_252000_6300_54210_000</t>
  </si>
  <si>
    <t>100_252000_6300_54240_000</t>
  </si>
  <si>
    <t>100_252000_6400_51410_000</t>
  </si>
  <si>
    <t>100_252100_6300_51410_000</t>
  </si>
  <si>
    <t>PIF I Highschool Relation</t>
  </si>
  <si>
    <t>E.O.P.S.</t>
  </si>
  <si>
    <t>EOPS</t>
  </si>
  <si>
    <t>100_253000_6430_51410_000</t>
  </si>
  <si>
    <t>100_253000_6430_52350_000</t>
  </si>
  <si>
    <t>100_253000_6430_55115_000</t>
  </si>
  <si>
    <t>100_253000_6430_55160_000</t>
  </si>
  <si>
    <t>Athletics</t>
  </si>
  <si>
    <t>100_256000_0800_54110_000</t>
  </si>
  <si>
    <t>100_256000_6960_51450_000</t>
  </si>
  <si>
    <t>100_256000_6960_52320_000</t>
  </si>
  <si>
    <t>100_256000_6960_52350_000</t>
  </si>
  <si>
    <t>100_256000_6960_54110_000</t>
  </si>
  <si>
    <t>100_256000_6960_54210_000</t>
  </si>
  <si>
    <t>100_256000_6960_54240_000</t>
  </si>
  <si>
    <t>100_256000_6960_54250_000</t>
  </si>
  <si>
    <t>100_256000_6960_55160_000</t>
  </si>
  <si>
    <t>100_256000_6960_55200_000</t>
  </si>
  <si>
    <t>100_256000_6960_55230_000</t>
  </si>
  <si>
    <t>Team/Student Travel</t>
  </si>
  <si>
    <t>100_256000_6960_55510_000</t>
  </si>
  <si>
    <t>100_256000_6960_55910_000</t>
  </si>
  <si>
    <t>100_256000_6960_56400_000</t>
  </si>
  <si>
    <t>100_257000_6820_52320_000</t>
  </si>
  <si>
    <t>MC Student Center</t>
  </si>
  <si>
    <t>Director, Student Center</t>
  </si>
  <si>
    <t>100_257000_6820_54110_000</t>
  </si>
  <si>
    <t>100_257000_6820_54210_000</t>
  </si>
  <si>
    <t>100_257000_6820_55200_000</t>
  </si>
  <si>
    <t>Learning Effect-Handicap</t>
  </si>
  <si>
    <t>DSPS</t>
  </si>
  <si>
    <t>100_259000_6420_52410_000</t>
  </si>
  <si>
    <t>100_259000_6420_54230_000</t>
  </si>
  <si>
    <t>Non-Instr. Computer Supp.</t>
  </si>
  <si>
    <t>100_260000_0800_51310_000</t>
  </si>
  <si>
    <t>Com. Serv.</t>
  </si>
  <si>
    <t>Dean, Community Ed</t>
  </si>
  <si>
    <t>100_260000_0800_54110_000</t>
  </si>
  <si>
    <t>100_260000_0800_54140_000</t>
  </si>
  <si>
    <t>100_260000_1000_51310_000</t>
  </si>
  <si>
    <t>100_260000_1200_51310_000</t>
  </si>
  <si>
    <t>100_260000_6820_51430_000</t>
  </si>
  <si>
    <t>100_260000_6820_51450_000</t>
  </si>
  <si>
    <t>100_260000_6820_54140_000</t>
  </si>
  <si>
    <t>100_260000_6820_54210_000</t>
  </si>
  <si>
    <t>100_260000_6820_54240_000</t>
  </si>
  <si>
    <t>100_260000_6820_55160_000</t>
  </si>
  <si>
    <t>100_260000_6820_56400_000</t>
  </si>
  <si>
    <t>Instructional Services Of</t>
  </si>
  <si>
    <t>Dean, IT &amp; Distance Learning</t>
  </si>
  <si>
    <t>100_270000_6010_54210_000</t>
  </si>
  <si>
    <t>100_270000_6010_54250_000</t>
  </si>
  <si>
    <t>100_270000_6010_55205_000</t>
  </si>
  <si>
    <t>100_270000_6010_55240_000</t>
  </si>
  <si>
    <t>AV Services</t>
  </si>
  <si>
    <t>100_270100_6130_54210_000</t>
  </si>
  <si>
    <t>100_270100_6130_54270_000</t>
  </si>
  <si>
    <t>Laboratory Fees</t>
  </si>
  <si>
    <t>100_270200_0700_51115_000</t>
  </si>
  <si>
    <t>100_270200_0700_51450_000</t>
  </si>
  <si>
    <t>100_270200_0700_52310_000</t>
  </si>
  <si>
    <t>100_270200_0700_52410_000</t>
  </si>
  <si>
    <t>100_270200_0700_54110_000</t>
  </si>
  <si>
    <t>100_270200_0700_54130_000</t>
  </si>
  <si>
    <t>Instr. Computer Supp.</t>
  </si>
  <si>
    <t>100_270200_0700_54160_000</t>
  </si>
  <si>
    <t>100_270200_0700_54170_000</t>
  </si>
  <si>
    <t>100_270200_0700_54210_000</t>
  </si>
  <si>
    <t>100_270200_0700_55160_000</t>
  </si>
  <si>
    <t>100_270200_0700_56400_000</t>
  </si>
  <si>
    <t>100_270200_6190_52325_000</t>
  </si>
  <si>
    <t>100_270200_6190_52350_000</t>
  </si>
  <si>
    <t>PT Fac. Librarians</t>
  </si>
  <si>
    <t>Telecommunications/ITFS</t>
  </si>
  <si>
    <t>100_270300_4900_52410_000</t>
  </si>
  <si>
    <t>100_270300_4900_54110_000</t>
  </si>
  <si>
    <t>100_270300_4900_54140_000</t>
  </si>
  <si>
    <t>100_270300_4900_55160_000</t>
  </si>
  <si>
    <t>100_270300_4900_55510_000</t>
  </si>
  <si>
    <t>100_270300_4900_55910_000</t>
  </si>
  <si>
    <t>100_270300_6150_54210_000</t>
  </si>
  <si>
    <t>100_270300_6150_54260_000</t>
  </si>
  <si>
    <t>100_270310_4900_55160_000</t>
  </si>
  <si>
    <t>Distance Learning</t>
  </si>
  <si>
    <t>100_270800_6590_54130_000</t>
  </si>
  <si>
    <t>Instr. Svcs-Collegewide A</t>
  </si>
  <si>
    <t>100_270800_6590_54210_000</t>
  </si>
  <si>
    <t>100_270800_6590_55160_000</t>
  </si>
  <si>
    <t>Learning Resource Ctr Adm</t>
  </si>
  <si>
    <t>Library Services</t>
  </si>
  <si>
    <t>100_271000_6110_51411_000</t>
  </si>
  <si>
    <t>100_271000_6110_54250_000</t>
  </si>
  <si>
    <t>100_271000_6120_51411_000</t>
  </si>
  <si>
    <t>100_271000_6120_52310_000</t>
  </si>
  <si>
    <t>100_271000_6120_54110_000</t>
  </si>
  <si>
    <t>100_271000_6120_54160_000</t>
  </si>
  <si>
    <t>100_271000_6120_54210_000</t>
  </si>
  <si>
    <t>100_271000_6120_54240_000</t>
  </si>
  <si>
    <t>100_271000_6120_54260_000</t>
  </si>
  <si>
    <t>100_271000_6120_55160_000</t>
  </si>
  <si>
    <t>100_271000_6120_55205_000</t>
  </si>
  <si>
    <t>100_271000_6120_55831_000</t>
  </si>
  <si>
    <t>Computer Line Charges</t>
  </si>
  <si>
    <t>100_271000_6120_55910_000</t>
  </si>
  <si>
    <t>100_271000_6120_56300_000</t>
  </si>
  <si>
    <t>Library Books</t>
  </si>
  <si>
    <t>100_280000_6010_54210_000</t>
  </si>
  <si>
    <t>Workforce Econ Dev</t>
  </si>
  <si>
    <t>Dean, Workforce Econ Dev</t>
  </si>
  <si>
    <t>100_280000_6010_55205_000</t>
  </si>
  <si>
    <t>Work Experience</t>
  </si>
  <si>
    <t>100_280400_4900_54140_000</t>
  </si>
  <si>
    <t>100_280400_4900_55240_000</t>
  </si>
  <si>
    <t>Child Development Studies</t>
  </si>
  <si>
    <t>100_280500_1300_54110_000</t>
  </si>
  <si>
    <t>100_280500_1300_54140_000</t>
  </si>
  <si>
    <t>100_283000_6340_52310_000</t>
  </si>
  <si>
    <t>CalWorks</t>
  </si>
  <si>
    <t>Grants</t>
  </si>
  <si>
    <t>100_283100_6340_52310_000</t>
  </si>
  <si>
    <t>MC-Welfare Reform-TANF</t>
  </si>
  <si>
    <t>100_290100_6010_55220_819</t>
  </si>
  <si>
    <t>Fixed Cost-Faculty</t>
  </si>
  <si>
    <t>Prior Yr.Fac. Travel/Conf.</t>
  </si>
  <si>
    <t>Fixed Cost-Faculty Travel</t>
  </si>
  <si>
    <t>100_290100_6600_55210_819</t>
  </si>
  <si>
    <t>Cur. Year Fac. Travel &amp; Con</t>
  </si>
  <si>
    <t>100_290100_6600_55220_819</t>
  </si>
  <si>
    <t>100_290200_6110_55510_819</t>
  </si>
  <si>
    <t>Fixed Cost-Library</t>
  </si>
  <si>
    <t>Account</t>
  </si>
  <si>
    <t>Description</t>
  </si>
  <si>
    <t>Area</t>
  </si>
  <si>
    <t xml:space="preserve">Dept </t>
  </si>
  <si>
    <t>Daniel Peck</t>
  </si>
  <si>
    <t>Laurel Jones</t>
  </si>
  <si>
    <t>Daniel Peck (OOI)</t>
  </si>
  <si>
    <t>Peter Anning</t>
  </si>
  <si>
    <t>Dianne Dorian</t>
  </si>
  <si>
    <t>Sarah Randle</t>
  </si>
  <si>
    <t>Tim Karas</t>
  </si>
  <si>
    <t>Rick Bennett</t>
  </si>
  <si>
    <t>Penny Johnson</t>
  </si>
  <si>
    <t>Danny Nguyen</t>
  </si>
  <si>
    <t>Mina Jahan</t>
  </si>
  <si>
    <t>Dan Sanidad</t>
  </si>
  <si>
    <t>Carolyn Kuri</t>
  </si>
  <si>
    <t>Rita Grogan</t>
  </si>
  <si>
    <t>Mike Perez</t>
  </si>
  <si>
    <t>Laurel Jones (Dean)</t>
  </si>
  <si>
    <t>Rick Bennett (Dean)</t>
  </si>
  <si>
    <t xml:space="preserve">Tim Karas </t>
  </si>
  <si>
    <t>Carolyn Kuri Total</t>
  </si>
  <si>
    <t>Dan Sanidad Total</t>
  </si>
  <si>
    <t>Daniel Peck Total</t>
  </si>
  <si>
    <t>Daniel Peck (OOI) Total</t>
  </si>
  <si>
    <t>Danny Nguyen Total</t>
  </si>
  <si>
    <t>Dianne Dorian Total</t>
  </si>
  <si>
    <t>Laurel Jones Total</t>
  </si>
  <si>
    <t>Laurel Jones (Dean) Total</t>
  </si>
  <si>
    <t>Mike Perez Total</t>
  </si>
  <si>
    <t>Mina Jahan Total</t>
  </si>
  <si>
    <t>Penny Johnson Total</t>
  </si>
  <si>
    <t>Peter Anning Total</t>
  </si>
  <si>
    <t>Rick Bennett Total</t>
  </si>
  <si>
    <t>Rick Bennett (Dean) Total</t>
  </si>
  <si>
    <t>Rita Grogan Total</t>
  </si>
  <si>
    <t>Sarah Randle Total</t>
  </si>
  <si>
    <t>Tim Karas Total</t>
  </si>
  <si>
    <t>Grand Total</t>
  </si>
  <si>
    <t>Actual Spending</t>
  </si>
  <si>
    <t>MET12-208 moved Expense to Fund 597</t>
  </si>
  <si>
    <t>MET12-198 moved Expense to Fund 597</t>
  </si>
  <si>
    <t>FY11/12 Expense moved out to other Fund</t>
  </si>
  <si>
    <t>MET12-234 moved Expense to LandCorp</t>
  </si>
  <si>
    <t>MET12-232 moved Expense to Lottery Supplies</t>
  </si>
  <si>
    <t>MET12-231 moved Expense to Lottery Supplies</t>
  </si>
  <si>
    <t>MET12-228R moved Expense to Fund 597</t>
  </si>
  <si>
    <t>MET12-230 moved Expense to Lottery Supplies</t>
  </si>
  <si>
    <t>MET12-227 moved Expense to Lottery Supplies</t>
  </si>
  <si>
    <t>MET12-221 moved Expense to Lottery Supplies</t>
  </si>
  <si>
    <t>MET12-217 moved Expense to Landcorp</t>
  </si>
  <si>
    <t>MET12-216 moved Expense out to Internet Endownment</t>
  </si>
  <si>
    <t>MET12-207 moved Expense to Lottery Supplies</t>
  </si>
  <si>
    <t>MET12-206 moved Expense to Landcorp</t>
  </si>
  <si>
    <t>MET12-205 moved Expense to Lottery Supplies</t>
  </si>
  <si>
    <t>MET12-204 moved Expense to Lottery supplies</t>
  </si>
  <si>
    <t>MET12-201 moved Expense to Landcorp</t>
  </si>
  <si>
    <t>FY11/12</t>
  </si>
  <si>
    <t>FY10/11</t>
  </si>
  <si>
    <t>FY12/13</t>
  </si>
  <si>
    <t>Actual / Adopted budget</t>
  </si>
  <si>
    <t xml:space="preserve">Balance of Faculty Travel under Fixed Cost can be carried over </t>
  </si>
  <si>
    <t>Actual</t>
  </si>
  <si>
    <t>120_231100_1200_54110_862</t>
  </si>
  <si>
    <t>120_231700_2100_54110_862</t>
  </si>
  <si>
    <t>120_232200_0500_54110_862</t>
  </si>
  <si>
    <t>120_232300_0500_54110_862</t>
  </si>
  <si>
    <t>120_232400_0500_54110_862</t>
  </si>
  <si>
    <t>120_232700_1300_54110_862</t>
  </si>
  <si>
    <t>120_232900_0500_54110_862</t>
  </si>
  <si>
    <t>120_233500_6110_54110_862</t>
  </si>
  <si>
    <t>120_234100_1000_54110_862</t>
  </si>
  <si>
    <t>120_234500_0900_54110_862</t>
  </si>
  <si>
    <t>120_234600_0900_54110_862</t>
  </si>
  <si>
    <t>120_234800_0800_54110_862</t>
  </si>
  <si>
    <t>120_236100_1700_54110_862</t>
  </si>
  <si>
    <t>120_237100_0400_54110_862</t>
  </si>
  <si>
    <t>120_237200_1900_54110_862</t>
  </si>
  <si>
    <t>120_237300_1900_54110_862</t>
  </si>
  <si>
    <t>120_237700_0900_54110_862</t>
  </si>
  <si>
    <t>120_238000_2200_54110_862</t>
  </si>
  <si>
    <t>120_239100_0800_54110_862</t>
  </si>
  <si>
    <t>120_240101_0900_54110_862</t>
  </si>
  <si>
    <t>120_240200_0700_54110_862</t>
  </si>
  <si>
    <t>120_240600_0500_54110_862</t>
  </si>
  <si>
    <t>120_260000_0800_54110_862</t>
  </si>
  <si>
    <t>120_270200_0700_54110_862</t>
  </si>
  <si>
    <t>120_270300_4900_54110_862</t>
  </si>
  <si>
    <t>120_270800_6590_54110_862</t>
  </si>
  <si>
    <t>120_271000_6120_54110_862</t>
  </si>
  <si>
    <t>Laurel (Dean)</t>
  </si>
  <si>
    <t>Remark (Budget Change)</t>
  </si>
  <si>
    <t>FY 13/14</t>
  </si>
  <si>
    <t xml:space="preserve">Budget Change Validation </t>
  </si>
  <si>
    <t>move to Lottery account</t>
  </si>
  <si>
    <t>120-239100-0800-54110-862</t>
  </si>
  <si>
    <t>confirm later</t>
  </si>
  <si>
    <t>not valid</t>
  </si>
  <si>
    <t xml:space="preserve">move the expense out to Puente budget </t>
  </si>
  <si>
    <t>Mina's</t>
  </si>
  <si>
    <t>Mike Fee's area</t>
  </si>
  <si>
    <t>Mike Fee's area for AV</t>
  </si>
  <si>
    <t>Robert Guest's area (Tech Maintenace)</t>
  </si>
  <si>
    <t>Robert &amp; Greg's area (TAV)</t>
  </si>
  <si>
    <t>Mina's District Learning</t>
  </si>
  <si>
    <t>Mina's BTS</t>
  </si>
  <si>
    <t>AV</t>
  </si>
  <si>
    <t>Tech Maintenance</t>
  </si>
  <si>
    <t>TAV</t>
  </si>
  <si>
    <t>should change costcenter</t>
  </si>
  <si>
    <t>dept discoontinous, add to 240700</t>
  </si>
  <si>
    <t xml:space="preserve">discontinous </t>
  </si>
  <si>
    <t>120-240700-0500-54110-862</t>
  </si>
  <si>
    <t xml:space="preserve"> + Marketing +Business</t>
  </si>
  <si>
    <t>no change</t>
  </si>
  <si>
    <t>Move to Lottery Fund</t>
  </si>
  <si>
    <t>Move to Lottery Fund??</t>
  </si>
  <si>
    <t>same</t>
  </si>
  <si>
    <t>$300  Give up?  Move to other?</t>
  </si>
  <si>
    <t>Give up?  Or move to other?</t>
  </si>
  <si>
    <t>add $1000?</t>
  </si>
  <si>
    <t>Add $2120?</t>
  </si>
  <si>
    <t>How you want this budget?</t>
  </si>
  <si>
    <t>Diff $275</t>
  </si>
  <si>
    <t>Library tentative FY13/14</t>
  </si>
  <si>
    <t>Library Lottery</t>
  </si>
  <si>
    <t>Fund 100</t>
  </si>
  <si>
    <t>Fund 120</t>
  </si>
  <si>
    <t>Liberal Art</t>
  </si>
  <si>
    <t>Lottery</t>
  </si>
  <si>
    <t>Dean of Technology</t>
  </si>
  <si>
    <t>DO YOU NEED MORE?</t>
  </si>
  <si>
    <t>100_220650_6500_55511_000</t>
  </si>
  <si>
    <t>FingerPrinting</t>
  </si>
  <si>
    <t>Add $2000</t>
  </si>
  <si>
    <t>Do you need any budget?</t>
  </si>
  <si>
    <t>Keep the same?</t>
  </si>
  <si>
    <t>increase to $10K?</t>
  </si>
  <si>
    <t>can reduce to $30K?</t>
  </si>
  <si>
    <t>Reduce to $8K?</t>
  </si>
  <si>
    <t>No need to budget?</t>
  </si>
  <si>
    <t>It's Lottery Supplies saving'</t>
  </si>
  <si>
    <t>Small project</t>
  </si>
  <si>
    <t>$30K</t>
  </si>
  <si>
    <t>$100K</t>
  </si>
  <si>
    <t>DSPS/DISC</t>
  </si>
  <si>
    <t>DHH Services</t>
  </si>
  <si>
    <t>Extra</t>
  </si>
  <si>
    <t>Move to Lottery Supplies</t>
  </si>
  <si>
    <t>Do you want to combine all into one costcenter?</t>
  </si>
  <si>
    <t>Dean's budget</t>
  </si>
  <si>
    <t>Saving from Lottery fund</t>
  </si>
  <si>
    <t>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</si>
</sst>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8"/>
      <color theme="1"/>
      <name val="Tahoma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Tahoma"/>
      <family val="2"/>
    </font>
    <font>
      <b/>
      <sz val="8"/>
      <color theme="1"/>
      <name val="Cambria"/>
      <family val="1"/>
    </font>
    <font>
      <b/>
      <sz val="10"/>
      <color theme="1"/>
      <name val="Cambria"/>
      <family val="1"/>
    </font>
    <font>
      <b/>
      <sz val="8"/>
      <color theme="1"/>
      <name val="Tahoma"/>
      <family val="2"/>
    </font>
    <font>
      <sz val="8"/>
      <color theme="1"/>
      <name val="Cambria"/>
      <family val="1"/>
    </font>
    <font>
      <b/>
      <sz val="8"/>
      <name val="Arial"/>
      <family val="2"/>
    </font>
    <font>
      <sz val="8"/>
      <name val="Arial"/>
      <family val="2"/>
    </font>
    <font>
      <sz val="8"/>
      <name val="Cambria"/>
      <family val="1"/>
    </font>
    <font>
      <sz val="9"/>
      <color theme="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rgb="FFCFCFCF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</cellStyleXfs>
  <cellXfs count="671">
    <xf numFmtId="0" fontId="0" fillId="0" borderId="0" xfId="0"/>
    <xf numFmtId="0" fontId="0" fillId="0" borderId="0" xfId="0" applyBorder="1"/>
    <xf numFmtId="164" fontId="4" fillId="0" borderId="0" xfId="1" applyNumberFormat="1" applyFont="1" applyBorder="1"/>
    <xf numFmtId="0" fontId="3" fillId="0" borderId="0" xfId="0" applyFont="1" applyFill="1" applyBorder="1" applyAlignment="1">
      <alignment vertical="top"/>
    </xf>
    <xf numFmtId="164" fontId="4" fillId="0" borderId="0" xfId="1" applyNumberFormat="1" applyFont="1" applyFill="1" applyBorder="1"/>
    <xf numFmtId="164" fontId="4" fillId="0" borderId="0" xfId="1" applyNumberFormat="1" applyFont="1" applyFill="1" applyBorder="1" applyAlignment="1">
      <alignment horizontal="right" vertical="top"/>
    </xf>
    <xf numFmtId="0" fontId="0" fillId="0" borderId="0" xfId="0" applyFill="1" applyBorder="1"/>
    <xf numFmtId="0" fontId="6" fillId="0" borderId="0" xfId="0" applyFont="1" applyFill="1" applyBorder="1"/>
    <xf numFmtId="38" fontId="7" fillId="0" borderId="0" xfId="1" applyNumberFormat="1" applyFont="1" applyBorder="1"/>
    <xf numFmtId="164" fontId="5" fillId="4" borderId="1" xfId="1" applyNumberFormat="1" applyFont="1" applyFill="1" applyBorder="1" applyAlignment="1">
      <alignment horizontal="right" vertical="top"/>
    </xf>
    <xf numFmtId="164" fontId="5" fillId="4" borderId="1" xfId="1" applyNumberFormat="1" applyFont="1" applyFill="1" applyBorder="1"/>
    <xf numFmtId="164" fontId="4" fillId="0" borderId="2" xfId="1" applyNumberFormat="1" applyFont="1" applyBorder="1"/>
    <xf numFmtId="0" fontId="9" fillId="0" borderId="0" xfId="0" applyFont="1" applyFill="1" applyBorder="1" applyAlignment="1">
      <alignment vertical="top"/>
    </xf>
    <xf numFmtId="9" fontId="4" fillId="0" borderId="0" xfId="2" applyFont="1" applyFill="1" applyBorder="1" applyAlignment="1">
      <alignment horizontal="right" vertical="top"/>
    </xf>
    <xf numFmtId="9" fontId="4" fillId="0" borderId="0" xfId="2" applyFont="1" applyFill="1" applyBorder="1"/>
    <xf numFmtId="9" fontId="4" fillId="0" borderId="0" xfId="2" applyFont="1" applyBorder="1"/>
    <xf numFmtId="9" fontId="5" fillId="4" borderId="1" xfId="2" applyFont="1" applyFill="1" applyBorder="1" applyAlignment="1">
      <alignment horizontal="right" vertical="top"/>
    </xf>
    <xf numFmtId="0" fontId="5" fillId="0" borderId="0" xfId="0" applyFont="1" applyFill="1" applyBorder="1"/>
    <xf numFmtId="4" fontId="3" fillId="0" borderId="0" xfId="0" applyNumberFormat="1" applyFont="1" applyFill="1" applyBorder="1" applyAlignment="1">
      <alignment horizontal="right" vertical="top"/>
    </xf>
    <xf numFmtId="0" fontId="3" fillId="0" borderId="0" xfId="0" applyFont="1"/>
    <xf numFmtId="0" fontId="0" fillId="0" borderId="0" xfId="0"/>
    <xf numFmtId="4" fontId="3" fillId="0" borderId="4" xfId="0" applyNumberFormat="1" applyFont="1" applyFill="1" applyBorder="1" applyAlignment="1">
      <alignment horizontal="right" vertical="top"/>
    </xf>
    <xf numFmtId="0" fontId="3" fillId="0" borderId="3" xfId="0" applyFont="1" applyFill="1" applyBorder="1" applyAlignment="1">
      <alignment vertical="top"/>
    </xf>
    <xf numFmtId="4" fontId="3" fillId="0" borderId="3" xfId="0" applyNumberFormat="1" applyFont="1" applyFill="1" applyBorder="1" applyAlignment="1">
      <alignment horizontal="right" vertical="top"/>
    </xf>
    <xf numFmtId="0" fontId="0" fillId="0" borderId="5" xfId="0" applyBorder="1"/>
    <xf numFmtId="0" fontId="0" fillId="0" borderId="8" xfId="0" applyFill="1" applyBorder="1"/>
    <xf numFmtId="0" fontId="0" fillId="0" borderId="9" xfId="0" applyBorder="1"/>
    <xf numFmtId="0" fontId="0" fillId="0" borderId="10" xfId="0" applyBorder="1"/>
    <xf numFmtId="0" fontId="3" fillId="0" borderId="11" xfId="0" applyFont="1" applyFill="1" applyBorder="1" applyAlignment="1">
      <alignment vertical="top"/>
    </xf>
    <xf numFmtId="4" fontId="3" fillId="0" borderId="11" xfId="0" applyNumberFormat="1" applyFont="1" applyFill="1" applyBorder="1" applyAlignment="1">
      <alignment horizontal="right" vertical="top"/>
    </xf>
    <xf numFmtId="4" fontId="3" fillId="0" borderId="12" xfId="0" applyNumberFormat="1" applyFont="1" applyFill="1" applyBorder="1" applyAlignment="1">
      <alignment horizontal="right" vertical="top"/>
    </xf>
    <xf numFmtId="0" fontId="0" fillId="6" borderId="8" xfId="0" applyFill="1" applyBorder="1"/>
    <xf numFmtId="0" fontId="3" fillId="6" borderId="3" xfId="0" applyFont="1" applyFill="1" applyBorder="1" applyAlignment="1">
      <alignment vertical="top"/>
    </xf>
    <xf numFmtId="4" fontId="3" fillId="6" borderId="3" xfId="0" applyNumberFormat="1" applyFont="1" applyFill="1" applyBorder="1" applyAlignment="1">
      <alignment horizontal="right" vertical="top"/>
    </xf>
    <xf numFmtId="0" fontId="0" fillId="4" borderId="8" xfId="0" applyFill="1" applyBorder="1"/>
    <xf numFmtId="0" fontId="3" fillId="4" borderId="3" xfId="0" applyFont="1" applyFill="1" applyBorder="1" applyAlignment="1">
      <alignment vertical="top"/>
    </xf>
    <xf numFmtId="4" fontId="3" fillId="4" borderId="3" xfId="0" applyNumberFormat="1" applyFont="1" applyFill="1" applyBorder="1" applyAlignment="1">
      <alignment horizontal="right" vertical="top"/>
    </xf>
    <xf numFmtId="9" fontId="0" fillId="0" borderId="0" xfId="2" applyFont="1"/>
    <xf numFmtId="0" fontId="0" fillId="0" borderId="12" xfId="0" applyBorder="1"/>
    <xf numFmtId="4" fontId="3" fillId="0" borderId="13" xfId="0" applyNumberFormat="1" applyFont="1" applyFill="1" applyBorder="1" applyAlignment="1">
      <alignment horizontal="right" vertical="top"/>
    </xf>
    <xf numFmtId="4" fontId="3" fillId="6" borderId="13" xfId="0" applyNumberFormat="1" applyFont="1" applyFill="1" applyBorder="1" applyAlignment="1">
      <alignment horizontal="right" vertical="top"/>
    </xf>
    <xf numFmtId="4" fontId="3" fillId="4" borderId="13" xfId="0" applyNumberFormat="1" applyFont="1" applyFill="1" applyBorder="1" applyAlignment="1">
      <alignment horizontal="right" vertical="top"/>
    </xf>
    <xf numFmtId="0" fontId="0" fillId="0" borderId="14" xfId="0" applyBorder="1"/>
    <xf numFmtId="0" fontId="0" fillId="4" borderId="14" xfId="0" applyFill="1" applyBorder="1"/>
    <xf numFmtId="0" fontId="0" fillId="6" borderId="14" xfId="0" applyFill="1" applyBorder="1"/>
    <xf numFmtId="164" fontId="4" fillId="7" borderId="3" xfId="1" applyNumberFormat="1" applyFont="1" applyFill="1" applyBorder="1" applyAlignment="1">
      <alignment horizontal="right" vertical="top"/>
    </xf>
    <xf numFmtId="9" fontId="4" fillId="7" borderId="3" xfId="2" applyFont="1" applyFill="1" applyBorder="1" applyAlignment="1">
      <alignment horizontal="right" vertical="top"/>
    </xf>
    <xf numFmtId="164" fontId="4" fillId="9" borderId="3" xfId="1" applyNumberFormat="1" applyFont="1" applyFill="1" applyBorder="1" applyAlignment="1">
      <alignment horizontal="right" vertical="top"/>
    </xf>
    <xf numFmtId="9" fontId="4" fillId="9" borderId="3" xfId="2" applyFont="1" applyFill="1" applyBorder="1" applyAlignment="1">
      <alignment horizontal="right" vertical="top"/>
    </xf>
    <xf numFmtId="164" fontId="4" fillId="9" borderId="3" xfId="1" applyNumberFormat="1" applyFont="1" applyFill="1" applyBorder="1"/>
    <xf numFmtId="164" fontId="4" fillId="7" borderId="3" xfId="1" applyNumberFormat="1" applyFont="1" applyFill="1" applyBorder="1"/>
    <xf numFmtId="9" fontId="5" fillId="9" borderId="3" xfId="2" applyFont="1" applyFill="1" applyBorder="1" applyAlignment="1">
      <alignment horizontal="right" vertical="top"/>
    </xf>
    <xf numFmtId="164" fontId="4" fillId="10" borderId="0" xfId="1" applyNumberFormat="1" applyFont="1" applyFill="1" applyBorder="1" applyAlignment="1">
      <alignment horizontal="right" vertical="top"/>
    </xf>
    <xf numFmtId="9" fontId="4" fillId="10" borderId="0" xfId="2" applyFont="1" applyFill="1" applyBorder="1" applyAlignment="1">
      <alignment horizontal="right" vertical="top"/>
    </xf>
    <xf numFmtId="164" fontId="4" fillId="11" borderId="0" xfId="1" applyNumberFormat="1" applyFont="1" applyFill="1" applyBorder="1" applyAlignment="1">
      <alignment horizontal="right" vertical="top"/>
    </xf>
    <xf numFmtId="9" fontId="4" fillId="11" borderId="0" xfId="2" applyFont="1" applyFill="1" applyBorder="1" applyAlignment="1">
      <alignment horizontal="right" vertical="top"/>
    </xf>
    <xf numFmtId="164" fontId="3" fillId="11" borderId="0" xfId="1" applyNumberFormat="1" applyFont="1" applyFill="1" applyBorder="1" applyAlignment="1">
      <alignment horizontal="right" vertical="top"/>
    </xf>
    <xf numFmtId="164" fontId="4" fillId="11" borderId="3" xfId="1" applyNumberFormat="1" applyFont="1" applyFill="1" applyBorder="1" applyAlignment="1">
      <alignment horizontal="right" vertical="top"/>
    </xf>
    <xf numFmtId="9" fontId="4" fillId="11" borderId="3" xfId="2" applyFont="1" applyFill="1" applyBorder="1" applyAlignment="1">
      <alignment horizontal="right" vertical="top"/>
    </xf>
    <xf numFmtId="164" fontId="3" fillId="9" borderId="3" xfId="1" applyNumberFormat="1" applyFont="1" applyFill="1" applyBorder="1" applyAlignment="1">
      <alignment horizontal="right" vertical="top"/>
    </xf>
    <xf numFmtId="164" fontId="3" fillId="11" borderId="3" xfId="1" applyNumberFormat="1" applyFont="1" applyFill="1" applyBorder="1" applyAlignment="1">
      <alignment horizontal="right" vertical="top"/>
    </xf>
    <xf numFmtId="164" fontId="0" fillId="9" borderId="3" xfId="1" applyNumberFormat="1" applyFont="1" applyFill="1" applyBorder="1"/>
    <xf numFmtId="164" fontId="0" fillId="11" borderId="3" xfId="1" applyNumberFormat="1" applyFont="1" applyFill="1" applyBorder="1"/>
    <xf numFmtId="164" fontId="5" fillId="9" borderId="3" xfId="1" applyNumberFormat="1" applyFont="1" applyFill="1" applyBorder="1"/>
    <xf numFmtId="164" fontId="4" fillId="11" borderId="0" xfId="1" applyNumberFormat="1" applyFont="1" applyFill="1" applyBorder="1"/>
    <xf numFmtId="164" fontId="4" fillId="10" borderId="0" xfId="1" applyNumberFormat="1" applyFont="1" applyFill="1" applyBorder="1"/>
    <xf numFmtId="164" fontId="4" fillId="10" borderId="3" xfId="1" applyNumberFormat="1" applyFont="1" applyFill="1" applyBorder="1"/>
    <xf numFmtId="9" fontId="4" fillId="10" borderId="3" xfId="2" applyFont="1" applyFill="1" applyBorder="1" applyAlignment="1">
      <alignment horizontal="right" vertical="top"/>
    </xf>
    <xf numFmtId="164" fontId="4" fillId="11" borderId="3" xfId="1" applyNumberFormat="1" applyFont="1" applyFill="1" applyBorder="1"/>
    <xf numFmtId="164" fontId="4" fillId="10" borderId="3" xfId="1" applyNumberFormat="1" applyFont="1" applyFill="1" applyBorder="1" applyAlignment="1">
      <alignment horizontal="right" vertical="top"/>
    </xf>
    <xf numFmtId="164" fontId="0" fillId="10" borderId="3" xfId="1" applyNumberFormat="1" applyFont="1" applyFill="1" applyBorder="1"/>
    <xf numFmtId="164" fontId="3" fillId="10" borderId="3" xfId="1" applyNumberFormat="1" applyFont="1" applyFill="1" applyBorder="1" applyAlignment="1">
      <alignment horizontal="right" vertical="top"/>
    </xf>
    <xf numFmtId="164" fontId="4" fillId="8" borderId="3" xfId="1" applyNumberFormat="1" applyFont="1" applyFill="1" applyBorder="1"/>
    <xf numFmtId="9" fontId="4" fillId="8" borderId="3" xfId="2" applyFont="1" applyFill="1" applyBorder="1" applyAlignment="1">
      <alignment horizontal="right" vertical="top"/>
    </xf>
    <xf numFmtId="164" fontId="4" fillId="8" borderId="3" xfId="1" applyNumberFormat="1" applyFont="1" applyFill="1" applyBorder="1" applyAlignment="1">
      <alignment horizontal="right" vertical="top"/>
    </xf>
    <xf numFmtId="164" fontId="5" fillId="8" borderId="3" xfId="1" applyNumberFormat="1" applyFont="1" applyFill="1" applyBorder="1" applyAlignment="1">
      <alignment horizontal="right" vertical="top"/>
    </xf>
    <xf numFmtId="9" fontId="5" fillId="8" borderId="3" xfId="2" applyFont="1" applyFill="1" applyBorder="1" applyAlignment="1">
      <alignment horizontal="right" vertical="top"/>
    </xf>
    <xf numFmtId="164" fontId="3" fillId="8" borderId="3" xfId="1" applyNumberFormat="1" applyFont="1" applyFill="1" applyBorder="1" applyAlignment="1">
      <alignment horizontal="right" vertical="top"/>
    </xf>
    <xf numFmtId="9" fontId="4" fillId="5" borderId="3" xfId="2" applyFont="1" applyFill="1" applyBorder="1" applyAlignment="1">
      <alignment horizontal="center" vertical="center" wrapText="1"/>
    </xf>
    <xf numFmtId="9" fontId="4" fillId="13" borderId="3" xfId="2" applyFont="1" applyFill="1" applyBorder="1" applyAlignment="1">
      <alignment horizontal="right" vertical="top"/>
    </xf>
    <xf numFmtId="164" fontId="4" fillId="13" borderId="3" xfId="1" applyNumberFormat="1" applyFont="1" applyFill="1" applyBorder="1" applyAlignment="1">
      <alignment horizontal="right" vertical="top"/>
    </xf>
    <xf numFmtId="164" fontId="4" fillId="13" borderId="3" xfId="1" applyNumberFormat="1" applyFont="1" applyFill="1" applyBorder="1"/>
    <xf numFmtId="164" fontId="4" fillId="5" borderId="3" xfId="1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164" fontId="3" fillId="14" borderId="3" xfId="1" applyNumberFormat="1" applyFont="1" applyFill="1" applyBorder="1" applyAlignment="1">
      <alignment horizontal="right" vertical="top"/>
    </xf>
    <xf numFmtId="9" fontId="4" fillId="14" borderId="3" xfId="2" applyFont="1" applyFill="1" applyBorder="1" applyAlignment="1">
      <alignment horizontal="right" vertical="top"/>
    </xf>
    <xf numFmtId="164" fontId="4" fillId="14" borderId="3" xfId="1" applyNumberFormat="1" applyFont="1" applyFill="1" applyBorder="1" applyAlignment="1">
      <alignment horizontal="right" vertical="top"/>
    </xf>
    <xf numFmtId="164" fontId="4" fillId="14" borderId="3" xfId="1" applyNumberFormat="1" applyFont="1" applyFill="1" applyBorder="1"/>
    <xf numFmtId="0" fontId="0" fillId="0" borderId="6" xfId="0" applyBorder="1" applyAlignment="1">
      <alignment wrapText="1"/>
    </xf>
    <xf numFmtId="38" fontId="7" fillId="10" borderId="18" xfId="1" applyNumberFormat="1" applyFont="1" applyFill="1" applyBorder="1" applyAlignment="1">
      <alignment horizontal="right" vertical="top"/>
    </xf>
    <xf numFmtId="38" fontId="7" fillId="10" borderId="18" xfId="1" applyNumberFormat="1" applyFont="1" applyFill="1" applyBorder="1"/>
    <xf numFmtId="0" fontId="0" fillId="0" borderId="11" xfId="0" applyBorder="1"/>
    <xf numFmtId="164" fontId="5" fillId="4" borderId="2" xfId="1" applyNumberFormat="1" applyFont="1" applyFill="1" applyBorder="1"/>
    <xf numFmtId="9" fontId="5" fillId="4" borderId="2" xfId="2" applyFont="1" applyFill="1" applyBorder="1" applyAlignment="1">
      <alignment horizontal="right" vertical="top"/>
    </xf>
    <xf numFmtId="0" fontId="3" fillId="0" borderId="5" xfId="0" applyFont="1" applyBorder="1"/>
    <xf numFmtId="0" fontId="3" fillId="0" borderId="9" xfId="0" applyFont="1" applyFill="1" applyBorder="1"/>
    <xf numFmtId="38" fontId="7" fillId="10" borderId="17" xfId="1" applyNumberFormat="1" applyFont="1" applyFill="1" applyBorder="1" applyAlignment="1">
      <alignment horizontal="right" vertical="top"/>
    </xf>
    <xf numFmtId="38" fontId="7" fillId="10" borderId="17" xfId="1" applyNumberFormat="1" applyFont="1" applyFill="1" applyBorder="1"/>
    <xf numFmtId="0" fontId="9" fillId="0" borderId="9" xfId="0" applyFont="1" applyFill="1" applyBorder="1"/>
    <xf numFmtId="38" fontId="7" fillId="4" borderId="14" xfId="1" applyNumberFormat="1" applyFont="1" applyFill="1" applyBorder="1"/>
    <xf numFmtId="0" fontId="3" fillId="0" borderId="10" xfId="0" applyFont="1" applyBorder="1"/>
    <xf numFmtId="0" fontId="11" fillId="2" borderId="6" xfId="0" applyFont="1" applyFill="1" applyBorder="1" applyAlignment="1">
      <alignment horizontal="center" vertical="center" wrapText="1"/>
    </xf>
    <xf numFmtId="164" fontId="12" fillId="2" borderId="6" xfId="1" applyNumberFormat="1" applyFont="1" applyFill="1" applyBorder="1" applyAlignment="1">
      <alignment horizontal="center" vertical="center" wrapText="1"/>
    </xf>
    <xf numFmtId="9" fontId="12" fillId="2" borderId="6" xfId="2" applyFont="1" applyFill="1" applyBorder="1" applyAlignment="1">
      <alignment horizontal="center" vertical="center" wrapText="1"/>
    </xf>
    <xf numFmtId="164" fontId="12" fillId="2" borderId="6" xfId="1" applyNumberFormat="1" applyFont="1" applyFill="1" applyBorder="1" applyAlignment="1">
      <alignment horizontal="center" vertical="center"/>
    </xf>
    <xf numFmtId="38" fontId="13" fillId="2" borderId="7" xfId="1" applyNumberFormat="1" applyFont="1" applyFill="1" applyBorder="1" applyAlignment="1">
      <alignment horizontal="center" vertical="center"/>
    </xf>
    <xf numFmtId="0" fontId="5" fillId="2" borderId="5" xfId="0" applyFont="1" applyFill="1" applyBorder="1"/>
    <xf numFmtId="0" fontId="5" fillId="2" borderId="6" xfId="0" applyFont="1" applyFill="1" applyBorder="1" applyAlignment="1">
      <alignment wrapText="1"/>
    </xf>
    <xf numFmtId="0" fontId="3" fillId="0" borderId="5" xfId="0" applyFont="1" applyFill="1" applyBorder="1"/>
    <xf numFmtId="0" fontId="3" fillId="0" borderId="6" xfId="0" applyFont="1" applyFill="1" applyBorder="1" applyAlignment="1">
      <alignment vertical="top"/>
    </xf>
    <xf numFmtId="0" fontId="3" fillId="0" borderId="24" xfId="0" applyFont="1" applyFill="1" applyBorder="1" applyAlignment="1">
      <alignment vertical="top"/>
    </xf>
    <xf numFmtId="164" fontId="4" fillId="10" borderId="24" xfId="1" applyNumberFormat="1" applyFont="1" applyFill="1" applyBorder="1" applyAlignment="1">
      <alignment horizontal="right" vertical="top"/>
    </xf>
    <xf numFmtId="9" fontId="4" fillId="10" borderId="24" xfId="2" applyFont="1" applyFill="1" applyBorder="1" applyAlignment="1">
      <alignment horizontal="right" vertical="top"/>
    </xf>
    <xf numFmtId="164" fontId="4" fillId="11" borderId="24" xfId="1" applyNumberFormat="1" applyFont="1" applyFill="1" applyBorder="1" applyAlignment="1">
      <alignment horizontal="right" vertical="top"/>
    </xf>
    <xf numFmtId="9" fontId="4" fillId="11" borderId="24" xfId="2" applyFont="1" applyFill="1" applyBorder="1" applyAlignment="1">
      <alignment horizontal="right" vertical="top"/>
    </xf>
    <xf numFmtId="38" fontId="7" fillId="10" borderId="25" xfId="1" applyNumberFormat="1" applyFont="1" applyFill="1" applyBorder="1" applyAlignment="1">
      <alignment horizontal="right" vertical="top"/>
    </xf>
    <xf numFmtId="164" fontId="5" fillId="4" borderId="2" xfId="1" applyNumberFormat="1" applyFont="1" applyFill="1" applyBorder="1" applyAlignment="1">
      <alignment horizontal="center" vertical="center"/>
    </xf>
    <xf numFmtId="9" fontId="5" fillId="4" borderId="2" xfId="2" applyFont="1" applyFill="1" applyBorder="1" applyAlignment="1">
      <alignment horizontal="center" vertical="center"/>
    </xf>
    <xf numFmtId="38" fontId="7" fillId="4" borderId="2" xfId="1" applyNumberFormat="1" applyFont="1" applyFill="1" applyBorder="1" applyAlignment="1">
      <alignment horizontal="center" vertical="center"/>
    </xf>
    <xf numFmtId="38" fontId="7" fillId="4" borderId="20" xfId="1" applyNumberFormat="1" applyFont="1" applyFill="1" applyBorder="1" applyAlignment="1">
      <alignment horizontal="center" vertical="center"/>
    </xf>
    <xf numFmtId="164" fontId="0" fillId="10" borderId="0" xfId="1" applyNumberFormat="1" applyFont="1" applyFill="1" applyBorder="1"/>
    <xf numFmtId="164" fontId="3" fillId="10" borderId="0" xfId="1" applyNumberFormat="1" applyFont="1" applyFill="1" applyBorder="1" applyAlignment="1">
      <alignment horizontal="right" vertical="top"/>
    </xf>
    <xf numFmtId="0" fontId="3" fillId="0" borderId="26" xfId="0" applyFont="1" applyFill="1" applyBorder="1" applyAlignment="1">
      <alignment vertical="top"/>
    </xf>
    <xf numFmtId="164" fontId="4" fillId="10" borderId="26" xfId="1" applyNumberFormat="1" applyFont="1" applyFill="1" applyBorder="1"/>
    <xf numFmtId="9" fontId="4" fillId="10" borderId="26" xfId="2" applyFont="1" applyFill="1" applyBorder="1" applyAlignment="1">
      <alignment horizontal="right" vertical="top"/>
    </xf>
    <xf numFmtId="164" fontId="4" fillId="11" borderId="26" xfId="1" applyNumberFormat="1" applyFont="1" applyFill="1" applyBorder="1" applyAlignment="1">
      <alignment horizontal="right" vertical="top"/>
    </xf>
    <xf numFmtId="9" fontId="4" fillId="11" borderId="26" xfId="2" applyFont="1" applyFill="1" applyBorder="1" applyAlignment="1">
      <alignment horizontal="right" vertical="top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 wrapText="1"/>
    </xf>
    <xf numFmtId="164" fontId="4" fillId="2" borderId="22" xfId="1" applyNumberFormat="1" applyFont="1" applyFill="1" applyBorder="1" applyAlignment="1">
      <alignment horizontal="center" vertical="center" wrapText="1"/>
    </xf>
    <xf numFmtId="9" fontId="4" fillId="2" borderId="22" xfId="2" applyFont="1" applyFill="1" applyBorder="1" applyAlignment="1">
      <alignment horizontal="center" vertical="center" wrapText="1"/>
    </xf>
    <xf numFmtId="38" fontId="10" fillId="2" borderId="23" xfId="1" applyNumberFormat="1" applyFont="1" applyFill="1" applyBorder="1" applyAlignment="1">
      <alignment horizontal="center" vertical="center"/>
    </xf>
    <xf numFmtId="0" fontId="3" fillId="0" borderId="27" xfId="0" applyFont="1" applyFill="1" applyBorder="1"/>
    <xf numFmtId="164" fontId="4" fillId="10" borderId="24" xfId="1" applyNumberFormat="1" applyFont="1" applyFill="1" applyBorder="1"/>
    <xf numFmtId="38" fontId="7" fillId="10" borderId="25" xfId="1" applyNumberFormat="1" applyFont="1" applyFill="1" applyBorder="1"/>
    <xf numFmtId="0" fontId="3" fillId="0" borderId="8" xfId="0" applyFont="1" applyFill="1" applyBorder="1"/>
    <xf numFmtId="0" fontId="3" fillId="0" borderId="28" xfId="0" applyFont="1" applyFill="1" applyBorder="1"/>
    <xf numFmtId="38" fontId="7" fillId="10" borderId="29" xfId="1" applyNumberFormat="1" applyFont="1" applyFill="1" applyBorder="1"/>
    <xf numFmtId="0" fontId="3" fillId="0" borderId="33" xfId="0" applyFont="1" applyFill="1" applyBorder="1" applyAlignment="1">
      <alignment vertical="top"/>
    </xf>
    <xf numFmtId="0" fontId="3" fillId="0" borderId="13" xfId="0" applyFont="1" applyFill="1" applyBorder="1" applyAlignment="1">
      <alignment vertical="top"/>
    </xf>
    <xf numFmtId="164" fontId="4" fillId="2" borderId="34" xfId="1" applyNumberFormat="1" applyFont="1" applyFill="1" applyBorder="1" applyAlignment="1">
      <alignment horizontal="center" vertical="center" wrapText="1"/>
    </xf>
    <xf numFmtId="164" fontId="4" fillId="2" borderId="35" xfId="1" applyNumberFormat="1" applyFont="1" applyFill="1" applyBorder="1" applyAlignment="1">
      <alignment horizontal="center" vertical="center" wrapText="1"/>
    </xf>
    <xf numFmtId="9" fontId="4" fillId="2" borderId="35" xfId="2" applyFont="1" applyFill="1" applyBorder="1" applyAlignment="1">
      <alignment horizontal="center" vertical="center" wrapText="1"/>
    </xf>
    <xf numFmtId="38" fontId="10" fillId="2" borderId="36" xfId="1" applyNumberFormat="1" applyFont="1" applyFill="1" applyBorder="1" applyAlignment="1">
      <alignment horizontal="center" vertical="center"/>
    </xf>
    <xf numFmtId="164" fontId="4" fillId="10" borderId="28" xfId="1" applyNumberFormat="1" applyFont="1" applyFill="1" applyBorder="1"/>
    <xf numFmtId="164" fontId="4" fillId="10" borderId="8" xfId="1" applyNumberFormat="1" applyFont="1" applyFill="1" applyBorder="1"/>
    <xf numFmtId="164" fontId="4" fillId="10" borderId="8" xfId="1" applyNumberFormat="1" applyFont="1" applyFill="1" applyBorder="1" applyAlignment="1">
      <alignment horizontal="right" vertical="top"/>
    </xf>
    <xf numFmtId="164" fontId="0" fillId="10" borderId="8" xfId="1" applyNumberFormat="1" applyFont="1" applyFill="1" applyBorder="1"/>
    <xf numFmtId="164" fontId="5" fillId="4" borderId="37" xfId="1" applyNumberFormat="1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164" fontId="4" fillId="15" borderId="3" xfId="1" applyNumberFormat="1" applyFont="1" applyFill="1" applyBorder="1"/>
    <xf numFmtId="9" fontId="4" fillId="15" borderId="3" xfId="2" applyFont="1" applyFill="1" applyBorder="1" applyAlignment="1">
      <alignment horizontal="right" vertical="top"/>
    </xf>
    <xf numFmtId="164" fontId="4" fillId="15" borderId="3" xfId="1" applyNumberFormat="1" applyFont="1" applyFill="1" applyBorder="1" applyAlignment="1">
      <alignment horizontal="right" vertical="top"/>
    </xf>
    <xf numFmtId="164" fontId="4" fillId="15" borderId="26" xfId="1" applyNumberFormat="1" applyFont="1" applyFill="1" applyBorder="1"/>
    <xf numFmtId="9" fontId="4" fillId="15" borderId="26" xfId="2" applyFont="1" applyFill="1" applyBorder="1" applyAlignment="1">
      <alignment horizontal="right" vertical="top"/>
    </xf>
    <xf numFmtId="164" fontId="4" fillId="11" borderId="26" xfId="1" applyNumberFormat="1" applyFont="1" applyFill="1" applyBorder="1"/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164" fontId="4" fillId="2" borderId="11" xfId="1" applyNumberFormat="1" applyFont="1" applyFill="1" applyBorder="1" applyAlignment="1">
      <alignment horizontal="center" vertical="center" wrapText="1"/>
    </xf>
    <xf numFmtId="9" fontId="4" fillId="2" borderId="11" xfId="2" applyFont="1" applyFill="1" applyBorder="1" applyAlignment="1">
      <alignment horizontal="center" vertical="center" wrapText="1"/>
    </xf>
    <xf numFmtId="164" fontId="4" fillId="2" borderId="11" xfId="1" applyNumberFormat="1" applyFont="1" applyFill="1" applyBorder="1" applyAlignment="1">
      <alignment horizontal="center" vertical="center"/>
    </xf>
    <xf numFmtId="38" fontId="10" fillId="2" borderId="12" xfId="1" applyNumberFormat="1" applyFont="1" applyFill="1" applyBorder="1" applyAlignment="1">
      <alignment horizontal="center" vertical="center"/>
    </xf>
    <xf numFmtId="38" fontId="7" fillId="11" borderId="18" xfId="1" applyNumberFormat="1" applyFont="1" applyFill="1" applyBorder="1"/>
    <xf numFmtId="38" fontId="7" fillId="11" borderId="18" xfId="1" applyNumberFormat="1" applyFont="1" applyFill="1" applyBorder="1" applyAlignment="1">
      <alignment horizontal="right" vertical="top"/>
    </xf>
    <xf numFmtId="164" fontId="4" fillId="2" borderId="35" xfId="1" applyNumberFormat="1" applyFont="1" applyFill="1" applyBorder="1" applyAlignment="1">
      <alignment horizontal="center" vertical="center"/>
    </xf>
    <xf numFmtId="0" fontId="4" fillId="0" borderId="0" xfId="0" applyFont="1" applyBorder="1"/>
    <xf numFmtId="0" fontId="4" fillId="0" borderId="0" xfId="0" applyFont="1"/>
    <xf numFmtId="164" fontId="4" fillId="16" borderId="3" xfId="1" applyNumberFormat="1" applyFont="1" applyFill="1" applyBorder="1"/>
    <xf numFmtId="9" fontId="4" fillId="16" borderId="3" xfId="2" applyFont="1" applyFill="1" applyBorder="1" applyAlignment="1">
      <alignment horizontal="right" vertical="top"/>
    </xf>
    <xf numFmtId="164" fontId="4" fillId="16" borderId="3" xfId="1" applyNumberFormat="1" applyFont="1" applyFill="1" applyBorder="1" applyAlignment="1">
      <alignment horizontal="right" vertical="top"/>
    </xf>
    <xf numFmtId="164" fontId="3" fillId="16" borderId="3" xfId="1" applyNumberFormat="1" applyFont="1" applyFill="1" applyBorder="1" applyAlignment="1">
      <alignment horizontal="right" vertical="top"/>
    </xf>
    <xf numFmtId="164" fontId="5" fillId="0" borderId="26" xfId="1" applyNumberFormat="1" applyFont="1" applyFill="1" applyBorder="1" applyAlignment="1">
      <alignment horizontal="center" vertical="center"/>
    </xf>
    <xf numFmtId="9" fontId="5" fillId="0" borderId="26" xfId="2" applyFont="1" applyFill="1" applyBorder="1" applyAlignment="1">
      <alignment horizontal="center" vertical="center"/>
    </xf>
    <xf numFmtId="164" fontId="5" fillId="4" borderId="39" xfId="1" applyNumberFormat="1" applyFont="1" applyFill="1" applyBorder="1" applyAlignment="1">
      <alignment horizontal="center" vertical="center"/>
    </xf>
    <xf numFmtId="9" fontId="5" fillId="4" borderId="39" xfId="2" applyFont="1" applyFill="1" applyBorder="1" applyAlignment="1">
      <alignment horizontal="center" vertical="center"/>
    </xf>
    <xf numFmtId="164" fontId="4" fillId="9" borderId="26" xfId="1" applyNumberFormat="1" applyFont="1" applyFill="1" applyBorder="1" applyAlignment="1">
      <alignment horizontal="right" vertical="top"/>
    </xf>
    <xf numFmtId="9" fontId="4" fillId="9" borderId="26" xfId="2" applyFont="1" applyFill="1" applyBorder="1" applyAlignment="1">
      <alignment horizontal="right" vertical="top"/>
    </xf>
    <xf numFmtId="164" fontId="4" fillId="16" borderId="26" xfId="1" applyNumberFormat="1" applyFont="1" applyFill="1" applyBorder="1"/>
    <xf numFmtId="9" fontId="4" fillId="16" borderId="26" xfId="2" applyFont="1" applyFill="1" applyBorder="1" applyAlignment="1">
      <alignment horizontal="right" vertical="top"/>
    </xf>
    <xf numFmtId="164" fontId="4" fillId="9" borderId="26" xfId="1" applyNumberFormat="1" applyFont="1" applyFill="1" applyBorder="1"/>
    <xf numFmtId="0" fontId="4" fillId="0" borderId="5" xfId="0" applyFont="1" applyBorder="1"/>
    <xf numFmtId="164" fontId="4" fillId="2" borderId="22" xfId="1" applyNumberFormat="1" applyFont="1" applyFill="1" applyBorder="1" applyAlignment="1">
      <alignment horizontal="center" vertical="center"/>
    </xf>
    <xf numFmtId="164" fontId="4" fillId="17" borderId="3" xfId="1" applyNumberFormat="1" applyFont="1" applyFill="1" applyBorder="1" applyAlignment="1">
      <alignment horizontal="right" vertical="top"/>
    </xf>
    <xf numFmtId="9" fontId="4" fillId="17" borderId="3" xfId="2" applyFont="1" applyFill="1" applyBorder="1" applyAlignment="1">
      <alignment horizontal="right" vertical="top"/>
    </xf>
    <xf numFmtId="164" fontId="4" fillId="17" borderId="3" xfId="1" applyNumberFormat="1" applyFont="1" applyFill="1" applyBorder="1"/>
    <xf numFmtId="164" fontId="4" fillId="8" borderId="24" xfId="1" applyNumberFormat="1" applyFont="1" applyFill="1" applyBorder="1" applyAlignment="1">
      <alignment horizontal="right" vertical="top"/>
    </xf>
    <xf numFmtId="9" fontId="4" fillId="8" borderId="24" xfId="2" applyFont="1" applyFill="1" applyBorder="1" applyAlignment="1">
      <alignment horizontal="right" vertical="top"/>
    </xf>
    <xf numFmtId="164" fontId="4" fillId="17" borderId="24" xfId="1" applyNumberFormat="1" applyFont="1" applyFill="1" applyBorder="1" applyAlignment="1">
      <alignment horizontal="right" vertical="top"/>
    </xf>
    <xf numFmtId="9" fontId="4" fillId="17" borderId="24" xfId="2" applyFont="1" applyFill="1" applyBorder="1" applyAlignment="1">
      <alignment horizontal="right" vertical="top"/>
    </xf>
    <xf numFmtId="38" fontId="7" fillId="8" borderId="25" xfId="1" applyNumberFormat="1" applyFont="1" applyFill="1" applyBorder="1" applyAlignment="1">
      <alignment horizontal="right" vertical="top"/>
    </xf>
    <xf numFmtId="38" fontId="7" fillId="8" borderId="18" xfId="1" applyNumberFormat="1" applyFont="1" applyFill="1" applyBorder="1" applyAlignment="1">
      <alignment horizontal="right" vertical="top"/>
    </xf>
    <xf numFmtId="38" fontId="7" fillId="8" borderId="18" xfId="1" applyNumberFormat="1" applyFont="1" applyFill="1" applyBorder="1"/>
    <xf numFmtId="164" fontId="4" fillId="2" borderId="21" xfId="1" applyNumberFormat="1" applyFont="1" applyFill="1" applyBorder="1" applyAlignment="1">
      <alignment horizontal="center" vertical="center" wrapText="1"/>
    </xf>
    <xf numFmtId="0" fontId="3" fillId="0" borderId="40" xfId="0" applyFont="1" applyFill="1" applyBorder="1" applyAlignment="1">
      <alignment vertical="top"/>
    </xf>
    <xf numFmtId="164" fontId="4" fillId="8" borderId="27" xfId="1" applyNumberFormat="1" applyFont="1" applyFill="1" applyBorder="1" applyAlignment="1">
      <alignment horizontal="right" vertical="top"/>
    </xf>
    <xf numFmtId="164" fontId="4" fillId="8" borderId="8" xfId="1" applyNumberFormat="1" applyFont="1" applyFill="1" applyBorder="1" applyAlignment="1">
      <alignment horizontal="right" vertical="top"/>
    </xf>
    <xf numFmtId="164" fontId="4" fillId="8" borderId="8" xfId="1" applyNumberFormat="1" applyFont="1" applyFill="1" applyBorder="1"/>
    <xf numFmtId="164" fontId="4" fillId="8" borderId="41" xfId="1" applyNumberFormat="1" applyFont="1" applyFill="1" applyBorder="1" applyAlignment="1">
      <alignment horizontal="right" vertical="top"/>
    </xf>
    <xf numFmtId="164" fontId="4" fillId="8" borderId="42" xfId="1" applyNumberFormat="1" applyFont="1" applyFill="1" applyBorder="1" applyAlignment="1">
      <alignment horizontal="right" vertical="top"/>
    </xf>
    <xf numFmtId="164" fontId="4" fillId="8" borderId="42" xfId="1" applyNumberFormat="1" applyFont="1" applyFill="1" applyBorder="1"/>
    <xf numFmtId="164" fontId="4" fillId="17" borderId="27" xfId="1" applyNumberFormat="1" applyFont="1" applyFill="1" applyBorder="1" applyAlignment="1">
      <alignment horizontal="right" vertical="top"/>
    </xf>
    <xf numFmtId="38" fontId="7" fillId="17" borderId="25" xfId="1" applyNumberFormat="1" applyFont="1" applyFill="1" applyBorder="1" applyAlignment="1">
      <alignment horizontal="right" vertical="top"/>
    </xf>
    <xf numFmtId="164" fontId="4" fillId="17" borderId="8" xfId="1" applyNumberFormat="1" applyFont="1" applyFill="1" applyBorder="1" applyAlignment="1">
      <alignment horizontal="right" vertical="top"/>
    </xf>
    <xf numFmtId="38" fontId="7" fillId="17" borderId="18" xfId="1" applyNumberFormat="1" applyFont="1" applyFill="1" applyBorder="1" applyAlignment="1">
      <alignment horizontal="right" vertical="top"/>
    </xf>
    <xf numFmtId="164" fontId="4" fillId="17" borderId="8" xfId="1" applyNumberFormat="1" applyFont="1" applyFill="1" applyBorder="1"/>
    <xf numFmtId="38" fontId="7" fillId="17" borderId="18" xfId="1" applyNumberFormat="1" applyFont="1" applyFill="1" applyBorder="1"/>
    <xf numFmtId="164" fontId="5" fillId="4" borderId="2" xfId="1" applyNumberFormat="1" applyFont="1" applyFill="1" applyBorder="1" applyAlignment="1">
      <alignment horizontal="right" vertical="top"/>
    </xf>
    <xf numFmtId="164" fontId="5" fillId="4" borderId="4" xfId="1" applyNumberFormat="1" applyFont="1" applyFill="1" applyBorder="1" applyAlignment="1">
      <alignment horizontal="center" vertical="center"/>
    </xf>
    <xf numFmtId="9" fontId="5" fillId="4" borderId="4" xfId="2" applyFont="1" applyFill="1" applyBorder="1" applyAlignment="1">
      <alignment horizontal="center" vertical="center"/>
    </xf>
    <xf numFmtId="0" fontId="4" fillId="2" borderId="34" xfId="0" applyFont="1" applyFill="1" applyBorder="1"/>
    <xf numFmtId="0" fontId="4" fillId="2" borderId="35" xfId="0" applyFont="1" applyFill="1" applyBorder="1" applyAlignment="1">
      <alignment wrapText="1"/>
    </xf>
    <xf numFmtId="164" fontId="4" fillId="2" borderId="35" xfId="1" applyNumberFormat="1" applyFont="1" applyFill="1" applyBorder="1" applyAlignment="1">
      <alignment horizontal="center" vertical="top" wrapText="1"/>
    </xf>
    <xf numFmtId="9" fontId="4" fillId="2" borderId="35" xfId="2" applyFont="1" applyFill="1" applyBorder="1" applyAlignment="1">
      <alignment horizontal="center" vertical="top" wrapText="1"/>
    </xf>
    <xf numFmtId="38" fontId="10" fillId="2" borderId="36" xfId="1" applyNumberFormat="1" applyFont="1" applyFill="1" applyBorder="1" applyAlignment="1">
      <alignment vertical="top"/>
    </xf>
    <xf numFmtId="0" fontId="3" fillId="0" borderId="21" xfId="0" applyFont="1" applyBorder="1"/>
    <xf numFmtId="0" fontId="0" fillId="0" borderId="22" xfId="0" applyBorder="1" applyAlignment="1">
      <alignment wrapText="1"/>
    </xf>
    <xf numFmtId="164" fontId="4" fillId="14" borderId="24" xfId="1" applyNumberFormat="1" applyFont="1" applyFill="1" applyBorder="1" applyAlignment="1">
      <alignment horizontal="right" vertical="top"/>
    </xf>
    <xf numFmtId="9" fontId="4" fillId="14" borderId="24" xfId="2" applyFont="1" applyFill="1" applyBorder="1" applyAlignment="1">
      <alignment horizontal="right" vertical="top"/>
    </xf>
    <xf numFmtId="38" fontId="7" fillId="4" borderId="43" xfId="1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wrapText="1"/>
    </xf>
    <xf numFmtId="164" fontId="4" fillId="14" borderId="42" xfId="1" applyNumberFormat="1" applyFont="1" applyFill="1" applyBorder="1"/>
    <xf numFmtId="164" fontId="4" fillId="14" borderId="42" xfId="1" applyNumberFormat="1" applyFont="1" applyFill="1" applyBorder="1" applyAlignment="1">
      <alignment horizontal="right" vertical="top"/>
    </xf>
    <xf numFmtId="164" fontId="4" fillId="2" borderId="34" xfId="1" applyNumberFormat="1" applyFont="1" applyFill="1" applyBorder="1" applyAlignment="1">
      <alignment horizontal="center" vertical="top" wrapText="1"/>
    </xf>
    <xf numFmtId="164" fontId="5" fillId="4" borderId="45" xfId="1" applyNumberFormat="1" applyFont="1" applyFill="1" applyBorder="1" applyAlignment="1">
      <alignment horizontal="center" vertical="center"/>
    </xf>
    <xf numFmtId="164" fontId="4" fillId="14" borderId="27" xfId="1" applyNumberFormat="1" applyFont="1" applyFill="1" applyBorder="1" applyAlignment="1">
      <alignment horizontal="right" vertical="top"/>
    </xf>
    <xf numFmtId="38" fontId="7" fillId="14" borderId="25" xfId="1" applyNumberFormat="1" applyFont="1" applyFill="1" applyBorder="1" applyAlignment="1">
      <alignment horizontal="right" vertical="top"/>
    </xf>
    <xf numFmtId="164" fontId="4" fillId="14" borderId="8" xfId="1" applyNumberFormat="1" applyFont="1" applyFill="1" applyBorder="1"/>
    <xf numFmtId="38" fontId="7" fillId="14" borderId="18" xfId="1" applyNumberFormat="1" applyFont="1" applyFill="1" applyBorder="1"/>
    <xf numFmtId="164" fontId="4" fillId="14" borderId="8" xfId="1" applyNumberFormat="1" applyFont="1" applyFill="1" applyBorder="1" applyAlignment="1">
      <alignment horizontal="right" vertical="top"/>
    </xf>
    <xf numFmtId="38" fontId="7" fillId="14" borderId="18" xfId="1" applyNumberFormat="1" applyFont="1" applyFill="1" applyBorder="1" applyAlignment="1">
      <alignment horizontal="right" vertical="top"/>
    </xf>
    <xf numFmtId="164" fontId="3" fillId="12" borderId="3" xfId="1" applyNumberFormat="1" applyFont="1" applyFill="1" applyBorder="1" applyAlignment="1">
      <alignment horizontal="right" vertical="top"/>
    </xf>
    <xf numFmtId="9" fontId="4" fillId="12" borderId="3" xfId="2" applyFont="1" applyFill="1" applyBorder="1" applyAlignment="1">
      <alignment horizontal="right" vertical="top"/>
    </xf>
    <xf numFmtId="164" fontId="4" fillId="12" borderId="3" xfId="1" applyNumberFormat="1" applyFont="1" applyFill="1" applyBorder="1" applyAlignment="1">
      <alignment horizontal="right" vertical="top"/>
    </xf>
    <xf numFmtId="164" fontId="4" fillId="12" borderId="3" xfId="1" applyNumberFormat="1" applyFont="1" applyFill="1" applyBorder="1"/>
    <xf numFmtId="164" fontId="0" fillId="14" borderId="3" xfId="1" applyNumberFormat="1" applyFont="1" applyFill="1" applyBorder="1"/>
    <xf numFmtId="164" fontId="3" fillId="14" borderId="24" xfId="1" applyNumberFormat="1" applyFont="1" applyFill="1" applyBorder="1" applyAlignment="1">
      <alignment horizontal="right" vertical="top"/>
    </xf>
    <xf numFmtId="164" fontId="3" fillId="12" borderId="24" xfId="1" applyNumberFormat="1" applyFont="1" applyFill="1" applyBorder="1" applyAlignment="1">
      <alignment horizontal="right" vertical="top"/>
    </xf>
    <xf numFmtId="9" fontId="4" fillId="12" borderId="24" xfId="2" applyFont="1" applyFill="1" applyBorder="1" applyAlignment="1">
      <alignment horizontal="right" vertical="top"/>
    </xf>
    <xf numFmtId="38" fontId="8" fillId="14" borderId="18" xfId="1" applyNumberFormat="1" applyFont="1" applyFill="1" applyBorder="1"/>
    <xf numFmtId="164" fontId="4" fillId="2" borderId="10" xfId="1" applyNumberFormat="1" applyFont="1" applyFill="1" applyBorder="1" applyAlignment="1">
      <alignment horizontal="center" vertical="center" wrapText="1"/>
    </xf>
    <xf numFmtId="164" fontId="3" fillId="14" borderId="27" xfId="1" applyNumberFormat="1" applyFont="1" applyFill="1" applyBorder="1" applyAlignment="1">
      <alignment horizontal="right" vertical="top"/>
    </xf>
    <xf numFmtId="164" fontId="0" fillId="14" borderId="8" xfId="1" applyNumberFormat="1" applyFont="1" applyFill="1" applyBorder="1"/>
    <xf numFmtId="164" fontId="3" fillId="14" borderId="8" xfId="1" applyNumberFormat="1" applyFont="1" applyFill="1" applyBorder="1" applyAlignment="1">
      <alignment horizontal="right" vertical="top"/>
    </xf>
    <xf numFmtId="164" fontId="3" fillId="14" borderId="41" xfId="1" applyNumberFormat="1" applyFont="1" applyFill="1" applyBorder="1" applyAlignment="1">
      <alignment horizontal="right" vertical="top"/>
    </xf>
    <xf numFmtId="164" fontId="0" fillId="14" borderId="42" xfId="1" applyNumberFormat="1" applyFont="1" applyFill="1" applyBorder="1"/>
    <xf numFmtId="164" fontId="3" fillId="14" borderId="42" xfId="1" applyNumberFormat="1" applyFont="1" applyFill="1" applyBorder="1" applyAlignment="1">
      <alignment horizontal="right" vertical="top"/>
    </xf>
    <xf numFmtId="164" fontId="3" fillId="12" borderId="27" xfId="1" applyNumberFormat="1" applyFont="1" applyFill="1" applyBorder="1" applyAlignment="1">
      <alignment horizontal="right" vertical="top"/>
    </xf>
    <xf numFmtId="38" fontId="7" fillId="12" borderId="25" xfId="1" applyNumberFormat="1" applyFont="1" applyFill="1" applyBorder="1" applyAlignment="1">
      <alignment horizontal="right" vertical="top"/>
    </xf>
    <xf numFmtId="164" fontId="4" fillId="12" borderId="8" xfId="1" applyNumberFormat="1" applyFont="1" applyFill="1" applyBorder="1" applyAlignment="1">
      <alignment horizontal="right" vertical="top"/>
    </xf>
    <xf numFmtId="38" fontId="7" fillId="12" borderId="18" xfId="1" applyNumberFormat="1" applyFont="1" applyFill="1" applyBorder="1" applyAlignment="1">
      <alignment horizontal="right" vertical="top"/>
    </xf>
    <xf numFmtId="164" fontId="4" fillId="12" borderId="8" xfId="1" applyNumberFormat="1" applyFont="1" applyFill="1" applyBorder="1"/>
    <xf numFmtId="38" fontId="7" fillId="12" borderId="18" xfId="1" applyNumberFormat="1" applyFont="1" applyFill="1" applyBorder="1"/>
    <xf numFmtId="164" fontId="3" fillId="12" borderId="8" xfId="1" applyNumberFormat="1" applyFont="1" applyFill="1" applyBorder="1" applyAlignment="1">
      <alignment horizontal="right" vertical="top"/>
    </xf>
    <xf numFmtId="4" fontId="3" fillId="0" borderId="8" xfId="0" applyNumberFormat="1" applyFont="1" applyFill="1" applyBorder="1" applyAlignment="1">
      <alignment horizontal="right" vertical="top"/>
    </xf>
    <xf numFmtId="9" fontId="0" fillId="0" borderId="18" xfId="2" applyFont="1" applyBorder="1"/>
    <xf numFmtId="4" fontId="3" fillId="6" borderId="8" xfId="0" applyNumberFormat="1" applyFont="1" applyFill="1" applyBorder="1" applyAlignment="1">
      <alignment horizontal="right" vertical="top"/>
    </xf>
    <xf numFmtId="9" fontId="0" fillId="6" borderId="18" xfId="2" applyFont="1" applyFill="1" applyBorder="1"/>
    <xf numFmtId="4" fontId="3" fillId="4" borderId="8" xfId="0" applyNumberFormat="1" applyFont="1" applyFill="1" applyBorder="1" applyAlignment="1">
      <alignment horizontal="right" vertical="top"/>
    </xf>
    <xf numFmtId="9" fontId="0" fillId="4" borderId="18" xfId="2" applyFont="1" applyFill="1" applyBorder="1"/>
    <xf numFmtId="4" fontId="3" fillId="0" borderId="45" xfId="0" applyNumberFormat="1" applyFont="1" applyFill="1" applyBorder="1" applyAlignment="1">
      <alignment horizontal="right" vertical="top"/>
    </xf>
    <xf numFmtId="4" fontId="3" fillId="0" borderId="10" xfId="0" applyNumberFormat="1" applyFont="1" applyFill="1" applyBorder="1" applyAlignment="1">
      <alignment horizontal="right" vertical="top"/>
    </xf>
    <xf numFmtId="9" fontId="0" fillId="0" borderId="12" xfId="2" applyFont="1" applyBorder="1"/>
    <xf numFmtId="4" fontId="3" fillId="0" borderId="28" xfId="0" applyNumberFormat="1" applyFont="1" applyFill="1" applyBorder="1" applyAlignment="1">
      <alignment horizontal="right" vertical="top"/>
    </xf>
    <xf numFmtId="4" fontId="3" fillId="0" borderId="26" xfId="0" applyNumberFormat="1" applyFont="1" applyFill="1" applyBorder="1" applyAlignment="1">
      <alignment horizontal="right" vertical="top"/>
    </xf>
    <xf numFmtId="4" fontId="3" fillId="0" borderId="33" xfId="0" applyNumberFormat="1" applyFont="1" applyFill="1" applyBorder="1" applyAlignment="1">
      <alignment horizontal="right" vertical="top"/>
    </xf>
    <xf numFmtId="9" fontId="0" fillId="0" borderId="29" xfId="2" applyFont="1" applyBorder="1"/>
    <xf numFmtId="0" fontId="0" fillId="0" borderId="19" xfId="0" applyBorder="1"/>
    <xf numFmtId="0" fontId="3" fillId="0" borderId="16" xfId="0" applyFont="1" applyFill="1" applyBorder="1" applyAlignment="1">
      <alignment vertical="top"/>
    </xf>
    <xf numFmtId="0" fontId="3" fillId="0" borderId="21" xfId="0" applyFont="1" applyFill="1" applyBorder="1" applyAlignment="1">
      <alignment vertical="top"/>
    </xf>
    <xf numFmtId="9" fontId="0" fillId="0" borderId="36" xfId="2" applyFont="1" applyBorder="1"/>
    <xf numFmtId="0" fontId="3" fillId="0" borderId="23" xfId="0" applyFont="1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0" fontId="3" fillId="6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3" fillId="0" borderId="18" xfId="0" applyFont="1" applyFill="1" applyBorder="1" applyAlignment="1">
      <alignment vertical="top"/>
    </xf>
    <xf numFmtId="0" fontId="3" fillId="6" borderId="18" xfId="0" applyFont="1" applyFill="1" applyBorder="1" applyAlignment="1">
      <alignment vertical="top"/>
    </xf>
    <xf numFmtId="0" fontId="3" fillId="4" borderId="18" xfId="0" applyFont="1" applyFill="1" applyBorder="1" applyAlignment="1">
      <alignment vertical="top"/>
    </xf>
    <xf numFmtId="0" fontId="3" fillId="0" borderId="17" xfId="0" applyFont="1" applyFill="1" applyBorder="1" applyAlignment="1">
      <alignment vertical="top"/>
    </xf>
    <xf numFmtId="0" fontId="3" fillId="0" borderId="12" xfId="0" applyFont="1" applyFill="1" applyBorder="1" applyAlignment="1">
      <alignment vertical="top"/>
    </xf>
    <xf numFmtId="0" fontId="0" fillId="10" borderId="8" xfId="0" applyFill="1" applyBorder="1"/>
    <xf numFmtId="0" fontId="3" fillId="10" borderId="3" xfId="0" applyFont="1" applyFill="1" applyBorder="1" applyAlignment="1">
      <alignment vertical="top"/>
    </xf>
    <xf numFmtId="0" fontId="3" fillId="10" borderId="18" xfId="0" applyFont="1" applyFill="1" applyBorder="1" applyAlignment="1">
      <alignment vertical="top"/>
    </xf>
    <xf numFmtId="0" fontId="3" fillId="10" borderId="1" xfId="0" applyFont="1" applyFill="1" applyBorder="1" applyAlignment="1">
      <alignment vertical="top"/>
    </xf>
    <xf numFmtId="4" fontId="3" fillId="10" borderId="8" xfId="0" applyNumberFormat="1" applyFont="1" applyFill="1" applyBorder="1" applyAlignment="1">
      <alignment horizontal="right" vertical="top"/>
    </xf>
    <xf numFmtId="4" fontId="3" fillId="10" borderId="3" xfId="0" applyNumberFormat="1" applyFont="1" applyFill="1" applyBorder="1" applyAlignment="1">
      <alignment horizontal="right" vertical="top"/>
    </xf>
    <xf numFmtId="4" fontId="3" fillId="10" borderId="13" xfId="0" applyNumberFormat="1" applyFont="1" applyFill="1" applyBorder="1" applyAlignment="1">
      <alignment horizontal="right" vertical="top"/>
    </xf>
    <xf numFmtId="9" fontId="0" fillId="10" borderId="18" xfId="2" applyFont="1" applyFill="1" applyBorder="1"/>
    <xf numFmtId="0" fontId="0" fillId="10" borderId="14" xfId="0" applyFill="1" applyBorder="1"/>
    <xf numFmtId="0" fontId="0" fillId="0" borderId="28" xfId="0" applyFill="1" applyBorder="1"/>
    <xf numFmtId="0" fontId="3" fillId="0" borderId="29" xfId="0" applyFont="1" applyFill="1" applyBorder="1" applyAlignment="1">
      <alignment vertical="top"/>
    </xf>
    <xf numFmtId="0" fontId="3" fillId="0" borderId="15" xfId="0" applyFont="1" applyFill="1" applyBorder="1" applyAlignment="1">
      <alignment vertical="top"/>
    </xf>
    <xf numFmtId="0" fontId="0" fillId="0" borderId="21" xfId="0" applyBorder="1"/>
    <xf numFmtId="0" fontId="0" fillId="0" borderId="46" xfId="0" applyFill="1" applyBorder="1" applyAlignment="1">
      <alignment wrapText="1"/>
    </xf>
    <xf numFmtId="0" fontId="0" fillId="0" borderId="22" xfId="0" applyFill="1" applyBorder="1" applyAlignment="1">
      <alignment wrapText="1"/>
    </xf>
    <xf numFmtId="0" fontId="0" fillId="0" borderId="23" xfId="0" applyFill="1" applyBorder="1" applyAlignment="1">
      <alignment wrapText="1"/>
    </xf>
    <xf numFmtId="164" fontId="4" fillId="9" borderId="28" xfId="1" applyNumberFormat="1" applyFont="1" applyFill="1" applyBorder="1" applyAlignment="1">
      <alignment horizontal="right" vertical="top"/>
    </xf>
    <xf numFmtId="38" fontId="7" fillId="9" borderId="29" xfId="1" applyNumberFormat="1" applyFont="1" applyFill="1" applyBorder="1" applyAlignment="1">
      <alignment horizontal="right" vertical="top"/>
    </xf>
    <xf numFmtId="164" fontId="4" fillId="9" borderId="8" xfId="1" applyNumberFormat="1" applyFont="1" applyFill="1" applyBorder="1" applyAlignment="1">
      <alignment horizontal="right" vertical="top"/>
    </xf>
    <xf numFmtId="38" fontId="7" fillId="9" borderId="18" xfId="1" applyNumberFormat="1" applyFont="1" applyFill="1" applyBorder="1" applyAlignment="1">
      <alignment horizontal="right" vertical="top"/>
    </xf>
    <xf numFmtId="164" fontId="4" fillId="9" borderId="8" xfId="1" applyNumberFormat="1" applyFont="1" applyFill="1" applyBorder="1"/>
    <xf numFmtId="38" fontId="7" fillId="9" borderId="18" xfId="1" applyNumberFormat="1" applyFont="1" applyFill="1" applyBorder="1"/>
    <xf numFmtId="164" fontId="0" fillId="9" borderId="8" xfId="1" applyNumberFormat="1" applyFont="1" applyFill="1" applyBorder="1"/>
    <xf numFmtId="38" fontId="8" fillId="9" borderId="18" xfId="1" applyNumberFormat="1" applyFont="1" applyFill="1" applyBorder="1"/>
    <xf numFmtId="164" fontId="3" fillId="9" borderId="8" xfId="1" applyNumberFormat="1" applyFont="1" applyFill="1" applyBorder="1" applyAlignment="1">
      <alignment horizontal="right" vertical="top"/>
    </xf>
    <xf numFmtId="164" fontId="5" fillId="4" borderId="48" xfId="1" applyNumberFormat="1" applyFont="1" applyFill="1" applyBorder="1" applyAlignment="1">
      <alignment horizontal="center" vertical="center"/>
    </xf>
    <xf numFmtId="38" fontId="7" fillId="4" borderId="49" xfId="1" applyNumberFormat="1" applyFont="1" applyFill="1" applyBorder="1" applyAlignment="1">
      <alignment horizontal="center" vertical="center"/>
    </xf>
    <xf numFmtId="164" fontId="5" fillId="0" borderId="28" xfId="1" applyNumberFormat="1" applyFont="1" applyFill="1" applyBorder="1" applyAlignment="1">
      <alignment horizontal="center" vertical="center"/>
    </xf>
    <xf numFmtId="38" fontId="7" fillId="0" borderId="29" xfId="1" applyNumberFormat="1" applyFont="1" applyFill="1" applyBorder="1" applyAlignment="1">
      <alignment horizontal="center" vertical="center"/>
    </xf>
    <xf numFmtId="0" fontId="0" fillId="0" borderId="50" xfId="0" applyBorder="1"/>
    <xf numFmtId="0" fontId="0" fillId="0" borderId="51" xfId="0" applyBorder="1"/>
    <xf numFmtId="0" fontId="0" fillId="0" borderId="52" xfId="0" applyBorder="1"/>
    <xf numFmtId="164" fontId="4" fillId="16" borderId="28" xfId="1" applyNumberFormat="1" applyFont="1" applyFill="1" applyBorder="1"/>
    <xf numFmtId="38" fontId="7" fillId="16" borderId="29" xfId="1" applyNumberFormat="1" applyFont="1" applyFill="1" applyBorder="1"/>
    <xf numFmtId="164" fontId="4" fillId="16" borderId="8" xfId="1" applyNumberFormat="1" applyFont="1" applyFill="1" applyBorder="1"/>
    <xf numFmtId="38" fontId="7" fillId="16" borderId="18" xfId="1" applyNumberFormat="1" applyFont="1" applyFill="1" applyBorder="1"/>
    <xf numFmtId="164" fontId="4" fillId="16" borderId="8" xfId="1" applyNumberFormat="1" applyFont="1" applyFill="1" applyBorder="1" applyAlignment="1">
      <alignment horizontal="right" vertical="top"/>
    </xf>
    <xf numFmtId="38" fontId="7" fillId="16" borderId="18" xfId="1" applyNumberFormat="1" applyFont="1" applyFill="1" applyBorder="1" applyAlignment="1">
      <alignment horizontal="right" vertical="top"/>
    </xf>
    <xf numFmtId="164" fontId="3" fillId="16" borderId="8" xfId="1" applyNumberFormat="1" applyFont="1" applyFill="1" applyBorder="1" applyAlignment="1">
      <alignment horizontal="right" vertical="top"/>
    </xf>
    <xf numFmtId="164" fontId="4" fillId="9" borderId="28" xfId="1" applyNumberFormat="1" applyFont="1" applyFill="1" applyBorder="1"/>
    <xf numFmtId="38" fontId="7" fillId="9" borderId="29" xfId="1" applyNumberFormat="1" applyFont="1" applyFill="1" applyBorder="1"/>
    <xf numFmtId="0" fontId="4" fillId="0" borderId="28" xfId="0" applyFont="1" applyFill="1" applyBorder="1"/>
    <xf numFmtId="0" fontId="4" fillId="0" borderId="8" xfId="0" applyFont="1" applyFill="1" applyBorder="1"/>
    <xf numFmtId="0" fontId="5" fillId="0" borderId="8" xfId="0" applyFont="1" applyFill="1" applyBorder="1"/>
    <xf numFmtId="0" fontId="4" fillId="0" borderId="30" xfId="0" applyFont="1" applyBorder="1"/>
    <xf numFmtId="0" fontId="0" fillId="0" borderId="31" xfId="0" applyBorder="1"/>
    <xf numFmtId="0" fontId="0" fillId="0" borderId="32" xfId="0" applyBorder="1"/>
    <xf numFmtId="164" fontId="4" fillId="11" borderId="28" xfId="1" applyNumberFormat="1" applyFont="1" applyFill="1" applyBorder="1" applyAlignment="1">
      <alignment horizontal="right" vertical="top"/>
    </xf>
    <xf numFmtId="38" fontId="7" fillId="11" borderId="29" xfId="1" applyNumberFormat="1" applyFont="1" applyFill="1" applyBorder="1" applyAlignment="1">
      <alignment horizontal="right" vertical="top"/>
    </xf>
    <xf numFmtId="164" fontId="4" fillId="11" borderId="8" xfId="1" applyNumberFormat="1" applyFont="1" applyFill="1" applyBorder="1"/>
    <xf numFmtId="164" fontId="4" fillId="11" borderId="8" xfId="1" applyNumberFormat="1" applyFont="1" applyFill="1" applyBorder="1" applyAlignment="1">
      <alignment horizontal="right" vertical="top"/>
    </xf>
    <xf numFmtId="164" fontId="4" fillId="11" borderId="42" xfId="1" applyNumberFormat="1" applyFont="1" applyFill="1" applyBorder="1"/>
    <xf numFmtId="164" fontId="4" fillId="11" borderId="42" xfId="1" applyNumberFormat="1" applyFont="1" applyFill="1" applyBorder="1" applyAlignment="1">
      <alignment horizontal="right" vertical="top"/>
    </xf>
    <xf numFmtId="164" fontId="4" fillId="15" borderId="28" xfId="1" applyNumberFormat="1" applyFont="1" applyFill="1" applyBorder="1"/>
    <xf numFmtId="38" fontId="7" fillId="15" borderId="29" xfId="1" applyNumberFormat="1" applyFont="1" applyFill="1" applyBorder="1"/>
    <xf numFmtId="164" fontId="4" fillId="15" borderId="8" xfId="1" applyNumberFormat="1" applyFont="1" applyFill="1" applyBorder="1" applyAlignment="1">
      <alignment horizontal="right" vertical="top"/>
    </xf>
    <xf numFmtId="38" fontId="7" fillId="15" borderId="18" xfId="1" applyNumberFormat="1" applyFont="1" applyFill="1" applyBorder="1" applyAlignment="1">
      <alignment horizontal="right" vertical="top"/>
    </xf>
    <xf numFmtId="164" fontId="4" fillId="15" borderId="8" xfId="1" applyNumberFormat="1" applyFont="1" applyFill="1" applyBorder="1"/>
    <xf numFmtId="38" fontId="7" fillId="15" borderId="18" xfId="1" applyNumberFormat="1" applyFont="1" applyFill="1" applyBorder="1"/>
    <xf numFmtId="164" fontId="4" fillId="11" borderId="28" xfId="1" applyNumberFormat="1" applyFont="1" applyFill="1" applyBorder="1"/>
    <xf numFmtId="38" fontId="8" fillId="10" borderId="18" xfId="1" applyNumberFormat="1" applyFont="1" applyFill="1" applyBorder="1"/>
    <xf numFmtId="164" fontId="3" fillId="11" borderId="8" xfId="1" applyNumberFormat="1" applyFont="1" applyFill="1" applyBorder="1" applyAlignment="1">
      <alignment horizontal="right" vertical="top"/>
    </xf>
    <xf numFmtId="164" fontId="3" fillId="10" borderId="8" xfId="1" applyNumberFormat="1" applyFont="1" applyFill="1" applyBorder="1" applyAlignment="1">
      <alignment horizontal="right" vertical="top"/>
    </xf>
    <xf numFmtId="164" fontId="12" fillId="2" borderId="5" xfId="1" applyNumberFormat="1" applyFont="1" applyFill="1" applyBorder="1" applyAlignment="1">
      <alignment horizontal="center" vertical="center" wrapText="1"/>
    </xf>
    <xf numFmtId="164" fontId="4" fillId="10" borderId="27" xfId="1" applyNumberFormat="1" applyFont="1" applyFill="1" applyBorder="1" applyAlignment="1">
      <alignment horizontal="right" vertical="top"/>
    </xf>
    <xf numFmtId="164" fontId="4" fillId="11" borderId="27" xfId="1" applyNumberFormat="1" applyFont="1" applyFill="1" applyBorder="1" applyAlignment="1">
      <alignment horizontal="right" vertical="top"/>
    </xf>
    <xf numFmtId="38" fontId="7" fillId="11" borderId="25" xfId="1" applyNumberFormat="1" applyFont="1" applyFill="1" applyBorder="1" applyAlignment="1">
      <alignment horizontal="right" vertical="top"/>
    </xf>
    <xf numFmtId="0" fontId="4" fillId="5" borderId="13" xfId="0" applyFont="1" applyFill="1" applyBorder="1" applyAlignment="1">
      <alignment horizontal="center" vertical="center" wrapText="1"/>
    </xf>
    <xf numFmtId="164" fontId="4" fillId="5" borderId="8" xfId="1" applyNumberFormat="1" applyFont="1" applyFill="1" applyBorder="1" applyAlignment="1">
      <alignment horizontal="center" vertical="center" wrapText="1"/>
    </xf>
    <xf numFmtId="38" fontId="10" fillId="5" borderId="18" xfId="1" applyNumberFormat="1" applyFont="1" applyFill="1" applyBorder="1" applyAlignment="1">
      <alignment horizontal="center" vertical="center"/>
    </xf>
    <xf numFmtId="38" fontId="7" fillId="13" borderId="18" xfId="1" applyNumberFormat="1" applyFont="1" applyFill="1" applyBorder="1" applyAlignment="1">
      <alignment horizontal="right" vertical="top"/>
    </xf>
    <xf numFmtId="164" fontId="4" fillId="13" borderId="8" xfId="1" applyNumberFormat="1" applyFont="1" applyFill="1" applyBorder="1" applyAlignment="1">
      <alignment horizontal="right" vertical="top"/>
    </xf>
    <xf numFmtId="164" fontId="4" fillId="13" borderId="8" xfId="1" applyNumberFormat="1" applyFont="1" applyFill="1" applyBorder="1"/>
    <xf numFmtId="38" fontId="7" fillId="13" borderId="18" xfId="1" applyNumberFormat="1" applyFont="1" applyFill="1" applyBorder="1"/>
    <xf numFmtId="0" fontId="4" fillId="5" borderId="8" xfId="0" applyFont="1" applyFill="1" applyBorder="1" applyAlignment="1">
      <alignment horizontal="center" vertical="center"/>
    </xf>
    <xf numFmtId="0" fontId="6" fillId="0" borderId="8" xfId="0" applyFont="1" applyFill="1" applyBorder="1"/>
    <xf numFmtId="164" fontId="3" fillId="11" borderId="26" xfId="1" applyNumberFormat="1" applyFont="1" applyFill="1" applyBorder="1" applyAlignment="1">
      <alignment horizontal="right" vertical="top"/>
    </xf>
    <xf numFmtId="164" fontId="3" fillId="13" borderId="26" xfId="1" applyNumberFormat="1" applyFont="1" applyFill="1" applyBorder="1" applyAlignment="1">
      <alignment horizontal="right" vertical="top"/>
    </xf>
    <xf numFmtId="9" fontId="4" fillId="13" borderId="26" xfId="2" applyFont="1" applyFill="1" applyBorder="1" applyAlignment="1">
      <alignment horizontal="right" vertical="top"/>
    </xf>
    <xf numFmtId="0" fontId="4" fillId="5" borderId="34" xfId="0" applyFont="1" applyFill="1" applyBorder="1" applyAlignment="1">
      <alignment horizontal="center" vertical="center"/>
    </xf>
    <xf numFmtId="0" fontId="4" fillId="5" borderId="35" xfId="0" applyFont="1" applyFill="1" applyBorder="1" applyAlignment="1">
      <alignment horizontal="center" vertical="center" wrapText="1"/>
    </xf>
    <xf numFmtId="164" fontId="4" fillId="5" borderId="35" xfId="1" applyNumberFormat="1" applyFont="1" applyFill="1" applyBorder="1" applyAlignment="1">
      <alignment horizontal="center" vertical="center" wrapText="1"/>
    </xf>
    <xf numFmtId="9" fontId="4" fillId="5" borderId="35" xfId="2" applyFont="1" applyFill="1" applyBorder="1" applyAlignment="1">
      <alignment horizontal="center" vertical="center" wrapText="1"/>
    </xf>
    <xf numFmtId="164" fontId="4" fillId="5" borderId="35" xfId="1" applyNumberFormat="1" applyFont="1" applyFill="1" applyBorder="1" applyAlignment="1">
      <alignment horizontal="center" vertical="center"/>
    </xf>
    <xf numFmtId="38" fontId="10" fillId="5" borderId="36" xfId="1" applyNumberFormat="1" applyFont="1" applyFill="1" applyBorder="1" applyAlignment="1">
      <alignment horizontal="center" vertical="center"/>
    </xf>
    <xf numFmtId="0" fontId="6" fillId="0" borderId="9" xfId="0" applyFont="1" applyFill="1" applyBorder="1"/>
    <xf numFmtId="38" fontId="7" fillId="4" borderId="20" xfId="1" applyNumberFormat="1" applyFont="1" applyFill="1" applyBorder="1" applyAlignment="1">
      <alignment horizontal="right" vertical="top"/>
    </xf>
    <xf numFmtId="0" fontId="4" fillId="5" borderId="38" xfId="0" applyFont="1" applyFill="1" applyBorder="1" applyAlignment="1">
      <alignment horizontal="center" vertical="center" wrapText="1"/>
    </xf>
    <xf numFmtId="164" fontId="4" fillId="5" borderId="44" xfId="1" applyNumberFormat="1" applyFont="1" applyFill="1" applyBorder="1" applyAlignment="1">
      <alignment horizontal="center" vertical="center" wrapText="1"/>
    </xf>
    <xf numFmtId="164" fontId="4" fillId="5" borderId="34" xfId="1" applyNumberFormat="1" applyFont="1" applyFill="1" applyBorder="1" applyAlignment="1">
      <alignment horizontal="center" vertical="center" wrapText="1"/>
    </xf>
    <xf numFmtId="164" fontId="3" fillId="11" borderId="28" xfId="1" applyNumberFormat="1" applyFont="1" applyFill="1" applyBorder="1" applyAlignment="1">
      <alignment horizontal="right" vertical="top"/>
    </xf>
    <xf numFmtId="164" fontId="5" fillId="4" borderId="37" xfId="1" applyNumberFormat="1" applyFont="1" applyFill="1" applyBorder="1" applyAlignment="1">
      <alignment horizontal="right" vertical="top"/>
    </xf>
    <xf numFmtId="164" fontId="3" fillId="11" borderId="47" xfId="1" applyNumberFormat="1" applyFont="1" applyFill="1" applyBorder="1" applyAlignment="1">
      <alignment horizontal="right" vertical="top"/>
    </xf>
    <xf numFmtId="164" fontId="3" fillId="13" borderId="28" xfId="1" applyNumberFormat="1" applyFont="1" applyFill="1" applyBorder="1" applyAlignment="1">
      <alignment horizontal="right" vertical="top"/>
    </xf>
    <xf numFmtId="38" fontId="7" fillId="13" borderId="29" xfId="1" applyNumberFormat="1" applyFont="1" applyFill="1" applyBorder="1" applyAlignment="1">
      <alignment horizontal="right" vertical="top"/>
    </xf>
    <xf numFmtId="164" fontId="5" fillId="9" borderId="8" xfId="1" applyNumberFormat="1" applyFont="1" applyFill="1" applyBorder="1"/>
    <xf numFmtId="164" fontId="5" fillId="8" borderId="8" xfId="1" applyNumberFormat="1" applyFont="1" applyFill="1" applyBorder="1" applyAlignment="1">
      <alignment horizontal="right" vertical="top"/>
    </xf>
    <xf numFmtId="164" fontId="3" fillId="8" borderId="8" xfId="1" applyNumberFormat="1" applyFont="1" applyFill="1" applyBorder="1" applyAlignment="1">
      <alignment horizontal="right" vertical="top"/>
    </xf>
    <xf numFmtId="164" fontId="5" fillId="4" borderId="37" xfId="1" applyNumberFormat="1" applyFont="1" applyFill="1" applyBorder="1"/>
    <xf numFmtId="0" fontId="9" fillId="0" borderId="8" xfId="0" applyFont="1" applyFill="1" applyBorder="1"/>
    <xf numFmtId="38" fontId="10" fillId="2" borderId="14" xfId="1" applyNumberFormat="1" applyFont="1" applyFill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0" fillId="0" borderId="54" xfId="0" applyFont="1" applyBorder="1" applyAlignment="1">
      <alignment horizontal="center" vertical="center" wrapText="1"/>
    </xf>
    <xf numFmtId="0" fontId="0" fillId="0" borderId="55" xfId="0" applyFont="1" applyBorder="1" applyAlignment="1">
      <alignment horizontal="center" vertical="center" wrapText="1"/>
    </xf>
    <xf numFmtId="164" fontId="4" fillId="8" borderId="28" xfId="1" applyNumberFormat="1" applyFont="1" applyFill="1" applyBorder="1"/>
    <xf numFmtId="164" fontId="4" fillId="8" borderId="26" xfId="1" applyNumberFormat="1" applyFont="1" applyFill="1" applyBorder="1"/>
    <xf numFmtId="9" fontId="4" fillId="8" borderId="26" xfId="2" applyFont="1" applyFill="1" applyBorder="1" applyAlignment="1">
      <alignment horizontal="right" vertical="top"/>
    </xf>
    <xf numFmtId="38" fontId="7" fillId="8" borderId="29" xfId="1" applyNumberFormat="1" applyFont="1" applyFill="1" applyBorder="1"/>
    <xf numFmtId="0" fontId="4" fillId="2" borderId="36" xfId="0" applyFont="1" applyFill="1" applyBorder="1" applyAlignment="1">
      <alignment horizontal="center" vertical="center" wrapText="1"/>
    </xf>
    <xf numFmtId="9" fontId="4" fillId="2" borderId="36" xfId="2" applyFont="1" applyFill="1" applyBorder="1" applyAlignment="1">
      <alignment horizontal="center" vertical="center" wrapText="1"/>
    </xf>
    <xf numFmtId="164" fontId="3" fillId="9" borderId="28" xfId="1" applyNumberFormat="1" applyFont="1" applyFill="1" applyBorder="1" applyAlignment="1">
      <alignment horizontal="right" vertical="top"/>
    </xf>
    <xf numFmtId="164" fontId="3" fillId="9" borderId="26" xfId="1" applyNumberFormat="1" applyFont="1" applyFill="1" applyBorder="1" applyAlignment="1">
      <alignment horizontal="right" vertical="top"/>
    </xf>
    <xf numFmtId="0" fontId="4" fillId="2" borderId="53" xfId="0" applyFont="1" applyFill="1" applyBorder="1" applyAlignment="1">
      <alignment horizontal="center" vertical="center"/>
    </xf>
    <xf numFmtId="0" fontId="4" fillId="2" borderId="54" xfId="0" applyFont="1" applyFill="1" applyBorder="1" applyAlignment="1">
      <alignment horizontal="center" vertical="center" wrapText="1"/>
    </xf>
    <xf numFmtId="0" fontId="4" fillId="5" borderId="54" xfId="0" applyFont="1" applyFill="1" applyBorder="1" applyAlignment="1">
      <alignment horizontal="center" vertical="center" wrapText="1"/>
    </xf>
    <xf numFmtId="0" fontId="4" fillId="5" borderId="56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vertical="top"/>
    </xf>
    <xf numFmtId="0" fontId="3" fillId="0" borderId="57" xfId="0" applyFont="1" applyFill="1" applyBorder="1"/>
    <xf numFmtId="0" fontId="3" fillId="0" borderId="58" xfId="0" applyFont="1" applyFill="1" applyBorder="1" applyAlignment="1">
      <alignment vertical="top"/>
    </xf>
    <xf numFmtId="0" fontId="3" fillId="0" borderId="59" xfId="0" applyFont="1" applyFill="1" applyBorder="1" applyAlignment="1">
      <alignment vertical="top"/>
    </xf>
    <xf numFmtId="164" fontId="4" fillId="11" borderId="60" xfId="1" applyNumberFormat="1" applyFont="1" applyFill="1" applyBorder="1" applyAlignment="1">
      <alignment horizontal="right" vertical="top"/>
    </xf>
    <xf numFmtId="164" fontId="4" fillId="11" borderId="58" xfId="1" applyNumberFormat="1" applyFont="1" applyFill="1" applyBorder="1" applyAlignment="1">
      <alignment horizontal="right" vertical="top"/>
    </xf>
    <xf numFmtId="9" fontId="4" fillId="11" borderId="58" xfId="2" applyFont="1" applyFill="1" applyBorder="1" applyAlignment="1">
      <alignment horizontal="right" vertical="top"/>
    </xf>
    <xf numFmtId="38" fontId="7" fillId="11" borderId="59" xfId="1" applyNumberFormat="1" applyFont="1" applyFill="1" applyBorder="1" applyAlignment="1">
      <alignment horizontal="right" vertical="top"/>
    </xf>
    <xf numFmtId="164" fontId="4" fillId="9" borderId="57" xfId="1" applyNumberFormat="1" applyFont="1" applyFill="1" applyBorder="1" applyAlignment="1">
      <alignment horizontal="right" vertical="top"/>
    </xf>
    <xf numFmtId="164" fontId="4" fillId="9" borderId="58" xfId="1" applyNumberFormat="1" applyFont="1" applyFill="1" applyBorder="1" applyAlignment="1">
      <alignment horizontal="right" vertical="top"/>
    </xf>
    <xf numFmtId="9" fontId="4" fillId="9" borderId="58" xfId="2" applyFont="1" applyFill="1" applyBorder="1" applyAlignment="1">
      <alignment horizontal="right" vertical="top"/>
    </xf>
    <xf numFmtId="38" fontId="7" fillId="9" borderId="59" xfId="1" applyNumberFormat="1" applyFont="1" applyFill="1" applyBorder="1" applyAlignment="1">
      <alignment horizontal="right" vertical="top"/>
    </xf>
    <xf numFmtId="164" fontId="4" fillId="11" borderId="57" xfId="1" applyNumberFormat="1" applyFont="1" applyFill="1" applyBorder="1" applyAlignment="1">
      <alignment horizontal="right" vertical="top"/>
    </xf>
    <xf numFmtId="0" fontId="9" fillId="0" borderId="5" xfId="0" applyFont="1" applyFill="1" applyBorder="1"/>
    <xf numFmtId="0" fontId="4" fillId="0" borderId="27" xfId="0" applyFont="1" applyFill="1" applyBorder="1"/>
    <xf numFmtId="0" fontId="4" fillId="0" borderId="10" xfId="0" applyFont="1" applyBorder="1"/>
    <xf numFmtId="0" fontId="4" fillId="0" borderId="57" xfId="0" applyFont="1" applyFill="1" applyBorder="1"/>
    <xf numFmtId="164" fontId="4" fillId="10" borderId="58" xfId="1" applyNumberFormat="1" applyFont="1" applyFill="1" applyBorder="1" applyAlignment="1">
      <alignment horizontal="right" vertical="top"/>
    </xf>
    <xf numFmtId="9" fontId="4" fillId="10" borderId="58" xfId="2" applyFont="1" applyFill="1" applyBorder="1" applyAlignment="1">
      <alignment horizontal="right" vertical="top"/>
    </xf>
    <xf numFmtId="38" fontId="7" fillId="10" borderId="59" xfId="1" applyNumberFormat="1" applyFont="1" applyFill="1" applyBorder="1" applyAlignment="1">
      <alignment horizontal="right" vertical="top"/>
    </xf>
    <xf numFmtId="0" fontId="5" fillId="0" borderId="5" xfId="0" applyFont="1" applyFill="1" applyBorder="1"/>
    <xf numFmtId="164" fontId="5" fillId="4" borderId="61" xfId="1" applyNumberFormat="1" applyFont="1" applyFill="1" applyBorder="1" applyAlignment="1">
      <alignment horizontal="right" vertical="top"/>
    </xf>
    <xf numFmtId="9" fontId="5" fillId="4" borderId="61" xfId="2" applyFont="1" applyFill="1" applyBorder="1" applyAlignment="1">
      <alignment horizontal="right" vertical="top"/>
    </xf>
    <xf numFmtId="38" fontId="7" fillId="4" borderId="62" xfId="1" applyNumberFormat="1" applyFont="1" applyFill="1" applyBorder="1" applyAlignment="1">
      <alignment horizontal="right" vertical="top"/>
    </xf>
    <xf numFmtId="0" fontId="4" fillId="0" borderId="21" xfId="0" applyFont="1" applyBorder="1"/>
    <xf numFmtId="0" fontId="3" fillId="0" borderId="63" xfId="0" applyFont="1" applyFill="1" applyBorder="1" applyAlignment="1">
      <alignment vertical="top"/>
    </xf>
    <xf numFmtId="164" fontId="4" fillId="10" borderId="27" xfId="1" applyNumberFormat="1" applyFont="1" applyFill="1" applyBorder="1"/>
    <xf numFmtId="164" fontId="4" fillId="10" borderId="57" xfId="1" applyNumberFormat="1" applyFont="1" applyFill="1" applyBorder="1" applyAlignment="1">
      <alignment horizontal="right" vertical="top"/>
    </xf>
    <xf numFmtId="164" fontId="5" fillId="4" borderId="64" xfId="1" applyNumberFormat="1" applyFont="1" applyFill="1" applyBorder="1" applyAlignment="1">
      <alignment horizontal="right" vertical="top"/>
    </xf>
    <xf numFmtId="164" fontId="5" fillId="4" borderId="21" xfId="1" applyNumberFormat="1" applyFont="1" applyFill="1" applyBorder="1" applyAlignment="1">
      <alignment horizontal="right" vertical="top"/>
    </xf>
    <xf numFmtId="164" fontId="5" fillId="4" borderId="22" xfId="1" applyNumberFormat="1" applyFont="1" applyFill="1" applyBorder="1" applyAlignment="1">
      <alignment horizontal="right" vertical="top"/>
    </xf>
    <xf numFmtId="9" fontId="5" fillId="4" borderId="22" xfId="2" applyFont="1" applyFill="1" applyBorder="1" applyAlignment="1">
      <alignment horizontal="right" vertical="top"/>
    </xf>
    <xf numFmtId="38" fontId="7" fillId="4" borderId="23" xfId="1" applyNumberFormat="1" applyFont="1" applyFill="1" applyBorder="1" applyAlignment="1">
      <alignment horizontal="right" vertical="top"/>
    </xf>
    <xf numFmtId="9" fontId="4" fillId="11" borderId="3" xfId="2" applyFont="1" applyFill="1" applyBorder="1"/>
    <xf numFmtId="9" fontId="4" fillId="10" borderId="3" xfId="2" applyFont="1" applyFill="1" applyBorder="1"/>
    <xf numFmtId="164" fontId="0" fillId="11" borderId="8" xfId="1" applyNumberFormat="1" applyFont="1" applyFill="1" applyBorder="1"/>
    <xf numFmtId="38" fontId="8" fillId="11" borderId="18" xfId="1" applyNumberFormat="1" applyFont="1" applyFill="1" applyBorder="1"/>
    <xf numFmtId="0" fontId="5" fillId="2" borderId="34" xfId="0" applyFont="1" applyFill="1" applyBorder="1" applyAlignment="1">
      <alignment horizontal="center" vertical="center"/>
    </xf>
    <xf numFmtId="0" fontId="5" fillId="2" borderId="35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0" fillId="0" borderId="53" xfId="0" applyBorder="1"/>
    <xf numFmtId="0" fontId="0" fillId="0" borderId="54" xfId="0" applyBorder="1" applyAlignment="1">
      <alignment wrapText="1"/>
    </xf>
    <xf numFmtId="0" fontId="0" fillId="0" borderId="56" xfId="0" applyBorder="1" applyAlignment="1">
      <alignment wrapText="1"/>
    </xf>
    <xf numFmtId="164" fontId="0" fillId="11" borderId="0" xfId="1" applyNumberFormat="1" applyFont="1" applyFill="1" applyBorder="1"/>
    <xf numFmtId="0" fontId="0" fillId="0" borderId="6" xfId="0" applyBorder="1" applyAlignment="1">
      <alignment horizontal="center" vertical="center" wrapText="1"/>
    </xf>
    <xf numFmtId="0" fontId="6" fillId="0" borderId="17" xfId="0" applyFont="1" applyFill="1" applyBorder="1"/>
    <xf numFmtId="0" fontId="0" fillId="0" borderId="17" xfId="0" applyBorder="1"/>
    <xf numFmtId="164" fontId="4" fillId="0" borderId="9" xfId="1" applyNumberFormat="1" applyFont="1" applyFill="1" applyBorder="1"/>
    <xf numFmtId="38" fontId="7" fillId="0" borderId="17" xfId="1" applyNumberFormat="1" applyFont="1" applyFill="1" applyBorder="1"/>
    <xf numFmtId="164" fontId="4" fillId="0" borderId="9" xfId="1" applyNumberFormat="1" applyFont="1" applyFill="1" applyBorder="1" applyAlignment="1">
      <alignment horizontal="right" vertical="top"/>
    </xf>
    <xf numFmtId="38" fontId="7" fillId="0" borderId="17" xfId="1" applyNumberFormat="1" applyFont="1" applyFill="1" applyBorder="1" applyAlignment="1">
      <alignment horizontal="right" vertical="top"/>
    </xf>
    <xf numFmtId="0" fontId="0" fillId="0" borderId="9" xfId="0" applyFill="1" applyBorder="1"/>
    <xf numFmtId="0" fontId="0" fillId="0" borderId="11" xfId="0" applyFill="1" applyBorder="1"/>
    <xf numFmtId="0" fontId="3" fillId="0" borderId="10" xfId="0" applyFont="1" applyFill="1" applyBorder="1" applyAlignment="1">
      <alignment vertical="top"/>
    </xf>
    <xf numFmtId="164" fontId="4" fillId="7" borderId="8" xfId="1" applyNumberFormat="1" applyFont="1" applyFill="1" applyBorder="1" applyAlignment="1">
      <alignment horizontal="right" vertical="top"/>
    </xf>
    <xf numFmtId="38" fontId="7" fillId="7" borderId="18" xfId="1" applyNumberFormat="1" applyFont="1" applyFill="1" applyBorder="1" applyAlignment="1">
      <alignment horizontal="right" vertical="top"/>
    </xf>
    <xf numFmtId="164" fontId="4" fillId="7" borderId="8" xfId="1" applyNumberFormat="1" applyFont="1" applyFill="1" applyBorder="1"/>
    <xf numFmtId="38" fontId="7" fillId="7" borderId="18" xfId="1" applyNumberFormat="1" applyFont="1" applyFill="1" applyBorder="1"/>
    <xf numFmtId="164" fontId="4" fillId="7" borderId="28" xfId="1" applyNumberFormat="1" applyFont="1" applyFill="1" applyBorder="1" applyAlignment="1">
      <alignment horizontal="right" vertical="top"/>
    </xf>
    <xf numFmtId="164" fontId="4" fillId="7" borderId="26" xfId="1" applyNumberFormat="1" applyFont="1" applyFill="1" applyBorder="1" applyAlignment="1">
      <alignment horizontal="right" vertical="top"/>
    </xf>
    <xf numFmtId="9" fontId="4" fillId="7" borderId="26" xfId="2" applyFont="1" applyFill="1" applyBorder="1" applyAlignment="1">
      <alignment horizontal="right" vertical="top"/>
    </xf>
    <xf numFmtId="38" fontId="7" fillId="7" borderId="29" xfId="1" applyNumberFormat="1" applyFont="1" applyFill="1" applyBorder="1" applyAlignment="1">
      <alignment horizontal="right" vertical="top"/>
    </xf>
    <xf numFmtId="164" fontId="4" fillId="7" borderId="34" xfId="1" applyNumberFormat="1" applyFont="1" applyFill="1" applyBorder="1" applyAlignment="1">
      <alignment horizontal="center" vertical="center" wrapText="1"/>
    </xf>
    <xf numFmtId="164" fontId="4" fillId="7" borderId="35" xfId="1" applyNumberFormat="1" applyFont="1" applyFill="1" applyBorder="1" applyAlignment="1">
      <alignment horizontal="center" vertical="center" wrapText="1"/>
    </xf>
    <xf numFmtId="38" fontId="10" fillId="7" borderId="36" xfId="1" applyNumberFormat="1" applyFont="1" applyFill="1" applyBorder="1" applyAlignment="1">
      <alignment horizontal="center" vertical="center"/>
    </xf>
    <xf numFmtId="164" fontId="4" fillId="9" borderId="34" xfId="1" applyNumberFormat="1" applyFont="1" applyFill="1" applyBorder="1" applyAlignment="1">
      <alignment horizontal="center" vertical="center" wrapText="1"/>
    </xf>
    <xf numFmtId="164" fontId="4" fillId="9" borderId="35" xfId="1" applyNumberFormat="1" applyFont="1" applyFill="1" applyBorder="1" applyAlignment="1">
      <alignment horizontal="center" vertical="center" wrapText="1"/>
    </xf>
    <xf numFmtId="9" fontId="4" fillId="9" borderId="35" xfId="2" applyFont="1" applyFill="1" applyBorder="1" applyAlignment="1">
      <alignment horizontal="center" vertical="center" wrapText="1"/>
    </xf>
    <xf numFmtId="38" fontId="10" fillId="9" borderId="36" xfId="1" applyNumberFormat="1" applyFont="1" applyFill="1" applyBorder="1" applyAlignment="1">
      <alignment horizontal="center" vertical="center"/>
    </xf>
    <xf numFmtId="9" fontId="4" fillId="7" borderId="35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 wrapText="1"/>
    </xf>
    <xf numFmtId="164" fontId="4" fillId="5" borderId="22" xfId="1" applyNumberFormat="1" applyFont="1" applyFill="1" applyBorder="1" applyAlignment="1">
      <alignment horizontal="center" vertical="center" wrapText="1"/>
    </xf>
    <xf numFmtId="9" fontId="4" fillId="5" borderId="22" xfId="2" applyFont="1" applyFill="1" applyBorder="1" applyAlignment="1">
      <alignment horizontal="center" vertical="center" wrapText="1"/>
    </xf>
    <xf numFmtId="38" fontId="10" fillId="5" borderId="23" xfId="1" applyNumberFormat="1" applyFont="1" applyFill="1" applyBorder="1" applyAlignment="1">
      <alignment horizontal="center" vertical="center"/>
    </xf>
    <xf numFmtId="164" fontId="4" fillId="5" borderId="21" xfId="1" applyNumberFormat="1" applyFont="1" applyFill="1" applyBorder="1" applyAlignment="1">
      <alignment horizontal="center" vertical="center" wrapText="1"/>
    </xf>
    <xf numFmtId="164" fontId="4" fillId="11" borderId="9" xfId="1" applyNumberFormat="1" applyFont="1" applyFill="1" applyBorder="1" applyAlignment="1">
      <alignment horizontal="right" vertical="top"/>
    </xf>
    <xf numFmtId="38" fontId="7" fillId="11" borderId="17" xfId="1" applyNumberFormat="1" applyFont="1" applyFill="1" applyBorder="1" applyAlignment="1">
      <alignment horizontal="right" vertical="top"/>
    </xf>
    <xf numFmtId="164" fontId="4" fillId="11" borderId="9" xfId="1" applyNumberFormat="1" applyFont="1" applyFill="1" applyBorder="1"/>
    <xf numFmtId="38" fontId="7" fillId="11" borderId="17" xfId="1" applyNumberFormat="1" applyFont="1" applyFill="1" applyBorder="1"/>
    <xf numFmtId="164" fontId="5" fillId="4" borderId="65" xfId="1" applyNumberFormat="1" applyFont="1" applyFill="1" applyBorder="1" applyAlignment="1">
      <alignment horizontal="right" vertical="top"/>
    </xf>
    <xf numFmtId="38" fontId="7" fillId="4" borderId="14" xfId="1" applyNumberFormat="1" applyFont="1" applyFill="1" applyBorder="1" applyAlignment="1">
      <alignment horizontal="right" vertical="top"/>
    </xf>
    <xf numFmtId="164" fontId="3" fillId="11" borderId="9" xfId="1" applyNumberFormat="1" applyFont="1" applyFill="1" applyBorder="1" applyAlignment="1">
      <alignment horizontal="right" vertical="top"/>
    </xf>
    <xf numFmtId="164" fontId="0" fillId="11" borderId="9" xfId="1" applyNumberFormat="1" applyFont="1" applyFill="1" applyBorder="1"/>
    <xf numFmtId="38" fontId="8" fillId="11" borderId="17" xfId="1" applyNumberFormat="1" applyFont="1" applyFill="1" applyBorder="1"/>
    <xf numFmtId="164" fontId="5" fillId="4" borderId="65" xfId="1" applyNumberFormat="1" applyFont="1" applyFill="1" applyBorder="1"/>
    <xf numFmtId="38" fontId="7" fillId="3" borderId="17" xfId="1" applyNumberFormat="1" applyFont="1" applyFill="1" applyBorder="1" applyAlignment="1">
      <alignment horizontal="right" vertical="top"/>
    </xf>
    <xf numFmtId="38" fontId="7" fillId="3" borderId="17" xfId="1" applyNumberFormat="1" applyFont="1" applyFill="1" applyBorder="1"/>
    <xf numFmtId="164" fontId="4" fillId="0" borderId="10" xfId="1" applyNumberFormat="1" applyFont="1" applyFill="1" applyBorder="1" applyAlignment="1">
      <alignment horizontal="right" vertical="top"/>
    </xf>
    <xf numFmtId="164" fontId="4" fillId="0" borderId="11" xfId="1" applyNumberFormat="1" applyFont="1" applyFill="1" applyBorder="1" applyAlignment="1">
      <alignment horizontal="right" vertical="top"/>
    </xf>
    <xf numFmtId="38" fontId="7" fillId="0" borderId="12" xfId="1" applyNumberFormat="1" applyFont="1" applyFill="1" applyBorder="1" applyAlignment="1">
      <alignment horizontal="right" vertical="top"/>
    </xf>
    <xf numFmtId="164" fontId="4" fillId="10" borderId="9" xfId="1" applyNumberFormat="1" applyFont="1" applyFill="1" applyBorder="1" applyAlignment="1">
      <alignment horizontal="right" vertical="top"/>
    </xf>
    <xf numFmtId="164" fontId="4" fillId="10" borderId="9" xfId="1" applyNumberFormat="1" applyFont="1" applyFill="1" applyBorder="1"/>
    <xf numFmtId="164" fontId="3" fillId="10" borderId="9" xfId="1" applyNumberFormat="1" applyFont="1" applyFill="1" applyBorder="1" applyAlignment="1">
      <alignment horizontal="right" vertical="top"/>
    </xf>
    <xf numFmtId="164" fontId="0" fillId="10" borderId="9" xfId="1" applyNumberFormat="1" applyFont="1" applyFill="1" applyBorder="1"/>
    <xf numFmtId="164" fontId="4" fillId="0" borderId="10" xfId="1" applyNumberFormat="1" applyFont="1" applyFill="1" applyBorder="1"/>
    <xf numFmtId="164" fontId="4" fillId="0" borderId="11" xfId="1" applyNumberFormat="1" applyFont="1" applyFill="1" applyBorder="1"/>
    <xf numFmtId="9" fontId="4" fillId="0" borderId="11" xfId="2" applyFont="1" applyFill="1" applyBorder="1"/>
    <xf numFmtId="38" fontId="7" fillId="0" borderId="12" xfId="1" applyNumberFormat="1" applyFont="1" applyFill="1" applyBorder="1"/>
    <xf numFmtId="0" fontId="0" fillId="0" borderId="10" xfId="0" applyFill="1" applyBorder="1"/>
    <xf numFmtId="38" fontId="10" fillId="2" borderId="11" xfId="1" applyNumberFormat="1" applyFont="1" applyFill="1" applyBorder="1" applyAlignment="1">
      <alignment horizontal="center" vertical="center"/>
    </xf>
    <xf numFmtId="38" fontId="7" fillId="14" borderId="40" xfId="1" applyNumberFormat="1" applyFont="1" applyFill="1" applyBorder="1" applyAlignment="1">
      <alignment horizontal="right" vertical="top"/>
    </xf>
    <xf numFmtId="38" fontId="7" fillId="14" borderId="13" xfId="1" applyNumberFormat="1" applyFont="1" applyFill="1" applyBorder="1" applyAlignment="1">
      <alignment horizontal="right" vertical="top"/>
    </xf>
    <xf numFmtId="38" fontId="7" fillId="14" borderId="13" xfId="1" applyNumberFormat="1" applyFont="1" applyFill="1" applyBorder="1"/>
    <xf numFmtId="38" fontId="8" fillId="14" borderId="13" xfId="1" applyNumberFormat="1" applyFont="1" applyFill="1" applyBorder="1"/>
    <xf numFmtId="38" fontId="7" fillId="4" borderId="4" xfId="1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38" fontId="10" fillId="7" borderId="38" xfId="1" applyNumberFormat="1" applyFont="1" applyFill="1" applyBorder="1" applyAlignment="1">
      <alignment horizontal="center" vertical="center"/>
    </xf>
    <xf numFmtId="38" fontId="7" fillId="7" borderId="33" xfId="1" applyNumberFormat="1" applyFont="1" applyFill="1" applyBorder="1" applyAlignment="1">
      <alignment horizontal="right" vertical="top"/>
    </xf>
    <xf numFmtId="38" fontId="7" fillId="7" borderId="13" xfId="1" applyNumberFormat="1" applyFont="1" applyFill="1" applyBorder="1" applyAlignment="1">
      <alignment horizontal="right" vertical="top"/>
    </xf>
    <xf numFmtId="38" fontId="7" fillId="7" borderId="13" xfId="1" applyNumberFormat="1" applyFont="1" applyFill="1" applyBorder="1"/>
    <xf numFmtId="38" fontId="7" fillId="4" borderId="66" xfId="1" applyNumberFormat="1" applyFont="1" applyFill="1" applyBorder="1" applyAlignment="1">
      <alignment horizontal="center" vertical="center"/>
    </xf>
    <xf numFmtId="0" fontId="0" fillId="0" borderId="68" xfId="0" applyFill="1" applyBorder="1"/>
    <xf numFmtId="0" fontId="0" fillId="0" borderId="69" xfId="0" applyBorder="1"/>
    <xf numFmtId="0" fontId="0" fillId="0" borderId="72" xfId="0" applyFill="1" applyBorder="1"/>
    <xf numFmtId="38" fontId="7" fillId="9" borderId="13" xfId="1" applyNumberFormat="1" applyFont="1" applyFill="1" applyBorder="1" applyAlignment="1">
      <alignment horizontal="right" vertical="top"/>
    </xf>
    <xf numFmtId="38" fontId="7" fillId="9" borderId="13" xfId="1" applyNumberFormat="1" applyFont="1" applyFill="1" applyBorder="1"/>
    <xf numFmtId="38" fontId="8" fillId="9" borderId="13" xfId="1" applyNumberFormat="1" applyFont="1" applyFill="1" applyBorder="1"/>
    <xf numFmtId="0" fontId="0" fillId="0" borderId="69" xfId="0" applyFill="1" applyBorder="1"/>
    <xf numFmtId="0" fontId="0" fillId="0" borderId="73" xfId="0" applyBorder="1"/>
    <xf numFmtId="0" fontId="0" fillId="18" borderId="68" xfId="0" applyFill="1" applyBorder="1"/>
    <xf numFmtId="0" fontId="9" fillId="11" borderId="70" xfId="0" applyFont="1" applyFill="1" applyBorder="1" applyAlignment="1">
      <alignment horizontal="center" vertical="center"/>
    </xf>
    <xf numFmtId="0" fontId="0" fillId="11" borderId="68" xfId="0" applyFill="1" applyBorder="1"/>
    <xf numFmtId="0" fontId="9" fillId="10" borderId="70" xfId="0" applyFont="1" applyFill="1" applyBorder="1" applyAlignment="1">
      <alignment horizontal="center" vertical="center"/>
    </xf>
    <xf numFmtId="0" fontId="0" fillId="10" borderId="16" xfId="0" applyFont="1" applyFill="1" applyBorder="1" applyAlignment="1">
      <alignment horizontal="center" vertical="center"/>
    </xf>
    <xf numFmtId="0" fontId="0" fillId="10" borderId="71" xfId="0" applyFill="1" applyBorder="1"/>
    <xf numFmtId="0" fontId="0" fillId="10" borderId="68" xfId="0" applyFill="1" applyBorder="1"/>
    <xf numFmtId="0" fontId="9" fillId="9" borderId="70" xfId="0" applyFont="1" applyFill="1" applyBorder="1" applyAlignment="1">
      <alignment horizontal="center" vertical="center"/>
    </xf>
    <xf numFmtId="0" fontId="0" fillId="9" borderId="16" xfId="0" applyFont="1" applyFill="1" applyBorder="1" applyAlignment="1">
      <alignment horizontal="center" vertical="center"/>
    </xf>
    <xf numFmtId="0" fontId="0" fillId="9" borderId="71" xfId="0" applyFill="1" applyBorder="1"/>
    <xf numFmtId="0" fontId="0" fillId="9" borderId="68" xfId="0" applyFill="1" applyBorder="1"/>
    <xf numFmtId="0" fontId="0" fillId="9" borderId="69" xfId="0" applyFill="1" applyBorder="1"/>
    <xf numFmtId="0" fontId="0" fillId="5" borderId="70" xfId="0" applyFont="1" applyFill="1" applyBorder="1" applyAlignment="1">
      <alignment horizontal="center" vertical="center"/>
    </xf>
    <xf numFmtId="0" fontId="9" fillId="0" borderId="70" xfId="0" applyFont="1" applyFill="1" applyBorder="1" applyAlignment="1">
      <alignment horizontal="center" vertical="center"/>
    </xf>
    <xf numFmtId="0" fontId="0" fillId="11" borderId="67" xfId="0" applyFill="1" applyBorder="1"/>
    <xf numFmtId="0" fontId="0" fillId="15" borderId="67" xfId="0" applyFill="1" applyBorder="1"/>
    <xf numFmtId="0" fontId="0" fillId="15" borderId="68" xfId="0" applyFill="1" applyBorder="1"/>
    <xf numFmtId="0" fontId="0" fillId="10" borderId="67" xfId="0" applyFill="1" applyBorder="1"/>
    <xf numFmtId="38" fontId="10" fillId="11" borderId="38" xfId="1" applyNumberFormat="1" applyFont="1" applyFill="1" applyBorder="1" applyAlignment="1">
      <alignment horizontal="center" vertical="center"/>
    </xf>
    <xf numFmtId="38" fontId="7" fillId="11" borderId="33" xfId="1" applyNumberFormat="1" applyFont="1" applyFill="1" applyBorder="1"/>
    <xf numFmtId="38" fontId="7" fillId="11" borderId="13" xfId="1" applyNumberFormat="1" applyFont="1" applyFill="1" applyBorder="1"/>
    <xf numFmtId="38" fontId="7" fillId="11" borderId="13" xfId="1" applyNumberFormat="1" applyFont="1" applyFill="1" applyBorder="1" applyAlignment="1">
      <alignment horizontal="right" vertical="top"/>
    </xf>
    <xf numFmtId="38" fontId="7" fillId="4" borderId="2" xfId="1" applyNumberFormat="1" applyFont="1" applyFill="1" applyBorder="1"/>
    <xf numFmtId="38" fontId="8" fillId="11" borderId="13" xfId="1" applyNumberFormat="1" applyFont="1" applyFill="1" applyBorder="1"/>
    <xf numFmtId="38" fontId="7" fillId="0" borderId="0" xfId="1" applyNumberFormat="1" applyFont="1" applyFill="1" applyBorder="1"/>
    <xf numFmtId="0" fontId="0" fillId="0" borderId="68" xfId="0" applyBorder="1"/>
    <xf numFmtId="0" fontId="3" fillId="0" borderId="5" xfId="0" applyFont="1" applyBorder="1" applyAlignment="1">
      <alignment horizontal="center" vertical="center"/>
    </xf>
    <xf numFmtId="0" fontId="3" fillId="0" borderId="9" xfId="0" applyFont="1" applyBorder="1"/>
    <xf numFmtId="0" fontId="3" fillId="0" borderId="0" xfId="0" applyFont="1" applyBorder="1"/>
    <xf numFmtId="164" fontId="4" fillId="2" borderId="35" xfId="1" applyNumberFormat="1" applyFont="1" applyFill="1" applyBorder="1" applyAlignment="1">
      <alignment wrapText="1"/>
    </xf>
    <xf numFmtId="0" fontId="0" fillId="19" borderId="71" xfId="0" applyFill="1" applyBorder="1"/>
    <xf numFmtId="0" fontId="0" fillId="19" borderId="68" xfId="0" applyFill="1" applyBorder="1"/>
    <xf numFmtId="38" fontId="7" fillId="4" borderId="2" xfId="1" applyNumberFormat="1" applyFont="1" applyFill="1" applyBorder="1" applyAlignment="1">
      <alignment horizontal="right" vertical="top"/>
    </xf>
    <xf numFmtId="38" fontId="10" fillId="5" borderId="38" xfId="1" applyNumberFormat="1" applyFont="1" applyFill="1" applyBorder="1" applyAlignment="1">
      <alignment horizontal="center" vertical="center"/>
    </xf>
    <xf numFmtId="38" fontId="7" fillId="11" borderId="33" xfId="1" applyNumberFormat="1" applyFont="1" applyFill="1" applyBorder="1" applyAlignment="1">
      <alignment horizontal="right" vertical="top"/>
    </xf>
    <xf numFmtId="0" fontId="0" fillId="19" borderId="73" xfId="0" applyFill="1" applyBorder="1"/>
    <xf numFmtId="0" fontId="9" fillId="20" borderId="70" xfId="0" applyFont="1" applyFill="1" applyBorder="1" applyAlignment="1">
      <alignment horizontal="center" vertical="center"/>
    </xf>
    <xf numFmtId="0" fontId="0" fillId="17" borderId="68" xfId="0" applyFill="1" applyBorder="1"/>
    <xf numFmtId="38" fontId="7" fillId="8" borderId="40" xfId="1" applyNumberFormat="1" applyFont="1" applyFill="1" applyBorder="1" applyAlignment="1">
      <alignment horizontal="right" vertical="top"/>
    </xf>
    <xf numFmtId="38" fontId="7" fillId="8" borderId="13" xfId="1" applyNumberFormat="1" applyFont="1" applyFill="1" applyBorder="1" applyAlignment="1">
      <alignment horizontal="right" vertical="top"/>
    </xf>
    <xf numFmtId="38" fontId="7" fillId="8" borderId="13" xfId="1" applyNumberFormat="1" applyFont="1" applyFill="1" applyBorder="1"/>
    <xf numFmtId="38" fontId="10" fillId="2" borderId="22" xfId="1" applyNumberFormat="1" applyFont="1" applyFill="1" applyBorder="1" applyAlignment="1">
      <alignment horizontal="center" vertical="center"/>
    </xf>
    <xf numFmtId="0" fontId="0" fillId="14" borderId="67" xfId="0" applyFill="1" applyBorder="1"/>
    <xf numFmtId="0" fontId="0" fillId="14" borderId="68" xfId="0" applyFill="1" applyBorder="1"/>
    <xf numFmtId="38" fontId="7" fillId="17" borderId="40" xfId="1" applyNumberFormat="1" applyFont="1" applyFill="1" applyBorder="1" applyAlignment="1">
      <alignment horizontal="right" vertical="top"/>
    </xf>
    <xf numFmtId="38" fontId="7" fillId="17" borderId="13" xfId="1" applyNumberFormat="1" applyFont="1" applyFill="1" applyBorder="1"/>
    <xf numFmtId="38" fontId="7" fillId="17" borderId="13" xfId="1" applyNumberFormat="1" applyFont="1" applyFill="1" applyBorder="1" applyAlignment="1">
      <alignment horizontal="right" vertical="top"/>
    </xf>
    <xf numFmtId="38" fontId="7" fillId="11" borderId="0" xfId="1" applyNumberFormat="1" applyFont="1" applyFill="1" applyBorder="1" applyAlignment="1">
      <alignment horizontal="right" vertical="top"/>
    </xf>
    <xf numFmtId="38" fontId="7" fillId="11" borderId="0" xfId="1" applyNumberFormat="1" applyFont="1" applyFill="1" applyBorder="1"/>
    <xf numFmtId="38" fontId="7" fillId="4" borderId="1" xfId="1" applyNumberFormat="1" applyFont="1" applyFill="1" applyBorder="1" applyAlignment="1">
      <alignment horizontal="right" vertical="top"/>
    </xf>
    <xf numFmtId="38" fontId="8" fillId="11" borderId="0" xfId="1" applyNumberFormat="1" applyFont="1" applyFill="1" applyBorder="1"/>
    <xf numFmtId="38" fontId="7" fillId="4" borderId="1" xfId="1" applyNumberFormat="1" applyFont="1" applyFill="1" applyBorder="1"/>
    <xf numFmtId="38" fontId="7" fillId="3" borderId="0" xfId="1" applyNumberFormat="1" applyFont="1" applyFill="1" applyBorder="1" applyAlignment="1">
      <alignment horizontal="right" vertical="top"/>
    </xf>
    <xf numFmtId="38" fontId="7" fillId="3" borderId="0" xfId="1" applyNumberFormat="1" applyFont="1" applyFill="1" applyBorder="1"/>
    <xf numFmtId="38" fontId="7" fillId="0" borderId="11" xfId="1" applyNumberFormat="1" applyFont="1" applyFill="1" applyBorder="1"/>
    <xf numFmtId="44" fontId="0" fillId="11" borderId="67" xfId="3" applyFont="1" applyFill="1" applyBorder="1"/>
    <xf numFmtId="44" fontId="0" fillId="11" borderId="68" xfId="3" applyFont="1" applyFill="1" applyBorder="1"/>
    <xf numFmtId="0" fontId="3" fillId="4" borderId="13" xfId="0" applyFont="1" applyFill="1" applyBorder="1" applyAlignment="1">
      <alignment vertical="top"/>
    </xf>
    <xf numFmtId="0" fontId="0" fillId="4" borderId="68" xfId="0" applyFill="1" applyBorder="1"/>
    <xf numFmtId="164" fontId="0" fillId="0" borderId="0" xfId="0" applyNumberFormat="1" applyFill="1" applyBorder="1"/>
    <xf numFmtId="0" fontId="4" fillId="4" borderId="8" xfId="0" applyFont="1" applyFill="1" applyBorder="1"/>
    <xf numFmtId="164" fontId="4" fillId="4" borderId="8" xfId="1" applyNumberFormat="1" applyFont="1" applyFill="1" applyBorder="1"/>
    <xf numFmtId="164" fontId="4" fillId="4" borderId="3" xfId="1" applyNumberFormat="1" applyFont="1" applyFill="1" applyBorder="1"/>
    <xf numFmtId="9" fontId="4" fillId="4" borderId="3" xfId="2" applyFont="1" applyFill="1" applyBorder="1" applyAlignment="1">
      <alignment horizontal="right" vertical="top"/>
    </xf>
    <xf numFmtId="38" fontId="7" fillId="4" borderId="18" xfId="1" applyNumberFormat="1" applyFont="1" applyFill="1" applyBorder="1"/>
    <xf numFmtId="164" fontId="4" fillId="4" borderId="8" xfId="1" applyNumberFormat="1" applyFont="1" applyFill="1" applyBorder="1" applyAlignment="1">
      <alignment horizontal="right" vertical="top"/>
    </xf>
    <xf numFmtId="164" fontId="4" fillId="4" borderId="3" xfId="1" applyNumberFormat="1" applyFont="1" applyFill="1" applyBorder="1" applyAlignment="1">
      <alignment horizontal="right" vertical="top"/>
    </xf>
    <xf numFmtId="38" fontId="7" fillId="4" borderId="18" xfId="1" applyNumberFormat="1" applyFont="1" applyFill="1" applyBorder="1" applyAlignment="1">
      <alignment horizontal="right" vertical="top"/>
    </xf>
    <xf numFmtId="164" fontId="0" fillId="0" borderId="0" xfId="0" applyNumberFormat="1"/>
    <xf numFmtId="0" fontId="4" fillId="3" borderId="8" xfId="0" applyFont="1" applyFill="1" applyBorder="1"/>
    <xf numFmtId="0" fontId="3" fillId="3" borderId="3" xfId="0" applyFont="1" applyFill="1" applyBorder="1" applyAlignment="1">
      <alignment vertical="top"/>
    </xf>
    <xf numFmtId="0" fontId="3" fillId="3" borderId="13" xfId="0" applyFont="1" applyFill="1" applyBorder="1" applyAlignment="1">
      <alignment vertical="top"/>
    </xf>
    <xf numFmtId="164" fontId="3" fillId="3" borderId="8" xfId="1" applyNumberFormat="1" applyFont="1" applyFill="1" applyBorder="1" applyAlignment="1">
      <alignment horizontal="right" vertical="top"/>
    </xf>
    <xf numFmtId="164" fontId="3" fillId="3" borderId="3" xfId="1" applyNumberFormat="1" applyFont="1" applyFill="1" applyBorder="1" applyAlignment="1">
      <alignment horizontal="right" vertical="top"/>
    </xf>
    <xf numFmtId="9" fontId="4" fillId="3" borderId="3" xfId="2" applyFont="1" applyFill="1" applyBorder="1" applyAlignment="1">
      <alignment horizontal="right" vertical="top"/>
    </xf>
    <xf numFmtId="38" fontId="7" fillId="3" borderId="18" xfId="1" applyNumberFormat="1" applyFont="1" applyFill="1" applyBorder="1" applyAlignment="1">
      <alignment horizontal="right" vertical="top"/>
    </xf>
    <xf numFmtId="164" fontId="4" fillId="3" borderId="8" xfId="1" applyNumberFormat="1" applyFont="1" applyFill="1" applyBorder="1" applyAlignment="1">
      <alignment horizontal="right" vertical="top"/>
    </xf>
    <xf numFmtId="164" fontId="4" fillId="3" borderId="3" xfId="1" applyNumberFormat="1" applyFont="1" applyFill="1" applyBorder="1" applyAlignment="1">
      <alignment horizontal="right" vertical="top"/>
    </xf>
    <xf numFmtId="164" fontId="4" fillId="3" borderId="8" xfId="1" applyNumberFormat="1" applyFont="1" applyFill="1" applyBorder="1"/>
    <xf numFmtId="164" fontId="4" fillId="3" borderId="3" xfId="1" applyNumberFormat="1" applyFont="1" applyFill="1" applyBorder="1"/>
    <xf numFmtId="38" fontId="7" fillId="3" borderId="18" xfId="1" applyNumberFormat="1" applyFont="1" applyFill="1" applyBorder="1"/>
    <xf numFmtId="164" fontId="0" fillId="0" borderId="2" xfId="0" applyNumberFormat="1" applyBorder="1"/>
    <xf numFmtId="0" fontId="3" fillId="3" borderId="9" xfId="0" applyFont="1" applyFill="1" applyBorder="1"/>
    <xf numFmtId="0" fontId="3" fillId="3" borderId="0" xfId="0" applyFont="1" applyFill="1" applyBorder="1" applyAlignment="1">
      <alignment vertical="top"/>
    </xf>
    <xf numFmtId="0" fontId="0" fillId="4" borderId="14" xfId="0" quotePrefix="1" applyFill="1" applyBorder="1"/>
    <xf numFmtId="43" fontId="0" fillId="0" borderId="0" xfId="0" applyNumberFormat="1"/>
    <xf numFmtId="0" fontId="3" fillId="0" borderId="3" xfId="0" applyFont="1" applyFill="1" applyBorder="1" applyAlignment="1">
      <alignment vertical="top"/>
    </xf>
    <xf numFmtId="0" fontId="3" fillId="0" borderId="3" xfId="0" applyFont="1" applyFill="1" applyBorder="1" applyAlignment="1">
      <alignment vertical="top"/>
    </xf>
    <xf numFmtId="43" fontId="0" fillId="0" borderId="0" xfId="1" applyFont="1"/>
    <xf numFmtId="164" fontId="0" fillId="4" borderId="0" xfId="0" applyNumberFormat="1" applyFill="1"/>
    <xf numFmtId="43" fontId="0" fillId="4" borderId="0" xfId="1" applyFont="1" applyFill="1"/>
    <xf numFmtId="4" fontId="0" fillId="0" borderId="0" xfId="0" applyNumberFormat="1"/>
    <xf numFmtId="0" fontId="0" fillId="15" borderId="68" xfId="0" applyFont="1" applyFill="1" applyBorder="1"/>
    <xf numFmtId="164" fontId="0" fillId="0" borderId="0" xfId="1" applyNumberFormat="1" applyFont="1"/>
    <xf numFmtId="44" fontId="0" fillId="0" borderId="0" xfId="3" applyFont="1"/>
    <xf numFmtId="44" fontId="0" fillId="0" borderId="0" xfId="3" applyFont="1" applyFill="1" applyBorder="1"/>
    <xf numFmtId="0" fontId="0" fillId="0" borderId="0" xfId="0" applyAlignment="1">
      <alignment horizontal="right"/>
    </xf>
    <xf numFmtId="0" fontId="0" fillId="4" borderId="0" xfId="0" applyFill="1"/>
    <xf numFmtId="0" fontId="9" fillId="4" borderId="0" xfId="0" applyFont="1" applyFill="1"/>
    <xf numFmtId="44" fontId="9" fillId="4" borderId="2" xfId="3" applyFont="1" applyFill="1" applyBorder="1"/>
    <xf numFmtId="44" fontId="9" fillId="4" borderId="74" xfId="3" applyFont="1" applyFill="1" applyBorder="1"/>
    <xf numFmtId="164" fontId="6" fillId="4" borderId="2" xfId="0" applyNumberFormat="1" applyFont="1" applyFill="1" applyBorder="1"/>
    <xf numFmtId="0" fontId="14" fillId="0" borderId="0" xfId="0" applyFont="1" applyFill="1" applyBorder="1"/>
    <xf numFmtId="44" fontId="14" fillId="0" borderId="0" xfId="3" applyFont="1" applyFill="1" applyBorder="1"/>
    <xf numFmtId="164" fontId="5" fillId="0" borderId="5" xfId="1" applyNumberFormat="1" applyFont="1" applyFill="1" applyBorder="1" applyAlignment="1">
      <alignment vertical="top"/>
    </xf>
    <xf numFmtId="164" fontId="5" fillId="0" borderId="6" xfId="1" applyNumberFormat="1" applyFont="1" applyFill="1" applyBorder="1"/>
    <xf numFmtId="164" fontId="5" fillId="0" borderId="7" xfId="1" applyNumberFormat="1" applyFont="1" applyFill="1" applyBorder="1"/>
    <xf numFmtId="164" fontId="5" fillId="7" borderId="53" xfId="1" applyNumberFormat="1" applyFont="1" applyFill="1" applyBorder="1" applyAlignment="1">
      <alignment horizontal="center" vertical="top"/>
    </xf>
    <xf numFmtId="164" fontId="5" fillId="7" borderId="54" xfId="1" applyNumberFormat="1" applyFont="1" applyFill="1" applyBorder="1" applyAlignment="1">
      <alignment horizontal="center"/>
    </xf>
    <xf numFmtId="164" fontId="5" fillId="7" borderId="55" xfId="1" applyNumberFormat="1" applyFont="1" applyFill="1" applyBorder="1" applyAlignment="1">
      <alignment horizontal="center"/>
    </xf>
    <xf numFmtId="164" fontId="5" fillId="9" borderId="53" xfId="1" applyNumberFormat="1" applyFont="1" applyFill="1" applyBorder="1" applyAlignment="1">
      <alignment horizontal="center" vertical="top"/>
    </xf>
    <xf numFmtId="164" fontId="5" fillId="9" borderId="54" xfId="1" applyNumberFormat="1" applyFont="1" applyFill="1" applyBorder="1" applyAlignment="1">
      <alignment horizontal="center"/>
    </xf>
    <xf numFmtId="164" fontId="5" fillId="9" borderId="55" xfId="1" applyNumberFormat="1" applyFont="1" applyFill="1" applyBorder="1" applyAlignment="1">
      <alignment horizontal="center"/>
    </xf>
    <xf numFmtId="164" fontId="5" fillId="7" borderId="56" xfId="1" applyNumberFormat="1" applyFont="1" applyFill="1" applyBorder="1" applyAlignment="1">
      <alignment horizontal="center"/>
    </xf>
    <xf numFmtId="164" fontId="5" fillId="9" borderId="27" xfId="1" applyNumberFormat="1" applyFont="1" applyFill="1" applyBorder="1" applyAlignment="1">
      <alignment vertical="top"/>
    </xf>
    <xf numFmtId="164" fontId="5" fillId="9" borderId="24" xfId="1" applyNumberFormat="1" applyFont="1" applyFill="1" applyBorder="1"/>
    <xf numFmtId="164" fontId="5" fillId="9" borderId="25" xfId="1" applyNumberFormat="1" applyFont="1" applyFill="1" applyBorder="1"/>
    <xf numFmtId="164" fontId="5" fillId="11" borderId="27" xfId="1" applyNumberFormat="1" applyFont="1" applyFill="1" applyBorder="1" applyAlignment="1">
      <alignment vertical="top"/>
    </xf>
    <xf numFmtId="164" fontId="5" fillId="11" borderId="24" xfId="1" applyNumberFormat="1" applyFont="1" applyFill="1" applyBorder="1"/>
    <xf numFmtId="164" fontId="5" fillId="11" borderId="25" xfId="1" applyNumberFormat="1" applyFont="1" applyFill="1" applyBorder="1"/>
    <xf numFmtId="164" fontId="5" fillId="11" borderId="5" xfId="1" applyNumberFormat="1" applyFont="1" applyFill="1" applyBorder="1" applyAlignment="1">
      <alignment horizontal="center" vertical="center"/>
    </xf>
    <xf numFmtId="164" fontId="5" fillId="11" borderId="6" xfId="1" applyNumberFormat="1" applyFont="1" applyFill="1" applyBorder="1" applyAlignment="1">
      <alignment horizontal="center" vertical="center"/>
    </xf>
    <xf numFmtId="164" fontId="5" fillId="11" borderId="7" xfId="1" applyNumberFormat="1" applyFont="1" applyFill="1" applyBorder="1" applyAlignment="1">
      <alignment horizontal="center" vertical="center"/>
    </xf>
    <xf numFmtId="164" fontId="5" fillId="10" borderId="5" xfId="1" applyNumberFormat="1" applyFont="1" applyFill="1" applyBorder="1" applyAlignment="1">
      <alignment horizontal="center" vertical="center"/>
    </xf>
    <xf numFmtId="164" fontId="5" fillId="10" borderId="6" xfId="1" applyNumberFormat="1" applyFont="1" applyFill="1" applyBorder="1" applyAlignment="1">
      <alignment horizontal="center" vertical="center"/>
    </xf>
    <xf numFmtId="164" fontId="5" fillId="10" borderId="7" xfId="1" applyNumberFormat="1" applyFont="1" applyFill="1" applyBorder="1" applyAlignment="1">
      <alignment horizontal="center" vertical="center"/>
    </xf>
    <xf numFmtId="164" fontId="5" fillId="10" borderId="21" xfId="1" applyNumberFormat="1" applyFont="1" applyFill="1" applyBorder="1" applyAlignment="1">
      <alignment horizontal="center" vertical="top"/>
    </xf>
    <xf numFmtId="164" fontId="5" fillId="10" borderId="22" xfId="1" applyNumberFormat="1" applyFont="1" applyFill="1" applyBorder="1" applyAlignment="1">
      <alignment horizontal="center"/>
    </xf>
    <xf numFmtId="164" fontId="5" fillId="10" borderId="23" xfId="1" applyNumberFormat="1" applyFont="1" applyFill="1" applyBorder="1" applyAlignment="1">
      <alignment horizontal="center"/>
    </xf>
    <xf numFmtId="164" fontId="5" fillId="11" borderId="21" xfId="1" applyNumberFormat="1" applyFont="1" applyFill="1" applyBorder="1" applyAlignment="1">
      <alignment horizontal="center" vertical="top"/>
    </xf>
    <xf numFmtId="164" fontId="5" fillId="11" borderId="22" xfId="1" applyNumberFormat="1" applyFont="1" applyFill="1" applyBorder="1" applyAlignment="1">
      <alignment horizontal="center"/>
    </xf>
    <xf numFmtId="164" fontId="5" fillId="11" borderId="23" xfId="1" applyNumberFormat="1" applyFont="1" applyFill="1" applyBorder="1" applyAlignment="1">
      <alignment horizontal="center"/>
    </xf>
    <xf numFmtId="164" fontId="5" fillId="11" borderId="5" xfId="1" applyNumberFormat="1" applyFont="1" applyFill="1" applyBorder="1" applyAlignment="1">
      <alignment horizontal="center" vertical="top"/>
    </xf>
    <xf numFmtId="164" fontId="5" fillId="11" borderId="6" xfId="1" applyNumberFormat="1" applyFont="1" applyFill="1" applyBorder="1" applyAlignment="1">
      <alignment horizontal="center"/>
    </xf>
    <xf numFmtId="164" fontId="5" fillId="11" borderId="7" xfId="1" applyNumberFormat="1" applyFont="1" applyFill="1" applyBorder="1" applyAlignment="1">
      <alignment horizontal="center"/>
    </xf>
    <xf numFmtId="164" fontId="5" fillId="9" borderId="5" xfId="1" applyNumberFormat="1" applyFont="1" applyFill="1" applyBorder="1" applyAlignment="1">
      <alignment horizontal="center" vertical="top"/>
    </xf>
    <xf numFmtId="164" fontId="5" fillId="9" borderId="6" xfId="1" applyNumberFormat="1" applyFont="1" applyFill="1" applyBorder="1" applyAlignment="1">
      <alignment horizontal="center"/>
    </xf>
    <xf numFmtId="164" fontId="5" fillId="9" borderId="7" xfId="1" applyNumberFormat="1" applyFont="1" applyFill="1" applyBorder="1" applyAlignment="1">
      <alignment horizontal="center"/>
    </xf>
    <xf numFmtId="164" fontId="4" fillId="9" borderId="53" xfId="1" applyNumberFormat="1" applyFont="1" applyFill="1" applyBorder="1" applyAlignment="1">
      <alignment horizontal="center" vertical="center"/>
    </xf>
    <xf numFmtId="164" fontId="4" fillId="9" borderId="54" xfId="1" applyNumberFormat="1" applyFont="1" applyFill="1" applyBorder="1" applyAlignment="1">
      <alignment horizontal="center" vertical="center"/>
    </xf>
    <xf numFmtId="164" fontId="4" fillId="9" borderId="55" xfId="1" applyNumberFormat="1" applyFont="1" applyFill="1" applyBorder="1" applyAlignment="1">
      <alignment horizontal="center" vertical="center"/>
    </xf>
    <xf numFmtId="164" fontId="4" fillId="8" borderId="53" xfId="1" applyNumberFormat="1" applyFont="1" applyFill="1" applyBorder="1" applyAlignment="1">
      <alignment horizontal="center" vertical="center"/>
    </xf>
    <xf numFmtId="164" fontId="4" fillId="8" borderId="54" xfId="1" applyNumberFormat="1" applyFont="1" applyFill="1" applyBorder="1" applyAlignment="1">
      <alignment horizontal="center" vertical="center"/>
    </xf>
    <xf numFmtId="164" fontId="4" fillId="8" borderId="55" xfId="1" applyNumberFormat="1" applyFont="1" applyFill="1" applyBorder="1" applyAlignment="1">
      <alignment horizontal="center" vertical="center"/>
    </xf>
    <xf numFmtId="164" fontId="4" fillId="9" borderId="25" xfId="1" applyNumberFormat="1" applyFont="1" applyFill="1" applyBorder="1" applyAlignment="1">
      <alignment horizontal="center" vertical="center"/>
    </xf>
    <xf numFmtId="164" fontId="5" fillId="0" borderId="5" xfId="1" applyNumberFormat="1" applyFont="1" applyFill="1" applyBorder="1" applyAlignment="1">
      <alignment horizontal="center" vertical="top"/>
    </xf>
    <xf numFmtId="164" fontId="5" fillId="0" borderId="6" xfId="1" applyNumberFormat="1" applyFont="1" applyFill="1" applyBorder="1" applyAlignment="1">
      <alignment horizontal="center"/>
    </xf>
    <xf numFmtId="164" fontId="5" fillId="0" borderId="7" xfId="1" applyNumberFormat="1" applyFont="1" applyFill="1" applyBorder="1" applyAlignment="1">
      <alignment horizontal="center"/>
    </xf>
    <xf numFmtId="164" fontId="5" fillId="0" borderId="21" xfId="1" applyNumberFormat="1" applyFont="1" applyFill="1" applyBorder="1" applyAlignment="1">
      <alignment vertical="top"/>
    </xf>
    <xf numFmtId="164" fontId="5" fillId="0" borderId="22" xfId="1" applyNumberFormat="1" applyFont="1" applyFill="1" applyBorder="1"/>
    <xf numFmtId="164" fontId="5" fillId="0" borderId="23" xfId="1" applyNumberFormat="1" applyFont="1" applyFill="1" applyBorder="1"/>
    <xf numFmtId="164" fontId="5" fillId="0" borderId="5" xfId="1" applyNumberFormat="1" applyFont="1" applyFill="1" applyBorder="1" applyAlignment="1">
      <alignment horizontal="center" vertical="center"/>
    </xf>
    <xf numFmtId="164" fontId="5" fillId="0" borderId="6" xfId="1" applyNumberFormat="1" applyFont="1" applyFill="1" applyBorder="1" applyAlignment="1">
      <alignment horizontal="center" vertical="center"/>
    </xf>
    <xf numFmtId="164" fontId="5" fillId="0" borderId="7" xfId="1" applyNumberFormat="1" applyFont="1" applyFill="1" applyBorder="1" applyAlignment="1">
      <alignment horizontal="center" vertical="center"/>
    </xf>
  </cellXfs>
  <cellStyles count="5">
    <cellStyle name="Comma" xfId="1" builtinId="3"/>
    <cellStyle name="Currency" xfId="3" builtinId="4"/>
    <cellStyle name="Normal" xfId="0" builtinId="0"/>
    <cellStyle name="Normal 2" xfId="4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550"/>
  <sheetViews>
    <sheetView zoomScaleNormal="100" workbookViewId="0">
      <pane ySplit="2" topLeftCell="A498" activePane="bottomLeft" state="frozen"/>
      <selection activeCell="C1" sqref="C1"/>
      <selection pane="bottomLeft" activeCell="R527" sqref="R527"/>
    </sheetView>
  </sheetViews>
  <sheetFormatPr defaultColWidth="8.85546875" defaultRowHeight="12.75" customHeight="1" outlineLevelRow="2" x14ac:dyDescent="0.2"/>
  <cols>
    <col min="1" max="1" width="12.7109375" style="1" customWidth="1"/>
    <col min="2" max="2" width="22.140625" style="1" customWidth="1"/>
    <col min="3" max="3" width="15" style="1" customWidth="1"/>
    <col min="4" max="4" width="17.7109375" style="1" customWidth="1"/>
    <col min="5" max="5" width="22.7109375" style="1" hidden="1" customWidth="1"/>
    <col min="6" max="8" width="9" style="2" bestFit="1" customWidth="1"/>
    <col min="9" max="9" width="8.28515625" style="2" customWidth="1"/>
    <col min="10" max="10" width="8.28515625" style="8" customWidth="1"/>
    <col min="11" max="13" width="9" style="2" bestFit="1" customWidth="1"/>
    <col min="14" max="14" width="8.28515625" style="15" customWidth="1"/>
    <col min="15" max="15" width="8.28515625" style="8" customWidth="1"/>
    <col min="16" max="18" width="9" style="2" bestFit="1" customWidth="1"/>
    <col min="19" max="19" width="7.5703125" style="2" customWidth="1"/>
    <col min="20" max="20" width="8.28515625" style="15" customWidth="1"/>
    <col min="21" max="21" width="8.28515625" style="8" customWidth="1"/>
    <col min="22" max="22" width="24.5703125" style="1" customWidth="1"/>
    <col min="23" max="16384" width="8.85546875" style="1"/>
  </cols>
  <sheetData>
    <row r="1" spans="1:22" ht="13.5" thickBot="1" x14ac:dyDescent="0.25">
      <c r="A1" s="24"/>
      <c r="B1" s="88"/>
      <c r="C1" s="88"/>
      <c r="D1" s="88"/>
      <c r="E1" s="88"/>
      <c r="F1" s="621" t="s">
        <v>791</v>
      </c>
      <c r="G1" s="622"/>
      <c r="H1" s="622"/>
      <c r="I1" s="622"/>
      <c r="J1" s="623"/>
      <c r="K1" s="621" t="s">
        <v>790</v>
      </c>
      <c r="L1" s="622"/>
      <c r="M1" s="622"/>
      <c r="N1" s="622"/>
      <c r="O1" s="623"/>
      <c r="P1" s="621" t="s">
        <v>792</v>
      </c>
      <c r="Q1" s="622"/>
      <c r="R1" s="622"/>
      <c r="S1" s="622"/>
      <c r="T1" s="622"/>
      <c r="U1" s="623"/>
      <c r="V1" s="530" t="s">
        <v>825</v>
      </c>
    </row>
    <row r="2" spans="1:22" s="17" customFormat="1" ht="34.5" thickBot="1" x14ac:dyDescent="0.25">
      <c r="A2" s="467"/>
      <c r="B2" s="468" t="s">
        <v>732</v>
      </c>
      <c r="C2" s="468" t="s">
        <v>735</v>
      </c>
      <c r="D2" s="468" t="s">
        <v>733</v>
      </c>
      <c r="E2" s="468" t="s">
        <v>734</v>
      </c>
      <c r="F2" s="472" t="s">
        <v>0</v>
      </c>
      <c r="G2" s="469" t="s">
        <v>1</v>
      </c>
      <c r="H2" s="469" t="s">
        <v>772</v>
      </c>
      <c r="I2" s="469" t="s">
        <v>793</v>
      </c>
      <c r="J2" s="471" t="s">
        <v>3</v>
      </c>
      <c r="K2" s="472" t="s">
        <v>0</v>
      </c>
      <c r="L2" s="469" t="s">
        <v>1</v>
      </c>
      <c r="M2" s="469" t="s">
        <v>772</v>
      </c>
      <c r="N2" s="470" t="s">
        <v>793</v>
      </c>
      <c r="O2" s="471" t="s">
        <v>3</v>
      </c>
      <c r="P2" s="472" t="s">
        <v>0</v>
      </c>
      <c r="Q2" s="469" t="s">
        <v>1</v>
      </c>
      <c r="R2" s="469" t="s">
        <v>772</v>
      </c>
      <c r="S2" s="469" t="s">
        <v>2</v>
      </c>
      <c r="T2" s="470" t="s">
        <v>793</v>
      </c>
      <c r="U2" s="471" t="s">
        <v>3</v>
      </c>
      <c r="V2" s="529" t="s">
        <v>826</v>
      </c>
    </row>
    <row r="3" spans="1:22" s="6" customFormat="1" outlineLevel="2" x14ac:dyDescent="0.2">
      <c r="A3" s="448" t="s">
        <v>748</v>
      </c>
      <c r="B3" s="3" t="s">
        <v>562</v>
      </c>
      <c r="C3" s="3" t="s">
        <v>563</v>
      </c>
      <c r="D3" s="3" t="s">
        <v>7</v>
      </c>
      <c r="E3" s="3" t="s">
        <v>544</v>
      </c>
      <c r="F3" s="473">
        <v>380</v>
      </c>
      <c r="G3" s="54">
        <v>0</v>
      </c>
      <c r="H3" s="54">
        <v>0</v>
      </c>
      <c r="I3" s="55">
        <f>+H3/F3</f>
        <v>0</v>
      </c>
      <c r="J3" s="474">
        <v>0</v>
      </c>
      <c r="K3" s="488">
        <v>225</v>
      </c>
      <c r="L3" s="52">
        <v>225</v>
      </c>
      <c r="M3" s="52">
        <v>193.38</v>
      </c>
      <c r="N3" s="53">
        <f>+M3/K3</f>
        <v>0.8594666666666666</v>
      </c>
      <c r="O3" s="96">
        <v>31.62</v>
      </c>
      <c r="P3" s="473">
        <v>225</v>
      </c>
      <c r="Q3" s="54">
        <v>225</v>
      </c>
      <c r="R3" s="54">
        <v>0</v>
      </c>
      <c r="S3" s="54">
        <v>0</v>
      </c>
      <c r="T3" s="55">
        <f>+R3/P3</f>
        <v>0</v>
      </c>
      <c r="U3" s="564">
        <v>225</v>
      </c>
      <c r="V3" s="534"/>
    </row>
    <row r="4" spans="1:22" s="6" customFormat="1" outlineLevel="2" x14ac:dyDescent="0.2">
      <c r="A4" s="448" t="s">
        <v>748</v>
      </c>
      <c r="B4" s="3" t="s">
        <v>564</v>
      </c>
      <c r="C4" s="3" t="s">
        <v>563</v>
      </c>
      <c r="D4" s="3" t="s">
        <v>52</v>
      </c>
      <c r="E4" s="3" t="s">
        <v>544</v>
      </c>
      <c r="F4" s="473">
        <v>0</v>
      </c>
      <c r="G4" s="54">
        <v>1209</v>
      </c>
      <c r="H4" s="54">
        <v>1208.76</v>
      </c>
      <c r="I4" s="55">
        <v>0</v>
      </c>
      <c r="J4" s="474">
        <v>0.24</v>
      </c>
      <c r="K4" s="488">
        <v>1000</v>
      </c>
      <c r="L4" s="52">
        <v>0</v>
      </c>
      <c r="M4" s="52">
        <v>0</v>
      </c>
      <c r="N4" s="53">
        <f t="shared" ref="N4:N65" si="0">+M4/K4</f>
        <v>0</v>
      </c>
      <c r="O4" s="96">
        <v>0</v>
      </c>
      <c r="P4" s="473">
        <v>1000</v>
      </c>
      <c r="Q4" s="54">
        <v>1000</v>
      </c>
      <c r="R4" s="54">
        <v>0</v>
      </c>
      <c r="S4" s="54">
        <v>0</v>
      </c>
      <c r="T4" s="55">
        <f t="shared" ref="T4:T67" si="1">+R4/P4</f>
        <v>0</v>
      </c>
      <c r="U4" s="564">
        <v>1000</v>
      </c>
      <c r="V4" s="523"/>
    </row>
    <row r="5" spans="1:22" s="6" customFormat="1" outlineLevel="2" x14ac:dyDescent="0.2">
      <c r="A5" s="448" t="s">
        <v>748</v>
      </c>
      <c r="B5" s="3" t="s">
        <v>565</v>
      </c>
      <c r="C5" s="3" t="s">
        <v>563</v>
      </c>
      <c r="D5" s="3" t="s">
        <v>9</v>
      </c>
      <c r="E5" s="3" t="s">
        <v>544</v>
      </c>
      <c r="F5" s="473">
        <v>0</v>
      </c>
      <c r="G5" s="54">
        <v>350</v>
      </c>
      <c r="H5" s="54">
        <v>350</v>
      </c>
      <c r="I5" s="55">
        <v>0</v>
      </c>
      <c r="J5" s="474">
        <v>0</v>
      </c>
      <c r="K5" s="488">
        <v>400</v>
      </c>
      <c r="L5" s="52">
        <v>400</v>
      </c>
      <c r="M5" s="52">
        <v>350</v>
      </c>
      <c r="N5" s="53">
        <f t="shared" si="0"/>
        <v>0.875</v>
      </c>
      <c r="O5" s="96">
        <v>50</v>
      </c>
      <c r="P5" s="473">
        <v>400</v>
      </c>
      <c r="Q5" s="54">
        <v>400</v>
      </c>
      <c r="R5" s="54">
        <v>0</v>
      </c>
      <c r="S5" s="54">
        <v>0</v>
      </c>
      <c r="T5" s="55">
        <f t="shared" si="1"/>
        <v>0</v>
      </c>
      <c r="U5" s="564">
        <v>400</v>
      </c>
      <c r="V5" s="523"/>
    </row>
    <row r="6" spans="1:22" s="6" customFormat="1" outlineLevel="2" x14ac:dyDescent="0.2">
      <c r="A6" s="448" t="s">
        <v>748</v>
      </c>
      <c r="B6" s="3" t="s">
        <v>566</v>
      </c>
      <c r="C6" s="3" t="s">
        <v>563</v>
      </c>
      <c r="D6" s="3" t="s">
        <v>19</v>
      </c>
      <c r="E6" s="3" t="s">
        <v>544</v>
      </c>
      <c r="F6" s="473">
        <v>2933</v>
      </c>
      <c r="G6" s="54">
        <v>3002</v>
      </c>
      <c r="H6" s="54">
        <v>529.65</v>
      </c>
      <c r="I6" s="55">
        <f t="shared" ref="I6:I67" si="2">+H6/F6</f>
        <v>0.18058302079781793</v>
      </c>
      <c r="J6" s="474">
        <v>2472.35</v>
      </c>
      <c r="K6" s="488">
        <v>2206</v>
      </c>
      <c r="L6" s="52">
        <v>6323</v>
      </c>
      <c r="M6" s="52">
        <v>4543.8599999999997</v>
      </c>
      <c r="N6" s="53">
        <f t="shared" si="0"/>
        <v>2.0597733454215774</v>
      </c>
      <c r="O6" s="96">
        <v>1779.14</v>
      </c>
      <c r="P6" s="473">
        <v>2206</v>
      </c>
      <c r="Q6" s="54">
        <v>2206</v>
      </c>
      <c r="R6" s="54">
        <v>2299.08</v>
      </c>
      <c r="S6" s="54">
        <v>0</v>
      </c>
      <c r="T6" s="55">
        <f t="shared" si="1"/>
        <v>1.0421940163191297</v>
      </c>
      <c r="U6" s="564">
        <v>-93.08</v>
      </c>
      <c r="V6" s="523"/>
    </row>
    <row r="7" spans="1:22" s="6" customFormat="1" outlineLevel="2" x14ac:dyDescent="0.2">
      <c r="A7" s="448" t="s">
        <v>748</v>
      </c>
      <c r="B7" s="3" t="s">
        <v>567</v>
      </c>
      <c r="C7" s="3" t="s">
        <v>563</v>
      </c>
      <c r="D7" s="3" t="s">
        <v>23</v>
      </c>
      <c r="E7" s="3" t="s">
        <v>544</v>
      </c>
      <c r="F7" s="473">
        <v>0</v>
      </c>
      <c r="G7" s="54">
        <v>200</v>
      </c>
      <c r="H7" s="54">
        <v>198.25</v>
      </c>
      <c r="I7" s="55">
        <v>0</v>
      </c>
      <c r="J7" s="474">
        <v>1.75</v>
      </c>
      <c r="K7" s="489"/>
      <c r="L7" s="65"/>
      <c r="M7" s="65"/>
      <c r="N7" s="53"/>
      <c r="O7" s="97"/>
      <c r="P7" s="475"/>
      <c r="Q7" s="64"/>
      <c r="R7" s="64"/>
      <c r="S7" s="64"/>
      <c r="T7" s="55"/>
      <c r="U7" s="565"/>
      <c r="V7" s="523"/>
    </row>
    <row r="8" spans="1:22" s="6" customFormat="1" outlineLevel="2" x14ac:dyDescent="0.2">
      <c r="A8" s="448" t="s">
        <v>748</v>
      </c>
      <c r="B8" s="3" t="s">
        <v>568</v>
      </c>
      <c r="C8" s="3" t="s">
        <v>563</v>
      </c>
      <c r="D8" s="3" t="s">
        <v>569</v>
      </c>
      <c r="E8" s="3" t="s">
        <v>544</v>
      </c>
      <c r="F8" s="473">
        <v>12700</v>
      </c>
      <c r="G8" s="54">
        <v>13129</v>
      </c>
      <c r="H8" s="54">
        <v>12695.62</v>
      </c>
      <c r="I8" s="55">
        <f t="shared" si="2"/>
        <v>0.99965511811023633</v>
      </c>
      <c r="J8" s="474">
        <v>433.38</v>
      </c>
      <c r="K8" s="488">
        <v>12500</v>
      </c>
      <c r="L8" s="52">
        <v>6800</v>
      </c>
      <c r="M8" s="52">
        <v>4784.4399999999996</v>
      </c>
      <c r="N8" s="53">
        <f t="shared" si="0"/>
        <v>0.38275519999999996</v>
      </c>
      <c r="O8" s="96">
        <v>2015.56</v>
      </c>
      <c r="P8" s="473">
        <v>12500</v>
      </c>
      <c r="Q8" s="54">
        <v>12500</v>
      </c>
      <c r="R8" s="54">
        <v>0</v>
      </c>
      <c r="S8" s="54">
        <v>0</v>
      </c>
      <c r="T8" s="55">
        <f t="shared" si="1"/>
        <v>0</v>
      </c>
      <c r="U8" s="564">
        <v>12500</v>
      </c>
      <c r="V8" s="523"/>
    </row>
    <row r="9" spans="1:22" s="6" customFormat="1" outlineLevel="2" x14ac:dyDescent="0.2">
      <c r="A9" s="448" t="s">
        <v>748</v>
      </c>
      <c r="B9" s="3" t="s">
        <v>570</v>
      </c>
      <c r="C9" s="3" t="s">
        <v>563</v>
      </c>
      <c r="D9" s="3" t="s">
        <v>467</v>
      </c>
      <c r="E9" s="3" t="s">
        <v>544</v>
      </c>
      <c r="F9" s="473">
        <v>668</v>
      </c>
      <c r="G9" s="54">
        <v>0</v>
      </c>
      <c r="H9" s="54">
        <v>0</v>
      </c>
      <c r="I9" s="55">
        <f t="shared" si="2"/>
        <v>0</v>
      </c>
      <c r="J9" s="474">
        <v>0</v>
      </c>
      <c r="K9" s="488">
        <v>350</v>
      </c>
      <c r="L9" s="52">
        <v>350</v>
      </c>
      <c r="M9" s="52">
        <v>64.94</v>
      </c>
      <c r="N9" s="53">
        <f t="shared" si="0"/>
        <v>0.18554285714285715</v>
      </c>
      <c r="O9" s="96">
        <v>285.06</v>
      </c>
      <c r="P9" s="473">
        <v>350</v>
      </c>
      <c r="Q9" s="54">
        <v>350</v>
      </c>
      <c r="R9" s="54">
        <v>65.2</v>
      </c>
      <c r="S9" s="54">
        <v>0</v>
      </c>
      <c r="T9" s="55">
        <f t="shared" si="1"/>
        <v>0.1862857142857143</v>
      </c>
      <c r="U9" s="564">
        <v>284.8</v>
      </c>
      <c r="V9" s="523"/>
    </row>
    <row r="10" spans="1:22" s="6" customFormat="1" outlineLevel="2" x14ac:dyDescent="0.2">
      <c r="A10" s="448" t="s">
        <v>748</v>
      </c>
      <c r="B10" s="3" t="s">
        <v>625</v>
      </c>
      <c r="C10" s="3" t="s">
        <v>626</v>
      </c>
      <c r="D10" s="3" t="s">
        <v>52</v>
      </c>
      <c r="E10" s="3" t="s">
        <v>627</v>
      </c>
      <c r="F10" s="473">
        <v>622</v>
      </c>
      <c r="G10" s="54">
        <v>622</v>
      </c>
      <c r="H10" s="54">
        <v>568.54999999999995</v>
      </c>
      <c r="I10" s="55">
        <f t="shared" si="2"/>
        <v>0.91406752411575554</v>
      </c>
      <c r="J10" s="474">
        <v>53.45</v>
      </c>
      <c r="K10" s="488">
        <v>622</v>
      </c>
      <c r="L10" s="52">
        <v>622</v>
      </c>
      <c r="M10" s="52">
        <v>791.46</v>
      </c>
      <c r="N10" s="53">
        <f t="shared" si="0"/>
        <v>1.2724437299035369</v>
      </c>
      <c r="O10" s="96">
        <v>-169.46</v>
      </c>
      <c r="P10" s="473">
        <v>622</v>
      </c>
      <c r="Q10" s="54">
        <v>622</v>
      </c>
      <c r="R10" s="54">
        <v>0</v>
      </c>
      <c r="S10" s="54">
        <v>0</v>
      </c>
      <c r="T10" s="55">
        <f t="shared" si="1"/>
        <v>0</v>
      </c>
      <c r="U10" s="564">
        <v>622</v>
      </c>
      <c r="V10" s="523"/>
    </row>
    <row r="11" spans="1:22" s="6" customFormat="1" outlineLevel="2" x14ac:dyDescent="0.2">
      <c r="A11" s="448" t="s">
        <v>748</v>
      </c>
      <c r="B11" s="3" t="s">
        <v>628</v>
      </c>
      <c r="C11" s="3" t="s">
        <v>626</v>
      </c>
      <c r="D11" s="3" t="s">
        <v>17</v>
      </c>
      <c r="E11" s="3" t="s">
        <v>627</v>
      </c>
      <c r="F11" s="473">
        <v>58</v>
      </c>
      <c r="G11" s="54">
        <v>58</v>
      </c>
      <c r="H11" s="54">
        <v>0</v>
      </c>
      <c r="I11" s="55">
        <f t="shared" si="2"/>
        <v>0</v>
      </c>
      <c r="J11" s="474">
        <v>58</v>
      </c>
      <c r="K11" s="488">
        <v>58</v>
      </c>
      <c r="L11" s="52">
        <v>58</v>
      </c>
      <c r="M11" s="52">
        <v>0</v>
      </c>
      <c r="N11" s="53">
        <f t="shared" si="0"/>
        <v>0</v>
      </c>
      <c r="O11" s="96">
        <v>58</v>
      </c>
      <c r="P11" s="475"/>
      <c r="Q11" s="64"/>
      <c r="R11" s="64"/>
      <c r="S11" s="64"/>
      <c r="T11" s="55"/>
      <c r="U11" s="565"/>
      <c r="V11" s="523"/>
    </row>
    <row r="12" spans="1:22" s="6" customFormat="1" outlineLevel="2" x14ac:dyDescent="0.2">
      <c r="A12" s="448" t="s">
        <v>748</v>
      </c>
      <c r="B12" s="3" t="s">
        <v>629</v>
      </c>
      <c r="C12" s="3" t="s">
        <v>626</v>
      </c>
      <c r="D12" s="3" t="s">
        <v>19</v>
      </c>
      <c r="E12" s="3" t="s">
        <v>627</v>
      </c>
      <c r="F12" s="475"/>
      <c r="G12" s="64"/>
      <c r="H12" s="64"/>
      <c r="I12" s="55">
        <v>0</v>
      </c>
      <c r="J12" s="476"/>
      <c r="K12" s="489"/>
      <c r="L12" s="65"/>
      <c r="M12" s="65"/>
      <c r="N12" s="53"/>
      <c r="O12" s="97"/>
      <c r="P12" s="473">
        <v>58</v>
      </c>
      <c r="Q12" s="54">
        <v>58</v>
      </c>
      <c r="R12" s="54">
        <v>0</v>
      </c>
      <c r="S12" s="54">
        <v>0</v>
      </c>
      <c r="T12" s="55">
        <f t="shared" si="1"/>
        <v>0</v>
      </c>
      <c r="U12" s="564">
        <v>58</v>
      </c>
      <c r="V12" s="523"/>
    </row>
    <row r="13" spans="1:22" s="6" customFormat="1" outlineLevel="2" x14ac:dyDescent="0.2">
      <c r="A13" s="448" t="s">
        <v>748</v>
      </c>
      <c r="B13" s="3" t="s">
        <v>630</v>
      </c>
      <c r="C13" s="3" t="s">
        <v>626</v>
      </c>
      <c r="D13" s="3" t="s">
        <v>115</v>
      </c>
      <c r="E13" s="3" t="s">
        <v>627</v>
      </c>
      <c r="F13" s="473">
        <v>350</v>
      </c>
      <c r="G13" s="54">
        <v>350</v>
      </c>
      <c r="H13" s="54">
        <v>111.18</v>
      </c>
      <c r="I13" s="55">
        <f t="shared" si="2"/>
        <v>0.31765714285714286</v>
      </c>
      <c r="J13" s="474">
        <v>238.82</v>
      </c>
      <c r="K13" s="488">
        <v>350</v>
      </c>
      <c r="L13" s="52">
        <v>350</v>
      </c>
      <c r="M13" s="52">
        <v>330.42</v>
      </c>
      <c r="N13" s="53">
        <f t="shared" si="0"/>
        <v>0.94405714285714293</v>
      </c>
      <c r="O13" s="96">
        <v>19.579999999999998</v>
      </c>
      <c r="P13" s="473">
        <v>350</v>
      </c>
      <c r="Q13" s="54">
        <v>350</v>
      </c>
      <c r="R13" s="54">
        <v>0</v>
      </c>
      <c r="S13" s="54">
        <v>0</v>
      </c>
      <c r="T13" s="55">
        <f t="shared" si="1"/>
        <v>0</v>
      </c>
      <c r="U13" s="564">
        <v>350</v>
      </c>
      <c r="V13" s="523"/>
    </row>
    <row r="14" spans="1:22" s="6" customFormat="1" outlineLevel="1" x14ac:dyDescent="0.2">
      <c r="A14" s="366" t="s">
        <v>754</v>
      </c>
      <c r="B14" s="3"/>
      <c r="C14" s="3"/>
      <c r="D14" s="3"/>
      <c r="E14" s="3"/>
      <c r="F14" s="477">
        <f>SUBTOTAL(9,F3:F13)</f>
        <v>17711</v>
      </c>
      <c r="G14" s="9">
        <f>SUBTOTAL(9,G3:G13)</f>
        <v>18920</v>
      </c>
      <c r="H14" s="9">
        <f>SUBTOTAL(9,H3:H13)</f>
        <v>15662.01</v>
      </c>
      <c r="I14" s="16">
        <f t="shared" si="2"/>
        <v>0.88430975100220199</v>
      </c>
      <c r="J14" s="478">
        <f>SUBTOTAL(9,J3:J13)</f>
        <v>3257.99</v>
      </c>
      <c r="K14" s="477">
        <f>SUBTOTAL(9,K3:K13)</f>
        <v>17711</v>
      </c>
      <c r="L14" s="9">
        <f>SUBTOTAL(9,L3:L13)</f>
        <v>15128</v>
      </c>
      <c r="M14" s="9">
        <f>SUBTOTAL(9,M3:M13)</f>
        <v>11058.500000000002</v>
      </c>
      <c r="N14" s="16">
        <f t="shared" si="0"/>
        <v>0.62438597481790992</v>
      </c>
      <c r="O14" s="478">
        <f>SUBTOTAL(9,O3:O13)</f>
        <v>4069.5</v>
      </c>
      <c r="P14" s="477">
        <f>SUBTOTAL(9,P3:P13)</f>
        <v>17711</v>
      </c>
      <c r="Q14" s="9">
        <f>SUBTOTAL(9,Q3:Q13)</f>
        <v>17711</v>
      </c>
      <c r="R14" s="9">
        <f>SUBTOTAL(9,R3:R13)</f>
        <v>2364.2799999999997</v>
      </c>
      <c r="S14" s="9">
        <f>SUBTOTAL(9,S3:S13)</f>
        <v>0</v>
      </c>
      <c r="T14" s="16">
        <f t="shared" si="1"/>
        <v>0.13349218000112922</v>
      </c>
      <c r="U14" s="566">
        <f>SUBTOTAL(9,U3:U13)</f>
        <v>15346.72</v>
      </c>
      <c r="V14" s="523"/>
    </row>
    <row r="15" spans="1:22" s="6" customFormat="1" outlineLevel="2" x14ac:dyDescent="0.2">
      <c r="A15" s="448" t="s">
        <v>747</v>
      </c>
      <c r="B15" s="3" t="s">
        <v>519</v>
      </c>
      <c r="C15" s="3" t="s">
        <v>517</v>
      </c>
      <c r="D15" s="3" t="s">
        <v>17</v>
      </c>
      <c r="E15" s="3" t="s">
        <v>518</v>
      </c>
      <c r="F15" s="473">
        <v>434</v>
      </c>
      <c r="G15" s="54">
        <v>434</v>
      </c>
      <c r="H15" s="54">
        <v>434</v>
      </c>
      <c r="I15" s="55">
        <f t="shared" si="2"/>
        <v>1</v>
      </c>
      <c r="J15" s="474">
        <v>0</v>
      </c>
      <c r="K15" s="488">
        <v>436</v>
      </c>
      <c r="L15" s="52">
        <v>285</v>
      </c>
      <c r="M15" s="52">
        <v>134.4</v>
      </c>
      <c r="N15" s="53">
        <f t="shared" si="0"/>
        <v>0.30825688073394497</v>
      </c>
      <c r="O15" s="96">
        <f>285-134.4</f>
        <v>150.6</v>
      </c>
      <c r="P15" s="473">
        <v>436</v>
      </c>
      <c r="Q15" s="54">
        <v>0</v>
      </c>
      <c r="R15" s="54">
        <v>0</v>
      </c>
      <c r="S15" s="54">
        <v>0</v>
      </c>
      <c r="T15" s="55">
        <v>0</v>
      </c>
      <c r="U15" s="564">
        <v>0</v>
      </c>
      <c r="V15" s="523"/>
    </row>
    <row r="16" spans="1:22" s="6" customFormat="1" outlineLevel="2" x14ac:dyDescent="0.2">
      <c r="A16" s="448" t="s">
        <v>747</v>
      </c>
      <c r="B16" s="3" t="s">
        <v>520</v>
      </c>
      <c r="C16" s="3" t="s">
        <v>517</v>
      </c>
      <c r="D16" s="3" t="s">
        <v>246</v>
      </c>
      <c r="E16" s="3" t="s">
        <v>518</v>
      </c>
      <c r="F16" s="473">
        <v>202</v>
      </c>
      <c r="G16" s="54">
        <v>559</v>
      </c>
      <c r="H16" s="54">
        <v>558.08000000000004</v>
      </c>
      <c r="I16" s="55">
        <f t="shared" si="2"/>
        <v>2.762772277227723</v>
      </c>
      <c r="J16" s="474">
        <v>0.92</v>
      </c>
      <c r="K16" s="488">
        <v>200</v>
      </c>
      <c r="L16" s="52">
        <v>0</v>
      </c>
      <c r="M16" s="52">
        <v>0</v>
      </c>
      <c r="N16" s="53">
        <f t="shared" si="0"/>
        <v>0</v>
      </c>
      <c r="O16" s="96">
        <v>0</v>
      </c>
      <c r="P16" s="473">
        <v>200</v>
      </c>
      <c r="Q16" s="54">
        <v>200</v>
      </c>
      <c r="R16" s="54">
        <v>8.48</v>
      </c>
      <c r="S16" s="54">
        <v>0</v>
      </c>
      <c r="T16" s="55">
        <f t="shared" si="1"/>
        <v>4.24E-2</v>
      </c>
      <c r="U16" s="564">
        <v>191.52</v>
      </c>
      <c r="V16" s="523"/>
    </row>
    <row r="17" spans="1:22" s="6" customFormat="1" outlineLevel="2" x14ac:dyDescent="0.2">
      <c r="A17" s="448" t="s">
        <v>747</v>
      </c>
      <c r="B17" s="3" t="s">
        <v>593</v>
      </c>
      <c r="C17" s="3" t="s">
        <v>591</v>
      </c>
      <c r="D17" s="3" t="s">
        <v>141</v>
      </c>
      <c r="E17" s="3" t="s">
        <v>592</v>
      </c>
      <c r="F17" s="479">
        <v>30771</v>
      </c>
      <c r="G17" s="56">
        <v>32980</v>
      </c>
      <c r="H17" s="56">
        <v>51037.59</v>
      </c>
      <c r="I17" s="55">
        <f t="shared" si="2"/>
        <v>1.6586263039875206</v>
      </c>
      <c r="J17" s="474">
        <v>-18057.59</v>
      </c>
      <c r="K17" s="490">
        <v>30771</v>
      </c>
      <c r="L17" s="121">
        <v>68802</v>
      </c>
      <c r="M17" s="121">
        <v>79585.539999999994</v>
      </c>
      <c r="N17" s="53">
        <f t="shared" si="0"/>
        <v>2.5863813330733483</v>
      </c>
      <c r="O17" s="96">
        <v>-10783.54</v>
      </c>
      <c r="P17" s="479">
        <v>32980</v>
      </c>
      <c r="Q17" s="56">
        <v>32980</v>
      </c>
      <c r="R17" s="56">
        <v>45732.35</v>
      </c>
      <c r="S17" s="56">
        <v>0</v>
      </c>
      <c r="T17" s="55">
        <f t="shared" si="1"/>
        <v>1.3866691934505762</v>
      </c>
      <c r="U17" s="564">
        <v>-12752.35</v>
      </c>
      <c r="V17" s="523"/>
    </row>
    <row r="18" spans="1:22" s="6" customFormat="1" outlineLevel="2" x14ac:dyDescent="0.2">
      <c r="A18" s="448" t="s">
        <v>747</v>
      </c>
      <c r="B18" s="3" t="s">
        <v>600</v>
      </c>
      <c r="C18" s="3" t="s">
        <v>591</v>
      </c>
      <c r="D18" s="3" t="s">
        <v>141</v>
      </c>
      <c r="E18" s="3" t="s">
        <v>592</v>
      </c>
      <c r="F18" s="480"/>
      <c r="G18" s="440"/>
      <c r="H18" s="440"/>
      <c r="I18" s="55"/>
      <c r="J18" s="481"/>
      <c r="K18" s="491"/>
      <c r="L18" s="120"/>
      <c r="M18" s="120"/>
      <c r="N18" s="53"/>
      <c r="O18" s="97"/>
      <c r="P18" s="479">
        <v>0</v>
      </c>
      <c r="Q18" s="56">
        <v>0</v>
      </c>
      <c r="R18" s="56">
        <v>1358.5</v>
      </c>
      <c r="S18" s="56">
        <v>0</v>
      </c>
      <c r="T18" s="55">
        <v>0</v>
      </c>
      <c r="U18" s="564">
        <v>-1358.5</v>
      </c>
      <c r="V18" s="523"/>
    </row>
    <row r="19" spans="1:22" s="6" customFormat="1" outlineLevel="2" x14ac:dyDescent="0.2">
      <c r="A19" s="448" t="s">
        <v>747</v>
      </c>
      <c r="B19" s="3" t="s">
        <v>594</v>
      </c>
      <c r="C19" s="3" t="s">
        <v>591</v>
      </c>
      <c r="D19" s="3" t="s">
        <v>7</v>
      </c>
      <c r="E19" s="3" t="s">
        <v>592</v>
      </c>
      <c r="F19" s="473">
        <v>727</v>
      </c>
      <c r="G19" s="54">
        <v>5550</v>
      </c>
      <c r="H19" s="54">
        <v>5550</v>
      </c>
      <c r="I19" s="55">
        <f t="shared" si="2"/>
        <v>7.6341127922971115</v>
      </c>
      <c r="J19" s="474">
        <v>0</v>
      </c>
      <c r="K19" s="488">
        <v>727</v>
      </c>
      <c r="L19" s="52">
        <v>1630</v>
      </c>
      <c r="M19" s="52">
        <v>1630</v>
      </c>
      <c r="N19" s="53">
        <f t="shared" si="0"/>
        <v>2.2420907840440165</v>
      </c>
      <c r="O19" s="96">
        <v>0</v>
      </c>
      <c r="P19" s="473">
        <v>727</v>
      </c>
      <c r="Q19" s="54">
        <v>727</v>
      </c>
      <c r="R19" s="54">
        <v>2164.5</v>
      </c>
      <c r="S19" s="54">
        <v>0</v>
      </c>
      <c r="T19" s="55">
        <f t="shared" si="1"/>
        <v>2.9773039889958737</v>
      </c>
      <c r="U19" s="564">
        <v>-1437.5</v>
      </c>
      <c r="V19" s="523"/>
    </row>
    <row r="20" spans="1:22" s="6" customFormat="1" outlineLevel="2" x14ac:dyDescent="0.2">
      <c r="A20" s="448" t="s">
        <v>747</v>
      </c>
      <c r="B20" s="3" t="s">
        <v>595</v>
      </c>
      <c r="C20" s="3" t="s">
        <v>591</v>
      </c>
      <c r="D20" s="3" t="s">
        <v>52</v>
      </c>
      <c r="E20" s="3" t="s">
        <v>592</v>
      </c>
      <c r="F20" s="475"/>
      <c r="G20" s="64"/>
      <c r="H20" s="64"/>
      <c r="I20" s="55"/>
      <c r="J20" s="476"/>
      <c r="K20" s="488">
        <v>0</v>
      </c>
      <c r="L20" s="52">
        <v>0</v>
      </c>
      <c r="M20" s="52">
        <v>780</v>
      </c>
      <c r="N20" s="53">
        <v>0</v>
      </c>
      <c r="O20" s="96">
        <v>-780</v>
      </c>
      <c r="P20" s="473">
        <v>0</v>
      </c>
      <c r="Q20" s="54">
        <v>0</v>
      </c>
      <c r="R20" s="54">
        <v>0</v>
      </c>
      <c r="S20" s="54">
        <v>0</v>
      </c>
      <c r="T20" s="55"/>
      <c r="U20" s="564">
        <v>0</v>
      </c>
      <c r="V20" s="523"/>
    </row>
    <row r="21" spans="1:22" s="6" customFormat="1" outlineLevel="2" x14ac:dyDescent="0.2">
      <c r="A21" s="448" t="s">
        <v>747</v>
      </c>
      <c r="B21" s="3" t="s">
        <v>596</v>
      </c>
      <c r="C21" s="3" t="s">
        <v>591</v>
      </c>
      <c r="D21" s="3" t="s">
        <v>9</v>
      </c>
      <c r="E21" s="3" t="s">
        <v>592</v>
      </c>
      <c r="F21" s="475"/>
      <c r="G21" s="64"/>
      <c r="H21" s="64"/>
      <c r="I21" s="55"/>
      <c r="J21" s="476"/>
      <c r="K21" s="488">
        <v>0</v>
      </c>
      <c r="L21" s="52">
        <v>0</v>
      </c>
      <c r="M21" s="52">
        <v>2720</v>
      </c>
      <c r="N21" s="53">
        <v>0</v>
      </c>
      <c r="O21" s="96">
        <v>-2720</v>
      </c>
      <c r="P21" s="473">
        <v>0</v>
      </c>
      <c r="Q21" s="54">
        <v>0</v>
      </c>
      <c r="R21" s="54">
        <v>3480</v>
      </c>
      <c r="S21" s="54">
        <v>0</v>
      </c>
      <c r="T21" s="55">
        <v>0</v>
      </c>
      <c r="U21" s="564">
        <v>-3480</v>
      </c>
      <c r="V21" s="523"/>
    </row>
    <row r="22" spans="1:22" s="6" customFormat="1" outlineLevel="2" x14ac:dyDescent="0.2">
      <c r="A22" s="448" t="s">
        <v>747</v>
      </c>
      <c r="B22" s="3" t="s">
        <v>597</v>
      </c>
      <c r="C22" s="3" t="s">
        <v>591</v>
      </c>
      <c r="D22" s="3" t="s">
        <v>407</v>
      </c>
      <c r="E22" s="3" t="s">
        <v>592</v>
      </c>
      <c r="F22" s="473">
        <v>643</v>
      </c>
      <c r="G22" s="54">
        <v>643</v>
      </c>
      <c r="H22" s="54">
        <v>596.96</v>
      </c>
      <c r="I22" s="55">
        <f t="shared" si="2"/>
        <v>0.92839813374805602</v>
      </c>
      <c r="J22" s="474">
        <v>46.04</v>
      </c>
      <c r="K22" s="488">
        <v>643</v>
      </c>
      <c r="L22" s="52">
        <v>0</v>
      </c>
      <c r="M22" s="52">
        <v>0</v>
      </c>
      <c r="N22" s="53">
        <f t="shared" si="0"/>
        <v>0</v>
      </c>
      <c r="O22" s="96">
        <v>0</v>
      </c>
      <c r="P22" s="475"/>
      <c r="Q22" s="64"/>
      <c r="R22" s="64"/>
      <c r="S22" s="64"/>
      <c r="T22" s="55"/>
      <c r="U22" s="565"/>
      <c r="V22" s="523"/>
    </row>
    <row r="23" spans="1:22" s="6" customFormat="1" outlineLevel="2" x14ac:dyDescent="0.2">
      <c r="A23" s="448" t="s">
        <v>747</v>
      </c>
      <c r="B23" s="3" t="s">
        <v>598</v>
      </c>
      <c r="C23" s="3" t="s">
        <v>591</v>
      </c>
      <c r="D23" s="3" t="s">
        <v>19</v>
      </c>
      <c r="E23" s="3" t="s">
        <v>592</v>
      </c>
      <c r="F23" s="473">
        <v>635</v>
      </c>
      <c r="G23" s="54">
        <v>635</v>
      </c>
      <c r="H23" s="54">
        <v>635</v>
      </c>
      <c r="I23" s="55">
        <f t="shared" si="2"/>
        <v>1</v>
      </c>
      <c r="J23" s="474">
        <v>0</v>
      </c>
      <c r="K23" s="488">
        <v>635</v>
      </c>
      <c r="L23" s="52">
        <v>635</v>
      </c>
      <c r="M23" s="52">
        <v>597.16</v>
      </c>
      <c r="N23" s="53">
        <f t="shared" si="0"/>
        <v>0.94040944881889754</v>
      </c>
      <c r="O23" s="96">
        <v>37.840000000000003</v>
      </c>
      <c r="P23" s="473">
        <v>1278</v>
      </c>
      <c r="Q23" s="54">
        <v>1278</v>
      </c>
      <c r="R23" s="54">
        <v>772.61</v>
      </c>
      <c r="S23" s="54">
        <v>69.67</v>
      </c>
      <c r="T23" s="55">
        <f t="shared" si="1"/>
        <v>0.60454616588419408</v>
      </c>
      <c r="U23" s="564">
        <v>435.72</v>
      </c>
      <c r="V23" s="523"/>
    </row>
    <row r="24" spans="1:22" s="6" customFormat="1" outlineLevel="2" x14ac:dyDescent="0.2">
      <c r="A24" s="448" t="s">
        <v>747</v>
      </c>
      <c r="B24" s="3" t="s">
        <v>599</v>
      </c>
      <c r="C24" s="3" t="s">
        <v>591</v>
      </c>
      <c r="D24" s="3" t="s">
        <v>23</v>
      </c>
      <c r="E24" s="3" t="s">
        <v>592</v>
      </c>
      <c r="F24" s="473">
        <v>1698</v>
      </c>
      <c r="G24" s="54">
        <v>2348</v>
      </c>
      <c r="H24" s="54">
        <v>2347</v>
      </c>
      <c r="I24" s="55">
        <f t="shared" si="2"/>
        <v>1.3822143698468787</v>
      </c>
      <c r="J24" s="474">
        <v>1</v>
      </c>
      <c r="K24" s="488">
        <v>1698</v>
      </c>
      <c r="L24" s="52">
        <v>3596</v>
      </c>
      <c r="M24" s="52">
        <v>3595.48</v>
      </c>
      <c r="N24" s="53">
        <f t="shared" si="0"/>
        <v>2.1174793875147233</v>
      </c>
      <c r="O24" s="96">
        <v>0.52</v>
      </c>
      <c r="P24" s="473">
        <v>1698</v>
      </c>
      <c r="Q24" s="54">
        <v>1698</v>
      </c>
      <c r="R24" s="54">
        <v>1683.52</v>
      </c>
      <c r="S24" s="54">
        <v>0</v>
      </c>
      <c r="T24" s="55">
        <f t="shared" si="1"/>
        <v>0.99147232037691402</v>
      </c>
      <c r="U24" s="564">
        <v>14.48</v>
      </c>
      <c r="V24" s="523"/>
    </row>
    <row r="25" spans="1:22" s="6" customFormat="1" outlineLevel="2" x14ac:dyDescent="0.2">
      <c r="A25" s="448" t="s">
        <v>747</v>
      </c>
      <c r="B25" s="3" t="s">
        <v>601</v>
      </c>
      <c r="C25" s="3" t="s">
        <v>602</v>
      </c>
      <c r="D25" s="3" t="s">
        <v>141</v>
      </c>
      <c r="E25" s="3" t="s">
        <v>592</v>
      </c>
      <c r="F25" s="480"/>
      <c r="G25" s="440"/>
      <c r="H25" s="440"/>
      <c r="I25" s="55"/>
      <c r="J25" s="481"/>
      <c r="K25" s="490">
        <v>0</v>
      </c>
      <c r="L25" s="121">
        <v>0</v>
      </c>
      <c r="M25" s="121">
        <v>1918.62</v>
      </c>
      <c r="N25" s="53">
        <v>0</v>
      </c>
      <c r="O25" s="96">
        <v>-1918.62</v>
      </c>
      <c r="P25" s="480"/>
      <c r="Q25" s="440"/>
      <c r="R25" s="440"/>
      <c r="S25" s="440"/>
      <c r="T25" s="55"/>
      <c r="U25" s="567"/>
      <c r="V25" s="523"/>
    </row>
    <row r="26" spans="1:22" s="6" customFormat="1" outlineLevel="2" x14ac:dyDescent="0.2">
      <c r="A26" s="448" t="s">
        <v>747</v>
      </c>
      <c r="B26" s="3" t="s">
        <v>718</v>
      </c>
      <c r="C26" s="3" t="s">
        <v>719</v>
      </c>
      <c r="D26" s="3" t="s">
        <v>7</v>
      </c>
      <c r="E26" s="3" t="s">
        <v>720</v>
      </c>
      <c r="F26" s="475"/>
      <c r="G26" s="64"/>
      <c r="H26" s="64"/>
      <c r="I26" s="55"/>
      <c r="J26" s="476"/>
      <c r="K26" s="488">
        <v>5000</v>
      </c>
      <c r="L26" s="52">
        <v>823</v>
      </c>
      <c r="M26" s="52">
        <v>1362.94</v>
      </c>
      <c r="N26" s="53">
        <f t="shared" si="0"/>
        <v>0.272588</v>
      </c>
      <c r="O26" s="96">
        <v>-539.94000000000005</v>
      </c>
      <c r="P26" s="473">
        <v>5000</v>
      </c>
      <c r="Q26" s="54">
        <v>5000</v>
      </c>
      <c r="R26" s="54">
        <v>-11</v>
      </c>
      <c r="S26" s="54">
        <v>0</v>
      </c>
      <c r="T26" s="55">
        <f t="shared" si="1"/>
        <v>-2.2000000000000001E-3</v>
      </c>
      <c r="U26" s="564">
        <v>5011</v>
      </c>
      <c r="V26" s="523"/>
    </row>
    <row r="27" spans="1:22" s="6" customFormat="1" outlineLevel="2" x14ac:dyDescent="0.2">
      <c r="A27" s="448" t="s">
        <v>747</v>
      </c>
      <c r="B27" s="3" t="s">
        <v>721</v>
      </c>
      <c r="C27" s="3" t="s">
        <v>722</v>
      </c>
      <c r="D27" s="3" t="s">
        <v>7</v>
      </c>
      <c r="E27" s="3" t="s">
        <v>720</v>
      </c>
      <c r="F27" s="475"/>
      <c r="G27" s="64"/>
      <c r="H27" s="64"/>
      <c r="I27" s="55"/>
      <c r="J27" s="476"/>
      <c r="K27" s="488">
        <v>0</v>
      </c>
      <c r="L27" s="52">
        <v>4265</v>
      </c>
      <c r="M27" s="52">
        <v>4264.1499999999996</v>
      </c>
      <c r="N27" s="53">
        <v>0</v>
      </c>
      <c r="O27" s="96">
        <v>0.85</v>
      </c>
      <c r="P27" s="473">
        <v>0</v>
      </c>
      <c r="Q27" s="54">
        <v>0</v>
      </c>
      <c r="R27" s="54">
        <v>146.25</v>
      </c>
      <c r="S27" s="54">
        <v>0</v>
      </c>
      <c r="T27" s="55">
        <v>0</v>
      </c>
      <c r="U27" s="564">
        <v>-146.25</v>
      </c>
      <c r="V27" s="523"/>
    </row>
    <row r="28" spans="1:22" s="6" customFormat="1" outlineLevel="1" x14ac:dyDescent="0.2">
      <c r="A28" s="366" t="s">
        <v>755</v>
      </c>
      <c r="B28" s="3"/>
      <c r="C28" s="3"/>
      <c r="D28" s="3"/>
      <c r="E28" s="3"/>
      <c r="F28" s="482">
        <f>SUBTOTAL(9,F15:F27)</f>
        <v>35110</v>
      </c>
      <c r="G28" s="10">
        <f>SUBTOTAL(9,G15:G27)</f>
        <v>43149</v>
      </c>
      <c r="H28" s="10">
        <f>SUBTOTAL(9,H15:H27)</f>
        <v>61158.63</v>
      </c>
      <c r="I28" s="16">
        <f t="shared" si="2"/>
        <v>1.7419148390771859</v>
      </c>
      <c r="J28" s="99">
        <f>SUBTOTAL(9,J15:J27)</f>
        <v>-18009.63</v>
      </c>
      <c r="K28" s="477">
        <f>SUBTOTAL(9,K15:K27)</f>
        <v>40110</v>
      </c>
      <c r="L28" s="9">
        <f>SUBTOTAL(9,L15:L27)</f>
        <v>80036</v>
      </c>
      <c r="M28" s="9">
        <f>SUBTOTAL(9,M15:M27)</f>
        <v>96588.289999999979</v>
      </c>
      <c r="N28" s="16">
        <f t="shared" si="0"/>
        <v>2.4080850162054346</v>
      </c>
      <c r="O28" s="478">
        <f>SUBTOTAL(9,O15:O27)</f>
        <v>-16552.29</v>
      </c>
      <c r="P28" s="477">
        <f>SUBTOTAL(9,P15:P27)</f>
        <v>42319</v>
      </c>
      <c r="Q28" s="9">
        <f>SUBTOTAL(9,Q15:Q27)</f>
        <v>41883</v>
      </c>
      <c r="R28" s="9">
        <f>SUBTOTAL(9,R15:R27)</f>
        <v>55335.21</v>
      </c>
      <c r="S28" s="9">
        <f>SUBTOTAL(9,S15:S27)</f>
        <v>69.67</v>
      </c>
      <c r="T28" s="16">
        <f t="shared" si="1"/>
        <v>1.3075736666745432</v>
      </c>
      <c r="U28" s="566">
        <f>SUBTOTAL(9,U15:U27)</f>
        <v>-13521.880000000001</v>
      </c>
      <c r="V28" s="523"/>
    </row>
    <row r="29" spans="1:22" s="6" customFormat="1" outlineLevel="2" x14ac:dyDescent="0.2">
      <c r="A29" s="448" t="s">
        <v>736</v>
      </c>
      <c r="B29" s="3" t="s">
        <v>40</v>
      </c>
      <c r="C29" s="3" t="s">
        <v>41</v>
      </c>
      <c r="D29" s="3" t="s">
        <v>7</v>
      </c>
      <c r="E29" s="3" t="s">
        <v>5</v>
      </c>
      <c r="F29" s="473">
        <v>0</v>
      </c>
      <c r="G29" s="54">
        <v>439</v>
      </c>
      <c r="H29" s="54">
        <v>0</v>
      </c>
      <c r="I29" s="55">
        <v>0</v>
      </c>
      <c r="J29" s="474">
        <v>439</v>
      </c>
      <c r="K29" s="489"/>
      <c r="L29" s="65"/>
      <c r="M29" s="65"/>
      <c r="N29" s="53"/>
      <c r="O29" s="97"/>
      <c r="P29" s="475"/>
      <c r="Q29" s="64"/>
      <c r="R29" s="64"/>
      <c r="S29" s="64"/>
      <c r="T29" s="55"/>
      <c r="U29" s="565"/>
      <c r="V29" s="523"/>
    </row>
    <row r="30" spans="1:22" s="6" customFormat="1" outlineLevel="2" x14ac:dyDescent="0.2">
      <c r="A30" s="448" t="s">
        <v>736</v>
      </c>
      <c r="B30" s="3" t="s">
        <v>42</v>
      </c>
      <c r="C30" s="3" t="s">
        <v>41</v>
      </c>
      <c r="D30" s="3" t="s">
        <v>9</v>
      </c>
      <c r="E30" s="3" t="s">
        <v>5</v>
      </c>
      <c r="F30" s="473">
        <v>0</v>
      </c>
      <c r="G30" s="54">
        <v>1071</v>
      </c>
      <c r="H30" s="54">
        <v>1071</v>
      </c>
      <c r="I30" s="55">
        <v>0</v>
      </c>
      <c r="J30" s="474">
        <v>0</v>
      </c>
      <c r="K30" s="489"/>
      <c r="L30" s="65"/>
      <c r="M30" s="65"/>
      <c r="N30" s="53"/>
      <c r="O30" s="97"/>
      <c r="P30" s="475"/>
      <c r="Q30" s="64"/>
      <c r="R30" s="64"/>
      <c r="S30" s="64"/>
      <c r="T30" s="55"/>
      <c r="U30" s="565"/>
      <c r="V30" s="523"/>
    </row>
    <row r="31" spans="1:22" s="6" customFormat="1" outlineLevel="2" x14ac:dyDescent="0.2">
      <c r="A31" s="448" t="s">
        <v>736</v>
      </c>
      <c r="B31" s="3" t="s">
        <v>43</v>
      </c>
      <c r="C31" s="3" t="s">
        <v>41</v>
      </c>
      <c r="D31" s="3" t="s">
        <v>19</v>
      </c>
      <c r="E31" s="3" t="s">
        <v>5</v>
      </c>
      <c r="F31" s="473">
        <v>8400</v>
      </c>
      <c r="G31" s="54">
        <v>4317</v>
      </c>
      <c r="H31" s="54">
        <v>4001.84</v>
      </c>
      <c r="I31" s="55">
        <f t="shared" si="2"/>
        <v>0.47640952380952384</v>
      </c>
      <c r="J31" s="474">
        <v>315.16000000000003</v>
      </c>
      <c r="K31" s="488">
        <v>3000</v>
      </c>
      <c r="L31" s="52">
        <v>616</v>
      </c>
      <c r="M31" s="52">
        <v>47.47</v>
      </c>
      <c r="N31" s="53">
        <f t="shared" si="0"/>
        <v>1.5823333333333332E-2</v>
      </c>
      <c r="O31" s="96">
        <v>568.53</v>
      </c>
      <c r="P31" s="473">
        <v>3000</v>
      </c>
      <c r="Q31" s="54">
        <v>2500</v>
      </c>
      <c r="R31" s="54">
        <v>238.55</v>
      </c>
      <c r="S31" s="54">
        <v>61.45</v>
      </c>
      <c r="T31" s="55">
        <f t="shared" si="1"/>
        <v>7.9516666666666666E-2</v>
      </c>
      <c r="U31" s="564">
        <v>2200</v>
      </c>
      <c r="V31" s="523"/>
    </row>
    <row r="32" spans="1:22" s="6" customFormat="1" outlineLevel="2" x14ac:dyDescent="0.2">
      <c r="A32" s="448" t="s">
        <v>736</v>
      </c>
      <c r="B32" s="3" t="s">
        <v>44</v>
      </c>
      <c r="C32" s="3" t="s">
        <v>41</v>
      </c>
      <c r="D32" s="3" t="s">
        <v>23</v>
      </c>
      <c r="E32" s="3" t="s">
        <v>5</v>
      </c>
      <c r="F32" s="473">
        <v>0</v>
      </c>
      <c r="G32" s="54">
        <v>500</v>
      </c>
      <c r="H32" s="54">
        <v>0</v>
      </c>
      <c r="I32" s="55">
        <v>0</v>
      </c>
      <c r="J32" s="474">
        <v>500</v>
      </c>
      <c r="K32" s="488">
        <v>0</v>
      </c>
      <c r="L32" s="52">
        <v>200</v>
      </c>
      <c r="M32" s="52">
        <v>87</v>
      </c>
      <c r="N32" s="53">
        <v>0</v>
      </c>
      <c r="O32" s="96">
        <v>113</v>
      </c>
      <c r="P32" s="473">
        <v>0</v>
      </c>
      <c r="Q32" s="54">
        <v>500</v>
      </c>
      <c r="R32" s="54">
        <v>195.1</v>
      </c>
      <c r="S32" s="54">
        <v>0</v>
      </c>
      <c r="T32" s="55">
        <v>0</v>
      </c>
      <c r="U32" s="564">
        <v>304.89999999999998</v>
      </c>
      <c r="V32" s="523"/>
    </row>
    <row r="33" spans="1:22" s="6" customFormat="1" outlineLevel="2" x14ac:dyDescent="0.2">
      <c r="A33" s="448" t="s">
        <v>736</v>
      </c>
      <c r="B33" s="3" t="s">
        <v>45</v>
      </c>
      <c r="C33" s="3" t="s">
        <v>41</v>
      </c>
      <c r="D33" s="3" t="s">
        <v>29</v>
      </c>
      <c r="E33" s="3" t="s">
        <v>5</v>
      </c>
      <c r="F33" s="473">
        <v>12000</v>
      </c>
      <c r="G33" s="54">
        <v>3325</v>
      </c>
      <c r="H33" s="54">
        <v>3324.04</v>
      </c>
      <c r="I33" s="55">
        <f t="shared" si="2"/>
        <v>0.27700333333333332</v>
      </c>
      <c r="J33" s="474">
        <v>0.96</v>
      </c>
      <c r="K33" s="488">
        <v>11000</v>
      </c>
      <c r="L33" s="52">
        <v>9290</v>
      </c>
      <c r="M33" s="52">
        <v>6846.91</v>
      </c>
      <c r="N33" s="53">
        <f t="shared" si="0"/>
        <v>0.62244636363636363</v>
      </c>
      <c r="O33" s="96">
        <v>2443.09</v>
      </c>
      <c r="P33" s="473">
        <v>11000</v>
      </c>
      <c r="Q33" s="54">
        <v>11000</v>
      </c>
      <c r="R33" s="54">
        <v>2364.8000000000002</v>
      </c>
      <c r="S33" s="54">
        <v>0</v>
      </c>
      <c r="T33" s="55">
        <f t="shared" si="1"/>
        <v>0.21498181818181819</v>
      </c>
      <c r="U33" s="564">
        <v>8635.2000000000007</v>
      </c>
      <c r="V33" s="523"/>
    </row>
    <row r="34" spans="1:22" s="6" customFormat="1" outlineLevel="2" x14ac:dyDescent="0.2">
      <c r="A34" s="448" t="s">
        <v>736</v>
      </c>
      <c r="B34" s="3" t="s">
        <v>46</v>
      </c>
      <c r="C34" s="3" t="s">
        <v>41</v>
      </c>
      <c r="D34" s="3" t="s">
        <v>31</v>
      </c>
      <c r="E34" s="3" t="s">
        <v>5</v>
      </c>
      <c r="F34" s="473">
        <v>1000</v>
      </c>
      <c r="G34" s="54">
        <v>895</v>
      </c>
      <c r="H34" s="54">
        <v>375</v>
      </c>
      <c r="I34" s="55">
        <f t="shared" si="2"/>
        <v>0.375</v>
      </c>
      <c r="J34" s="474">
        <v>520</v>
      </c>
      <c r="K34" s="488">
        <v>1000</v>
      </c>
      <c r="L34" s="52">
        <v>1000</v>
      </c>
      <c r="M34" s="52">
        <v>500.91</v>
      </c>
      <c r="N34" s="53">
        <f t="shared" si="0"/>
        <v>0.50091000000000008</v>
      </c>
      <c r="O34" s="96">
        <v>499.09</v>
      </c>
      <c r="P34" s="473">
        <v>1000</v>
      </c>
      <c r="Q34" s="54">
        <v>1000</v>
      </c>
      <c r="R34" s="54">
        <v>0</v>
      </c>
      <c r="S34" s="54">
        <v>0</v>
      </c>
      <c r="T34" s="55">
        <f t="shared" si="1"/>
        <v>0</v>
      </c>
      <c r="U34" s="564">
        <v>1000</v>
      </c>
      <c r="V34" s="523"/>
    </row>
    <row r="35" spans="1:22" s="6" customFormat="1" outlineLevel="2" x14ac:dyDescent="0.2">
      <c r="A35" s="448" t="s">
        <v>736</v>
      </c>
      <c r="B35" s="3" t="s">
        <v>47</v>
      </c>
      <c r="C35" s="3" t="s">
        <v>41</v>
      </c>
      <c r="D35" s="3" t="s">
        <v>48</v>
      </c>
      <c r="E35" s="3" t="s">
        <v>5</v>
      </c>
      <c r="F35" s="473">
        <v>0</v>
      </c>
      <c r="G35" s="54">
        <v>105</v>
      </c>
      <c r="H35" s="54">
        <v>96.8</v>
      </c>
      <c r="I35" s="55">
        <v>0</v>
      </c>
      <c r="J35" s="474">
        <v>8.1999999999999993</v>
      </c>
      <c r="K35" s="489"/>
      <c r="L35" s="65"/>
      <c r="M35" s="65"/>
      <c r="N35" s="53"/>
      <c r="O35" s="97"/>
      <c r="P35" s="475"/>
      <c r="Q35" s="64"/>
      <c r="R35" s="64"/>
      <c r="S35" s="64"/>
      <c r="T35" s="55"/>
      <c r="U35" s="565"/>
      <c r="V35" s="523"/>
    </row>
    <row r="36" spans="1:22" s="6" customFormat="1" outlineLevel="2" x14ac:dyDescent="0.2">
      <c r="A36" s="448" t="s">
        <v>736</v>
      </c>
      <c r="B36" s="3" t="s">
        <v>49</v>
      </c>
      <c r="C36" s="3" t="s">
        <v>41</v>
      </c>
      <c r="D36" s="3" t="s">
        <v>37</v>
      </c>
      <c r="E36" s="3" t="s">
        <v>5</v>
      </c>
      <c r="F36" s="473">
        <v>600</v>
      </c>
      <c r="G36" s="54">
        <v>8600</v>
      </c>
      <c r="H36" s="54">
        <v>0</v>
      </c>
      <c r="I36" s="55">
        <f t="shared" si="2"/>
        <v>0</v>
      </c>
      <c r="J36" s="474">
        <v>8600</v>
      </c>
      <c r="K36" s="488">
        <v>1000</v>
      </c>
      <c r="L36" s="52">
        <v>0</v>
      </c>
      <c r="M36" s="52">
        <v>0</v>
      </c>
      <c r="N36" s="53">
        <f t="shared" si="0"/>
        <v>0</v>
      </c>
      <c r="O36" s="96">
        <v>0</v>
      </c>
      <c r="P36" s="473">
        <v>1000</v>
      </c>
      <c r="Q36" s="54">
        <v>1000</v>
      </c>
      <c r="R36" s="54">
        <v>0</v>
      </c>
      <c r="S36" s="54">
        <v>0</v>
      </c>
      <c r="T36" s="55">
        <f t="shared" si="1"/>
        <v>0</v>
      </c>
      <c r="U36" s="564">
        <v>1000</v>
      </c>
      <c r="V36" s="523"/>
    </row>
    <row r="37" spans="1:22" s="6" customFormat="1" outlineLevel="2" x14ac:dyDescent="0.2">
      <c r="A37" s="448" t="s">
        <v>736</v>
      </c>
      <c r="B37" s="3" t="s">
        <v>50</v>
      </c>
      <c r="C37" s="3" t="s">
        <v>41</v>
      </c>
      <c r="D37" s="3" t="s">
        <v>51</v>
      </c>
      <c r="E37" s="3" t="s">
        <v>5</v>
      </c>
      <c r="F37" s="473">
        <v>0</v>
      </c>
      <c r="G37" s="54">
        <v>2258</v>
      </c>
      <c r="H37" s="54">
        <v>2238.37</v>
      </c>
      <c r="I37" s="55">
        <v>0</v>
      </c>
      <c r="J37" s="474">
        <v>19.63</v>
      </c>
      <c r="K37" s="488">
        <v>0</v>
      </c>
      <c r="L37" s="52">
        <v>3341</v>
      </c>
      <c r="M37" s="52">
        <f>1704.13+1589.68</f>
        <v>3293.8100000000004</v>
      </c>
      <c r="N37" s="53">
        <v>0</v>
      </c>
      <c r="O37" s="96">
        <f>1636.87-1589.68</f>
        <v>47.189999999999827</v>
      </c>
      <c r="P37" s="475"/>
      <c r="Q37" s="64"/>
      <c r="R37" s="64"/>
      <c r="S37" s="64"/>
      <c r="T37" s="55"/>
      <c r="U37" s="565"/>
      <c r="V37" s="523"/>
    </row>
    <row r="38" spans="1:22" s="6" customFormat="1" outlineLevel="1" x14ac:dyDescent="0.2">
      <c r="A38" s="366" t="s">
        <v>756</v>
      </c>
      <c r="B38" s="3"/>
      <c r="C38" s="3"/>
      <c r="D38" s="3"/>
      <c r="E38" s="3"/>
      <c r="F38" s="477">
        <f>SUBTOTAL(9,F29:F37)</f>
        <v>22000</v>
      </c>
      <c r="G38" s="9">
        <f>SUBTOTAL(9,G29:G37)</f>
        <v>21510</v>
      </c>
      <c r="H38" s="9">
        <f>SUBTOTAL(9,H29:H37)</f>
        <v>11107.05</v>
      </c>
      <c r="I38" s="16">
        <f t="shared" si="2"/>
        <v>0.504865909090909</v>
      </c>
      <c r="J38" s="478">
        <f>SUBTOTAL(9,J29:J37)</f>
        <v>10402.949999999999</v>
      </c>
      <c r="K38" s="477">
        <f>SUBTOTAL(9,K29:K37)</f>
        <v>16000</v>
      </c>
      <c r="L38" s="9">
        <f>SUBTOTAL(9,L29:L37)</f>
        <v>14447</v>
      </c>
      <c r="M38" s="9">
        <f>SUBTOTAL(9,M29:M37)</f>
        <v>10776.1</v>
      </c>
      <c r="N38" s="16">
        <f t="shared" si="0"/>
        <v>0.67350624999999997</v>
      </c>
      <c r="O38" s="478">
        <f>SUBTOTAL(9,O29:O37)</f>
        <v>3670.8999999999996</v>
      </c>
      <c r="P38" s="482">
        <f>SUBTOTAL(9,P29:P37)</f>
        <v>16000</v>
      </c>
      <c r="Q38" s="10">
        <f>SUBTOTAL(9,Q29:Q37)</f>
        <v>16000</v>
      </c>
      <c r="R38" s="10">
        <f>SUBTOTAL(9,R29:R37)</f>
        <v>2798.4500000000003</v>
      </c>
      <c r="S38" s="10">
        <f>SUBTOTAL(9,S29:S37)</f>
        <v>61.45</v>
      </c>
      <c r="T38" s="16">
        <f t="shared" si="1"/>
        <v>0.17490312500000002</v>
      </c>
      <c r="U38" s="568">
        <f>SUBTOTAL(9,U29:U37)</f>
        <v>13140.1</v>
      </c>
      <c r="V38" s="523"/>
    </row>
    <row r="39" spans="1:22" s="6" customFormat="1" outlineLevel="2" x14ac:dyDescent="0.2">
      <c r="A39" s="448" t="s">
        <v>738</v>
      </c>
      <c r="B39" s="3" t="s">
        <v>54</v>
      </c>
      <c r="C39" s="3" t="s">
        <v>55</v>
      </c>
      <c r="D39" s="3" t="s">
        <v>56</v>
      </c>
      <c r="E39" s="3" t="s">
        <v>5</v>
      </c>
      <c r="F39" s="473">
        <v>2750</v>
      </c>
      <c r="G39" s="54">
        <v>2750</v>
      </c>
      <c r="H39" s="54">
        <v>0</v>
      </c>
      <c r="I39" s="55">
        <f t="shared" si="2"/>
        <v>0</v>
      </c>
      <c r="J39" s="474">
        <v>2750</v>
      </c>
      <c r="K39" s="489"/>
      <c r="L39" s="65"/>
      <c r="M39" s="65"/>
      <c r="N39" s="53"/>
      <c r="O39" s="97"/>
      <c r="P39" s="475"/>
      <c r="Q39" s="64"/>
      <c r="R39" s="64"/>
      <c r="S39" s="64"/>
      <c r="T39" s="55"/>
      <c r="U39" s="565"/>
      <c r="V39" s="523"/>
    </row>
    <row r="40" spans="1:22" s="6" customFormat="1" outlineLevel="2" x14ac:dyDescent="0.2">
      <c r="A40" s="448" t="s">
        <v>738</v>
      </c>
      <c r="B40" s="3" t="s">
        <v>57</v>
      </c>
      <c r="C40" s="3" t="s">
        <v>55</v>
      </c>
      <c r="D40" s="3" t="s">
        <v>58</v>
      </c>
      <c r="E40" s="3" t="s">
        <v>5</v>
      </c>
      <c r="F40" s="480"/>
      <c r="G40" s="440"/>
      <c r="H40" s="440"/>
      <c r="I40" s="55"/>
      <c r="J40" s="481"/>
      <c r="K40" s="491"/>
      <c r="L40" s="120"/>
      <c r="M40" s="120"/>
      <c r="N40" s="53"/>
      <c r="O40" s="97"/>
      <c r="P40" s="479">
        <v>0</v>
      </c>
      <c r="Q40" s="56">
        <v>0</v>
      </c>
      <c r="R40" s="56">
        <v>0</v>
      </c>
      <c r="S40" s="56">
        <v>0</v>
      </c>
      <c r="T40" s="55"/>
      <c r="U40" s="564">
        <v>0</v>
      </c>
      <c r="V40" s="523"/>
    </row>
    <row r="41" spans="1:22" s="6" customFormat="1" outlineLevel="2" x14ac:dyDescent="0.2">
      <c r="A41" s="448" t="s">
        <v>738</v>
      </c>
      <c r="B41" s="3" t="s">
        <v>59</v>
      </c>
      <c r="C41" s="3" t="s">
        <v>55</v>
      </c>
      <c r="D41" s="3" t="s">
        <v>58</v>
      </c>
      <c r="E41" s="3" t="s">
        <v>5</v>
      </c>
      <c r="F41" s="475"/>
      <c r="G41" s="64"/>
      <c r="H41" s="64"/>
      <c r="I41" s="55"/>
      <c r="J41" s="476"/>
      <c r="K41" s="489"/>
      <c r="L41" s="65"/>
      <c r="M41" s="65"/>
      <c r="N41" s="53"/>
      <c r="O41" s="97"/>
      <c r="P41" s="473">
        <v>0</v>
      </c>
      <c r="Q41" s="54">
        <v>8050</v>
      </c>
      <c r="R41" s="54">
        <v>2827.44</v>
      </c>
      <c r="S41" s="54">
        <v>0</v>
      </c>
      <c r="T41" s="55">
        <v>0</v>
      </c>
      <c r="U41" s="564">
        <v>5222.5600000000004</v>
      </c>
      <c r="V41" s="523"/>
    </row>
    <row r="42" spans="1:22" s="6" customFormat="1" outlineLevel="2" x14ac:dyDescent="0.2">
      <c r="A42" s="448" t="s">
        <v>738</v>
      </c>
      <c r="B42" s="3" t="s">
        <v>60</v>
      </c>
      <c r="C42" s="3" t="s">
        <v>55</v>
      </c>
      <c r="D42" s="3" t="s">
        <v>10</v>
      </c>
      <c r="E42" s="3" t="s">
        <v>5</v>
      </c>
      <c r="F42" s="475"/>
      <c r="G42" s="64"/>
      <c r="H42" s="64"/>
      <c r="I42" s="55"/>
      <c r="J42" s="476"/>
      <c r="K42" s="489"/>
      <c r="L42" s="65"/>
      <c r="M42" s="65"/>
      <c r="N42" s="53"/>
      <c r="O42" s="97"/>
      <c r="P42" s="473">
        <v>0</v>
      </c>
      <c r="Q42" s="54">
        <v>300</v>
      </c>
      <c r="R42" s="54">
        <v>233.27</v>
      </c>
      <c r="S42" s="54">
        <v>0</v>
      </c>
      <c r="T42" s="55">
        <v>0</v>
      </c>
      <c r="U42" s="564">
        <v>66.73</v>
      </c>
      <c r="V42" s="523"/>
    </row>
    <row r="43" spans="1:22" s="6" customFormat="1" outlineLevel="2" x14ac:dyDescent="0.2">
      <c r="A43" s="448" t="s">
        <v>738</v>
      </c>
      <c r="B43" s="3" t="s">
        <v>61</v>
      </c>
      <c r="C43" s="3" t="s">
        <v>55</v>
      </c>
      <c r="D43" s="3" t="s">
        <v>11</v>
      </c>
      <c r="E43" s="3" t="s">
        <v>5</v>
      </c>
      <c r="F43" s="475"/>
      <c r="G43" s="64"/>
      <c r="H43" s="64"/>
      <c r="I43" s="55"/>
      <c r="J43" s="476"/>
      <c r="K43" s="489"/>
      <c r="L43" s="65"/>
      <c r="M43" s="65"/>
      <c r="N43" s="53"/>
      <c r="O43" s="97"/>
      <c r="P43" s="473">
        <v>0</v>
      </c>
      <c r="Q43" s="54">
        <v>50</v>
      </c>
      <c r="R43" s="54">
        <v>39.92</v>
      </c>
      <c r="S43" s="54">
        <v>0</v>
      </c>
      <c r="T43" s="55">
        <v>0</v>
      </c>
      <c r="U43" s="564">
        <v>10.08</v>
      </c>
      <c r="V43" s="523"/>
    </row>
    <row r="44" spans="1:22" s="6" customFormat="1" outlineLevel="2" x14ac:dyDescent="0.2">
      <c r="A44" s="448" t="s">
        <v>738</v>
      </c>
      <c r="B44" s="3" t="s">
        <v>62</v>
      </c>
      <c r="C44" s="3" t="s">
        <v>55</v>
      </c>
      <c r="D44" s="3" t="s">
        <v>13</v>
      </c>
      <c r="E44" s="3" t="s">
        <v>5</v>
      </c>
      <c r="F44" s="475"/>
      <c r="G44" s="64"/>
      <c r="H44" s="64"/>
      <c r="I44" s="55"/>
      <c r="J44" s="476"/>
      <c r="K44" s="489"/>
      <c r="L44" s="65"/>
      <c r="M44" s="65"/>
      <c r="N44" s="53"/>
      <c r="O44" s="97"/>
      <c r="P44" s="473">
        <v>0</v>
      </c>
      <c r="Q44" s="54">
        <v>50</v>
      </c>
      <c r="R44" s="54">
        <v>30.28</v>
      </c>
      <c r="S44" s="54">
        <v>0</v>
      </c>
      <c r="T44" s="55">
        <v>0</v>
      </c>
      <c r="U44" s="564">
        <v>19.72</v>
      </c>
      <c r="V44" s="523"/>
    </row>
    <row r="45" spans="1:22" s="6" customFormat="1" outlineLevel="2" x14ac:dyDescent="0.2">
      <c r="A45" s="448" t="s">
        <v>738</v>
      </c>
      <c r="B45" s="3" t="s">
        <v>63</v>
      </c>
      <c r="C45" s="3" t="s">
        <v>55</v>
      </c>
      <c r="D45" s="3" t="s">
        <v>15</v>
      </c>
      <c r="E45" s="3" t="s">
        <v>5</v>
      </c>
      <c r="F45" s="475"/>
      <c r="G45" s="64"/>
      <c r="H45" s="64"/>
      <c r="I45" s="55"/>
      <c r="J45" s="476"/>
      <c r="K45" s="489"/>
      <c r="L45" s="65"/>
      <c r="M45" s="65"/>
      <c r="N45" s="53"/>
      <c r="O45" s="97"/>
      <c r="P45" s="473">
        <v>0</v>
      </c>
      <c r="Q45" s="54">
        <v>50</v>
      </c>
      <c r="R45" s="54">
        <v>40.65</v>
      </c>
      <c r="S45" s="54">
        <v>0</v>
      </c>
      <c r="T45" s="55">
        <v>0</v>
      </c>
      <c r="U45" s="564">
        <v>9.35</v>
      </c>
      <c r="V45" s="523"/>
    </row>
    <row r="46" spans="1:22" s="6" customFormat="1" outlineLevel="2" x14ac:dyDescent="0.2">
      <c r="A46" s="448" t="s">
        <v>738</v>
      </c>
      <c r="B46" s="3" t="s">
        <v>64</v>
      </c>
      <c r="C46" s="3" t="s">
        <v>55</v>
      </c>
      <c r="D46" s="3" t="s">
        <v>19</v>
      </c>
      <c r="E46" s="3" t="s">
        <v>5</v>
      </c>
      <c r="F46" s="473">
        <v>11900</v>
      </c>
      <c r="G46" s="54">
        <v>11900</v>
      </c>
      <c r="H46" s="54">
        <v>11899.4</v>
      </c>
      <c r="I46" s="55">
        <f t="shared" si="2"/>
        <v>0.99994957983193278</v>
      </c>
      <c r="J46" s="474">
        <v>0.6</v>
      </c>
      <c r="K46" s="489"/>
      <c r="L46" s="65"/>
      <c r="M46" s="65"/>
      <c r="N46" s="53"/>
      <c r="O46" s="97"/>
      <c r="P46" s="473">
        <v>10000</v>
      </c>
      <c r="Q46" s="54">
        <v>1500</v>
      </c>
      <c r="R46" s="54">
        <v>176.12</v>
      </c>
      <c r="S46" s="54">
        <v>0</v>
      </c>
      <c r="T46" s="55">
        <f t="shared" si="1"/>
        <v>1.7611999999999999E-2</v>
      </c>
      <c r="U46" s="564">
        <v>1323.88</v>
      </c>
      <c r="V46" s="523"/>
    </row>
    <row r="47" spans="1:22" s="6" customFormat="1" outlineLevel="2" x14ac:dyDescent="0.2">
      <c r="A47" s="448" t="s">
        <v>738</v>
      </c>
      <c r="B47" s="3" t="s">
        <v>65</v>
      </c>
      <c r="C47" s="3" t="s">
        <v>55</v>
      </c>
      <c r="D47" s="3" t="s">
        <v>66</v>
      </c>
      <c r="E47" s="3" t="s">
        <v>5</v>
      </c>
      <c r="F47" s="473">
        <v>0</v>
      </c>
      <c r="G47" s="54">
        <v>500</v>
      </c>
      <c r="H47" s="54">
        <v>0</v>
      </c>
      <c r="I47" s="55">
        <v>0</v>
      </c>
      <c r="J47" s="474">
        <v>500</v>
      </c>
      <c r="K47" s="489"/>
      <c r="L47" s="65"/>
      <c r="M47" s="65"/>
      <c r="N47" s="53"/>
      <c r="O47" s="97"/>
      <c r="P47" s="475"/>
      <c r="Q47" s="64"/>
      <c r="R47" s="64"/>
      <c r="S47" s="64"/>
      <c r="T47" s="55"/>
      <c r="U47" s="565"/>
      <c r="V47" s="523"/>
    </row>
    <row r="48" spans="1:22" s="6" customFormat="1" outlineLevel="2" x14ac:dyDescent="0.2">
      <c r="A48" s="448" t="s">
        <v>738</v>
      </c>
      <c r="B48" s="3" t="s">
        <v>67</v>
      </c>
      <c r="C48" s="3" t="s">
        <v>55</v>
      </c>
      <c r="D48" s="3" t="s">
        <v>66</v>
      </c>
      <c r="E48" s="3" t="s">
        <v>5</v>
      </c>
      <c r="F48" s="473">
        <v>350</v>
      </c>
      <c r="G48" s="54">
        <v>700</v>
      </c>
      <c r="H48" s="54">
        <v>0</v>
      </c>
      <c r="I48" s="55">
        <f t="shared" si="2"/>
        <v>0</v>
      </c>
      <c r="J48" s="474">
        <v>700</v>
      </c>
      <c r="K48" s="489"/>
      <c r="L48" s="65"/>
      <c r="M48" s="65"/>
      <c r="N48" s="53"/>
      <c r="O48" s="97"/>
      <c r="P48" s="475"/>
      <c r="Q48" s="64"/>
      <c r="R48" s="64"/>
      <c r="S48" s="64"/>
      <c r="T48" s="55"/>
      <c r="U48" s="565"/>
      <c r="V48" s="523"/>
    </row>
    <row r="49" spans="1:22" s="6" customFormat="1" outlineLevel="2" x14ac:dyDescent="0.2">
      <c r="A49" s="448" t="s">
        <v>738</v>
      </c>
      <c r="B49" s="3" t="s">
        <v>68</v>
      </c>
      <c r="C49" s="3" t="s">
        <v>55</v>
      </c>
      <c r="D49" s="3" t="s">
        <v>37</v>
      </c>
      <c r="E49" s="3" t="s">
        <v>5</v>
      </c>
      <c r="F49" s="473">
        <v>5929</v>
      </c>
      <c r="G49" s="54">
        <v>3264</v>
      </c>
      <c r="H49" s="54">
        <v>0</v>
      </c>
      <c r="I49" s="55">
        <f t="shared" si="2"/>
        <v>0</v>
      </c>
      <c r="J49" s="474">
        <v>3264</v>
      </c>
      <c r="K49" s="488">
        <v>8929</v>
      </c>
      <c r="L49" s="52">
        <v>929</v>
      </c>
      <c r="M49" s="52">
        <v>0</v>
      </c>
      <c r="N49" s="53">
        <f t="shared" si="0"/>
        <v>0</v>
      </c>
      <c r="O49" s="96">
        <v>929</v>
      </c>
      <c r="P49" s="473">
        <v>8929</v>
      </c>
      <c r="Q49" s="54">
        <v>8929</v>
      </c>
      <c r="R49" s="54">
        <v>0</v>
      </c>
      <c r="S49" s="54">
        <v>0</v>
      </c>
      <c r="T49" s="55">
        <f t="shared" si="1"/>
        <v>0</v>
      </c>
      <c r="U49" s="564">
        <v>8929</v>
      </c>
      <c r="V49" s="523"/>
    </row>
    <row r="50" spans="1:22" s="6" customFormat="1" outlineLevel="2" x14ac:dyDescent="0.2">
      <c r="A50" s="448" t="s">
        <v>738</v>
      </c>
      <c r="B50" s="3" t="s">
        <v>69</v>
      </c>
      <c r="C50" s="3" t="s">
        <v>55</v>
      </c>
      <c r="D50" s="3" t="s">
        <v>37</v>
      </c>
      <c r="E50" s="3" t="s">
        <v>5</v>
      </c>
      <c r="F50" s="473">
        <v>17453</v>
      </c>
      <c r="G50" s="54">
        <v>16850</v>
      </c>
      <c r="H50" s="54">
        <v>16850</v>
      </c>
      <c r="I50" s="55">
        <f t="shared" si="2"/>
        <v>0.96545006589125082</v>
      </c>
      <c r="J50" s="474">
        <v>0</v>
      </c>
      <c r="K50" s="488">
        <v>17453</v>
      </c>
      <c r="L50" s="52">
        <v>17453</v>
      </c>
      <c r="M50" s="52">
        <v>17453</v>
      </c>
      <c r="N50" s="53">
        <f t="shared" si="0"/>
        <v>1</v>
      </c>
      <c r="O50" s="96">
        <v>0</v>
      </c>
      <c r="P50" s="473">
        <v>17453</v>
      </c>
      <c r="Q50" s="54">
        <v>17453</v>
      </c>
      <c r="R50" s="54">
        <v>15579</v>
      </c>
      <c r="S50" s="54">
        <v>0</v>
      </c>
      <c r="T50" s="55">
        <f t="shared" si="1"/>
        <v>0.89262590958574461</v>
      </c>
      <c r="U50" s="564">
        <v>1874</v>
      </c>
      <c r="V50" s="523"/>
    </row>
    <row r="51" spans="1:22" s="6" customFormat="1" outlineLevel="2" x14ac:dyDescent="0.2">
      <c r="A51" s="448" t="s">
        <v>738</v>
      </c>
      <c r="B51" s="3" t="s">
        <v>70</v>
      </c>
      <c r="C51" s="3" t="s">
        <v>71</v>
      </c>
      <c r="D51" s="3" t="s">
        <v>72</v>
      </c>
      <c r="E51" s="3" t="s">
        <v>5</v>
      </c>
      <c r="F51" s="475"/>
      <c r="G51" s="64"/>
      <c r="H51" s="64"/>
      <c r="I51" s="55">
        <v>0</v>
      </c>
      <c r="J51" s="476"/>
      <c r="K51" s="488">
        <v>30000</v>
      </c>
      <c r="L51" s="52">
        <v>0</v>
      </c>
      <c r="M51" s="52">
        <v>0</v>
      </c>
      <c r="N51" s="53">
        <f t="shared" si="0"/>
        <v>0</v>
      </c>
      <c r="O51" s="96">
        <v>0</v>
      </c>
      <c r="P51" s="475"/>
      <c r="Q51" s="64"/>
      <c r="R51" s="64"/>
      <c r="S51" s="64"/>
      <c r="T51" s="55"/>
      <c r="U51" s="565"/>
      <c r="V51" s="523"/>
    </row>
    <row r="52" spans="1:22" s="6" customFormat="1" outlineLevel="2" x14ac:dyDescent="0.2">
      <c r="A52" s="448" t="s">
        <v>738</v>
      </c>
      <c r="B52" s="3" t="s">
        <v>73</v>
      </c>
      <c r="C52" s="3" t="s">
        <v>71</v>
      </c>
      <c r="D52" s="3" t="s">
        <v>74</v>
      </c>
      <c r="E52" s="3" t="s">
        <v>5</v>
      </c>
      <c r="F52" s="475"/>
      <c r="G52" s="64"/>
      <c r="H52" s="64"/>
      <c r="I52" s="55">
        <v>0</v>
      </c>
      <c r="J52" s="476"/>
      <c r="K52" s="488">
        <v>40000</v>
      </c>
      <c r="L52" s="52">
        <v>0</v>
      </c>
      <c r="M52" s="52">
        <v>0</v>
      </c>
      <c r="N52" s="53">
        <f t="shared" si="0"/>
        <v>0</v>
      </c>
      <c r="O52" s="96">
        <v>0</v>
      </c>
      <c r="P52" s="475"/>
      <c r="Q52" s="64"/>
      <c r="R52" s="64"/>
      <c r="S52" s="64"/>
      <c r="T52" s="55"/>
      <c r="U52" s="565"/>
      <c r="V52" s="523"/>
    </row>
    <row r="53" spans="1:22" s="6" customFormat="1" outlineLevel="2" x14ac:dyDescent="0.2">
      <c r="A53" s="448" t="s">
        <v>738</v>
      </c>
      <c r="B53" s="3" t="s">
        <v>247</v>
      </c>
      <c r="C53" s="3" t="s">
        <v>245</v>
      </c>
      <c r="D53" s="3" t="s">
        <v>7</v>
      </c>
      <c r="E53" s="3" t="s">
        <v>147</v>
      </c>
      <c r="F53" s="475"/>
      <c r="G53" s="64"/>
      <c r="H53" s="64"/>
      <c r="I53" s="55">
        <v>0</v>
      </c>
      <c r="J53" s="476"/>
      <c r="K53" s="488">
        <v>0</v>
      </c>
      <c r="L53" s="52">
        <v>1076</v>
      </c>
      <c r="M53" s="52">
        <f>1076+1526.48</f>
        <v>2602.48</v>
      </c>
      <c r="N53" s="53">
        <v>0</v>
      </c>
      <c r="O53" s="96">
        <v>-1526.48</v>
      </c>
      <c r="P53" s="475"/>
      <c r="Q53" s="64"/>
      <c r="R53" s="64"/>
      <c r="S53" s="64"/>
      <c r="T53" s="55"/>
      <c r="U53" s="565"/>
      <c r="V53" s="523"/>
    </row>
    <row r="54" spans="1:22" s="6" customFormat="1" outlineLevel="2" x14ac:dyDescent="0.2">
      <c r="A54" s="448" t="s">
        <v>738</v>
      </c>
      <c r="B54" s="3" t="s">
        <v>244</v>
      </c>
      <c r="C54" s="3" t="s">
        <v>245</v>
      </c>
      <c r="D54" s="3" t="s">
        <v>246</v>
      </c>
      <c r="E54" s="3" t="s">
        <v>147</v>
      </c>
      <c r="F54" s="475"/>
      <c r="G54" s="64"/>
      <c r="H54" s="64"/>
      <c r="I54" s="55">
        <v>0</v>
      </c>
      <c r="J54" s="476"/>
      <c r="K54" s="488">
        <v>0</v>
      </c>
      <c r="L54" s="52">
        <v>0</v>
      </c>
      <c r="M54" s="52">
        <v>0</v>
      </c>
      <c r="N54" s="53">
        <v>0</v>
      </c>
      <c r="O54" s="96">
        <v>0</v>
      </c>
      <c r="P54" s="475"/>
      <c r="Q54" s="64"/>
      <c r="R54" s="64"/>
      <c r="S54" s="64"/>
      <c r="T54" s="55"/>
      <c r="U54" s="565"/>
      <c r="V54" s="523"/>
    </row>
    <row r="55" spans="1:22" s="6" customFormat="1" outlineLevel="2" x14ac:dyDescent="0.2">
      <c r="A55" s="448" t="s">
        <v>738</v>
      </c>
      <c r="B55" s="3" t="s">
        <v>248</v>
      </c>
      <c r="C55" s="3" t="s">
        <v>245</v>
      </c>
      <c r="D55" s="3" t="s">
        <v>19</v>
      </c>
      <c r="E55" s="3" t="s">
        <v>147</v>
      </c>
      <c r="F55" s="475"/>
      <c r="G55" s="64"/>
      <c r="H55" s="64"/>
      <c r="I55" s="55">
        <v>0</v>
      </c>
      <c r="J55" s="476"/>
      <c r="K55" s="488">
        <v>0</v>
      </c>
      <c r="L55" s="52">
        <v>4038</v>
      </c>
      <c r="M55" s="52">
        <v>4037.88</v>
      </c>
      <c r="N55" s="53">
        <v>0</v>
      </c>
      <c r="O55" s="96">
        <v>0.12</v>
      </c>
      <c r="P55" s="475"/>
      <c r="Q55" s="64"/>
      <c r="R55" s="64"/>
      <c r="S55" s="64"/>
      <c r="T55" s="55"/>
      <c r="U55" s="565"/>
      <c r="V55" s="523"/>
    </row>
    <row r="56" spans="1:22" s="6" customFormat="1" outlineLevel="2" x14ac:dyDescent="0.2">
      <c r="A56" s="448" t="s">
        <v>738</v>
      </c>
      <c r="B56" s="3" t="s">
        <v>249</v>
      </c>
      <c r="C56" s="3" t="s">
        <v>245</v>
      </c>
      <c r="D56" s="3" t="s">
        <v>29</v>
      </c>
      <c r="E56" s="3" t="s">
        <v>147</v>
      </c>
      <c r="F56" s="475"/>
      <c r="G56" s="64"/>
      <c r="H56" s="64"/>
      <c r="I56" s="55">
        <v>0</v>
      </c>
      <c r="J56" s="476"/>
      <c r="K56" s="488">
        <v>0</v>
      </c>
      <c r="L56" s="52">
        <v>41427</v>
      </c>
      <c r="M56" s="52">
        <v>41425.83</v>
      </c>
      <c r="N56" s="53">
        <v>0</v>
      </c>
      <c r="O56" s="96">
        <f>41427-41425.83</f>
        <v>1.1699999999982538</v>
      </c>
      <c r="P56" s="475"/>
      <c r="Q56" s="64"/>
      <c r="R56" s="64"/>
      <c r="S56" s="64"/>
      <c r="T56" s="55"/>
      <c r="U56" s="565"/>
      <c r="V56" s="523"/>
    </row>
    <row r="57" spans="1:22" s="6" customFormat="1" outlineLevel="2" x14ac:dyDescent="0.2">
      <c r="A57" s="448" t="s">
        <v>738</v>
      </c>
      <c r="B57" s="3" t="s">
        <v>250</v>
      </c>
      <c r="C57" s="3" t="s">
        <v>245</v>
      </c>
      <c r="D57" s="3" t="s">
        <v>51</v>
      </c>
      <c r="E57" s="3" t="s">
        <v>147</v>
      </c>
      <c r="F57" s="475"/>
      <c r="G57" s="64"/>
      <c r="H57" s="64"/>
      <c r="I57" s="55">
        <v>0</v>
      </c>
      <c r="J57" s="476"/>
      <c r="K57" s="488">
        <v>0</v>
      </c>
      <c r="L57" s="52">
        <v>1637</v>
      </c>
      <c r="M57" s="52">
        <v>6363.71</v>
      </c>
      <c r="N57" s="53">
        <v>0</v>
      </c>
      <c r="O57" s="96">
        <f>1637-6363.71</f>
        <v>-4726.71</v>
      </c>
      <c r="P57" s="473">
        <v>0</v>
      </c>
      <c r="Q57" s="54">
        <v>0</v>
      </c>
      <c r="R57" s="54">
        <v>0</v>
      </c>
      <c r="S57" s="54">
        <v>0</v>
      </c>
      <c r="T57" s="55"/>
      <c r="U57" s="564">
        <v>0</v>
      </c>
      <c r="V57" s="523"/>
    </row>
    <row r="58" spans="1:22" s="6" customFormat="1" outlineLevel="2" x14ac:dyDescent="0.2">
      <c r="A58" s="448" t="s">
        <v>738</v>
      </c>
      <c r="B58" s="3" t="s">
        <v>274</v>
      </c>
      <c r="C58" s="3" t="s">
        <v>272</v>
      </c>
      <c r="D58" s="3" t="s">
        <v>7</v>
      </c>
      <c r="E58" s="3" t="s">
        <v>273</v>
      </c>
      <c r="F58" s="473">
        <v>3000</v>
      </c>
      <c r="G58" s="54">
        <v>8051</v>
      </c>
      <c r="H58" s="54">
        <v>8637.27</v>
      </c>
      <c r="I58" s="55">
        <f t="shared" si="2"/>
        <v>2.8790900000000001</v>
      </c>
      <c r="J58" s="474">
        <v>-586.27</v>
      </c>
      <c r="K58" s="488">
        <v>0</v>
      </c>
      <c r="L58" s="52">
        <v>22882</v>
      </c>
      <c r="M58" s="52">
        <v>22761.26</v>
      </c>
      <c r="N58" s="53">
        <v>0</v>
      </c>
      <c r="O58" s="96">
        <v>120.74</v>
      </c>
      <c r="P58" s="473">
        <v>0</v>
      </c>
      <c r="Q58" s="54">
        <v>0</v>
      </c>
      <c r="R58" s="54">
        <v>5017.25</v>
      </c>
      <c r="S58" s="54">
        <v>0</v>
      </c>
      <c r="T58" s="55">
        <v>0</v>
      </c>
      <c r="U58" s="564">
        <v>-5017.25</v>
      </c>
      <c r="V58" s="523"/>
    </row>
    <row r="59" spans="1:22" s="6" customFormat="1" outlineLevel="2" x14ac:dyDescent="0.2">
      <c r="A59" s="448" t="s">
        <v>738</v>
      </c>
      <c r="B59" s="3" t="s">
        <v>275</v>
      </c>
      <c r="C59" s="3" t="s">
        <v>272</v>
      </c>
      <c r="D59" s="3" t="s">
        <v>52</v>
      </c>
      <c r="E59" s="3" t="s">
        <v>273</v>
      </c>
      <c r="F59" s="473">
        <v>0</v>
      </c>
      <c r="G59" s="54">
        <v>8057</v>
      </c>
      <c r="H59" s="54">
        <v>4784.09</v>
      </c>
      <c r="I59" s="55">
        <v>0</v>
      </c>
      <c r="J59" s="474">
        <v>3272.91</v>
      </c>
      <c r="K59" s="488">
        <v>0</v>
      </c>
      <c r="L59" s="52">
        <v>154</v>
      </c>
      <c r="M59" s="52">
        <v>153.75</v>
      </c>
      <c r="N59" s="53">
        <v>0</v>
      </c>
      <c r="O59" s="96">
        <v>0.25</v>
      </c>
      <c r="P59" s="475"/>
      <c r="Q59" s="64"/>
      <c r="R59" s="64"/>
      <c r="S59" s="64"/>
      <c r="T59" s="55"/>
      <c r="U59" s="565"/>
      <c r="V59" s="523"/>
    </row>
    <row r="60" spans="1:22" s="6" customFormat="1" outlineLevel="2" x14ac:dyDescent="0.2">
      <c r="A60" s="448" t="s">
        <v>738</v>
      </c>
      <c r="B60" s="3" t="s">
        <v>276</v>
      </c>
      <c r="C60" s="3" t="s">
        <v>272</v>
      </c>
      <c r="D60" s="3" t="s">
        <v>277</v>
      </c>
      <c r="E60" s="3" t="s">
        <v>273</v>
      </c>
      <c r="F60" s="475"/>
      <c r="G60" s="64"/>
      <c r="H60" s="64"/>
      <c r="I60" s="55">
        <v>0</v>
      </c>
      <c r="J60" s="476"/>
      <c r="K60" s="488">
        <v>0</v>
      </c>
      <c r="L60" s="52">
        <v>0</v>
      </c>
      <c r="M60" s="52">
        <v>0</v>
      </c>
      <c r="N60" s="53"/>
      <c r="O60" s="96">
        <v>0</v>
      </c>
      <c r="P60" s="475"/>
      <c r="Q60" s="64"/>
      <c r="R60" s="64"/>
      <c r="S60" s="64"/>
      <c r="T60" s="55"/>
      <c r="U60" s="565"/>
      <c r="V60" s="523"/>
    </row>
    <row r="61" spans="1:22" s="6" customFormat="1" outlineLevel="2" x14ac:dyDescent="0.2">
      <c r="A61" s="448" t="s">
        <v>738</v>
      </c>
      <c r="B61" s="3" t="s">
        <v>278</v>
      </c>
      <c r="C61" s="3" t="s">
        <v>272</v>
      </c>
      <c r="D61" s="3" t="s">
        <v>19</v>
      </c>
      <c r="E61" s="3" t="s">
        <v>273</v>
      </c>
      <c r="F61" s="473">
        <v>793</v>
      </c>
      <c r="G61" s="54">
        <v>955</v>
      </c>
      <c r="H61" s="54">
        <v>951.21</v>
      </c>
      <c r="I61" s="55">
        <f t="shared" si="2"/>
        <v>1.1995081967213115</v>
      </c>
      <c r="J61" s="474">
        <v>3.79</v>
      </c>
      <c r="K61" s="488">
        <v>1550</v>
      </c>
      <c r="L61" s="52">
        <v>2508</v>
      </c>
      <c r="M61" s="52">
        <v>2467.7199999999998</v>
      </c>
      <c r="N61" s="53">
        <f t="shared" si="0"/>
        <v>1.5920774193548386</v>
      </c>
      <c r="O61" s="96">
        <v>40.28</v>
      </c>
      <c r="P61" s="473">
        <v>1550</v>
      </c>
      <c r="Q61" s="54">
        <v>1550</v>
      </c>
      <c r="R61" s="54">
        <v>1471.85</v>
      </c>
      <c r="S61" s="54">
        <v>56.73</v>
      </c>
      <c r="T61" s="55">
        <f t="shared" si="1"/>
        <v>0.94958064516129026</v>
      </c>
      <c r="U61" s="564">
        <v>21.42</v>
      </c>
      <c r="V61" s="523"/>
    </row>
    <row r="62" spans="1:22" s="6" customFormat="1" outlineLevel="2" x14ac:dyDescent="0.2">
      <c r="A62" s="448" t="s">
        <v>738</v>
      </c>
      <c r="B62" s="3" t="s">
        <v>279</v>
      </c>
      <c r="C62" s="3" t="s">
        <v>272</v>
      </c>
      <c r="D62" s="3" t="s">
        <v>23</v>
      </c>
      <c r="E62" s="3" t="s">
        <v>273</v>
      </c>
      <c r="F62" s="473">
        <v>558</v>
      </c>
      <c r="G62" s="54">
        <v>781</v>
      </c>
      <c r="H62" s="54">
        <v>780.25</v>
      </c>
      <c r="I62" s="55">
        <f t="shared" si="2"/>
        <v>1.3982974910394266</v>
      </c>
      <c r="J62" s="474">
        <v>0.75</v>
      </c>
      <c r="K62" s="488">
        <v>558</v>
      </c>
      <c r="L62" s="52">
        <v>605</v>
      </c>
      <c r="M62" s="52">
        <v>604.85</v>
      </c>
      <c r="N62" s="53">
        <f t="shared" si="0"/>
        <v>1.0839605734767026</v>
      </c>
      <c r="O62" s="96">
        <v>0.15</v>
      </c>
      <c r="P62" s="473">
        <v>558</v>
      </c>
      <c r="Q62" s="54">
        <v>558</v>
      </c>
      <c r="R62" s="54">
        <v>498.7</v>
      </c>
      <c r="S62" s="54">
        <v>0</v>
      </c>
      <c r="T62" s="55">
        <f t="shared" si="1"/>
        <v>0.89372759856630823</v>
      </c>
      <c r="U62" s="564">
        <v>59.3</v>
      </c>
      <c r="V62" s="523"/>
    </row>
    <row r="63" spans="1:22" s="6" customFormat="1" outlineLevel="2" x14ac:dyDescent="0.2">
      <c r="A63" s="448" t="s">
        <v>738</v>
      </c>
      <c r="B63" s="3" t="s">
        <v>280</v>
      </c>
      <c r="C63" s="3" t="s">
        <v>272</v>
      </c>
      <c r="D63" s="3" t="s">
        <v>25</v>
      </c>
      <c r="E63" s="3" t="s">
        <v>273</v>
      </c>
      <c r="F63" s="473">
        <v>0</v>
      </c>
      <c r="G63" s="54">
        <v>0</v>
      </c>
      <c r="H63" s="54">
        <v>0</v>
      </c>
      <c r="I63" s="55">
        <v>0</v>
      </c>
      <c r="J63" s="474">
        <v>0</v>
      </c>
      <c r="K63" s="488">
        <v>0</v>
      </c>
      <c r="L63" s="52">
        <v>0</v>
      </c>
      <c r="M63" s="52">
        <v>0</v>
      </c>
      <c r="N63" s="53"/>
      <c r="O63" s="96">
        <v>0</v>
      </c>
      <c r="P63" s="473">
        <v>0</v>
      </c>
      <c r="Q63" s="54">
        <v>0</v>
      </c>
      <c r="R63" s="54">
        <v>0</v>
      </c>
      <c r="S63" s="54">
        <v>0</v>
      </c>
      <c r="T63" s="55"/>
      <c r="U63" s="564">
        <v>0</v>
      </c>
      <c r="V63" s="523"/>
    </row>
    <row r="64" spans="1:22" s="6" customFormat="1" outlineLevel="2" x14ac:dyDescent="0.2">
      <c r="A64" s="448" t="s">
        <v>738</v>
      </c>
      <c r="B64" s="3" t="s">
        <v>281</v>
      </c>
      <c r="C64" s="3" t="s">
        <v>272</v>
      </c>
      <c r="D64" s="3" t="s">
        <v>115</v>
      </c>
      <c r="E64" s="3" t="s">
        <v>273</v>
      </c>
      <c r="F64" s="473">
        <v>143</v>
      </c>
      <c r="G64" s="54">
        <v>2354</v>
      </c>
      <c r="H64" s="54">
        <v>1263.98</v>
      </c>
      <c r="I64" s="55">
        <f t="shared" si="2"/>
        <v>8.8390209790209795</v>
      </c>
      <c r="J64" s="474">
        <v>1090.02</v>
      </c>
      <c r="K64" s="488">
        <v>0</v>
      </c>
      <c r="L64" s="52">
        <v>0</v>
      </c>
      <c r="M64" s="52">
        <v>0</v>
      </c>
      <c r="N64" s="53"/>
      <c r="O64" s="96">
        <v>0</v>
      </c>
      <c r="P64" s="475"/>
      <c r="Q64" s="64"/>
      <c r="R64" s="64"/>
      <c r="S64" s="64"/>
      <c r="T64" s="55"/>
      <c r="U64" s="565"/>
      <c r="V64" s="523"/>
    </row>
    <row r="65" spans="1:22" s="6" customFormat="1" outlineLevel="2" x14ac:dyDescent="0.2">
      <c r="A65" s="448" t="s">
        <v>738</v>
      </c>
      <c r="B65" s="3" t="s">
        <v>282</v>
      </c>
      <c r="C65" s="3" t="s">
        <v>272</v>
      </c>
      <c r="D65" s="3" t="s">
        <v>31</v>
      </c>
      <c r="E65" s="3" t="s">
        <v>273</v>
      </c>
      <c r="F65" s="473">
        <v>995</v>
      </c>
      <c r="G65" s="54">
        <v>700</v>
      </c>
      <c r="H65" s="54">
        <v>600</v>
      </c>
      <c r="I65" s="55">
        <f t="shared" si="2"/>
        <v>0.60301507537688437</v>
      </c>
      <c r="J65" s="474">
        <v>100</v>
      </c>
      <c r="K65" s="488">
        <v>2643</v>
      </c>
      <c r="L65" s="52">
        <v>2643</v>
      </c>
      <c r="M65" s="52">
        <v>2379.0500000000002</v>
      </c>
      <c r="N65" s="53">
        <f t="shared" si="0"/>
        <v>0.90013242527430959</v>
      </c>
      <c r="O65" s="96">
        <v>263.95</v>
      </c>
      <c r="P65" s="473">
        <v>2643</v>
      </c>
      <c r="Q65" s="54">
        <v>2299</v>
      </c>
      <c r="R65" s="54">
        <v>731.6</v>
      </c>
      <c r="S65" s="54">
        <v>0</v>
      </c>
      <c r="T65" s="55">
        <f t="shared" si="1"/>
        <v>0.27680665909950813</v>
      </c>
      <c r="U65" s="564">
        <v>1567.4</v>
      </c>
      <c r="V65" s="523"/>
    </row>
    <row r="66" spans="1:22" s="6" customFormat="1" outlineLevel="2" x14ac:dyDescent="0.2">
      <c r="A66" s="448" t="s">
        <v>738</v>
      </c>
      <c r="B66" s="3" t="s">
        <v>283</v>
      </c>
      <c r="C66" s="3" t="s">
        <v>272</v>
      </c>
      <c r="D66" s="3" t="s">
        <v>48</v>
      </c>
      <c r="E66" s="3" t="s">
        <v>273</v>
      </c>
      <c r="F66" s="473">
        <v>215</v>
      </c>
      <c r="G66" s="54">
        <v>0</v>
      </c>
      <c r="H66" s="54">
        <v>0</v>
      </c>
      <c r="I66" s="55">
        <f t="shared" si="2"/>
        <v>0</v>
      </c>
      <c r="J66" s="474">
        <v>0</v>
      </c>
      <c r="K66" s="488">
        <v>215</v>
      </c>
      <c r="L66" s="52">
        <v>0</v>
      </c>
      <c r="M66" s="52">
        <v>0</v>
      </c>
      <c r="N66" s="53">
        <v>0</v>
      </c>
      <c r="O66" s="96">
        <v>0</v>
      </c>
      <c r="P66" s="473">
        <v>215</v>
      </c>
      <c r="Q66" s="54">
        <v>365</v>
      </c>
      <c r="R66" s="54">
        <v>299.7</v>
      </c>
      <c r="S66" s="54">
        <v>0</v>
      </c>
      <c r="T66" s="55">
        <f t="shared" si="1"/>
        <v>1.393953488372093</v>
      </c>
      <c r="U66" s="564">
        <v>65.3</v>
      </c>
      <c r="V66" s="523"/>
    </row>
    <row r="67" spans="1:22" s="6" customFormat="1" outlineLevel="2" x14ac:dyDescent="0.2">
      <c r="A67" s="448" t="s">
        <v>738</v>
      </c>
      <c r="B67" s="3" t="s">
        <v>284</v>
      </c>
      <c r="C67" s="3" t="s">
        <v>272</v>
      </c>
      <c r="D67" s="3" t="s">
        <v>35</v>
      </c>
      <c r="E67" s="3" t="s">
        <v>273</v>
      </c>
      <c r="F67" s="473">
        <v>816</v>
      </c>
      <c r="G67" s="54">
        <v>816</v>
      </c>
      <c r="H67" s="54">
        <v>815.16</v>
      </c>
      <c r="I67" s="55">
        <f t="shared" si="2"/>
        <v>0.99897058823529405</v>
      </c>
      <c r="J67" s="474">
        <v>0.84</v>
      </c>
      <c r="K67" s="488">
        <v>816</v>
      </c>
      <c r="L67" s="52">
        <v>816</v>
      </c>
      <c r="M67" s="52">
        <v>0</v>
      </c>
      <c r="N67" s="53">
        <v>0</v>
      </c>
      <c r="O67" s="96">
        <v>816</v>
      </c>
      <c r="P67" s="473">
        <v>816</v>
      </c>
      <c r="Q67" s="54">
        <v>1010</v>
      </c>
      <c r="R67" s="54">
        <v>1010</v>
      </c>
      <c r="S67" s="54">
        <v>0</v>
      </c>
      <c r="T67" s="55">
        <f t="shared" si="1"/>
        <v>1.2377450980392157</v>
      </c>
      <c r="U67" s="564">
        <v>0</v>
      </c>
      <c r="V67" s="523"/>
    </row>
    <row r="68" spans="1:22" s="6" customFormat="1" outlineLevel="2" x14ac:dyDescent="0.2">
      <c r="A68" s="448" t="s">
        <v>738</v>
      </c>
      <c r="B68" s="3" t="s">
        <v>286</v>
      </c>
      <c r="C68" s="3" t="s">
        <v>272</v>
      </c>
      <c r="D68" s="3" t="s">
        <v>35</v>
      </c>
      <c r="E68" s="3" t="s">
        <v>273</v>
      </c>
      <c r="F68" s="475"/>
      <c r="G68" s="64"/>
      <c r="H68" s="64"/>
      <c r="I68" s="55">
        <v>0</v>
      </c>
      <c r="J68" s="476"/>
      <c r="K68" s="489"/>
      <c r="L68" s="65"/>
      <c r="M68" s="65"/>
      <c r="N68" s="53"/>
      <c r="O68" s="97"/>
      <c r="P68" s="473">
        <v>42471</v>
      </c>
      <c r="Q68" s="54">
        <v>4500</v>
      </c>
      <c r="R68" s="54">
        <v>4500</v>
      </c>
      <c r="S68" s="54">
        <v>0</v>
      </c>
      <c r="T68" s="55">
        <f t="shared" ref="T68:T130" si="3">+R68/P68</f>
        <v>0.10595465140919687</v>
      </c>
      <c r="U68" s="564">
        <v>0</v>
      </c>
      <c r="V68" s="523"/>
    </row>
    <row r="69" spans="1:22" s="6" customFormat="1" outlineLevel="2" x14ac:dyDescent="0.2">
      <c r="A69" s="448" t="s">
        <v>738</v>
      </c>
      <c r="B69" s="3" t="s">
        <v>285</v>
      </c>
      <c r="C69" s="3" t="s">
        <v>272</v>
      </c>
      <c r="D69" s="3" t="s">
        <v>37</v>
      </c>
      <c r="E69" s="3" t="s">
        <v>273</v>
      </c>
      <c r="F69" s="473">
        <v>0</v>
      </c>
      <c r="G69" s="54">
        <v>300</v>
      </c>
      <c r="H69" s="54">
        <v>300</v>
      </c>
      <c r="I69" s="55">
        <v>0</v>
      </c>
      <c r="J69" s="474">
        <v>0</v>
      </c>
      <c r="K69" s="488">
        <v>500</v>
      </c>
      <c r="L69" s="52">
        <v>204</v>
      </c>
      <c r="M69" s="52">
        <v>204</v>
      </c>
      <c r="N69" s="53">
        <f t="shared" ref="N69:N130" si="4">+M69/K69</f>
        <v>0.40799999999999997</v>
      </c>
      <c r="O69" s="96">
        <v>0</v>
      </c>
      <c r="P69" s="473">
        <v>500</v>
      </c>
      <c r="Q69" s="54">
        <v>500</v>
      </c>
      <c r="R69" s="54">
        <v>204</v>
      </c>
      <c r="S69" s="54">
        <v>0</v>
      </c>
      <c r="T69" s="55">
        <f t="shared" si="3"/>
        <v>0.40799999999999997</v>
      </c>
      <c r="U69" s="564">
        <v>296</v>
      </c>
      <c r="V69" s="523"/>
    </row>
    <row r="70" spans="1:22" s="6" customFormat="1" outlineLevel="2" x14ac:dyDescent="0.2">
      <c r="A70" s="448" t="s">
        <v>738</v>
      </c>
      <c r="B70" s="3" t="s">
        <v>287</v>
      </c>
      <c r="C70" s="3" t="s">
        <v>288</v>
      </c>
      <c r="D70" s="3" t="s">
        <v>19</v>
      </c>
      <c r="E70" s="3" t="s">
        <v>273</v>
      </c>
      <c r="F70" s="473">
        <v>284</v>
      </c>
      <c r="G70" s="54">
        <v>284</v>
      </c>
      <c r="H70" s="54">
        <v>0</v>
      </c>
      <c r="I70" s="55">
        <f t="shared" ref="I70:I130" si="5">+H70/F70</f>
        <v>0</v>
      </c>
      <c r="J70" s="474">
        <v>284</v>
      </c>
      <c r="K70" s="488">
        <v>286</v>
      </c>
      <c r="L70" s="52">
        <v>286</v>
      </c>
      <c r="M70" s="52">
        <v>0</v>
      </c>
      <c r="N70" s="53">
        <f t="shared" si="4"/>
        <v>0</v>
      </c>
      <c r="O70" s="96">
        <v>286</v>
      </c>
      <c r="P70" s="473">
        <v>286</v>
      </c>
      <c r="Q70" s="54">
        <v>286</v>
      </c>
      <c r="R70" s="54">
        <v>0</v>
      </c>
      <c r="S70" s="54">
        <v>0</v>
      </c>
      <c r="T70" s="55">
        <f t="shared" si="3"/>
        <v>0</v>
      </c>
      <c r="U70" s="564">
        <v>286</v>
      </c>
      <c r="V70" s="523"/>
    </row>
    <row r="71" spans="1:22" s="6" customFormat="1" outlineLevel="2" x14ac:dyDescent="0.2">
      <c r="A71" s="448" t="s">
        <v>738</v>
      </c>
      <c r="B71" s="3" t="s">
        <v>289</v>
      </c>
      <c r="C71" s="3" t="s">
        <v>290</v>
      </c>
      <c r="D71" s="3" t="s">
        <v>19</v>
      </c>
      <c r="E71" s="3" t="s">
        <v>273</v>
      </c>
      <c r="F71" s="473">
        <v>1059</v>
      </c>
      <c r="G71" s="54">
        <v>1059</v>
      </c>
      <c r="H71" s="54">
        <v>921.73</v>
      </c>
      <c r="I71" s="55">
        <f t="shared" si="5"/>
        <v>0.8703777148253069</v>
      </c>
      <c r="J71" s="474">
        <v>137.27000000000001</v>
      </c>
      <c r="K71" s="488">
        <v>1059</v>
      </c>
      <c r="L71" s="52">
        <v>1559</v>
      </c>
      <c r="M71" s="52">
        <v>1366.14</v>
      </c>
      <c r="N71" s="53">
        <f t="shared" si="4"/>
        <v>1.2900283286118981</v>
      </c>
      <c r="O71" s="96">
        <v>192.86</v>
      </c>
      <c r="P71" s="473">
        <v>1059</v>
      </c>
      <c r="Q71" s="54">
        <v>1059</v>
      </c>
      <c r="R71" s="54">
        <v>661.51</v>
      </c>
      <c r="S71" s="54">
        <v>397.49</v>
      </c>
      <c r="T71" s="55">
        <f t="shared" si="3"/>
        <v>0.62465533522190742</v>
      </c>
      <c r="U71" s="564">
        <v>0</v>
      </c>
      <c r="V71" s="523"/>
    </row>
    <row r="72" spans="1:22" s="6" customFormat="1" outlineLevel="2" x14ac:dyDescent="0.2">
      <c r="A72" s="448" t="s">
        <v>738</v>
      </c>
      <c r="B72" s="3" t="s">
        <v>296</v>
      </c>
      <c r="C72" s="3" t="s">
        <v>290</v>
      </c>
      <c r="D72" s="3" t="s">
        <v>19</v>
      </c>
      <c r="E72" s="3" t="s">
        <v>273</v>
      </c>
      <c r="F72" s="473">
        <v>0</v>
      </c>
      <c r="G72" s="54">
        <v>2001</v>
      </c>
      <c r="H72" s="54">
        <v>1446.99</v>
      </c>
      <c r="I72" s="55">
        <v>0</v>
      </c>
      <c r="J72" s="474">
        <v>554.01</v>
      </c>
      <c r="K72" s="489"/>
      <c r="L72" s="65"/>
      <c r="M72" s="65"/>
      <c r="N72" s="53"/>
      <c r="O72" s="97"/>
      <c r="P72" s="475"/>
      <c r="Q72" s="64"/>
      <c r="R72" s="64"/>
      <c r="S72" s="64"/>
      <c r="T72" s="55"/>
      <c r="U72" s="565"/>
      <c r="V72" s="523"/>
    </row>
    <row r="73" spans="1:22" s="6" customFormat="1" outlineLevel="2" x14ac:dyDescent="0.2">
      <c r="A73" s="448" t="s">
        <v>738</v>
      </c>
      <c r="B73" s="3" t="s">
        <v>291</v>
      </c>
      <c r="C73" s="3" t="s">
        <v>290</v>
      </c>
      <c r="D73" s="3" t="s">
        <v>48</v>
      </c>
      <c r="E73" s="3" t="s">
        <v>273</v>
      </c>
      <c r="F73" s="473">
        <v>0</v>
      </c>
      <c r="G73" s="54">
        <v>0</v>
      </c>
      <c r="H73" s="54">
        <v>0</v>
      </c>
      <c r="I73" s="55">
        <v>0</v>
      </c>
      <c r="J73" s="474">
        <v>0</v>
      </c>
      <c r="K73" s="489"/>
      <c r="L73" s="65"/>
      <c r="M73" s="65"/>
      <c r="N73" s="53"/>
      <c r="O73" s="97"/>
      <c r="P73" s="475"/>
      <c r="Q73" s="64"/>
      <c r="R73" s="64"/>
      <c r="S73" s="64"/>
      <c r="T73" s="55"/>
      <c r="U73" s="565"/>
      <c r="V73" s="523"/>
    </row>
    <row r="74" spans="1:22" s="6" customFormat="1" outlineLevel="2" x14ac:dyDescent="0.2">
      <c r="A74" s="448" t="s">
        <v>738</v>
      </c>
      <c r="B74" s="3" t="s">
        <v>292</v>
      </c>
      <c r="C74" s="3" t="s">
        <v>290</v>
      </c>
      <c r="D74" s="3" t="s">
        <v>97</v>
      </c>
      <c r="E74" s="3" t="s">
        <v>273</v>
      </c>
      <c r="F74" s="473">
        <v>31754</v>
      </c>
      <c r="G74" s="54">
        <v>0</v>
      </c>
      <c r="H74" s="54">
        <v>0</v>
      </c>
      <c r="I74" s="55">
        <f t="shared" si="5"/>
        <v>0</v>
      </c>
      <c r="J74" s="474">
        <v>0</v>
      </c>
      <c r="K74" s="488">
        <v>29500</v>
      </c>
      <c r="L74" s="52">
        <v>17062</v>
      </c>
      <c r="M74" s="52">
        <v>16100.22</v>
      </c>
      <c r="N74" s="53">
        <f t="shared" si="4"/>
        <v>0.54577016949152535</v>
      </c>
      <c r="O74" s="96">
        <v>961.78</v>
      </c>
      <c r="P74" s="473">
        <v>29500</v>
      </c>
      <c r="Q74" s="54">
        <v>29500</v>
      </c>
      <c r="R74" s="54">
        <v>5272.44</v>
      </c>
      <c r="S74" s="54">
        <v>0</v>
      </c>
      <c r="T74" s="55">
        <f t="shared" si="3"/>
        <v>0.17872677966101694</v>
      </c>
      <c r="U74" s="564">
        <v>24227.56</v>
      </c>
      <c r="V74" s="523"/>
    </row>
    <row r="75" spans="1:22" s="6" customFormat="1" outlineLevel="2" x14ac:dyDescent="0.2">
      <c r="A75" s="448" t="s">
        <v>738</v>
      </c>
      <c r="B75" s="3" t="s">
        <v>293</v>
      </c>
      <c r="C75" s="3" t="s">
        <v>290</v>
      </c>
      <c r="D75" s="3" t="s">
        <v>35</v>
      </c>
      <c r="E75" s="3" t="s">
        <v>273</v>
      </c>
      <c r="F75" s="473">
        <v>1643</v>
      </c>
      <c r="G75" s="54">
        <v>1643</v>
      </c>
      <c r="H75" s="54">
        <v>1315</v>
      </c>
      <c r="I75" s="55">
        <f t="shared" si="5"/>
        <v>0.80036518563603165</v>
      </c>
      <c r="J75" s="474">
        <v>328</v>
      </c>
      <c r="K75" s="488">
        <v>1643</v>
      </c>
      <c r="L75" s="52">
        <v>835</v>
      </c>
      <c r="M75" s="52">
        <v>835</v>
      </c>
      <c r="N75" s="53">
        <f t="shared" si="4"/>
        <v>0.50821667681071214</v>
      </c>
      <c r="O75" s="96">
        <v>0</v>
      </c>
      <c r="P75" s="473">
        <v>1643</v>
      </c>
      <c r="Q75" s="54">
        <v>1643</v>
      </c>
      <c r="R75" s="54">
        <v>0</v>
      </c>
      <c r="S75" s="54">
        <v>0</v>
      </c>
      <c r="T75" s="55">
        <f t="shared" si="3"/>
        <v>0</v>
      </c>
      <c r="U75" s="564">
        <v>1643</v>
      </c>
      <c r="V75" s="523"/>
    </row>
    <row r="76" spans="1:22" s="6" customFormat="1" outlineLevel="2" x14ac:dyDescent="0.2">
      <c r="A76" s="448" t="s">
        <v>738</v>
      </c>
      <c r="B76" s="3" t="s">
        <v>294</v>
      </c>
      <c r="C76" s="3" t="s">
        <v>290</v>
      </c>
      <c r="D76" s="3" t="s">
        <v>37</v>
      </c>
      <c r="E76" s="3" t="s">
        <v>273</v>
      </c>
      <c r="F76" s="473">
        <v>0</v>
      </c>
      <c r="G76" s="54">
        <v>0</v>
      </c>
      <c r="H76" s="54">
        <v>0</v>
      </c>
      <c r="I76" s="55">
        <v>0</v>
      </c>
      <c r="J76" s="474">
        <v>0</v>
      </c>
      <c r="K76" s="489"/>
      <c r="L76" s="65"/>
      <c r="M76" s="65"/>
      <c r="N76" s="53"/>
      <c r="O76" s="97"/>
      <c r="P76" s="475"/>
      <c r="Q76" s="64"/>
      <c r="R76" s="64"/>
      <c r="S76" s="64"/>
      <c r="T76" s="55"/>
      <c r="U76" s="565"/>
      <c r="V76" s="523"/>
    </row>
    <row r="77" spans="1:22" s="6" customFormat="1" outlineLevel="2" x14ac:dyDescent="0.2">
      <c r="A77" s="448" t="s">
        <v>738</v>
      </c>
      <c r="B77" s="3" t="s">
        <v>295</v>
      </c>
      <c r="C77" s="3" t="s">
        <v>290</v>
      </c>
      <c r="D77" s="3" t="s">
        <v>51</v>
      </c>
      <c r="E77" s="3" t="s">
        <v>273</v>
      </c>
      <c r="F77" s="473">
        <v>0</v>
      </c>
      <c r="G77" s="54">
        <v>0</v>
      </c>
      <c r="H77" s="54">
        <v>0</v>
      </c>
      <c r="I77" s="55">
        <v>0</v>
      </c>
      <c r="J77" s="474">
        <v>0</v>
      </c>
      <c r="K77" s="488">
        <v>0</v>
      </c>
      <c r="L77" s="52">
        <v>11068</v>
      </c>
      <c r="M77" s="52">
        <v>11067.07</v>
      </c>
      <c r="N77" s="53">
        <v>0</v>
      </c>
      <c r="O77" s="96">
        <v>0.93</v>
      </c>
      <c r="P77" s="475"/>
      <c r="Q77" s="64"/>
      <c r="R77" s="64"/>
      <c r="S77" s="64"/>
      <c r="T77" s="55"/>
      <c r="U77" s="565"/>
      <c r="V77" s="523"/>
    </row>
    <row r="78" spans="1:22" s="6" customFormat="1" outlineLevel="2" x14ac:dyDescent="0.2">
      <c r="A78" s="448" t="s">
        <v>738</v>
      </c>
      <c r="B78" s="3" t="s">
        <v>299</v>
      </c>
      <c r="C78" s="3" t="s">
        <v>298</v>
      </c>
      <c r="D78" s="3" t="s">
        <v>52</v>
      </c>
      <c r="E78" s="3" t="s">
        <v>273</v>
      </c>
      <c r="F78" s="475"/>
      <c r="G78" s="64"/>
      <c r="H78" s="64"/>
      <c r="I78" s="55">
        <v>0</v>
      </c>
      <c r="J78" s="476"/>
      <c r="K78" s="488">
        <v>0</v>
      </c>
      <c r="L78" s="52">
        <v>199</v>
      </c>
      <c r="M78" s="52">
        <v>198.72</v>
      </c>
      <c r="N78" s="53">
        <v>0</v>
      </c>
      <c r="O78" s="96">
        <v>0.28000000000000003</v>
      </c>
      <c r="P78" s="475"/>
      <c r="Q78" s="64"/>
      <c r="R78" s="64"/>
      <c r="S78" s="64"/>
      <c r="T78" s="55"/>
      <c r="U78" s="565"/>
      <c r="V78" s="523"/>
    </row>
    <row r="79" spans="1:22" s="6" customFormat="1" outlineLevel="2" x14ac:dyDescent="0.2">
      <c r="A79" s="448" t="s">
        <v>738</v>
      </c>
      <c r="B79" s="3" t="s">
        <v>297</v>
      </c>
      <c r="C79" s="3" t="s">
        <v>298</v>
      </c>
      <c r="D79" s="3" t="s">
        <v>19</v>
      </c>
      <c r="E79" s="3" t="s">
        <v>273</v>
      </c>
      <c r="F79" s="473">
        <v>224</v>
      </c>
      <c r="G79" s="54">
        <v>386</v>
      </c>
      <c r="H79" s="54">
        <v>385.29</v>
      </c>
      <c r="I79" s="55">
        <f t="shared" si="5"/>
        <v>1.720044642857143</v>
      </c>
      <c r="J79" s="474">
        <v>0.71</v>
      </c>
      <c r="K79" s="489"/>
      <c r="L79" s="65"/>
      <c r="M79" s="65"/>
      <c r="N79" s="53"/>
      <c r="O79" s="97"/>
      <c r="P79" s="475"/>
      <c r="Q79" s="64"/>
      <c r="R79" s="64"/>
      <c r="S79" s="64"/>
      <c r="T79" s="55"/>
      <c r="U79" s="565"/>
      <c r="V79" s="523"/>
    </row>
    <row r="80" spans="1:22" s="6" customFormat="1" outlineLevel="2" x14ac:dyDescent="0.2">
      <c r="A80" s="448" t="s">
        <v>738</v>
      </c>
      <c r="B80" s="3" t="s">
        <v>302</v>
      </c>
      <c r="C80" s="3" t="s">
        <v>300</v>
      </c>
      <c r="D80" s="3" t="s">
        <v>58</v>
      </c>
      <c r="E80" s="3" t="s">
        <v>273</v>
      </c>
      <c r="F80" s="480"/>
      <c r="G80" s="440"/>
      <c r="H80" s="440"/>
      <c r="I80" s="55">
        <v>0</v>
      </c>
      <c r="J80" s="481"/>
      <c r="K80" s="490">
        <v>0</v>
      </c>
      <c r="L80" s="121">
        <v>0</v>
      </c>
      <c r="M80" s="121">
        <v>1487.85</v>
      </c>
      <c r="N80" s="53">
        <v>0</v>
      </c>
      <c r="O80" s="96">
        <v>-1487.85</v>
      </c>
      <c r="P80" s="480"/>
      <c r="Q80" s="440"/>
      <c r="R80" s="440"/>
      <c r="S80" s="440"/>
      <c r="T80" s="55"/>
      <c r="U80" s="567"/>
      <c r="V80" s="523"/>
    </row>
    <row r="81" spans="1:22" s="6" customFormat="1" outlineLevel="2" x14ac:dyDescent="0.2">
      <c r="A81" s="448" t="s">
        <v>738</v>
      </c>
      <c r="B81" s="3" t="s">
        <v>301</v>
      </c>
      <c r="C81" s="3" t="s">
        <v>300</v>
      </c>
      <c r="D81" s="3" t="s">
        <v>7</v>
      </c>
      <c r="E81" s="3" t="s">
        <v>273</v>
      </c>
      <c r="F81" s="475"/>
      <c r="G81" s="64"/>
      <c r="H81" s="64"/>
      <c r="I81" s="55">
        <v>0</v>
      </c>
      <c r="J81" s="476"/>
      <c r="K81" s="488">
        <v>0</v>
      </c>
      <c r="L81" s="52">
        <v>0</v>
      </c>
      <c r="M81" s="52">
        <v>1874.88</v>
      </c>
      <c r="N81" s="53">
        <v>0</v>
      </c>
      <c r="O81" s="96">
        <v>-1874.88</v>
      </c>
      <c r="P81" s="473">
        <v>0</v>
      </c>
      <c r="Q81" s="54">
        <v>0</v>
      </c>
      <c r="R81" s="54">
        <v>-1874.88</v>
      </c>
      <c r="S81" s="54">
        <v>0</v>
      </c>
      <c r="T81" s="55">
        <v>0</v>
      </c>
      <c r="U81" s="564">
        <v>1874.88</v>
      </c>
      <c r="V81" s="523"/>
    </row>
    <row r="82" spans="1:22" s="6" customFormat="1" outlineLevel="2" x14ac:dyDescent="0.2">
      <c r="A82" s="448" t="s">
        <v>738</v>
      </c>
      <c r="B82" s="3" t="s">
        <v>303</v>
      </c>
      <c r="C82" s="3" t="s">
        <v>300</v>
      </c>
      <c r="D82" s="3" t="s">
        <v>7</v>
      </c>
      <c r="E82" s="3" t="s">
        <v>273</v>
      </c>
      <c r="F82" s="473">
        <v>5600</v>
      </c>
      <c r="G82" s="54">
        <v>0</v>
      </c>
      <c r="H82" s="54">
        <v>0</v>
      </c>
      <c r="I82" s="55">
        <f t="shared" si="5"/>
        <v>0</v>
      </c>
      <c r="J82" s="474">
        <v>0</v>
      </c>
      <c r="K82" s="488">
        <v>8260</v>
      </c>
      <c r="L82" s="52">
        <v>0</v>
      </c>
      <c r="M82" s="52">
        <v>0</v>
      </c>
      <c r="N82" s="53">
        <f t="shared" si="4"/>
        <v>0</v>
      </c>
      <c r="O82" s="96">
        <v>0</v>
      </c>
      <c r="P82" s="473">
        <v>8260</v>
      </c>
      <c r="Q82" s="54">
        <v>8260</v>
      </c>
      <c r="R82" s="54">
        <v>2430.4</v>
      </c>
      <c r="S82" s="54">
        <v>0</v>
      </c>
      <c r="T82" s="55">
        <f t="shared" si="3"/>
        <v>0.29423728813559324</v>
      </c>
      <c r="U82" s="564">
        <v>5829.6</v>
      </c>
      <c r="V82" s="523"/>
    </row>
    <row r="83" spans="1:22" s="6" customFormat="1" outlineLevel="2" x14ac:dyDescent="0.2">
      <c r="A83" s="448" t="s">
        <v>738</v>
      </c>
      <c r="B83" s="3" t="s">
        <v>304</v>
      </c>
      <c r="C83" s="3" t="s">
        <v>300</v>
      </c>
      <c r="D83" s="3" t="s">
        <v>17</v>
      </c>
      <c r="E83" s="3" t="s">
        <v>273</v>
      </c>
      <c r="F83" s="473">
        <v>143</v>
      </c>
      <c r="G83" s="54">
        <v>0</v>
      </c>
      <c r="H83" s="54">
        <v>0</v>
      </c>
      <c r="I83" s="55">
        <f t="shared" si="5"/>
        <v>0</v>
      </c>
      <c r="J83" s="474">
        <v>0</v>
      </c>
      <c r="K83" s="489"/>
      <c r="L83" s="65"/>
      <c r="M83" s="65"/>
      <c r="N83" s="53">
        <v>0</v>
      </c>
      <c r="O83" s="97"/>
      <c r="P83" s="475"/>
      <c r="Q83" s="64"/>
      <c r="R83" s="64"/>
      <c r="S83" s="64"/>
      <c r="T83" s="55"/>
      <c r="U83" s="565"/>
      <c r="V83" s="523"/>
    </row>
    <row r="84" spans="1:22" s="6" customFormat="1" outlineLevel="2" x14ac:dyDescent="0.2">
      <c r="A84" s="448" t="s">
        <v>738</v>
      </c>
      <c r="B84" s="3" t="s">
        <v>305</v>
      </c>
      <c r="C84" s="3" t="s">
        <v>300</v>
      </c>
      <c r="D84" s="3" t="s">
        <v>19</v>
      </c>
      <c r="E84" s="3" t="s">
        <v>273</v>
      </c>
      <c r="F84" s="475"/>
      <c r="G84" s="64"/>
      <c r="H84" s="64"/>
      <c r="I84" s="55">
        <v>0</v>
      </c>
      <c r="J84" s="476"/>
      <c r="K84" s="488">
        <v>1182</v>
      </c>
      <c r="L84" s="52">
        <v>206</v>
      </c>
      <c r="M84" s="52">
        <v>205.64</v>
      </c>
      <c r="N84" s="53">
        <f t="shared" si="4"/>
        <v>0.17397631133671743</v>
      </c>
      <c r="O84" s="96">
        <v>0.36</v>
      </c>
      <c r="P84" s="473">
        <v>1182</v>
      </c>
      <c r="Q84" s="54">
        <v>1182</v>
      </c>
      <c r="R84" s="54">
        <v>1178.33</v>
      </c>
      <c r="S84" s="54">
        <v>19.78</v>
      </c>
      <c r="T84" s="55">
        <f t="shared" si="3"/>
        <v>0.99689509306260571</v>
      </c>
      <c r="U84" s="564">
        <v>-16.11</v>
      </c>
      <c r="V84" s="523"/>
    </row>
    <row r="85" spans="1:22" s="6" customFormat="1" outlineLevel="2" x14ac:dyDescent="0.2">
      <c r="A85" s="448" t="s">
        <v>738</v>
      </c>
      <c r="B85" s="3" t="s">
        <v>306</v>
      </c>
      <c r="C85" s="3" t="s">
        <v>300</v>
      </c>
      <c r="D85" s="3" t="s">
        <v>23</v>
      </c>
      <c r="E85" s="3" t="s">
        <v>273</v>
      </c>
      <c r="F85" s="473">
        <v>1395</v>
      </c>
      <c r="G85" s="54">
        <v>1082</v>
      </c>
      <c r="H85" s="54">
        <v>1081.1600000000001</v>
      </c>
      <c r="I85" s="55">
        <f t="shared" si="5"/>
        <v>0.7750250896057348</v>
      </c>
      <c r="J85" s="474">
        <v>0.84</v>
      </c>
      <c r="K85" s="488">
        <v>1395</v>
      </c>
      <c r="L85" s="52">
        <v>1334</v>
      </c>
      <c r="M85" s="52">
        <v>1315.53</v>
      </c>
      <c r="N85" s="53">
        <f t="shared" si="4"/>
        <v>0.94303225806451607</v>
      </c>
      <c r="O85" s="96">
        <v>18.47</v>
      </c>
      <c r="P85" s="473">
        <v>1395</v>
      </c>
      <c r="Q85" s="54">
        <v>1395</v>
      </c>
      <c r="R85" s="54">
        <v>1280.25</v>
      </c>
      <c r="S85" s="54">
        <v>0</v>
      </c>
      <c r="T85" s="55">
        <f t="shared" si="3"/>
        <v>0.91774193548387095</v>
      </c>
      <c r="U85" s="564">
        <v>114.75</v>
      </c>
      <c r="V85" s="523"/>
    </row>
    <row r="86" spans="1:22" s="6" customFormat="1" outlineLevel="2" x14ac:dyDescent="0.2">
      <c r="A86" s="448" t="s">
        <v>738</v>
      </c>
      <c r="B86" s="3" t="s">
        <v>307</v>
      </c>
      <c r="C86" s="3" t="s">
        <v>300</v>
      </c>
      <c r="D86" s="3" t="s">
        <v>93</v>
      </c>
      <c r="E86" s="3" t="s">
        <v>273</v>
      </c>
      <c r="F86" s="473">
        <v>529</v>
      </c>
      <c r="G86" s="54">
        <v>1832</v>
      </c>
      <c r="H86" s="54">
        <v>1807.08</v>
      </c>
      <c r="I86" s="55">
        <f t="shared" si="5"/>
        <v>3.4160302457466916</v>
      </c>
      <c r="J86" s="474">
        <v>24.92</v>
      </c>
      <c r="K86" s="488">
        <v>1000</v>
      </c>
      <c r="L86" s="52">
        <v>2243</v>
      </c>
      <c r="M86" s="52">
        <v>2237.58</v>
      </c>
      <c r="N86" s="53">
        <f t="shared" si="4"/>
        <v>2.2375799999999999</v>
      </c>
      <c r="O86" s="96">
        <v>5.42</v>
      </c>
      <c r="P86" s="473">
        <v>1000</v>
      </c>
      <c r="Q86" s="54">
        <v>1000</v>
      </c>
      <c r="R86" s="54">
        <v>0</v>
      </c>
      <c r="S86" s="54">
        <v>0</v>
      </c>
      <c r="T86" s="55">
        <f t="shared" si="3"/>
        <v>0</v>
      </c>
      <c r="U86" s="564">
        <v>1000</v>
      </c>
      <c r="V86" s="523"/>
    </row>
    <row r="87" spans="1:22" s="6" customFormat="1" outlineLevel="2" x14ac:dyDescent="0.2">
      <c r="A87" s="448" t="s">
        <v>738</v>
      </c>
      <c r="B87" s="3" t="s">
        <v>308</v>
      </c>
      <c r="C87" s="3" t="s">
        <v>300</v>
      </c>
      <c r="D87" s="3" t="s">
        <v>309</v>
      </c>
      <c r="E87" s="3" t="s">
        <v>273</v>
      </c>
      <c r="F87" s="473">
        <v>901</v>
      </c>
      <c r="G87" s="54">
        <v>0</v>
      </c>
      <c r="H87" s="54">
        <v>0</v>
      </c>
      <c r="I87" s="55">
        <f t="shared" si="5"/>
        <v>0</v>
      </c>
      <c r="J87" s="474">
        <v>0</v>
      </c>
      <c r="K87" s="488">
        <v>450</v>
      </c>
      <c r="L87" s="52">
        <v>0</v>
      </c>
      <c r="M87" s="52">
        <v>0</v>
      </c>
      <c r="N87" s="53">
        <f t="shared" si="4"/>
        <v>0</v>
      </c>
      <c r="O87" s="96">
        <v>0</v>
      </c>
      <c r="P87" s="473">
        <v>450</v>
      </c>
      <c r="Q87" s="54">
        <v>450</v>
      </c>
      <c r="R87" s="54">
        <v>0</v>
      </c>
      <c r="S87" s="54">
        <v>0</v>
      </c>
      <c r="T87" s="55">
        <f t="shared" si="3"/>
        <v>0</v>
      </c>
      <c r="U87" s="564">
        <v>450</v>
      </c>
      <c r="V87" s="523"/>
    </row>
    <row r="88" spans="1:22" s="6" customFormat="1" outlineLevel="2" x14ac:dyDescent="0.2">
      <c r="A88" s="448" t="s">
        <v>738</v>
      </c>
      <c r="B88" s="3" t="s">
        <v>310</v>
      </c>
      <c r="C88" s="3" t="s">
        <v>300</v>
      </c>
      <c r="D88" s="3" t="s">
        <v>29</v>
      </c>
      <c r="E88" s="3" t="s">
        <v>273</v>
      </c>
      <c r="F88" s="473">
        <v>0</v>
      </c>
      <c r="G88" s="54">
        <v>300</v>
      </c>
      <c r="H88" s="54">
        <v>300</v>
      </c>
      <c r="I88" s="55">
        <v>0</v>
      </c>
      <c r="J88" s="474">
        <v>0</v>
      </c>
      <c r="K88" s="489"/>
      <c r="L88" s="65"/>
      <c r="M88" s="65"/>
      <c r="N88" s="53"/>
      <c r="O88" s="97"/>
      <c r="P88" s="475"/>
      <c r="Q88" s="64"/>
      <c r="R88" s="64"/>
      <c r="S88" s="64"/>
      <c r="T88" s="55"/>
      <c r="U88" s="565"/>
      <c r="V88" s="523"/>
    </row>
    <row r="89" spans="1:22" s="6" customFormat="1" outlineLevel="2" x14ac:dyDescent="0.2">
      <c r="A89" s="448" t="s">
        <v>738</v>
      </c>
      <c r="B89" s="3" t="s">
        <v>311</v>
      </c>
      <c r="C89" s="3" t="s">
        <v>312</v>
      </c>
      <c r="D89" s="3" t="s">
        <v>313</v>
      </c>
      <c r="E89" s="3" t="s">
        <v>273</v>
      </c>
      <c r="F89" s="473">
        <v>575</v>
      </c>
      <c r="G89" s="54">
        <v>0</v>
      </c>
      <c r="H89" s="54">
        <v>0</v>
      </c>
      <c r="I89" s="55">
        <f t="shared" si="5"/>
        <v>0</v>
      </c>
      <c r="J89" s="474">
        <v>0</v>
      </c>
      <c r="K89" s="488">
        <v>32671</v>
      </c>
      <c r="L89" s="52">
        <v>26000</v>
      </c>
      <c r="M89" s="52">
        <v>26000</v>
      </c>
      <c r="N89" s="53">
        <f t="shared" si="4"/>
        <v>0.79581280034281165</v>
      </c>
      <c r="O89" s="96">
        <v>0</v>
      </c>
      <c r="P89" s="473">
        <v>32671</v>
      </c>
      <c r="Q89" s="54">
        <v>0</v>
      </c>
      <c r="R89" s="54">
        <v>0</v>
      </c>
      <c r="S89" s="54">
        <v>0</v>
      </c>
      <c r="T89" s="55">
        <f t="shared" si="3"/>
        <v>0</v>
      </c>
      <c r="U89" s="564">
        <v>0</v>
      </c>
      <c r="V89" s="523"/>
    </row>
    <row r="90" spans="1:22" s="6" customFormat="1" outlineLevel="2" x14ac:dyDescent="0.2">
      <c r="A90" s="448" t="s">
        <v>738</v>
      </c>
      <c r="B90" s="3" t="s">
        <v>314</v>
      </c>
      <c r="C90" s="3" t="s">
        <v>312</v>
      </c>
      <c r="D90" s="3" t="s">
        <v>17</v>
      </c>
      <c r="E90" s="3" t="s">
        <v>273</v>
      </c>
      <c r="F90" s="473">
        <v>1715</v>
      </c>
      <c r="G90" s="54">
        <v>2332</v>
      </c>
      <c r="H90" s="54">
        <v>2307.37</v>
      </c>
      <c r="I90" s="55">
        <f t="shared" si="5"/>
        <v>1.3454052478134111</v>
      </c>
      <c r="J90" s="474">
        <v>24.63</v>
      </c>
      <c r="K90" s="488">
        <v>1715</v>
      </c>
      <c r="L90" s="52">
        <v>1715</v>
      </c>
      <c r="M90" s="52">
        <v>1706.68</v>
      </c>
      <c r="N90" s="53">
        <f t="shared" si="4"/>
        <v>0.99514868804664725</v>
      </c>
      <c r="O90" s="96">
        <f>1715-1706.68</f>
        <v>8.3199999999999363</v>
      </c>
      <c r="P90" s="473">
        <v>1715</v>
      </c>
      <c r="Q90" s="54">
        <v>1715</v>
      </c>
      <c r="R90" s="54">
        <v>1706.96</v>
      </c>
      <c r="S90" s="54">
        <v>8.0399999999999991</v>
      </c>
      <c r="T90" s="55">
        <f t="shared" si="3"/>
        <v>0.99531195335276967</v>
      </c>
      <c r="U90" s="564">
        <v>0</v>
      </c>
      <c r="V90" s="523"/>
    </row>
    <row r="91" spans="1:22" s="6" customFormat="1" outlineLevel="2" x14ac:dyDescent="0.2">
      <c r="A91" s="448" t="s">
        <v>738</v>
      </c>
      <c r="B91" s="3" t="s">
        <v>315</v>
      </c>
      <c r="C91" s="3" t="s">
        <v>312</v>
      </c>
      <c r="D91" s="3" t="s">
        <v>19</v>
      </c>
      <c r="E91" s="3" t="s">
        <v>273</v>
      </c>
      <c r="F91" s="473">
        <v>0</v>
      </c>
      <c r="G91" s="54">
        <v>555</v>
      </c>
      <c r="H91" s="54">
        <v>555</v>
      </c>
      <c r="I91" s="55">
        <v>0</v>
      </c>
      <c r="J91" s="474">
        <v>0</v>
      </c>
      <c r="K91" s="489"/>
      <c r="L91" s="65"/>
      <c r="M91" s="65"/>
      <c r="N91" s="53"/>
      <c r="O91" s="97"/>
      <c r="P91" s="475"/>
      <c r="Q91" s="64"/>
      <c r="R91" s="64"/>
      <c r="S91" s="64"/>
      <c r="T91" s="55"/>
      <c r="U91" s="565"/>
      <c r="V91" s="523"/>
    </row>
    <row r="92" spans="1:22" s="6" customFormat="1" outlineLevel="2" x14ac:dyDescent="0.2">
      <c r="A92" s="448" t="s">
        <v>738</v>
      </c>
      <c r="B92" s="3" t="s">
        <v>316</v>
      </c>
      <c r="C92" s="3" t="s">
        <v>312</v>
      </c>
      <c r="D92" s="3" t="s">
        <v>35</v>
      </c>
      <c r="E92" s="3" t="s">
        <v>273</v>
      </c>
      <c r="F92" s="473">
        <v>0</v>
      </c>
      <c r="G92" s="54">
        <v>995</v>
      </c>
      <c r="H92" s="54">
        <v>995</v>
      </c>
      <c r="I92" s="55">
        <v>0</v>
      </c>
      <c r="J92" s="474">
        <v>0</v>
      </c>
      <c r="K92" s="489"/>
      <c r="L92" s="65"/>
      <c r="M92" s="65"/>
      <c r="N92" s="53"/>
      <c r="O92" s="97"/>
      <c r="P92" s="475"/>
      <c r="Q92" s="64"/>
      <c r="R92" s="64"/>
      <c r="S92" s="64"/>
      <c r="T92" s="55"/>
      <c r="U92" s="565"/>
      <c r="V92" s="523"/>
    </row>
    <row r="93" spans="1:22" s="6" customFormat="1" outlineLevel="2" x14ac:dyDescent="0.2">
      <c r="A93" s="448" t="s">
        <v>738</v>
      </c>
      <c r="B93" s="3" t="s">
        <v>317</v>
      </c>
      <c r="C93" s="3" t="s">
        <v>312</v>
      </c>
      <c r="D93" s="3" t="s">
        <v>51</v>
      </c>
      <c r="E93" s="3" t="s">
        <v>273</v>
      </c>
      <c r="F93" s="473">
        <v>3430</v>
      </c>
      <c r="G93" s="54">
        <v>0</v>
      </c>
      <c r="H93" s="54">
        <v>0</v>
      </c>
      <c r="I93" s="55">
        <f t="shared" si="5"/>
        <v>0</v>
      </c>
      <c r="J93" s="474">
        <v>0</v>
      </c>
      <c r="K93" s="489"/>
      <c r="L93" s="65"/>
      <c r="M93" s="65"/>
      <c r="N93" s="53"/>
      <c r="O93" s="97"/>
      <c r="P93" s="475"/>
      <c r="Q93" s="64"/>
      <c r="R93" s="64"/>
      <c r="S93" s="64"/>
      <c r="T93" s="55"/>
      <c r="U93" s="565"/>
      <c r="V93" s="523"/>
    </row>
    <row r="94" spans="1:22" s="6" customFormat="1" outlineLevel="1" x14ac:dyDescent="0.2">
      <c r="A94" s="366" t="s">
        <v>757</v>
      </c>
      <c r="B94" s="3"/>
      <c r="C94" s="3"/>
      <c r="D94" s="3"/>
      <c r="E94" s="3"/>
      <c r="F94" s="477">
        <f>SUBTOTAL(9,F39:F93)</f>
        <v>94154</v>
      </c>
      <c r="G94" s="9">
        <f>SUBTOTAL(9,G39:G93)</f>
        <v>70447</v>
      </c>
      <c r="H94" s="9">
        <f t="shared" ref="H94:U94" si="6">SUBTOTAL(9,H39:H93)</f>
        <v>57995.98000000001</v>
      </c>
      <c r="I94" s="16">
        <f t="shared" si="5"/>
        <v>0.61596936933109603</v>
      </c>
      <c r="J94" s="478">
        <f t="shared" si="6"/>
        <v>12451.02</v>
      </c>
      <c r="K94" s="477">
        <f t="shared" si="6"/>
        <v>181825</v>
      </c>
      <c r="L94" s="9">
        <f t="shared" si="6"/>
        <v>158879</v>
      </c>
      <c r="M94" s="9">
        <f t="shared" si="6"/>
        <v>164848.84000000003</v>
      </c>
      <c r="N94" s="16">
        <f t="shared" si="4"/>
        <v>0.90663462120170513</v>
      </c>
      <c r="O94" s="478">
        <f t="shared" si="6"/>
        <v>-5969.8400000000029</v>
      </c>
      <c r="P94" s="477">
        <f t="shared" si="6"/>
        <v>164296</v>
      </c>
      <c r="Q94" s="9">
        <f t="shared" si="6"/>
        <v>93654</v>
      </c>
      <c r="R94" s="9">
        <f t="shared" si="6"/>
        <v>43314.790000000008</v>
      </c>
      <c r="S94" s="9">
        <f t="shared" si="6"/>
        <v>482.04</v>
      </c>
      <c r="T94" s="16">
        <f t="shared" si="3"/>
        <v>0.26363873740078886</v>
      </c>
      <c r="U94" s="566">
        <f t="shared" si="6"/>
        <v>49857.17</v>
      </c>
      <c r="V94" s="523"/>
    </row>
    <row r="95" spans="1:22" s="6" customFormat="1" outlineLevel="2" x14ac:dyDescent="0.2">
      <c r="A95" s="448" t="s">
        <v>745</v>
      </c>
      <c r="B95" s="3" t="s">
        <v>321</v>
      </c>
      <c r="C95" s="3" t="s">
        <v>318</v>
      </c>
      <c r="D95" s="3" t="s">
        <v>7</v>
      </c>
      <c r="E95" s="3" t="s">
        <v>319</v>
      </c>
      <c r="F95" s="475"/>
      <c r="G95" s="64"/>
      <c r="H95" s="64"/>
      <c r="I95" s="55">
        <v>0</v>
      </c>
      <c r="J95" s="476"/>
      <c r="K95" s="488">
        <v>0</v>
      </c>
      <c r="L95" s="52">
        <v>0</v>
      </c>
      <c r="M95" s="52">
        <v>892.13</v>
      </c>
      <c r="N95" s="53">
        <v>0</v>
      </c>
      <c r="O95" s="96">
        <v>-892.13</v>
      </c>
      <c r="P95" s="475"/>
      <c r="Q95" s="64"/>
      <c r="R95" s="64"/>
      <c r="S95" s="64"/>
      <c r="T95" s="55"/>
      <c r="U95" s="565"/>
      <c r="V95" s="523"/>
    </row>
    <row r="96" spans="1:22" s="6" customFormat="1" outlineLevel="2" x14ac:dyDescent="0.2">
      <c r="A96" s="448" t="s">
        <v>745</v>
      </c>
      <c r="B96" s="3" t="s">
        <v>322</v>
      </c>
      <c r="C96" s="3" t="s">
        <v>318</v>
      </c>
      <c r="D96" s="3" t="s">
        <v>313</v>
      </c>
      <c r="E96" s="3" t="s">
        <v>319</v>
      </c>
      <c r="F96" s="473">
        <v>1000</v>
      </c>
      <c r="G96" s="54">
        <v>0</v>
      </c>
      <c r="H96" s="54">
        <v>0</v>
      </c>
      <c r="I96" s="55">
        <f t="shared" si="5"/>
        <v>0</v>
      </c>
      <c r="J96" s="474">
        <v>0</v>
      </c>
      <c r="K96" s="488">
        <v>1000</v>
      </c>
      <c r="L96" s="52">
        <v>0</v>
      </c>
      <c r="M96" s="52">
        <v>0</v>
      </c>
      <c r="N96" s="53">
        <f t="shared" si="4"/>
        <v>0</v>
      </c>
      <c r="O96" s="96">
        <v>0</v>
      </c>
      <c r="P96" s="473">
        <v>1000</v>
      </c>
      <c r="Q96" s="54">
        <v>1000</v>
      </c>
      <c r="R96" s="54">
        <v>0</v>
      </c>
      <c r="S96" s="54">
        <v>0</v>
      </c>
      <c r="T96" s="55">
        <f t="shared" si="3"/>
        <v>0</v>
      </c>
      <c r="U96" s="564">
        <v>1000</v>
      </c>
      <c r="V96" s="523"/>
    </row>
    <row r="97" spans="1:22" s="6" customFormat="1" outlineLevel="2" x14ac:dyDescent="0.2">
      <c r="A97" s="448" t="s">
        <v>745</v>
      </c>
      <c r="B97" s="3" t="s">
        <v>320</v>
      </c>
      <c r="C97" s="3" t="s">
        <v>318</v>
      </c>
      <c r="D97" s="3" t="s">
        <v>19</v>
      </c>
      <c r="E97" s="3" t="s">
        <v>319</v>
      </c>
      <c r="F97" s="473">
        <v>825</v>
      </c>
      <c r="G97" s="54">
        <v>860</v>
      </c>
      <c r="H97" s="54">
        <v>859.34</v>
      </c>
      <c r="I97" s="55">
        <f t="shared" si="5"/>
        <v>1.0416242424242426</v>
      </c>
      <c r="J97" s="474">
        <v>0.66</v>
      </c>
      <c r="K97" s="488">
        <v>0</v>
      </c>
      <c r="L97" s="52">
        <v>0</v>
      </c>
      <c r="M97" s="52">
        <v>0</v>
      </c>
      <c r="N97" s="53"/>
      <c r="O97" s="96">
        <v>0</v>
      </c>
      <c r="P97" s="475"/>
      <c r="Q97" s="64"/>
      <c r="R97" s="64"/>
      <c r="S97" s="64"/>
      <c r="T97" s="55"/>
      <c r="U97" s="565"/>
      <c r="V97" s="523"/>
    </row>
    <row r="98" spans="1:22" s="6" customFormat="1" outlineLevel="2" x14ac:dyDescent="0.2">
      <c r="A98" s="448" t="s">
        <v>745</v>
      </c>
      <c r="B98" s="3" t="s">
        <v>323</v>
      </c>
      <c r="C98" s="3" t="s">
        <v>318</v>
      </c>
      <c r="D98" s="3" t="s">
        <v>19</v>
      </c>
      <c r="E98" s="3" t="s">
        <v>319</v>
      </c>
      <c r="F98" s="475"/>
      <c r="G98" s="64"/>
      <c r="H98" s="64"/>
      <c r="I98" s="55">
        <v>0</v>
      </c>
      <c r="J98" s="476"/>
      <c r="K98" s="488">
        <v>825</v>
      </c>
      <c r="L98" s="52">
        <v>11933</v>
      </c>
      <c r="M98" s="52">
        <v>11021.73</v>
      </c>
      <c r="N98" s="53">
        <f t="shared" si="4"/>
        <v>13.359672727272727</v>
      </c>
      <c r="O98" s="96">
        <f>11933-11021.73</f>
        <v>911.27000000000044</v>
      </c>
      <c r="P98" s="473">
        <v>12610</v>
      </c>
      <c r="Q98" s="54">
        <v>12610</v>
      </c>
      <c r="R98" s="54">
        <v>293.27999999999997</v>
      </c>
      <c r="S98" s="54">
        <v>306.72000000000003</v>
      </c>
      <c r="T98" s="55">
        <f t="shared" si="3"/>
        <v>2.3257731958762885E-2</v>
      </c>
      <c r="U98" s="564">
        <v>12010</v>
      </c>
      <c r="V98" s="523"/>
    </row>
    <row r="99" spans="1:22" s="6" customFormat="1" outlineLevel="2" x14ac:dyDescent="0.2">
      <c r="A99" s="448" t="s">
        <v>745</v>
      </c>
      <c r="B99" s="3" t="s">
        <v>324</v>
      </c>
      <c r="C99" s="3" t="s">
        <v>318</v>
      </c>
      <c r="D99" s="3" t="s">
        <v>51</v>
      </c>
      <c r="E99" s="3" t="s">
        <v>319</v>
      </c>
      <c r="F99" s="475"/>
      <c r="G99" s="64"/>
      <c r="H99" s="64"/>
      <c r="I99" s="55">
        <v>0</v>
      </c>
      <c r="J99" s="476"/>
      <c r="K99" s="488">
        <v>12985</v>
      </c>
      <c r="L99" s="52">
        <v>3027</v>
      </c>
      <c r="M99" s="52">
        <v>3030.69</v>
      </c>
      <c r="N99" s="53">
        <f t="shared" si="4"/>
        <v>0.23339930689256835</v>
      </c>
      <c r="O99" s="96">
        <f>3027-3030.69</f>
        <v>-3.6900000000000546</v>
      </c>
      <c r="P99" s="473">
        <v>1200</v>
      </c>
      <c r="Q99" s="54">
        <v>1200</v>
      </c>
      <c r="R99" s="54">
        <v>0</v>
      </c>
      <c r="S99" s="54">
        <v>0</v>
      </c>
      <c r="T99" s="55">
        <f t="shared" si="3"/>
        <v>0</v>
      </c>
      <c r="U99" s="564">
        <v>1200</v>
      </c>
      <c r="V99" s="523"/>
    </row>
    <row r="100" spans="1:22" s="6" customFormat="1" outlineLevel="2" x14ac:dyDescent="0.2">
      <c r="A100" s="448" t="s">
        <v>745</v>
      </c>
      <c r="B100" s="3" t="s">
        <v>326</v>
      </c>
      <c r="C100" s="3" t="s">
        <v>325</v>
      </c>
      <c r="D100" s="3" t="s">
        <v>58</v>
      </c>
      <c r="E100" s="3" t="s">
        <v>319</v>
      </c>
      <c r="F100" s="479">
        <v>0</v>
      </c>
      <c r="G100" s="56">
        <v>200</v>
      </c>
      <c r="H100" s="56">
        <v>200</v>
      </c>
      <c r="I100" s="55">
        <v>0</v>
      </c>
      <c r="J100" s="474">
        <v>0</v>
      </c>
      <c r="K100" s="490">
        <v>0</v>
      </c>
      <c r="L100" s="121">
        <v>0</v>
      </c>
      <c r="M100" s="121">
        <v>1290</v>
      </c>
      <c r="N100" s="53">
        <v>0</v>
      </c>
      <c r="O100" s="96">
        <v>-1290</v>
      </c>
      <c r="P100" s="479">
        <v>0</v>
      </c>
      <c r="Q100" s="56">
        <v>0</v>
      </c>
      <c r="R100" s="56">
        <v>465</v>
      </c>
      <c r="S100" s="56">
        <v>0</v>
      </c>
      <c r="T100" s="55">
        <v>0</v>
      </c>
      <c r="U100" s="564">
        <v>-465</v>
      </c>
      <c r="V100" s="523"/>
    </row>
    <row r="101" spans="1:22" s="6" customFormat="1" outlineLevel="2" x14ac:dyDescent="0.2">
      <c r="A101" s="448" t="s">
        <v>745</v>
      </c>
      <c r="B101" s="3" t="s">
        <v>327</v>
      </c>
      <c r="C101" s="3" t="s">
        <v>325</v>
      </c>
      <c r="D101" s="3" t="s">
        <v>7</v>
      </c>
      <c r="E101" s="3" t="s">
        <v>319</v>
      </c>
      <c r="F101" s="473">
        <v>0</v>
      </c>
      <c r="G101" s="54">
        <v>1000</v>
      </c>
      <c r="H101" s="54">
        <v>740.99</v>
      </c>
      <c r="I101" s="55">
        <v>0</v>
      </c>
      <c r="J101" s="474">
        <v>259.01</v>
      </c>
      <c r="K101" s="488">
        <v>0</v>
      </c>
      <c r="L101" s="52">
        <v>0</v>
      </c>
      <c r="M101" s="52">
        <v>580.13</v>
      </c>
      <c r="N101" s="53">
        <v>0</v>
      </c>
      <c r="O101" s="96">
        <v>-580.13</v>
      </c>
      <c r="P101" s="475"/>
      <c r="Q101" s="64"/>
      <c r="R101" s="64"/>
      <c r="S101" s="64"/>
      <c r="T101" s="55"/>
      <c r="U101" s="565"/>
      <c r="V101" s="523"/>
    </row>
    <row r="102" spans="1:22" s="6" customFormat="1" outlineLevel="2" x14ac:dyDescent="0.2">
      <c r="A102" s="448" t="s">
        <v>745</v>
      </c>
      <c r="B102" s="3" t="s">
        <v>328</v>
      </c>
      <c r="C102" s="3" t="s">
        <v>325</v>
      </c>
      <c r="D102" s="3" t="s">
        <v>83</v>
      </c>
      <c r="E102" s="3" t="s">
        <v>319</v>
      </c>
      <c r="F102" s="475"/>
      <c r="G102" s="64"/>
      <c r="H102" s="64"/>
      <c r="I102" s="55">
        <v>0</v>
      </c>
      <c r="J102" s="476"/>
      <c r="K102" s="488">
        <v>0</v>
      </c>
      <c r="L102" s="52">
        <v>2500</v>
      </c>
      <c r="M102" s="52">
        <v>2044.58</v>
      </c>
      <c r="N102" s="53">
        <v>0</v>
      </c>
      <c r="O102" s="96">
        <v>455.42</v>
      </c>
      <c r="P102" s="475"/>
      <c r="Q102" s="64"/>
      <c r="R102" s="64"/>
      <c r="S102" s="64"/>
      <c r="T102" s="55"/>
      <c r="U102" s="565"/>
      <c r="V102" s="523"/>
    </row>
    <row r="103" spans="1:22" s="6" customFormat="1" outlineLevel="2" x14ac:dyDescent="0.2">
      <c r="A103" s="448" t="s">
        <v>745</v>
      </c>
      <c r="B103" s="3" t="s">
        <v>329</v>
      </c>
      <c r="C103" s="3" t="s">
        <v>325</v>
      </c>
      <c r="D103" s="3" t="s">
        <v>330</v>
      </c>
      <c r="E103" s="3" t="s">
        <v>319</v>
      </c>
      <c r="F103" s="473">
        <v>7000</v>
      </c>
      <c r="G103" s="54">
        <v>4923</v>
      </c>
      <c r="H103" s="54">
        <v>5017.5</v>
      </c>
      <c r="I103" s="55">
        <f t="shared" si="5"/>
        <v>0.71678571428571425</v>
      </c>
      <c r="J103" s="474">
        <v>-94.5</v>
      </c>
      <c r="K103" s="488">
        <v>7000</v>
      </c>
      <c r="L103" s="52">
        <v>2717</v>
      </c>
      <c r="M103" s="52">
        <v>2685</v>
      </c>
      <c r="N103" s="53">
        <f t="shared" si="4"/>
        <v>0.38357142857142856</v>
      </c>
      <c r="O103" s="96">
        <v>32</v>
      </c>
      <c r="P103" s="473">
        <v>7000</v>
      </c>
      <c r="Q103" s="54">
        <v>7000</v>
      </c>
      <c r="R103" s="54">
        <v>1175</v>
      </c>
      <c r="S103" s="54">
        <v>0</v>
      </c>
      <c r="T103" s="55">
        <f t="shared" si="3"/>
        <v>0.16785714285714284</v>
      </c>
      <c r="U103" s="564">
        <v>5825</v>
      </c>
      <c r="V103" s="523"/>
    </row>
    <row r="104" spans="1:22" s="6" customFormat="1" outlineLevel="2" x14ac:dyDescent="0.2">
      <c r="A104" s="448" t="s">
        <v>745</v>
      </c>
      <c r="B104" s="3" t="s">
        <v>331</v>
      </c>
      <c r="C104" s="3" t="s">
        <v>325</v>
      </c>
      <c r="D104" s="3" t="s">
        <v>17</v>
      </c>
      <c r="E104" s="3" t="s">
        <v>319</v>
      </c>
      <c r="F104" s="473">
        <v>4500</v>
      </c>
      <c r="G104" s="54">
        <v>4820</v>
      </c>
      <c r="H104" s="54">
        <v>4467.03</v>
      </c>
      <c r="I104" s="55">
        <f t="shared" si="5"/>
        <v>0.9926733333333333</v>
      </c>
      <c r="J104" s="474">
        <v>352.97</v>
      </c>
      <c r="K104" s="488">
        <v>4635</v>
      </c>
      <c r="L104" s="52">
        <v>4635</v>
      </c>
      <c r="M104" s="52">
        <f>4353.97+239.67</f>
        <v>4593.6400000000003</v>
      </c>
      <c r="N104" s="53">
        <f t="shared" si="4"/>
        <v>0.99107659115426117</v>
      </c>
      <c r="O104" s="96">
        <f>4635-239.67-4353.97</f>
        <v>41.359999999999673</v>
      </c>
      <c r="P104" s="473">
        <v>6615</v>
      </c>
      <c r="Q104" s="54">
        <v>0</v>
      </c>
      <c r="R104" s="54">
        <v>0</v>
      </c>
      <c r="S104" s="54">
        <v>0</v>
      </c>
      <c r="T104" s="55">
        <f t="shared" si="3"/>
        <v>0</v>
      </c>
      <c r="U104" s="564">
        <v>0</v>
      </c>
      <c r="V104" s="523"/>
    </row>
    <row r="105" spans="1:22" s="6" customFormat="1" outlineLevel="2" x14ac:dyDescent="0.2">
      <c r="A105" s="448" t="s">
        <v>745</v>
      </c>
      <c r="B105" s="3" t="s">
        <v>332</v>
      </c>
      <c r="C105" s="3" t="s">
        <v>325</v>
      </c>
      <c r="D105" s="3" t="s">
        <v>246</v>
      </c>
      <c r="E105" s="3" t="s">
        <v>319</v>
      </c>
      <c r="F105" s="473">
        <v>3000</v>
      </c>
      <c r="G105" s="54">
        <v>3212</v>
      </c>
      <c r="H105" s="54">
        <v>3187.72</v>
      </c>
      <c r="I105" s="55">
        <f t="shared" si="5"/>
        <v>1.0625733333333334</v>
      </c>
      <c r="J105" s="474">
        <v>24.28</v>
      </c>
      <c r="K105" s="488">
        <v>2500</v>
      </c>
      <c r="L105" s="52">
        <v>0</v>
      </c>
      <c r="M105" s="52">
        <v>0</v>
      </c>
      <c r="N105" s="53">
        <f t="shared" si="4"/>
        <v>0</v>
      </c>
      <c r="O105" s="96">
        <v>0</v>
      </c>
      <c r="P105" s="473">
        <v>2500</v>
      </c>
      <c r="Q105" s="54">
        <v>2500</v>
      </c>
      <c r="R105" s="54">
        <v>1636.28</v>
      </c>
      <c r="S105" s="54">
        <v>0</v>
      </c>
      <c r="T105" s="55">
        <f t="shared" si="3"/>
        <v>0.65451199999999998</v>
      </c>
      <c r="U105" s="564">
        <v>863.72</v>
      </c>
      <c r="V105" s="523"/>
    </row>
    <row r="106" spans="1:22" s="6" customFormat="1" outlineLevel="2" x14ac:dyDescent="0.2">
      <c r="A106" s="448" t="s">
        <v>745</v>
      </c>
      <c r="B106" s="3" t="s">
        <v>333</v>
      </c>
      <c r="C106" s="3" t="s">
        <v>325</v>
      </c>
      <c r="D106" s="3" t="s">
        <v>334</v>
      </c>
      <c r="E106" s="3" t="s">
        <v>319</v>
      </c>
      <c r="F106" s="473">
        <v>1980</v>
      </c>
      <c r="G106" s="54">
        <v>3420</v>
      </c>
      <c r="H106" s="54">
        <v>3410.8</v>
      </c>
      <c r="I106" s="55">
        <f t="shared" si="5"/>
        <v>1.7226262626262627</v>
      </c>
      <c r="J106" s="474">
        <v>9.1999999999999993</v>
      </c>
      <c r="K106" s="488">
        <v>1980</v>
      </c>
      <c r="L106" s="52">
        <v>1980</v>
      </c>
      <c r="M106" s="52">
        <v>783.89</v>
      </c>
      <c r="N106" s="53">
        <f t="shared" si="4"/>
        <v>0.39590404040404042</v>
      </c>
      <c r="O106" s="96">
        <f>1980-783.89</f>
        <v>1196.1100000000001</v>
      </c>
      <c r="P106" s="475"/>
      <c r="Q106" s="64"/>
      <c r="R106" s="64"/>
      <c r="S106" s="64"/>
      <c r="T106" s="55"/>
      <c r="U106" s="565"/>
      <c r="V106" s="523"/>
    </row>
    <row r="107" spans="1:22" s="6" customFormat="1" outlineLevel="2" x14ac:dyDescent="0.2">
      <c r="A107" s="448" t="s">
        <v>745</v>
      </c>
      <c r="B107" s="3" t="s">
        <v>339</v>
      </c>
      <c r="C107" s="3" t="s">
        <v>325</v>
      </c>
      <c r="D107" s="3" t="s">
        <v>19</v>
      </c>
      <c r="E107" s="3" t="s">
        <v>319</v>
      </c>
      <c r="F107" s="473">
        <v>1525</v>
      </c>
      <c r="G107" s="54">
        <v>1906</v>
      </c>
      <c r="H107" s="54">
        <v>1835.95</v>
      </c>
      <c r="I107" s="55">
        <f t="shared" si="5"/>
        <v>1.2039016393442623</v>
      </c>
      <c r="J107" s="474">
        <v>70.05</v>
      </c>
      <c r="K107" s="488">
        <v>1525</v>
      </c>
      <c r="L107" s="52">
        <v>1525</v>
      </c>
      <c r="M107" s="52">
        <v>1780.07</v>
      </c>
      <c r="N107" s="53">
        <f t="shared" si="4"/>
        <v>1.1672590163934426</v>
      </c>
      <c r="O107" s="96">
        <f>1525-1780.07</f>
        <v>-255.06999999999994</v>
      </c>
      <c r="P107" s="473">
        <v>1525</v>
      </c>
      <c r="Q107" s="54">
        <v>1525</v>
      </c>
      <c r="R107" s="54">
        <v>373.94</v>
      </c>
      <c r="S107" s="54">
        <v>261.06</v>
      </c>
      <c r="T107" s="55">
        <f t="shared" si="3"/>
        <v>0.24520655737704919</v>
      </c>
      <c r="U107" s="564">
        <v>890</v>
      </c>
      <c r="V107" s="523"/>
    </row>
    <row r="108" spans="1:22" s="6" customFormat="1" outlineLevel="2" x14ac:dyDescent="0.2">
      <c r="A108" s="448" t="s">
        <v>745</v>
      </c>
      <c r="B108" s="3" t="s">
        <v>335</v>
      </c>
      <c r="C108" s="3" t="s">
        <v>325</v>
      </c>
      <c r="D108" s="3" t="s">
        <v>336</v>
      </c>
      <c r="E108" s="3" t="s">
        <v>319</v>
      </c>
      <c r="F108" s="473">
        <v>5400</v>
      </c>
      <c r="G108" s="54">
        <v>5400</v>
      </c>
      <c r="H108" s="54">
        <v>4360</v>
      </c>
      <c r="I108" s="55">
        <f t="shared" si="5"/>
        <v>0.80740740740740746</v>
      </c>
      <c r="J108" s="474">
        <v>1040</v>
      </c>
      <c r="K108" s="488">
        <v>5400</v>
      </c>
      <c r="L108" s="52">
        <v>4250</v>
      </c>
      <c r="M108" s="52">
        <v>4140</v>
      </c>
      <c r="N108" s="53">
        <f t="shared" si="4"/>
        <v>0.76666666666666672</v>
      </c>
      <c r="O108" s="96">
        <v>110</v>
      </c>
      <c r="P108" s="473">
        <v>5400</v>
      </c>
      <c r="Q108" s="54">
        <v>5400</v>
      </c>
      <c r="R108" s="54">
        <v>1840</v>
      </c>
      <c r="S108" s="54">
        <v>3560</v>
      </c>
      <c r="T108" s="55">
        <f t="shared" si="3"/>
        <v>0.34074074074074073</v>
      </c>
      <c r="U108" s="564">
        <v>0</v>
      </c>
      <c r="V108" s="523"/>
    </row>
    <row r="109" spans="1:22" s="6" customFormat="1" outlineLevel="2" x14ac:dyDescent="0.2">
      <c r="A109" s="448" t="s">
        <v>745</v>
      </c>
      <c r="B109" s="3" t="s">
        <v>337</v>
      </c>
      <c r="C109" s="3" t="s">
        <v>325</v>
      </c>
      <c r="D109" s="3" t="s">
        <v>338</v>
      </c>
      <c r="E109" s="3" t="s">
        <v>319</v>
      </c>
      <c r="F109" s="473">
        <v>900</v>
      </c>
      <c r="G109" s="54">
        <v>900</v>
      </c>
      <c r="H109" s="54">
        <v>564.65</v>
      </c>
      <c r="I109" s="55">
        <f t="shared" si="5"/>
        <v>0.62738888888888888</v>
      </c>
      <c r="J109" s="474">
        <v>335.35</v>
      </c>
      <c r="K109" s="488">
        <v>900</v>
      </c>
      <c r="L109" s="52">
        <v>900</v>
      </c>
      <c r="M109" s="52">
        <v>421.9</v>
      </c>
      <c r="N109" s="53">
        <f t="shared" si="4"/>
        <v>0.46877777777777774</v>
      </c>
      <c r="O109" s="96">
        <v>478.1</v>
      </c>
      <c r="P109" s="473">
        <v>900</v>
      </c>
      <c r="Q109" s="54">
        <v>900</v>
      </c>
      <c r="R109" s="54">
        <v>500</v>
      </c>
      <c r="S109" s="54">
        <v>400</v>
      </c>
      <c r="T109" s="55">
        <f t="shared" si="3"/>
        <v>0.55555555555555558</v>
      </c>
      <c r="U109" s="564">
        <v>0</v>
      </c>
      <c r="V109" s="523"/>
    </row>
    <row r="110" spans="1:22" s="6" customFormat="1" outlineLevel="2" x14ac:dyDescent="0.2">
      <c r="A110" s="448" t="s">
        <v>745</v>
      </c>
      <c r="B110" s="3" t="s">
        <v>371</v>
      </c>
      <c r="C110" s="3" t="s">
        <v>370</v>
      </c>
      <c r="D110" s="3" t="s">
        <v>17</v>
      </c>
      <c r="E110" s="3" t="s">
        <v>347</v>
      </c>
      <c r="F110" s="473">
        <v>2210</v>
      </c>
      <c r="G110" s="54">
        <v>2210</v>
      </c>
      <c r="H110" s="54">
        <v>2090.87</v>
      </c>
      <c r="I110" s="55">
        <f t="shared" si="5"/>
        <v>0.94609502262443435</v>
      </c>
      <c r="J110" s="474">
        <v>119.13</v>
      </c>
      <c r="K110" s="488">
        <v>50</v>
      </c>
      <c r="L110" s="52">
        <v>50</v>
      </c>
      <c r="M110" s="52">
        <v>100</v>
      </c>
      <c r="N110" s="53">
        <f t="shared" si="4"/>
        <v>2</v>
      </c>
      <c r="O110" s="96">
        <f>50-100</f>
        <v>-50</v>
      </c>
      <c r="P110" s="473">
        <v>50</v>
      </c>
      <c r="Q110" s="54">
        <v>0</v>
      </c>
      <c r="R110" s="54">
        <v>0</v>
      </c>
      <c r="S110" s="54">
        <v>0</v>
      </c>
      <c r="T110" s="55">
        <f t="shared" si="3"/>
        <v>0</v>
      </c>
      <c r="U110" s="564">
        <v>0</v>
      </c>
      <c r="V110" s="523"/>
    </row>
    <row r="111" spans="1:22" s="6" customFormat="1" outlineLevel="2" x14ac:dyDescent="0.2">
      <c r="A111" s="448" t="s">
        <v>745</v>
      </c>
      <c r="B111" s="3" t="s">
        <v>372</v>
      </c>
      <c r="C111" s="3" t="s">
        <v>370</v>
      </c>
      <c r="D111" s="3" t="s">
        <v>246</v>
      </c>
      <c r="E111" s="3" t="s">
        <v>347</v>
      </c>
      <c r="F111" s="473">
        <v>320</v>
      </c>
      <c r="G111" s="54">
        <v>320</v>
      </c>
      <c r="H111" s="54">
        <v>311.48</v>
      </c>
      <c r="I111" s="55">
        <f t="shared" si="5"/>
        <v>0.9733750000000001</v>
      </c>
      <c r="J111" s="474">
        <v>8.52</v>
      </c>
      <c r="K111" s="488">
        <v>320</v>
      </c>
      <c r="L111" s="52">
        <v>0</v>
      </c>
      <c r="M111" s="52">
        <v>0</v>
      </c>
      <c r="N111" s="53">
        <f t="shared" si="4"/>
        <v>0</v>
      </c>
      <c r="O111" s="96">
        <v>0</v>
      </c>
      <c r="P111" s="473">
        <v>320</v>
      </c>
      <c r="Q111" s="54">
        <v>320</v>
      </c>
      <c r="R111" s="54">
        <v>170.84</v>
      </c>
      <c r="S111" s="54">
        <v>0</v>
      </c>
      <c r="T111" s="55">
        <f t="shared" si="3"/>
        <v>0.53387499999999999</v>
      </c>
      <c r="U111" s="564">
        <v>149.16</v>
      </c>
      <c r="V111" s="523"/>
    </row>
    <row r="112" spans="1:22" s="6" customFormat="1" outlineLevel="2" x14ac:dyDescent="0.2">
      <c r="A112" s="448" t="s">
        <v>745</v>
      </c>
      <c r="B112" s="3" t="s">
        <v>432</v>
      </c>
      <c r="C112" s="3" t="s">
        <v>431</v>
      </c>
      <c r="D112" s="3" t="s">
        <v>7</v>
      </c>
      <c r="E112" s="3" t="s">
        <v>399</v>
      </c>
      <c r="F112" s="475"/>
      <c r="G112" s="64"/>
      <c r="H112" s="64"/>
      <c r="I112" s="55">
        <v>0</v>
      </c>
      <c r="J112" s="476"/>
      <c r="K112" s="488">
        <v>0</v>
      </c>
      <c r="L112" s="52">
        <v>929</v>
      </c>
      <c r="M112" s="52">
        <v>929</v>
      </c>
      <c r="N112" s="53">
        <v>0</v>
      </c>
      <c r="O112" s="96">
        <v>0</v>
      </c>
      <c r="P112" s="475"/>
      <c r="Q112" s="64"/>
      <c r="R112" s="64"/>
      <c r="S112" s="64"/>
      <c r="T112" s="55"/>
      <c r="U112" s="565"/>
      <c r="V112" s="523"/>
    </row>
    <row r="113" spans="1:22" s="6" customFormat="1" outlineLevel="2" x14ac:dyDescent="0.2">
      <c r="A113" s="448" t="s">
        <v>745</v>
      </c>
      <c r="B113" s="3" t="s">
        <v>433</v>
      </c>
      <c r="C113" s="3" t="s">
        <v>431</v>
      </c>
      <c r="D113" s="3" t="s">
        <v>313</v>
      </c>
      <c r="E113" s="3" t="s">
        <v>399</v>
      </c>
      <c r="F113" s="473">
        <v>929</v>
      </c>
      <c r="G113" s="54">
        <v>1004</v>
      </c>
      <c r="H113" s="54">
        <v>561</v>
      </c>
      <c r="I113" s="55">
        <f t="shared" si="5"/>
        <v>0.60387513455328312</v>
      </c>
      <c r="J113" s="474">
        <v>443</v>
      </c>
      <c r="K113" s="488">
        <v>929</v>
      </c>
      <c r="L113" s="52">
        <v>0</v>
      </c>
      <c r="M113" s="52">
        <v>0</v>
      </c>
      <c r="N113" s="53">
        <f t="shared" si="4"/>
        <v>0</v>
      </c>
      <c r="O113" s="96">
        <v>0</v>
      </c>
      <c r="P113" s="473">
        <v>929</v>
      </c>
      <c r="Q113" s="54">
        <v>929</v>
      </c>
      <c r="R113" s="54">
        <v>0</v>
      </c>
      <c r="S113" s="54">
        <v>0</v>
      </c>
      <c r="T113" s="55">
        <f t="shared" si="3"/>
        <v>0</v>
      </c>
      <c r="U113" s="564">
        <v>929</v>
      </c>
      <c r="V113" s="523"/>
    </row>
    <row r="114" spans="1:22" s="6" customFormat="1" outlineLevel="2" x14ac:dyDescent="0.2">
      <c r="A114" s="448" t="s">
        <v>745</v>
      </c>
      <c r="B114" s="3" t="s">
        <v>434</v>
      </c>
      <c r="C114" s="3" t="s">
        <v>431</v>
      </c>
      <c r="D114" s="3" t="s">
        <v>17</v>
      </c>
      <c r="E114" s="3" t="s">
        <v>399</v>
      </c>
      <c r="F114" s="473">
        <v>780</v>
      </c>
      <c r="G114" s="54">
        <v>780</v>
      </c>
      <c r="H114" s="54">
        <v>780</v>
      </c>
      <c r="I114" s="55">
        <f t="shared" si="5"/>
        <v>1</v>
      </c>
      <c r="J114" s="474">
        <v>0</v>
      </c>
      <c r="K114" s="488">
        <v>780</v>
      </c>
      <c r="L114" s="52">
        <v>312</v>
      </c>
      <c r="M114" s="52">
        <v>386.05</v>
      </c>
      <c r="N114" s="53">
        <f t="shared" si="4"/>
        <v>0.49493589743589744</v>
      </c>
      <c r="O114" s="96">
        <f>312-386.05</f>
        <v>-74.050000000000011</v>
      </c>
      <c r="P114" s="473">
        <v>2160</v>
      </c>
      <c r="Q114" s="54">
        <v>3960</v>
      </c>
      <c r="R114" s="54">
        <v>0</v>
      </c>
      <c r="S114" s="54">
        <v>0</v>
      </c>
      <c r="T114" s="55">
        <f t="shared" si="3"/>
        <v>0</v>
      </c>
      <c r="U114" s="564">
        <v>3960</v>
      </c>
      <c r="V114" s="523"/>
    </row>
    <row r="115" spans="1:22" s="6" customFormat="1" outlineLevel="2" x14ac:dyDescent="0.2">
      <c r="A115" s="448" t="s">
        <v>745</v>
      </c>
      <c r="B115" s="3" t="s">
        <v>435</v>
      </c>
      <c r="C115" s="3" t="s">
        <v>431</v>
      </c>
      <c r="D115" s="3" t="s">
        <v>246</v>
      </c>
      <c r="E115" s="3" t="s">
        <v>399</v>
      </c>
      <c r="F115" s="473">
        <v>700</v>
      </c>
      <c r="G115" s="54">
        <v>958</v>
      </c>
      <c r="H115" s="54">
        <v>957.72</v>
      </c>
      <c r="I115" s="55">
        <f t="shared" si="5"/>
        <v>1.3681714285714286</v>
      </c>
      <c r="J115" s="474">
        <v>0.28000000000000003</v>
      </c>
      <c r="K115" s="488">
        <v>700</v>
      </c>
      <c r="L115" s="52">
        <v>0</v>
      </c>
      <c r="M115" s="52">
        <v>0</v>
      </c>
      <c r="N115" s="53">
        <f t="shared" si="4"/>
        <v>0</v>
      </c>
      <c r="O115" s="96">
        <v>0</v>
      </c>
      <c r="P115" s="473">
        <v>700</v>
      </c>
      <c r="Q115" s="54">
        <v>740</v>
      </c>
      <c r="R115" s="54">
        <v>739.85</v>
      </c>
      <c r="S115" s="54">
        <v>0</v>
      </c>
      <c r="T115" s="55">
        <f t="shared" si="3"/>
        <v>1.0569285714285714</v>
      </c>
      <c r="U115" s="564">
        <v>0.15</v>
      </c>
      <c r="V115" s="523"/>
    </row>
    <row r="116" spans="1:22" s="6" customFormat="1" outlineLevel="2" x14ac:dyDescent="0.2">
      <c r="A116" s="448" t="s">
        <v>745</v>
      </c>
      <c r="B116" s="3" t="s">
        <v>436</v>
      </c>
      <c r="C116" s="3" t="s">
        <v>431</v>
      </c>
      <c r="D116" s="3" t="s">
        <v>334</v>
      </c>
      <c r="E116" s="3" t="s">
        <v>399</v>
      </c>
      <c r="F116" s="473">
        <v>300</v>
      </c>
      <c r="G116" s="54">
        <v>150</v>
      </c>
      <c r="H116" s="54">
        <v>95</v>
      </c>
      <c r="I116" s="55">
        <f t="shared" si="5"/>
        <v>0.31666666666666665</v>
      </c>
      <c r="J116" s="474">
        <v>55</v>
      </c>
      <c r="K116" s="488">
        <v>1380</v>
      </c>
      <c r="L116" s="52">
        <v>1286</v>
      </c>
      <c r="M116" s="52">
        <v>203.51</v>
      </c>
      <c r="N116" s="53">
        <f t="shared" si="4"/>
        <v>0.14747101449275363</v>
      </c>
      <c r="O116" s="96">
        <v>1082.49</v>
      </c>
      <c r="P116" s="475"/>
      <c r="Q116" s="64"/>
      <c r="R116" s="64"/>
      <c r="S116" s="64"/>
      <c r="T116" s="55"/>
      <c r="U116" s="565"/>
      <c r="V116" s="523"/>
    </row>
    <row r="117" spans="1:22" s="6" customFormat="1" outlineLevel="2" x14ac:dyDescent="0.2">
      <c r="A117" s="448" t="s">
        <v>745</v>
      </c>
      <c r="B117" s="3" t="s">
        <v>437</v>
      </c>
      <c r="C117" s="3" t="s">
        <v>431</v>
      </c>
      <c r="D117" s="3" t="s">
        <v>405</v>
      </c>
      <c r="E117" s="3" t="s">
        <v>399</v>
      </c>
      <c r="F117" s="473">
        <v>300</v>
      </c>
      <c r="G117" s="54">
        <v>450</v>
      </c>
      <c r="H117" s="54">
        <v>450</v>
      </c>
      <c r="I117" s="55">
        <f t="shared" si="5"/>
        <v>1.5</v>
      </c>
      <c r="J117" s="474">
        <v>0</v>
      </c>
      <c r="K117" s="489"/>
      <c r="L117" s="65"/>
      <c r="M117" s="65"/>
      <c r="N117" s="53"/>
      <c r="O117" s="97"/>
      <c r="P117" s="475"/>
      <c r="Q117" s="64"/>
      <c r="R117" s="64"/>
      <c r="S117" s="64"/>
      <c r="T117" s="55"/>
      <c r="U117" s="565"/>
      <c r="V117" s="523"/>
    </row>
    <row r="118" spans="1:22" s="6" customFormat="1" outlineLevel="2" x14ac:dyDescent="0.2">
      <c r="A118" s="448" t="s">
        <v>745</v>
      </c>
      <c r="B118" s="3" t="s">
        <v>438</v>
      </c>
      <c r="C118" s="3" t="s">
        <v>431</v>
      </c>
      <c r="D118" s="3" t="s">
        <v>35</v>
      </c>
      <c r="E118" s="3" t="s">
        <v>399</v>
      </c>
      <c r="F118" s="475"/>
      <c r="G118" s="64"/>
      <c r="H118" s="64"/>
      <c r="I118" s="55">
        <v>0</v>
      </c>
      <c r="J118" s="476"/>
      <c r="K118" s="488">
        <v>5000</v>
      </c>
      <c r="L118" s="52">
        <v>5000</v>
      </c>
      <c r="M118" s="52">
        <v>4478.99</v>
      </c>
      <c r="N118" s="53">
        <f t="shared" si="4"/>
        <v>0.89579799999999998</v>
      </c>
      <c r="O118" s="96">
        <v>521.01</v>
      </c>
      <c r="P118" s="473">
        <v>5000</v>
      </c>
      <c r="Q118" s="54">
        <v>1000</v>
      </c>
      <c r="R118" s="54">
        <v>297.5</v>
      </c>
      <c r="S118" s="54">
        <v>702.5</v>
      </c>
      <c r="T118" s="55">
        <f t="shared" si="3"/>
        <v>5.9499999999999997E-2</v>
      </c>
      <c r="U118" s="564">
        <v>0</v>
      </c>
      <c r="V118" s="523"/>
    </row>
    <row r="119" spans="1:22" s="6" customFormat="1" outlineLevel="2" x14ac:dyDescent="0.2">
      <c r="A119" s="448" t="s">
        <v>745</v>
      </c>
      <c r="B119" s="3" t="s">
        <v>439</v>
      </c>
      <c r="C119" s="3" t="s">
        <v>431</v>
      </c>
      <c r="D119" s="3" t="s">
        <v>51</v>
      </c>
      <c r="E119" s="3" t="s">
        <v>399</v>
      </c>
      <c r="F119" s="475"/>
      <c r="G119" s="64"/>
      <c r="H119" s="64"/>
      <c r="I119" s="55">
        <v>0</v>
      </c>
      <c r="J119" s="476"/>
      <c r="K119" s="488">
        <v>0</v>
      </c>
      <c r="L119" s="52">
        <v>0</v>
      </c>
      <c r="M119" s="52">
        <v>0</v>
      </c>
      <c r="N119" s="53"/>
      <c r="O119" s="96">
        <v>0</v>
      </c>
      <c r="P119" s="475"/>
      <c r="Q119" s="64"/>
      <c r="R119" s="64"/>
      <c r="S119" s="64"/>
      <c r="T119" s="55"/>
      <c r="U119" s="565"/>
      <c r="V119" s="523"/>
    </row>
    <row r="120" spans="1:22" s="6" customFormat="1" outlineLevel="2" x14ac:dyDescent="0.2">
      <c r="A120" s="448" t="s">
        <v>745</v>
      </c>
      <c r="B120" s="3" t="s">
        <v>455</v>
      </c>
      <c r="C120" s="3" t="s">
        <v>456</v>
      </c>
      <c r="D120" s="3" t="s">
        <v>19</v>
      </c>
      <c r="E120" s="3" t="s">
        <v>457</v>
      </c>
      <c r="F120" s="473">
        <v>514</v>
      </c>
      <c r="G120" s="54">
        <v>0</v>
      </c>
      <c r="H120" s="54">
        <v>0</v>
      </c>
      <c r="I120" s="55">
        <f t="shared" si="5"/>
        <v>0</v>
      </c>
      <c r="J120" s="474">
        <v>0</v>
      </c>
      <c r="K120" s="488">
        <v>3054</v>
      </c>
      <c r="L120" s="52">
        <v>3054</v>
      </c>
      <c r="M120" s="52">
        <v>2665.86</v>
      </c>
      <c r="N120" s="53">
        <f t="shared" si="4"/>
        <v>0.8729076620825148</v>
      </c>
      <c r="O120" s="96">
        <v>388.14</v>
      </c>
      <c r="P120" s="473">
        <v>3054</v>
      </c>
      <c r="Q120" s="54">
        <v>0</v>
      </c>
      <c r="R120" s="54">
        <v>1036.77</v>
      </c>
      <c r="S120" s="54">
        <v>467.92</v>
      </c>
      <c r="T120" s="55">
        <f t="shared" si="3"/>
        <v>0.33947937131630646</v>
      </c>
      <c r="U120" s="564">
        <v>-1504.69</v>
      </c>
      <c r="V120" s="523"/>
    </row>
    <row r="121" spans="1:22" s="6" customFormat="1" outlineLevel="2" x14ac:dyDescent="0.2">
      <c r="A121" s="448" t="s">
        <v>745</v>
      </c>
      <c r="B121" s="3" t="s">
        <v>458</v>
      </c>
      <c r="C121" s="3" t="s">
        <v>456</v>
      </c>
      <c r="D121" s="3" t="s">
        <v>19</v>
      </c>
      <c r="E121" s="3" t="s">
        <v>457</v>
      </c>
      <c r="F121" s="475"/>
      <c r="G121" s="64"/>
      <c r="H121" s="64"/>
      <c r="I121" s="55">
        <v>0</v>
      </c>
      <c r="J121" s="476"/>
      <c r="K121" s="489"/>
      <c r="L121" s="65"/>
      <c r="M121" s="65"/>
      <c r="N121" s="53"/>
      <c r="O121" s="97"/>
      <c r="P121" s="473">
        <v>0</v>
      </c>
      <c r="Q121" s="54">
        <v>3054</v>
      </c>
      <c r="R121" s="54">
        <v>0</v>
      </c>
      <c r="S121" s="54">
        <v>537.15</v>
      </c>
      <c r="T121" s="55">
        <v>0</v>
      </c>
      <c r="U121" s="564">
        <v>2516.85</v>
      </c>
      <c r="V121" s="523"/>
    </row>
    <row r="122" spans="1:22" s="6" customFormat="1" outlineLevel="2" x14ac:dyDescent="0.2">
      <c r="A122" s="448" t="s">
        <v>745</v>
      </c>
      <c r="B122" s="3" t="s">
        <v>460</v>
      </c>
      <c r="C122" s="3" t="s">
        <v>459</v>
      </c>
      <c r="D122" s="3" t="s">
        <v>7</v>
      </c>
      <c r="E122" s="3" t="s">
        <v>457</v>
      </c>
      <c r="F122" s="473">
        <v>0</v>
      </c>
      <c r="G122" s="54">
        <v>0</v>
      </c>
      <c r="H122" s="54">
        <v>0</v>
      </c>
      <c r="I122" s="55">
        <v>0</v>
      </c>
      <c r="J122" s="474">
        <v>0</v>
      </c>
      <c r="K122" s="489"/>
      <c r="L122" s="65"/>
      <c r="M122" s="65"/>
      <c r="N122" s="53"/>
      <c r="O122" s="97"/>
      <c r="P122" s="475"/>
      <c r="Q122" s="64"/>
      <c r="R122" s="64"/>
      <c r="S122" s="64"/>
      <c r="T122" s="55"/>
      <c r="U122" s="565"/>
      <c r="V122" s="523"/>
    </row>
    <row r="123" spans="1:22" s="6" customFormat="1" outlineLevel="2" x14ac:dyDescent="0.2">
      <c r="A123" s="448" t="s">
        <v>745</v>
      </c>
      <c r="B123" s="3" t="s">
        <v>461</v>
      </c>
      <c r="C123" s="3" t="s">
        <v>459</v>
      </c>
      <c r="D123" s="3" t="s">
        <v>313</v>
      </c>
      <c r="E123" s="3" t="s">
        <v>457</v>
      </c>
      <c r="F123" s="473">
        <v>33316</v>
      </c>
      <c r="G123" s="54">
        <v>35236</v>
      </c>
      <c r="H123" s="54">
        <v>35952.86</v>
      </c>
      <c r="I123" s="55">
        <f t="shared" si="5"/>
        <v>1.079146956417337</v>
      </c>
      <c r="J123" s="474">
        <v>-716.86</v>
      </c>
      <c r="K123" s="488">
        <v>0</v>
      </c>
      <c r="L123" s="52">
        <v>0</v>
      </c>
      <c r="M123" s="52">
        <v>0</v>
      </c>
      <c r="N123" s="53"/>
      <c r="O123" s="96">
        <v>0</v>
      </c>
      <c r="P123" s="475"/>
      <c r="Q123" s="64"/>
      <c r="R123" s="64"/>
      <c r="S123" s="64"/>
      <c r="T123" s="55"/>
      <c r="U123" s="565"/>
      <c r="V123" s="523"/>
    </row>
    <row r="124" spans="1:22" s="6" customFormat="1" outlineLevel="2" x14ac:dyDescent="0.2">
      <c r="A124" s="448" t="s">
        <v>745</v>
      </c>
      <c r="B124" s="3" t="s">
        <v>462</v>
      </c>
      <c r="C124" s="3" t="s">
        <v>459</v>
      </c>
      <c r="D124" s="3" t="s">
        <v>17</v>
      </c>
      <c r="E124" s="3" t="s">
        <v>457</v>
      </c>
      <c r="F124" s="473">
        <v>2410</v>
      </c>
      <c r="G124" s="54">
        <v>1700</v>
      </c>
      <c r="H124" s="54">
        <v>1640.18</v>
      </c>
      <c r="I124" s="55">
        <f t="shared" si="5"/>
        <v>0.68057261410788383</v>
      </c>
      <c r="J124" s="474">
        <v>59.82</v>
      </c>
      <c r="K124" s="488">
        <v>2500</v>
      </c>
      <c r="L124" s="52">
        <v>2852</v>
      </c>
      <c r="M124" s="52">
        <v>2850.47</v>
      </c>
      <c r="N124" s="53">
        <f t="shared" si="4"/>
        <v>1.140188</v>
      </c>
      <c r="O124" s="96">
        <f>2852-2850.47</f>
        <v>1.5300000000002001</v>
      </c>
      <c r="P124" s="473">
        <v>2500</v>
      </c>
      <c r="Q124" s="54">
        <v>0</v>
      </c>
      <c r="R124" s="54">
        <v>0</v>
      </c>
      <c r="S124" s="54">
        <v>0</v>
      </c>
      <c r="T124" s="55">
        <f t="shared" si="3"/>
        <v>0</v>
      </c>
      <c r="U124" s="564">
        <v>0</v>
      </c>
      <c r="V124" s="523"/>
    </row>
    <row r="125" spans="1:22" s="6" customFormat="1" outlineLevel="2" x14ac:dyDescent="0.2">
      <c r="A125" s="448" t="s">
        <v>745</v>
      </c>
      <c r="B125" s="3" t="s">
        <v>463</v>
      </c>
      <c r="C125" s="3" t="s">
        <v>459</v>
      </c>
      <c r="D125" s="3" t="s">
        <v>246</v>
      </c>
      <c r="E125" s="3" t="s">
        <v>457</v>
      </c>
      <c r="F125" s="473">
        <v>5150</v>
      </c>
      <c r="G125" s="54">
        <v>5150</v>
      </c>
      <c r="H125" s="54">
        <v>5128.68</v>
      </c>
      <c r="I125" s="55">
        <f t="shared" si="5"/>
        <v>0.99586019417475735</v>
      </c>
      <c r="J125" s="474">
        <v>21.32</v>
      </c>
      <c r="K125" s="488">
        <v>5200</v>
      </c>
      <c r="L125" s="52">
        <v>0</v>
      </c>
      <c r="M125" s="52">
        <v>0</v>
      </c>
      <c r="N125" s="53">
        <f t="shared" si="4"/>
        <v>0</v>
      </c>
      <c r="O125" s="96">
        <v>0</v>
      </c>
      <c r="P125" s="473">
        <v>5200</v>
      </c>
      <c r="Q125" s="54">
        <v>5200</v>
      </c>
      <c r="R125" s="54">
        <v>2962.92</v>
      </c>
      <c r="S125" s="54">
        <v>0</v>
      </c>
      <c r="T125" s="55">
        <f t="shared" si="3"/>
        <v>0.56979230769230771</v>
      </c>
      <c r="U125" s="564">
        <v>2237.08</v>
      </c>
      <c r="V125" s="523"/>
    </row>
    <row r="126" spans="1:22" s="6" customFormat="1" outlineLevel="2" x14ac:dyDescent="0.2">
      <c r="A126" s="448" t="s">
        <v>745</v>
      </c>
      <c r="B126" s="3" t="s">
        <v>464</v>
      </c>
      <c r="C126" s="3" t="s">
        <v>459</v>
      </c>
      <c r="D126" s="3" t="s">
        <v>334</v>
      </c>
      <c r="E126" s="3" t="s">
        <v>457</v>
      </c>
      <c r="F126" s="473">
        <v>300</v>
      </c>
      <c r="G126" s="54">
        <v>0</v>
      </c>
      <c r="H126" s="54">
        <v>0</v>
      </c>
      <c r="I126" s="55">
        <f t="shared" si="5"/>
        <v>0</v>
      </c>
      <c r="J126" s="474">
        <v>0</v>
      </c>
      <c r="K126" s="488">
        <v>300</v>
      </c>
      <c r="L126" s="52">
        <v>222</v>
      </c>
      <c r="M126" s="52">
        <v>0</v>
      </c>
      <c r="N126" s="53">
        <f t="shared" si="4"/>
        <v>0</v>
      </c>
      <c r="O126" s="96">
        <v>222</v>
      </c>
      <c r="P126" s="473">
        <v>300</v>
      </c>
      <c r="Q126" s="54">
        <v>0</v>
      </c>
      <c r="R126" s="54">
        <v>0</v>
      </c>
      <c r="S126" s="54">
        <v>0</v>
      </c>
      <c r="T126" s="55">
        <f t="shared" si="3"/>
        <v>0</v>
      </c>
      <c r="U126" s="564">
        <v>0</v>
      </c>
      <c r="V126" s="523"/>
    </row>
    <row r="127" spans="1:22" s="6" customFormat="1" outlineLevel="2" x14ac:dyDescent="0.2">
      <c r="A127" s="448" t="s">
        <v>745</v>
      </c>
      <c r="B127" s="3" t="s">
        <v>465</v>
      </c>
      <c r="C127" s="3" t="s">
        <v>459</v>
      </c>
      <c r="D127" s="3" t="s">
        <v>37</v>
      </c>
      <c r="E127" s="3" t="s">
        <v>457</v>
      </c>
      <c r="F127" s="473">
        <v>34</v>
      </c>
      <c r="G127" s="54">
        <v>50</v>
      </c>
      <c r="H127" s="54">
        <v>50</v>
      </c>
      <c r="I127" s="55">
        <f t="shared" si="5"/>
        <v>1.4705882352941178</v>
      </c>
      <c r="J127" s="474">
        <v>0</v>
      </c>
      <c r="K127" s="488">
        <v>385</v>
      </c>
      <c r="L127" s="52">
        <v>385</v>
      </c>
      <c r="M127" s="52">
        <v>0</v>
      </c>
      <c r="N127" s="53">
        <f t="shared" si="4"/>
        <v>0</v>
      </c>
      <c r="O127" s="96">
        <v>385</v>
      </c>
      <c r="P127" s="473">
        <v>385</v>
      </c>
      <c r="Q127" s="54">
        <v>385</v>
      </c>
      <c r="R127" s="54">
        <v>35</v>
      </c>
      <c r="S127" s="54">
        <v>0</v>
      </c>
      <c r="T127" s="55">
        <f t="shared" si="3"/>
        <v>9.0909090909090912E-2</v>
      </c>
      <c r="U127" s="564">
        <v>350</v>
      </c>
      <c r="V127" s="523"/>
    </row>
    <row r="128" spans="1:22" s="6" customFormat="1" outlineLevel="2" x14ac:dyDescent="0.2">
      <c r="A128" s="448" t="s">
        <v>745</v>
      </c>
      <c r="B128" s="3" t="s">
        <v>466</v>
      </c>
      <c r="C128" s="3" t="s">
        <v>459</v>
      </c>
      <c r="D128" s="3" t="s">
        <v>467</v>
      </c>
      <c r="E128" s="3" t="s">
        <v>457</v>
      </c>
      <c r="F128" s="473">
        <v>350</v>
      </c>
      <c r="G128" s="54">
        <v>350</v>
      </c>
      <c r="H128" s="54">
        <v>0</v>
      </c>
      <c r="I128" s="55">
        <f t="shared" si="5"/>
        <v>0</v>
      </c>
      <c r="J128" s="474">
        <v>350</v>
      </c>
      <c r="K128" s="489"/>
      <c r="L128" s="65"/>
      <c r="M128" s="65"/>
      <c r="N128" s="53"/>
      <c r="O128" s="97"/>
      <c r="P128" s="475"/>
      <c r="Q128" s="64"/>
      <c r="R128" s="64"/>
      <c r="S128" s="64"/>
      <c r="T128" s="55"/>
      <c r="U128" s="565"/>
      <c r="V128" s="523"/>
    </row>
    <row r="129" spans="1:22" s="6" customFormat="1" outlineLevel="2" x14ac:dyDescent="0.2">
      <c r="A129" s="448" t="s">
        <v>745</v>
      </c>
      <c r="B129" s="3" t="s">
        <v>468</v>
      </c>
      <c r="C129" s="3" t="s">
        <v>469</v>
      </c>
      <c r="D129" s="3" t="s">
        <v>19</v>
      </c>
      <c r="E129" s="3" t="s">
        <v>470</v>
      </c>
      <c r="F129" s="475"/>
      <c r="G129" s="64"/>
      <c r="H129" s="64"/>
      <c r="I129" s="55">
        <v>0</v>
      </c>
      <c r="J129" s="476"/>
      <c r="K129" s="488">
        <v>0</v>
      </c>
      <c r="L129" s="52">
        <v>0</v>
      </c>
      <c r="M129" s="52">
        <v>0</v>
      </c>
      <c r="N129" s="53"/>
      <c r="O129" s="96">
        <v>0</v>
      </c>
      <c r="P129" s="475"/>
      <c r="Q129" s="64"/>
      <c r="R129" s="64"/>
      <c r="S129" s="64"/>
      <c r="T129" s="55"/>
      <c r="U129" s="565"/>
      <c r="V129" s="523"/>
    </row>
    <row r="130" spans="1:22" s="6" customFormat="1" outlineLevel="2" x14ac:dyDescent="0.2">
      <c r="A130" s="448" t="s">
        <v>745</v>
      </c>
      <c r="B130" s="3" t="s">
        <v>472</v>
      </c>
      <c r="C130" s="3" t="s">
        <v>471</v>
      </c>
      <c r="D130" s="3" t="s">
        <v>313</v>
      </c>
      <c r="E130" s="3" t="s">
        <v>470</v>
      </c>
      <c r="F130" s="473">
        <v>1000</v>
      </c>
      <c r="G130" s="54">
        <v>1000</v>
      </c>
      <c r="H130" s="54">
        <v>962.85</v>
      </c>
      <c r="I130" s="55">
        <f t="shared" si="5"/>
        <v>0.96284999999999998</v>
      </c>
      <c r="J130" s="474">
        <v>37.15</v>
      </c>
      <c r="K130" s="488">
        <v>1000</v>
      </c>
      <c r="L130" s="52">
        <v>1500</v>
      </c>
      <c r="M130" s="52">
        <v>1318.15</v>
      </c>
      <c r="N130" s="53">
        <f t="shared" si="4"/>
        <v>1.3181500000000002</v>
      </c>
      <c r="O130" s="96">
        <v>181.85</v>
      </c>
      <c r="P130" s="473">
        <v>1000</v>
      </c>
      <c r="Q130" s="54">
        <v>4360</v>
      </c>
      <c r="R130" s="54">
        <v>1245.6300000000001</v>
      </c>
      <c r="S130" s="54">
        <v>0</v>
      </c>
      <c r="T130" s="55">
        <f t="shared" si="3"/>
        <v>1.24563</v>
      </c>
      <c r="U130" s="564">
        <v>3114.37</v>
      </c>
      <c r="V130" s="523"/>
    </row>
    <row r="131" spans="1:22" s="6" customFormat="1" outlineLevel="2" x14ac:dyDescent="0.2">
      <c r="A131" s="448" t="s">
        <v>745</v>
      </c>
      <c r="B131" s="3" t="s">
        <v>473</v>
      </c>
      <c r="C131" s="3" t="s">
        <v>471</v>
      </c>
      <c r="D131" s="3" t="s">
        <v>474</v>
      </c>
      <c r="E131" s="3" t="s">
        <v>470</v>
      </c>
      <c r="F131" s="475"/>
      <c r="G131" s="64"/>
      <c r="H131" s="64"/>
      <c r="I131" s="55">
        <v>0</v>
      </c>
      <c r="J131" s="476"/>
      <c r="K131" s="489"/>
      <c r="L131" s="65"/>
      <c r="M131" s="65"/>
      <c r="N131" s="53"/>
      <c r="O131" s="97"/>
      <c r="P131" s="473">
        <v>0</v>
      </c>
      <c r="Q131" s="54">
        <v>7104</v>
      </c>
      <c r="R131" s="54">
        <v>10568.89</v>
      </c>
      <c r="S131" s="54">
        <v>0</v>
      </c>
      <c r="T131" s="55">
        <v>0</v>
      </c>
      <c r="U131" s="564">
        <v>-3464.89</v>
      </c>
      <c r="V131" s="523"/>
    </row>
    <row r="132" spans="1:22" s="6" customFormat="1" outlineLevel="2" x14ac:dyDescent="0.2">
      <c r="A132" s="448" t="s">
        <v>745</v>
      </c>
      <c r="B132" s="3" t="s">
        <v>475</v>
      </c>
      <c r="C132" s="3" t="s">
        <v>471</v>
      </c>
      <c r="D132" s="3" t="s">
        <v>17</v>
      </c>
      <c r="E132" s="3" t="s">
        <v>470</v>
      </c>
      <c r="F132" s="473">
        <v>26000</v>
      </c>
      <c r="G132" s="54">
        <v>26312</v>
      </c>
      <c r="H132" s="54">
        <v>25955.040000000001</v>
      </c>
      <c r="I132" s="55">
        <f t="shared" ref="I132:I193" si="7">+H132/F132</f>
        <v>0.99827076923076929</v>
      </c>
      <c r="J132" s="474">
        <v>356.96</v>
      </c>
      <c r="K132" s="488">
        <v>25000</v>
      </c>
      <c r="L132" s="52">
        <v>25016</v>
      </c>
      <c r="M132" s="52">
        <f>23606.64+380.24</f>
        <v>23986.880000000001</v>
      </c>
      <c r="N132" s="53">
        <f t="shared" ref="N132:N195" si="8">+M132/K132</f>
        <v>0.95947520000000008</v>
      </c>
      <c r="O132" s="96">
        <f>25016-380.24-23606.64</f>
        <v>1029.119999999999</v>
      </c>
      <c r="P132" s="473">
        <v>25000</v>
      </c>
      <c r="Q132" s="54">
        <v>1000</v>
      </c>
      <c r="R132" s="54">
        <v>56.19</v>
      </c>
      <c r="S132" s="54">
        <v>7680.51</v>
      </c>
      <c r="T132" s="55">
        <f t="shared" ref="T132:T195" si="9">+R132/P132</f>
        <v>2.2475999999999998E-3</v>
      </c>
      <c r="U132" s="564">
        <v>-6736.7</v>
      </c>
      <c r="V132" s="523"/>
    </row>
    <row r="133" spans="1:22" s="6" customFormat="1" outlineLevel="2" x14ac:dyDescent="0.2">
      <c r="A133" s="448" t="s">
        <v>745</v>
      </c>
      <c r="B133" s="3" t="s">
        <v>476</v>
      </c>
      <c r="C133" s="3" t="s">
        <v>471</v>
      </c>
      <c r="D133" s="3" t="s">
        <v>246</v>
      </c>
      <c r="E133" s="3" t="s">
        <v>470</v>
      </c>
      <c r="F133" s="473">
        <v>1500</v>
      </c>
      <c r="G133" s="54">
        <v>1500</v>
      </c>
      <c r="H133" s="54">
        <v>1399.32</v>
      </c>
      <c r="I133" s="55">
        <f t="shared" si="7"/>
        <v>0.93287999999999993</v>
      </c>
      <c r="J133" s="474">
        <v>100.68</v>
      </c>
      <c r="K133" s="488">
        <v>2500</v>
      </c>
      <c r="L133" s="52">
        <v>0</v>
      </c>
      <c r="M133" s="52">
        <v>0</v>
      </c>
      <c r="N133" s="53">
        <f t="shared" si="8"/>
        <v>0</v>
      </c>
      <c r="O133" s="96">
        <v>0</v>
      </c>
      <c r="P133" s="473">
        <v>2500</v>
      </c>
      <c r="Q133" s="54">
        <v>2500</v>
      </c>
      <c r="R133" s="54">
        <v>1261.44</v>
      </c>
      <c r="S133" s="54">
        <v>0</v>
      </c>
      <c r="T133" s="55">
        <f t="shared" si="9"/>
        <v>0.50457600000000002</v>
      </c>
      <c r="U133" s="564">
        <v>1238.56</v>
      </c>
      <c r="V133" s="523"/>
    </row>
    <row r="134" spans="1:22" s="6" customFormat="1" outlineLevel="2" x14ac:dyDescent="0.2">
      <c r="A134" s="448" t="s">
        <v>745</v>
      </c>
      <c r="B134" s="3" t="s">
        <v>477</v>
      </c>
      <c r="C134" s="3" t="s">
        <v>471</v>
      </c>
      <c r="D134" s="3" t="s">
        <v>23</v>
      </c>
      <c r="E134" s="3" t="s">
        <v>470</v>
      </c>
      <c r="F134" s="473">
        <v>0</v>
      </c>
      <c r="G134" s="54">
        <v>42</v>
      </c>
      <c r="H134" s="54">
        <v>41.76</v>
      </c>
      <c r="I134" s="55">
        <v>0</v>
      </c>
      <c r="J134" s="474">
        <v>0.24</v>
      </c>
      <c r="K134" s="489"/>
      <c r="L134" s="65"/>
      <c r="M134" s="65"/>
      <c r="N134" s="53"/>
      <c r="O134" s="97"/>
      <c r="P134" s="475"/>
      <c r="Q134" s="64"/>
      <c r="R134" s="64"/>
      <c r="S134" s="64"/>
      <c r="T134" s="55"/>
      <c r="U134" s="565"/>
      <c r="V134" s="523"/>
    </row>
    <row r="135" spans="1:22" s="6" customFormat="1" outlineLevel="2" x14ac:dyDescent="0.2">
      <c r="A135" s="448" t="s">
        <v>745</v>
      </c>
      <c r="B135" s="3" t="s">
        <v>479</v>
      </c>
      <c r="C135" s="3" t="s">
        <v>478</v>
      </c>
      <c r="D135" s="3" t="s">
        <v>313</v>
      </c>
      <c r="E135" s="3" t="s">
        <v>470</v>
      </c>
      <c r="F135" s="473">
        <v>4165</v>
      </c>
      <c r="G135" s="54">
        <v>1151</v>
      </c>
      <c r="H135" s="54">
        <v>1150.25</v>
      </c>
      <c r="I135" s="55">
        <f t="shared" si="7"/>
        <v>0.27617046818727492</v>
      </c>
      <c r="J135" s="474">
        <v>0.75</v>
      </c>
      <c r="K135" s="488">
        <v>6250</v>
      </c>
      <c r="L135" s="52">
        <v>2419</v>
      </c>
      <c r="M135" s="52">
        <v>2419</v>
      </c>
      <c r="N135" s="53">
        <f t="shared" si="8"/>
        <v>0.38704</v>
      </c>
      <c r="O135" s="96">
        <v>0</v>
      </c>
      <c r="P135" s="473">
        <v>6250</v>
      </c>
      <c r="Q135" s="54">
        <v>3000</v>
      </c>
      <c r="R135" s="54">
        <v>645</v>
      </c>
      <c r="S135" s="54">
        <v>0</v>
      </c>
      <c r="T135" s="55">
        <f t="shared" si="9"/>
        <v>0.1032</v>
      </c>
      <c r="U135" s="564">
        <v>2355</v>
      </c>
      <c r="V135" s="523"/>
    </row>
    <row r="136" spans="1:22" s="6" customFormat="1" outlineLevel="2" x14ac:dyDescent="0.2">
      <c r="A136" s="448" t="s">
        <v>745</v>
      </c>
      <c r="B136" s="3" t="s">
        <v>480</v>
      </c>
      <c r="C136" s="3" t="s">
        <v>478</v>
      </c>
      <c r="D136" s="3" t="s">
        <v>17</v>
      </c>
      <c r="E136" s="3" t="s">
        <v>470</v>
      </c>
      <c r="F136" s="473">
        <v>22146</v>
      </c>
      <c r="G136" s="54">
        <v>24882</v>
      </c>
      <c r="H136" s="54">
        <v>24882</v>
      </c>
      <c r="I136" s="55">
        <f t="shared" si="7"/>
        <v>1.1235437550799241</v>
      </c>
      <c r="J136" s="474">
        <v>0</v>
      </c>
      <c r="K136" s="488">
        <v>19275</v>
      </c>
      <c r="L136" s="52">
        <v>15306</v>
      </c>
      <c r="M136" s="52">
        <f>419.78+140.11+14586.87</f>
        <v>15146.76</v>
      </c>
      <c r="N136" s="53">
        <f t="shared" si="8"/>
        <v>0.78582412451361872</v>
      </c>
      <c r="O136" s="96">
        <f>419.78+15165.89-14586.87</f>
        <v>998.79999999999927</v>
      </c>
      <c r="P136" s="473">
        <v>19275</v>
      </c>
      <c r="Q136" s="54">
        <v>0</v>
      </c>
      <c r="R136" s="54">
        <v>0</v>
      </c>
      <c r="S136" s="54">
        <v>8758.58</v>
      </c>
      <c r="T136" s="55">
        <f t="shared" si="9"/>
        <v>0</v>
      </c>
      <c r="U136" s="564">
        <v>-8758.58</v>
      </c>
      <c r="V136" s="523"/>
    </row>
    <row r="137" spans="1:22" s="6" customFormat="1" outlineLevel="2" x14ac:dyDescent="0.2">
      <c r="A137" s="448" t="s">
        <v>745</v>
      </c>
      <c r="B137" s="3" t="s">
        <v>481</v>
      </c>
      <c r="C137" s="3" t="s">
        <v>478</v>
      </c>
      <c r="D137" s="3" t="s">
        <v>246</v>
      </c>
      <c r="E137" s="3" t="s">
        <v>470</v>
      </c>
      <c r="F137" s="473">
        <v>750</v>
      </c>
      <c r="G137" s="54">
        <v>876</v>
      </c>
      <c r="H137" s="54">
        <v>875.08</v>
      </c>
      <c r="I137" s="55">
        <f t="shared" si="7"/>
        <v>1.1667733333333334</v>
      </c>
      <c r="J137" s="474">
        <v>0.92</v>
      </c>
      <c r="K137" s="488">
        <v>2000</v>
      </c>
      <c r="L137" s="52">
        <v>0</v>
      </c>
      <c r="M137" s="52">
        <v>0</v>
      </c>
      <c r="N137" s="53">
        <f t="shared" si="8"/>
        <v>0</v>
      </c>
      <c r="O137" s="96">
        <v>0</v>
      </c>
      <c r="P137" s="473">
        <v>2000</v>
      </c>
      <c r="Q137" s="54">
        <v>2000</v>
      </c>
      <c r="R137" s="54">
        <v>825.2</v>
      </c>
      <c r="S137" s="54">
        <v>0</v>
      </c>
      <c r="T137" s="55">
        <f t="shared" si="9"/>
        <v>0.41260000000000002</v>
      </c>
      <c r="U137" s="564">
        <v>1174.8</v>
      </c>
      <c r="V137" s="523"/>
    </row>
    <row r="138" spans="1:22" s="6" customFormat="1" outlineLevel="2" x14ac:dyDescent="0.2">
      <c r="A138" s="448" t="s">
        <v>745</v>
      </c>
      <c r="B138" s="3" t="s">
        <v>482</v>
      </c>
      <c r="C138" s="3" t="s">
        <v>478</v>
      </c>
      <c r="D138" s="3" t="s">
        <v>51</v>
      </c>
      <c r="E138" s="3" t="s">
        <v>470</v>
      </c>
      <c r="F138" s="475"/>
      <c r="G138" s="64"/>
      <c r="H138" s="64"/>
      <c r="I138" s="55">
        <v>0</v>
      </c>
      <c r="J138" s="476"/>
      <c r="K138" s="488">
        <v>0</v>
      </c>
      <c r="L138" s="52">
        <v>4769</v>
      </c>
      <c r="M138" s="52">
        <v>4768.3</v>
      </c>
      <c r="N138" s="53">
        <v>0</v>
      </c>
      <c r="O138" s="96">
        <f>4769-4768.3</f>
        <v>0.6999999999998181</v>
      </c>
      <c r="P138" s="475"/>
      <c r="Q138" s="64"/>
      <c r="R138" s="64"/>
      <c r="S138" s="64"/>
      <c r="T138" s="55"/>
      <c r="U138" s="565"/>
      <c r="V138" s="523"/>
    </row>
    <row r="139" spans="1:22" s="6" customFormat="1" outlineLevel="2" x14ac:dyDescent="0.2">
      <c r="A139" s="448" t="s">
        <v>745</v>
      </c>
      <c r="B139" s="3" t="s">
        <v>484</v>
      </c>
      <c r="C139" s="3" t="s">
        <v>483</v>
      </c>
      <c r="D139" s="3" t="s">
        <v>313</v>
      </c>
      <c r="E139" s="3" t="s">
        <v>470</v>
      </c>
      <c r="F139" s="473">
        <v>0</v>
      </c>
      <c r="G139" s="54">
        <v>0</v>
      </c>
      <c r="H139" s="54">
        <v>0</v>
      </c>
      <c r="I139" s="55">
        <v>0</v>
      </c>
      <c r="J139" s="474">
        <v>0</v>
      </c>
      <c r="K139" s="489"/>
      <c r="L139" s="65"/>
      <c r="M139" s="65"/>
      <c r="N139" s="53"/>
      <c r="O139" s="97"/>
      <c r="P139" s="475"/>
      <c r="Q139" s="64"/>
      <c r="R139" s="64"/>
      <c r="S139" s="64"/>
      <c r="T139" s="55"/>
      <c r="U139" s="565"/>
      <c r="V139" s="523"/>
    </row>
    <row r="140" spans="1:22" s="6" customFormat="1" outlineLevel="2" x14ac:dyDescent="0.2">
      <c r="A140" s="448" t="s">
        <v>745</v>
      </c>
      <c r="B140" s="3" t="s">
        <v>485</v>
      </c>
      <c r="C140" s="3" t="s">
        <v>483</v>
      </c>
      <c r="D140" s="3" t="s">
        <v>17</v>
      </c>
      <c r="E140" s="3" t="s">
        <v>470</v>
      </c>
      <c r="F140" s="473">
        <v>7000</v>
      </c>
      <c r="G140" s="54">
        <v>7094</v>
      </c>
      <c r="H140" s="54">
        <v>7093.92</v>
      </c>
      <c r="I140" s="55">
        <f t="shared" si="7"/>
        <v>1.0134171428571428</v>
      </c>
      <c r="J140" s="474">
        <v>0.08</v>
      </c>
      <c r="K140" s="488">
        <v>7000</v>
      </c>
      <c r="L140" s="52">
        <v>7000</v>
      </c>
      <c r="M140" s="52">
        <v>6023.93</v>
      </c>
      <c r="N140" s="53">
        <f t="shared" si="8"/>
        <v>0.86056142857142859</v>
      </c>
      <c r="O140" s="96">
        <f>7000-6023.93</f>
        <v>976.06999999999971</v>
      </c>
      <c r="P140" s="473">
        <v>7000</v>
      </c>
      <c r="Q140" s="54">
        <v>0</v>
      </c>
      <c r="R140" s="54">
        <v>0</v>
      </c>
      <c r="S140" s="54">
        <v>0</v>
      </c>
      <c r="T140" s="55">
        <f t="shared" si="9"/>
        <v>0</v>
      </c>
      <c r="U140" s="564">
        <v>0</v>
      </c>
      <c r="V140" s="523"/>
    </row>
    <row r="141" spans="1:22" s="6" customFormat="1" outlineLevel="2" x14ac:dyDescent="0.2">
      <c r="A141" s="448" t="s">
        <v>745</v>
      </c>
      <c r="B141" s="3" t="s">
        <v>486</v>
      </c>
      <c r="C141" s="3" t="s">
        <v>483</v>
      </c>
      <c r="D141" s="3" t="s">
        <v>246</v>
      </c>
      <c r="E141" s="3" t="s">
        <v>470</v>
      </c>
      <c r="F141" s="473">
        <v>1580</v>
      </c>
      <c r="G141" s="54">
        <v>2471</v>
      </c>
      <c r="H141" s="54">
        <v>2469.44</v>
      </c>
      <c r="I141" s="55">
        <f t="shared" si="7"/>
        <v>1.5629367088607595</v>
      </c>
      <c r="J141" s="474">
        <v>1.56</v>
      </c>
      <c r="K141" s="488">
        <v>1620</v>
      </c>
      <c r="L141" s="52">
        <v>0</v>
      </c>
      <c r="M141" s="52">
        <v>0</v>
      </c>
      <c r="N141" s="53">
        <f t="shared" si="8"/>
        <v>0</v>
      </c>
      <c r="O141" s="96">
        <v>0</v>
      </c>
      <c r="P141" s="473">
        <v>1620</v>
      </c>
      <c r="Q141" s="54">
        <v>1620</v>
      </c>
      <c r="R141" s="54">
        <v>0</v>
      </c>
      <c r="S141" s="54">
        <v>0</v>
      </c>
      <c r="T141" s="55">
        <f t="shared" si="9"/>
        <v>0</v>
      </c>
      <c r="U141" s="564">
        <v>1620</v>
      </c>
      <c r="V141" s="523"/>
    </row>
    <row r="142" spans="1:22" s="6" customFormat="1" outlineLevel="2" x14ac:dyDescent="0.2">
      <c r="A142" s="448" t="s">
        <v>745</v>
      </c>
      <c r="B142" s="3" t="s">
        <v>488</v>
      </c>
      <c r="C142" s="3" t="s">
        <v>487</v>
      </c>
      <c r="D142" s="3" t="s">
        <v>17</v>
      </c>
      <c r="E142" s="3" t="s">
        <v>470</v>
      </c>
      <c r="F142" s="473">
        <v>500</v>
      </c>
      <c r="G142" s="54">
        <v>500</v>
      </c>
      <c r="H142" s="54">
        <v>498.45</v>
      </c>
      <c r="I142" s="55">
        <f t="shared" si="7"/>
        <v>0.99690000000000001</v>
      </c>
      <c r="J142" s="474">
        <v>1.55</v>
      </c>
      <c r="K142" s="488">
        <v>500</v>
      </c>
      <c r="L142" s="52">
        <v>500</v>
      </c>
      <c r="M142" s="52">
        <v>979.13</v>
      </c>
      <c r="N142" s="53">
        <f t="shared" si="8"/>
        <v>1.9582599999999999</v>
      </c>
      <c r="O142" s="96">
        <f>500-979.13</f>
        <v>-479.13</v>
      </c>
      <c r="P142" s="473">
        <v>500</v>
      </c>
      <c r="Q142" s="54">
        <v>0</v>
      </c>
      <c r="R142" s="54">
        <v>0</v>
      </c>
      <c r="S142" s="54">
        <v>0</v>
      </c>
      <c r="T142" s="55">
        <f t="shared" si="9"/>
        <v>0</v>
      </c>
      <c r="U142" s="564">
        <v>0</v>
      </c>
      <c r="V142" s="523"/>
    </row>
    <row r="143" spans="1:22" s="6" customFormat="1" outlineLevel="2" x14ac:dyDescent="0.2">
      <c r="A143" s="448" t="s">
        <v>745</v>
      </c>
      <c r="B143" s="3" t="s">
        <v>489</v>
      </c>
      <c r="C143" s="3" t="s">
        <v>487</v>
      </c>
      <c r="D143" s="3" t="s">
        <v>246</v>
      </c>
      <c r="E143" s="3" t="s">
        <v>470</v>
      </c>
      <c r="F143" s="473">
        <v>600</v>
      </c>
      <c r="G143" s="54">
        <v>600</v>
      </c>
      <c r="H143" s="54">
        <v>151.63999999999999</v>
      </c>
      <c r="I143" s="55">
        <f t="shared" si="7"/>
        <v>0.25273333333333331</v>
      </c>
      <c r="J143" s="474">
        <v>448.36</v>
      </c>
      <c r="K143" s="488">
        <v>320</v>
      </c>
      <c r="L143" s="52">
        <v>0</v>
      </c>
      <c r="M143" s="52">
        <v>0</v>
      </c>
      <c r="N143" s="53">
        <f t="shared" si="8"/>
        <v>0</v>
      </c>
      <c r="O143" s="96">
        <v>0</v>
      </c>
      <c r="P143" s="473">
        <v>320</v>
      </c>
      <c r="Q143" s="54">
        <v>320</v>
      </c>
      <c r="R143" s="54">
        <v>280.12</v>
      </c>
      <c r="S143" s="54">
        <v>0</v>
      </c>
      <c r="T143" s="55">
        <f t="shared" si="9"/>
        <v>0.87537500000000001</v>
      </c>
      <c r="U143" s="564">
        <v>39.880000000000003</v>
      </c>
      <c r="V143" s="523"/>
    </row>
    <row r="144" spans="1:22" s="6" customFormat="1" outlineLevel="1" x14ac:dyDescent="0.2">
      <c r="A144" s="366" t="s">
        <v>758</v>
      </c>
      <c r="B144" s="3"/>
      <c r="C144" s="3"/>
      <c r="D144" s="3"/>
      <c r="E144" s="3"/>
      <c r="F144" s="477">
        <f>SUBTOTAL(9,F95:F143)</f>
        <v>138984</v>
      </c>
      <c r="G144" s="9">
        <f>SUBTOTAL(9,G95:G143)</f>
        <v>141427</v>
      </c>
      <c r="H144" s="9">
        <f>SUBTOTAL(9,H95:H143)</f>
        <v>138141.52000000005</v>
      </c>
      <c r="I144" s="16">
        <f t="shared" si="7"/>
        <v>0.99393829505554632</v>
      </c>
      <c r="J144" s="478">
        <f>SUBTOTAL(9,J95:J143)</f>
        <v>3285.48</v>
      </c>
      <c r="K144" s="477">
        <f>SUBTOTAL(9,K95:K143)</f>
        <v>124813</v>
      </c>
      <c r="L144" s="9">
        <f>SUBTOTAL(9,L95:L143)</f>
        <v>104067</v>
      </c>
      <c r="M144" s="9">
        <f>SUBTOTAL(9,M95:M143)</f>
        <v>99519.790000000008</v>
      </c>
      <c r="N144" s="16">
        <f t="shared" si="8"/>
        <v>0.79735115733136774</v>
      </c>
      <c r="O144" s="478">
        <f>SUBTOTAL(9,O95:O143)</f>
        <v>5386.7699999999977</v>
      </c>
      <c r="P144" s="477">
        <f>SUBTOTAL(9,P95:P143)</f>
        <v>124813</v>
      </c>
      <c r="Q144" s="9">
        <f>SUBTOTAL(9,Q95:Q143)</f>
        <v>69627</v>
      </c>
      <c r="R144" s="9">
        <f>SUBTOTAL(9,R95:R143)</f>
        <v>26408.85</v>
      </c>
      <c r="S144" s="9">
        <f>SUBTOTAL(9,S95:S143)</f>
        <v>22674.440000000002</v>
      </c>
      <c r="T144" s="16">
        <f t="shared" si="9"/>
        <v>0.21158733465264035</v>
      </c>
      <c r="U144" s="566">
        <f>SUBTOTAL(9,U95:U143)</f>
        <v>20543.710000000006</v>
      </c>
      <c r="V144" s="523"/>
    </row>
    <row r="145" spans="1:22" s="6" customFormat="1" outlineLevel="2" x14ac:dyDescent="0.2">
      <c r="A145" s="448" t="s">
        <v>740</v>
      </c>
      <c r="B145" s="3" t="s">
        <v>111</v>
      </c>
      <c r="C145" s="3" t="s">
        <v>108</v>
      </c>
      <c r="D145" s="3" t="s">
        <v>58</v>
      </c>
      <c r="E145" s="3" t="s">
        <v>108</v>
      </c>
      <c r="F145" s="479">
        <v>3836</v>
      </c>
      <c r="G145" s="56">
        <v>3836</v>
      </c>
      <c r="H145" s="56">
        <v>3835.64</v>
      </c>
      <c r="I145" s="55">
        <f t="shared" si="7"/>
        <v>0.99990615224191859</v>
      </c>
      <c r="J145" s="474">
        <v>0.36</v>
      </c>
      <c r="K145" s="490">
        <v>3836</v>
      </c>
      <c r="L145" s="121">
        <v>5136</v>
      </c>
      <c r="M145" s="121">
        <v>4002.98</v>
      </c>
      <c r="N145" s="53">
        <f t="shared" si="8"/>
        <v>1.0435297184567258</v>
      </c>
      <c r="O145" s="96">
        <v>1133.02</v>
      </c>
      <c r="P145" s="479">
        <v>3836</v>
      </c>
      <c r="Q145" s="56">
        <v>3836</v>
      </c>
      <c r="R145" s="56">
        <v>3000</v>
      </c>
      <c r="S145" s="56">
        <v>0</v>
      </c>
      <c r="T145" s="55">
        <f t="shared" si="9"/>
        <v>0.78206465067778941</v>
      </c>
      <c r="U145" s="564">
        <v>836</v>
      </c>
      <c r="V145" s="523"/>
    </row>
    <row r="146" spans="1:22" s="6" customFormat="1" outlineLevel="2" x14ac:dyDescent="0.2">
      <c r="A146" s="448" t="s">
        <v>740</v>
      </c>
      <c r="B146" s="3" t="s">
        <v>109</v>
      </c>
      <c r="C146" s="3" t="s">
        <v>108</v>
      </c>
      <c r="D146" s="3" t="s">
        <v>83</v>
      </c>
      <c r="E146" s="3" t="s">
        <v>108</v>
      </c>
      <c r="F146" s="475"/>
      <c r="G146" s="64"/>
      <c r="H146" s="64"/>
      <c r="I146" s="55"/>
      <c r="J146" s="476"/>
      <c r="K146" s="488">
        <v>0</v>
      </c>
      <c r="L146" s="52">
        <v>4860</v>
      </c>
      <c r="M146" s="52">
        <v>4859.97</v>
      </c>
      <c r="N146" s="53">
        <v>0</v>
      </c>
      <c r="O146" s="96">
        <v>0.03</v>
      </c>
      <c r="P146" s="475"/>
      <c r="Q146" s="64"/>
      <c r="R146" s="64"/>
      <c r="S146" s="64"/>
      <c r="T146" s="55"/>
      <c r="U146" s="565"/>
      <c r="V146" s="523"/>
    </row>
    <row r="147" spans="1:22" s="6" customFormat="1" outlineLevel="2" x14ac:dyDescent="0.2">
      <c r="A147" s="448" t="s">
        <v>740</v>
      </c>
      <c r="B147" s="3" t="s">
        <v>110</v>
      </c>
      <c r="C147" s="3" t="s">
        <v>108</v>
      </c>
      <c r="D147" s="3" t="s">
        <v>9</v>
      </c>
      <c r="E147" s="3" t="s">
        <v>108</v>
      </c>
      <c r="F147" s="475"/>
      <c r="G147" s="64"/>
      <c r="H147" s="64"/>
      <c r="I147" s="55"/>
      <c r="J147" s="476"/>
      <c r="K147" s="488">
        <v>0</v>
      </c>
      <c r="L147" s="52">
        <v>666</v>
      </c>
      <c r="M147" s="52">
        <v>665.33</v>
      </c>
      <c r="N147" s="53">
        <v>0</v>
      </c>
      <c r="O147" s="96">
        <v>0.67</v>
      </c>
      <c r="P147" s="475"/>
      <c r="Q147" s="64"/>
      <c r="R147" s="64"/>
      <c r="S147" s="64"/>
      <c r="T147" s="55"/>
      <c r="U147" s="565"/>
      <c r="V147" s="523"/>
    </row>
    <row r="148" spans="1:22" s="6" customFormat="1" outlineLevel="2" x14ac:dyDescent="0.2">
      <c r="A148" s="448" t="s">
        <v>740</v>
      </c>
      <c r="B148" s="3" t="s">
        <v>112</v>
      </c>
      <c r="C148" s="3" t="s">
        <v>108</v>
      </c>
      <c r="D148" s="3" t="s">
        <v>19</v>
      </c>
      <c r="E148" s="3" t="s">
        <v>108</v>
      </c>
      <c r="F148" s="473">
        <v>533</v>
      </c>
      <c r="G148" s="54">
        <v>533</v>
      </c>
      <c r="H148" s="54">
        <v>489.05</v>
      </c>
      <c r="I148" s="55">
        <f t="shared" si="7"/>
        <v>0.91754221388367729</v>
      </c>
      <c r="J148" s="474">
        <v>43.95</v>
      </c>
      <c r="K148" s="488">
        <v>400</v>
      </c>
      <c r="L148" s="52">
        <v>0</v>
      </c>
      <c r="M148" s="52">
        <v>0</v>
      </c>
      <c r="N148" s="53">
        <f t="shared" si="8"/>
        <v>0</v>
      </c>
      <c r="O148" s="96">
        <v>0</v>
      </c>
      <c r="P148" s="473">
        <v>400</v>
      </c>
      <c r="Q148" s="54">
        <v>400</v>
      </c>
      <c r="R148" s="54">
        <v>71.349999999999994</v>
      </c>
      <c r="S148" s="54">
        <v>228.65</v>
      </c>
      <c r="T148" s="55">
        <f t="shared" si="9"/>
        <v>0.17837499999999998</v>
      </c>
      <c r="U148" s="564">
        <v>100</v>
      </c>
      <c r="V148" s="523"/>
    </row>
    <row r="149" spans="1:22" s="6" customFormat="1" outlineLevel="2" x14ac:dyDescent="0.2">
      <c r="A149" s="448" t="s">
        <v>740</v>
      </c>
      <c r="B149" s="3" t="s">
        <v>113</v>
      </c>
      <c r="C149" s="3" t="s">
        <v>108</v>
      </c>
      <c r="D149" s="3" t="s">
        <v>23</v>
      </c>
      <c r="E149" s="3" t="s">
        <v>108</v>
      </c>
      <c r="F149" s="473">
        <v>174</v>
      </c>
      <c r="G149" s="54">
        <v>232</v>
      </c>
      <c r="H149" s="54">
        <v>228.87</v>
      </c>
      <c r="I149" s="55">
        <f t="shared" si="7"/>
        <v>1.315344827586207</v>
      </c>
      <c r="J149" s="474">
        <v>3.13</v>
      </c>
      <c r="K149" s="488">
        <v>174</v>
      </c>
      <c r="L149" s="52">
        <v>74</v>
      </c>
      <c r="M149" s="52">
        <v>58.8</v>
      </c>
      <c r="N149" s="53">
        <f t="shared" si="8"/>
        <v>0.33793103448275863</v>
      </c>
      <c r="O149" s="96">
        <v>15.2</v>
      </c>
      <c r="P149" s="473">
        <v>74</v>
      </c>
      <c r="Q149" s="54">
        <v>74</v>
      </c>
      <c r="R149" s="54">
        <v>0</v>
      </c>
      <c r="S149" s="54">
        <v>0</v>
      </c>
      <c r="T149" s="55">
        <f t="shared" si="9"/>
        <v>0</v>
      </c>
      <c r="U149" s="564">
        <v>74</v>
      </c>
      <c r="V149" s="523"/>
    </row>
    <row r="150" spans="1:22" s="6" customFormat="1" outlineLevel="2" x14ac:dyDescent="0.2">
      <c r="A150" s="448" t="s">
        <v>740</v>
      </c>
      <c r="B150" s="3" t="s">
        <v>114</v>
      </c>
      <c r="C150" s="3" t="s">
        <v>108</v>
      </c>
      <c r="D150" s="3" t="s">
        <v>115</v>
      </c>
      <c r="E150" s="3" t="s">
        <v>108</v>
      </c>
      <c r="F150" s="473">
        <v>959</v>
      </c>
      <c r="G150" s="54">
        <v>959</v>
      </c>
      <c r="H150" s="54">
        <v>959</v>
      </c>
      <c r="I150" s="55">
        <f t="shared" si="7"/>
        <v>1</v>
      </c>
      <c r="J150" s="474">
        <v>0</v>
      </c>
      <c r="K150" s="488">
        <v>1000</v>
      </c>
      <c r="L150" s="52">
        <v>111</v>
      </c>
      <c r="M150" s="52">
        <v>54.27</v>
      </c>
      <c r="N150" s="53">
        <f t="shared" si="8"/>
        <v>5.4270000000000006E-2</v>
      </c>
      <c r="O150" s="96">
        <v>56.73</v>
      </c>
      <c r="P150" s="473">
        <v>1000</v>
      </c>
      <c r="Q150" s="54">
        <v>1000</v>
      </c>
      <c r="R150" s="54">
        <v>150.28</v>
      </c>
      <c r="S150" s="54">
        <v>0</v>
      </c>
      <c r="T150" s="55">
        <f t="shared" si="9"/>
        <v>0.15028</v>
      </c>
      <c r="U150" s="564">
        <v>849.72</v>
      </c>
      <c r="V150" s="523"/>
    </row>
    <row r="151" spans="1:22" s="6" customFormat="1" outlineLevel="2" x14ac:dyDescent="0.2">
      <c r="A151" s="448" t="s">
        <v>740</v>
      </c>
      <c r="B151" s="3" t="s">
        <v>116</v>
      </c>
      <c r="C151" s="3" t="s">
        <v>108</v>
      </c>
      <c r="D151" s="3" t="s">
        <v>48</v>
      </c>
      <c r="E151" s="3" t="s">
        <v>108</v>
      </c>
      <c r="F151" s="473">
        <v>72</v>
      </c>
      <c r="G151" s="54">
        <v>72</v>
      </c>
      <c r="H151" s="54">
        <v>0</v>
      </c>
      <c r="I151" s="55">
        <f t="shared" si="7"/>
        <v>0</v>
      </c>
      <c r="J151" s="474">
        <v>72</v>
      </c>
      <c r="K151" s="488">
        <v>50</v>
      </c>
      <c r="L151" s="52">
        <v>189</v>
      </c>
      <c r="M151" s="52">
        <v>122.1</v>
      </c>
      <c r="N151" s="53">
        <f t="shared" si="8"/>
        <v>2.4419999999999997</v>
      </c>
      <c r="O151" s="96">
        <v>66.900000000000006</v>
      </c>
      <c r="P151" s="473">
        <v>150</v>
      </c>
      <c r="Q151" s="54">
        <v>150</v>
      </c>
      <c r="R151" s="54">
        <v>132.09</v>
      </c>
      <c r="S151" s="54">
        <v>0</v>
      </c>
      <c r="T151" s="55">
        <f t="shared" si="9"/>
        <v>0.88060000000000005</v>
      </c>
      <c r="U151" s="564">
        <v>17.91</v>
      </c>
      <c r="V151" s="523"/>
    </row>
    <row r="152" spans="1:22" s="6" customFormat="1" outlineLevel="2" x14ac:dyDescent="0.2">
      <c r="A152" s="448" t="s">
        <v>740</v>
      </c>
      <c r="B152" s="3" t="s">
        <v>117</v>
      </c>
      <c r="C152" s="3" t="s">
        <v>108</v>
      </c>
      <c r="D152" s="3" t="s">
        <v>97</v>
      </c>
      <c r="E152" s="3" t="s">
        <v>108</v>
      </c>
      <c r="F152" s="473">
        <v>214</v>
      </c>
      <c r="G152" s="54">
        <v>214</v>
      </c>
      <c r="H152" s="54">
        <v>116</v>
      </c>
      <c r="I152" s="55">
        <f t="shared" si="7"/>
        <v>0.54205607476635509</v>
      </c>
      <c r="J152" s="474">
        <v>98</v>
      </c>
      <c r="K152" s="488">
        <v>50</v>
      </c>
      <c r="L152" s="52">
        <v>0</v>
      </c>
      <c r="M152" s="52">
        <v>0</v>
      </c>
      <c r="N152" s="53">
        <f t="shared" si="8"/>
        <v>0</v>
      </c>
      <c r="O152" s="96">
        <v>0</v>
      </c>
      <c r="P152" s="473">
        <v>50</v>
      </c>
      <c r="Q152" s="54">
        <v>50</v>
      </c>
      <c r="R152" s="54">
        <v>0</v>
      </c>
      <c r="S152" s="54">
        <v>0</v>
      </c>
      <c r="T152" s="55">
        <f t="shared" si="9"/>
        <v>0</v>
      </c>
      <c r="U152" s="564">
        <v>50</v>
      </c>
      <c r="V152" s="523"/>
    </row>
    <row r="153" spans="1:22" s="6" customFormat="1" outlineLevel="2" x14ac:dyDescent="0.2">
      <c r="A153" s="448" t="s">
        <v>740</v>
      </c>
      <c r="B153" s="3" t="s">
        <v>118</v>
      </c>
      <c r="C153" s="3" t="s">
        <v>108</v>
      </c>
      <c r="D153" s="3" t="s">
        <v>37</v>
      </c>
      <c r="E153" s="3" t="s">
        <v>108</v>
      </c>
      <c r="F153" s="473">
        <v>1290</v>
      </c>
      <c r="G153" s="54">
        <v>1290</v>
      </c>
      <c r="H153" s="54">
        <v>1290</v>
      </c>
      <c r="I153" s="55">
        <f t="shared" si="7"/>
        <v>1</v>
      </c>
      <c r="J153" s="474">
        <v>0</v>
      </c>
      <c r="K153" s="488">
        <v>1568</v>
      </c>
      <c r="L153" s="52">
        <v>1568</v>
      </c>
      <c r="M153" s="52">
        <v>1568</v>
      </c>
      <c r="N153" s="53">
        <f t="shared" si="8"/>
        <v>1</v>
      </c>
      <c r="O153" s="96">
        <v>0</v>
      </c>
      <c r="P153" s="473">
        <v>1568</v>
      </c>
      <c r="Q153" s="54">
        <v>1568</v>
      </c>
      <c r="R153" s="54">
        <v>1568</v>
      </c>
      <c r="S153" s="54">
        <v>0</v>
      </c>
      <c r="T153" s="55">
        <f t="shared" si="9"/>
        <v>1</v>
      </c>
      <c r="U153" s="564">
        <v>0</v>
      </c>
      <c r="V153" s="523"/>
    </row>
    <row r="154" spans="1:22" s="6" customFormat="1" outlineLevel="2" x14ac:dyDescent="0.2">
      <c r="A154" s="448" t="s">
        <v>740</v>
      </c>
      <c r="B154" s="3" t="s">
        <v>132</v>
      </c>
      <c r="C154" s="3" t="s">
        <v>108</v>
      </c>
      <c r="D154" s="3" t="s">
        <v>19</v>
      </c>
      <c r="E154" s="3" t="s">
        <v>126</v>
      </c>
      <c r="F154" s="473">
        <v>1000</v>
      </c>
      <c r="G154" s="54">
        <v>0</v>
      </c>
      <c r="H154" s="54">
        <v>0</v>
      </c>
      <c r="I154" s="55">
        <f t="shared" si="7"/>
        <v>0</v>
      </c>
      <c r="J154" s="474">
        <v>0</v>
      </c>
      <c r="K154" s="488">
        <v>1000</v>
      </c>
      <c r="L154" s="52">
        <v>414</v>
      </c>
      <c r="M154" s="52">
        <v>250</v>
      </c>
      <c r="N154" s="53">
        <f t="shared" si="8"/>
        <v>0.25</v>
      </c>
      <c r="O154" s="96">
        <v>164</v>
      </c>
      <c r="P154" s="473">
        <v>1000</v>
      </c>
      <c r="Q154" s="54">
        <v>1000</v>
      </c>
      <c r="R154" s="54">
        <v>163.62</v>
      </c>
      <c r="S154" s="54">
        <v>0</v>
      </c>
      <c r="T154" s="55">
        <f t="shared" si="9"/>
        <v>0.16362000000000002</v>
      </c>
      <c r="U154" s="564">
        <v>836.38</v>
      </c>
      <c r="V154" s="523"/>
    </row>
    <row r="155" spans="1:22" s="6" customFormat="1" outlineLevel="2" x14ac:dyDescent="0.2">
      <c r="A155" s="448" t="s">
        <v>740</v>
      </c>
      <c r="B155" s="3" t="s">
        <v>133</v>
      </c>
      <c r="C155" s="3" t="s">
        <v>108</v>
      </c>
      <c r="D155" s="3" t="s">
        <v>27</v>
      </c>
      <c r="E155" s="3" t="s">
        <v>126</v>
      </c>
      <c r="F155" s="475"/>
      <c r="G155" s="64"/>
      <c r="H155" s="64"/>
      <c r="I155" s="55"/>
      <c r="J155" s="476"/>
      <c r="K155" s="488">
        <v>0</v>
      </c>
      <c r="L155" s="52">
        <v>748</v>
      </c>
      <c r="M155" s="52">
        <v>700</v>
      </c>
      <c r="N155" s="53">
        <v>0</v>
      </c>
      <c r="O155" s="96">
        <v>48</v>
      </c>
      <c r="P155" s="475"/>
      <c r="Q155" s="64"/>
      <c r="R155" s="64"/>
      <c r="S155" s="64"/>
      <c r="T155" s="55"/>
      <c r="U155" s="565"/>
      <c r="V155" s="523"/>
    </row>
    <row r="156" spans="1:22" s="6" customFormat="1" outlineLevel="2" x14ac:dyDescent="0.2">
      <c r="A156" s="448" t="s">
        <v>740</v>
      </c>
      <c r="B156" s="3" t="s">
        <v>134</v>
      </c>
      <c r="C156" s="3" t="s">
        <v>108</v>
      </c>
      <c r="D156" s="3" t="s">
        <v>115</v>
      </c>
      <c r="E156" s="3" t="s">
        <v>126</v>
      </c>
      <c r="F156" s="473">
        <v>3000</v>
      </c>
      <c r="G156" s="54">
        <v>4042</v>
      </c>
      <c r="H156" s="54">
        <v>3914.72</v>
      </c>
      <c r="I156" s="55">
        <f t="shared" si="7"/>
        <v>1.3049066666666667</v>
      </c>
      <c r="J156" s="474">
        <v>127.28</v>
      </c>
      <c r="K156" s="488">
        <v>3000</v>
      </c>
      <c r="L156" s="52">
        <v>2838</v>
      </c>
      <c r="M156" s="52">
        <v>2838</v>
      </c>
      <c r="N156" s="53">
        <f t="shared" si="8"/>
        <v>0.94599999999999995</v>
      </c>
      <c r="O156" s="96">
        <v>0</v>
      </c>
      <c r="P156" s="473">
        <v>3000</v>
      </c>
      <c r="Q156" s="54">
        <v>3000</v>
      </c>
      <c r="R156" s="54">
        <v>1067.25</v>
      </c>
      <c r="S156" s="54">
        <v>0</v>
      </c>
      <c r="T156" s="55">
        <f t="shared" si="9"/>
        <v>0.35575000000000001</v>
      </c>
      <c r="U156" s="564">
        <v>1932.75</v>
      </c>
      <c r="V156" s="523"/>
    </row>
    <row r="157" spans="1:22" s="6" customFormat="1" outlineLevel="1" x14ac:dyDescent="0.2">
      <c r="A157" s="366" t="s">
        <v>759</v>
      </c>
      <c r="B157" s="3"/>
      <c r="C157" s="3"/>
      <c r="D157" s="3"/>
      <c r="E157" s="3"/>
      <c r="F157" s="477">
        <f>SUBTOTAL(9,F145:F156)</f>
        <v>11078</v>
      </c>
      <c r="G157" s="9">
        <f>SUBTOTAL(9,G145:G156)</f>
        <v>11178</v>
      </c>
      <c r="H157" s="9">
        <f>SUBTOTAL(9,H145:H156)</f>
        <v>10833.279999999999</v>
      </c>
      <c r="I157" s="16">
        <f t="shared" si="7"/>
        <v>0.97790936992236854</v>
      </c>
      <c r="J157" s="478">
        <f>SUBTOTAL(9,J145:J156)</f>
        <v>344.72</v>
      </c>
      <c r="K157" s="477">
        <f>SUBTOTAL(9,K145:K156)</f>
        <v>11078</v>
      </c>
      <c r="L157" s="9">
        <f>SUBTOTAL(9,L145:L156)</f>
        <v>16604</v>
      </c>
      <c r="M157" s="9">
        <f>SUBTOTAL(9,M145:M156)</f>
        <v>15119.45</v>
      </c>
      <c r="N157" s="16">
        <f t="shared" si="8"/>
        <v>1.3648176566167178</v>
      </c>
      <c r="O157" s="478">
        <f>SUBTOTAL(9,O145:O156)</f>
        <v>1484.5500000000002</v>
      </c>
      <c r="P157" s="477">
        <f>SUBTOTAL(9,P145:P156)</f>
        <v>11078</v>
      </c>
      <c r="Q157" s="9">
        <f>SUBTOTAL(9,Q145:Q156)</f>
        <v>11078</v>
      </c>
      <c r="R157" s="9">
        <f>SUBTOTAL(9,R145:R156)</f>
        <v>6152.59</v>
      </c>
      <c r="S157" s="9">
        <f>SUBTOTAL(9,S145:S156)</f>
        <v>228.65</v>
      </c>
      <c r="T157" s="16">
        <f t="shared" si="9"/>
        <v>0.55538815670698682</v>
      </c>
      <c r="U157" s="566">
        <f>SUBTOTAL(9,U145:U156)</f>
        <v>4696.76</v>
      </c>
      <c r="V157" s="523"/>
    </row>
    <row r="158" spans="1:22" s="6" customFormat="1" outlineLevel="2" x14ac:dyDescent="0.2">
      <c r="A158" s="448" t="s">
        <v>737</v>
      </c>
      <c r="B158" s="3" t="s">
        <v>6</v>
      </c>
      <c r="C158" s="3" t="s">
        <v>4</v>
      </c>
      <c r="D158" s="3" t="s">
        <v>7</v>
      </c>
      <c r="E158" s="3" t="s">
        <v>5</v>
      </c>
      <c r="F158" s="475"/>
      <c r="G158" s="64"/>
      <c r="H158" s="64"/>
      <c r="I158" s="55"/>
      <c r="J158" s="476"/>
      <c r="K158" s="489"/>
      <c r="L158" s="65"/>
      <c r="M158" s="65"/>
      <c r="N158" s="53"/>
      <c r="O158" s="97"/>
      <c r="P158" s="473">
        <v>0</v>
      </c>
      <c r="Q158" s="54">
        <v>700</v>
      </c>
      <c r="R158" s="54">
        <v>700</v>
      </c>
      <c r="S158" s="54">
        <v>0</v>
      </c>
      <c r="T158" s="55">
        <v>0</v>
      </c>
      <c r="U158" s="564">
        <v>0</v>
      </c>
      <c r="V158" s="523"/>
    </row>
    <row r="159" spans="1:22" s="6" customFormat="1" outlineLevel="2" x14ac:dyDescent="0.2">
      <c r="A159" s="448" t="s">
        <v>737</v>
      </c>
      <c r="B159" s="3" t="s">
        <v>8</v>
      </c>
      <c r="C159" s="3" t="s">
        <v>4</v>
      </c>
      <c r="D159" s="3" t="s">
        <v>9</v>
      </c>
      <c r="E159" s="3" t="s">
        <v>5</v>
      </c>
      <c r="F159" s="475"/>
      <c r="G159" s="64"/>
      <c r="H159" s="64"/>
      <c r="I159" s="55"/>
      <c r="J159" s="476"/>
      <c r="K159" s="489"/>
      <c r="L159" s="65"/>
      <c r="M159" s="65"/>
      <c r="N159" s="53"/>
      <c r="O159" s="97"/>
      <c r="P159" s="473">
        <v>0</v>
      </c>
      <c r="Q159" s="54">
        <v>0</v>
      </c>
      <c r="R159" s="54">
        <v>1000</v>
      </c>
      <c r="S159" s="54">
        <v>0</v>
      </c>
      <c r="T159" s="55">
        <v>0</v>
      </c>
      <c r="U159" s="564">
        <v>-1000</v>
      </c>
      <c r="V159" s="523"/>
    </row>
    <row r="160" spans="1:22" s="6" customFormat="1" outlineLevel="2" x14ac:dyDescent="0.2">
      <c r="A160" s="448" t="s">
        <v>737</v>
      </c>
      <c r="B160" s="3" t="s">
        <v>16</v>
      </c>
      <c r="C160" s="3" t="s">
        <v>4</v>
      </c>
      <c r="D160" s="3" t="s">
        <v>17</v>
      </c>
      <c r="E160" s="3" t="s">
        <v>5</v>
      </c>
      <c r="F160" s="473">
        <v>0</v>
      </c>
      <c r="G160" s="54">
        <v>0</v>
      </c>
      <c r="H160" s="54">
        <v>0</v>
      </c>
      <c r="I160" s="55">
        <v>0</v>
      </c>
      <c r="J160" s="474">
        <v>0</v>
      </c>
      <c r="K160" s="489"/>
      <c r="L160" s="65"/>
      <c r="M160" s="65"/>
      <c r="N160" s="53"/>
      <c r="O160" s="97"/>
      <c r="P160" s="475"/>
      <c r="Q160" s="64"/>
      <c r="R160" s="64"/>
      <c r="S160" s="64"/>
      <c r="T160" s="55"/>
      <c r="U160" s="565"/>
      <c r="V160" s="523"/>
    </row>
    <row r="161" spans="1:22" s="6" customFormat="1" outlineLevel="2" x14ac:dyDescent="0.2">
      <c r="A161" s="448" t="s">
        <v>737</v>
      </c>
      <c r="B161" s="3" t="s">
        <v>18</v>
      </c>
      <c r="C161" s="3" t="s">
        <v>4</v>
      </c>
      <c r="D161" s="3" t="s">
        <v>19</v>
      </c>
      <c r="E161" s="3" t="s">
        <v>5</v>
      </c>
      <c r="F161" s="473">
        <v>4668</v>
      </c>
      <c r="G161" s="54">
        <v>4282</v>
      </c>
      <c r="H161" s="54">
        <v>4282</v>
      </c>
      <c r="I161" s="55">
        <f t="shared" si="7"/>
        <v>0.91730934018851762</v>
      </c>
      <c r="J161" s="474">
        <v>0</v>
      </c>
      <c r="K161" s="488">
        <v>3168</v>
      </c>
      <c r="L161" s="52">
        <v>2698</v>
      </c>
      <c r="M161" s="52">
        <v>1221.9000000000001</v>
      </c>
      <c r="N161" s="53">
        <f t="shared" si="8"/>
        <v>0.38570075757575761</v>
      </c>
      <c r="O161" s="96">
        <v>1476.1</v>
      </c>
      <c r="P161" s="473">
        <v>3168</v>
      </c>
      <c r="Q161" s="54">
        <v>2317</v>
      </c>
      <c r="R161" s="54">
        <v>55.08</v>
      </c>
      <c r="S161" s="54">
        <v>0</v>
      </c>
      <c r="T161" s="55">
        <f t="shared" si="9"/>
        <v>1.7386363636363637E-2</v>
      </c>
      <c r="U161" s="564">
        <v>2261.92</v>
      </c>
      <c r="V161" s="523"/>
    </row>
    <row r="162" spans="1:22" s="6" customFormat="1" outlineLevel="2" x14ac:dyDescent="0.2">
      <c r="A162" s="448" t="s">
        <v>737</v>
      </c>
      <c r="B162" s="3" t="s">
        <v>20</v>
      </c>
      <c r="C162" s="3" t="s">
        <v>4</v>
      </c>
      <c r="D162" s="3" t="s">
        <v>21</v>
      </c>
      <c r="E162" s="3" t="s">
        <v>5</v>
      </c>
      <c r="F162" s="475"/>
      <c r="G162" s="64"/>
      <c r="H162" s="64"/>
      <c r="I162" s="55"/>
      <c r="J162" s="476"/>
      <c r="K162" s="489"/>
      <c r="L162" s="65"/>
      <c r="M162" s="65"/>
      <c r="N162" s="53"/>
      <c r="O162" s="97"/>
      <c r="P162" s="473">
        <v>0</v>
      </c>
      <c r="Q162" s="54">
        <v>94</v>
      </c>
      <c r="R162" s="54">
        <v>94</v>
      </c>
      <c r="S162" s="54">
        <v>0</v>
      </c>
      <c r="T162" s="55">
        <v>0</v>
      </c>
      <c r="U162" s="564">
        <v>0</v>
      </c>
      <c r="V162" s="523"/>
    </row>
    <row r="163" spans="1:22" s="6" customFormat="1" outlineLevel="2" x14ac:dyDescent="0.2">
      <c r="A163" s="448" t="s">
        <v>737</v>
      </c>
      <c r="B163" s="3" t="s">
        <v>22</v>
      </c>
      <c r="C163" s="3" t="s">
        <v>4</v>
      </c>
      <c r="D163" s="3" t="s">
        <v>23</v>
      </c>
      <c r="E163" s="3" t="s">
        <v>5</v>
      </c>
      <c r="F163" s="473">
        <v>0</v>
      </c>
      <c r="G163" s="54">
        <v>487</v>
      </c>
      <c r="H163" s="54">
        <v>486.99</v>
      </c>
      <c r="I163" s="55">
        <v>0</v>
      </c>
      <c r="J163" s="474">
        <v>0.01</v>
      </c>
      <c r="K163" s="488">
        <v>500</v>
      </c>
      <c r="L163" s="52">
        <v>970</v>
      </c>
      <c r="M163" s="52">
        <v>969.24</v>
      </c>
      <c r="N163" s="53">
        <f t="shared" si="8"/>
        <v>1.93848</v>
      </c>
      <c r="O163" s="96">
        <v>0.76</v>
      </c>
      <c r="P163" s="473">
        <v>500</v>
      </c>
      <c r="Q163" s="54">
        <v>500</v>
      </c>
      <c r="R163" s="54">
        <v>70</v>
      </c>
      <c r="S163" s="54">
        <v>0</v>
      </c>
      <c r="T163" s="55">
        <f t="shared" si="9"/>
        <v>0.14000000000000001</v>
      </c>
      <c r="U163" s="564">
        <v>430</v>
      </c>
      <c r="V163" s="523"/>
    </row>
    <row r="164" spans="1:22" s="6" customFormat="1" outlineLevel="2" x14ac:dyDescent="0.2">
      <c r="A164" s="448" t="s">
        <v>737</v>
      </c>
      <c r="B164" s="3" t="s">
        <v>24</v>
      </c>
      <c r="C164" s="3" t="s">
        <v>4</v>
      </c>
      <c r="D164" s="3" t="s">
        <v>25</v>
      </c>
      <c r="E164" s="3" t="s">
        <v>5</v>
      </c>
      <c r="F164" s="473">
        <v>0</v>
      </c>
      <c r="G164" s="54">
        <v>0</v>
      </c>
      <c r="H164" s="54">
        <v>0</v>
      </c>
      <c r="I164" s="55"/>
      <c r="J164" s="474">
        <v>0</v>
      </c>
      <c r="K164" s="488">
        <v>0</v>
      </c>
      <c r="L164" s="52">
        <v>0</v>
      </c>
      <c r="M164" s="52">
        <v>0</v>
      </c>
      <c r="N164" s="53"/>
      <c r="O164" s="96">
        <v>0</v>
      </c>
      <c r="P164" s="473">
        <v>0</v>
      </c>
      <c r="Q164" s="54">
        <v>0</v>
      </c>
      <c r="R164" s="54">
        <v>30</v>
      </c>
      <c r="S164" s="54">
        <v>0</v>
      </c>
      <c r="T164" s="55">
        <v>0</v>
      </c>
      <c r="U164" s="564">
        <v>-30</v>
      </c>
      <c r="V164" s="523"/>
    </row>
    <row r="165" spans="1:22" s="6" customFormat="1" outlineLevel="2" x14ac:dyDescent="0.2">
      <c r="A165" s="448" t="s">
        <v>737</v>
      </c>
      <c r="B165" s="3" t="s">
        <v>26</v>
      </c>
      <c r="C165" s="3" t="s">
        <v>4</v>
      </c>
      <c r="D165" s="3" t="s">
        <v>27</v>
      </c>
      <c r="E165" s="3" t="s">
        <v>5</v>
      </c>
      <c r="F165" s="473">
        <v>0</v>
      </c>
      <c r="G165" s="54">
        <v>1347</v>
      </c>
      <c r="H165" s="54">
        <v>1347</v>
      </c>
      <c r="I165" s="55">
        <v>0</v>
      </c>
      <c r="J165" s="474">
        <v>0</v>
      </c>
      <c r="K165" s="489"/>
      <c r="L165" s="65"/>
      <c r="M165" s="65"/>
      <c r="N165" s="53"/>
      <c r="O165" s="97"/>
      <c r="P165" s="475"/>
      <c r="Q165" s="64"/>
      <c r="R165" s="64"/>
      <c r="S165" s="64"/>
      <c r="T165" s="55"/>
      <c r="U165" s="565"/>
      <c r="V165" s="523"/>
    </row>
    <row r="166" spans="1:22" s="6" customFormat="1" outlineLevel="2" x14ac:dyDescent="0.2">
      <c r="A166" s="448" t="s">
        <v>737</v>
      </c>
      <c r="B166" s="3" t="s">
        <v>28</v>
      </c>
      <c r="C166" s="3" t="s">
        <v>4</v>
      </c>
      <c r="D166" s="3" t="s">
        <v>29</v>
      </c>
      <c r="E166" s="3" t="s">
        <v>5</v>
      </c>
      <c r="F166" s="473">
        <v>0</v>
      </c>
      <c r="G166" s="54">
        <v>200</v>
      </c>
      <c r="H166" s="54">
        <v>200</v>
      </c>
      <c r="I166" s="55">
        <v>0</v>
      </c>
      <c r="J166" s="474">
        <v>0</v>
      </c>
      <c r="K166" s="489"/>
      <c r="L166" s="65"/>
      <c r="M166" s="65"/>
      <c r="N166" s="53"/>
      <c r="O166" s="97"/>
      <c r="P166" s="475"/>
      <c r="Q166" s="64"/>
      <c r="R166" s="64"/>
      <c r="S166" s="64"/>
      <c r="T166" s="55"/>
      <c r="U166" s="565"/>
      <c r="V166" s="523"/>
    </row>
    <row r="167" spans="1:22" s="6" customFormat="1" outlineLevel="2" x14ac:dyDescent="0.2">
      <c r="A167" s="448" t="s">
        <v>737</v>
      </c>
      <c r="B167" s="3" t="s">
        <v>30</v>
      </c>
      <c r="C167" s="3" t="s">
        <v>4</v>
      </c>
      <c r="D167" s="3" t="s">
        <v>31</v>
      </c>
      <c r="E167" s="3" t="s">
        <v>5</v>
      </c>
      <c r="F167" s="473">
        <v>0</v>
      </c>
      <c r="G167" s="54">
        <v>1000</v>
      </c>
      <c r="H167" s="54">
        <v>1000</v>
      </c>
      <c r="I167" s="55">
        <v>0</v>
      </c>
      <c r="J167" s="474">
        <v>0</v>
      </c>
      <c r="K167" s="488">
        <v>1000</v>
      </c>
      <c r="L167" s="52">
        <v>1000</v>
      </c>
      <c r="M167" s="52">
        <v>843.85</v>
      </c>
      <c r="N167" s="53">
        <f t="shared" si="8"/>
        <v>0.84384999999999999</v>
      </c>
      <c r="O167" s="96">
        <v>156.15</v>
      </c>
      <c r="P167" s="473">
        <v>1000</v>
      </c>
      <c r="Q167" s="54">
        <v>1000</v>
      </c>
      <c r="R167" s="54">
        <v>362.85</v>
      </c>
      <c r="S167" s="54">
        <v>0</v>
      </c>
      <c r="T167" s="55">
        <f t="shared" si="9"/>
        <v>0.36285000000000001</v>
      </c>
      <c r="U167" s="564">
        <v>637.15</v>
      </c>
      <c r="V167" s="523"/>
    </row>
    <row r="168" spans="1:22" s="6" customFormat="1" outlineLevel="2" x14ac:dyDescent="0.2">
      <c r="A168" s="448" t="s">
        <v>737</v>
      </c>
      <c r="B168" s="3" t="s">
        <v>32</v>
      </c>
      <c r="C168" s="3" t="s">
        <v>4</v>
      </c>
      <c r="D168" s="3" t="s">
        <v>33</v>
      </c>
      <c r="E168" s="3" t="s">
        <v>5</v>
      </c>
      <c r="F168" s="475"/>
      <c r="G168" s="64"/>
      <c r="H168" s="64"/>
      <c r="I168" s="55"/>
      <c r="J168" s="476"/>
      <c r="K168" s="489"/>
      <c r="L168" s="65"/>
      <c r="M168" s="65"/>
      <c r="N168" s="53"/>
      <c r="O168" s="97"/>
      <c r="P168" s="473">
        <v>0</v>
      </c>
      <c r="Q168" s="54">
        <v>200</v>
      </c>
      <c r="R168" s="54">
        <v>188</v>
      </c>
      <c r="S168" s="54">
        <v>0</v>
      </c>
      <c r="T168" s="55">
        <v>0</v>
      </c>
      <c r="U168" s="564">
        <v>12</v>
      </c>
      <c r="V168" s="523"/>
    </row>
    <row r="169" spans="1:22" s="6" customFormat="1" outlineLevel="2" x14ac:dyDescent="0.2">
      <c r="A169" s="448" t="s">
        <v>737</v>
      </c>
      <c r="B169" s="3" t="s">
        <v>34</v>
      </c>
      <c r="C169" s="3" t="s">
        <v>4</v>
      </c>
      <c r="D169" s="3" t="s">
        <v>35</v>
      </c>
      <c r="E169" s="3" t="s">
        <v>5</v>
      </c>
      <c r="F169" s="473">
        <v>0</v>
      </c>
      <c r="G169" s="54">
        <v>451</v>
      </c>
      <c r="H169" s="54">
        <v>450.72</v>
      </c>
      <c r="I169" s="55">
        <v>0</v>
      </c>
      <c r="J169" s="474">
        <v>0.28000000000000003</v>
      </c>
      <c r="K169" s="489"/>
      <c r="L169" s="65"/>
      <c r="M169" s="65"/>
      <c r="N169" s="53"/>
      <c r="O169" s="97"/>
      <c r="P169" s="475"/>
      <c r="Q169" s="64"/>
      <c r="R169" s="64"/>
      <c r="S169" s="64"/>
      <c r="T169" s="55"/>
      <c r="U169" s="565"/>
      <c r="V169" s="523"/>
    </row>
    <row r="170" spans="1:22" s="6" customFormat="1" outlineLevel="2" x14ac:dyDescent="0.2">
      <c r="A170" s="448" t="s">
        <v>737</v>
      </c>
      <c r="B170" s="3" t="s">
        <v>36</v>
      </c>
      <c r="C170" s="3" t="s">
        <v>4</v>
      </c>
      <c r="D170" s="3" t="s">
        <v>37</v>
      </c>
      <c r="E170" s="3" t="s">
        <v>5</v>
      </c>
      <c r="F170" s="473">
        <v>1100</v>
      </c>
      <c r="G170" s="54">
        <v>281</v>
      </c>
      <c r="H170" s="54">
        <v>280.08999999999997</v>
      </c>
      <c r="I170" s="55">
        <f t="shared" si="7"/>
        <v>0.2546272727272727</v>
      </c>
      <c r="J170" s="474">
        <v>0.91</v>
      </c>
      <c r="K170" s="488">
        <v>1100</v>
      </c>
      <c r="L170" s="52">
        <v>1100</v>
      </c>
      <c r="M170" s="52">
        <v>155.46</v>
      </c>
      <c r="N170" s="53">
        <f t="shared" si="8"/>
        <v>0.14132727272727275</v>
      </c>
      <c r="O170" s="96">
        <v>944.54</v>
      </c>
      <c r="P170" s="473">
        <v>1100</v>
      </c>
      <c r="Q170" s="54">
        <v>900</v>
      </c>
      <c r="R170" s="54">
        <v>447.35</v>
      </c>
      <c r="S170" s="54">
        <v>0</v>
      </c>
      <c r="T170" s="55">
        <f t="shared" si="9"/>
        <v>0.4066818181818182</v>
      </c>
      <c r="U170" s="564">
        <v>452.65</v>
      </c>
      <c r="V170" s="523"/>
    </row>
    <row r="171" spans="1:22" s="6" customFormat="1" outlineLevel="2" x14ac:dyDescent="0.2">
      <c r="A171" s="448" t="s">
        <v>737</v>
      </c>
      <c r="B171" s="3" t="s">
        <v>38</v>
      </c>
      <c r="C171" s="3" t="s">
        <v>4</v>
      </c>
      <c r="D171" s="3" t="s">
        <v>39</v>
      </c>
      <c r="E171" s="3" t="s">
        <v>5</v>
      </c>
      <c r="F171" s="473">
        <v>0</v>
      </c>
      <c r="G171" s="54">
        <v>0</v>
      </c>
      <c r="H171" s="54">
        <v>0</v>
      </c>
      <c r="I171" s="55"/>
      <c r="J171" s="474">
        <v>0</v>
      </c>
      <c r="K171" s="489"/>
      <c r="L171" s="65"/>
      <c r="M171" s="65"/>
      <c r="N171" s="53"/>
      <c r="O171" s="97"/>
      <c r="P171" s="475"/>
      <c r="Q171" s="64"/>
      <c r="R171" s="64"/>
      <c r="S171" s="64"/>
      <c r="T171" s="55"/>
      <c r="U171" s="565"/>
      <c r="V171" s="523"/>
    </row>
    <row r="172" spans="1:22" s="6" customFormat="1" outlineLevel="2" x14ac:dyDescent="0.2">
      <c r="A172" s="448" t="s">
        <v>737</v>
      </c>
      <c r="B172" s="3" t="s">
        <v>256</v>
      </c>
      <c r="C172" s="3" t="s">
        <v>257</v>
      </c>
      <c r="D172" s="3" t="s">
        <v>7</v>
      </c>
      <c r="E172" s="3" t="s">
        <v>147</v>
      </c>
      <c r="F172" s="475"/>
      <c r="G172" s="64"/>
      <c r="H172" s="64"/>
      <c r="I172" s="55"/>
      <c r="J172" s="476"/>
      <c r="K172" s="488">
        <v>0</v>
      </c>
      <c r="L172" s="52">
        <v>82</v>
      </c>
      <c r="M172" s="52">
        <v>0</v>
      </c>
      <c r="N172" s="53">
        <v>0</v>
      </c>
      <c r="O172" s="96">
        <v>82</v>
      </c>
      <c r="P172" s="475"/>
      <c r="Q172" s="64"/>
      <c r="R172" s="64"/>
      <c r="S172" s="64"/>
      <c r="T172" s="55"/>
      <c r="U172" s="565"/>
      <c r="V172" s="523"/>
    </row>
    <row r="173" spans="1:22" s="6" customFormat="1" outlineLevel="2" x14ac:dyDescent="0.2">
      <c r="A173" s="448" t="s">
        <v>737</v>
      </c>
      <c r="B173" s="3" t="s">
        <v>258</v>
      </c>
      <c r="C173" s="3" t="s">
        <v>257</v>
      </c>
      <c r="D173" s="3" t="s">
        <v>83</v>
      </c>
      <c r="E173" s="3" t="s">
        <v>147</v>
      </c>
      <c r="F173" s="475"/>
      <c r="G173" s="64"/>
      <c r="H173" s="64"/>
      <c r="I173" s="55"/>
      <c r="J173" s="476"/>
      <c r="K173" s="488">
        <v>0</v>
      </c>
      <c r="L173" s="52">
        <v>1945</v>
      </c>
      <c r="M173" s="52">
        <v>1944.96</v>
      </c>
      <c r="N173" s="53">
        <v>0</v>
      </c>
      <c r="O173" s="96">
        <v>0.04</v>
      </c>
      <c r="P173" s="475"/>
      <c r="Q173" s="64"/>
      <c r="R173" s="64"/>
      <c r="S173" s="64"/>
      <c r="T173" s="55"/>
      <c r="U173" s="565"/>
      <c r="V173" s="523"/>
    </row>
    <row r="174" spans="1:22" s="6" customFormat="1" outlineLevel="2" x14ac:dyDescent="0.2">
      <c r="A174" s="448" t="s">
        <v>737</v>
      </c>
      <c r="B174" s="3" t="s">
        <v>261</v>
      </c>
      <c r="C174" s="3" t="s">
        <v>257</v>
      </c>
      <c r="D174" s="3" t="s">
        <v>19</v>
      </c>
      <c r="E174" s="3" t="s">
        <v>147</v>
      </c>
      <c r="F174" s="475"/>
      <c r="G174" s="64"/>
      <c r="H174" s="64"/>
      <c r="I174" s="55"/>
      <c r="J174" s="476"/>
      <c r="K174" s="488">
        <v>0</v>
      </c>
      <c r="L174" s="52">
        <v>0</v>
      </c>
      <c r="M174" s="52">
        <v>0</v>
      </c>
      <c r="N174" s="53"/>
      <c r="O174" s="96">
        <v>0</v>
      </c>
      <c r="P174" s="475"/>
      <c r="Q174" s="64"/>
      <c r="R174" s="64"/>
      <c r="S174" s="64"/>
      <c r="T174" s="55"/>
      <c r="U174" s="565"/>
      <c r="V174" s="523"/>
    </row>
    <row r="175" spans="1:22" s="6" customFormat="1" outlineLevel="2" x14ac:dyDescent="0.2">
      <c r="A175" s="448" t="s">
        <v>737</v>
      </c>
      <c r="B175" s="3" t="s">
        <v>259</v>
      </c>
      <c r="C175" s="3" t="s">
        <v>257</v>
      </c>
      <c r="D175" s="3" t="s">
        <v>23</v>
      </c>
      <c r="E175" s="3" t="s">
        <v>147</v>
      </c>
      <c r="F175" s="475"/>
      <c r="G175" s="64"/>
      <c r="H175" s="64"/>
      <c r="I175" s="55"/>
      <c r="J175" s="476"/>
      <c r="K175" s="488">
        <v>0</v>
      </c>
      <c r="L175" s="52">
        <v>2000</v>
      </c>
      <c r="M175" s="52">
        <v>1330.38</v>
      </c>
      <c r="N175" s="53">
        <v>0</v>
      </c>
      <c r="O175" s="96">
        <v>669.62</v>
      </c>
      <c r="P175" s="475"/>
      <c r="Q175" s="64"/>
      <c r="R175" s="64"/>
      <c r="S175" s="64"/>
      <c r="T175" s="55"/>
      <c r="U175" s="565"/>
      <c r="V175" s="523"/>
    </row>
    <row r="176" spans="1:22" s="6" customFormat="1" outlineLevel="2" x14ac:dyDescent="0.2">
      <c r="A176" s="448" t="s">
        <v>737</v>
      </c>
      <c r="B176" s="3" t="s">
        <v>260</v>
      </c>
      <c r="C176" s="3" t="s">
        <v>257</v>
      </c>
      <c r="D176" s="3" t="s">
        <v>29</v>
      </c>
      <c r="E176" s="3" t="s">
        <v>147</v>
      </c>
      <c r="F176" s="475"/>
      <c r="G176" s="64"/>
      <c r="H176" s="64"/>
      <c r="I176" s="55"/>
      <c r="J176" s="476"/>
      <c r="K176" s="488">
        <v>0</v>
      </c>
      <c r="L176" s="52">
        <v>27973</v>
      </c>
      <c r="M176" s="52">
        <v>27748</v>
      </c>
      <c r="N176" s="53">
        <v>0</v>
      </c>
      <c r="O176" s="96">
        <f>27973-27748</f>
        <v>225</v>
      </c>
      <c r="P176" s="475"/>
      <c r="Q176" s="64"/>
      <c r="R176" s="64"/>
      <c r="S176" s="64"/>
      <c r="T176" s="55"/>
      <c r="U176" s="565"/>
      <c r="V176" s="523"/>
    </row>
    <row r="177" spans="1:22" s="6" customFormat="1" outlineLevel="2" x14ac:dyDescent="0.2">
      <c r="A177" s="448" t="s">
        <v>737</v>
      </c>
      <c r="B177" s="3" t="s">
        <v>262</v>
      </c>
      <c r="C177" s="3" t="s">
        <v>257</v>
      </c>
      <c r="D177" s="3" t="s">
        <v>33</v>
      </c>
      <c r="E177" s="3" t="s">
        <v>147</v>
      </c>
      <c r="F177" s="475"/>
      <c r="G177" s="64"/>
      <c r="H177" s="64"/>
      <c r="I177" s="55"/>
      <c r="J177" s="476"/>
      <c r="K177" s="488">
        <v>0</v>
      </c>
      <c r="L177" s="52">
        <v>0</v>
      </c>
      <c r="M177" s="52">
        <v>0</v>
      </c>
      <c r="N177" s="53"/>
      <c r="O177" s="96">
        <v>0</v>
      </c>
      <c r="P177" s="475"/>
      <c r="Q177" s="64"/>
      <c r="R177" s="64"/>
      <c r="S177" s="64"/>
      <c r="T177" s="55"/>
      <c r="U177" s="565"/>
      <c r="V177" s="523"/>
    </row>
    <row r="178" spans="1:22" s="6" customFormat="1" outlineLevel="1" x14ac:dyDescent="0.2">
      <c r="A178" s="366" t="s">
        <v>760</v>
      </c>
      <c r="B178" s="3"/>
      <c r="C178" s="3"/>
      <c r="D178" s="3"/>
      <c r="E178" s="3"/>
      <c r="F178" s="482">
        <f>SUBTOTAL(9,F158:F177)</f>
        <v>5768</v>
      </c>
      <c r="G178" s="10">
        <f>SUBTOTAL(9,G158:G177)</f>
        <v>8048</v>
      </c>
      <c r="H178" s="10">
        <f>SUBTOTAL(9,H158:H177)</f>
        <v>8046.8</v>
      </c>
      <c r="I178" s="16">
        <f t="shared" si="7"/>
        <v>1.3950762829403607</v>
      </c>
      <c r="J178" s="99">
        <f>SUBTOTAL(9,J158:J177)</f>
        <v>1.2000000000000002</v>
      </c>
      <c r="K178" s="477">
        <f>SUBTOTAL(9,K158:K177)</f>
        <v>5768</v>
      </c>
      <c r="L178" s="9">
        <f>SUBTOTAL(9,L158:L177)</f>
        <v>37768</v>
      </c>
      <c r="M178" s="9">
        <f>SUBTOTAL(9,M158:M177)</f>
        <v>34213.79</v>
      </c>
      <c r="N178" s="16">
        <f t="shared" si="8"/>
        <v>5.9316556865464634</v>
      </c>
      <c r="O178" s="478">
        <f>SUBTOTAL(9,O158:O177)</f>
        <v>3554.21</v>
      </c>
      <c r="P178" s="482">
        <f>SUBTOTAL(9,P158:P177)</f>
        <v>5768</v>
      </c>
      <c r="Q178" s="10">
        <f>SUBTOTAL(9,Q158:Q177)</f>
        <v>5711</v>
      </c>
      <c r="R178" s="10">
        <f>SUBTOTAL(9,R158:R177)</f>
        <v>2947.2799999999997</v>
      </c>
      <c r="S178" s="10">
        <f>SUBTOTAL(9,S158:S177)</f>
        <v>0</v>
      </c>
      <c r="T178" s="16">
        <f t="shared" si="9"/>
        <v>0.51097087378640771</v>
      </c>
      <c r="U178" s="568">
        <f>SUBTOTAL(9,U158:U177)</f>
        <v>2763.7200000000003</v>
      </c>
      <c r="V178" s="523"/>
    </row>
    <row r="179" spans="1:22" s="6" customFormat="1" outlineLevel="2" x14ac:dyDescent="0.2">
      <c r="A179" s="448" t="s">
        <v>751</v>
      </c>
      <c r="B179" s="3" t="s">
        <v>641</v>
      </c>
      <c r="C179" s="3" t="s">
        <v>637</v>
      </c>
      <c r="D179" s="3" t="s">
        <v>221</v>
      </c>
      <c r="E179" s="3" t="s">
        <v>638</v>
      </c>
      <c r="F179" s="473">
        <v>36000</v>
      </c>
      <c r="G179" s="54">
        <v>42000</v>
      </c>
      <c r="H179" s="54">
        <v>46874.01</v>
      </c>
      <c r="I179" s="55">
        <f t="shared" si="7"/>
        <v>1.3020558333333334</v>
      </c>
      <c r="J179" s="474">
        <v>-4874.01</v>
      </c>
      <c r="K179" s="488">
        <v>36000</v>
      </c>
      <c r="L179" s="52">
        <v>13794</v>
      </c>
      <c r="M179" s="52">
        <v>13793.5</v>
      </c>
      <c r="N179" s="53">
        <f t="shared" si="8"/>
        <v>0.38315277777777779</v>
      </c>
      <c r="O179" s="96">
        <v>0.5</v>
      </c>
      <c r="P179" s="473">
        <v>36000</v>
      </c>
      <c r="Q179" s="54">
        <v>36000</v>
      </c>
      <c r="R179" s="54">
        <v>11506.63</v>
      </c>
      <c r="S179" s="54">
        <v>0</v>
      </c>
      <c r="T179" s="55">
        <f t="shared" si="9"/>
        <v>0.31962861111111107</v>
      </c>
      <c r="U179" s="564">
        <v>24493.37</v>
      </c>
      <c r="V179" s="523"/>
    </row>
    <row r="180" spans="1:22" s="6" customFormat="1" outlineLevel="2" x14ac:dyDescent="0.2">
      <c r="A180" s="448" t="s">
        <v>751</v>
      </c>
      <c r="B180" s="3" t="s">
        <v>642</v>
      </c>
      <c r="C180" s="3" t="s">
        <v>637</v>
      </c>
      <c r="D180" s="3" t="s">
        <v>221</v>
      </c>
      <c r="E180" s="3" t="s">
        <v>638</v>
      </c>
      <c r="F180" s="473">
        <v>32576</v>
      </c>
      <c r="G180" s="54">
        <v>0</v>
      </c>
      <c r="H180" s="54">
        <v>0</v>
      </c>
      <c r="I180" s="55">
        <f t="shared" si="7"/>
        <v>0</v>
      </c>
      <c r="J180" s="474">
        <v>0</v>
      </c>
      <c r="K180" s="488">
        <v>32576</v>
      </c>
      <c r="L180" s="52">
        <v>0</v>
      </c>
      <c r="M180" s="52">
        <v>0</v>
      </c>
      <c r="N180" s="53">
        <f t="shared" si="8"/>
        <v>0</v>
      </c>
      <c r="O180" s="96">
        <v>0</v>
      </c>
      <c r="P180" s="473">
        <v>32576</v>
      </c>
      <c r="Q180" s="54">
        <v>32576</v>
      </c>
      <c r="R180" s="54">
        <v>0</v>
      </c>
      <c r="S180" s="54">
        <v>0</v>
      </c>
      <c r="T180" s="55">
        <f t="shared" si="9"/>
        <v>0</v>
      </c>
      <c r="U180" s="564">
        <v>32576</v>
      </c>
      <c r="V180" s="523"/>
    </row>
    <row r="181" spans="1:22" s="6" customFormat="1" outlineLevel="2" x14ac:dyDescent="0.2">
      <c r="A181" s="448" t="s">
        <v>751</v>
      </c>
      <c r="B181" s="3" t="s">
        <v>636</v>
      </c>
      <c r="C181" s="3" t="s">
        <v>637</v>
      </c>
      <c r="D181" s="3" t="s">
        <v>221</v>
      </c>
      <c r="E181" s="3" t="s">
        <v>638</v>
      </c>
      <c r="F181" s="473">
        <v>48000</v>
      </c>
      <c r="G181" s="54">
        <v>103000</v>
      </c>
      <c r="H181" s="54">
        <v>115092.48</v>
      </c>
      <c r="I181" s="55">
        <f t="shared" si="7"/>
        <v>2.3977599999999999</v>
      </c>
      <c r="J181" s="474">
        <v>-12092.48</v>
      </c>
      <c r="K181" s="488">
        <v>48000</v>
      </c>
      <c r="L181" s="52">
        <v>46769</v>
      </c>
      <c r="M181" s="52">
        <v>46769.25</v>
      </c>
      <c r="N181" s="53">
        <f t="shared" si="8"/>
        <v>0.97435937500000003</v>
      </c>
      <c r="O181" s="96">
        <v>-0.25</v>
      </c>
      <c r="P181" s="473">
        <v>48000</v>
      </c>
      <c r="Q181" s="54">
        <v>48000</v>
      </c>
      <c r="R181" s="54">
        <v>34900.14</v>
      </c>
      <c r="S181" s="54">
        <v>0</v>
      </c>
      <c r="T181" s="55">
        <f t="shared" si="9"/>
        <v>0.72708624999999993</v>
      </c>
      <c r="U181" s="564">
        <v>13099.86</v>
      </c>
      <c r="V181" s="523"/>
    </row>
    <row r="182" spans="1:22" s="6" customFormat="1" outlineLevel="2" x14ac:dyDescent="0.2">
      <c r="A182" s="448" t="s">
        <v>751</v>
      </c>
      <c r="B182" s="3" t="s">
        <v>643</v>
      </c>
      <c r="C182" s="3" t="s">
        <v>637</v>
      </c>
      <c r="D182" s="3" t="s">
        <v>362</v>
      </c>
      <c r="E182" s="3" t="s">
        <v>638</v>
      </c>
      <c r="F182" s="479">
        <v>18000</v>
      </c>
      <c r="G182" s="56">
        <v>28900</v>
      </c>
      <c r="H182" s="56">
        <v>24886.880000000001</v>
      </c>
      <c r="I182" s="55">
        <f t="shared" si="7"/>
        <v>1.3826044444444445</v>
      </c>
      <c r="J182" s="474">
        <v>4013.12</v>
      </c>
      <c r="K182" s="490">
        <v>18000</v>
      </c>
      <c r="L182" s="121">
        <v>10940</v>
      </c>
      <c r="M182" s="121">
        <v>11081.34</v>
      </c>
      <c r="N182" s="53">
        <f t="shared" si="8"/>
        <v>0.61563000000000001</v>
      </c>
      <c r="O182" s="96">
        <v>-141.34</v>
      </c>
      <c r="P182" s="479">
        <v>18000</v>
      </c>
      <c r="Q182" s="56">
        <v>18000</v>
      </c>
      <c r="R182" s="56">
        <v>7717.76</v>
      </c>
      <c r="S182" s="56">
        <v>0</v>
      </c>
      <c r="T182" s="55">
        <f t="shared" si="9"/>
        <v>0.42876444444444445</v>
      </c>
      <c r="U182" s="564">
        <v>10282.24</v>
      </c>
      <c r="V182" s="523"/>
    </row>
    <row r="183" spans="1:22" s="6" customFormat="1" outlineLevel="2" x14ac:dyDescent="0.2">
      <c r="A183" s="448" t="s">
        <v>751</v>
      </c>
      <c r="B183" s="3" t="s">
        <v>644</v>
      </c>
      <c r="C183" s="3" t="s">
        <v>637</v>
      </c>
      <c r="D183" s="3" t="s">
        <v>58</v>
      </c>
      <c r="E183" s="3" t="s">
        <v>638</v>
      </c>
      <c r="F183" s="479">
        <v>0</v>
      </c>
      <c r="G183" s="56">
        <v>0</v>
      </c>
      <c r="H183" s="56">
        <v>1155</v>
      </c>
      <c r="I183" s="55"/>
      <c r="J183" s="474">
        <v>-1155</v>
      </c>
      <c r="K183" s="490">
        <v>0</v>
      </c>
      <c r="L183" s="121">
        <v>0</v>
      </c>
      <c r="M183" s="121">
        <v>0</v>
      </c>
      <c r="N183" s="53"/>
      <c r="O183" s="96">
        <v>0</v>
      </c>
      <c r="P183" s="480"/>
      <c r="Q183" s="440"/>
      <c r="R183" s="440"/>
      <c r="S183" s="440"/>
      <c r="T183" s="55"/>
      <c r="U183" s="567"/>
      <c r="V183" s="523"/>
    </row>
    <row r="184" spans="1:22" s="6" customFormat="1" outlineLevel="2" x14ac:dyDescent="0.2">
      <c r="A184" s="448" t="s">
        <v>751</v>
      </c>
      <c r="B184" s="3" t="s">
        <v>639</v>
      </c>
      <c r="C184" s="3" t="s">
        <v>637</v>
      </c>
      <c r="D184" s="3" t="s">
        <v>17</v>
      </c>
      <c r="E184" s="3" t="s">
        <v>638</v>
      </c>
      <c r="F184" s="473">
        <v>1400</v>
      </c>
      <c r="G184" s="54">
        <v>7625</v>
      </c>
      <c r="H184" s="54">
        <v>128</v>
      </c>
      <c r="I184" s="55">
        <f t="shared" si="7"/>
        <v>9.1428571428571428E-2</v>
      </c>
      <c r="J184" s="474">
        <v>7497</v>
      </c>
      <c r="K184" s="488">
        <v>1400</v>
      </c>
      <c r="L184" s="52">
        <v>1400</v>
      </c>
      <c r="M184" s="52">
        <v>127</v>
      </c>
      <c r="N184" s="53">
        <f t="shared" si="8"/>
        <v>9.071428571428572E-2</v>
      </c>
      <c r="O184" s="96">
        <f>1400-127</f>
        <v>1273</v>
      </c>
      <c r="P184" s="473">
        <v>1400</v>
      </c>
      <c r="Q184" s="54">
        <v>0</v>
      </c>
      <c r="R184" s="54">
        <v>0</v>
      </c>
      <c r="S184" s="54">
        <v>0</v>
      </c>
      <c r="T184" s="55">
        <f t="shared" si="9"/>
        <v>0</v>
      </c>
      <c r="U184" s="564">
        <v>0</v>
      </c>
      <c r="V184" s="523"/>
    </row>
    <row r="185" spans="1:22" s="6" customFormat="1" outlineLevel="2" x14ac:dyDescent="0.2">
      <c r="A185" s="448" t="s">
        <v>751</v>
      </c>
      <c r="B185" s="3" t="s">
        <v>640</v>
      </c>
      <c r="C185" s="3" t="s">
        <v>637</v>
      </c>
      <c r="D185" s="3" t="s">
        <v>246</v>
      </c>
      <c r="E185" s="3" t="s">
        <v>638</v>
      </c>
      <c r="F185" s="473">
        <v>1200</v>
      </c>
      <c r="G185" s="54">
        <v>1200</v>
      </c>
      <c r="H185" s="54">
        <v>223.2</v>
      </c>
      <c r="I185" s="55">
        <f t="shared" si="7"/>
        <v>0.186</v>
      </c>
      <c r="J185" s="474">
        <v>976.8</v>
      </c>
      <c r="K185" s="488">
        <v>1200</v>
      </c>
      <c r="L185" s="52">
        <v>0</v>
      </c>
      <c r="M185" s="52">
        <v>0</v>
      </c>
      <c r="N185" s="53">
        <f t="shared" si="8"/>
        <v>0</v>
      </c>
      <c r="O185" s="96">
        <v>0</v>
      </c>
      <c r="P185" s="473">
        <v>0</v>
      </c>
      <c r="Q185" s="54">
        <v>1200</v>
      </c>
      <c r="R185" s="54">
        <v>10</v>
      </c>
      <c r="S185" s="54">
        <v>0</v>
      </c>
      <c r="T185" s="55">
        <v>0</v>
      </c>
      <c r="U185" s="564">
        <v>1190</v>
      </c>
      <c r="V185" s="523"/>
    </row>
    <row r="186" spans="1:22" s="6" customFormat="1" outlineLevel="2" x14ac:dyDescent="0.2">
      <c r="A186" s="448" t="s">
        <v>751</v>
      </c>
      <c r="B186" s="3" t="s">
        <v>645</v>
      </c>
      <c r="C186" s="3" t="s">
        <v>637</v>
      </c>
      <c r="D186" s="3" t="s">
        <v>246</v>
      </c>
      <c r="E186" s="3" t="s">
        <v>638</v>
      </c>
      <c r="F186" s="475"/>
      <c r="G186" s="64"/>
      <c r="H186" s="64"/>
      <c r="I186" s="55"/>
      <c r="J186" s="476"/>
      <c r="K186" s="489"/>
      <c r="L186" s="65"/>
      <c r="M186" s="65"/>
      <c r="N186" s="53"/>
      <c r="O186" s="97"/>
      <c r="P186" s="473">
        <v>1200</v>
      </c>
      <c r="Q186" s="54">
        <v>0</v>
      </c>
      <c r="R186" s="54">
        <v>0</v>
      </c>
      <c r="S186" s="54">
        <v>0</v>
      </c>
      <c r="T186" s="55">
        <f t="shared" si="9"/>
        <v>0</v>
      </c>
      <c r="U186" s="564">
        <v>0</v>
      </c>
      <c r="V186" s="523"/>
    </row>
    <row r="187" spans="1:22" s="6" customFormat="1" outlineLevel="2" x14ac:dyDescent="0.2">
      <c r="A187" s="448" t="s">
        <v>751</v>
      </c>
      <c r="B187" s="3" t="s">
        <v>646</v>
      </c>
      <c r="C187" s="3" t="s">
        <v>637</v>
      </c>
      <c r="D187" s="3" t="s">
        <v>19</v>
      </c>
      <c r="E187" s="3" t="s">
        <v>638</v>
      </c>
      <c r="F187" s="473">
        <v>824</v>
      </c>
      <c r="G187" s="54">
        <v>10000</v>
      </c>
      <c r="H187" s="54">
        <v>1601.01</v>
      </c>
      <c r="I187" s="55">
        <f t="shared" si="7"/>
        <v>1.9429733009708738</v>
      </c>
      <c r="J187" s="474">
        <v>8398.99</v>
      </c>
      <c r="K187" s="488">
        <v>824</v>
      </c>
      <c r="L187" s="52">
        <v>824</v>
      </c>
      <c r="M187" s="52">
        <v>224.6</v>
      </c>
      <c r="N187" s="53">
        <f t="shared" si="8"/>
        <v>0.27257281553398055</v>
      </c>
      <c r="O187" s="96">
        <v>599.4</v>
      </c>
      <c r="P187" s="473">
        <v>824</v>
      </c>
      <c r="Q187" s="54">
        <v>824</v>
      </c>
      <c r="R187" s="54">
        <v>0</v>
      </c>
      <c r="S187" s="54">
        <v>0</v>
      </c>
      <c r="T187" s="55">
        <f t="shared" si="9"/>
        <v>0</v>
      </c>
      <c r="U187" s="564">
        <v>824</v>
      </c>
      <c r="V187" s="523"/>
    </row>
    <row r="188" spans="1:22" s="6" customFormat="1" outlineLevel="2" x14ac:dyDescent="0.2">
      <c r="A188" s="448" t="s">
        <v>751</v>
      </c>
      <c r="B188" s="3" t="s">
        <v>647</v>
      </c>
      <c r="C188" s="3" t="s">
        <v>637</v>
      </c>
      <c r="D188" s="3" t="s">
        <v>23</v>
      </c>
      <c r="E188" s="3" t="s">
        <v>638</v>
      </c>
      <c r="F188" s="473">
        <v>0</v>
      </c>
      <c r="G188" s="54">
        <v>1000</v>
      </c>
      <c r="H188" s="54">
        <v>0</v>
      </c>
      <c r="I188" s="55"/>
      <c r="J188" s="474">
        <v>1000</v>
      </c>
      <c r="K188" s="489"/>
      <c r="L188" s="65"/>
      <c r="M188" s="65"/>
      <c r="N188" s="53"/>
      <c r="O188" s="97"/>
      <c r="P188" s="475"/>
      <c r="Q188" s="64"/>
      <c r="R188" s="64"/>
      <c r="S188" s="64"/>
      <c r="T188" s="55"/>
      <c r="U188" s="565"/>
      <c r="V188" s="523"/>
    </row>
    <row r="189" spans="1:22" s="6" customFormat="1" outlineLevel="2" x14ac:dyDescent="0.2">
      <c r="A189" s="448" t="s">
        <v>751</v>
      </c>
      <c r="B189" s="3" t="s">
        <v>648</v>
      </c>
      <c r="C189" s="3" t="s">
        <v>637</v>
      </c>
      <c r="D189" s="3" t="s">
        <v>29</v>
      </c>
      <c r="E189" s="3" t="s">
        <v>638</v>
      </c>
      <c r="F189" s="475"/>
      <c r="G189" s="64"/>
      <c r="H189" s="64"/>
      <c r="I189" s="55"/>
      <c r="J189" s="476"/>
      <c r="K189" s="488">
        <v>22000</v>
      </c>
      <c r="L189" s="52">
        <v>22000</v>
      </c>
      <c r="M189" s="52">
        <v>17944.740000000002</v>
      </c>
      <c r="N189" s="53">
        <f t="shared" si="8"/>
        <v>0.81567000000000012</v>
      </c>
      <c r="O189" s="96">
        <v>4055.26</v>
      </c>
      <c r="P189" s="473">
        <v>22000</v>
      </c>
      <c r="Q189" s="54">
        <v>22000</v>
      </c>
      <c r="R189" s="54">
        <v>0</v>
      </c>
      <c r="S189" s="54">
        <v>0</v>
      </c>
      <c r="T189" s="55">
        <f t="shared" si="9"/>
        <v>0</v>
      </c>
      <c r="U189" s="564">
        <v>22000</v>
      </c>
      <c r="V189" s="523"/>
    </row>
    <row r="190" spans="1:22" s="6" customFormat="1" outlineLevel="2" x14ac:dyDescent="0.2">
      <c r="A190" s="448" t="s">
        <v>751</v>
      </c>
      <c r="B190" s="3" t="s">
        <v>649</v>
      </c>
      <c r="C190" s="3" t="s">
        <v>637</v>
      </c>
      <c r="D190" s="3" t="s">
        <v>51</v>
      </c>
      <c r="E190" s="3" t="s">
        <v>638</v>
      </c>
      <c r="F190" s="473">
        <v>22000</v>
      </c>
      <c r="G190" s="54">
        <v>0</v>
      </c>
      <c r="H190" s="54">
        <v>0</v>
      </c>
      <c r="I190" s="55">
        <f t="shared" si="7"/>
        <v>0</v>
      </c>
      <c r="J190" s="474">
        <v>0</v>
      </c>
      <c r="K190" s="488">
        <v>0</v>
      </c>
      <c r="L190" s="52">
        <v>1157</v>
      </c>
      <c r="M190" s="52">
        <v>1156.5999999999999</v>
      </c>
      <c r="N190" s="53">
        <v>0</v>
      </c>
      <c r="O190" s="96">
        <f>1157-1156.6</f>
        <v>0.40000000000009095</v>
      </c>
      <c r="P190" s="475"/>
      <c r="Q190" s="64"/>
      <c r="R190" s="64"/>
      <c r="S190" s="64"/>
      <c r="T190" s="55"/>
      <c r="U190" s="565"/>
      <c r="V190" s="523"/>
    </row>
    <row r="191" spans="1:22" s="6" customFormat="1" outlineLevel="2" x14ac:dyDescent="0.2">
      <c r="A191" s="448" t="s">
        <v>751</v>
      </c>
      <c r="B191" s="3" t="s">
        <v>708</v>
      </c>
      <c r="C191" s="3" t="s">
        <v>709</v>
      </c>
      <c r="D191" s="3" t="s">
        <v>19</v>
      </c>
      <c r="E191" s="3" t="s">
        <v>710</v>
      </c>
      <c r="F191" s="473">
        <v>0</v>
      </c>
      <c r="G191" s="54">
        <v>13</v>
      </c>
      <c r="H191" s="54">
        <v>12.2</v>
      </c>
      <c r="I191" s="55"/>
      <c r="J191" s="474">
        <v>0.8</v>
      </c>
      <c r="K191" s="489"/>
      <c r="L191" s="65"/>
      <c r="M191" s="65"/>
      <c r="N191" s="53"/>
      <c r="O191" s="97"/>
      <c r="P191" s="475"/>
      <c r="Q191" s="64"/>
      <c r="R191" s="64"/>
      <c r="S191" s="64"/>
      <c r="T191" s="55"/>
      <c r="U191" s="565"/>
      <c r="V191" s="523"/>
    </row>
    <row r="192" spans="1:22" s="6" customFormat="1" outlineLevel="2" x14ac:dyDescent="0.2">
      <c r="A192" s="448" t="s">
        <v>751</v>
      </c>
      <c r="B192" s="3" t="s">
        <v>711</v>
      </c>
      <c r="C192" s="3" t="s">
        <v>709</v>
      </c>
      <c r="D192" s="3" t="s">
        <v>31</v>
      </c>
      <c r="E192" s="3" t="s">
        <v>710</v>
      </c>
      <c r="F192" s="473">
        <v>499</v>
      </c>
      <c r="G192" s="54">
        <v>499</v>
      </c>
      <c r="H192" s="54">
        <v>423.5</v>
      </c>
      <c r="I192" s="55">
        <f t="shared" si="7"/>
        <v>0.84869739478957917</v>
      </c>
      <c r="J192" s="474">
        <v>75.5</v>
      </c>
      <c r="K192" s="489"/>
      <c r="L192" s="65"/>
      <c r="M192" s="65"/>
      <c r="N192" s="53"/>
      <c r="O192" s="97"/>
      <c r="P192" s="475"/>
      <c r="Q192" s="64"/>
      <c r="R192" s="64"/>
      <c r="S192" s="64"/>
      <c r="T192" s="55"/>
      <c r="U192" s="565"/>
      <c r="V192" s="523"/>
    </row>
    <row r="193" spans="1:22" s="6" customFormat="1" outlineLevel="1" x14ac:dyDescent="0.2">
      <c r="A193" s="366" t="s">
        <v>761</v>
      </c>
      <c r="B193" s="3"/>
      <c r="C193" s="3"/>
      <c r="D193" s="3"/>
      <c r="E193" s="3"/>
      <c r="F193" s="477">
        <f>SUBTOTAL(9,F179:F192)</f>
        <v>160499</v>
      </c>
      <c r="G193" s="9">
        <f>SUBTOTAL(9,G179:G192)</f>
        <v>194237</v>
      </c>
      <c r="H193" s="9">
        <f>SUBTOTAL(9,H179:H192)</f>
        <v>190396.28000000003</v>
      </c>
      <c r="I193" s="16">
        <f t="shared" si="7"/>
        <v>1.1862770484551308</v>
      </c>
      <c r="J193" s="478">
        <f>SUBTOTAL(9,J179:J192)</f>
        <v>3840.7200000000012</v>
      </c>
      <c r="K193" s="482">
        <f>SUBTOTAL(9,K179:K192)</f>
        <v>160000</v>
      </c>
      <c r="L193" s="10">
        <f>SUBTOTAL(9,L179:L192)</f>
        <v>96884</v>
      </c>
      <c r="M193" s="10">
        <f>SUBTOTAL(9,M179:M192)</f>
        <v>91097.030000000013</v>
      </c>
      <c r="N193" s="16">
        <f t="shared" si="8"/>
        <v>0.56935643750000009</v>
      </c>
      <c r="O193" s="99">
        <f>SUBTOTAL(9,O179:O192)</f>
        <v>5786.9699999999993</v>
      </c>
      <c r="P193" s="482">
        <f>SUBTOTAL(9,P179:P192)</f>
        <v>160000</v>
      </c>
      <c r="Q193" s="10">
        <f>SUBTOTAL(9,Q179:Q192)</f>
        <v>158600</v>
      </c>
      <c r="R193" s="10">
        <f>SUBTOTAL(9,R179:R192)</f>
        <v>54134.53</v>
      </c>
      <c r="S193" s="10">
        <f>SUBTOTAL(9,S179:S192)</f>
        <v>0</v>
      </c>
      <c r="T193" s="16">
        <f t="shared" si="9"/>
        <v>0.33834081249999998</v>
      </c>
      <c r="U193" s="568">
        <f>SUBTOTAL(9,U179:U192)</f>
        <v>104465.47</v>
      </c>
      <c r="V193" s="523"/>
    </row>
    <row r="194" spans="1:22" s="6" customFormat="1" outlineLevel="2" x14ac:dyDescent="0.2">
      <c r="A194" s="448" t="s">
        <v>750</v>
      </c>
      <c r="B194" s="3" t="s">
        <v>611</v>
      </c>
      <c r="C194" s="3" t="s">
        <v>609</v>
      </c>
      <c r="D194" s="3" t="s">
        <v>58</v>
      </c>
      <c r="E194" s="3" t="s">
        <v>609</v>
      </c>
      <c r="F194" s="479">
        <v>0</v>
      </c>
      <c r="G194" s="56">
        <v>5500</v>
      </c>
      <c r="H194" s="56">
        <v>5500</v>
      </c>
      <c r="I194" s="55"/>
      <c r="J194" s="474">
        <v>0</v>
      </c>
      <c r="K194" s="490">
        <v>7300</v>
      </c>
      <c r="L194" s="121">
        <v>1500</v>
      </c>
      <c r="M194" s="121">
        <v>1500</v>
      </c>
      <c r="N194" s="53">
        <f t="shared" si="8"/>
        <v>0.20547945205479451</v>
      </c>
      <c r="O194" s="96">
        <v>0</v>
      </c>
      <c r="P194" s="479">
        <v>7300</v>
      </c>
      <c r="Q194" s="56">
        <v>0</v>
      </c>
      <c r="R194" s="56">
        <v>0</v>
      </c>
      <c r="S194" s="56">
        <v>0</v>
      </c>
      <c r="T194" s="55">
        <f t="shared" si="9"/>
        <v>0</v>
      </c>
      <c r="U194" s="564">
        <v>0</v>
      </c>
      <c r="V194" s="523"/>
    </row>
    <row r="195" spans="1:22" s="6" customFormat="1" outlineLevel="2" x14ac:dyDescent="0.2">
      <c r="A195" s="448" t="s">
        <v>750</v>
      </c>
      <c r="B195" s="3" t="s">
        <v>612</v>
      </c>
      <c r="C195" s="3" t="s">
        <v>609</v>
      </c>
      <c r="D195" s="3" t="s">
        <v>52</v>
      </c>
      <c r="E195" s="3" t="s">
        <v>609</v>
      </c>
      <c r="F195" s="473">
        <v>0</v>
      </c>
      <c r="G195" s="54">
        <v>1074</v>
      </c>
      <c r="H195" s="54">
        <v>1073.28</v>
      </c>
      <c r="I195" s="55"/>
      <c r="J195" s="474">
        <v>0.72</v>
      </c>
      <c r="K195" s="488">
        <v>1000</v>
      </c>
      <c r="L195" s="52">
        <v>1000</v>
      </c>
      <c r="M195" s="52">
        <v>939.12</v>
      </c>
      <c r="N195" s="53">
        <f t="shared" si="8"/>
        <v>0.93911999999999995</v>
      </c>
      <c r="O195" s="96">
        <v>60.88</v>
      </c>
      <c r="P195" s="473">
        <v>1000</v>
      </c>
      <c r="Q195" s="54">
        <v>1000</v>
      </c>
      <c r="R195" s="54">
        <v>0</v>
      </c>
      <c r="S195" s="54">
        <v>0</v>
      </c>
      <c r="T195" s="55">
        <f t="shared" si="9"/>
        <v>0</v>
      </c>
      <c r="U195" s="564">
        <v>1000</v>
      </c>
      <c r="V195" s="523"/>
    </row>
    <row r="196" spans="1:22" s="6" customFormat="1" outlineLevel="2" x14ac:dyDescent="0.2">
      <c r="A196" s="448" t="s">
        <v>750</v>
      </c>
      <c r="B196" s="3" t="s">
        <v>613</v>
      </c>
      <c r="C196" s="3" t="s">
        <v>609</v>
      </c>
      <c r="D196" s="3" t="s">
        <v>9</v>
      </c>
      <c r="E196" s="3" t="s">
        <v>609</v>
      </c>
      <c r="F196" s="473">
        <v>7230</v>
      </c>
      <c r="G196" s="54">
        <v>0</v>
      </c>
      <c r="H196" s="54">
        <v>0</v>
      </c>
      <c r="I196" s="55">
        <f t="shared" ref="I196:I258" si="10">+H196/F196</f>
        <v>0</v>
      </c>
      <c r="J196" s="474">
        <v>0</v>
      </c>
      <c r="K196" s="488">
        <v>11600</v>
      </c>
      <c r="L196" s="52">
        <v>5300</v>
      </c>
      <c r="M196" s="52">
        <v>5300</v>
      </c>
      <c r="N196" s="53">
        <f t="shared" ref="N196:N258" si="11">+M196/K196</f>
        <v>0.45689655172413796</v>
      </c>
      <c r="O196" s="96">
        <v>0</v>
      </c>
      <c r="P196" s="473">
        <v>11600</v>
      </c>
      <c r="Q196" s="54">
        <v>9500</v>
      </c>
      <c r="R196" s="54">
        <v>0</v>
      </c>
      <c r="S196" s="54">
        <v>0</v>
      </c>
      <c r="T196" s="55">
        <f t="shared" ref="T196:T258" si="12">+R196/P196</f>
        <v>0</v>
      </c>
      <c r="U196" s="564">
        <v>9500</v>
      </c>
      <c r="V196" s="523"/>
    </row>
    <row r="197" spans="1:22" s="6" customFormat="1" outlineLevel="2" x14ac:dyDescent="0.2">
      <c r="A197" s="448" t="s">
        <v>750</v>
      </c>
      <c r="B197" s="3" t="s">
        <v>610</v>
      </c>
      <c r="C197" s="3" t="s">
        <v>609</v>
      </c>
      <c r="D197" s="3" t="s">
        <v>17</v>
      </c>
      <c r="E197" s="3" t="s">
        <v>609</v>
      </c>
      <c r="F197" s="475"/>
      <c r="G197" s="64"/>
      <c r="H197" s="64"/>
      <c r="I197" s="55"/>
      <c r="J197" s="476"/>
      <c r="K197" s="488">
        <v>14000</v>
      </c>
      <c r="L197" s="52">
        <v>0</v>
      </c>
      <c r="M197" s="52">
        <v>0</v>
      </c>
      <c r="N197" s="53">
        <f t="shared" si="11"/>
        <v>0</v>
      </c>
      <c r="O197" s="96">
        <v>0</v>
      </c>
      <c r="P197" s="475"/>
      <c r="Q197" s="64"/>
      <c r="R197" s="64"/>
      <c r="S197" s="64"/>
      <c r="T197" s="55"/>
      <c r="U197" s="565"/>
      <c r="V197" s="523"/>
    </row>
    <row r="198" spans="1:22" s="6" customFormat="1" outlineLevel="2" x14ac:dyDescent="0.2">
      <c r="A198" s="448" t="s">
        <v>750</v>
      </c>
      <c r="B198" s="3" t="s">
        <v>614</v>
      </c>
      <c r="C198" s="3" t="s">
        <v>609</v>
      </c>
      <c r="D198" s="3" t="s">
        <v>17</v>
      </c>
      <c r="E198" s="3" t="s">
        <v>609</v>
      </c>
      <c r="F198" s="473">
        <v>0</v>
      </c>
      <c r="G198" s="54">
        <v>10638</v>
      </c>
      <c r="H198" s="54">
        <v>8651.08</v>
      </c>
      <c r="I198" s="55"/>
      <c r="J198" s="474">
        <v>1986.92</v>
      </c>
      <c r="K198" s="488">
        <v>0</v>
      </c>
      <c r="L198" s="52">
        <v>13830</v>
      </c>
      <c r="M198" s="52">
        <f>6079.67+2432.27</f>
        <v>8511.94</v>
      </c>
      <c r="N198" s="53">
        <v>0</v>
      </c>
      <c r="O198" s="96">
        <f>11397.73-6079.67</f>
        <v>5318.0599999999995</v>
      </c>
      <c r="P198" s="473">
        <v>0</v>
      </c>
      <c r="Q198" s="54">
        <v>0</v>
      </c>
      <c r="R198" s="54">
        <v>0</v>
      </c>
      <c r="S198" s="54">
        <v>198.84</v>
      </c>
      <c r="T198" s="55"/>
      <c r="U198" s="564">
        <v>-198.84</v>
      </c>
      <c r="V198" s="523"/>
    </row>
    <row r="199" spans="1:22" s="6" customFormat="1" outlineLevel="2" x14ac:dyDescent="0.2">
      <c r="A199" s="448" t="s">
        <v>750</v>
      </c>
      <c r="B199" s="3" t="s">
        <v>615</v>
      </c>
      <c r="C199" s="3" t="s">
        <v>609</v>
      </c>
      <c r="D199" s="3" t="s">
        <v>19</v>
      </c>
      <c r="E199" s="3" t="s">
        <v>609</v>
      </c>
      <c r="F199" s="473">
        <v>6422</v>
      </c>
      <c r="G199" s="54">
        <v>43455</v>
      </c>
      <c r="H199" s="54">
        <v>37878.620000000003</v>
      </c>
      <c r="I199" s="55">
        <f t="shared" si="10"/>
        <v>5.8982591093117414</v>
      </c>
      <c r="J199" s="474">
        <v>5576.38</v>
      </c>
      <c r="K199" s="488">
        <v>19402</v>
      </c>
      <c r="L199" s="52">
        <v>18998</v>
      </c>
      <c r="M199" s="52">
        <v>17299.810000000001</v>
      </c>
      <c r="N199" s="53">
        <f t="shared" si="11"/>
        <v>0.89165086073600663</v>
      </c>
      <c r="O199" s="96">
        <v>1698.19</v>
      </c>
      <c r="P199" s="473">
        <v>33402</v>
      </c>
      <c r="Q199" s="54">
        <v>29123</v>
      </c>
      <c r="R199" s="54">
        <v>16885.580000000002</v>
      </c>
      <c r="S199" s="54">
        <v>7751.81</v>
      </c>
      <c r="T199" s="55">
        <f t="shared" si="12"/>
        <v>0.50552601640620332</v>
      </c>
      <c r="U199" s="564">
        <v>4485.6099999999997</v>
      </c>
      <c r="V199" s="523"/>
    </row>
    <row r="200" spans="1:22" s="6" customFormat="1" outlineLevel="2" x14ac:dyDescent="0.2">
      <c r="A200" s="448" t="s">
        <v>750</v>
      </c>
      <c r="B200" s="3" t="s">
        <v>616</v>
      </c>
      <c r="C200" s="3" t="s">
        <v>609</v>
      </c>
      <c r="D200" s="3" t="s">
        <v>23</v>
      </c>
      <c r="E200" s="3" t="s">
        <v>609</v>
      </c>
      <c r="F200" s="473">
        <v>50</v>
      </c>
      <c r="G200" s="54">
        <v>0</v>
      </c>
      <c r="H200" s="54">
        <v>0</v>
      </c>
      <c r="I200" s="55">
        <f t="shared" si="10"/>
        <v>0</v>
      </c>
      <c r="J200" s="474">
        <v>0</v>
      </c>
      <c r="K200" s="488">
        <v>200</v>
      </c>
      <c r="L200" s="52">
        <v>774</v>
      </c>
      <c r="M200" s="52">
        <v>640.37</v>
      </c>
      <c r="N200" s="53">
        <f t="shared" si="11"/>
        <v>3.2018499999999999</v>
      </c>
      <c r="O200" s="96">
        <v>133.63</v>
      </c>
      <c r="P200" s="473">
        <v>200</v>
      </c>
      <c r="Q200" s="54">
        <v>300</v>
      </c>
      <c r="R200" s="54">
        <v>204.7</v>
      </c>
      <c r="S200" s="54">
        <v>0</v>
      </c>
      <c r="T200" s="55">
        <f t="shared" si="12"/>
        <v>1.0234999999999999</v>
      </c>
      <c r="U200" s="564">
        <v>95.3</v>
      </c>
      <c r="V200" s="523"/>
    </row>
    <row r="201" spans="1:22" s="6" customFormat="1" outlineLevel="2" x14ac:dyDescent="0.2">
      <c r="A201" s="448" t="s">
        <v>750</v>
      </c>
      <c r="B201" s="3" t="s">
        <v>617</v>
      </c>
      <c r="C201" s="3" t="s">
        <v>609</v>
      </c>
      <c r="D201" s="3" t="s">
        <v>25</v>
      </c>
      <c r="E201" s="3" t="s">
        <v>609</v>
      </c>
      <c r="F201" s="473">
        <v>0</v>
      </c>
      <c r="G201" s="54">
        <v>0</v>
      </c>
      <c r="H201" s="54">
        <v>0</v>
      </c>
      <c r="I201" s="55"/>
      <c r="J201" s="474">
        <v>0</v>
      </c>
      <c r="K201" s="488">
        <v>0</v>
      </c>
      <c r="L201" s="52">
        <v>0</v>
      </c>
      <c r="M201" s="52">
        <v>0</v>
      </c>
      <c r="N201" s="53"/>
      <c r="O201" s="96">
        <v>0</v>
      </c>
      <c r="P201" s="473">
        <v>0</v>
      </c>
      <c r="Q201" s="54">
        <v>0</v>
      </c>
      <c r="R201" s="54">
        <v>206.49</v>
      </c>
      <c r="S201" s="54">
        <v>0</v>
      </c>
      <c r="T201" s="55">
        <v>0</v>
      </c>
      <c r="U201" s="564">
        <v>-206.49</v>
      </c>
      <c r="V201" s="523"/>
    </row>
    <row r="202" spans="1:22" s="6" customFormat="1" outlineLevel="2" x14ac:dyDescent="0.2">
      <c r="A202" s="448" t="s">
        <v>750</v>
      </c>
      <c r="B202" s="3" t="s">
        <v>618</v>
      </c>
      <c r="C202" s="3" t="s">
        <v>609</v>
      </c>
      <c r="D202" s="3" t="s">
        <v>29</v>
      </c>
      <c r="E202" s="3" t="s">
        <v>609</v>
      </c>
      <c r="F202" s="473">
        <v>19000</v>
      </c>
      <c r="G202" s="54">
        <v>23801</v>
      </c>
      <c r="H202" s="54">
        <v>23800.81</v>
      </c>
      <c r="I202" s="55">
        <f t="shared" si="10"/>
        <v>1.2526742105263158</v>
      </c>
      <c r="J202" s="474">
        <v>0.19</v>
      </c>
      <c r="K202" s="488">
        <v>30000</v>
      </c>
      <c r="L202" s="52">
        <v>29298</v>
      </c>
      <c r="M202" s="52">
        <v>29297.18</v>
      </c>
      <c r="N202" s="53">
        <f t="shared" si="11"/>
        <v>0.97657266666666664</v>
      </c>
      <c r="O202" s="96">
        <v>0.82</v>
      </c>
      <c r="P202" s="473">
        <v>30000</v>
      </c>
      <c r="Q202" s="54">
        <v>31300</v>
      </c>
      <c r="R202" s="54">
        <v>21401.5</v>
      </c>
      <c r="S202" s="54">
        <v>0</v>
      </c>
      <c r="T202" s="55">
        <f t="shared" si="12"/>
        <v>0.71338333333333337</v>
      </c>
      <c r="U202" s="564">
        <v>9898.5</v>
      </c>
      <c r="V202" s="523"/>
    </row>
    <row r="203" spans="1:22" s="6" customFormat="1" outlineLevel="2" x14ac:dyDescent="0.2">
      <c r="A203" s="448" t="s">
        <v>750</v>
      </c>
      <c r="B203" s="3" t="s">
        <v>619</v>
      </c>
      <c r="C203" s="3" t="s">
        <v>609</v>
      </c>
      <c r="D203" s="3" t="s">
        <v>115</v>
      </c>
      <c r="E203" s="3" t="s">
        <v>609</v>
      </c>
      <c r="F203" s="475"/>
      <c r="G203" s="64"/>
      <c r="H203" s="64"/>
      <c r="I203" s="55"/>
      <c r="J203" s="476"/>
      <c r="K203" s="489"/>
      <c r="L203" s="65"/>
      <c r="M203" s="65"/>
      <c r="N203" s="53"/>
      <c r="O203" s="97"/>
      <c r="P203" s="473">
        <v>0</v>
      </c>
      <c r="Q203" s="54">
        <v>2000</v>
      </c>
      <c r="R203" s="54">
        <v>959.04</v>
      </c>
      <c r="S203" s="54">
        <v>0</v>
      </c>
      <c r="T203" s="55">
        <v>0</v>
      </c>
      <c r="U203" s="564">
        <v>1040.96</v>
      </c>
      <c r="V203" s="523"/>
    </row>
    <row r="204" spans="1:22" s="6" customFormat="1" outlineLevel="2" x14ac:dyDescent="0.2">
      <c r="A204" s="448" t="s">
        <v>750</v>
      </c>
      <c r="B204" s="3" t="s">
        <v>620</v>
      </c>
      <c r="C204" s="3" t="s">
        <v>609</v>
      </c>
      <c r="D204" s="3" t="s">
        <v>621</v>
      </c>
      <c r="E204" s="3" t="s">
        <v>609</v>
      </c>
      <c r="F204" s="473">
        <v>6900</v>
      </c>
      <c r="G204" s="54">
        <v>5088</v>
      </c>
      <c r="H204" s="54">
        <v>5087.1000000000004</v>
      </c>
      <c r="I204" s="55">
        <f t="shared" si="10"/>
        <v>0.73726086956521741</v>
      </c>
      <c r="J204" s="474">
        <v>0.9</v>
      </c>
      <c r="K204" s="488">
        <v>6900</v>
      </c>
      <c r="L204" s="52">
        <v>3829</v>
      </c>
      <c r="M204" s="52">
        <v>3488.07</v>
      </c>
      <c r="N204" s="53">
        <f t="shared" si="11"/>
        <v>0.50551739130434781</v>
      </c>
      <c r="O204" s="96">
        <v>340.93</v>
      </c>
      <c r="P204" s="473">
        <v>6900</v>
      </c>
      <c r="Q204" s="54">
        <v>7900</v>
      </c>
      <c r="R204" s="54">
        <v>5907.34</v>
      </c>
      <c r="S204" s="54">
        <v>0</v>
      </c>
      <c r="T204" s="55">
        <f t="shared" si="12"/>
        <v>0.85613623188405796</v>
      </c>
      <c r="U204" s="564">
        <v>1992.66</v>
      </c>
      <c r="V204" s="523"/>
    </row>
    <row r="205" spans="1:22" s="6" customFormat="1" outlineLevel="2" x14ac:dyDescent="0.2">
      <c r="A205" s="448" t="s">
        <v>750</v>
      </c>
      <c r="B205" s="3" t="s">
        <v>622</v>
      </c>
      <c r="C205" s="3" t="s">
        <v>609</v>
      </c>
      <c r="D205" s="3" t="s">
        <v>35</v>
      </c>
      <c r="E205" s="3" t="s">
        <v>609</v>
      </c>
      <c r="F205" s="473">
        <v>500</v>
      </c>
      <c r="G205" s="54">
        <v>731</v>
      </c>
      <c r="H205" s="54">
        <v>730.99</v>
      </c>
      <c r="I205" s="55">
        <f t="shared" si="10"/>
        <v>1.4619800000000001</v>
      </c>
      <c r="J205" s="474">
        <v>0.01</v>
      </c>
      <c r="K205" s="488">
        <v>2500</v>
      </c>
      <c r="L205" s="52">
        <v>5118</v>
      </c>
      <c r="M205" s="52">
        <v>5118.5</v>
      </c>
      <c r="N205" s="53">
        <f t="shared" si="11"/>
        <v>2.0474000000000001</v>
      </c>
      <c r="O205" s="96">
        <v>-0.5</v>
      </c>
      <c r="P205" s="473">
        <v>2500</v>
      </c>
      <c r="Q205" s="54">
        <v>1400</v>
      </c>
      <c r="R205" s="54">
        <v>763.58</v>
      </c>
      <c r="S205" s="54">
        <v>0</v>
      </c>
      <c r="T205" s="55">
        <f t="shared" si="12"/>
        <v>0.30543200000000004</v>
      </c>
      <c r="U205" s="564">
        <v>636.41999999999996</v>
      </c>
      <c r="V205" s="523"/>
    </row>
    <row r="206" spans="1:22" s="6" customFormat="1" outlineLevel="2" x14ac:dyDescent="0.2">
      <c r="A206" s="448" t="s">
        <v>750</v>
      </c>
      <c r="B206" s="3" t="s">
        <v>623</v>
      </c>
      <c r="C206" s="3" t="s">
        <v>609</v>
      </c>
      <c r="D206" s="3" t="s">
        <v>37</v>
      </c>
      <c r="E206" s="3" t="s">
        <v>609</v>
      </c>
      <c r="F206" s="473">
        <v>500</v>
      </c>
      <c r="G206" s="54">
        <v>447</v>
      </c>
      <c r="H206" s="54">
        <v>447</v>
      </c>
      <c r="I206" s="55">
        <f t="shared" si="10"/>
        <v>0.89400000000000002</v>
      </c>
      <c r="J206" s="474">
        <v>0</v>
      </c>
      <c r="K206" s="488">
        <v>700</v>
      </c>
      <c r="L206" s="52">
        <v>3725</v>
      </c>
      <c r="M206" s="52">
        <v>3725</v>
      </c>
      <c r="N206" s="53">
        <f t="shared" si="11"/>
        <v>5.3214285714285712</v>
      </c>
      <c r="O206" s="96">
        <v>0</v>
      </c>
      <c r="P206" s="473">
        <v>700</v>
      </c>
      <c r="Q206" s="54">
        <v>3100</v>
      </c>
      <c r="R206" s="54">
        <v>2605</v>
      </c>
      <c r="S206" s="54">
        <v>0</v>
      </c>
      <c r="T206" s="55">
        <f t="shared" si="12"/>
        <v>3.7214285714285715</v>
      </c>
      <c r="U206" s="564">
        <v>495</v>
      </c>
      <c r="V206" s="523"/>
    </row>
    <row r="207" spans="1:22" s="6" customFormat="1" outlineLevel="2" x14ac:dyDescent="0.2">
      <c r="A207" s="448" t="s">
        <v>750</v>
      </c>
      <c r="B207" s="3" t="s">
        <v>624</v>
      </c>
      <c r="C207" s="3" t="s">
        <v>609</v>
      </c>
      <c r="D207" s="3" t="s">
        <v>51</v>
      </c>
      <c r="E207" s="3" t="s">
        <v>609</v>
      </c>
      <c r="F207" s="473">
        <v>0</v>
      </c>
      <c r="G207" s="54">
        <v>3257</v>
      </c>
      <c r="H207" s="54">
        <v>3256.74</v>
      </c>
      <c r="I207" s="55"/>
      <c r="J207" s="474">
        <v>0.26</v>
      </c>
      <c r="K207" s="488">
        <v>2000</v>
      </c>
      <c r="L207" s="52">
        <v>2000</v>
      </c>
      <c r="M207" s="52">
        <v>6381.34</v>
      </c>
      <c r="N207" s="53">
        <f t="shared" si="11"/>
        <v>3.1906699999999999</v>
      </c>
      <c r="O207" s="96">
        <f>2000-6381.34</f>
        <v>-4381.34</v>
      </c>
      <c r="P207" s="473">
        <v>2000</v>
      </c>
      <c r="Q207" s="54">
        <v>9979</v>
      </c>
      <c r="R207" s="54">
        <v>5194.62</v>
      </c>
      <c r="S207" s="54">
        <v>0</v>
      </c>
      <c r="T207" s="55">
        <f t="shared" si="12"/>
        <v>2.5973099999999998</v>
      </c>
      <c r="U207" s="564">
        <v>4784.38</v>
      </c>
      <c r="V207" s="523"/>
    </row>
    <row r="208" spans="1:22" s="6" customFormat="1" outlineLevel="1" x14ac:dyDescent="0.2">
      <c r="A208" s="366" t="s">
        <v>762</v>
      </c>
      <c r="B208" s="3"/>
      <c r="C208" s="3"/>
      <c r="D208" s="3"/>
      <c r="E208" s="3"/>
      <c r="F208" s="477">
        <f>SUBTOTAL(9,F194:F207)</f>
        <v>40602</v>
      </c>
      <c r="G208" s="9">
        <f>SUBTOTAL(9,G194:G207)</f>
        <v>93991</v>
      </c>
      <c r="H208" s="9">
        <f>SUBTOTAL(9,H194:H207)</f>
        <v>86425.620000000024</v>
      </c>
      <c r="I208" s="16">
        <f t="shared" si="10"/>
        <v>2.1286049948278416</v>
      </c>
      <c r="J208" s="478">
        <f>SUBTOTAL(9,J194:J207)</f>
        <v>7565.38</v>
      </c>
      <c r="K208" s="477">
        <f>SUBTOTAL(9,K194:K207)</f>
        <v>95602</v>
      </c>
      <c r="L208" s="9">
        <f>SUBTOTAL(9,L194:L207)</f>
        <v>85372</v>
      </c>
      <c r="M208" s="9">
        <f>SUBTOTAL(9,M194:M207)</f>
        <v>82201.33</v>
      </c>
      <c r="N208" s="16">
        <f t="shared" si="11"/>
        <v>0.85982856007196506</v>
      </c>
      <c r="O208" s="478">
        <f>SUBTOTAL(9,O194:O207)</f>
        <v>3170.6699999999992</v>
      </c>
      <c r="P208" s="477">
        <f>SUBTOTAL(9,P194:P207)</f>
        <v>95602</v>
      </c>
      <c r="Q208" s="9">
        <f>SUBTOTAL(9,Q194:Q207)</f>
        <v>95602</v>
      </c>
      <c r="R208" s="9">
        <f>SUBTOTAL(9,R194:R207)</f>
        <v>54127.850000000013</v>
      </c>
      <c r="S208" s="9">
        <f>SUBTOTAL(9,S194:S207)</f>
        <v>7950.6500000000005</v>
      </c>
      <c r="T208" s="16">
        <f t="shared" si="12"/>
        <v>0.566179054831489</v>
      </c>
      <c r="U208" s="566">
        <f>SUBTOTAL(9,U194:U207)</f>
        <v>33523.5</v>
      </c>
      <c r="V208" s="523"/>
    </row>
    <row r="209" spans="1:22" s="6" customFormat="1" outlineLevel="2" x14ac:dyDescent="0.2">
      <c r="A209" s="448" t="s">
        <v>746</v>
      </c>
      <c r="B209" s="3" t="s">
        <v>341</v>
      </c>
      <c r="C209" s="3" t="s">
        <v>340</v>
      </c>
      <c r="D209" s="3" t="s">
        <v>17</v>
      </c>
      <c r="E209" s="3" t="s">
        <v>319</v>
      </c>
      <c r="F209" s="473">
        <v>1600</v>
      </c>
      <c r="G209" s="54">
        <v>1995</v>
      </c>
      <c r="H209" s="54">
        <v>1990.36</v>
      </c>
      <c r="I209" s="55">
        <f t="shared" si="10"/>
        <v>1.2439749999999998</v>
      </c>
      <c r="J209" s="474">
        <v>4.6399999999999997</v>
      </c>
      <c r="K209" s="488">
        <v>2000</v>
      </c>
      <c r="L209" s="52">
        <v>2000</v>
      </c>
      <c r="M209" s="52">
        <f>1777.28+211.04</f>
        <v>1988.32</v>
      </c>
      <c r="N209" s="53">
        <f t="shared" si="11"/>
        <v>0.99415999999999993</v>
      </c>
      <c r="O209" s="96">
        <f>2000-211.04-1777.28</f>
        <v>11.680000000000064</v>
      </c>
      <c r="P209" s="473">
        <v>4500</v>
      </c>
      <c r="Q209" s="54">
        <v>0</v>
      </c>
      <c r="R209" s="54">
        <v>0</v>
      </c>
      <c r="S209" s="54">
        <v>0</v>
      </c>
      <c r="T209" s="55">
        <f t="shared" si="12"/>
        <v>0</v>
      </c>
      <c r="U209" s="564">
        <v>0</v>
      </c>
      <c r="V209" s="523"/>
    </row>
    <row r="210" spans="1:22" s="6" customFormat="1" outlineLevel="2" x14ac:dyDescent="0.2">
      <c r="A210" s="448" t="s">
        <v>746</v>
      </c>
      <c r="B210" s="3" t="s">
        <v>342</v>
      </c>
      <c r="C210" s="3" t="s">
        <v>340</v>
      </c>
      <c r="D210" s="3" t="s">
        <v>246</v>
      </c>
      <c r="E210" s="3" t="s">
        <v>319</v>
      </c>
      <c r="F210" s="473">
        <v>1600</v>
      </c>
      <c r="G210" s="54">
        <v>1600</v>
      </c>
      <c r="H210" s="54">
        <v>1133.92</v>
      </c>
      <c r="I210" s="55">
        <f t="shared" si="10"/>
        <v>0.7087</v>
      </c>
      <c r="J210" s="474">
        <v>466.08</v>
      </c>
      <c r="K210" s="488">
        <v>1600</v>
      </c>
      <c r="L210" s="52">
        <v>0</v>
      </c>
      <c r="M210" s="52">
        <v>0</v>
      </c>
      <c r="N210" s="53">
        <f t="shared" si="11"/>
        <v>0</v>
      </c>
      <c r="O210" s="96">
        <v>0</v>
      </c>
      <c r="P210" s="473">
        <v>1600</v>
      </c>
      <c r="Q210" s="54">
        <v>1600</v>
      </c>
      <c r="R210" s="54">
        <v>1270.28</v>
      </c>
      <c r="S210" s="54">
        <v>0</v>
      </c>
      <c r="T210" s="55">
        <f t="shared" si="12"/>
        <v>0.79392499999999999</v>
      </c>
      <c r="U210" s="564">
        <v>329.72</v>
      </c>
      <c r="V210" s="523"/>
    </row>
    <row r="211" spans="1:22" s="6" customFormat="1" outlineLevel="2" x14ac:dyDescent="0.2">
      <c r="A211" s="448" t="s">
        <v>746</v>
      </c>
      <c r="B211" s="3" t="s">
        <v>343</v>
      </c>
      <c r="C211" s="3" t="s">
        <v>340</v>
      </c>
      <c r="D211" s="3" t="s">
        <v>334</v>
      </c>
      <c r="E211" s="3" t="s">
        <v>319</v>
      </c>
      <c r="F211" s="473">
        <v>1900</v>
      </c>
      <c r="G211" s="54">
        <v>1900</v>
      </c>
      <c r="H211" s="54">
        <v>1884.98</v>
      </c>
      <c r="I211" s="55">
        <f t="shared" si="10"/>
        <v>0.99209473684210525</v>
      </c>
      <c r="J211" s="474">
        <v>15.02</v>
      </c>
      <c r="K211" s="488">
        <v>2500</v>
      </c>
      <c r="L211" s="52">
        <v>2500</v>
      </c>
      <c r="M211" s="52">
        <v>0</v>
      </c>
      <c r="N211" s="53">
        <f t="shared" si="11"/>
        <v>0</v>
      </c>
      <c r="O211" s="96">
        <v>2500</v>
      </c>
      <c r="P211" s="475"/>
      <c r="Q211" s="64"/>
      <c r="R211" s="64"/>
      <c r="S211" s="64"/>
      <c r="T211" s="55"/>
      <c r="U211" s="565"/>
      <c r="V211" s="523"/>
    </row>
    <row r="212" spans="1:22" s="6" customFormat="1" outlineLevel="2" x14ac:dyDescent="0.2">
      <c r="A212" s="448" t="s">
        <v>746</v>
      </c>
      <c r="B212" s="3" t="s">
        <v>344</v>
      </c>
      <c r="C212" s="3" t="s">
        <v>340</v>
      </c>
      <c r="D212" s="3" t="s">
        <v>19</v>
      </c>
      <c r="E212" s="3" t="s">
        <v>319</v>
      </c>
      <c r="F212" s="473">
        <v>200</v>
      </c>
      <c r="G212" s="54">
        <v>200</v>
      </c>
      <c r="H212" s="54">
        <v>0</v>
      </c>
      <c r="I212" s="55">
        <f t="shared" si="10"/>
        <v>0</v>
      </c>
      <c r="J212" s="474">
        <v>200</v>
      </c>
      <c r="K212" s="488">
        <v>200</v>
      </c>
      <c r="L212" s="52">
        <v>200</v>
      </c>
      <c r="M212" s="52">
        <v>0</v>
      </c>
      <c r="N212" s="53">
        <f t="shared" si="11"/>
        <v>0</v>
      </c>
      <c r="O212" s="96">
        <v>200</v>
      </c>
      <c r="P212" s="473">
        <v>200</v>
      </c>
      <c r="Q212" s="54">
        <v>200</v>
      </c>
      <c r="R212" s="54">
        <v>99.36</v>
      </c>
      <c r="S212" s="54">
        <v>0</v>
      </c>
      <c r="T212" s="55">
        <f t="shared" si="12"/>
        <v>0.49680000000000002</v>
      </c>
      <c r="U212" s="564">
        <v>100.64</v>
      </c>
      <c r="V212" s="523"/>
    </row>
    <row r="213" spans="1:22" s="6" customFormat="1" outlineLevel="2" x14ac:dyDescent="0.2">
      <c r="A213" s="448" t="s">
        <v>746</v>
      </c>
      <c r="B213" s="3" t="s">
        <v>345</v>
      </c>
      <c r="C213" s="3" t="s">
        <v>346</v>
      </c>
      <c r="D213" s="3" t="s">
        <v>19</v>
      </c>
      <c r="E213" s="3" t="s">
        <v>347</v>
      </c>
      <c r="F213" s="473">
        <v>269</v>
      </c>
      <c r="G213" s="54">
        <v>1019</v>
      </c>
      <c r="H213" s="54">
        <v>1018.3</v>
      </c>
      <c r="I213" s="55">
        <f t="shared" si="10"/>
        <v>3.7855018587360592</v>
      </c>
      <c r="J213" s="474">
        <v>0.7</v>
      </c>
      <c r="K213" s="488">
        <v>269</v>
      </c>
      <c r="L213" s="52">
        <v>853</v>
      </c>
      <c r="M213" s="52">
        <v>852.52</v>
      </c>
      <c r="N213" s="53">
        <f t="shared" si="11"/>
        <v>3.1692193308550185</v>
      </c>
      <c r="O213" s="96">
        <f>853-852.52</f>
        <v>0.48000000000001819</v>
      </c>
      <c r="P213" s="473">
        <v>269</v>
      </c>
      <c r="Q213" s="54">
        <v>269</v>
      </c>
      <c r="R213" s="54">
        <v>186.64</v>
      </c>
      <c r="S213" s="54">
        <v>0</v>
      </c>
      <c r="T213" s="55">
        <f t="shared" si="12"/>
        <v>0.69382899628252781</v>
      </c>
      <c r="U213" s="564">
        <v>82.36</v>
      </c>
      <c r="V213" s="523"/>
    </row>
    <row r="214" spans="1:22" s="6" customFormat="1" outlineLevel="2" x14ac:dyDescent="0.2">
      <c r="A214" s="448" t="s">
        <v>746</v>
      </c>
      <c r="B214" s="3" t="s">
        <v>349</v>
      </c>
      <c r="C214" s="3" t="s">
        <v>348</v>
      </c>
      <c r="D214" s="3" t="s">
        <v>17</v>
      </c>
      <c r="E214" s="3" t="s">
        <v>347</v>
      </c>
      <c r="F214" s="475"/>
      <c r="G214" s="64"/>
      <c r="H214" s="64"/>
      <c r="I214" s="55"/>
      <c r="J214" s="476"/>
      <c r="K214" s="488">
        <v>0</v>
      </c>
      <c r="L214" s="52">
        <v>0</v>
      </c>
      <c r="M214" s="52">
        <v>0</v>
      </c>
      <c r="N214" s="53"/>
      <c r="O214" s="96">
        <v>0</v>
      </c>
      <c r="P214" s="475"/>
      <c r="Q214" s="64"/>
      <c r="R214" s="64"/>
      <c r="S214" s="64"/>
      <c r="T214" s="55"/>
      <c r="U214" s="565"/>
      <c r="V214" s="523"/>
    </row>
    <row r="215" spans="1:22" s="6" customFormat="1" outlineLevel="2" x14ac:dyDescent="0.2">
      <c r="A215" s="448" t="s">
        <v>746</v>
      </c>
      <c r="B215" s="3" t="s">
        <v>350</v>
      </c>
      <c r="C215" s="3" t="s">
        <v>348</v>
      </c>
      <c r="D215" s="3" t="s">
        <v>246</v>
      </c>
      <c r="E215" s="3" t="s">
        <v>347</v>
      </c>
      <c r="F215" s="473">
        <v>750</v>
      </c>
      <c r="G215" s="54">
        <v>1301</v>
      </c>
      <c r="H215" s="54">
        <v>1299.3599999999999</v>
      </c>
      <c r="I215" s="55">
        <f t="shared" si="10"/>
        <v>1.7324799999999998</v>
      </c>
      <c r="J215" s="474">
        <v>1.64</v>
      </c>
      <c r="K215" s="488">
        <v>750</v>
      </c>
      <c r="L215" s="52">
        <v>0</v>
      </c>
      <c r="M215" s="52">
        <v>0</v>
      </c>
      <c r="N215" s="53">
        <f t="shared" si="11"/>
        <v>0</v>
      </c>
      <c r="O215" s="96">
        <v>0</v>
      </c>
      <c r="P215" s="473">
        <v>750</v>
      </c>
      <c r="Q215" s="54">
        <v>750</v>
      </c>
      <c r="R215" s="54">
        <v>551.48</v>
      </c>
      <c r="S215" s="54">
        <v>0</v>
      </c>
      <c r="T215" s="55">
        <f t="shared" si="12"/>
        <v>0.73530666666666666</v>
      </c>
      <c r="U215" s="564">
        <v>198.52</v>
      </c>
      <c r="V215" s="523"/>
    </row>
    <row r="216" spans="1:22" s="6" customFormat="1" outlineLevel="2" x14ac:dyDescent="0.2">
      <c r="A216" s="448" t="s">
        <v>746</v>
      </c>
      <c r="B216" s="3" t="s">
        <v>352</v>
      </c>
      <c r="C216" s="3" t="s">
        <v>351</v>
      </c>
      <c r="D216" s="3" t="s">
        <v>313</v>
      </c>
      <c r="E216" s="3" t="s">
        <v>347</v>
      </c>
      <c r="F216" s="473">
        <v>5967</v>
      </c>
      <c r="G216" s="54">
        <v>5967</v>
      </c>
      <c r="H216" s="54">
        <v>4804.33</v>
      </c>
      <c r="I216" s="55">
        <f t="shared" si="10"/>
        <v>0.80514999162057987</v>
      </c>
      <c r="J216" s="474">
        <v>1162.67</v>
      </c>
      <c r="K216" s="488">
        <v>5967</v>
      </c>
      <c r="L216" s="52">
        <v>4800</v>
      </c>
      <c r="M216" s="52">
        <v>4799.49</v>
      </c>
      <c r="N216" s="53">
        <f t="shared" si="11"/>
        <v>0.80433886375062846</v>
      </c>
      <c r="O216" s="96">
        <v>0.51</v>
      </c>
      <c r="P216" s="473">
        <v>5967</v>
      </c>
      <c r="Q216" s="54">
        <v>5967</v>
      </c>
      <c r="R216" s="54">
        <v>2530.13</v>
      </c>
      <c r="S216" s="54">
        <v>0</v>
      </c>
      <c r="T216" s="55">
        <f t="shared" si="12"/>
        <v>0.42402044578515169</v>
      </c>
      <c r="U216" s="564">
        <v>3436.87</v>
      </c>
      <c r="V216" s="523"/>
    </row>
    <row r="217" spans="1:22" s="6" customFormat="1" outlineLevel="2" x14ac:dyDescent="0.2">
      <c r="A217" s="448" t="s">
        <v>746</v>
      </c>
      <c r="B217" s="3" t="s">
        <v>353</v>
      </c>
      <c r="C217" s="3" t="s">
        <v>351</v>
      </c>
      <c r="D217" s="3" t="s">
        <v>17</v>
      </c>
      <c r="E217" s="3" t="s">
        <v>347</v>
      </c>
      <c r="F217" s="473">
        <v>1225</v>
      </c>
      <c r="G217" s="54">
        <v>1361</v>
      </c>
      <c r="H217" s="54">
        <v>1313.57</v>
      </c>
      <c r="I217" s="55">
        <f t="shared" si="10"/>
        <v>1.0723020408163264</v>
      </c>
      <c r="J217" s="474">
        <v>47.43</v>
      </c>
      <c r="K217" s="488">
        <v>1225</v>
      </c>
      <c r="L217" s="52">
        <v>1525</v>
      </c>
      <c r="M217" s="52">
        <v>1494.62</v>
      </c>
      <c r="N217" s="53">
        <f t="shared" si="11"/>
        <v>1.2200979591836734</v>
      </c>
      <c r="O217" s="96">
        <f>1525-1494.62</f>
        <v>30.380000000000109</v>
      </c>
      <c r="P217" s="473">
        <v>1225</v>
      </c>
      <c r="Q217" s="54">
        <v>0</v>
      </c>
      <c r="R217" s="54">
        <v>0</v>
      </c>
      <c r="S217" s="54">
        <v>0</v>
      </c>
      <c r="T217" s="55">
        <f t="shared" si="12"/>
        <v>0</v>
      </c>
      <c r="U217" s="564">
        <v>0</v>
      </c>
      <c r="V217" s="523"/>
    </row>
    <row r="218" spans="1:22" s="6" customFormat="1" outlineLevel="2" x14ac:dyDescent="0.2">
      <c r="A218" s="448" t="s">
        <v>746</v>
      </c>
      <c r="B218" s="3" t="s">
        <v>354</v>
      </c>
      <c r="C218" s="3" t="s">
        <v>351</v>
      </c>
      <c r="D218" s="3" t="s">
        <v>246</v>
      </c>
      <c r="E218" s="3" t="s">
        <v>347</v>
      </c>
      <c r="F218" s="473">
        <v>500</v>
      </c>
      <c r="G218" s="54">
        <v>364</v>
      </c>
      <c r="H218" s="54">
        <v>99.4</v>
      </c>
      <c r="I218" s="55">
        <f t="shared" si="10"/>
        <v>0.1988</v>
      </c>
      <c r="J218" s="474">
        <v>264.60000000000002</v>
      </c>
      <c r="K218" s="488">
        <v>500</v>
      </c>
      <c r="L218" s="52">
        <v>0</v>
      </c>
      <c r="M218" s="52">
        <v>0</v>
      </c>
      <c r="N218" s="53">
        <f t="shared" si="11"/>
        <v>0</v>
      </c>
      <c r="O218" s="96">
        <v>0</v>
      </c>
      <c r="P218" s="473">
        <v>500</v>
      </c>
      <c r="Q218" s="54">
        <v>500</v>
      </c>
      <c r="R218" s="54">
        <v>50</v>
      </c>
      <c r="S218" s="54">
        <v>0</v>
      </c>
      <c r="T218" s="55">
        <f t="shared" si="12"/>
        <v>0.1</v>
      </c>
      <c r="U218" s="564">
        <v>450</v>
      </c>
      <c r="V218" s="523"/>
    </row>
    <row r="219" spans="1:22" s="6" customFormat="1" outlineLevel="2" x14ac:dyDescent="0.2">
      <c r="A219" s="448" t="s">
        <v>746</v>
      </c>
      <c r="B219" s="3" t="s">
        <v>356</v>
      </c>
      <c r="C219" s="3" t="s">
        <v>355</v>
      </c>
      <c r="D219" s="3" t="s">
        <v>17</v>
      </c>
      <c r="E219" s="3" t="s">
        <v>347</v>
      </c>
      <c r="F219" s="473">
        <v>150</v>
      </c>
      <c r="G219" s="54">
        <v>0</v>
      </c>
      <c r="H219" s="54">
        <v>0</v>
      </c>
      <c r="I219" s="55">
        <f t="shared" si="10"/>
        <v>0</v>
      </c>
      <c r="J219" s="474">
        <v>0</v>
      </c>
      <c r="K219" s="488">
        <v>150</v>
      </c>
      <c r="L219" s="52">
        <v>150</v>
      </c>
      <c r="M219" s="52">
        <v>96.92</v>
      </c>
      <c r="N219" s="53">
        <f t="shared" si="11"/>
        <v>0.64613333333333334</v>
      </c>
      <c r="O219" s="96">
        <f>150-96.92</f>
        <v>53.08</v>
      </c>
      <c r="P219" s="473">
        <v>150</v>
      </c>
      <c r="Q219" s="54">
        <v>0</v>
      </c>
      <c r="R219" s="54">
        <v>0</v>
      </c>
      <c r="S219" s="54">
        <v>0</v>
      </c>
      <c r="T219" s="55">
        <f t="shared" si="12"/>
        <v>0</v>
      </c>
      <c r="U219" s="564">
        <v>0</v>
      </c>
      <c r="V219" s="523"/>
    </row>
    <row r="220" spans="1:22" s="6" customFormat="1" outlineLevel="2" x14ac:dyDescent="0.2">
      <c r="A220" s="448" t="s">
        <v>746</v>
      </c>
      <c r="B220" s="3" t="s">
        <v>357</v>
      </c>
      <c r="C220" s="3" t="s">
        <v>355</v>
      </c>
      <c r="D220" s="3" t="s">
        <v>246</v>
      </c>
      <c r="E220" s="3" t="s">
        <v>347</v>
      </c>
      <c r="F220" s="473">
        <v>500</v>
      </c>
      <c r="G220" s="54">
        <v>500</v>
      </c>
      <c r="H220" s="54">
        <v>171.6</v>
      </c>
      <c r="I220" s="55">
        <f t="shared" si="10"/>
        <v>0.34320000000000001</v>
      </c>
      <c r="J220" s="474">
        <v>328.4</v>
      </c>
      <c r="K220" s="488">
        <v>500</v>
      </c>
      <c r="L220" s="52">
        <v>0</v>
      </c>
      <c r="M220" s="52">
        <v>0</v>
      </c>
      <c r="N220" s="53">
        <f t="shared" si="11"/>
        <v>0</v>
      </c>
      <c r="O220" s="96">
        <v>0</v>
      </c>
      <c r="P220" s="473">
        <v>500</v>
      </c>
      <c r="Q220" s="54">
        <v>500</v>
      </c>
      <c r="R220" s="54">
        <v>336.2</v>
      </c>
      <c r="S220" s="54">
        <v>0</v>
      </c>
      <c r="T220" s="55">
        <f t="shared" si="12"/>
        <v>0.6724</v>
      </c>
      <c r="U220" s="564">
        <v>163.80000000000001</v>
      </c>
      <c r="V220" s="523"/>
    </row>
    <row r="221" spans="1:22" s="6" customFormat="1" outlineLevel="2" x14ac:dyDescent="0.2">
      <c r="A221" s="448" t="s">
        <v>746</v>
      </c>
      <c r="B221" s="3" t="s">
        <v>359</v>
      </c>
      <c r="C221" s="3" t="s">
        <v>358</v>
      </c>
      <c r="D221" s="3" t="s">
        <v>17</v>
      </c>
      <c r="E221" s="3" t="s">
        <v>347</v>
      </c>
      <c r="F221" s="473">
        <v>450</v>
      </c>
      <c r="G221" s="54">
        <v>302</v>
      </c>
      <c r="H221" s="54">
        <v>301.05</v>
      </c>
      <c r="I221" s="55">
        <f t="shared" si="10"/>
        <v>0.66900000000000004</v>
      </c>
      <c r="J221" s="474">
        <v>0.95</v>
      </c>
      <c r="K221" s="488">
        <v>450</v>
      </c>
      <c r="L221" s="52">
        <v>450</v>
      </c>
      <c r="M221" s="52">
        <v>262.3</v>
      </c>
      <c r="N221" s="53">
        <f t="shared" si="11"/>
        <v>0.5828888888888889</v>
      </c>
      <c r="O221" s="96">
        <f>450-262.3</f>
        <v>187.7</v>
      </c>
      <c r="P221" s="473">
        <v>450</v>
      </c>
      <c r="Q221" s="54">
        <v>0</v>
      </c>
      <c r="R221" s="54">
        <v>0</v>
      </c>
      <c r="S221" s="54">
        <v>0</v>
      </c>
      <c r="T221" s="55">
        <f t="shared" si="12"/>
        <v>0</v>
      </c>
      <c r="U221" s="564">
        <v>0</v>
      </c>
      <c r="V221" s="523"/>
    </row>
    <row r="222" spans="1:22" s="6" customFormat="1" outlineLevel="2" x14ac:dyDescent="0.2">
      <c r="A222" s="448" t="s">
        <v>746</v>
      </c>
      <c r="B222" s="3" t="s">
        <v>360</v>
      </c>
      <c r="C222" s="3" t="s">
        <v>358</v>
      </c>
      <c r="D222" s="3" t="s">
        <v>246</v>
      </c>
      <c r="E222" s="3" t="s">
        <v>347</v>
      </c>
      <c r="F222" s="473">
        <v>850</v>
      </c>
      <c r="G222" s="54">
        <v>548</v>
      </c>
      <c r="H222" s="54">
        <v>281.8</v>
      </c>
      <c r="I222" s="55">
        <f t="shared" si="10"/>
        <v>0.33152941176470591</v>
      </c>
      <c r="J222" s="474">
        <v>266.2</v>
      </c>
      <c r="K222" s="488">
        <v>850</v>
      </c>
      <c r="L222" s="52">
        <v>0</v>
      </c>
      <c r="M222" s="52">
        <v>0</v>
      </c>
      <c r="N222" s="53">
        <f t="shared" si="11"/>
        <v>0</v>
      </c>
      <c r="O222" s="96">
        <v>0</v>
      </c>
      <c r="P222" s="473">
        <v>850</v>
      </c>
      <c r="Q222" s="54">
        <v>850</v>
      </c>
      <c r="R222" s="54">
        <v>91.6</v>
      </c>
      <c r="S222" s="54">
        <v>0</v>
      </c>
      <c r="T222" s="55">
        <f t="shared" si="12"/>
        <v>0.10776470588235293</v>
      </c>
      <c r="U222" s="564">
        <v>758.4</v>
      </c>
      <c r="V222" s="523"/>
    </row>
    <row r="223" spans="1:22" s="6" customFormat="1" outlineLevel="2" x14ac:dyDescent="0.2">
      <c r="A223" s="448" t="s">
        <v>746</v>
      </c>
      <c r="B223" s="3" t="s">
        <v>363</v>
      </c>
      <c r="C223" s="3" t="s">
        <v>361</v>
      </c>
      <c r="D223" s="3" t="s">
        <v>313</v>
      </c>
      <c r="E223" s="3" t="s">
        <v>347</v>
      </c>
      <c r="F223" s="473">
        <v>0</v>
      </c>
      <c r="G223" s="54">
        <v>0</v>
      </c>
      <c r="H223" s="54">
        <v>0</v>
      </c>
      <c r="I223" s="55"/>
      <c r="J223" s="474">
        <v>0</v>
      </c>
      <c r="K223" s="488">
        <v>5000</v>
      </c>
      <c r="L223" s="52">
        <v>5000</v>
      </c>
      <c r="M223" s="52">
        <v>4917</v>
      </c>
      <c r="N223" s="53">
        <f t="shared" si="11"/>
        <v>0.98340000000000005</v>
      </c>
      <c r="O223" s="96">
        <v>83</v>
      </c>
      <c r="P223" s="473">
        <v>7600</v>
      </c>
      <c r="Q223" s="54">
        <v>7600</v>
      </c>
      <c r="R223" s="54">
        <v>0</v>
      </c>
      <c r="S223" s="54">
        <v>0</v>
      </c>
      <c r="T223" s="55">
        <f t="shared" si="12"/>
        <v>0</v>
      </c>
      <c r="U223" s="564">
        <v>7600</v>
      </c>
      <c r="V223" s="523"/>
    </row>
    <row r="224" spans="1:22" s="6" customFormat="1" outlineLevel="2" x14ac:dyDescent="0.2">
      <c r="A224" s="448" t="s">
        <v>746</v>
      </c>
      <c r="B224" s="3" t="s">
        <v>364</v>
      </c>
      <c r="C224" s="3" t="s">
        <v>361</v>
      </c>
      <c r="D224" s="3" t="s">
        <v>17</v>
      </c>
      <c r="E224" s="3" t="s">
        <v>347</v>
      </c>
      <c r="F224" s="473">
        <v>85000</v>
      </c>
      <c r="G224" s="54">
        <v>79000</v>
      </c>
      <c r="H224" s="54">
        <v>79000</v>
      </c>
      <c r="I224" s="55">
        <f t="shared" si="10"/>
        <v>0.92941176470588238</v>
      </c>
      <c r="J224" s="474">
        <v>0</v>
      </c>
      <c r="K224" s="488">
        <v>54000</v>
      </c>
      <c r="L224" s="52">
        <v>52500</v>
      </c>
      <c r="M224" s="52">
        <f>300.15+5110.53+289.89+53403.76</f>
        <v>59104.33</v>
      </c>
      <c r="N224" s="53">
        <f t="shared" si="11"/>
        <v>1.0945246296296296</v>
      </c>
      <c r="O224" s="96">
        <f>52500-5110.53-300.15-289.89-53403.76</f>
        <v>-6604.3300000000017</v>
      </c>
      <c r="P224" s="473">
        <v>50700</v>
      </c>
      <c r="Q224" s="54">
        <v>45700</v>
      </c>
      <c r="R224" s="54">
        <v>35706.949999999997</v>
      </c>
      <c r="S224" s="54">
        <v>5520.54</v>
      </c>
      <c r="T224" s="55">
        <f t="shared" si="12"/>
        <v>0.7042790927021696</v>
      </c>
      <c r="U224" s="564">
        <v>4472.51</v>
      </c>
      <c r="V224" s="523"/>
    </row>
    <row r="225" spans="1:22" s="6" customFormat="1" outlineLevel="2" x14ac:dyDescent="0.2">
      <c r="A225" s="448" t="s">
        <v>746</v>
      </c>
      <c r="B225" s="3" t="s">
        <v>365</v>
      </c>
      <c r="C225" s="3" t="s">
        <v>361</v>
      </c>
      <c r="D225" s="3" t="s">
        <v>246</v>
      </c>
      <c r="E225" s="3" t="s">
        <v>347</v>
      </c>
      <c r="F225" s="473">
        <v>1400</v>
      </c>
      <c r="G225" s="54">
        <v>1400</v>
      </c>
      <c r="H225" s="54">
        <v>1400</v>
      </c>
      <c r="I225" s="55">
        <f t="shared" si="10"/>
        <v>1</v>
      </c>
      <c r="J225" s="474">
        <v>0</v>
      </c>
      <c r="K225" s="488">
        <v>200</v>
      </c>
      <c r="L225" s="52">
        <v>0</v>
      </c>
      <c r="M225" s="52">
        <v>0</v>
      </c>
      <c r="N225" s="53">
        <f t="shared" si="11"/>
        <v>0</v>
      </c>
      <c r="O225" s="96">
        <v>0</v>
      </c>
      <c r="P225" s="473">
        <v>1500</v>
      </c>
      <c r="Q225" s="54">
        <v>1500</v>
      </c>
      <c r="R225" s="54">
        <v>1231.5</v>
      </c>
      <c r="S225" s="54">
        <v>0</v>
      </c>
      <c r="T225" s="55">
        <f t="shared" si="12"/>
        <v>0.82099999999999995</v>
      </c>
      <c r="U225" s="564">
        <v>268.5</v>
      </c>
      <c r="V225" s="523"/>
    </row>
    <row r="226" spans="1:22" s="6" customFormat="1" outlineLevel="2" x14ac:dyDescent="0.2">
      <c r="A226" s="448" t="s">
        <v>746</v>
      </c>
      <c r="B226" s="3" t="s">
        <v>366</v>
      </c>
      <c r="C226" s="3" t="s">
        <v>361</v>
      </c>
      <c r="D226" s="3" t="s">
        <v>23</v>
      </c>
      <c r="E226" s="3" t="s">
        <v>347</v>
      </c>
      <c r="F226" s="475"/>
      <c r="G226" s="64"/>
      <c r="H226" s="64"/>
      <c r="I226" s="55"/>
      <c r="J226" s="476"/>
      <c r="K226" s="488">
        <v>0</v>
      </c>
      <c r="L226" s="52">
        <v>0</v>
      </c>
      <c r="M226" s="52">
        <v>0</v>
      </c>
      <c r="N226" s="53"/>
      <c r="O226" s="96">
        <v>0</v>
      </c>
      <c r="P226" s="475"/>
      <c r="Q226" s="64"/>
      <c r="R226" s="64"/>
      <c r="S226" s="64"/>
      <c r="T226" s="55"/>
      <c r="U226" s="565"/>
      <c r="V226" s="523"/>
    </row>
    <row r="227" spans="1:22" s="6" customFormat="1" outlineLevel="2" x14ac:dyDescent="0.2">
      <c r="A227" s="448" t="s">
        <v>746</v>
      </c>
      <c r="B227" s="3" t="s">
        <v>367</v>
      </c>
      <c r="C227" s="3" t="s">
        <v>361</v>
      </c>
      <c r="D227" s="3" t="s">
        <v>25</v>
      </c>
      <c r="E227" s="3" t="s">
        <v>347</v>
      </c>
      <c r="F227" s="475"/>
      <c r="G227" s="64"/>
      <c r="H227" s="64"/>
      <c r="I227" s="55"/>
      <c r="J227" s="476"/>
      <c r="K227" s="489"/>
      <c r="L227" s="65"/>
      <c r="M227" s="65"/>
      <c r="N227" s="53"/>
      <c r="O227" s="97"/>
      <c r="P227" s="473">
        <v>0</v>
      </c>
      <c r="Q227" s="54">
        <v>0</v>
      </c>
      <c r="R227" s="54">
        <v>4395.83</v>
      </c>
      <c r="S227" s="54">
        <v>0</v>
      </c>
      <c r="T227" s="55">
        <v>0</v>
      </c>
      <c r="U227" s="564">
        <v>-4395.83</v>
      </c>
      <c r="V227" s="523"/>
    </row>
    <row r="228" spans="1:22" s="6" customFormat="1" outlineLevel="2" x14ac:dyDescent="0.2">
      <c r="A228" s="448" t="s">
        <v>746</v>
      </c>
      <c r="B228" s="3" t="s">
        <v>368</v>
      </c>
      <c r="C228" s="3" t="s">
        <v>361</v>
      </c>
      <c r="D228" s="3" t="s">
        <v>29</v>
      </c>
      <c r="E228" s="3" t="s">
        <v>347</v>
      </c>
      <c r="F228" s="473">
        <v>800</v>
      </c>
      <c r="G228" s="54">
        <v>1552</v>
      </c>
      <c r="H228" s="54">
        <v>487.74</v>
      </c>
      <c r="I228" s="55">
        <f t="shared" si="10"/>
        <v>0.60967499999999997</v>
      </c>
      <c r="J228" s="474">
        <v>1064.26</v>
      </c>
      <c r="K228" s="488">
        <v>6600</v>
      </c>
      <c r="L228" s="52">
        <v>6600</v>
      </c>
      <c r="M228" s="52">
        <v>4604.5</v>
      </c>
      <c r="N228" s="53">
        <f t="shared" si="11"/>
        <v>0.69765151515151513</v>
      </c>
      <c r="O228" s="96">
        <v>1995.5</v>
      </c>
      <c r="P228" s="473">
        <v>6000</v>
      </c>
      <c r="Q228" s="54">
        <v>6000</v>
      </c>
      <c r="R228" s="54">
        <v>3599.65</v>
      </c>
      <c r="S228" s="54">
        <v>2115.35</v>
      </c>
      <c r="T228" s="55">
        <f t="shared" si="12"/>
        <v>0.59994166666666671</v>
      </c>
      <c r="U228" s="564">
        <v>285</v>
      </c>
      <c r="V228" s="523"/>
    </row>
    <row r="229" spans="1:22" s="6" customFormat="1" outlineLevel="2" x14ac:dyDescent="0.2">
      <c r="A229" s="448" t="s">
        <v>746</v>
      </c>
      <c r="B229" s="3" t="s">
        <v>369</v>
      </c>
      <c r="C229" s="3" t="s">
        <v>361</v>
      </c>
      <c r="D229" s="3" t="s">
        <v>35</v>
      </c>
      <c r="E229" s="3" t="s">
        <v>347</v>
      </c>
      <c r="F229" s="475"/>
      <c r="G229" s="64"/>
      <c r="H229" s="64"/>
      <c r="I229" s="55"/>
      <c r="J229" s="476"/>
      <c r="K229" s="488">
        <v>0</v>
      </c>
      <c r="L229" s="52"/>
      <c r="M229" s="52">
        <f>4000+2549.69</f>
        <v>6549.6900000000005</v>
      </c>
      <c r="N229" s="53">
        <v>0</v>
      </c>
      <c r="O229" s="96">
        <f>-2549.69-4000</f>
        <v>-6549.6900000000005</v>
      </c>
      <c r="P229" s="473">
        <v>0</v>
      </c>
      <c r="Q229" s="54">
        <v>5000</v>
      </c>
      <c r="R229" s="54">
        <v>2123.83</v>
      </c>
      <c r="S229" s="54">
        <v>1808.52</v>
      </c>
      <c r="T229" s="55">
        <v>0</v>
      </c>
      <c r="U229" s="564">
        <v>1067.6500000000001</v>
      </c>
      <c r="V229" s="523"/>
    </row>
    <row r="230" spans="1:22" s="6" customFormat="1" outlineLevel="2" x14ac:dyDescent="0.2">
      <c r="A230" s="448" t="s">
        <v>746</v>
      </c>
      <c r="B230" s="3" t="s">
        <v>374</v>
      </c>
      <c r="C230" s="3" t="s">
        <v>373</v>
      </c>
      <c r="D230" s="3" t="s">
        <v>17</v>
      </c>
      <c r="E230" s="3" t="s">
        <v>347</v>
      </c>
      <c r="F230" s="475"/>
      <c r="G230" s="64"/>
      <c r="H230" s="64"/>
      <c r="I230" s="55"/>
      <c r="J230" s="476"/>
      <c r="K230" s="488">
        <v>2000</v>
      </c>
      <c r="L230" s="52">
        <v>2000</v>
      </c>
      <c r="M230" s="52">
        <v>2004.33</v>
      </c>
      <c r="N230" s="53">
        <f t="shared" si="11"/>
        <v>1.002165</v>
      </c>
      <c r="O230" s="96">
        <f>2000-2004.33</f>
        <v>-4.3299999999999272</v>
      </c>
      <c r="P230" s="473">
        <v>2000</v>
      </c>
      <c r="Q230" s="54">
        <v>0</v>
      </c>
      <c r="R230" s="54">
        <v>0</v>
      </c>
      <c r="S230" s="54">
        <v>0</v>
      </c>
      <c r="T230" s="55">
        <f t="shared" si="12"/>
        <v>0</v>
      </c>
      <c r="U230" s="564">
        <v>0</v>
      </c>
      <c r="V230" s="523"/>
    </row>
    <row r="231" spans="1:22" s="6" customFormat="1" outlineLevel="2" x14ac:dyDescent="0.2">
      <c r="A231" s="448" t="s">
        <v>746</v>
      </c>
      <c r="B231" s="3" t="s">
        <v>391</v>
      </c>
      <c r="C231" s="3" t="s">
        <v>388</v>
      </c>
      <c r="D231" s="3" t="s">
        <v>7</v>
      </c>
      <c r="E231" s="3" t="s">
        <v>376</v>
      </c>
      <c r="F231" s="473">
        <v>1400</v>
      </c>
      <c r="G231" s="54">
        <v>2089</v>
      </c>
      <c r="H231" s="54">
        <v>2088.1799999999998</v>
      </c>
      <c r="I231" s="55">
        <f t="shared" si="10"/>
        <v>1.4915571428571428</v>
      </c>
      <c r="J231" s="474">
        <v>0.82</v>
      </c>
      <c r="K231" s="488">
        <v>1400</v>
      </c>
      <c r="L231" s="52">
        <v>1400</v>
      </c>
      <c r="M231" s="52">
        <v>926.25</v>
      </c>
      <c r="N231" s="53">
        <f t="shared" si="11"/>
        <v>0.66160714285714284</v>
      </c>
      <c r="O231" s="96">
        <v>473.75</v>
      </c>
      <c r="P231" s="473">
        <v>1400</v>
      </c>
      <c r="Q231" s="54">
        <v>1400</v>
      </c>
      <c r="R231" s="54">
        <v>1309.8800000000001</v>
      </c>
      <c r="S231" s="54">
        <v>0</v>
      </c>
      <c r="T231" s="55">
        <f t="shared" si="12"/>
        <v>0.93562857142857148</v>
      </c>
      <c r="U231" s="564">
        <v>90.12</v>
      </c>
      <c r="V231" s="523"/>
    </row>
    <row r="232" spans="1:22" s="6" customFormat="1" outlineLevel="2" x14ac:dyDescent="0.2">
      <c r="A232" s="448" t="s">
        <v>746</v>
      </c>
      <c r="B232" s="3" t="s">
        <v>392</v>
      </c>
      <c r="C232" s="3" t="s">
        <v>388</v>
      </c>
      <c r="D232" s="3" t="s">
        <v>52</v>
      </c>
      <c r="E232" s="3" t="s">
        <v>376</v>
      </c>
      <c r="F232" s="475"/>
      <c r="G232" s="64"/>
      <c r="H232" s="64"/>
      <c r="I232" s="55"/>
      <c r="J232" s="476"/>
      <c r="K232" s="489"/>
      <c r="L232" s="65"/>
      <c r="M232" s="65"/>
      <c r="N232" s="53"/>
      <c r="O232" s="97"/>
      <c r="P232" s="473">
        <v>0</v>
      </c>
      <c r="Q232" s="54">
        <v>0</v>
      </c>
      <c r="R232" s="54">
        <v>0</v>
      </c>
      <c r="S232" s="54">
        <v>0</v>
      </c>
      <c r="T232" s="55"/>
      <c r="U232" s="564">
        <v>0</v>
      </c>
      <c r="V232" s="523"/>
    </row>
    <row r="233" spans="1:22" s="6" customFormat="1" outlineLevel="2" x14ac:dyDescent="0.2">
      <c r="A233" s="448" t="s">
        <v>746</v>
      </c>
      <c r="B233" s="3" t="s">
        <v>390</v>
      </c>
      <c r="C233" s="3" t="s">
        <v>388</v>
      </c>
      <c r="D233" s="3" t="s">
        <v>313</v>
      </c>
      <c r="E233" s="3" t="s">
        <v>376</v>
      </c>
      <c r="F233" s="475"/>
      <c r="G233" s="64"/>
      <c r="H233" s="64"/>
      <c r="I233" s="55"/>
      <c r="J233" s="476"/>
      <c r="K233" s="489"/>
      <c r="L233" s="65"/>
      <c r="M233" s="65"/>
      <c r="N233" s="53"/>
      <c r="O233" s="97"/>
      <c r="P233" s="473">
        <v>0</v>
      </c>
      <c r="Q233" s="54">
        <v>30010</v>
      </c>
      <c r="R233" s="54">
        <v>4169.4399999999996</v>
      </c>
      <c r="S233" s="54">
        <v>0</v>
      </c>
      <c r="T233" s="55">
        <v>0</v>
      </c>
      <c r="U233" s="564">
        <v>25840.560000000001</v>
      </c>
      <c r="V233" s="523"/>
    </row>
    <row r="234" spans="1:22" s="6" customFormat="1" outlineLevel="2" x14ac:dyDescent="0.2">
      <c r="A234" s="448" t="s">
        <v>746</v>
      </c>
      <c r="B234" s="3" t="s">
        <v>393</v>
      </c>
      <c r="C234" s="3" t="s">
        <v>388</v>
      </c>
      <c r="D234" s="3" t="s">
        <v>313</v>
      </c>
      <c r="E234" s="3" t="s">
        <v>376</v>
      </c>
      <c r="F234" s="473">
        <v>15500</v>
      </c>
      <c r="G234" s="54">
        <v>42648</v>
      </c>
      <c r="H234" s="54">
        <v>42647.59</v>
      </c>
      <c r="I234" s="55">
        <f t="shared" si="10"/>
        <v>2.7514574193548387</v>
      </c>
      <c r="J234" s="474">
        <v>0.41</v>
      </c>
      <c r="K234" s="488">
        <v>15500</v>
      </c>
      <c r="L234" s="52">
        <v>15500</v>
      </c>
      <c r="M234" s="52">
        <f>15500+18161.33</f>
        <v>33661.33</v>
      </c>
      <c r="N234" s="53">
        <f t="shared" si="11"/>
        <v>2.1716987096774196</v>
      </c>
      <c r="O234" s="96">
        <v>-18161.330000000002</v>
      </c>
      <c r="P234" s="473">
        <v>15500</v>
      </c>
      <c r="Q234" s="54">
        <v>0</v>
      </c>
      <c r="R234" s="54">
        <v>0</v>
      </c>
      <c r="S234" s="54">
        <v>0</v>
      </c>
      <c r="T234" s="55">
        <f t="shared" si="12"/>
        <v>0</v>
      </c>
      <c r="U234" s="564">
        <v>0</v>
      </c>
      <c r="V234" s="523"/>
    </row>
    <row r="235" spans="1:22" s="6" customFormat="1" outlineLevel="2" x14ac:dyDescent="0.2">
      <c r="A235" s="448" t="s">
        <v>746</v>
      </c>
      <c r="B235" s="3" t="s">
        <v>394</v>
      </c>
      <c r="C235" s="3" t="s">
        <v>388</v>
      </c>
      <c r="D235" s="3" t="s">
        <v>17</v>
      </c>
      <c r="E235" s="3" t="s">
        <v>376</v>
      </c>
      <c r="F235" s="473">
        <v>1590</v>
      </c>
      <c r="G235" s="54">
        <v>1590</v>
      </c>
      <c r="H235" s="54">
        <v>1482.63</v>
      </c>
      <c r="I235" s="55">
        <f t="shared" si="10"/>
        <v>0.93247169811320763</v>
      </c>
      <c r="J235" s="474">
        <v>107.37</v>
      </c>
      <c r="K235" s="488">
        <v>1590</v>
      </c>
      <c r="L235" s="52">
        <v>90</v>
      </c>
      <c r="M235" s="52">
        <v>0</v>
      </c>
      <c r="N235" s="53">
        <f t="shared" si="11"/>
        <v>0</v>
      </c>
      <c r="O235" s="96">
        <v>90</v>
      </c>
      <c r="P235" s="473">
        <v>1590</v>
      </c>
      <c r="Q235" s="54">
        <v>0</v>
      </c>
      <c r="R235" s="54">
        <v>0</v>
      </c>
      <c r="S235" s="54">
        <v>0</v>
      </c>
      <c r="T235" s="55">
        <f t="shared" si="12"/>
        <v>0</v>
      </c>
      <c r="U235" s="564">
        <v>0</v>
      </c>
      <c r="V235" s="523"/>
    </row>
    <row r="236" spans="1:22" s="6" customFormat="1" outlineLevel="2" x14ac:dyDescent="0.2">
      <c r="A236" s="448" t="s">
        <v>746</v>
      </c>
      <c r="B236" s="3" t="s">
        <v>395</v>
      </c>
      <c r="C236" s="3" t="s">
        <v>388</v>
      </c>
      <c r="D236" s="3" t="s">
        <v>246</v>
      </c>
      <c r="E236" s="3" t="s">
        <v>376</v>
      </c>
      <c r="F236" s="473">
        <v>1000</v>
      </c>
      <c r="G236" s="54">
        <v>1015</v>
      </c>
      <c r="H236" s="54">
        <v>1013.84</v>
      </c>
      <c r="I236" s="55">
        <f t="shared" si="10"/>
        <v>1.0138400000000001</v>
      </c>
      <c r="J236" s="474">
        <v>1.1599999999999999</v>
      </c>
      <c r="K236" s="488">
        <v>500</v>
      </c>
      <c r="L236" s="52">
        <v>0</v>
      </c>
      <c r="M236" s="52">
        <v>0</v>
      </c>
      <c r="N236" s="53">
        <f t="shared" si="11"/>
        <v>0</v>
      </c>
      <c r="O236" s="96">
        <v>0</v>
      </c>
      <c r="P236" s="473">
        <v>500</v>
      </c>
      <c r="Q236" s="54">
        <v>500</v>
      </c>
      <c r="R236" s="54">
        <v>194</v>
      </c>
      <c r="S236" s="54">
        <v>0</v>
      </c>
      <c r="T236" s="55">
        <f t="shared" si="12"/>
        <v>0.38800000000000001</v>
      </c>
      <c r="U236" s="564">
        <v>306</v>
      </c>
      <c r="V236" s="523"/>
    </row>
    <row r="237" spans="1:22" s="6" customFormat="1" outlineLevel="2" x14ac:dyDescent="0.2">
      <c r="A237" s="448" t="s">
        <v>746</v>
      </c>
      <c r="B237" s="3" t="s">
        <v>396</v>
      </c>
      <c r="C237" s="3" t="s">
        <v>388</v>
      </c>
      <c r="D237" s="3" t="s">
        <v>19</v>
      </c>
      <c r="E237" s="3" t="s">
        <v>376</v>
      </c>
      <c r="F237" s="473">
        <v>590</v>
      </c>
      <c r="G237" s="54">
        <v>590</v>
      </c>
      <c r="H237" s="54">
        <v>536.69000000000005</v>
      </c>
      <c r="I237" s="55">
        <f t="shared" si="10"/>
        <v>0.90964406779661022</v>
      </c>
      <c r="J237" s="474">
        <v>53.31</v>
      </c>
      <c r="K237" s="488">
        <v>590</v>
      </c>
      <c r="L237" s="52">
        <v>2090</v>
      </c>
      <c r="M237" s="52">
        <v>1357.88</v>
      </c>
      <c r="N237" s="53">
        <f t="shared" si="11"/>
        <v>2.3014915254237289</v>
      </c>
      <c r="O237" s="96">
        <f>2090-1357.88</f>
        <v>732.11999999999989</v>
      </c>
      <c r="P237" s="473">
        <v>590</v>
      </c>
      <c r="Q237" s="54">
        <v>590</v>
      </c>
      <c r="R237" s="54">
        <v>267.20999999999998</v>
      </c>
      <c r="S237" s="54">
        <v>86.82</v>
      </c>
      <c r="T237" s="55">
        <f t="shared" si="12"/>
        <v>0.45289830508474571</v>
      </c>
      <c r="U237" s="564">
        <v>235.97</v>
      </c>
      <c r="V237" s="523"/>
    </row>
    <row r="238" spans="1:22" s="6" customFormat="1" outlineLevel="2" x14ac:dyDescent="0.2">
      <c r="A238" s="448" t="s">
        <v>746</v>
      </c>
      <c r="B238" s="3" t="s">
        <v>397</v>
      </c>
      <c r="C238" s="3" t="s">
        <v>388</v>
      </c>
      <c r="D238" s="3" t="s">
        <v>115</v>
      </c>
      <c r="E238" s="3" t="s">
        <v>376</v>
      </c>
      <c r="F238" s="475"/>
      <c r="G238" s="64"/>
      <c r="H238" s="64"/>
      <c r="I238" s="55"/>
      <c r="J238" s="476"/>
      <c r="K238" s="488">
        <v>0</v>
      </c>
      <c r="L238" s="52">
        <v>0</v>
      </c>
      <c r="M238" s="52">
        <v>0</v>
      </c>
      <c r="N238" s="53"/>
      <c r="O238" s="96">
        <v>0</v>
      </c>
      <c r="P238" s="475"/>
      <c r="Q238" s="64"/>
      <c r="R238" s="64"/>
      <c r="S238" s="64"/>
      <c r="T238" s="55"/>
      <c r="U238" s="565"/>
      <c r="V238" s="523"/>
    </row>
    <row r="239" spans="1:22" s="6" customFormat="1" outlineLevel="2" x14ac:dyDescent="0.2">
      <c r="A239" s="448" t="s">
        <v>746</v>
      </c>
      <c r="B239" s="3" t="s">
        <v>422</v>
      </c>
      <c r="C239" s="3" t="s">
        <v>421</v>
      </c>
      <c r="D239" s="3" t="s">
        <v>17</v>
      </c>
      <c r="E239" s="3" t="s">
        <v>399</v>
      </c>
      <c r="F239" s="473">
        <v>1900</v>
      </c>
      <c r="G239" s="54">
        <v>2454</v>
      </c>
      <c r="H239" s="54">
        <v>2399.52</v>
      </c>
      <c r="I239" s="55">
        <f t="shared" si="10"/>
        <v>1.2629052631578948</v>
      </c>
      <c r="J239" s="474">
        <v>54.48</v>
      </c>
      <c r="K239" s="488">
        <v>1900</v>
      </c>
      <c r="L239" s="52">
        <v>1900</v>
      </c>
      <c r="M239" s="52">
        <v>1777.65</v>
      </c>
      <c r="N239" s="53">
        <f t="shared" si="11"/>
        <v>0.93560526315789483</v>
      </c>
      <c r="O239" s="96">
        <f>1900-1777.65</f>
        <v>122.34999999999991</v>
      </c>
      <c r="P239" s="473">
        <v>1900</v>
      </c>
      <c r="Q239" s="54">
        <v>0</v>
      </c>
      <c r="R239" s="54">
        <v>0</v>
      </c>
      <c r="S239" s="54">
        <v>0</v>
      </c>
      <c r="T239" s="55">
        <f t="shared" si="12"/>
        <v>0</v>
      </c>
      <c r="U239" s="564">
        <v>0</v>
      </c>
      <c r="V239" s="523"/>
    </row>
    <row r="240" spans="1:22" s="6" customFormat="1" outlineLevel="2" x14ac:dyDescent="0.2">
      <c r="A240" s="448" t="s">
        <v>746</v>
      </c>
      <c r="B240" s="3" t="s">
        <v>423</v>
      </c>
      <c r="C240" s="3" t="s">
        <v>421</v>
      </c>
      <c r="D240" s="3" t="s">
        <v>246</v>
      </c>
      <c r="E240" s="3" t="s">
        <v>399</v>
      </c>
      <c r="F240" s="473">
        <v>369</v>
      </c>
      <c r="G240" s="54">
        <v>109</v>
      </c>
      <c r="H240" s="54">
        <v>79.88</v>
      </c>
      <c r="I240" s="55">
        <f t="shared" si="10"/>
        <v>0.21647696476964767</v>
      </c>
      <c r="J240" s="474">
        <v>29.12</v>
      </c>
      <c r="K240" s="488">
        <v>369</v>
      </c>
      <c r="L240" s="52">
        <v>0</v>
      </c>
      <c r="M240" s="52">
        <v>0</v>
      </c>
      <c r="N240" s="53">
        <f t="shared" si="11"/>
        <v>0</v>
      </c>
      <c r="O240" s="96">
        <v>0</v>
      </c>
      <c r="P240" s="473">
        <v>369</v>
      </c>
      <c r="Q240" s="54">
        <v>369</v>
      </c>
      <c r="R240" s="54">
        <v>119.6</v>
      </c>
      <c r="S240" s="54">
        <v>0</v>
      </c>
      <c r="T240" s="55">
        <f t="shared" si="12"/>
        <v>0.32411924119241192</v>
      </c>
      <c r="U240" s="564">
        <v>249.4</v>
      </c>
      <c r="V240" s="523"/>
    </row>
    <row r="241" spans="1:22" s="6" customFormat="1" outlineLevel="2" x14ac:dyDescent="0.2">
      <c r="A241" s="448" t="s">
        <v>746</v>
      </c>
      <c r="B241" s="3" t="s">
        <v>425</v>
      </c>
      <c r="C241" s="3" t="s">
        <v>424</v>
      </c>
      <c r="D241" s="3" t="s">
        <v>17</v>
      </c>
      <c r="E241" s="3" t="s">
        <v>399</v>
      </c>
      <c r="F241" s="473">
        <v>189</v>
      </c>
      <c r="G241" s="54">
        <v>175</v>
      </c>
      <c r="H241" s="54">
        <v>174.95</v>
      </c>
      <c r="I241" s="55">
        <f t="shared" si="10"/>
        <v>0.92566137566137563</v>
      </c>
      <c r="J241" s="474">
        <v>0.05</v>
      </c>
      <c r="K241" s="488">
        <v>1116</v>
      </c>
      <c r="L241" s="52">
        <v>1116</v>
      </c>
      <c r="M241" s="52">
        <v>973.17</v>
      </c>
      <c r="N241" s="53">
        <f t="shared" si="11"/>
        <v>0.872016129032258</v>
      </c>
      <c r="O241" s="96">
        <f>1116-973.17</f>
        <v>142.83000000000004</v>
      </c>
      <c r="P241" s="473">
        <v>1116</v>
      </c>
      <c r="Q241" s="54">
        <v>0</v>
      </c>
      <c r="R241" s="54">
        <v>0</v>
      </c>
      <c r="S241" s="54">
        <v>0</v>
      </c>
      <c r="T241" s="55">
        <f t="shared" si="12"/>
        <v>0</v>
      </c>
      <c r="U241" s="564">
        <v>0</v>
      </c>
      <c r="V241" s="523"/>
    </row>
    <row r="242" spans="1:22" s="6" customFormat="1" outlineLevel="2" x14ac:dyDescent="0.2">
      <c r="A242" s="448" t="s">
        <v>746</v>
      </c>
      <c r="B242" s="3" t="s">
        <v>426</v>
      </c>
      <c r="C242" s="3" t="s">
        <v>424</v>
      </c>
      <c r="D242" s="3" t="s">
        <v>246</v>
      </c>
      <c r="E242" s="3" t="s">
        <v>399</v>
      </c>
      <c r="F242" s="473">
        <v>375</v>
      </c>
      <c r="G242" s="54">
        <v>95</v>
      </c>
      <c r="H242" s="54">
        <v>90.84</v>
      </c>
      <c r="I242" s="55">
        <f t="shared" si="10"/>
        <v>0.24224000000000001</v>
      </c>
      <c r="J242" s="474">
        <v>4.16</v>
      </c>
      <c r="K242" s="488">
        <v>375</v>
      </c>
      <c r="L242" s="52">
        <v>0</v>
      </c>
      <c r="M242" s="52">
        <v>0</v>
      </c>
      <c r="N242" s="53">
        <f t="shared" si="11"/>
        <v>0</v>
      </c>
      <c r="O242" s="96">
        <v>0</v>
      </c>
      <c r="P242" s="473">
        <v>375</v>
      </c>
      <c r="Q242" s="54">
        <v>375</v>
      </c>
      <c r="R242" s="54">
        <v>10.8</v>
      </c>
      <c r="S242" s="54">
        <v>0</v>
      </c>
      <c r="T242" s="55">
        <f t="shared" si="12"/>
        <v>2.8800000000000003E-2</v>
      </c>
      <c r="U242" s="564">
        <v>364.2</v>
      </c>
      <c r="V242" s="523"/>
    </row>
    <row r="243" spans="1:22" s="6" customFormat="1" outlineLevel="2" x14ac:dyDescent="0.2">
      <c r="A243" s="448" t="s">
        <v>746</v>
      </c>
      <c r="B243" s="3" t="s">
        <v>521</v>
      </c>
      <c r="C243" s="3" t="s">
        <v>522</v>
      </c>
      <c r="D243" s="3" t="s">
        <v>19</v>
      </c>
      <c r="E243" s="3" t="s">
        <v>523</v>
      </c>
      <c r="F243" s="473">
        <v>300</v>
      </c>
      <c r="G243" s="54">
        <v>300</v>
      </c>
      <c r="H243" s="54">
        <v>0</v>
      </c>
      <c r="I243" s="55">
        <f t="shared" si="10"/>
        <v>0</v>
      </c>
      <c r="J243" s="474">
        <v>300</v>
      </c>
      <c r="K243" s="488">
        <v>300</v>
      </c>
      <c r="L243" s="52">
        <v>300</v>
      </c>
      <c r="M243" s="52">
        <v>296.04000000000002</v>
      </c>
      <c r="N243" s="53">
        <f t="shared" si="11"/>
        <v>0.98680000000000012</v>
      </c>
      <c r="O243" s="96">
        <v>3.96</v>
      </c>
      <c r="P243" s="473">
        <v>300</v>
      </c>
      <c r="Q243" s="54">
        <v>300</v>
      </c>
      <c r="R243" s="54">
        <v>0</v>
      </c>
      <c r="S243" s="54">
        <v>0</v>
      </c>
      <c r="T243" s="55">
        <f t="shared" si="12"/>
        <v>0</v>
      </c>
      <c r="U243" s="564">
        <v>300</v>
      </c>
      <c r="V243" s="523"/>
    </row>
    <row r="244" spans="1:22" s="6" customFormat="1" outlineLevel="2" x14ac:dyDescent="0.2">
      <c r="A244" s="448" t="s">
        <v>746</v>
      </c>
      <c r="B244" s="3" t="s">
        <v>525</v>
      </c>
      <c r="C244" s="3" t="s">
        <v>524</v>
      </c>
      <c r="D244" s="3" t="s">
        <v>52</v>
      </c>
      <c r="E244" s="3" t="s">
        <v>523</v>
      </c>
      <c r="F244" s="473">
        <v>0</v>
      </c>
      <c r="G244" s="54">
        <v>984</v>
      </c>
      <c r="H244" s="54">
        <v>983.05</v>
      </c>
      <c r="I244" s="55">
        <v>0</v>
      </c>
      <c r="J244" s="474">
        <v>0.95</v>
      </c>
      <c r="K244" s="488">
        <v>0</v>
      </c>
      <c r="L244" s="52"/>
      <c r="M244" s="52">
        <v>982.32</v>
      </c>
      <c r="N244" s="53">
        <v>0</v>
      </c>
      <c r="O244" s="96">
        <v>-982.32</v>
      </c>
      <c r="P244" s="475"/>
      <c r="Q244" s="64"/>
      <c r="R244" s="64"/>
      <c r="S244" s="64"/>
      <c r="T244" s="55"/>
      <c r="U244" s="565"/>
      <c r="V244" s="523"/>
    </row>
    <row r="245" spans="1:22" s="6" customFormat="1" outlineLevel="2" x14ac:dyDescent="0.2">
      <c r="A245" s="448" t="s">
        <v>746</v>
      </c>
      <c r="B245" s="3" t="s">
        <v>527</v>
      </c>
      <c r="C245" s="3" t="s">
        <v>526</v>
      </c>
      <c r="D245" s="3" t="s">
        <v>17</v>
      </c>
      <c r="E245" s="3" t="s">
        <v>523</v>
      </c>
      <c r="F245" s="473">
        <v>1127</v>
      </c>
      <c r="G245" s="54">
        <v>1127</v>
      </c>
      <c r="H245" s="54">
        <v>1126.3599999999999</v>
      </c>
      <c r="I245" s="55">
        <f t="shared" si="10"/>
        <v>0.99943212067435661</v>
      </c>
      <c r="J245" s="474">
        <v>0.64</v>
      </c>
      <c r="K245" s="488">
        <v>1000</v>
      </c>
      <c r="L245" s="52">
        <v>1000</v>
      </c>
      <c r="M245" s="52">
        <v>1000</v>
      </c>
      <c r="N245" s="53">
        <f t="shared" si="11"/>
        <v>1</v>
      </c>
      <c r="O245" s="96">
        <f>1000-1000</f>
        <v>0</v>
      </c>
      <c r="P245" s="473">
        <v>1000</v>
      </c>
      <c r="Q245" s="54">
        <v>0</v>
      </c>
      <c r="R245" s="54">
        <v>0</v>
      </c>
      <c r="S245" s="54">
        <v>0</v>
      </c>
      <c r="T245" s="55">
        <f t="shared" si="12"/>
        <v>0</v>
      </c>
      <c r="U245" s="564">
        <v>0</v>
      </c>
      <c r="V245" s="523"/>
    </row>
    <row r="246" spans="1:22" s="6" customFormat="1" outlineLevel="2" x14ac:dyDescent="0.2">
      <c r="A246" s="448" t="s">
        <v>746</v>
      </c>
      <c r="B246" s="3" t="s">
        <v>528</v>
      </c>
      <c r="C246" s="3" t="s">
        <v>526</v>
      </c>
      <c r="D246" s="3" t="s">
        <v>246</v>
      </c>
      <c r="E246" s="3" t="s">
        <v>523</v>
      </c>
      <c r="F246" s="473">
        <v>364</v>
      </c>
      <c r="G246" s="54">
        <v>364</v>
      </c>
      <c r="H246" s="54">
        <v>215.68</v>
      </c>
      <c r="I246" s="55">
        <f t="shared" si="10"/>
        <v>0.59252747252747251</v>
      </c>
      <c r="J246" s="474">
        <v>148.32</v>
      </c>
      <c r="K246" s="488">
        <v>364</v>
      </c>
      <c r="L246" s="52">
        <v>0</v>
      </c>
      <c r="M246" s="52">
        <v>0</v>
      </c>
      <c r="N246" s="53">
        <f t="shared" si="11"/>
        <v>0</v>
      </c>
      <c r="O246" s="96">
        <v>0</v>
      </c>
      <c r="P246" s="473">
        <v>364</v>
      </c>
      <c r="Q246" s="54">
        <v>364</v>
      </c>
      <c r="R246" s="54">
        <v>50</v>
      </c>
      <c r="S246" s="54">
        <v>0</v>
      </c>
      <c r="T246" s="55">
        <f t="shared" si="12"/>
        <v>0.13736263736263737</v>
      </c>
      <c r="U246" s="564">
        <v>314</v>
      </c>
      <c r="V246" s="523"/>
    </row>
    <row r="247" spans="1:22" s="6" customFormat="1" outlineLevel="2" x14ac:dyDescent="0.2">
      <c r="A247" s="448" t="s">
        <v>746</v>
      </c>
      <c r="B247" s="3" t="s">
        <v>530</v>
      </c>
      <c r="C247" s="3" t="s">
        <v>529</v>
      </c>
      <c r="D247" s="3" t="s">
        <v>17</v>
      </c>
      <c r="E247" s="3" t="s">
        <v>523</v>
      </c>
      <c r="F247" s="473">
        <v>400</v>
      </c>
      <c r="G247" s="54">
        <v>400</v>
      </c>
      <c r="H247" s="54">
        <v>102.17</v>
      </c>
      <c r="I247" s="55">
        <f t="shared" si="10"/>
        <v>0.25542500000000001</v>
      </c>
      <c r="J247" s="474">
        <v>297.83</v>
      </c>
      <c r="K247" s="488">
        <v>400</v>
      </c>
      <c r="L247" s="52">
        <v>400</v>
      </c>
      <c r="M247" s="52">
        <v>136.04</v>
      </c>
      <c r="N247" s="53">
        <f t="shared" si="11"/>
        <v>0.34009999999999996</v>
      </c>
      <c r="O247" s="96">
        <f>400-136.04</f>
        <v>263.96000000000004</v>
      </c>
      <c r="P247" s="473">
        <v>400</v>
      </c>
      <c r="Q247" s="54">
        <v>0</v>
      </c>
      <c r="R247" s="54">
        <v>0</v>
      </c>
      <c r="S247" s="54">
        <v>0</v>
      </c>
      <c r="T247" s="55">
        <f t="shared" si="12"/>
        <v>0</v>
      </c>
      <c r="U247" s="564">
        <v>0</v>
      </c>
      <c r="V247" s="523"/>
    </row>
    <row r="248" spans="1:22" s="6" customFormat="1" outlineLevel="2" x14ac:dyDescent="0.2">
      <c r="A248" s="448" t="s">
        <v>746</v>
      </c>
      <c r="B248" s="3" t="s">
        <v>531</v>
      </c>
      <c r="C248" s="3" t="s">
        <v>529</v>
      </c>
      <c r="D248" s="3" t="s">
        <v>246</v>
      </c>
      <c r="E248" s="3" t="s">
        <v>523</v>
      </c>
      <c r="F248" s="473">
        <v>300</v>
      </c>
      <c r="G248" s="54">
        <v>300</v>
      </c>
      <c r="H248" s="54">
        <v>202</v>
      </c>
      <c r="I248" s="55">
        <f t="shared" si="10"/>
        <v>0.67333333333333334</v>
      </c>
      <c r="J248" s="474">
        <v>98</v>
      </c>
      <c r="K248" s="488">
        <v>300</v>
      </c>
      <c r="L248" s="52">
        <v>0</v>
      </c>
      <c r="M248" s="52">
        <v>0</v>
      </c>
      <c r="N248" s="53">
        <f t="shared" si="11"/>
        <v>0</v>
      </c>
      <c r="O248" s="96">
        <v>0</v>
      </c>
      <c r="P248" s="473">
        <v>300</v>
      </c>
      <c r="Q248" s="54">
        <v>300</v>
      </c>
      <c r="R248" s="54">
        <v>52</v>
      </c>
      <c r="S248" s="54">
        <v>0</v>
      </c>
      <c r="T248" s="55">
        <f t="shared" si="12"/>
        <v>0.17333333333333334</v>
      </c>
      <c r="U248" s="564">
        <v>248</v>
      </c>
      <c r="V248" s="523"/>
    </row>
    <row r="249" spans="1:22" s="6" customFormat="1" outlineLevel="2" x14ac:dyDescent="0.2">
      <c r="A249" s="448" t="s">
        <v>746</v>
      </c>
      <c r="B249" s="3" t="s">
        <v>533</v>
      </c>
      <c r="C249" s="3" t="s">
        <v>532</v>
      </c>
      <c r="D249" s="3" t="s">
        <v>17</v>
      </c>
      <c r="E249" s="3" t="s">
        <v>523</v>
      </c>
      <c r="F249" s="473">
        <v>0</v>
      </c>
      <c r="G249" s="54">
        <v>19</v>
      </c>
      <c r="H249" s="54">
        <v>0</v>
      </c>
      <c r="I249" s="55">
        <v>0</v>
      </c>
      <c r="J249" s="474">
        <v>19</v>
      </c>
      <c r="K249" s="488">
        <v>0</v>
      </c>
      <c r="L249" s="52">
        <v>0</v>
      </c>
      <c r="M249" s="52">
        <v>0</v>
      </c>
      <c r="N249" s="53"/>
      <c r="O249" s="96">
        <v>0</v>
      </c>
      <c r="P249" s="473">
        <v>0</v>
      </c>
      <c r="Q249" s="54">
        <v>0</v>
      </c>
      <c r="R249" s="54">
        <v>0</v>
      </c>
      <c r="S249" s="54">
        <v>0</v>
      </c>
      <c r="T249" s="55"/>
      <c r="U249" s="564">
        <v>0</v>
      </c>
      <c r="V249" s="523"/>
    </row>
    <row r="250" spans="1:22" s="6" customFormat="1" outlineLevel="2" x14ac:dyDescent="0.2">
      <c r="A250" s="448" t="s">
        <v>746</v>
      </c>
      <c r="B250" s="3" t="s">
        <v>534</v>
      </c>
      <c r="C250" s="3" t="s">
        <v>532</v>
      </c>
      <c r="D250" s="3" t="s">
        <v>246</v>
      </c>
      <c r="E250" s="3" t="s">
        <v>523</v>
      </c>
      <c r="F250" s="473">
        <v>100</v>
      </c>
      <c r="G250" s="54">
        <v>100</v>
      </c>
      <c r="H250" s="54">
        <v>100</v>
      </c>
      <c r="I250" s="55">
        <f t="shared" si="10"/>
        <v>1</v>
      </c>
      <c r="J250" s="474">
        <v>0</v>
      </c>
      <c r="K250" s="488">
        <v>0</v>
      </c>
      <c r="L250" s="52">
        <v>0</v>
      </c>
      <c r="M250" s="52">
        <v>0</v>
      </c>
      <c r="N250" s="53"/>
      <c r="O250" s="96">
        <v>0</v>
      </c>
      <c r="P250" s="475"/>
      <c r="Q250" s="64"/>
      <c r="R250" s="64"/>
      <c r="S250" s="64"/>
      <c r="T250" s="55"/>
      <c r="U250" s="565"/>
      <c r="V250" s="523"/>
    </row>
    <row r="251" spans="1:22" s="6" customFormat="1" outlineLevel="2" x14ac:dyDescent="0.2">
      <c r="A251" s="448" t="s">
        <v>746</v>
      </c>
      <c r="B251" s="3" t="s">
        <v>536</v>
      </c>
      <c r="C251" s="3" t="s">
        <v>535</v>
      </c>
      <c r="D251" s="3" t="s">
        <v>17</v>
      </c>
      <c r="E251" s="3" t="s">
        <v>523</v>
      </c>
      <c r="F251" s="473">
        <v>100</v>
      </c>
      <c r="G251" s="54">
        <v>100</v>
      </c>
      <c r="H251" s="54">
        <v>100</v>
      </c>
      <c r="I251" s="55">
        <f t="shared" si="10"/>
        <v>1</v>
      </c>
      <c r="J251" s="474">
        <v>0</v>
      </c>
      <c r="K251" s="488">
        <v>0</v>
      </c>
      <c r="L251" s="52">
        <v>0</v>
      </c>
      <c r="M251" s="52">
        <v>0</v>
      </c>
      <c r="N251" s="53"/>
      <c r="O251" s="96">
        <v>0</v>
      </c>
      <c r="P251" s="475"/>
      <c r="Q251" s="64"/>
      <c r="R251" s="64"/>
      <c r="S251" s="64"/>
      <c r="T251" s="55"/>
      <c r="U251" s="565"/>
      <c r="V251" s="523"/>
    </row>
    <row r="252" spans="1:22" s="6" customFormat="1" outlineLevel="2" x14ac:dyDescent="0.2">
      <c r="A252" s="448" t="s">
        <v>746</v>
      </c>
      <c r="B252" s="3" t="s">
        <v>537</v>
      </c>
      <c r="C252" s="3" t="s">
        <v>535</v>
      </c>
      <c r="D252" s="3" t="s">
        <v>246</v>
      </c>
      <c r="E252" s="3" t="s">
        <v>523</v>
      </c>
      <c r="F252" s="473">
        <v>200</v>
      </c>
      <c r="G252" s="54">
        <v>200</v>
      </c>
      <c r="H252" s="54">
        <v>0</v>
      </c>
      <c r="I252" s="55">
        <f t="shared" si="10"/>
        <v>0</v>
      </c>
      <c r="J252" s="474">
        <v>200</v>
      </c>
      <c r="K252" s="488">
        <v>0</v>
      </c>
      <c r="L252" s="52">
        <v>0</v>
      </c>
      <c r="M252" s="52">
        <v>0</v>
      </c>
      <c r="N252" s="53"/>
      <c r="O252" s="96">
        <v>0</v>
      </c>
      <c r="P252" s="475"/>
      <c r="Q252" s="64"/>
      <c r="R252" s="64"/>
      <c r="S252" s="64"/>
      <c r="T252" s="55"/>
      <c r="U252" s="565"/>
      <c r="V252" s="523"/>
    </row>
    <row r="253" spans="1:22" s="6" customFormat="1" outlineLevel="2" x14ac:dyDescent="0.2">
      <c r="A253" s="448" t="s">
        <v>746</v>
      </c>
      <c r="B253" s="3" t="s">
        <v>539</v>
      </c>
      <c r="C253" s="3" t="s">
        <v>538</v>
      </c>
      <c r="D253" s="3" t="s">
        <v>17</v>
      </c>
      <c r="E253" s="3" t="s">
        <v>523</v>
      </c>
      <c r="F253" s="473">
        <v>150</v>
      </c>
      <c r="G253" s="54">
        <v>0</v>
      </c>
      <c r="H253" s="54">
        <v>0</v>
      </c>
      <c r="I253" s="55">
        <f t="shared" si="10"/>
        <v>0</v>
      </c>
      <c r="J253" s="474">
        <v>0</v>
      </c>
      <c r="K253" s="488">
        <v>150</v>
      </c>
      <c r="L253" s="52">
        <v>290</v>
      </c>
      <c r="M253" s="52">
        <v>0</v>
      </c>
      <c r="N253" s="53">
        <f t="shared" si="11"/>
        <v>0</v>
      </c>
      <c r="O253" s="96">
        <v>290</v>
      </c>
      <c r="P253" s="473">
        <v>150</v>
      </c>
      <c r="Q253" s="54">
        <v>0</v>
      </c>
      <c r="R253" s="54">
        <v>0</v>
      </c>
      <c r="S253" s="54">
        <v>0</v>
      </c>
      <c r="T253" s="55">
        <f t="shared" si="12"/>
        <v>0</v>
      </c>
      <c r="U253" s="564">
        <v>0</v>
      </c>
      <c r="V253" s="523"/>
    </row>
    <row r="254" spans="1:22" s="6" customFormat="1" outlineLevel="2" x14ac:dyDescent="0.2">
      <c r="A254" s="448" t="s">
        <v>746</v>
      </c>
      <c r="B254" s="3" t="s">
        <v>540</v>
      </c>
      <c r="C254" s="3" t="s">
        <v>538</v>
      </c>
      <c r="D254" s="3" t="s">
        <v>246</v>
      </c>
      <c r="E254" s="3" t="s">
        <v>523</v>
      </c>
      <c r="F254" s="473">
        <v>140</v>
      </c>
      <c r="G254" s="54">
        <v>140</v>
      </c>
      <c r="H254" s="54">
        <v>81.2</v>
      </c>
      <c r="I254" s="55">
        <f t="shared" si="10"/>
        <v>0.58000000000000007</v>
      </c>
      <c r="J254" s="474">
        <v>58.8</v>
      </c>
      <c r="K254" s="488">
        <v>140</v>
      </c>
      <c r="L254" s="52">
        <v>0</v>
      </c>
      <c r="M254" s="52">
        <v>0</v>
      </c>
      <c r="N254" s="53">
        <f t="shared" si="11"/>
        <v>0</v>
      </c>
      <c r="O254" s="96">
        <v>0</v>
      </c>
      <c r="P254" s="473">
        <v>140</v>
      </c>
      <c r="Q254" s="54">
        <v>140</v>
      </c>
      <c r="R254" s="54">
        <v>99.04</v>
      </c>
      <c r="S254" s="54">
        <v>0</v>
      </c>
      <c r="T254" s="55">
        <f t="shared" si="12"/>
        <v>0.70742857142857152</v>
      </c>
      <c r="U254" s="564">
        <v>40.96</v>
      </c>
      <c r="V254" s="523"/>
    </row>
    <row r="255" spans="1:22" s="6" customFormat="1" outlineLevel="2" x14ac:dyDescent="0.2">
      <c r="A255" s="448" t="s">
        <v>746</v>
      </c>
      <c r="B255" s="3" t="s">
        <v>542</v>
      </c>
      <c r="C255" s="3" t="s">
        <v>541</v>
      </c>
      <c r="D255" s="3" t="s">
        <v>246</v>
      </c>
      <c r="E255" s="3" t="s">
        <v>523</v>
      </c>
      <c r="F255" s="473">
        <v>0</v>
      </c>
      <c r="G255" s="54">
        <v>81</v>
      </c>
      <c r="H255" s="54">
        <v>80.16</v>
      </c>
      <c r="I255" s="55">
        <v>0</v>
      </c>
      <c r="J255" s="474">
        <v>0.84</v>
      </c>
      <c r="K255" s="489"/>
      <c r="L255" s="65"/>
      <c r="M255" s="65"/>
      <c r="N255" s="53"/>
      <c r="O255" s="97"/>
      <c r="P255" s="475"/>
      <c r="Q255" s="64"/>
      <c r="R255" s="64"/>
      <c r="S255" s="64"/>
      <c r="T255" s="55"/>
      <c r="U255" s="565"/>
      <c r="V255" s="523"/>
    </row>
    <row r="256" spans="1:22" s="6" customFormat="1" outlineLevel="2" x14ac:dyDescent="0.2">
      <c r="A256" s="448" t="s">
        <v>746</v>
      </c>
      <c r="B256" s="3" t="s">
        <v>713</v>
      </c>
      <c r="C256" s="3" t="s">
        <v>712</v>
      </c>
      <c r="D256" s="3" t="s">
        <v>246</v>
      </c>
      <c r="E256" s="3" t="s">
        <v>710</v>
      </c>
      <c r="F256" s="473">
        <v>645</v>
      </c>
      <c r="G256" s="54">
        <v>645</v>
      </c>
      <c r="H256" s="54">
        <v>16.96</v>
      </c>
      <c r="I256" s="55">
        <f t="shared" si="10"/>
        <v>2.6294573643410854E-2</v>
      </c>
      <c r="J256" s="474">
        <v>628.04</v>
      </c>
      <c r="K256" s="488">
        <v>645</v>
      </c>
      <c r="L256" s="52">
        <v>0</v>
      </c>
      <c r="M256" s="52">
        <v>0</v>
      </c>
      <c r="N256" s="53">
        <f t="shared" si="11"/>
        <v>0</v>
      </c>
      <c r="O256" s="96">
        <v>0</v>
      </c>
      <c r="P256" s="473">
        <v>645</v>
      </c>
      <c r="Q256" s="54">
        <v>645</v>
      </c>
      <c r="R256" s="54">
        <v>0</v>
      </c>
      <c r="S256" s="54">
        <v>0</v>
      </c>
      <c r="T256" s="55">
        <f t="shared" si="12"/>
        <v>0</v>
      </c>
      <c r="U256" s="564">
        <v>645</v>
      </c>
      <c r="V256" s="523"/>
    </row>
    <row r="257" spans="1:22" s="6" customFormat="1" outlineLevel="2" x14ac:dyDescent="0.2">
      <c r="A257" s="448" t="s">
        <v>746</v>
      </c>
      <c r="B257" s="3" t="s">
        <v>714</v>
      </c>
      <c r="C257" s="3" t="s">
        <v>712</v>
      </c>
      <c r="D257" s="3" t="s">
        <v>48</v>
      </c>
      <c r="E257" s="3" t="s">
        <v>710</v>
      </c>
      <c r="F257" s="475"/>
      <c r="G257" s="64"/>
      <c r="H257" s="64"/>
      <c r="I257" s="55"/>
      <c r="J257" s="476"/>
      <c r="K257" s="488">
        <v>0</v>
      </c>
      <c r="L257" s="52">
        <v>273</v>
      </c>
      <c r="M257" s="52">
        <v>272.5</v>
      </c>
      <c r="N257" s="53">
        <v>0</v>
      </c>
      <c r="O257" s="96">
        <v>0.5</v>
      </c>
      <c r="P257" s="475"/>
      <c r="Q257" s="64"/>
      <c r="R257" s="64"/>
      <c r="S257" s="64"/>
      <c r="T257" s="55"/>
      <c r="U257" s="565"/>
      <c r="V257" s="523"/>
    </row>
    <row r="258" spans="1:22" s="6" customFormat="1" outlineLevel="1" x14ac:dyDescent="0.2">
      <c r="A258" s="366" t="s">
        <v>763</v>
      </c>
      <c r="B258" s="3"/>
      <c r="C258" s="3"/>
      <c r="D258" s="3"/>
      <c r="E258" s="3"/>
      <c r="F258" s="482">
        <f>SUBTOTAL(9,F209:F257)</f>
        <v>129900</v>
      </c>
      <c r="G258" s="10">
        <f>SUBTOTAL(9,G209:G257)</f>
        <v>154534</v>
      </c>
      <c r="H258" s="10">
        <f>SUBTOTAL(9,H209:H257)</f>
        <v>148708.10999999999</v>
      </c>
      <c r="I258" s="16">
        <f t="shared" si="10"/>
        <v>1.1447891454965358</v>
      </c>
      <c r="J258" s="99">
        <f>SUBTOTAL(9,J209:J257)</f>
        <v>5825.8899999999994</v>
      </c>
      <c r="K258" s="477">
        <f>SUBTOTAL(9,K209:K257)</f>
        <v>111400</v>
      </c>
      <c r="L258" s="9">
        <f>SUBTOTAL(9,L209:L257)</f>
        <v>102937</v>
      </c>
      <c r="M258" s="9">
        <f>SUBTOTAL(9,M209:M257)</f>
        <v>128057.2</v>
      </c>
      <c r="N258" s="16">
        <f t="shared" si="11"/>
        <v>1.1495260323159784</v>
      </c>
      <c r="O258" s="478">
        <f>SUBTOTAL(9,O209:O257)</f>
        <v>-25120.200000000008</v>
      </c>
      <c r="P258" s="482">
        <f>SUBTOTAL(9,P209:P257)</f>
        <v>111400</v>
      </c>
      <c r="Q258" s="10">
        <f>SUBTOTAL(9,Q209:Q257)</f>
        <v>111429</v>
      </c>
      <c r="R258" s="10">
        <f>SUBTOTAL(9,R209:R257)</f>
        <v>58445.420000000006</v>
      </c>
      <c r="S258" s="10">
        <f>SUBTOTAL(9,S209:S257)</f>
        <v>9531.23</v>
      </c>
      <c r="T258" s="16">
        <f t="shared" si="12"/>
        <v>0.52464470377019756</v>
      </c>
      <c r="U258" s="568">
        <f>SUBTOTAL(9,U209:U257)</f>
        <v>43452.35</v>
      </c>
      <c r="V258" s="523"/>
    </row>
    <row r="259" spans="1:22" s="6" customFormat="1" outlineLevel="2" x14ac:dyDescent="0.2">
      <c r="A259" s="448" t="s">
        <v>744</v>
      </c>
      <c r="B259" s="3" t="s">
        <v>255</v>
      </c>
      <c r="C259" s="3" t="s">
        <v>252</v>
      </c>
      <c r="D259" s="3" t="s">
        <v>17</v>
      </c>
      <c r="E259" s="3" t="s">
        <v>147</v>
      </c>
      <c r="F259" s="475"/>
      <c r="G259" s="64"/>
      <c r="H259" s="64"/>
      <c r="I259" s="55"/>
      <c r="J259" s="476"/>
      <c r="K259" s="488">
        <v>0</v>
      </c>
      <c r="L259" s="52">
        <v>3398</v>
      </c>
      <c r="M259" s="52">
        <v>0</v>
      </c>
      <c r="N259" s="53">
        <v>0</v>
      </c>
      <c r="O259" s="96">
        <v>3398</v>
      </c>
      <c r="P259" s="475"/>
      <c r="Q259" s="64"/>
      <c r="R259" s="64"/>
      <c r="S259" s="64"/>
      <c r="T259" s="55"/>
      <c r="U259" s="565"/>
      <c r="V259" s="523"/>
    </row>
    <row r="260" spans="1:22" s="6" customFormat="1" outlineLevel="2" x14ac:dyDescent="0.2">
      <c r="A260" s="448" t="s">
        <v>744</v>
      </c>
      <c r="B260" s="3" t="s">
        <v>251</v>
      </c>
      <c r="C260" s="3" t="s">
        <v>252</v>
      </c>
      <c r="D260" s="3" t="s">
        <v>19</v>
      </c>
      <c r="E260" s="3" t="s">
        <v>147</v>
      </c>
      <c r="F260" s="475"/>
      <c r="G260" s="64"/>
      <c r="H260" s="64"/>
      <c r="I260" s="55"/>
      <c r="J260" s="476"/>
      <c r="K260" s="488">
        <v>0</v>
      </c>
      <c r="L260" s="52">
        <v>2031</v>
      </c>
      <c r="M260" s="52">
        <v>1957.9</v>
      </c>
      <c r="N260" s="53">
        <v>0</v>
      </c>
      <c r="O260" s="96">
        <v>73.099999999999994</v>
      </c>
      <c r="P260" s="475"/>
      <c r="Q260" s="64"/>
      <c r="R260" s="64"/>
      <c r="S260" s="64"/>
      <c r="T260" s="55"/>
      <c r="U260" s="565"/>
      <c r="V260" s="523"/>
    </row>
    <row r="261" spans="1:22" s="6" customFormat="1" outlineLevel="2" x14ac:dyDescent="0.2">
      <c r="A261" s="448" t="s">
        <v>744</v>
      </c>
      <c r="B261" s="3" t="s">
        <v>253</v>
      </c>
      <c r="C261" s="3" t="s">
        <v>252</v>
      </c>
      <c r="D261" s="3" t="s">
        <v>23</v>
      </c>
      <c r="E261" s="3" t="s">
        <v>147</v>
      </c>
      <c r="F261" s="475"/>
      <c r="G261" s="64"/>
      <c r="H261" s="64"/>
      <c r="I261" s="55"/>
      <c r="J261" s="476"/>
      <c r="K261" s="488">
        <v>0</v>
      </c>
      <c r="L261" s="52">
        <v>1250</v>
      </c>
      <c r="M261" s="52">
        <v>0</v>
      </c>
      <c r="N261" s="53">
        <v>0</v>
      </c>
      <c r="O261" s="96">
        <v>1250</v>
      </c>
      <c r="P261" s="475"/>
      <c r="Q261" s="64"/>
      <c r="R261" s="64"/>
      <c r="S261" s="64"/>
      <c r="T261" s="55"/>
      <c r="U261" s="565"/>
      <c r="V261" s="523"/>
    </row>
    <row r="262" spans="1:22" s="6" customFormat="1" outlineLevel="2" x14ac:dyDescent="0.2">
      <c r="A262" s="448" t="s">
        <v>744</v>
      </c>
      <c r="B262" s="3" t="s">
        <v>254</v>
      </c>
      <c r="C262" s="3" t="s">
        <v>252</v>
      </c>
      <c r="D262" s="3" t="s">
        <v>51</v>
      </c>
      <c r="E262" s="3" t="s">
        <v>147</v>
      </c>
      <c r="F262" s="475"/>
      <c r="G262" s="64"/>
      <c r="H262" s="64"/>
      <c r="I262" s="55"/>
      <c r="J262" s="476"/>
      <c r="K262" s="488">
        <v>0</v>
      </c>
      <c r="L262" s="52">
        <v>23769</v>
      </c>
      <c r="M262" s="52">
        <v>23759.279999999999</v>
      </c>
      <c r="N262" s="53">
        <v>0</v>
      </c>
      <c r="O262" s="96">
        <f>23769-23759.28</f>
        <v>9.7200000000011642</v>
      </c>
      <c r="P262" s="475"/>
      <c r="Q262" s="64"/>
      <c r="R262" s="64"/>
      <c r="S262" s="64"/>
      <c r="T262" s="55"/>
      <c r="U262" s="565"/>
      <c r="V262" s="523"/>
    </row>
    <row r="263" spans="1:22" s="6" customFormat="1" outlineLevel="2" x14ac:dyDescent="0.2">
      <c r="A263" s="448" t="s">
        <v>744</v>
      </c>
      <c r="B263" s="3" t="s">
        <v>545</v>
      </c>
      <c r="C263" s="3" t="s">
        <v>543</v>
      </c>
      <c r="D263" s="3" t="s">
        <v>7</v>
      </c>
      <c r="E263" s="3" t="s">
        <v>544</v>
      </c>
      <c r="F263" s="473">
        <v>903</v>
      </c>
      <c r="G263" s="54">
        <v>903</v>
      </c>
      <c r="H263" s="54">
        <v>750.75</v>
      </c>
      <c r="I263" s="55">
        <f t="shared" ref="I263:I318" si="13">+H263/F263</f>
        <v>0.83139534883720934</v>
      </c>
      <c r="J263" s="474">
        <v>152.25</v>
      </c>
      <c r="K263" s="488">
        <v>903</v>
      </c>
      <c r="L263" s="52">
        <v>0</v>
      </c>
      <c r="M263" s="52">
        <v>0</v>
      </c>
      <c r="N263" s="53">
        <f t="shared" ref="N263:N318" si="14">+M263/K263</f>
        <v>0</v>
      </c>
      <c r="O263" s="96">
        <v>0</v>
      </c>
      <c r="P263" s="473">
        <v>903</v>
      </c>
      <c r="Q263" s="54">
        <v>903</v>
      </c>
      <c r="R263" s="54">
        <v>0</v>
      </c>
      <c r="S263" s="54">
        <v>0</v>
      </c>
      <c r="T263" s="55">
        <f t="shared" ref="T263:T318" si="15">+R263/P263</f>
        <v>0</v>
      </c>
      <c r="U263" s="564">
        <v>903</v>
      </c>
      <c r="V263" s="523"/>
    </row>
    <row r="264" spans="1:22" s="6" customFormat="1" outlineLevel="2" x14ac:dyDescent="0.2">
      <c r="A264" s="448" t="s">
        <v>744</v>
      </c>
      <c r="B264" s="3" t="s">
        <v>546</v>
      </c>
      <c r="C264" s="3" t="s">
        <v>543</v>
      </c>
      <c r="D264" s="3" t="s">
        <v>19</v>
      </c>
      <c r="E264" s="3" t="s">
        <v>544</v>
      </c>
      <c r="F264" s="473">
        <v>513</v>
      </c>
      <c r="G264" s="54">
        <v>513</v>
      </c>
      <c r="H264" s="54">
        <v>500.21</v>
      </c>
      <c r="I264" s="55">
        <f t="shared" si="13"/>
        <v>0.97506822612085764</v>
      </c>
      <c r="J264" s="474">
        <v>12.79</v>
      </c>
      <c r="K264" s="488">
        <v>513</v>
      </c>
      <c r="L264" s="52">
        <v>513</v>
      </c>
      <c r="M264" s="52">
        <v>477.45</v>
      </c>
      <c r="N264" s="53">
        <f t="shared" si="14"/>
        <v>0.93070175438596492</v>
      </c>
      <c r="O264" s="96">
        <v>35.549999999999997</v>
      </c>
      <c r="P264" s="473">
        <v>513</v>
      </c>
      <c r="Q264" s="54">
        <v>513</v>
      </c>
      <c r="R264" s="54">
        <v>450</v>
      </c>
      <c r="S264" s="54">
        <v>0</v>
      </c>
      <c r="T264" s="55">
        <f t="shared" si="15"/>
        <v>0.8771929824561403</v>
      </c>
      <c r="U264" s="564">
        <v>63</v>
      </c>
      <c r="V264" s="523"/>
    </row>
    <row r="265" spans="1:22" s="6" customFormat="1" outlineLevel="2" x14ac:dyDescent="0.2">
      <c r="A265" s="448" t="s">
        <v>744</v>
      </c>
      <c r="B265" s="3" t="s">
        <v>547</v>
      </c>
      <c r="C265" s="3" t="s">
        <v>543</v>
      </c>
      <c r="D265" s="3" t="s">
        <v>23</v>
      </c>
      <c r="E265" s="3" t="s">
        <v>544</v>
      </c>
      <c r="F265" s="473">
        <v>71</v>
      </c>
      <c r="G265" s="54">
        <v>101</v>
      </c>
      <c r="H265" s="54">
        <v>100.65</v>
      </c>
      <c r="I265" s="55">
        <f t="shared" si="13"/>
        <v>1.4176056338028169</v>
      </c>
      <c r="J265" s="474">
        <v>0.35</v>
      </c>
      <c r="K265" s="488">
        <v>71</v>
      </c>
      <c r="L265" s="52">
        <v>71</v>
      </c>
      <c r="M265" s="52">
        <v>39.5</v>
      </c>
      <c r="N265" s="53">
        <f t="shared" si="14"/>
        <v>0.55633802816901412</v>
      </c>
      <c r="O265" s="96">
        <v>31.5</v>
      </c>
      <c r="P265" s="473">
        <v>71</v>
      </c>
      <c r="Q265" s="54">
        <v>71</v>
      </c>
      <c r="R265" s="54">
        <v>12</v>
      </c>
      <c r="S265" s="54">
        <v>0</v>
      </c>
      <c r="T265" s="55">
        <f t="shared" si="15"/>
        <v>0.16901408450704225</v>
      </c>
      <c r="U265" s="564">
        <v>59</v>
      </c>
      <c r="V265" s="523"/>
    </row>
    <row r="266" spans="1:22" s="6" customFormat="1" outlineLevel="2" x14ac:dyDescent="0.2">
      <c r="A266" s="448" t="s">
        <v>744</v>
      </c>
      <c r="B266" s="3" t="s">
        <v>548</v>
      </c>
      <c r="C266" s="3" t="s">
        <v>543</v>
      </c>
      <c r="D266" s="3" t="s">
        <v>25</v>
      </c>
      <c r="E266" s="3" t="s">
        <v>544</v>
      </c>
      <c r="F266" s="473">
        <v>0</v>
      </c>
      <c r="G266" s="54">
        <v>0</v>
      </c>
      <c r="H266" s="54">
        <v>0</v>
      </c>
      <c r="I266" s="55"/>
      <c r="J266" s="474">
        <v>0</v>
      </c>
      <c r="K266" s="488">
        <v>0</v>
      </c>
      <c r="L266" s="52">
        <v>0</v>
      </c>
      <c r="M266" s="52">
        <v>0</v>
      </c>
      <c r="N266" s="53"/>
      <c r="O266" s="96">
        <v>0</v>
      </c>
      <c r="P266" s="473">
        <v>0</v>
      </c>
      <c r="Q266" s="54">
        <v>0</v>
      </c>
      <c r="R266" s="54">
        <v>211.07</v>
      </c>
      <c r="S266" s="54">
        <v>0</v>
      </c>
      <c r="T266" s="55">
        <v>0</v>
      </c>
      <c r="U266" s="564">
        <v>-211.07</v>
      </c>
      <c r="V266" s="523"/>
    </row>
    <row r="267" spans="1:22" s="6" customFormat="1" outlineLevel="2" x14ac:dyDescent="0.2">
      <c r="A267" s="448" t="s">
        <v>744</v>
      </c>
      <c r="B267" s="3" t="s">
        <v>549</v>
      </c>
      <c r="C267" s="3" t="s">
        <v>543</v>
      </c>
      <c r="D267" s="3" t="s">
        <v>31</v>
      </c>
      <c r="E267" s="3" t="s">
        <v>544</v>
      </c>
      <c r="F267" s="473">
        <v>1152</v>
      </c>
      <c r="G267" s="54">
        <v>1540</v>
      </c>
      <c r="H267" s="54">
        <v>1539.71</v>
      </c>
      <c r="I267" s="55">
        <f t="shared" si="13"/>
        <v>1.3365538194444444</v>
      </c>
      <c r="J267" s="474">
        <v>0.28999999999999998</v>
      </c>
      <c r="K267" s="488">
        <v>2610</v>
      </c>
      <c r="L267" s="52">
        <v>2610</v>
      </c>
      <c r="M267" s="52">
        <v>2610</v>
      </c>
      <c r="N267" s="53">
        <f t="shared" si="14"/>
        <v>1</v>
      </c>
      <c r="O267" s="96">
        <v>0</v>
      </c>
      <c r="P267" s="473">
        <v>2610</v>
      </c>
      <c r="Q267" s="54">
        <v>2610</v>
      </c>
      <c r="R267" s="54">
        <v>744.95</v>
      </c>
      <c r="S267" s="54">
        <v>0</v>
      </c>
      <c r="T267" s="55">
        <f t="shared" si="15"/>
        <v>0.28542145593869733</v>
      </c>
      <c r="U267" s="564">
        <v>1865.05</v>
      </c>
      <c r="V267" s="523"/>
    </row>
    <row r="268" spans="1:22" s="6" customFormat="1" outlineLevel="2" x14ac:dyDescent="0.2">
      <c r="A268" s="448" t="s">
        <v>744</v>
      </c>
      <c r="B268" s="3" t="s">
        <v>550</v>
      </c>
      <c r="C268" s="3" t="s">
        <v>543</v>
      </c>
      <c r="D268" s="3" t="s">
        <v>48</v>
      </c>
      <c r="E268" s="3" t="s">
        <v>544</v>
      </c>
      <c r="F268" s="473">
        <v>73</v>
      </c>
      <c r="G268" s="54">
        <v>73</v>
      </c>
      <c r="H268" s="54">
        <v>22.55</v>
      </c>
      <c r="I268" s="55">
        <f t="shared" si="13"/>
        <v>0.30890410958904113</v>
      </c>
      <c r="J268" s="474">
        <v>50.45</v>
      </c>
      <c r="K268" s="488">
        <v>73</v>
      </c>
      <c r="L268" s="52">
        <v>73</v>
      </c>
      <c r="M268" s="52">
        <v>36.909999999999997</v>
      </c>
      <c r="N268" s="53">
        <f t="shared" si="14"/>
        <v>0.50561643835616432</v>
      </c>
      <c r="O268" s="96">
        <v>36.090000000000003</v>
      </c>
      <c r="P268" s="473">
        <v>73</v>
      </c>
      <c r="Q268" s="54">
        <v>73</v>
      </c>
      <c r="R268" s="54">
        <v>0</v>
      </c>
      <c r="S268" s="54">
        <v>0</v>
      </c>
      <c r="T268" s="55">
        <f t="shared" si="15"/>
        <v>0</v>
      </c>
      <c r="U268" s="564">
        <v>73</v>
      </c>
      <c r="V268" s="523"/>
    </row>
    <row r="269" spans="1:22" s="6" customFormat="1" outlineLevel="2" x14ac:dyDescent="0.2">
      <c r="A269" s="448" t="s">
        <v>744</v>
      </c>
      <c r="B269" s="3" t="s">
        <v>552</v>
      </c>
      <c r="C269" s="3" t="s">
        <v>551</v>
      </c>
      <c r="D269" s="3" t="s">
        <v>9</v>
      </c>
      <c r="E269" s="3" t="s">
        <v>544</v>
      </c>
      <c r="F269" s="475"/>
      <c r="G269" s="64"/>
      <c r="H269" s="64"/>
      <c r="I269" s="55"/>
      <c r="J269" s="476"/>
      <c r="K269" s="488">
        <v>0</v>
      </c>
      <c r="L269" s="52">
        <v>23162</v>
      </c>
      <c r="M269" s="52">
        <v>24222</v>
      </c>
      <c r="N269" s="53">
        <v>0</v>
      </c>
      <c r="O269" s="96">
        <v>-1060</v>
      </c>
      <c r="P269" s="473">
        <v>0</v>
      </c>
      <c r="Q269" s="54">
        <v>0</v>
      </c>
      <c r="R269" s="54">
        <v>0</v>
      </c>
      <c r="S269" s="54">
        <v>0</v>
      </c>
      <c r="T269" s="55"/>
      <c r="U269" s="564">
        <v>0</v>
      </c>
      <c r="V269" s="523"/>
    </row>
    <row r="270" spans="1:22" s="6" customFormat="1" outlineLevel="2" x14ac:dyDescent="0.2">
      <c r="A270" s="448" t="s">
        <v>744</v>
      </c>
      <c r="B270" s="3" t="s">
        <v>553</v>
      </c>
      <c r="C270" s="3" t="s">
        <v>554</v>
      </c>
      <c r="D270" s="3" t="s">
        <v>19</v>
      </c>
      <c r="E270" s="3" t="s">
        <v>544</v>
      </c>
      <c r="F270" s="473">
        <v>349</v>
      </c>
      <c r="G270" s="54">
        <v>349</v>
      </c>
      <c r="H270" s="54">
        <v>325.86</v>
      </c>
      <c r="I270" s="55">
        <f t="shared" si="13"/>
        <v>0.93369627507163333</v>
      </c>
      <c r="J270" s="474">
        <v>23.14</v>
      </c>
      <c r="K270" s="489"/>
      <c r="L270" s="65"/>
      <c r="M270" s="65"/>
      <c r="N270" s="53"/>
      <c r="O270" s="97"/>
      <c r="P270" s="475"/>
      <c r="Q270" s="64"/>
      <c r="R270" s="64"/>
      <c r="S270" s="64"/>
      <c r="T270" s="55"/>
      <c r="U270" s="565"/>
      <c r="V270" s="523"/>
    </row>
    <row r="271" spans="1:22" s="6" customFormat="1" outlineLevel="2" x14ac:dyDescent="0.2">
      <c r="A271" s="448" t="s">
        <v>744</v>
      </c>
      <c r="B271" s="3" t="s">
        <v>555</v>
      </c>
      <c r="C271" s="3" t="s">
        <v>554</v>
      </c>
      <c r="D271" s="3" t="s">
        <v>23</v>
      </c>
      <c r="E271" s="3" t="s">
        <v>544</v>
      </c>
      <c r="F271" s="473">
        <v>319</v>
      </c>
      <c r="G271" s="54">
        <v>319</v>
      </c>
      <c r="H271" s="54">
        <v>0</v>
      </c>
      <c r="I271" s="55">
        <f t="shared" si="13"/>
        <v>0</v>
      </c>
      <c r="J271" s="474">
        <v>319</v>
      </c>
      <c r="K271" s="489"/>
      <c r="L271" s="65"/>
      <c r="M271" s="65"/>
      <c r="N271" s="53"/>
      <c r="O271" s="97"/>
      <c r="P271" s="475"/>
      <c r="Q271" s="64"/>
      <c r="R271" s="64"/>
      <c r="S271" s="64"/>
      <c r="T271" s="55"/>
      <c r="U271" s="565"/>
      <c r="V271" s="523"/>
    </row>
    <row r="272" spans="1:22" s="6" customFormat="1" outlineLevel="2" x14ac:dyDescent="0.2">
      <c r="A272" s="448" t="s">
        <v>744</v>
      </c>
      <c r="B272" s="3" t="s">
        <v>556</v>
      </c>
      <c r="C272" s="3" t="s">
        <v>557</v>
      </c>
      <c r="D272" s="3" t="s">
        <v>7</v>
      </c>
      <c r="E272" s="3" t="s">
        <v>544</v>
      </c>
      <c r="F272" s="473">
        <v>1187</v>
      </c>
      <c r="G272" s="54">
        <v>2538</v>
      </c>
      <c r="H272" s="54">
        <v>2537.7600000000002</v>
      </c>
      <c r="I272" s="55">
        <f t="shared" si="13"/>
        <v>2.1379612468407752</v>
      </c>
      <c r="J272" s="474">
        <v>0.24</v>
      </c>
      <c r="K272" s="488">
        <v>2655</v>
      </c>
      <c r="L272" s="52">
        <v>3205</v>
      </c>
      <c r="M272" s="52">
        <v>3197.25</v>
      </c>
      <c r="N272" s="53">
        <f t="shared" si="14"/>
        <v>1.2042372881355932</v>
      </c>
      <c r="O272" s="96">
        <v>7.75</v>
      </c>
      <c r="P272" s="473">
        <v>2655</v>
      </c>
      <c r="Q272" s="54">
        <v>2655</v>
      </c>
      <c r="R272" s="54">
        <v>0</v>
      </c>
      <c r="S272" s="54">
        <v>0</v>
      </c>
      <c r="T272" s="55">
        <f t="shared" si="15"/>
        <v>0</v>
      </c>
      <c r="U272" s="564">
        <v>2655</v>
      </c>
      <c r="V272" s="523"/>
    </row>
    <row r="273" spans="1:22" s="6" customFormat="1" outlineLevel="2" x14ac:dyDescent="0.2">
      <c r="A273" s="448" t="s">
        <v>744</v>
      </c>
      <c r="B273" s="3" t="s">
        <v>558</v>
      </c>
      <c r="C273" s="3" t="s">
        <v>557</v>
      </c>
      <c r="D273" s="3" t="s">
        <v>19</v>
      </c>
      <c r="E273" s="3" t="s">
        <v>544</v>
      </c>
      <c r="F273" s="473">
        <v>433</v>
      </c>
      <c r="G273" s="54">
        <v>833</v>
      </c>
      <c r="H273" s="54">
        <v>386.12</v>
      </c>
      <c r="I273" s="55">
        <f t="shared" si="13"/>
        <v>0.89173210161662819</v>
      </c>
      <c r="J273" s="474">
        <v>446.88</v>
      </c>
      <c r="K273" s="488">
        <v>782</v>
      </c>
      <c r="L273" s="52">
        <v>782</v>
      </c>
      <c r="M273" s="52">
        <v>722.56</v>
      </c>
      <c r="N273" s="53">
        <f t="shared" si="14"/>
        <v>0.92398976982097181</v>
      </c>
      <c r="O273" s="96">
        <v>59.44</v>
      </c>
      <c r="P273" s="473">
        <v>782</v>
      </c>
      <c r="Q273" s="54">
        <v>782</v>
      </c>
      <c r="R273" s="54">
        <v>423.87</v>
      </c>
      <c r="S273" s="54">
        <v>0</v>
      </c>
      <c r="T273" s="55">
        <f t="shared" si="15"/>
        <v>0.54203324808184139</v>
      </c>
      <c r="U273" s="564">
        <v>358.13</v>
      </c>
      <c r="V273" s="523"/>
    </row>
    <row r="274" spans="1:22" s="6" customFormat="1" outlineLevel="2" x14ac:dyDescent="0.2">
      <c r="A274" s="448" t="s">
        <v>744</v>
      </c>
      <c r="B274" s="3" t="s">
        <v>559</v>
      </c>
      <c r="C274" s="3" t="s">
        <v>557</v>
      </c>
      <c r="D274" s="3" t="s">
        <v>23</v>
      </c>
      <c r="E274" s="3" t="s">
        <v>544</v>
      </c>
      <c r="F274" s="473">
        <v>71</v>
      </c>
      <c r="G274" s="54">
        <v>580</v>
      </c>
      <c r="H274" s="54">
        <v>579.29999999999995</v>
      </c>
      <c r="I274" s="55">
        <f t="shared" si="13"/>
        <v>8.1591549295774648</v>
      </c>
      <c r="J274" s="474">
        <v>0.7</v>
      </c>
      <c r="K274" s="488">
        <v>390</v>
      </c>
      <c r="L274" s="52">
        <v>682</v>
      </c>
      <c r="M274" s="52">
        <v>681.95</v>
      </c>
      <c r="N274" s="53">
        <f t="shared" si="14"/>
        <v>1.7485897435897437</v>
      </c>
      <c r="O274" s="96">
        <v>0.05</v>
      </c>
      <c r="P274" s="473">
        <v>390</v>
      </c>
      <c r="Q274" s="54">
        <v>390</v>
      </c>
      <c r="R274" s="54">
        <v>126.65</v>
      </c>
      <c r="S274" s="54">
        <v>0</v>
      </c>
      <c r="T274" s="55">
        <f t="shared" si="15"/>
        <v>0.32474358974358974</v>
      </c>
      <c r="U274" s="564">
        <v>263.35000000000002</v>
      </c>
      <c r="V274" s="523"/>
    </row>
    <row r="275" spans="1:22" s="6" customFormat="1" outlineLevel="2" x14ac:dyDescent="0.2">
      <c r="A275" s="448" t="s">
        <v>744</v>
      </c>
      <c r="B275" s="3" t="s">
        <v>560</v>
      </c>
      <c r="C275" s="3" t="s">
        <v>557</v>
      </c>
      <c r="D275" s="3" t="s">
        <v>115</v>
      </c>
      <c r="E275" s="3" t="s">
        <v>544</v>
      </c>
      <c r="F275" s="473">
        <v>369</v>
      </c>
      <c r="G275" s="54">
        <v>69</v>
      </c>
      <c r="H275" s="54">
        <v>69</v>
      </c>
      <c r="I275" s="55">
        <f t="shared" si="13"/>
        <v>0.18699186991869918</v>
      </c>
      <c r="J275" s="474">
        <v>0</v>
      </c>
      <c r="K275" s="488">
        <v>369</v>
      </c>
      <c r="L275" s="52">
        <v>69</v>
      </c>
      <c r="M275" s="52">
        <v>0</v>
      </c>
      <c r="N275" s="53">
        <f t="shared" si="14"/>
        <v>0</v>
      </c>
      <c r="O275" s="96">
        <v>69</v>
      </c>
      <c r="P275" s="473">
        <v>369</v>
      </c>
      <c r="Q275" s="54">
        <v>369</v>
      </c>
      <c r="R275" s="54">
        <v>0</v>
      </c>
      <c r="S275" s="54">
        <v>0</v>
      </c>
      <c r="T275" s="55">
        <f t="shared" si="15"/>
        <v>0</v>
      </c>
      <c r="U275" s="564">
        <v>369</v>
      </c>
      <c r="V275" s="523"/>
    </row>
    <row r="276" spans="1:22" s="6" customFormat="1" outlineLevel="2" x14ac:dyDescent="0.2">
      <c r="A276" s="448" t="s">
        <v>744</v>
      </c>
      <c r="B276" s="3" t="s">
        <v>561</v>
      </c>
      <c r="C276" s="3" t="s">
        <v>557</v>
      </c>
      <c r="D276" s="3" t="s">
        <v>51</v>
      </c>
      <c r="E276" s="3" t="s">
        <v>544</v>
      </c>
      <c r="F276" s="473">
        <v>969</v>
      </c>
      <c r="G276" s="54">
        <v>0</v>
      </c>
      <c r="H276" s="54">
        <v>0</v>
      </c>
      <c r="I276" s="55">
        <f t="shared" si="13"/>
        <v>0</v>
      </c>
      <c r="J276" s="474">
        <v>0</v>
      </c>
      <c r="K276" s="489"/>
      <c r="L276" s="65"/>
      <c r="M276" s="65"/>
      <c r="N276" s="53"/>
      <c r="O276" s="97"/>
      <c r="P276" s="475"/>
      <c r="Q276" s="64"/>
      <c r="R276" s="64"/>
      <c r="S276" s="64"/>
      <c r="T276" s="55"/>
      <c r="U276" s="565"/>
      <c r="V276" s="523"/>
    </row>
    <row r="277" spans="1:22" s="6" customFormat="1" outlineLevel="2" x14ac:dyDescent="0.2">
      <c r="A277" s="448" t="s">
        <v>744</v>
      </c>
      <c r="B277" s="3" t="s">
        <v>605</v>
      </c>
      <c r="C277" s="3" t="s">
        <v>603</v>
      </c>
      <c r="D277" s="3" t="s">
        <v>141</v>
      </c>
      <c r="E277" s="3" t="s">
        <v>604</v>
      </c>
      <c r="F277" s="480"/>
      <c r="G277" s="440"/>
      <c r="H277" s="440"/>
      <c r="I277" s="55"/>
      <c r="J277" s="481"/>
      <c r="K277" s="490">
        <v>0</v>
      </c>
      <c r="L277" s="121">
        <v>6938</v>
      </c>
      <c r="M277" s="121">
        <v>6247.91</v>
      </c>
      <c r="N277" s="53">
        <v>0</v>
      </c>
      <c r="O277" s="96">
        <v>690.09</v>
      </c>
      <c r="P277" s="479">
        <v>0</v>
      </c>
      <c r="Q277" s="56">
        <v>0</v>
      </c>
      <c r="R277" s="56">
        <v>1615.38</v>
      </c>
      <c r="S277" s="56">
        <v>0</v>
      </c>
      <c r="T277" s="55">
        <v>0</v>
      </c>
      <c r="U277" s="564">
        <v>-1615.38</v>
      </c>
      <c r="V277" s="523"/>
    </row>
    <row r="278" spans="1:22" s="6" customFormat="1" outlineLevel="2" x14ac:dyDescent="0.2">
      <c r="A278" s="448" t="s">
        <v>744</v>
      </c>
      <c r="B278" s="3" t="s">
        <v>606</v>
      </c>
      <c r="C278" s="3" t="s">
        <v>603</v>
      </c>
      <c r="D278" s="3" t="s">
        <v>9</v>
      </c>
      <c r="E278" s="3" t="s">
        <v>604</v>
      </c>
      <c r="F278" s="475"/>
      <c r="G278" s="64"/>
      <c r="H278" s="64"/>
      <c r="I278" s="55"/>
      <c r="J278" s="476"/>
      <c r="K278" s="489">
        <v>6500</v>
      </c>
      <c r="L278" s="65">
        <v>6500</v>
      </c>
      <c r="M278" s="65"/>
      <c r="N278" s="53">
        <f t="shared" si="14"/>
        <v>0</v>
      </c>
      <c r="O278" s="97"/>
      <c r="P278" s="473">
        <v>6500</v>
      </c>
      <c r="Q278" s="54">
        <v>6500</v>
      </c>
      <c r="R278" s="54">
        <v>22183.5</v>
      </c>
      <c r="S278" s="54">
        <v>0</v>
      </c>
      <c r="T278" s="55">
        <f t="shared" si="15"/>
        <v>3.4128461538461536</v>
      </c>
      <c r="U278" s="564">
        <f>-22183.5+6500</f>
        <v>-15683.5</v>
      </c>
      <c r="V278" s="523"/>
    </row>
    <row r="279" spans="1:22" s="6" customFormat="1" outlineLevel="2" x14ac:dyDescent="0.2">
      <c r="A279" s="448" t="s">
        <v>744</v>
      </c>
      <c r="B279" s="3" t="s">
        <v>607</v>
      </c>
      <c r="C279" s="3" t="s">
        <v>603</v>
      </c>
      <c r="D279" s="3" t="s">
        <v>27</v>
      </c>
      <c r="E279" s="3" t="s">
        <v>604</v>
      </c>
      <c r="F279" s="473">
        <v>458</v>
      </c>
      <c r="G279" s="54">
        <v>458</v>
      </c>
      <c r="H279" s="54">
        <v>458</v>
      </c>
      <c r="I279" s="55">
        <f t="shared" si="13"/>
        <v>1</v>
      </c>
      <c r="J279" s="474">
        <v>0</v>
      </c>
      <c r="K279" s="488">
        <v>0</v>
      </c>
      <c r="L279" s="52">
        <v>0</v>
      </c>
      <c r="M279" s="52">
        <v>0</v>
      </c>
      <c r="N279" s="53"/>
      <c r="O279" s="96">
        <v>0</v>
      </c>
      <c r="P279" s="475"/>
      <c r="Q279" s="64"/>
      <c r="R279" s="64"/>
      <c r="S279" s="64"/>
      <c r="T279" s="55"/>
      <c r="U279" s="565"/>
      <c r="V279" s="523"/>
    </row>
    <row r="280" spans="1:22" s="6" customFormat="1" outlineLevel="2" x14ac:dyDescent="0.2">
      <c r="A280" s="448" t="s">
        <v>744</v>
      </c>
      <c r="B280" s="3" t="s">
        <v>608</v>
      </c>
      <c r="C280" s="3" t="s">
        <v>603</v>
      </c>
      <c r="D280" s="3" t="s">
        <v>29</v>
      </c>
      <c r="E280" s="3" t="s">
        <v>604</v>
      </c>
      <c r="F280" s="475"/>
      <c r="G280" s="64"/>
      <c r="H280" s="64"/>
      <c r="I280" s="55"/>
      <c r="J280" s="476"/>
      <c r="K280" s="488">
        <v>0</v>
      </c>
      <c r="L280" s="52">
        <v>6062</v>
      </c>
      <c r="M280" s="52">
        <v>6062.14</v>
      </c>
      <c r="N280" s="53">
        <v>0</v>
      </c>
      <c r="O280" s="96">
        <v>-0.14000000000000001</v>
      </c>
      <c r="P280" s="475"/>
      <c r="Q280" s="64"/>
      <c r="R280" s="64"/>
      <c r="S280" s="64"/>
      <c r="T280" s="55"/>
      <c r="U280" s="565"/>
      <c r="V280" s="523"/>
    </row>
    <row r="281" spans="1:22" s="6" customFormat="1" outlineLevel="2" x14ac:dyDescent="0.2">
      <c r="A281" s="448" t="s">
        <v>744</v>
      </c>
      <c r="B281" s="3" t="s">
        <v>633</v>
      </c>
      <c r="C281" s="3" t="s">
        <v>631</v>
      </c>
      <c r="D281" s="3" t="s">
        <v>313</v>
      </c>
      <c r="E281" s="3" t="s">
        <v>632</v>
      </c>
      <c r="F281" s="473">
        <v>0</v>
      </c>
      <c r="G281" s="54">
        <v>243</v>
      </c>
      <c r="H281" s="54">
        <v>242.25</v>
      </c>
      <c r="I281" s="55">
        <v>0</v>
      </c>
      <c r="J281" s="474">
        <v>0.75</v>
      </c>
      <c r="K281" s="489"/>
      <c r="L281" s="65"/>
      <c r="M281" s="65"/>
      <c r="N281" s="53"/>
      <c r="O281" s="97"/>
      <c r="P281" s="475"/>
      <c r="Q281" s="64"/>
      <c r="R281" s="64"/>
      <c r="S281" s="64"/>
      <c r="T281" s="55"/>
      <c r="U281" s="565"/>
      <c r="V281" s="523"/>
    </row>
    <row r="282" spans="1:22" s="6" customFormat="1" outlineLevel="2" x14ac:dyDescent="0.2">
      <c r="A282" s="448" t="s">
        <v>744</v>
      </c>
      <c r="B282" s="3" t="s">
        <v>634</v>
      </c>
      <c r="C282" s="3" t="s">
        <v>631</v>
      </c>
      <c r="D282" s="3" t="s">
        <v>635</v>
      </c>
      <c r="E282" s="3" t="s">
        <v>632</v>
      </c>
      <c r="F282" s="473">
        <v>0</v>
      </c>
      <c r="G282" s="54">
        <v>0</v>
      </c>
      <c r="H282" s="54">
        <v>0</v>
      </c>
      <c r="I282" s="55"/>
      <c r="J282" s="474">
        <v>0</v>
      </c>
      <c r="K282" s="489"/>
      <c r="L282" s="65"/>
      <c r="M282" s="65"/>
      <c r="N282" s="53"/>
      <c r="O282" s="97"/>
      <c r="P282" s="475"/>
      <c r="Q282" s="64"/>
      <c r="R282" s="64"/>
      <c r="S282" s="64"/>
      <c r="T282" s="55"/>
      <c r="U282" s="565"/>
      <c r="V282" s="523"/>
    </row>
    <row r="283" spans="1:22" s="6" customFormat="1" outlineLevel="1" x14ac:dyDescent="0.2">
      <c r="A283" s="366" t="s">
        <v>764</v>
      </c>
      <c r="B283" s="3"/>
      <c r="C283" s="3"/>
      <c r="D283" s="3"/>
      <c r="E283" s="3"/>
      <c r="F283" s="477">
        <f>SUBTOTAL(9,F259:F282)</f>
        <v>6867</v>
      </c>
      <c r="G283" s="9">
        <f>SUBTOTAL(9,G259:G282)</f>
        <v>8519</v>
      </c>
      <c r="H283" s="9">
        <f>SUBTOTAL(9,H259:H282)</f>
        <v>7512.1600000000008</v>
      </c>
      <c r="I283" s="16">
        <f t="shared" si="13"/>
        <v>1.0939507790883938</v>
      </c>
      <c r="J283" s="478">
        <f>SUBTOTAL(9,J259:J282)</f>
        <v>1006.84</v>
      </c>
      <c r="K283" s="482">
        <f>SUBTOTAL(9,K259:K282)</f>
        <v>14866</v>
      </c>
      <c r="L283" s="10">
        <f>SUBTOTAL(9,L259:L282)</f>
        <v>81115</v>
      </c>
      <c r="M283" s="10">
        <f>SUBTOTAL(9,M259:M282)</f>
        <v>70014.849999999991</v>
      </c>
      <c r="N283" s="16">
        <f t="shared" si="14"/>
        <v>4.709730256962195</v>
      </c>
      <c r="O283" s="99">
        <f>SUBTOTAL(9,O259:O282)</f>
        <v>4600.1500000000015</v>
      </c>
      <c r="P283" s="482">
        <f>SUBTOTAL(9,P259:P282)</f>
        <v>14866</v>
      </c>
      <c r="Q283" s="10">
        <f>SUBTOTAL(9,Q259:Q282)</f>
        <v>14866</v>
      </c>
      <c r="R283" s="10">
        <f>SUBTOTAL(9,R259:R282)</f>
        <v>25767.42</v>
      </c>
      <c r="S283" s="10">
        <f>SUBTOTAL(9,S259:S282)</f>
        <v>0</v>
      </c>
      <c r="T283" s="16">
        <f t="shared" si="15"/>
        <v>1.7333122561549845</v>
      </c>
      <c r="U283" s="568">
        <f>SUBTOTAL(9,U259:U282)</f>
        <v>-10901.42</v>
      </c>
      <c r="V283" s="523"/>
    </row>
    <row r="284" spans="1:22" s="6" customFormat="1" outlineLevel="2" x14ac:dyDescent="0.2">
      <c r="A284" s="448" t="s">
        <v>739</v>
      </c>
      <c r="B284" s="3" t="s">
        <v>79</v>
      </c>
      <c r="C284" s="3" t="s">
        <v>75</v>
      </c>
      <c r="D284" s="3" t="s">
        <v>58</v>
      </c>
      <c r="E284" s="3" t="s">
        <v>76</v>
      </c>
      <c r="F284" s="473">
        <v>0</v>
      </c>
      <c r="G284" s="54">
        <v>800</v>
      </c>
      <c r="H284" s="54">
        <v>364.23</v>
      </c>
      <c r="I284" s="55">
        <v>0</v>
      </c>
      <c r="J284" s="474">
        <v>435.77</v>
      </c>
      <c r="K284" s="489"/>
      <c r="L284" s="65"/>
      <c r="M284" s="65"/>
      <c r="N284" s="53"/>
      <c r="O284" s="97"/>
      <c r="P284" s="475"/>
      <c r="Q284" s="64"/>
      <c r="R284" s="64"/>
      <c r="S284" s="64"/>
      <c r="T284" s="55"/>
      <c r="U284" s="565"/>
      <c r="V284" s="523"/>
    </row>
    <row r="285" spans="1:22" s="6" customFormat="1" outlineLevel="2" x14ac:dyDescent="0.2">
      <c r="A285" s="448" t="s">
        <v>739</v>
      </c>
      <c r="B285" s="3" t="s">
        <v>80</v>
      </c>
      <c r="C285" s="3" t="s">
        <v>75</v>
      </c>
      <c r="D285" s="3" t="s">
        <v>7</v>
      </c>
      <c r="E285" s="3" t="s">
        <v>76</v>
      </c>
      <c r="F285" s="475"/>
      <c r="G285" s="64"/>
      <c r="H285" s="64"/>
      <c r="I285" s="55"/>
      <c r="J285" s="476"/>
      <c r="K285" s="488">
        <v>0</v>
      </c>
      <c r="L285" s="52">
        <v>1720</v>
      </c>
      <c r="M285" s="52">
        <v>1720.31</v>
      </c>
      <c r="N285" s="53">
        <v>0</v>
      </c>
      <c r="O285" s="96">
        <v>-0.31</v>
      </c>
      <c r="P285" s="475"/>
      <c r="Q285" s="64"/>
      <c r="R285" s="64"/>
      <c r="S285" s="64"/>
      <c r="T285" s="55"/>
      <c r="U285" s="565"/>
      <c r="V285" s="523"/>
    </row>
    <row r="286" spans="1:22" s="6" customFormat="1" outlineLevel="2" x14ac:dyDescent="0.2">
      <c r="A286" s="448" t="s">
        <v>739</v>
      </c>
      <c r="B286" s="3" t="s">
        <v>81</v>
      </c>
      <c r="C286" s="3" t="s">
        <v>75</v>
      </c>
      <c r="D286" s="3" t="s">
        <v>52</v>
      </c>
      <c r="E286" s="3" t="s">
        <v>76</v>
      </c>
      <c r="F286" s="475"/>
      <c r="G286" s="64"/>
      <c r="H286" s="64"/>
      <c r="I286" s="55"/>
      <c r="J286" s="476"/>
      <c r="K286" s="488">
        <v>0</v>
      </c>
      <c r="L286" s="52">
        <v>500</v>
      </c>
      <c r="M286" s="52">
        <v>138.15</v>
      </c>
      <c r="N286" s="53">
        <v>0</v>
      </c>
      <c r="O286" s="96">
        <v>361.85</v>
      </c>
      <c r="P286" s="475"/>
      <c r="Q286" s="64"/>
      <c r="R286" s="64"/>
      <c r="S286" s="64"/>
      <c r="T286" s="55"/>
      <c r="U286" s="565"/>
      <c r="V286" s="523"/>
    </row>
    <row r="287" spans="1:22" s="6" customFormat="1" outlineLevel="2" x14ac:dyDescent="0.2">
      <c r="A287" s="448" t="s">
        <v>739</v>
      </c>
      <c r="B287" s="3" t="s">
        <v>82</v>
      </c>
      <c r="C287" s="3" t="s">
        <v>75</v>
      </c>
      <c r="D287" s="3" t="s">
        <v>83</v>
      </c>
      <c r="E287" s="3" t="s">
        <v>76</v>
      </c>
      <c r="F287" s="473">
        <v>0</v>
      </c>
      <c r="G287" s="54">
        <v>2257</v>
      </c>
      <c r="H287" s="54">
        <v>2256.34</v>
      </c>
      <c r="I287" s="55">
        <v>0</v>
      </c>
      <c r="J287" s="474">
        <v>0.66</v>
      </c>
      <c r="K287" s="489"/>
      <c r="L287" s="65"/>
      <c r="M287" s="65"/>
      <c r="N287" s="53"/>
      <c r="O287" s="97"/>
      <c r="P287" s="475"/>
      <c r="Q287" s="64"/>
      <c r="R287" s="64"/>
      <c r="S287" s="64"/>
      <c r="T287" s="55"/>
      <c r="U287" s="565"/>
      <c r="V287" s="523"/>
    </row>
    <row r="288" spans="1:22" s="6" customFormat="1" outlineLevel="2" x14ac:dyDescent="0.2">
      <c r="A288" s="448" t="s">
        <v>739</v>
      </c>
      <c r="B288" s="3" t="s">
        <v>84</v>
      </c>
      <c r="C288" s="3" t="s">
        <v>75</v>
      </c>
      <c r="D288" s="3" t="s">
        <v>9</v>
      </c>
      <c r="E288" s="3" t="s">
        <v>76</v>
      </c>
      <c r="F288" s="473">
        <v>0</v>
      </c>
      <c r="G288" s="54">
        <v>0</v>
      </c>
      <c r="H288" s="54">
        <v>146.53</v>
      </c>
      <c r="I288" s="55">
        <v>0</v>
      </c>
      <c r="J288" s="474">
        <v>-146.53</v>
      </c>
      <c r="K288" s="488">
        <v>0</v>
      </c>
      <c r="L288" s="52">
        <v>0</v>
      </c>
      <c r="M288" s="52">
        <v>0</v>
      </c>
      <c r="N288" s="53"/>
      <c r="O288" s="96">
        <v>0</v>
      </c>
      <c r="P288" s="475"/>
      <c r="Q288" s="64"/>
      <c r="R288" s="64"/>
      <c r="S288" s="64"/>
      <c r="T288" s="55"/>
      <c r="U288" s="565"/>
      <c r="V288" s="523"/>
    </row>
    <row r="289" spans="1:22" s="6" customFormat="1" outlineLevel="2" x14ac:dyDescent="0.2">
      <c r="A289" s="448" t="s">
        <v>739</v>
      </c>
      <c r="B289" s="3" t="s">
        <v>85</v>
      </c>
      <c r="C289" s="3" t="s">
        <v>75</v>
      </c>
      <c r="D289" s="3" t="s">
        <v>12</v>
      </c>
      <c r="E289" s="3" t="s">
        <v>76</v>
      </c>
      <c r="F289" s="473">
        <v>0</v>
      </c>
      <c r="G289" s="54">
        <v>0</v>
      </c>
      <c r="H289" s="54">
        <v>5.28</v>
      </c>
      <c r="I289" s="55">
        <v>0</v>
      </c>
      <c r="J289" s="474">
        <v>-5.28</v>
      </c>
      <c r="K289" s="489"/>
      <c r="L289" s="65"/>
      <c r="M289" s="65"/>
      <c r="N289" s="53"/>
      <c r="O289" s="97"/>
      <c r="P289" s="475"/>
      <c r="Q289" s="64"/>
      <c r="R289" s="64"/>
      <c r="S289" s="64"/>
      <c r="T289" s="55"/>
      <c r="U289" s="565"/>
      <c r="V289" s="523"/>
    </row>
    <row r="290" spans="1:22" s="6" customFormat="1" outlineLevel="2" x14ac:dyDescent="0.2">
      <c r="A290" s="448" t="s">
        <v>739</v>
      </c>
      <c r="B290" s="3" t="s">
        <v>86</v>
      </c>
      <c r="C290" s="3" t="s">
        <v>75</v>
      </c>
      <c r="D290" s="3" t="s">
        <v>87</v>
      </c>
      <c r="E290" s="3" t="s">
        <v>76</v>
      </c>
      <c r="F290" s="473">
        <v>0</v>
      </c>
      <c r="G290" s="54">
        <v>0</v>
      </c>
      <c r="H290" s="54">
        <v>14.57</v>
      </c>
      <c r="I290" s="55">
        <v>0</v>
      </c>
      <c r="J290" s="474">
        <v>-14.57</v>
      </c>
      <c r="K290" s="489"/>
      <c r="L290" s="65"/>
      <c r="M290" s="65"/>
      <c r="N290" s="53"/>
      <c r="O290" s="97"/>
      <c r="P290" s="475"/>
      <c r="Q290" s="64"/>
      <c r="R290" s="64"/>
      <c r="S290" s="64"/>
      <c r="T290" s="55"/>
      <c r="U290" s="565"/>
      <c r="V290" s="523"/>
    </row>
    <row r="291" spans="1:22" s="6" customFormat="1" outlineLevel="2" x14ac:dyDescent="0.2">
      <c r="A291" s="448" t="s">
        <v>739</v>
      </c>
      <c r="B291" s="3" t="s">
        <v>88</v>
      </c>
      <c r="C291" s="3" t="s">
        <v>75</v>
      </c>
      <c r="D291" s="3" t="s">
        <v>14</v>
      </c>
      <c r="E291" s="3" t="s">
        <v>76</v>
      </c>
      <c r="F291" s="473">
        <v>0</v>
      </c>
      <c r="G291" s="54">
        <v>0</v>
      </c>
      <c r="H291" s="54">
        <v>2.5299999999999998</v>
      </c>
      <c r="I291" s="55">
        <v>0</v>
      </c>
      <c r="J291" s="474">
        <v>-2.5299999999999998</v>
      </c>
      <c r="K291" s="489"/>
      <c r="L291" s="65"/>
      <c r="M291" s="65"/>
      <c r="N291" s="53"/>
      <c r="O291" s="97"/>
      <c r="P291" s="475"/>
      <c r="Q291" s="64"/>
      <c r="R291" s="64"/>
      <c r="S291" s="64"/>
      <c r="T291" s="55"/>
      <c r="U291" s="565"/>
      <c r="V291" s="523"/>
    </row>
    <row r="292" spans="1:22" s="6" customFormat="1" outlineLevel="2" x14ac:dyDescent="0.2">
      <c r="A292" s="448" t="s">
        <v>739</v>
      </c>
      <c r="B292" s="3" t="s">
        <v>89</v>
      </c>
      <c r="C292" s="3" t="s">
        <v>75</v>
      </c>
      <c r="D292" s="3" t="s">
        <v>15</v>
      </c>
      <c r="E292" s="3" t="s">
        <v>76</v>
      </c>
      <c r="F292" s="473">
        <v>0</v>
      </c>
      <c r="G292" s="54">
        <v>0</v>
      </c>
      <c r="H292" s="54">
        <v>4.04</v>
      </c>
      <c r="I292" s="55">
        <v>0</v>
      </c>
      <c r="J292" s="474">
        <v>-4.04</v>
      </c>
      <c r="K292" s="489"/>
      <c r="L292" s="65"/>
      <c r="M292" s="65"/>
      <c r="N292" s="53"/>
      <c r="O292" s="97"/>
      <c r="P292" s="475"/>
      <c r="Q292" s="64"/>
      <c r="R292" s="64"/>
      <c r="S292" s="64"/>
      <c r="T292" s="55"/>
      <c r="U292" s="565"/>
      <c r="V292" s="523"/>
    </row>
    <row r="293" spans="1:22" s="6" customFormat="1" outlineLevel="2" x14ac:dyDescent="0.2">
      <c r="A293" s="448" t="s">
        <v>739</v>
      </c>
      <c r="B293" s="3" t="s">
        <v>90</v>
      </c>
      <c r="C293" s="3" t="s">
        <v>75</v>
      </c>
      <c r="D293" s="3" t="s">
        <v>19</v>
      </c>
      <c r="E293" s="3" t="s">
        <v>76</v>
      </c>
      <c r="F293" s="473">
        <v>1450</v>
      </c>
      <c r="G293" s="54">
        <v>1434</v>
      </c>
      <c r="H293" s="54">
        <v>617.79</v>
      </c>
      <c r="I293" s="55">
        <f t="shared" si="13"/>
        <v>0.42606206896551724</v>
      </c>
      <c r="J293" s="474">
        <v>816.21</v>
      </c>
      <c r="K293" s="488">
        <v>1450</v>
      </c>
      <c r="L293" s="52">
        <v>1450</v>
      </c>
      <c r="M293" s="52">
        <v>1152.22</v>
      </c>
      <c r="N293" s="53">
        <f t="shared" si="14"/>
        <v>0.7946344827586207</v>
      </c>
      <c r="O293" s="96">
        <v>297.77999999999997</v>
      </c>
      <c r="P293" s="473">
        <v>1450</v>
      </c>
      <c r="Q293" s="54">
        <v>1450</v>
      </c>
      <c r="R293" s="54">
        <v>64.14</v>
      </c>
      <c r="S293" s="54">
        <v>436.53</v>
      </c>
      <c r="T293" s="55">
        <f t="shared" si="15"/>
        <v>4.4234482758620693E-2</v>
      </c>
      <c r="U293" s="564">
        <v>949.33</v>
      </c>
      <c r="V293" s="523"/>
    </row>
    <row r="294" spans="1:22" s="6" customFormat="1" outlineLevel="2" x14ac:dyDescent="0.2">
      <c r="A294" s="448" t="s">
        <v>739</v>
      </c>
      <c r="B294" s="3" t="s">
        <v>91</v>
      </c>
      <c r="C294" s="3" t="s">
        <v>75</v>
      </c>
      <c r="D294" s="3" t="s">
        <v>25</v>
      </c>
      <c r="E294" s="3" t="s">
        <v>76</v>
      </c>
      <c r="F294" s="473">
        <v>0</v>
      </c>
      <c r="G294" s="54">
        <v>0</v>
      </c>
      <c r="H294" s="54">
        <v>0</v>
      </c>
      <c r="I294" s="55"/>
      <c r="J294" s="474">
        <v>0</v>
      </c>
      <c r="K294" s="488">
        <v>0</v>
      </c>
      <c r="L294" s="52">
        <v>0</v>
      </c>
      <c r="M294" s="52">
        <v>0</v>
      </c>
      <c r="N294" s="53"/>
      <c r="O294" s="96">
        <v>0</v>
      </c>
      <c r="P294" s="473">
        <v>0</v>
      </c>
      <c r="Q294" s="54">
        <v>0</v>
      </c>
      <c r="R294" s="54">
        <v>418.28</v>
      </c>
      <c r="S294" s="54">
        <v>0</v>
      </c>
      <c r="T294" s="55">
        <v>0</v>
      </c>
      <c r="U294" s="564">
        <v>-418.28</v>
      </c>
      <c r="V294" s="523"/>
    </row>
    <row r="295" spans="1:22" s="6" customFormat="1" outlineLevel="2" x14ac:dyDescent="0.2">
      <c r="A295" s="448" t="s">
        <v>739</v>
      </c>
      <c r="B295" s="3" t="s">
        <v>92</v>
      </c>
      <c r="C295" s="3" t="s">
        <v>75</v>
      </c>
      <c r="D295" s="3" t="s">
        <v>93</v>
      </c>
      <c r="E295" s="3" t="s">
        <v>76</v>
      </c>
      <c r="F295" s="473">
        <v>0</v>
      </c>
      <c r="G295" s="54">
        <v>0</v>
      </c>
      <c r="H295" s="54">
        <v>0</v>
      </c>
      <c r="I295" s="55"/>
      <c r="J295" s="474">
        <v>0</v>
      </c>
      <c r="K295" s="489"/>
      <c r="L295" s="65"/>
      <c r="M295" s="65"/>
      <c r="N295" s="53"/>
      <c r="O295" s="97"/>
      <c r="P295" s="475"/>
      <c r="Q295" s="64"/>
      <c r="R295" s="64"/>
      <c r="S295" s="64"/>
      <c r="T295" s="55"/>
      <c r="U295" s="565"/>
      <c r="V295" s="523"/>
    </row>
    <row r="296" spans="1:22" s="6" customFormat="1" outlineLevel="2" x14ac:dyDescent="0.2">
      <c r="A296" s="448" t="s">
        <v>739</v>
      </c>
      <c r="B296" s="3" t="s">
        <v>94</v>
      </c>
      <c r="C296" s="3" t="s">
        <v>75</v>
      </c>
      <c r="D296" s="3" t="s">
        <v>31</v>
      </c>
      <c r="E296" s="3" t="s">
        <v>76</v>
      </c>
      <c r="F296" s="473">
        <v>1000</v>
      </c>
      <c r="G296" s="54">
        <v>1000</v>
      </c>
      <c r="H296" s="54">
        <v>1000</v>
      </c>
      <c r="I296" s="55">
        <f t="shared" si="13"/>
        <v>1</v>
      </c>
      <c r="J296" s="474">
        <v>0</v>
      </c>
      <c r="K296" s="488">
        <v>1000</v>
      </c>
      <c r="L296" s="52">
        <v>1000</v>
      </c>
      <c r="M296" s="52">
        <v>0</v>
      </c>
      <c r="N296" s="53">
        <f t="shared" si="14"/>
        <v>0</v>
      </c>
      <c r="O296" s="96">
        <v>1000</v>
      </c>
      <c r="P296" s="473">
        <v>1000</v>
      </c>
      <c r="Q296" s="54">
        <v>1000</v>
      </c>
      <c r="R296" s="54">
        <v>350</v>
      </c>
      <c r="S296" s="54">
        <v>0</v>
      </c>
      <c r="T296" s="55">
        <f t="shared" si="15"/>
        <v>0.35</v>
      </c>
      <c r="U296" s="564">
        <v>650</v>
      </c>
      <c r="V296" s="523"/>
    </row>
    <row r="297" spans="1:22" s="6" customFormat="1" outlineLevel="2" x14ac:dyDescent="0.2">
      <c r="A297" s="448" t="s">
        <v>739</v>
      </c>
      <c r="B297" s="3" t="s">
        <v>95</v>
      </c>
      <c r="C297" s="3" t="s">
        <v>75</v>
      </c>
      <c r="D297" s="3" t="s">
        <v>48</v>
      </c>
      <c r="E297" s="3" t="s">
        <v>76</v>
      </c>
      <c r="F297" s="473">
        <v>550</v>
      </c>
      <c r="G297" s="54">
        <v>550</v>
      </c>
      <c r="H297" s="54">
        <v>267.39999999999998</v>
      </c>
      <c r="I297" s="55">
        <f t="shared" si="13"/>
        <v>0.48618181818181816</v>
      </c>
      <c r="J297" s="474">
        <v>282.60000000000002</v>
      </c>
      <c r="K297" s="488">
        <v>550</v>
      </c>
      <c r="L297" s="52">
        <v>550</v>
      </c>
      <c r="M297" s="52">
        <v>347.79</v>
      </c>
      <c r="N297" s="53">
        <f t="shared" si="14"/>
        <v>0.63234545454545454</v>
      </c>
      <c r="O297" s="96">
        <v>202.21</v>
      </c>
      <c r="P297" s="473">
        <v>550</v>
      </c>
      <c r="Q297" s="54">
        <v>550</v>
      </c>
      <c r="R297" s="54">
        <v>123.37</v>
      </c>
      <c r="S297" s="54">
        <v>0</v>
      </c>
      <c r="T297" s="55">
        <f t="shared" si="15"/>
        <v>0.22430909090909093</v>
      </c>
      <c r="U297" s="564">
        <v>426.63</v>
      </c>
      <c r="V297" s="523"/>
    </row>
    <row r="298" spans="1:22" s="6" customFormat="1" outlineLevel="2" x14ac:dyDescent="0.2">
      <c r="A298" s="448" t="s">
        <v>739</v>
      </c>
      <c r="B298" s="3" t="s">
        <v>96</v>
      </c>
      <c r="C298" s="3" t="s">
        <v>75</v>
      </c>
      <c r="D298" s="3" t="s">
        <v>97</v>
      </c>
      <c r="E298" s="3" t="s">
        <v>76</v>
      </c>
      <c r="F298" s="473">
        <v>0</v>
      </c>
      <c r="G298" s="54">
        <v>18813</v>
      </c>
      <c r="H298" s="54">
        <v>0</v>
      </c>
      <c r="I298" s="55">
        <v>0</v>
      </c>
      <c r="J298" s="474">
        <v>18813</v>
      </c>
      <c r="K298" s="488">
        <v>0</v>
      </c>
      <c r="L298" s="52">
        <v>29065</v>
      </c>
      <c r="M298" s="52">
        <v>29065</v>
      </c>
      <c r="N298" s="53">
        <v>0</v>
      </c>
      <c r="O298" s="96">
        <v>0</v>
      </c>
      <c r="P298" s="473">
        <v>0</v>
      </c>
      <c r="Q298" s="54">
        <v>6000</v>
      </c>
      <c r="R298" s="54">
        <v>4128.1499999999996</v>
      </c>
      <c r="S298" s="54">
        <v>599.41</v>
      </c>
      <c r="T298" s="55"/>
      <c r="U298" s="564">
        <v>1272.44</v>
      </c>
      <c r="V298" s="523"/>
    </row>
    <row r="299" spans="1:22" s="6" customFormat="1" outlineLevel="2" x14ac:dyDescent="0.2">
      <c r="A299" s="448" t="s">
        <v>739</v>
      </c>
      <c r="B299" s="3" t="s">
        <v>98</v>
      </c>
      <c r="C299" s="3" t="s">
        <v>75</v>
      </c>
      <c r="D299" s="3" t="s">
        <v>97</v>
      </c>
      <c r="E299" s="3" t="s">
        <v>76</v>
      </c>
      <c r="F299" s="473">
        <v>70000</v>
      </c>
      <c r="G299" s="54">
        <v>45919</v>
      </c>
      <c r="H299" s="54">
        <v>45918.59</v>
      </c>
      <c r="I299" s="55">
        <f t="shared" si="13"/>
        <v>0.65597985714285711</v>
      </c>
      <c r="J299" s="474">
        <v>0.41</v>
      </c>
      <c r="K299" s="489"/>
      <c r="L299" s="65"/>
      <c r="M299" s="65"/>
      <c r="N299" s="53"/>
      <c r="O299" s="97"/>
      <c r="P299" s="475"/>
      <c r="Q299" s="64"/>
      <c r="R299" s="64"/>
      <c r="S299" s="64"/>
      <c r="T299" s="55"/>
      <c r="U299" s="565"/>
      <c r="V299" s="523"/>
    </row>
    <row r="300" spans="1:22" s="6" customFormat="1" outlineLevel="2" x14ac:dyDescent="0.2">
      <c r="A300" s="448" t="s">
        <v>739</v>
      </c>
      <c r="B300" s="3" t="s">
        <v>77</v>
      </c>
      <c r="C300" s="3" t="s">
        <v>75</v>
      </c>
      <c r="D300" s="3" t="s">
        <v>33</v>
      </c>
      <c r="E300" s="3" t="s">
        <v>76</v>
      </c>
      <c r="F300" s="475"/>
      <c r="G300" s="64"/>
      <c r="H300" s="64"/>
      <c r="I300" s="55"/>
      <c r="J300" s="476"/>
      <c r="K300" s="488">
        <v>0</v>
      </c>
      <c r="L300" s="52">
        <v>0</v>
      </c>
      <c r="M300" s="52">
        <v>0</v>
      </c>
      <c r="N300" s="53"/>
      <c r="O300" s="96">
        <v>0</v>
      </c>
      <c r="P300" s="475"/>
      <c r="Q300" s="64"/>
      <c r="R300" s="64"/>
      <c r="S300" s="64"/>
      <c r="T300" s="55"/>
      <c r="U300" s="565"/>
      <c r="V300" s="523"/>
    </row>
    <row r="301" spans="1:22" s="6" customFormat="1" outlineLevel="2" x14ac:dyDescent="0.2">
      <c r="A301" s="448" t="s">
        <v>739</v>
      </c>
      <c r="B301" s="3" t="s">
        <v>99</v>
      </c>
      <c r="C301" s="3" t="s">
        <v>75</v>
      </c>
      <c r="D301" s="3" t="s">
        <v>33</v>
      </c>
      <c r="E301" s="3" t="s">
        <v>76</v>
      </c>
      <c r="F301" s="473">
        <v>15260</v>
      </c>
      <c r="G301" s="54">
        <v>14934</v>
      </c>
      <c r="H301" s="54">
        <v>1420.61</v>
      </c>
      <c r="I301" s="55">
        <f t="shared" si="13"/>
        <v>9.3093709043250317E-2</v>
      </c>
      <c r="J301" s="474">
        <v>13513.39</v>
      </c>
      <c r="K301" s="488">
        <v>15260</v>
      </c>
      <c r="L301" s="52">
        <v>43913</v>
      </c>
      <c r="M301" s="52">
        <v>42563.99</v>
      </c>
      <c r="N301" s="53">
        <f t="shared" si="14"/>
        <v>2.7892522935779813</v>
      </c>
      <c r="O301" s="96">
        <v>1349.01</v>
      </c>
      <c r="P301" s="473">
        <v>15260</v>
      </c>
      <c r="Q301" s="54">
        <v>9260</v>
      </c>
      <c r="R301" s="54">
        <v>3932.77</v>
      </c>
      <c r="S301" s="54">
        <v>2862</v>
      </c>
      <c r="T301" s="55">
        <f t="shared" si="15"/>
        <v>0.25771756225425951</v>
      </c>
      <c r="U301" s="564">
        <v>2465.23</v>
      </c>
      <c r="V301" s="523"/>
    </row>
    <row r="302" spans="1:22" s="6" customFormat="1" outlineLevel="2" x14ac:dyDescent="0.2">
      <c r="A302" s="448" t="s">
        <v>739</v>
      </c>
      <c r="B302" s="3" t="s">
        <v>100</v>
      </c>
      <c r="C302" s="3" t="s">
        <v>75</v>
      </c>
      <c r="D302" s="3" t="s">
        <v>33</v>
      </c>
      <c r="E302" s="3" t="s">
        <v>76</v>
      </c>
      <c r="F302" s="473">
        <v>0</v>
      </c>
      <c r="G302" s="54">
        <v>12247</v>
      </c>
      <c r="H302" s="54">
        <v>12246.56</v>
      </c>
      <c r="I302" s="55">
        <v>0</v>
      </c>
      <c r="J302" s="474">
        <v>0.44</v>
      </c>
      <c r="K302" s="489"/>
      <c r="L302" s="65"/>
      <c r="M302" s="65"/>
      <c r="N302" s="53"/>
      <c r="O302" s="97"/>
      <c r="P302" s="475"/>
      <c r="Q302" s="64"/>
      <c r="R302" s="64"/>
      <c r="S302" s="64"/>
      <c r="T302" s="55"/>
      <c r="U302" s="565"/>
      <c r="V302" s="523"/>
    </row>
    <row r="303" spans="1:22" s="6" customFormat="1" outlineLevel="2" x14ac:dyDescent="0.2">
      <c r="A303" s="448" t="s">
        <v>739</v>
      </c>
      <c r="B303" s="3" t="s">
        <v>101</v>
      </c>
      <c r="C303" s="3" t="s">
        <v>75</v>
      </c>
      <c r="D303" s="3" t="s">
        <v>102</v>
      </c>
      <c r="E303" s="3" t="s">
        <v>76</v>
      </c>
      <c r="F303" s="473">
        <v>0</v>
      </c>
      <c r="G303" s="54">
        <v>8392</v>
      </c>
      <c r="H303" s="54">
        <v>8391.94</v>
      </c>
      <c r="I303" s="55">
        <v>0</v>
      </c>
      <c r="J303" s="474">
        <v>0.06</v>
      </c>
      <c r="K303" s="489"/>
      <c r="L303" s="65"/>
      <c r="M303" s="65"/>
      <c r="N303" s="53"/>
      <c r="O303" s="97"/>
      <c r="P303" s="475"/>
      <c r="Q303" s="64"/>
      <c r="R303" s="64"/>
      <c r="S303" s="64"/>
      <c r="T303" s="55"/>
      <c r="U303" s="565"/>
      <c r="V303" s="523"/>
    </row>
    <row r="304" spans="1:22" s="6" customFormat="1" outlineLevel="2" x14ac:dyDescent="0.2">
      <c r="A304" s="448" t="s">
        <v>739</v>
      </c>
      <c r="B304" s="3" t="s">
        <v>103</v>
      </c>
      <c r="C304" s="3" t="s">
        <v>75</v>
      </c>
      <c r="D304" s="3" t="s">
        <v>104</v>
      </c>
      <c r="E304" s="3" t="s">
        <v>76</v>
      </c>
      <c r="F304" s="473">
        <v>0</v>
      </c>
      <c r="G304" s="54">
        <v>2250</v>
      </c>
      <c r="H304" s="54">
        <v>2250</v>
      </c>
      <c r="I304" s="55">
        <v>0</v>
      </c>
      <c r="J304" s="474">
        <v>0</v>
      </c>
      <c r="K304" s="489"/>
      <c r="L304" s="65"/>
      <c r="M304" s="65"/>
      <c r="N304" s="53"/>
      <c r="O304" s="97"/>
      <c r="P304" s="475"/>
      <c r="Q304" s="64"/>
      <c r="R304" s="64"/>
      <c r="S304" s="64"/>
      <c r="T304" s="55"/>
      <c r="U304" s="565"/>
      <c r="V304" s="523"/>
    </row>
    <row r="305" spans="1:22" s="6" customFormat="1" outlineLevel="2" x14ac:dyDescent="0.2">
      <c r="A305" s="448" t="s">
        <v>739</v>
      </c>
      <c r="B305" s="3" t="s">
        <v>78</v>
      </c>
      <c r="C305" s="3" t="s">
        <v>75</v>
      </c>
      <c r="D305" s="3" t="s">
        <v>51</v>
      </c>
      <c r="E305" s="3" t="s">
        <v>76</v>
      </c>
      <c r="F305" s="473">
        <v>0</v>
      </c>
      <c r="G305" s="54">
        <v>32</v>
      </c>
      <c r="H305" s="54">
        <v>32</v>
      </c>
      <c r="I305" s="55">
        <v>0</v>
      </c>
      <c r="J305" s="474">
        <v>0</v>
      </c>
      <c r="K305" s="489"/>
      <c r="L305" s="65"/>
      <c r="M305" s="65"/>
      <c r="N305" s="53"/>
      <c r="O305" s="97"/>
      <c r="P305" s="475"/>
      <c r="Q305" s="64"/>
      <c r="R305" s="64"/>
      <c r="S305" s="64"/>
      <c r="T305" s="55"/>
      <c r="U305" s="565"/>
      <c r="V305" s="523"/>
    </row>
    <row r="306" spans="1:22" s="6" customFormat="1" outlineLevel="2" x14ac:dyDescent="0.2">
      <c r="A306" s="448" t="s">
        <v>739</v>
      </c>
      <c r="B306" s="3" t="s">
        <v>105</v>
      </c>
      <c r="C306" s="3" t="s">
        <v>75</v>
      </c>
      <c r="D306" s="3" t="s">
        <v>51</v>
      </c>
      <c r="E306" s="3" t="s">
        <v>76</v>
      </c>
      <c r="F306" s="473">
        <v>0</v>
      </c>
      <c r="G306" s="54">
        <v>310</v>
      </c>
      <c r="H306" s="54">
        <v>309.33999999999997</v>
      </c>
      <c r="I306" s="55">
        <v>0</v>
      </c>
      <c r="J306" s="474">
        <v>0.66</v>
      </c>
      <c r="K306" s="489"/>
      <c r="L306" s="65"/>
      <c r="M306" s="65"/>
      <c r="N306" s="53"/>
      <c r="O306" s="97"/>
      <c r="P306" s="475"/>
      <c r="Q306" s="64"/>
      <c r="R306" s="64"/>
      <c r="S306" s="64"/>
      <c r="T306" s="55"/>
      <c r="U306" s="565"/>
      <c r="V306" s="523"/>
    </row>
    <row r="307" spans="1:22" s="6" customFormat="1" outlineLevel="2" x14ac:dyDescent="0.2">
      <c r="A307" s="448" t="s">
        <v>739</v>
      </c>
      <c r="B307" s="3" t="s">
        <v>107</v>
      </c>
      <c r="C307" s="3" t="s">
        <v>106</v>
      </c>
      <c r="D307" s="3" t="s">
        <v>19</v>
      </c>
      <c r="E307" s="3" t="s">
        <v>76</v>
      </c>
      <c r="F307" s="473">
        <v>0</v>
      </c>
      <c r="G307" s="54">
        <v>0</v>
      </c>
      <c r="H307" s="54">
        <v>0</v>
      </c>
      <c r="I307" s="55"/>
      <c r="J307" s="474">
        <v>0</v>
      </c>
      <c r="K307" s="489"/>
      <c r="L307" s="65"/>
      <c r="M307" s="65"/>
      <c r="N307" s="53"/>
      <c r="O307" s="97"/>
      <c r="P307" s="475"/>
      <c r="Q307" s="64"/>
      <c r="R307" s="64"/>
      <c r="S307" s="64"/>
      <c r="T307" s="55"/>
      <c r="U307" s="565"/>
      <c r="V307" s="523"/>
    </row>
    <row r="308" spans="1:22" s="6" customFormat="1" outlineLevel="1" x14ac:dyDescent="0.2">
      <c r="A308" s="366" t="s">
        <v>765</v>
      </c>
      <c r="B308" s="3"/>
      <c r="C308" s="3"/>
      <c r="D308" s="3"/>
      <c r="E308" s="3"/>
      <c r="F308" s="477">
        <f>SUBTOTAL(9,F284:F307)</f>
        <v>88260</v>
      </c>
      <c r="G308" s="9">
        <f>SUBTOTAL(9,G284:G307)</f>
        <v>108938</v>
      </c>
      <c r="H308" s="9">
        <f>SUBTOTAL(9,H284:H307)</f>
        <v>75247.749999999985</v>
      </c>
      <c r="I308" s="16">
        <f t="shared" si="13"/>
        <v>0.85256911398141833</v>
      </c>
      <c r="J308" s="478">
        <f>SUBTOTAL(9,J284:J307)</f>
        <v>33690.25</v>
      </c>
      <c r="K308" s="482">
        <f>SUBTOTAL(9,K284:K307)</f>
        <v>18260</v>
      </c>
      <c r="L308" s="10">
        <f>SUBTOTAL(9,L284:L307)</f>
        <v>78198</v>
      </c>
      <c r="M308" s="10">
        <f>SUBTOTAL(9,M284:M307)</f>
        <v>74987.459999999992</v>
      </c>
      <c r="N308" s="16">
        <f t="shared" si="14"/>
        <v>4.1066516976998901</v>
      </c>
      <c r="O308" s="99">
        <f>SUBTOTAL(9,O284:O307)</f>
        <v>3210.54</v>
      </c>
      <c r="P308" s="482">
        <f>SUBTOTAL(9,P284:P307)</f>
        <v>18260</v>
      </c>
      <c r="Q308" s="10">
        <f>SUBTOTAL(9,Q284:Q307)</f>
        <v>18260</v>
      </c>
      <c r="R308" s="10">
        <f>SUBTOTAL(9,R284:R307)</f>
        <v>9016.7099999999991</v>
      </c>
      <c r="S308" s="10">
        <f>SUBTOTAL(9,S284:S307)</f>
        <v>3897.94</v>
      </c>
      <c r="T308" s="16">
        <f t="shared" si="15"/>
        <v>0.49379572836801749</v>
      </c>
      <c r="U308" s="568">
        <f>SUBTOTAL(9,U284:U307)</f>
        <v>5345.35</v>
      </c>
      <c r="V308" s="523"/>
    </row>
    <row r="309" spans="1:22" s="6" customFormat="1" outlineLevel="2" x14ac:dyDescent="0.2">
      <c r="A309" s="448" t="s">
        <v>743</v>
      </c>
      <c r="B309" s="3" t="s">
        <v>143</v>
      </c>
      <c r="C309" s="3" t="s">
        <v>140</v>
      </c>
      <c r="D309" s="3" t="s">
        <v>7</v>
      </c>
      <c r="E309" s="3" t="s">
        <v>142</v>
      </c>
      <c r="F309" s="473">
        <v>0</v>
      </c>
      <c r="G309" s="54">
        <v>0</v>
      </c>
      <c r="H309" s="54">
        <v>0</v>
      </c>
      <c r="I309" s="55"/>
      <c r="J309" s="474">
        <v>0</v>
      </c>
      <c r="K309" s="489"/>
      <c r="L309" s="65"/>
      <c r="M309" s="65"/>
      <c r="N309" s="53"/>
      <c r="O309" s="97"/>
      <c r="P309" s="475"/>
      <c r="Q309" s="64"/>
      <c r="R309" s="64"/>
      <c r="S309" s="64"/>
      <c r="T309" s="55"/>
      <c r="U309" s="565"/>
      <c r="V309" s="523"/>
    </row>
    <row r="310" spans="1:22" s="6" customFormat="1" outlineLevel="2" x14ac:dyDescent="0.2">
      <c r="A310" s="448" t="s">
        <v>743</v>
      </c>
      <c r="B310" s="3" t="s">
        <v>144</v>
      </c>
      <c r="C310" s="3" t="s">
        <v>140</v>
      </c>
      <c r="D310" s="3" t="s">
        <v>17</v>
      </c>
      <c r="E310" s="3" t="s">
        <v>142</v>
      </c>
      <c r="F310" s="473">
        <v>0</v>
      </c>
      <c r="G310" s="54">
        <v>0</v>
      </c>
      <c r="H310" s="54">
        <v>0</v>
      </c>
      <c r="I310" s="55"/>
      <c r="J310" s="474">
        <v>0</v>
      </c>
      <c r="K310" s="489"/>
      <c r="L310" s="65"/>
      <c r="M310" s="65"/>
      <c r="N310" s="53"/>
      <c r="O310" s="97"/>
      <c r="P310" s="475"/>
      <c r="Q310" s="64"/>
      <c r="R310" s="64"/>
      <c r="S310" s="64"/>
      <c r="T310" s="55"/>
      <c r="U310" s="565"/>
      <c r="V310" s="523"/>
    </row>
    <row r="311" spans="1:22" s="6" customFormat="1" outlineLevel="2" x14ac:dyDescent="0.2">
      <c r="A311" s="448" t="s">
        <v>743</v>
      </c>
      <c r="B311" s="3" t="s">
        <v>145</v>
      </c>
      <c r="C311" s="3" t="s">
        <v>146</v>
      </c>
      <c r="D311" s="3" t="s">
        <v>17</v>
      </c>
      <c r="E311" s="3" t="s">
        <v>147</v>
      </c>
      <c r="F311" s="473">
        <v>10000</v>
      </c>
      <c r="G311" s="54">
        <v>8960</v>
      </c>
      <c r="H311" s="54">
        <v>8959.56</v>
      </c>
      <c r="I311" s="55">
        <f t="shared" si="13"/>
        <v>0.89595599999999997</v>
      </c>
      <c r="J311" s="474">
        <v>0.44</v>
      </c>
      <c r="K311" s="488">
        <v>10000</v>
      </c>
      <c r="L311" s="52">
        <v>587</v>
      </c>
      <c r="M311" s="52">
        <v>586.72</v>
      </c>
      <c r="N311" s="53">
        <f t="shared" si="14"/>
        <v>5.8672000000000002E-2</v>
      </c>
      <c r="O311" s="96">
        <f>587-586.72</f>
        <v>0.27999999999997272</v>
      </c>
      <c r="P311" s="473">
        <v>10000</v>
      </c>
      <c r="Q311" s="54">
        <v>10000</v>
      </c>
      <c r="R311" s="54">
        <v>0</v>
      </c>
      <c r="S311" s="54">
        <v>0</v>
      </c>
      <c r="T311" s="55">
        <f t="shared" si="15"/>
        <v>0</v>
      </c>
      <c r="U311" s="564">
        <v>10000</v>
      </c>
      <c r="V311" s="523"/>
    </row>
    <row r="312" spans="1:22" s="6" customFormat="1" outlineLevel="2" x14ac:dyDescent="0.2">
      <c r="A312" s="448" t="s">
        <v>743</v>
      </c>
      <c r="B312" s="3" t="s">
        <v>148</v>
      </c>
      <c r="C312" s="3" t="s">
        <v>146</v>
      </c>
      <c r="D312" s="3" t="s">
        <v>19</v>
      </c>
      <c r="E312" s="3" t="s">
        <v>147</v>
      </c>
      <c r="F312" s="473">
        <v>0</v>
      </c>
      <c r="G312" s="54">
        <v>18528</v>
      </c>
      <c r="H312" s="54">
        <v>6072.57</v>
      </c>
      <c r="I312" s="55">
        <v>0</v>
      </c>
      <c r="J312" s="474">
        <v>12455.43</v>
      </c>
      <c r="K312" s="489"/>
      <c r="L312" s="65"/>
      <c r="M312" s="65"/>
      <c r="N312" s="53"/>
      <c r="O312" s="97"/>
      <c r="P312" s="475"/>
      <c r="Q312" s="64"/>
      <c r="R312" s="64"/>
      <c r="S312" s="64"/>
      <c r="T312" s="55"/>
      <c r="U312" s="565"/>
      <c r="V312" s="523"/>
    </row>
    <row r="313" spans="1:22" s="6" customFormat="1" outlineLevel="2" x14ac:dyDescent="0.2">
      <c r="A313" s="448" t="s">
        <v>743</v>
      </c>
      <c r="B313" s="3" t="s">
        <v>149</v>
      </c>
      <c r="C313" s="3" t="s">
        <v>146</v>
      </c>
      <c r="D313" s="3" t="s">
        <v>29</v>
      </c>
      <c r="E313" s="3" t="s">
        <v>147</v>
      </c>
      <c r="F313" s="473">
        <v>10000</v>
      </c>
      <c r="G313" s="54">
        <v>0</v>
      </c>
      <c r="H313" s="54">
        <v>0</v>
      </c>
      <c r="I313" s="55">
        <f t="shared" si="13"/>
        <v>0</v>
      </c>
      <c r="J313" s="474">
        <v>0</v>
      </c>
      <c r="K313" s="488">
        <v>10000</v>
      </c>
      <c r="L313" s="52">
        <v>0</v>
      </c>
      <c r="M313" s="52">
        <v>0</v>
      </c>
      <c r="N313" s="53">
        <f t="shared" si="14"/>
        <v>0</v>
      </c>
      <c r="O313" s="96">
        <v>0</v>
      </c>
      <c r="P313" s="473">
        <v>10000</v>
      </c>
      <c r="Q313" s="54">
        <v>10000</v>
      </c>
      <c r="R313" s="54">
        <v>0</v>
      </c>
      <c r="S313" s="54">
        <v>0</v>
      </c>
      <c r="T313" s="55">
        <f t="shared" si="15"/>
        <v>0</v>
      </c>
      <c r="U313" s="564">
        <v>10000</v>
      </c>
      <c r="V313" s="523"/>
    </row>
    <row r="314" spans="1:22" s="6" customFormat="1" outlineLevel="2" x14ac:dyDescent="0.2">
      <c r="A314" s="448" t="s">
        <v>743</v>
      </c>
      <c r="B314" s="3" t="s">
        <v>150</v>
      </c>
      <c r="C314" s="3" t="s">
        <v>146</v>
      </c>
      <c r="D314" s="3" t="s">
        <v>31</v>
      </c>
      <c r="E314" s="3" t="s">
        <v>147</v>
      </c>
      <c r="F314" s="475"/>
      <c r="G314" s="64"/>
      <c r="H314" s="64"/>
      <c r="I314" s="55"/>
      <c r="J314" s="476"/>
      <c r="K314" s="488">
        <v>0</v>
      </c>
      <c r="L314" s="52">
        <v>574</v>
      </c>
      <c r="M314" s="52">
        <v>573.52</v>
      </c>
      <c r="N314" s="53">
        <v>0</v>
      </c>
      <c r="O314" s="96">
        <v>0.48</v>
      </c>
      <c r="P314" s="475"/>
      <c r="Q314" s="64"/>
      <c r="R314" s="64"/>
      <c r="S314" s="64"/>
      <c r="T314" s="55"/>
      <c r="U314" s="565"/>
      <c r="V314" s="523"/>
    </row>
    <row r="315" spans="1:22" s="6" customFormat="1" outlineLevel="2" x14ac:dyDescent="0.2">
      <c r="A315" s="448" t="s">
        <v>743</v>
      </c>
      <c r="B315" s="3" t="s">
        <v>151</v>
      </c>
      <c r="C315" s="3" t="s">
        <v>146</v>
      </c>
      <c r="D315" s="3" t="s">
        <v>51</v>
      </c>
      <c r="E315" s="3" t="s">
        <v>147</v>
      </c>
      <c r="F315" s="473">
        <v>10000</v>
      </c>
      <c r="G315" s="54">
        <v>0</v>
      </c>
      <c r="H315" s="54">
        <v>0</v>
      </c>
      <c r="I315" s="55">
        <f t="shared" si="13"/>
        <v>0</v>
      </c>
      <c r="J315" s="474">
        <v>0</v>
      </c>
      <c r="K315" s="488">
        <v>10000</v>
      </c>
      <c r="L315" s="52">
        <v>2481</v>
      </c>
      <c r="M315" s="52">
        <v>2480.02</v>
      </c>
      <c r="N315" s="53">
        <f t="shared" si="14"/>
        <v>0.248002</v>
      </c>
      <c r="O315" s="96">
        <f>2481-2480.02</f>
        <v>0.98000000000001819</v>
      </c>
      <c r="P315" s="473">
        <v>10000</v>
      </c>
      <c r="Q315" s="54">
        <v>10000</v>
      </c>
      <c r="R315" s="54">
        <v>0</v>
      </c>
      <c r="S315" s="54">
        <v>0</v>
      </c>
      <c r="T315" s="55">
        <f t="shared" si="15"/>
        <v>0</v>
      </c>
      <c r="U315" s="564">
        <v>10000</v>
      </c>
      <c r="V315" s="523"/>
    </row>
    <row r="316" spans="1:22" s="6" customFormat="1" outlineLevel="2" x14ac:dyDescent="0.2">
      <c r="A316" s="448" t="s">
        <v>743</v>
      </c>
      <c r="B316" s="3" t="s">
        <v>152</v>
      </c>
      <c r="C316" s="3" t="s">
        <v>153</v>
      </c>
      <c r="D316" s="3" t="s">
        <v>19</v>
      </c>
      <c r="E316" s="3" t="s">
        <v>154</v>
      </c>
      <c r="F316" s="473">
        <v>2400</v>
      </c>
      <c r="G316" s="54">
        <v>2453</v>
      </c>
      <c r="H316" s="54">
        <v>0</v>
      </c>
      <c r="I316" s="55">
        <f t="shared" si="13"/>
        <v>0</v>
      </c>
      <c r="J316" s="474">
        <v>2453</v>
      </c>
      <c r="K316" s="488">
        <v>2400</v>
      </c>
      <c r="L316" s="52">
        <v>2438</v>
      </c>
      <c r="M316" s="52">
        <v>2433.4299999999998</v>
      </c>
      <c r="N316" s="53">
        <f t="shared" si="14"/>
        <v>1.0139291666666665</v>
      </c>
      <c r="O316" s="96">
        <v>4.57</v>
      </c>
      <c r="P316" s="473">
        <v>2400</v>
      </c>
      <c r="Q316" s="54">
        <v>2400</v>
      </c>
      <c r="R316" s="54">
        <v>0</v>
      </c>
      <c r="S316" s="54">
        <v>0</v>
      </c>
      <c r="T316" s="55">
        <f t="shared" si="15"/>
        <v>0</v>
      </c>
      <c r="U316" s="564">
        <v>2400</v>
      </c>
      <c r="V316" s="523"/>
    </row>
    <row r="317" spans="1:22" s="6" customFormat="1" outlineLevel="2" x14ac:dyDescent="0.2">
      <c r="A317" s="448" t="s">
        <v>743</v>
      </c>
      <c r="B317" s="3" t="s">
        <v>155</v>
      </c>
      <c r="C317" s="3" t="s">
        <v>156</v>
      </c>
      <c r="D317" s="3" t="s">
        <v>157</v>
      </c>
      <c r="E317" s="3" t="s">
        <v>147</v>
      </c>
      <c r="F317" s="475"/>
      <c r="G317" s="64"/>
      <c r="H317" s="64"/>
      <c r="I317" s="55"/>
      <c r="J317" s="476"/>
      <c r="K317" s="489"/>
      <c r="L317" s="65"/>
      <c r="M317" s="65"/>
      <c r="N317" s="53"/>
      <c r="O317" s="97"/>
      <c r="P317" s="473">
        <v>26000</v>
      </c>
      <c r="Q317" s="54">
        <v>26000</v>
      </c>
      <c r="R317" s="54">
        <v>0</v>
      </c>
      <c r="S317" s="54">
        <v>0</v>
      </c>
      <c r="T317" s="55">
        <f t="shared" si="15"/>
        <v>0</v>
      </c>
      <c r="U317" s="564">
        <v>26000</v>
      </c>
      <c r="V317" s="523"/>
    </row>
    <row r="318" spans="1:22" s="6" customFormat="1" outlineLevel="2" x14ac:dyDescent="0.2">
      <c r="A318" s="448" t="s">
        <v>743</v>
      </c>
      <c r="B318" s="3" t="s">
        <v>170</v>
      </c>
      <c r="C318" s="3" t="s">
        <v>156</v>
      </c>
      <c r="D318" s="3" t="s">
        <v>58</v>
      </c>
      <c r="E318" s="3" t="s">
        <v>147</v>
      </c>
      <c r="F318" s="473">
        <v>15000</v>
      </c>
      <c r="G318" s="54">
        <v>15000</v>
      </c>
      <c r="H318" s="54">
        <v>15000</v>
      </c>
      <c r="I318" s="55">
        <f t="shared" si="13"/>
        <v>1</v>
      </c>
      <c r="J318" s="474">
        <v>0</v>
      </c>
      <c r="K318" s="488">
        <v>15000</v>
      </c>
      <c r="L318" s="52">
        <v>15000</v>
      </c>
      <c r="M318" s="52">
        <v>14750</v>
      </c>
      <c r="N318" s="53">
        <f t="shared" si="14"/>
        <v>0.98333333333333328</v>
      </c>
      <c r="O318" s="96">
        <v>250</v>
      </c>
      <c r="P318" s="473">
        <v>15000</v>
      </c>
      <c r="Q318" s="54">
        <v>15000</v>
      </c>
      <c r="R318" s="54">
        <v>4375</v>
      </c>
      <c r="S318" s="54">
        <v>0</v>
      </c>
      <c r="T318" s="55">
        <f t="shared" si="15"/>
        <v>0.29166666666666669</v>
      </c>
      <c r="U318" s="564">
        <v>10625</v>
      </c>
      <c r="V318" s="523"/>
    </row>
    <row r="319" spans="1:22" s="6" customFormat="1" outlineLevel="2" x14ac:dyDescent="0.2">
      <c r="A319" s="448" t="s">
        <v>743</v>
      </c>
      <c r="B319" s="3" t="s">
        <v>158</v>
      </c>
      <c r="C319" s="3" t="s">
        <v>156</v>
      </c>
      <c r="D319" s="3" t="s">
        <v>52</v>
      </c>
      <c r="E319" s="3" t="s">
        <v>147</v>
      </c>
      <c r="F319" s="473">
        <v>0</v>
      </c>
      <c r="G319" s="54">
        <v>35</v>
      </c>
      <c r="H319" s="54">
        <v>34.42</v>
      </c>
      <c r="I319" s="55">
        <v>0</v>
      </c>
      <c r="J319" s="474">
        <v>0.57999999999999996</v>
      </c>
      <c r="K319" s="489"/>
      <c r="L319" s="65"/>
      <c r="M319" s="65"/>
      <c r="N319" s="53"/>
      <c r="O319" s="97"/>
      <c r="P319" s="475"/>
      <c r="Q319" s="64"/>
      <c r="R319" s="64"/>
      <c r="S319" s="64"/>
      <c r="T319" s="55"/>
      <c r="U319" s="565"/>
      <c r="V319" s="523"/>
    </row>
    <row r="320" spans="1:22" s="6" customFormat="1" outlineLevel="2" x14ac:dyDescent="0.2">
      <c r="A320" s="448" t="s">
        <v>743</v>
      </c>
      <c r="B320" s="3" t="s">
        <v>168</v>
      </c>
      <c r="C320" s="3" t="s">
        <v>156</v>
      </c>
      <c r="D320" s="3" t="s">
        <v>52</v>
      </c>
      <c r="E320" s="3" t="s">
        <v>147</v>
      </c>
      <c r="F320" s="475"/>
      <c r="G320" s="64"/>
      <c r="H320" s="64"/>
      <c r="I320" s="55"/>
      <c r="J320" s="476"/>
      <c r="K320" s="488">
        <v>0</v>
      </c>
      <c r="L320" s="52">
        <v>32</v>
      </c>
      <c r="M320" s="52">
        <v>31.2</v>
      </c>
      <c r="N320" s="53">
        <v>0</v>
      </c>
      <c r="O320" s="96">
        <v>0.8</v>
      </c>
      <c r="P320" s="475"/>
      <c r="Q320" s="64"/>
      <c r="R320" s="64"/>
      <c r="S320" s="64"/>
      <c r="T320" s="55"/>
      <c r="U320" s="565"/>
      <c r="V320" s="523"/>
    </row>
    <row r="321" spans="1:22" s="6" customFormat="1" outlineLevel="2" x14ac:dyDescent="0.2">
      <c r="A321" s="448" t="s">
        <v>743</v>
      </c>
      <c r="B321" s="3" t="s">
        <v>169</v>
      </c>
      <c r="C321" s="3" t="s">
        <v>156</v>
      </c>
      <c r="D321" s="3" t="s">
        <v>52</v>
      </c>
      <c r="E321" s="3" t="s">
        <v>147</v>
      </c>
      <c r="F321" s="475"/>
      <c r="G321" s="64"/>
      <c r="H321" s="64"/>
      <c r="I321" s="55"/>
      <c r="J321" s="476"/>
      <c r="K321" s="488">
        <v>0</v>
      </c>
      <c r="L321" s="52">
        <v>2752</v>
      </c>
      <c r="M321" s="52">
        <v>2751.11</v>
      </c>
      <c r="N321" s="53">
        <v>0</v>
      </c>
      <c r="O321" s="96">
        <v>0.89</v>
      </c>
      <c r="P321" s="473">
        <v>0</v>
      </c>
      <c r="Q321" s="54">
        <v>0</v>
      </c>
      <c r="R321" s="54">
        <v>545.29999999999995</v>
      </c>
      <c r="S321" s="54">
        <v>0</v>
      </c>
      <c r="T321" s="55">
        <v>0</v>
      </c>
      <c r="U321" s="564">
        <v>-545.29999999999995</v>
      </c>
      <c r="V321" s="523"/>
    </row>
    <row r="322" spans="1:22" s="6" customFormat="1" outlineLevel="2" x14ac:dyDescent="0.2">
      <c r="A322" s="448" t="s">
        <v>743</v>
      </c>
      <c r="B322" s="3" t="s">
        <v>171</v>
      </c>
      <c r="C322" s="3" t="s">
        <v>156</v>
      </c>
      <c r="D322" s="3" t="s">
        <v>10</v>
      </c>
      <c r="E322" s="3" t="s">
        <v>147</v>
      </c>
      <c r="F322" s="473">
        <v>0</v>
      </c>
      <c r="G322" s="54">
        <v>0</v>
      </c>
      <c r="H322" s="54">
        <v>928.14</v>
      </c>
      <c r="I322" s="55">
        <v>0</v>
      </c>
      <c r="J322" s="474">
        <v>-928.14</v>
      </c>
      <c r="K322" s="488">
        <v>0</v>
      </c>
      <c r="L322" s="52">
        <v>0</v>
      </c>
      <c r="M322" s="52">
        <v>773.45</v>
      </c>
      <c r="N322" s="53">
        <v>0</v>
      </c>
      <c r="O322" s="96">
        <v>-773.45</v>
      </c>
      <c r="P322" s="473">
        <v>0</v>
      </c>
      <c r="Q322" s="54">
        <v>0</v>
      </c>
      <c r="R322" s="54">
        <v>51.56</v>
      </c>
      <c r="S322" s="54">
        <v>0</v>
      </c>
      <c r="T322" s="55">
        <v>0</v>
      </c>
      <c r="U322" s="564">
        <v>-51.56</v>
      </c>
      <c r="V322" s="523"/>
    </row>
    <row r="323" spans="1:22" s="6" customFormat="1" outlineLevel="2" x14ac:dyDescent="0.2">
      <c r="A323" s="448" t="s">
        <v>743</v>
      </c>
      <c r="B323" s="3" t="s">
        <v>172</v>
      </c>
      <c r="C323" s="3" t="s">
        <v>156</v>
      </c>
      <c r="D323" s="3" t="s">
        <v>173</v>
      </c>
      <c r="E323" s="3" t="s">
        <v>147</v>
      </c>
      <c r="F323" s="475"/>
      <c r="G323" s="64"/>
      <c r="H323" s="64"/>
      <c r="I323" s="55"/>
      <c r="J323" s="476"/>
      <c r="K323" s="489"/>
      <c r="L323" s="65"/>
      <c r="M323" s="65"/>
      <c r="N323" s="53"/>
      <c r="O323" s="97"/>
      <c r="P323" s="473">
        <v>0</v>
      </c>
      <c r="Q323" s="54">
        <v>0</v>
      </c>
      <c r="R323" s="54">
        <v>150</v>
      </c>
      <c r="S323" s="54">
        <v>0</v>
      </c>
      <c r="T323" s="55">
        <v>0</v>
      </c>
      <c r="U323" s="564">
        <v>-150</v>
      </c>
      <c r="V323" s="523"/>
    </row>
    <row r="324" spans="1:22" s="6" customFormat="1" outlineLevel="2" x14ac:dyDescent="0.2">
      <c r="A324" s="448" t="s">
        <v>743</v>
      </c>
      <c r="B324" s="3" t="s">
        <v>174</v>
      </c>
      <c r="C324" s="3" t="s">
        <v>156</v>
      </c>
      <c r="D324" s="3" t="s">
        <v>11</v>
      </c>
      <c r="E324" s="3" t="s">
        <v>147</v>
      </c>
      <c r="F324" s="475"/>
      <c r="G324" s="64"/>
      <c r="H324" s="64"/>
      <c r="I324" s="55"/>
      <c r="J324" s="476"/>
      <c r="K324" s="489"/>
      <c r="L324" s="65"/>
      <c r="M324" s="65"/>
      <c r="N324" s="53"/>
      <c r="O324" s="97"/>
      <c r="P324" s="473">
        <v>0</v>
      </c>
      <c r="Q324" s="54">
        <v>0</v>
      </c>
      <c r="R324" s="54">
        <v>63.05</v>
      </c>
      <c r="S324" s="54">
        <v>0</v>
      </c>
      <c r="T324" s="55">
        <v>0</v>
      </c>
      <c r="U324" s="564">
        <v>-63.05</v>
      </c>
      <c r="V324" s="523"/>
    </row>
    <row r="325" spans="1:22" s="6" customFormat="1" outlineLevel="2" x14ac:dyDescent="0.2">
      <c r="A325" s="448" t="s">
        <v>743</v>
      </c>
      <c r="B325" s="3" t="s">
        <v>175</v>
      </c>
      <c r="C325" s="3" t="s">
        <v>156</v>
      </c>
      <c r="D325" s="3" t="s">
        <v>12</v>
      </c>
      <c r="E325" s="3" t="s">
        <v>147</v>
      </c>
      <c r="F325" s="473">
        <v>0</v>
      </c>
      <c r="G325" s="54">
        <v>0</v>
      </c>
      <c r="H325" s="54">
        <v>217.5</v>
      </c>
      <c r="I325" s="55">
        <v>0</v>
      </c>
      <c r="J325" s="474">
        <v>-217.5</v>
      </c>
      <c r="K325" s="488">
        <v>0</v>
      </c>
      <c r="L325" s="52">
        <v>0</v>
      </c>
      <c r="M325" s="52">
        <v>213.87</v>
      </c>
      <c r="N325" s="53">
        <v>0</v>
      </c>
      <c r="O325" s="96">
        <v>-213.87</v>
      </c>
      <c r="P325" s="475"/>
      <c r="Q325" s="64"/>
      <c r="R325" s="64"/>
      <c r="S325" s="64"/>
      <c r="T325" s="55"/>
      <c r="U325" s="565"/>
      <c r="V325" s="523"/>
    </row>
    <row r="326" spans="1:22" s="6" customFormat="1" outlineLevel="2" x14ac:dyDescent="0.2">
      <c r="A326" s="448" t="s">
        <v>743</v>
      </c>
      <c r="B326" s="3" t="s">
        <v>176</v>
      </c>
      <c r="C326" s="3" t="s">
        <v>156</v>
      </c>
      <c r="D326" s="3" t="s">
        <v>87</v>
      </c>
      <c r="E326" s="3" t="s">
        <v>147</v>
      </c>
      <c r="F326" s="473">
        <v>0</v>
      </c>
      <c r="G326" s="54">
        <v>0</v>
      </c>
      <c r="H326" s="54">
        <v>75</v>
      </c>
      <c r="I326" s="55">
        <v>0</v>
      </c>
      <c r="J326" s="474">
        <v>-75</v>
      </c>
      <c r="K326" s="488">
        <v>0</v>
      </c>
      <c r="L326" s="52">
        <v>0</v>
      </c>
      <c r="M326" s="52">
        <v>150</v>
      </c>
      <c r="N326" s="53">
        <v>0</v>
      </c>
      <c r="O326" s="96">
        <v>-150</v>
      </c>
      <c r="P326" s="475"/>
      <c r="Q326" s="64"/>
      <c r="R326" s="64"/>
      <c r="S326" s="64"/>
      <c r="T326" s="55"/>
      <c r="U326" s="565"/>
      <c r="V326" s="523"/>
    </row>
    <row r="327" spans="1:22" s="6" customFormat="1" outlineLevel="2" x14ac:dyDescent="0.2">
      <c r="A327" s="448" t="s">
        <v>743</v>
      </c>
      <c r="B327" s="3" t="s">
        <v>177</v>
      </c>
      <c r="C327" s="3" t="s">
        <v>156</v>
      </c>
      <c r="D327" s="3" t="s">
        <v>13</v>
      </c>
      <c r="E327" s="3" t="s">
        <v>147</v>
      </c>
      <c r="F327" s="475"/>
      <c r="G327" s="64"/>
      <c r="H327" s="64"/>
      <c r="I327" s="55"/>
      <c r="J327" s="476"/>
      <c r="K327" s="489"/>
      <c r="L327" s="65"/>
      <c r="M327" s="65"/>
      <c r="N327" s="53"/>
      <c r="O327" s="97"/>
      <c r="P327" s="473">
        <v>0</v>
      </c>
      <c r="Q327" s="54">
        <v>0</v>
      </c>
      <c r="R327" s="54">
        <v>46.37</v>
      </c>
      <c r="S327" s="54">
        <v>0</v>
      </c>
      <c r="T327" s="55">
        <v>0</v>
      </c>
      <c r="U327" s="564">
        <v>-46.37</v>
      </c>
      <c r="V327" s="523"/>
    </row>
    <row r="328" spans="1:22" s="6" customFormat="1" outlineLevel="2" x14ac:dyDescent="0.2">
      <c r="A328" s="448" t="s">
        <v>743</v>
      </c>
      <c r="B328" s="3" t="s">
        <v>178</v>
      </c>
      <c r="C328" s="3" t="s">
        <v>156</v>
      </c>
      <c r="D328" s="3" t="s">
        <v>14</v>
      </c>
      <c r="E328" s="3" t="s">
        <v>147</v>
      </c>
      <c r="F328" s="473">
        <v>0</v>
      </c>
      <c r="G328" s="54">
        <v>0</v>
      </c>
      <c r="H328" s="54">
        <v>107.52</v>
      </c>
      <c r="I328" s="55">
        <v>0</v>
      </c>
      <c r="J328" s="474">
        <v>-107.52</v>
      </c>
      <c r="K328" s="488">
        <v>0</v>
      </c>
      <c r="L328" s="52">
        <v>0</v>
      </c>
      <c r="M328" s="52">
        <v>235.37</v>
      </c>
      <c r="N328" s="53">
        <v>0</v>
      </c>
      <c r="O328" s="96">
        <v>-235.37</v>
      </c>
      <c r="P328" s="475"/>
      <c r="Q328" s="64"/>
      <c r="R328" s="64"/>
      <c r="S328" s="64"/>
      <c r="T328" s="55"/>
      <c r="U328" s="565"/>
      <c r="V328" s="523"/>
    </row>
    <row r="329" spans="1:22" s="6" customFormat="1" outlineLevel="2" x14ac:dyDescent="0.2">
      <c r="A329" s="448" t="s">
        <v>743</v>
      </c>
      <c r="B329" s="3" t="s">
        <v>179</v>
      </c>
      <c r="C329" s="3" t="s">
        <v>156</v>
      </c>
      <c r="D329" s="3" t="s">
        <v>15</v>
      </c>
      <c r="E329" s="3" t="s">
        <v>147</v>
      </c>
      <c r="F329" s="473">
        <v>0</v>
      </c>
      <c r="G329" s="54">
        <v>0</v>
      </c>
      <c r="H329" s="54">
        <v>171.76</v>
      </c>
      <c r="I329" s="55">
        <v>0</v>
      </c>
      <c r="J329" s="474">
        <v>-171.76</v>
      </c>
      <c r="K329" s="488">
        <v>0</v>
      </c>
      <c r="L329" s="52">
        <v>0</v>
      </c>
      <c r="M329" s="52">
        <v>342</v>
      </c>
      <c r="N329" s="53">
        <v>0</v>
      </c>
      <c r="O329" s="96">
        <v>-342</v>
      </c>
      <c r="P329" s="473">
        <v>0</v>
      </c>
      <c r="Q329" s="54">
        <v>0</v>
      </c>
      <c r="R329" s="54">
        <v>62.29</v>
      </c>
      <c r="S329" s="54">
        <v>0</v>
      </c>
      <c r="T329" s="55">
        <v>0</v>
      </c>
      <c r="U329" s="564">
        <v>-62.29</v>
      </c>
      <c r="V329" s="523"/>
    </row>
    <row r="330" spans="1:22" s="6" customFormat="1" outlineLevel="2" x14ac:dyDescent="0.2">
      <c r="A330" s="448" t="s">
        <v>743</v>
      </c>
      <c r="B330" s="3" t="s">
        <v>159</v>
      </c>
      <c r="C330" s="3" t="s">
        <v>156</v>
      </c>
      <c r="D330" s="3" t="s">
        <v>19</v>
      </c>
      <c r="E330" s="3" t="s">
        <v>147</v>
      </c>
      <c r="F330" s="473">
        <v>1395</v>
      </c>
      <c r="G330" s="54">
        <v>1395</v>
      </c>
      <c r="H330" s="54">
        <v>1346.62</v>
      </c>
      <c r="I330" s="55">
        <f t="shared" ref="I330:I387" si="16">+H330/F330</f>
        <v>0.96531899641577057</v>
      </c>
      <c r="J330" s="474">
        <v>48.38</v>
      </c>
      <c r="K330" s="488">
        <v>1395</v>
      </c>
      <c r="L330" s="52">
        <v>2132</v>
      </c>
      <c r="M330" s="52">
        <f>1721.82+200.04</f>
        <v>1921.86</v>
      </c>
      <c r="N330" s="53">
        <f t="shared" ref="N330:N387" si="17">+M330/K330</f>
        <v>1.3776774193548387</v>
      </c>
      <c r="O330" s="96">
        <f>1931.96-1721.82</f>
        <v>210.1400000000001</v>
      </c>
      <c r="P330" s="473">
        <v>1395</v>
      </c>
      <c r="Q330" s="54">
        <v>2345</v>
      </c>
      <c r="R330" s="54">
        <v>1333.72</v>
      </c>
      <c r="S330" s="54">
        <v>501.67</v>
      </c>
      <c r="T330" s="55">
        <f t="shared" ref="T330:T387" si="18">+R330/P330</f>
        <v>0.95607168458781366</v>
      </c>
      <c r="U330" s="564">
        <v>509.61</v>
      </c>
      <c r="V330" s="523"/>
    </row>
    <row r="331" spans="1:22" s="6" customFormat="1" outlineLevel="2" x14ac:dyDescent="0.2">
      <c r="A331" s="448" t="s">
        <v>743</v>
      </c>
      <c r="B331" s="3" t="s">
        <v>160</v>
      </c>
      <c r="C331" s="3" t="s">
        <v>156</v>
      </c>
      <c r="D331" s="3" t="s">
        <v>23</v>
      </c>
      <c r="E331" s="3" t="s">
        <v>147</v>
      </c>
      <c r="F331" s="473">
        <v>120</v>
      </c>
      <c r="G331" s="54">
        <v>67</v>
      </c>
      <c r="H331" s="54">
        <v>29</v>
      </c>
      <c r="I331" s="55">
        <f t="shared" si="16"/>
        <v>0.24166666666666667</v>
      </c>
      <c r="J331" s="474">
        <v>38</v>
      </c>
      <c r="K331" s="488">
        <v>120</v>
      </c>
      <c r="L331" s="52">
        <v>120</v>
      </c>
      <c r="M331" s="52">
        <v>120</v>
      </c>
      <c r="N331" s="53">
        <f t="shared" si="17"/>
        <v>1</v>
      </c>
      <c r="O331" s="96">
        <v>0</v>
      </c>
      <c r="P331" s="473">
        <v>120</v>
      </c>
      <c r="Q331" s="54">
        <v>320</v>
      </c>
      <c r="R331" s="54">
        <v>246.2</v>
      </c>
      <c r="S331" s="54">
        <v>0</v>
      </c>
      <c r="T331" s="55">
        <f t="shared" si="18"/>
        <v>2.0516666666666667</v>
      </c>
      <c r="U331" s="564">
        <v>73.8</v>
      </c>
      <c r="V331" s="523"/>
    </row>
    <row r="332" spans="1:22" s="6" customFormat="1" outlineLevel="2" x14ac:dyDescent="0.2">
      <c r="A332" s="448" t="s">
        <v>743</v>
      </c>
      <c r="B332" s="3" t="s">
        <v>161</v>
      </c>
      <c r="C332" s="3" t="s">
        <v>156</v>
      </c>
      <c r="D332" s="3" t="s">
        <v>25</v>
      </c>
      <c r="E332" s="3" t="s">
        <v>147</v>
      </c>
      <c r="F332" s="473">
        <v>0</v>
      </c>
      <c r="G332" s="54">
        <v>0</v>
      </c>
      <c r="H332" s="54">
        <v>0</v>
      </c>
      <c r="I332" s="55"/>
      <c r="J332" s="474">
        <v>0</v>
      </c>
      <c r="K332" s="488">
        <v>0</v>
      </c>
      <c r="L332" s="52">
        <v>0</v>
      </c>
      <c r="M332" s="52">
        <v>0</v>
      </c>
      <c r="N332" s="53"/>
      <c r="O332" s="96">
        <v>0</v>
      </c>
      <c r="P332" s="473">
        <v>0</v>
      </c>
      <c r="Q332" s="54">
        <v>0</v>
      </c>
      <c r="R332" s="54">
        <v>995</v>
      </c>
      <c r="S332" s="54">
        <v>0</v>
      </c>
      <c r="T332" s="55">
        <v>0</v>
      </c>
      <c r="U332" s="564">
        <v>-995</v>
      </c>
      <c r="V332" s="523"/>
    </row>
    <row r="333" spans="1:22" s="6" customFormat="1" outlineLevel="2" x14ac:dyDescent="0.2">
      <c r="A333" s="448" t="s">
        <v>743</v>
      </c>
      <c r="B333" s="3" t="s">
        <v>180</v>
      </c>
      <c r="C333" s="3" t="s">
        <v>156</v>
      </c>
      <c r="D333" s="3" t="s">
        <v>181</v>
      </c>
      <c r="E333" s="3" t="s">
        <v>147</v>
      </c>
      <c r="F333" s="475"/>
      <c r="G333" s="64"/>
      <c r="H333" s="64"/>
      <c r="I333" s="55"/>
      <c r="J333" s="476"/>
      <c r="K333" s="489"/>
      <c r="L333" s="65"/>
      <c r="M333" s="65"/>
      <c r="N333" s="53"/>
      <c r="O333" s="97"/>
      <c r="P333" s="473">
        <v>-224413</v>
      </c>
      <c r="Q333" s="54">
        <v>0</v>
      </c>
      <c r="R333" s="54">
        <v>0</v>
      </c>
      <c r="S333" s="54">
        <v>0</v>
      </c>
      <c r="T333" s="55">
        <f t="shared" si="18"/>
        <v>0</v>
      </c>
      <c r="U333" s="564">
        <v>0</v>
      </c>
      <c r="V333" s="523"/>
    </row>
    <row r="334" spans="1:22" s="6" customFormat="1" outlineLevel="2" x14ac:dyDescent="0.2">
      <c r="A334" s="448" t="s">
        <v>743</v>
      </c>
      <c r="B334" s="3" t="s">
        <v>162</v>
      </c>
      <c r="C334" s="3" t="s">
        <v>156</v>
      </c>
      <c r="D334" s="3" t="s">
        <v>29</v>
      </c>
      <c r="E334" s="3" t="s">
        <v>147</v>
      </c>
      <c r="F334" s="473">
        <v>7500</v>
      </c>
      <c r="G334" s="54">
        <v>7500</v>
      </c>
      <c r="H334" s="54">
        <v>7500</v>
      </c>
      <c r="I334" s="55">
        <f t="shared" si="16"/>
        <v>1</v>
      </c>
      <c r="J334" s="474">
        <v>0</v>
      </c>
      <c r="K334" s="488">
        <v>7500</v>
      </c>
      <c r="L334" s="52">
        <v>7800</v>
      </c>
      <c r="M334" s="52">
        <v>7800</v>
      </c>
      <c r="N334" s="53">
        <f t="shared" si="17"/>
        <v>1.04</v>
      </c>
      <c r="O334" s="96">
        <v>0</v>
      </c>
      <c r="P334" s="473">
        <v>7479</v>
      </c>
      <c r="Q334" s="54">
        <v>7479</v>
      </c>
      <c r="R334" s="54">
        <v>7479</v>
      </c>
      <c r="S334" s="54">
        <v>0</v>
      </c>
      <c r="T334" s="55">
        <f t="shared" si="18"/>
        <v>1</v>
      </c>
      <c r="U334" s="564">
        <v>0</v>
      </c>
      <c r="V334" s="523"/>
    </row>
    <row r="335" spans="1:22" s="6" customFormat="1" outlineLevel="2" x14ac:dyDescent="0.2">
      <c r="A335" s="448" t="s">
        <v>743</v>
      </c>
      <c r="B335" s="3" t="s">
        <v>163</v>
      </c>
      <c r="C335" s="3" t="s">
        <v>156</v>
      </c>
      <c r="D335" s="3" t="s">
        <v>31</v>
      </c>
      <c r="E335" s="3" t="s">
        <v>147</v>
      </c>
      <c r="F335" s="473">
        <v>3000</v>
      </c>
      <c r="G335" s="54">
        <v>3000</v>
      </c>
      <c r="H335" s="54">
        <v>2214.5100000000002</v>
      </c>
      <c r="I335" s="55">
        <f t="shared" si="16"/>
        <v>0.7381700000000001</v>
      </c>
      <c r="J335" s="474">
        <v>785.49</v>
      </c>
      <c r="K335" s="488">
        <v>3000</v>
      </c>
      <c r="L335" s="52">
        <v>3000</v>
      </c>
      <c r="M335" s="52">
        <v>2163.7600000000002</v>
      </c>
      <c r="N335" s="53">
        <f t="shared" si="17"/>
        <v>0.72125333333333341</v>
      </c>
      <c r="O335" s="96">
        <v>836.24</v>
      </c>
      <c r="P335" s="473">
        <v>3000</v>
      </c>
      <c r="Q335" s="54">
        <v>3000</v>
      </c>
      <c r="R335" s="54">
        <v>2892.36</v>
      </c>
      <c r="S335" s="54">
        <v>0</v>
      </c>
      <c r="T335" s="55">
        <f t="shared" si="18"/>
        <v>0.96412000000000009</v>
      </c>
      <c r="U335" s="564">
        <v>107.64</v>
      </c>
      <c r="V335" s="523"/>
    </row>
    <row r="336" spans="1:22" s="6" customFormat="1" outlineLevel="2" x14ac:dyDescent="0.2">
      <c r="A336" s="448" t="s">
        <v>743</v>
      </c>
      <c r="B336" s="3" t="s">
        <v>164</v>
      </c>
      <c r="C336" s="3" t="s">
        <v>156</v>
      </c>
      <c r="D336" s="3" t="s">
        <v>48</v>
      </c>
      <c r="E336" s="3" t="s">
        <v>147</v>
      </c>
      <c r="F336" s="473">
        <v>1536</v>
      </c>
      <c r="G336" s="54">
        <v>1536</v>
      </c>
      <c r="H336" s="54">
        <v>986.41</v>
      </c>
      <c r="I336" s="55">
        <f t="shared" si="16"/>
        <v>0.64219401041666668</v>
      </c>
      <c r="J336" s="474">
        <v>549.59</v>
      </c>
      <c r="K336" s="488">
        <v>1536</v>
      </c>
      <c r="L336" s="52">
        <v>1536</v>
      </c>
      <c r="M336" s="52">
        <v>1432.69</v>
      </c>
      <c r="N336" s="53">
        <f t="shared" si="17"/>
        <v>0.93274088541666667</v>
      </c>
      <c r="O336" s="96">
        <v>103.31</v>
      </c>
      <c r="P336" s="473">
        <v>1536</v>
      </c>
      <c r="Q336" s="54">
        <v>1536</v>
      </c>
      <c r="R336" s="54">
        <v>466.48</v>
      </c>
      <c r="S336" s="54">
        <v>0</v>
      </c>
      <c r="T336" s="55">
        <f t="shared" si="18"/>
        <v>0.30369791666666668</v>
      </c>
      <c r="U336" s="564">
        <v>1069.52</v>
      </c>
      <c r="V336" s="523"/>
    </row>
    <row r="337" spans="1:22" s="6" customFormat="1" outlineLevel="2" x14ac:dyDescent="0.2">
      <c r="A337" s="448" t="s">
        <v>743</v>
      </c>
      <c r="B337" s="3" t="s">
        <v>165</v>
      </c>
      <c r="C337" s="3" t="s">
        <v>156</v>
      </c>
      <c r="D337" s="3" t="s">
        <v>35</v>
      </c>
      <c r="E337" s="3" t="s">
        <v>147</v>
      </c>
      <c r="F337" s="475"/>
      <c r="G337" s="64"/>
      <c r="H337" s="64"/>
      <c r="I337" s="55"/>
      <c r="J337" s="476"/>
      <c r="K337" s="488">
        <v>33700</v>
      </c>
      <c r="L337" s="52">
        <v>33700</v>
      </c>
      <c r="M337" s="52">
        <v>32592.83</v>
      </c>
      <c r="N337" s="53">
        <f t="shared" si="17"/>
        <v>0.96714629080118697</v>
      </c>
      <c r="O337" s="96">
        <v>1107.17</v>
      </c>
      <c r="P337" s="473">
        <v>0</v>
      </c>
      <c r="Q337" s="54">
        <v>0</v>
      </c>
      <c r="R337" s="54">
        <v>0</v>
      </c>
      <c r="S337" s="54">
        <v>0</v>
      </c>
      <c r="T337" s="55"/>
      <c r="U337" s="564">
        <v>0</v>
      </c>
      <c r="V337" s="523"/>
    </row>
    <row r="338" spans="1:22" s="6" customFormat="1" outlineLevel="2" x14ac:dyDescent="0.2">
      <c r="A338" s="448" t="s">
        <v>743</v>
      </c>
      <c r="B338" s="3" t="s">
        <v>166</v>
      </c>
      <c r="C338" s="3" t="s">
        <v>156</v>
      </c>
      <c r="D338" s="3" t="s">
        <v>167</v>
      </c>
      <c r="E338" s="3" t="s">
        <v>147</v>
      </c>
      <c r="F338" s="473">
        <v>28038</v>
      </c>
      <c r="G338" s="54">
        <v>28336</v>
      </c>
      <c r="H338" s="54">
        <v>28336</v>
      </c>
      <c r="I338" s="55">
        <f t="shared" si="16"/>
        <v>1.0106284328411441</v>
      </c>
      <c r="J338" s="474">
        <v>0</v>
      </c>
      <c r="K338" s="488">
        <v>73711</v>
      </c>
      <c r="L338" s="52">
        <v>72074</v>
      </c>
      <c r="M338" s="52">
        <v>73712</v>
      </c>
      <c r="N338" s="53">
        <f t="shared" si="17"/>
        <v>1.0000135664961811</v>
      </c>
      <c r="O338" s="96">
        <v>-1638</v>
      </c>
      <c r="P338" s="473">
        <v>73711</v>
      </c>
      <c r="Q338" s="54">
        <v>73711</v>
      </c>
      <c r="R338" s="54">
        <v>72921.119999999995</v>
      </c>
      <c r="S338" s="54">
        <v>0</v>
      </c>
      <c r="T338" s="55">
        <f t="shared" si="18"/>
        <v>0.98928409599652689</v>
      </c>
      <c r="U338" s="564">
        <v>789.88</v>
      </c>
      <c r="V338" s="523"/>
    </row>
    <row r="339" spans="1:22" s="6" customFormat="1" outlineLevel="2" x14ac:dyDescent="0.2">
      <c r="A339" s="448" t="s">
        <v>743</v>
      </c>
      <c r="B339" s="3" t="s">
        <v>182</v>
      </c>
      <c r="C339" s="3" t="s">
        <v>183</v>
      </c>
      <c r="D339" s="3" t="s">
        <v>184</v>
      </c>
      <c r="E339" s="3" t="s">
        <v>147</v>
      </c>
      <c r="F339" s="475"/>
      <c r="G339" s="64"/>
      <c r="H339" s="64"/>
      <c r="I339" s="55"/>
      <c r="J339" s="476"/>
      <c r="K339" s="488">
        <v>370397</v>
      </c>
      <c r="L339" s="52">
        <v>0</v>
      </c>
      <c r="M339" s="52">
        <v>0</v>
      </c>
      <c r="N339" s="53">
        <f t="shared" si="17"/>
        <v>0</v>
      </c>
      <c r="O339" s="96">
        <v>0</v>
      </c>
      <c r="P339" s="475"/>
      <c r="Q339" s="64"/>
      <c r="R339" s="64"/>
      <c r="S339" s="64"/>
      <c r="T339" s="55"/>
      <c r="U339" s="565"/>
      <c r="V339" s="523"/>
    </row>
    <row r="340" spans="1:22" s="6" customFormat="1" outlineLevel="2" x14ac:dyDescent="0.2">
      <c r="A340" s="448" t="s">
        <v>743</v>
      </c>
      <c r="B340" s="3" t="s">
        <v>185</v>
      </c>
      <c r="C340" s="3" t="s">
        <v>183</v>
      </c>
      <c r="D340" s="3" t="s">
        <v>184</v>
      </c>
      <c r="E340" s="3" t="s">
        <v>147</v>
      </c>
      <c r="F340" s="475"/>
      <c r="G340" s="64"/>
      <c r="H340" s="64"/>
      <c r="I340" s="55"/>
      <c r="J340" s="476"/>
      <c r="K340" s="488">
        <v>0</v>
      </c>
      <c r="L340" s="52">
        <v>370397</v>
      </c>
      <c r="M340" s="52">
        <f>1948.06+332322.45</f>
        <v>334270.51</v>
      </c>
      <c r="N340" s="53">
        <v>0</v>
      </c>
      <c r="O340" s="96">
        <f>38074.55-1948.06</f>
        <v>36126.490000000005</v>
      </c>
      <c r="P340" s="473">
        <v>340397</v>
      </c>
      <c r="Q340" s="54">
        <v>340397</v>
      </c>
      <c r="R340" s="54">
        <v>242743.92</v>
      </c>
      <c r="S340" s="54">
        <v>0</v>
      </c>
      <c r="T340" s="55">
        <f t="shared" si="18"/>
        <v>0.71312003337279706</v>
      </c>
      <c r="U340" s="564">
        <v>97653.08</v>
      </c>
      <c r="V340" s="523"/>
    </row>
    <row r="341" spans="1:22" s="6" customFormat="1" outlineLevel="2" x14ac:dyDescent="0.2">
      <c r="A341" s="448" t="s">
        <v>743</v>
      </c>
      <c r="B341" s="3" t="s">
        <v>186</v>
      </c>
      <c r="C341" s="3" t="s">
        <v>187</v>
      </c>
      <c r="D341" s="3" t="s">
        <v>184</v>
      </c>
      <c r="E341" s="3" t="s">
        <v>147</v>
      </c>
      <c r="F341" s="475"/>
      <c r="G341" s="64"/>
      <c r="H341" s="64"/>
      <c r="I341" s="55"/>
      <c r="J341" s="476"/>
      <c r="K341" s="488">
        <v>82111</v>
      </c>
      <c r="L341" s="52">
        <v>82111</v>
      </c>
      <c r="M341" s="52">
        <v>0</v>
      </c>
      <c r="N341" s="53">
        <f t="shared" si="17"/>
        <v>0</v>
      </c>
      <c r="O341" s="96">
        <v>82111</v>
      </c>
      <c r="P341" s="475"/>
      <c r="Q341" s="64"/>
      <c r="R341" s="64"/>
      <c r="S341" s="64"/>
      <c r="T341" s="55"/>
      <c r="U341" s="565"/>
      <c r="V341" s="523"/>
    </row>
    <row r="342" spans="1:22" s="6" customFormat="1" outlineLevel="2" x14ac:dyDescent="0.2">
      <c r="A342" s="448" t="s">
        <v>743</v>
      </c>
      <c r="B342" s="3" t="s">
        <v>188</v>
      </c>
      <c r="C342" s="3" t="s">
        <v>187</v>
      </c>
      <c r="D342" s="3" t="s">
        <v>184</v>
      </c>
      <c r="E342" s="3" t="s">
        <v>147</v>
      </c>
      <c r="F342" s="475"/>
      <c r="G342" s="64"/>
      <c r="H342" s="64"/>
      <c r="I342" s="55"/>
      <c r="J342" s="476"/>
      <c r="K342" s="488">
        <v>0</v>
      </c>
      <c r="L342" s="52">
        <v>0</v>
      </c>
      <c r="M342" s="52">
        <v>79869</v>
      </c>
      <c r="N342" s="53">
        <v>0</v>
      </c>
      <c r="O342" s="96">
        <v>-79869</v>
      </c>
      <c r="P342" s="473">
        <v>88013</v>
      </c>
      <c r="Q342" s="54">
        <v>88013</v>
      </c>
      <c r="R342" s="54">
        <v>0</v>
      </c>
      <c r="S342" s="54">
        <v>0</v>
      </c>
      <c r="T342" s="55">
        <f t="shared" si="18"/>
        <v>0</v>
      </c>
      <c r="U342" s="564">
        <v>88013</v>
      </c>
      <c r="V342" s="523"/>
    </row>
    <row r="343" spans="1:22" s="6" customFormat="1" outlineLevel="2" x14ac:dyDescent="0.2">
      <c r="A343" s="448" t="s">
        <v>743</v>
      </c>
      <c r="B343" s="3" t="s">
        <v>189</v>
      </c>
      <c r="C343" s="3" t="s">
        <v>190</v>
      </c>
      <c r="D343" s="3" t="s">
        <v>191</v>
      </c>
      <c r="E343" s="3" t="s">
        <v>147</v>
      </c>
      <c r="F343" s="475"/>
      <c r="G343" s="64"/>
      <c r="H343" s="64"/>
      <c r="I343" s="55"/>
      <c r="J343" s="476"/>
      <c r="K343" s="488">
        <v>2343</v>
      </c>
      <c r="L343" s="52">
        <v>2343</v>
      </c>
      <c r="M343" s="52">
        <v>0</v>
      </c>
      <c r="N343" s="53">
        <f t="shared" si="17"/>
        <v>0</v>
      </c>
      <c r="O343" s="96">
        <v>2343</v>
      </c>
      <c r="P343" s="475"/>
      <c r="Q343" s="64"/>
      <c r="R343" s="64"/>
      <c r="S343" s="64"/>
      <c r="T343" s="55"/>
      <c r="U343" s="565"/>
      <c r="V343" s="523"/>
    </row>
    <row r="344" spans="1:22" s="6" customFormat="1" outlineLevel="2" x14ac:dyDescent="0.2">
      <c r="A344" s="448" t="s">
        <v>743</v>
      </c>
      <c r="B344" s="3" t="s">
        <v>192</v>
      </c>
      <c r="C344" s="3" t="s">
        <v>193</v>
      </c>
      <c r="D344" s="3" t="s">
        <v>191</v>
      </c>
      <c r="E344" s="3" t="s">
        <v>147</v>
      </c>
      <c r="F344" s="475"/>
      <c r="G344" s="64"/>
      <c r="H344" s="64"/>
      <c r="I344" s="55"/>
      <c r="J344" s="476"/>
      <c r="K344" s="489"/>
      <c r="L344" s="65"/>
      <c r="M344" s="65"/>
      <c r="N344" s="53"/>
      <c r="O344" s="97"/>
      <c r="P344" s="473">
        <v>6500</v>
      </c>
      <c r="Q344" s="54">
        <v>6500</v>
      </c>
      <c r="R344" s="54">
        <v>6255</v>
      </c>
      <c r="S344" s="54">
        <v>0</v>
      </c>
      <c r="T344" s="55">
        <f t="shared" si="18"/>
        <v>0.96230769230769231</v>
      </c>
      <c r="U344" s="564">
        <v>245</v>
      </c>
      <c r="V344" s="523"/>
    </row>
    <row r="345" spans="1:22" s="6" customFormat="1" outlineLevel="2" x14ac:dyDescent="0.2">
      <c r="A345" s="448" t="s">
        <v>743</v>
      </c>
      <c r="B345" s="3" t="s">
        <v>194</v>
      </c>
      <c r="C345" s="3" t="s">
        <v>193</v>
      </c>
      <c r="D345" s="3" t="s">
        <v>191</v>
      </c>
      <c r="E345" s="3" t="s">
        <v>147</v>
      </c>
      <c r="F345" s="475"/>
      <c r="G345" s="64"/>
      <c r="H345" s="64"/>
      <c r="I345" s="55"/>
      <c r="J345" s="476"/>
      <c r="K345" s="488">
        <v>5670</v>
      </c>
      <c r="L345" s="52">
        <v>5670</v>
      </c>
      <c r="M345" s="52">
        <v>6204.45</v>
      </c>
      <c r="N345" s="53">
        <f t="shared" si="17"/>
        <v>1.0942592592592593</v>
      </c>
      <c r="O345" s="96">
        <v>-534.45000000000005</v>
      </c>
      <c r="P345" s="475"/>
      <c r="Q345" s="64"/>
      <c r="R345" s="64"/>
      <c r="S345" s="64"/>
      <c r="T345" s="55"/>
      <c r="U345" s="565"/>
      <c r="V345" s="523"/>
    </row>
    <row r="346" spans="1:22" s="6" customFormat="1" outlineLevel="2" x14ac:dyDescent="0.2">
      <c r="A346" s="448" t="s">
        <v>743</v>
      </c>
      <c r="B346" s="3" t="s">
        <v>195</v>
      </c>
      <c r="C346" s="3" t="s">
        <v>196</v>
      </c>
      <c r="D346" s="3" t="s">
        <v>191</v>
      </c>
      <c r="E346" s="3" t="s">
        <v>147</v>
      </c>
      <c r="F346" s="475"/>
      <c r="G346" s="64"/>
      <c r="H346" s="64"/>
      <c r="I346" s="55"/>
      <c r="J346" s="476"/>
      <c r="K346" s="488">
        <v>75190</v>
      </c>
      <c r="L346" s="52">
        <v>76527</v>
      </c>
      <c r="M346" s="52">
        <v>57394.87</v>
      </c>
      <c r="N346" s="53">
        <f t="shared" si="17"/>
        <v>0.7633311610586514</v>
      </c>
      <c r="O346" s="96">
        <v>19132.13</v>
      </c>
      <c r="P346" s="473">
        <v>78691</v>
      </c>
      <c r="Q346" s="54">
        <v>97822</v>
      </c>
      <c r="R346" s="54">
        <v>97822.63</v>
      </c>
      <c r="S346" s="54">
        <v>0</v>
      </c>
      <c r="T346" s="55">
        <f t="shared" si="18"/>
        <v>1.243123482990431</v>
      </c>
      <c r="U346" s="564">
        <v>-0.63</v>
      </c>
      <c r="V346" s="523"/>
    </row>
    <row r="347" spans="1:22" s="6" customFormat="1" outlineLevel="2" x14ac:dyDescent="0.2">
      <c r="A347" s="448" t="s">
        <v>743</v>
      </c>
      <c r="B347" s="3" t="s">
        <v>197</v>
      </c>
      <c r="C347" s="3" t="s">
        <v>198</v>
      </c>
      <c r="D347" s="3" t="s">
        <v>191</v>
      </c>
      <c r="E347" s="3" t="s">
        <v>147</v>
      </c>
      <c r="F347" s="475"/>
      <c r="G347" s="64"/>
      <c r="H347" s="64"/>
      <c r="I347" s="55"/>
      <c r="J347" s="476"/>
      <c r="K347" s="488">
        <v>11259</v>
      </c>
      <c r="L347" s="52">
        <v>11259</v>
      </c>
      <c r="M347" s="52">
        <v>15384</v>
      </c>
      <c r="N347" s="53">
        <f t="shared" si="17"/>
        <v>1.3663735678124167</v>
      </c>
      <c r="O347" s="96">
        <v>-4125</v>
      </c>
      <c r="P347" s="473">
        <v>15609</v>
      </c>
      <c r="Q347" s="54">
        <v>15609</v>
      </c>
      <c r="R347" s="54">
        <v>11514.1</v>
      </c>
      <c r="S347" s="54">
        <v>4099.8999999999996</v>
      </c>
      <c r="T347" s="55">
        <f t="shared" si="18"/>
        <v>0.73765776154782503</v>
      </c>
      <c r="U347" s="564">
        <v>-5</v>
      </c>
      <c r="V347" s="523"/>
    </row>
    <row r="348" spans="1:22" s="6" customFormat="1" outlineLevel="2" x14ac:dyDescent="0.2">
      <c r="A348" s="448" t="s">
        <v>743</v>
      </c>
      <c r="B348" s="3" t="s">
        <v>199</v>
      </c>
      <c r="C348" s="3" t="s">
        <v>200</v>
      </c>
      <c r="D348" s="3" t="s">
        <v>191</v>
      </c>
      <c r="E348" s="3" t="s">
        <v>147</v>
      </c>
      <c r="F348" s="475"/>
      <c r="G348" s="64"/>
      <c r="H348" s="64"/>
      <c r="I348" s="55"/>
      <c r="J348" s="476"/>
      <c r="K348" s="489"/>
      <c r="L348" s="65"/>
      <c r="M348" s="65"/>
      <c r="N348" s="53"/>
      <c r="O348" s="97"/>
      <c r="P348" s="473">
        <v>19057</v>
      </c>
      <c r="Q348" s="54">
        <v>19057</v>
      </c>
      <c r="R348" s="54">
        <v>8160</v>
      </c>
      <c r="S348" s="54">
        <v>0</v>
      </c>
      <c r="T348" s="55">
        <f t="shared" si="18"/>
        <v>0.42818911685994648</v>
      </c>
      <c r="U348" s="564">
        <v>10897</v>
      </c>
      <c r="V348" s="523"/>
    </row>
    <row r="349" spans="1:22" s="6" customFormat="1" outlineLevel="2" x14ac:dyDescent="0.2">
      <c r="A349" s="448" t="s">
        <v>743</v>
      </c>
      <c r="B349" s="3" t="s">
        <v>202</v>
      </c>
      <c r="C349" s="3" t="s">
        <v>201</v>
      </c>
      <c r="D349" s="3" t="s">
        <v>83</v>
      </c>
      <c r="E349" s="3" t="s">
        <v>147</v>
      </c>
      <c r="F349" s="475"/>
      <c r="G349" s="64"/>
      <c r="H349" s="64"/>
      <c r="I349" s="55"/>
      <c r="J349" s="476"/>
      <c r="K349" s="488">
        <v>0</v>
      </c>
      <c r="L349" s="52">
        <v>0</v>
      </c>
      <c r="M349" s="52">
        <v>4560</v>
      </c>
      <c r="N349" s="53">
        <v>0</v>
      </c>
      <c r="O349" s="96">
        <v>-4560</v>
      </c>
      <c r="P349" s="475"/>
      <c r="Q349" s="64"/>
      <c r="R349" s="64"/>
      <c r="S349" s="64"/>
      <c r="T349" s="55"/>
      <c r="U349" s="565"/>
      <c r="V349" s="523"/>
    </row>
    <row r="350" spans="1:22" s="6" customFormat="1" outlineLevel="2" x14ac:dyDescent="0.2">
      <c r="A350" s="448" t="s">
        <v>743</v>
      </c>
      <c r="B350" s="3" t="s">
        <v>203</v>
      </c>
      <c r="C350" s="3" t="s">
        <v>201</v>
      </c>
      <c r="D350" s="3" t="s">
        <v>35</v>
      </c>
      <c r="E350" s="3" t="s">
        <v>147</v>
      </c>
      <c r="F350" s="473">
        <v>9000</v>
      </c>
      <c r="G350" s="54">
        <v>14439</v>
      </c>
      <c r="H350" s="54">
        <v>8822.4</v>
      </c>
      <c r="I350" s="55">
        <f t="shared" si="16"/>
        <v>0.98026666666666662</v>
      </c>
      <c r="J350" s="474">
        <v>5616.6</v>
      </c>
      <c r="K350" s="488">
        <v>9000</v>
      </c>
      <c r="L350" s="52">
        <v>9000</v>
      </c>
      <c r="M350" s="52">
        <v>4903.2299999999996</v>
      </c>
      <c r="N350" s="53">
        <f t="shared" si="17"/>
        <v>0.54480333333333331</v>
      </c>
      <c r="O350" s="96">
        <v>4096.7700000000004</v>
      </c>
      <c r="P350" s="473">
        <v>9000</v>
      </c>
      <c r="Q350" s="54">
        <v>9000</v>
      </c>
      <c r="R350" s="54">
        <v>1937.86</v>
      </c>
      <c r="S350" s="54">
        <v>4654.7700000000004</v>
      </c>
      <c r="T350" s="55">
        <f t="shared" si="18"/>
        <v>0.21531777777777777</v>
      </c>
      <c r="U350" s="564">
        <v>2407.37</v>
      </c>
      <c r="V350" s="523"/>
    </row>
    <row r="351" spans="1:22" s="6" customFormat="1" outlineLevel="2" x14ac:dyDescent="0.2">
      <c r="A351" s="448" t="s">
        <v>743</v>
      </c>
      <c r="B351" s="3" t="s">
        <v>204</v>
      </c>
      <c r="C351" s="3" t="s">
        <v>201</v>
      </c>
      <c r="D351" s="3" t="s">
        <v>53</v>
      </c>
      <c r="E351" s="3" t="s">
        <v>147</v>
      </c>
      <c r="F351" s="473">
        <v>0</v>
      </c>
      <c r="G351" s="54">
        <v>35569</v>
      </c>
      <c r="H351" s="54">
        <v>27834.12</v>
      </c>
      <c r="I351" s="55">
        <v>0</v>
      </c>
      <c r="J351" s="474">
        <v>7734.88</v>
      </c>
      <c r="K351" s="488">
        <v>10000</v>
      </c>
      <c r="L351" s="52">
        <v>10000</v>
      </c>
      <c r="M351" s="52">
        <v>5640.61</v>
      </c>
      <c r="N351" s="53">
        <f t="shared" si="17"/>
        <v>0.56406099999999992</v>
      </c>
      <c r="O351" s="96">
        <v>4359.3900000000003</v>
      </c>
      <c r="P351" s="473">
        <v>10000</v>
      </c>
      <c r="Q351" s="54">
        <v>10000</v>
      </c>
      <c r="R351" s="54">
        <v>5649.03</v>
      </c>
      <c r="S351" s="54">
        <v>15282.94</v>
      </c>
      <c r="T351" s="55">
        <f t="shared" si="18"/>
        <v>0.56490299999999993</v>
      </c>
      <c r="U351" s="564">
        <v>-10931.97</v>
      </c>
      <c r="V351" s="523"/>
    </row>
    <row r="352" spans="1:22" s="6" customFormat="1" outlineLevel="2" x14ac:dyDescent="0.2">
      <c r="A352" s="448" t="s">
        <v>743</v>
      </c>
      <c r="B352" s="3" t="s">
        <v>205</v>
      </c>
      <c r="C352" s="3" t="s">
        <v>201</v>
      </c>
      <c r="D352" s="3" t="s">
        <v>51</v>
      </c>
      <c r="E352" s="3" t="s">
        <v>147</v>
      </c>
      <c r="F352" s="473">
        <v>10000</v>
      </c>
      <c r="G352" s="54">
        <v>3639</v>
      </c>
      <c r="H352" s="54">
        <v>0</v>
      </c>
      <c r="I352" s="55">
        <f t="shared" si="16"/>
        <v>0</v>
      </c>
      <c r="J352" s="474">
        <v>3639</v>
      </c>
      <c r="K352" s="489"/>
      <c r="L352" s="65"/>
      <c r="M352" s="65"/>
      <c r="N352" s="53"/>
      <c r="O352" s="97"/>
      <c r="P352" s="475"/>
      <c r="Q352" s="64"/>
      <c r="R352" s="64"/>
      <c r="S352" s="64"/>
      <c r="T352" s="55"/>
      <c r="U352" s="565"/>
      <c r="V352" s="523"/>
    </row>
    <row r="353" spans="1:22" s="6" customFormat="1" outlineLevel="2" x14ac:dyDescent="0.2">
      <c r="A353" s="448" t="s">
        <v>743</v>
      </c>
      <c r="B353" s="3" t="s">
        <v>207</v>
      </c>
      <c r="C353" s="3" t="s">
        <v>208</v>
      </c>
      <c r="D353" s="3" t="s">
        <v>19</v>
      </c>
      <c r="E353" s="3" t="s">
        <v>147</v>
      </c>
      <c r="F353" s="475"/>
      <c r="G353" s="64"/>
      <c r="H353" s="64"/>
      <c r="I353" s="55"/>
      <c r="J353" s="476"/>
      <c r="K353" s="488">
        <v>2000</v>
      </c>
      <c r="L353" s="52">
        <v>0</v>
      </c>
      <c r="M353" s="52">
        <v>0</v>
      </c>
      <c r="N353" s="53">
        <f t="shared" si="17"/>
        <v>0</v>
      </c>
      <c r="O353" s="96">
        <v>0</v>
      </c>
      <c r="P353" s="473">
        <v>2000</v>
      </c>
      <c r="Q353" s="54">
        <v>2000</v>
      </c>
      <c r="R353" s="54">
        <v>1847.04</v>
      </c>
      <c r="S353" s="54">
        <v>128.07</v>
      </c>
      <c r="T353" s="55">
        <f t="shared" si="18"/>
        <v>0.92352000000000001</v>
      </c>
      <c r="U353" s="564">
        <v>24.89</v>
      </c>
      <c r="V353" s="523"/>
    </row>
    <row r="354" spans="1:22" s="6" customFormat="1" outlineLevel="2" x14ac:dyDescent="0.2">
      <c r="A354" s="448" t="s">
        <v>743</v>
      </c>
      <c r="B354" s="3" t="s">
        <v>209</v>
      </c>
      <c r="C354" s="3" t="s">
        <v>208</v>
      </c>
      <c r="D354" s="3" t="s">
        <v>29</v>
      </c>
      <c r="E354" s="3" t="s">
        <v>147</v>
      </c>
      <c r="F354" s="475"/>
      <c r="G354" s="64"/>
      <c r="H354" s="64"/>
      <c r="I354" s="55"/>
      <c r="J354" s="476"/>
      <c r="K354" s="488">
        <v>4000</v>
      </c>
      <c r="L354" s="52">
        <v>4000</v>
      </c>
      <c r="M354" s="52">
        <v>1967.37</v>
      </c>
      <c r="N354" s="53">
        <f t="shared" si="17"/>
        <v>0.49184249999999996</v>
      </c>
      <c r="O354" s="96">
        <v>2032.63</v>
      </c>
      <c r="P354" s="473">
        <v>4000</v>
      </c>
      <c r="Q354" s="54">
        <v>13000</v>
      </c>
      <c r="R354" s="54">
        <v>9986.06</v>
      </c>
      <c r="S354" s="54">
        <v>0</v>
      </c>
      <c r="T354" s="55">
        <f t="shared" si="18"/>
        <v>2.496515</v>
      </c>
      <c r="U354" s="564">
        <v>3013.94</v>
      </c>
      <c r="V354" s="523"/>
    </row>
    <row r="355" spans="1:22" s="6" customFormat="1" outlineLevel="2" x14ac:dyDescent="0.2">
      <c r="A355" s="448" t="s">
        <v>743</v>
      </c>
      <c r="B355" s="3" t="s">
        <v>211</v>
      </c>
      <c r="C355" s="3" t="s">
        <v>210</v>
      </c>
      <c r="D355" s="3" t="s">
        <v>7</v>
      </c>
      <c r="E355" s="3" t="s">
        <v>147</v>
      </c>
      <c r="F355" s="473">
        <v>57298</v>
      </c>
      <c r="G355" s="54">
        <v>0</v>
      </c>
      <c r="H355" s="54">
        <v>0</v>
      </c>
      <c r="I355" s="55">
        <f t="shared" si="16"/>
        <v>0</v>
      </c>
      <c r="J355" s="474">
        <v>0</v>
      </c>
      <c r="K355" s="488">
        <v>27298</v>
      </c>
      <c r="L355" s="52">
        <v>0</v>
      </c>
      <c r="M355" s="52">
        <v>0</v>
      </c>
      <c r="N355" s="53">
        <f t="shared" si="17"/>
        <v>0</v>
      </c>
      <c r="O355" s="96">
        <v>0</v>
      </c>
      <c r="P355" s="473">
        <v>10346</v>
      </c>
      <c r="Q355" s="54">
        <v>31757</v>
      </c>
      <c r="R355" s="54">
        <v>0</v>
      </c>
      <c r="S355" s="54">
        <v>0</v>
      </c>
      <c r="T355" s="55">
        <f t="shared" si="18"/>
        <v>0</v>
      </c>
      <c r="U355" s="564">
        <v>31757</v>
      </c>
      <c r="V355" s="523"/>
    </row>
    <row r="356" spans="1:22" s="6" customFormat="1" outlineLevel="2" x14ac:dyDescent="0.2">
      <c r="A356" s="448" t="s">
        <v>743</v>
      </c>
      <c r="B356" s="3" t="s">
        <v>227</v>
      </c>
      <c r="C356" s="3" t="s">
        <v>210</v>
      </c>
      <c r="D356" s="3" t="s">
        <v>7</v>
      </c>
      <c r="E356" s="3" t="s">
        <v>147</v>
      </c>
      <c r="F356" s="473">
        <v>0</v>
      </c>
      <c r="G356" s="54">
        <v>53746</v>
      </c>
      <c r="H356" s="54">
        <v>53745.98</v>
      </c>
      <c r="I356" s="55">
        <v>0</v>
      </c>
      <c r="J356" s="474">
        <v>0.02</v>
      </c>
      <c r="K356" s="489"/>
      <c r="L356" s="65"/>
      <c r="M356" s="65"/>
      <c r="N356" s="53"/>
      <c r="O356" s="97"/>
      <c r="P356" s="475"/>
      <c r="Q356" s="64"/>
      <c r="R356" s="64"/>
      <c r="S356" s="64"/>
      <c r="T356" s="55"/>
      <c r="U356" s="565"/>
      <c r="V356" s="523"/>
    </row>
    <row r="357" spans="1:22" s="6" customFormat="1" outlineLevel="2" x14ac:dyDescent="0.2">
      <c r="A357" s="448" t="s">
        <v>743</v>
      </c>
      <c r="B357" s="3" t="s">
        <v>238</v>
      </c>
      <c r="C357" s="3" t="s">
        <v>210</v>
      </c>
      <c r="D357" s="3" t="s">
        <v>239</v>
      </c>
      <c r="E357" s="3" t="s">
        <v>147</v>
      </c>
      <c r="F357" s="475"/>
      <c r="G357" s="64"/>
      <c r="H357" s="64"/>
      <c r="I357" s="55"/>
      <c r="J357" s="476"/>
      <c r="K357" s="489"/>
      <c r="L357" s="65"/>
      <c r="M357" s="65"/>
      <c r="N357" s="53"/>
      <c r="O357" s="97"/>
      <c r="P357" s="473">
        <v>0</v>
      </c>
      <c r="Q357" s="54">
        <v>110046</v>
      </c>
      <c r="R357" s="54">
        <v>0</v>
      </c>
      <c r="S357" s="54">
        <v>0</v>
      </c>
      <c r="T357" s="55">
        <v>0</v>
      </c>
      <c r="U357" s="564">
        <v>110046</v>
      </c>
      <c r="V357" s="523"/>
    </row>
    <row r="358" spans="1:22" s="6" customFormat="1" outlineLevel="2" x14ac:dyDescent="0.2">
      <c r="A358" s="448" t="s">
        <v>743</v>
      </c>
      <c r="B358" s="3" t="s">
        <v>212</v>
      </c>
      <c r="C358" s="3" t="s">
        <v>210</v>
      </c>
      <c r="D358" s="3" t="s">
        <v>213</v>
      </c>
      <c r="E358" s="3" t="s">
        <v>147</v>
      </c>
      <c r="F358" s="473">
        <v>30000</v>
      </c>
      <c r="G358" s="54">
        <v>21285</v>
      </c>
      <c r="H358" s="54">
        <v>19107.05</v>
      </c>
      <c r="I358" s="55">
        <f t="shared" si="16"/>
        <v>0.63690166666666659</v>
      </c>
      <c r="J358" s="474">
        <v>2177.9499999999998</v>
      </c>
      <c r="K358" s="488">
        <v>40000</v>
      </c>
      <c r="L358" s="52">
        <v>0</v>
      </c>
      <c r="M358" s="52">
        <v>0</v>
      </c>
      <c r="N358" s="53">
        <f t="shared" si="17"/>
        <v>0</v>
      </c>
      <c r="O358" s="96">
        <v>0</v>
      </c>
      <c r="P358" s="475"/>
      <c r="Q358" s="64"/>
      <c r="R358" s="64"/>
      <c r="S358" s="64"/>
      <c r="T358" s="55">
        <v>0</v>
      </c>
      <c r="U358" s="565"/>
      <c r="V358" s="523"/>
    </row>
    <row r="359" spans="1:22" s="6" customFormat="1" outlineLevel="2" x14ac:dyDescent="0.2">
      <c r="A359" s="448" t="s">
        <v>743</v>
      </c>
      <c r="B359" s="3" t="s">
        <v>240</v>
      </c>
      <c r="C359" s="3" t="s">
        <v>210</v>
      </c>
      <c r="D359" s="3" t="s">
        <v>19</v>
      </c>
      <c r="E359" s="3" t="s">
        <v>147</v>
      </c>
      <c r="F359" s="475"/>
      <c r="G359" s="64"/>
      <c r="H359" s="64"/>
      <c r="I359" s="55"/>
      <c r="J359" s="476"/>
      <c r="K359" s="489"/>
      <c r="L359" s="65"/>
      <c r="M359" s="65"/>
      <c r="N359" s="53"/>
      <c r="O359" s="97"/>
      <c r="P359" s="473">
        <v>40000</v>
      </c>
      <c r="Q359" s="54">
        <v>40000</v>
      </c>
      <c r="R359" s="54">
        <v>0</v>
      </c>
      <c r="S359" s="54">
        <v>0</v>
      </c>
      <c r="T359" s="55">
        <f t="shared" si="18"/>
        <v>0</v>
      </c>
      <c r="U359" s="564">
        <v>40000</v>
      </c>
      <c r="V359" s="523"/>
    </row>
    <row r="360" spans="1:22" s="6" customFormat="1" outlineLevel="2" x14ac:dyDescent="0.2">
      <c r="A360" s="448" t="s">
        <v>743</v>
      </c>
      <c r="B360" s="3" t="s">
        <v>222</v>
      </c>
      <c r="C360" s="3" t="s">
        <v>210</v>
      </c>
      <c r="D360" s="3" t="s">
        <v>23</v>
      </c>
      <c r="E360" s="3" t="s">
        <v>147</v>
      </c>
      <c r="F360" s="473">
        <v>15329</v>
      </c>
      <c r="G360" s="54">
        <v>11904</v>
      </c>
      <c r="H360" s="54">
        <v>4944.58</v>
      </c>
      <c r="I360" s="55">
        <f t="shared" si="16"/>
        <v>0.32256376802139736</v>
      </c>
      <c r="J360" s="474">
        <v>6959.42</v>
      </c>
      <c r="K360" s="488">
        <v>15844</v>
      </c>
      <c r="L360" s="52">
        <v>2784</v>
      </c>
      <c r="M360" s="52">
        <v>1639.25</v>
      </c>
      <c r="N360" s="53">
        <f t="shared" si="17"/>
        <v>0.10346187831355719</v>
      </c>
      <c r="O360" s="96">
        <v>1144.75</v>
      </c>
      <c r="P360" s="473">
        <v>15844</v>
      </c>
      <c r="Q360" s="54">
        <v>15344</v>
      </c>
      <c r="R360" s="54">
        <v>0</v>
      </c>
      <c r="S360" s="54">
        <v>0</v>
      </c>
      <c r="T360" s="55">
        <f t="shared" si="18"/>
        <v>0</v>
      </c>
      <c r="U360" s="564">
        <v>15344</v>
      </c>
      <c r="V360" s="523"/>
    </row>
    <row r="361" spans="1:22" s="6" customFormat="1" outlineLevel="2" x14ac:dyDescent="0.2">
      <c r="A361" s="448" t="s">
        <v>743</v>
      </c>
      <c r="B361" s="3" t="s">
        <v>214</v>
      </c>
      <c r="C361" s="3" t="s">
        <v>210</v>
      </c>
      <c r="D361" s="3" t="s">
        <v>25</v>
      </c>
      <c r="E361" s="3" t="s">
        <v>147</v>
      </c>
      <c r="F361" s="473">
        <v>0</v>
      </c>
      <c r="G361" s="54">
        <v>0</v>
      </c>
      <c r="H361" s="54">
        <v>0</v>
      </c>
      <c r="I361" s="55"/>
      <c r="J361" s="474">
        <v>0</v>
      </c>
      <c r="K361" s="488">
        <v>0</v>
      </c>
      <c r="L361" s="52">
        <v>0</v>
      </c>
      <c r="M361" s="52">
        <v>0</v>
      </c>
      <c r="N361" s="53"/>
      <c r="O361" s="96">
        <v>0</v>
      </c>
      <c r="P361" s="473">
        <v>0</v>
      </c>
      <c r="Q361" s="54">
        <v>0</v>
      </c>
      <c r="R361" s="54">
        <v>1071.7</v>
      </c>
      <c r="S361" s="54">
        <v>0</v>
      </c>
      <c r="T361" s="55">
        <v>0</v>
      </c>
      <c r="U361" s="564">
        <v>-1071.7</v>
      </c>
      <c r="V361" s="523"/>
    </row>
    <row r="362" spans="1:22" s="6" customFormat="1" outlineLevel="2" x14ac:dyDescent="0.2">
      <c r="A362" s="448" t="s">
        <v>743</v>
      </c>
      <c r="B362" s="3" t="s">
        <v>223</v>
      </c>
      <c r="C362" s="3" t="s">
        <v>210</v>
      </c>
      <c r="D362" s="3" t="s">
        <v>224</v>
      </c>
      <c r="E362" s="3" t="s">
        <v>147</v>
      </c>
      <c r="F362" s="473">
        <v>45236</v>
      </c>
      <c r="G362" s="54">
        <v>38094</v>
      </c>
      <c r="H362" s="54">
        <v>27108.94</v>
      </c>
      <c r="I362" s="55">
        <f t="shared" si="16"/>
        <v>0.5992780086656645</v>
      </c>
      <c r="J362" s="474">
        <v>10985.06</v>
      </c>
      <c r="K362" s="488">
        <v>35721</v>
      </c>
      <c r="L362" s="52">
        <v>35763</v>
      </c>
      <c r="M362" s="52">
        <f>28075.15+35257.18</f>
        <v>63332.33</v>
      </c>
      <c r="N362" s="53">
        <f t="shared" si="17"/>
        <v>1.7729719212787995</v>
      </c>
      <c r="O362" s="96">
        <f>505.82-28075.15</f>
        <v>-27569.33</v>
      </c>
      <c r="P362" s="473">
        <v>29841</v>
      </c>
      <c r="Q362" s="54">
        <v>29191</v>
      </c>
      <c r="R362" s="54">
        <v>582.70000000000005</v>
      </c>
      <c r="S362" s="54">
        <v>0</v>
      </c>
      <c r="T362" s="55">
        <f t="shared" si="18"/>
        <v>1.9526825508528536E-2</v>
      </c>
      <c r="U362" s="564">
        <v>28608.3</v>
      </c>
      <c r="V362" s="523"/>
    </row>
    <row r="363" spans="1:22" s="6" customFormat="1" outlineLevel="2" x14ac:dyDescent="0.2">
      <c r="A363" s="448" t="s">
        <v>743</v>
      </c>
      <c r="B363" s="3" t="s">
        <v>228</v>
      </c>
      <c r="C363" s="3" t="s">
        <v>210</v>
      </c>
      <c r="D363" s="3" t="s">
        <v>27</v>
      </c>
      <c r="E363" s="3" t="s">
        <v>147</v>
      </c>
      <c r="F363" s="473">
        <v>0</v>
      </c>
      <c r="G363" s="54">
        <v>4861</v>
      </c>
      <c r="H363" s="54">
        <v>4860.9399999999996</v>
      </c>
      <c r="I363" s="55">
        <v>0</v>
      </c>
      <c r="J363" s="474">
        <v>0.06</v>
      </c>
      <c r="K363" s="488">
        <v>0</v>
      </c>
      <c r="L363" s="52">
        <v>160</v>
      </c>
      <c r="M363" s="52">
        <v>159.15</v>
      </c>
      <c r="N363" s="53">
        <v>0</v>
      </c>
      <c r="O363" s="96">
        <v>0.85</v>
      </c>
      <c r="P363" s="475"/>
      <c r="Q363" s="64"/>
      <c r="R363" s="64"/>
      <c r="S363" s="64"/>
      <c r="T363" s="55"/>
      <c r="U363" s="565"/>
      <c r="V363" s="523"/>
    </row>
    <row r="364" spans="1:22" s="6" customFormat="1" outlineLevel="2" x14ac:dyDescent="0.2">
      <c r="A364" s="448" t="s">
        <v>743</v>
      </c>
      <c r="B364" s="3" t="s">
        <v>225</v>
      </c>
      <c r="C364" s="3" t="s">
        <v>210</v>
      </c>
      <c r="D364" s="3" t="s">
        <v>29</v>
      </c>
      <c r="E364" s="3" t="s">
        <v>147</v>
      </c>
      <c r="F364" s="475"/>
      <c r="G364" s="64"/>
      <c r="H364" s="64"/>
      <c r="I364" s="55"/>
      <c r="J364" s="476"/>
      <c r="K364" s="488">
        <v>0</v>
      </c>
      <c r="L364" s="52">
        <v>10123</v>
      </c>
      <c r="M364" s="52">
        <v>10122.299999999999</v>
      </c>
      <c r="N364" s="53">
        <v>0</v>
      </c>
      <c r="O364" s="96">
        <v>0.7</v>
      </c>
      <c r="P364" s="475"/>
      <c r="Q364" s="64"/>
      <c r="R364" s="64"/>
      <c r="S364" s="64"/>
      <c r="T364" s="55"/>
      <c r="U364" s="565"/>
      <c r="V364" s="523"/>
    </row>
    <row r="365" spans="1:22" s="6" customFormat="1" outlineLevel="2" x14ac:dyDescent="0.2">
      <c r="A365" s="448" t="s">
        <v>743</v>
      </c>
      <c r="B365" s="3" t="s">
        <v>229</v>
      </c>
      <c r="C365" s="3" t="s">
        <v>210</v>
      </c>
      <c r="D365" s="3" t="s">
        <v>29</v>
      </c>
      <c r="E365" s="3" t="s">
        <v>147</v>
      </c>
      <c r="F365" s="473">
        <v>0</v>
      </c>
      <c r="G365" s="54">
        <v>60522</v>
      </c>
      <c r="H365" s="54">
        <v>53338.27</v>
      </c>
      <c r="I365" s="55">
        <v>0</v>
      </c>
      <c r="J365" s="474">
        <v>7183.73</v>
      </c>
      <c r="K365" s="488">
        <v>0</v>
      </c>
      <c r="L365" s="52">
        <v>10815</v>
      </c>
      <c r="M365" s="52">
        <f>22925.85+2271.44</f>
        <v>25197.289999999997</v>
      </c>
      <c r="N365" s="53">
        <v>0</v>
      </c>
      <c r="O365" s="96">
        <f>-22925.85+8543.56</f>
        <v>-14382.289999999999</v>
      </c>
      <c r="P365" s="473">
        <v>0</v>
      </c>
      <c r="Q365" s="54">
        <v>90</v>
      </c>
      <c r="R365" s="54">
        <v>0</v>
      </c>
      <c r="S365" s="54">
        <v>0</v>
      </c>
      <c r="T365" s="55">
        <v>0</v>
      </c>
      <c r="U365" s="564">
        <v>90</v>
      </c>
      <c r="V365" s="523"/>
    </row>
    <row r="366" spans="1:22" s="6" customFormat="1" outlineLevel="2" x14ac:dyDescent="0.2">
      <c r="A366" s="448" t="s">
        <v>743</v>
      </c>
      <c r="B366" s="3" t="s">
        <v>237</v>
      </c>
      <c r="C366" s="3" t="s">
        <v>210</v>
      </c>
      <c r="D366" s="3" t="s">
        <v>29</v>
      </c>
      <c r="E366" s="3" t="s">
        <v>147</v>
      </c>
      <c r="F366" s="475"/>
      <c r="G366" s="64"/>
      <c r="H366" s="64"/>
      <c r="I366" s="55"/>
      <c r="J366" s="476"/>
      <c r="K366" s="488">
        <v>0</v>
      </c>
      <c r="L366" s="52">
        <v>2580</v>
      </c>
      <c r="M366" s="52">
        <v>2580</v>
      </c>
      <c r="N366" s="53">
        <v>0</v>
      </c>
      <c r="O366" s="96">
        <v>0</v>
      </c>
      <c r="P366" s="475"/>
      <c r="Q366" s="64"/>
      <c r="R366" s="64"/>
      <c r="S366" s="64"/>
      <c r="T366" s="55"/>
      <c r="U366" s="565"/>
      <c r="V366" s="523"/>
    </row>
    <row r="367" spans="1:22" s="6" customFormat="1" outlineLevel="2" x14ac:dyDescent="0.2">
      <c r="A367" s="448" t="s">
        <v>743</v>
      </c>
      <c r="B367" s="3" t="s">
        <v>241</v>
      </c>
      <c r="C367" s="3" t="s">
        <v>210</v>
      </c>
      <c r="D367" s="3" t="s">
        <v>29</v>
      </c>
      <c r="E367" s="3" t="s">
        <v>147</v>
      </c>
      <c r="F367" s="475"/>
      <c r="G367" s="64"/>
      <c r="H367" s="64"/>
      <c r="I367" s="55"/>
      <c r="J367" s="476"/>
      <c r="K367" s="489"/>
      <c r="L367" s="65"/>
      <c r="M367" s="65"/>
      <c r="N367" s="53"/>
      <c r="O367" s="97"/>
      <c r="P367" s="473">
        <v>30000</v>
      </c>
      <c r="Q367" s="54">
        <v>20910</v>
      </c>
      <c r="R367" s="54">
        <v>0</v>
      </c>
      <c r="S367" s="54">
        <v>0</v>
      </c>
      <c r="T367" s="55">
        <f t="shared" si="18"/>
        <v>0</v>
      </c>
      <c r="U367" s="564">
        <v>20910</v>
      </c>
      <c r="V367" s="523"/>
    </row>
    <row r="368" spans="1:22" s="6" customFormat="1" outlineLevel="2" x14ac:dyDescent="0.2">
      <c r="A368" s="448" t="s">
        <v>743</v>
      </c>
      <c r="B368" s="3" t="s">
        <v>226</v>
      </c>
      <c r="C368" s="3" t="s">
        <v>210</v>
      </c>
      <c r="D368" s="3" t="s">
        <v>29</v>
      </c>
      <c r="E368" s="3" t="s">
        <v>147</v>
      </c>
      <c r="F368" s="475"/>
      <c r="G368" s="64"/>
      <c r="H368" s="64"/>
      <c r="I368" s="55"/>
      <c r="J368" s="476"/>
      <c r="K368" s="489"/>
      <c r="L368" s="65"/>
      <c r="M368" s="65"/>
      <c r="N368" s="53"/>
      <c r="O368" s="97"/>
      <c r="P368" s="473">
        <v>2500</v>
      </c>
      <c r="Q368" s="54">
        <v>2500</v>
      </c>
      <c r="R368" s="54">
        <v>2500</v>
      </c>
      <c r="S368" s="54">
        <v>0</v>
      </c>
      <c r="T368" s="55">
        <f t="shared" si="18"/>
        <v>1</v>
      </c>
      <c r="U368" s="564">
        <v>0</v>
      </c>
      <c r="V368" s="523"/>
    </row>
    <row r="369" spans="1:22" s="6" customFormat="1" outlineLevel="2" x14ac:dyDescent="0.2">
      <c r="A369" s="448" t="s">
        <v>743</v>
      </c>
      <c r="B369" s="3" t="s">
        <v>215</v>
      </c>
      <c r="C369" s="3" t="s">
        <v>210</v>
      </c>
      <c r="D369" s="3" t="s">
        <v>35</v>
      </c>
      <c r="E369" s="3" t="s">
        <v>147</v>
      </c>
      <c r="F369" s="473">
        <v>0</v>
      </c>
      <c r="G369" s="54">
        <v>-660</v>
      </c>
      <c r="H369" s="54">
        <v>-660.74</v>
      </c>
      <c r="I369" s="55">
        <v>0</v>
      </c>
      <c r="J369" s="474">
        <v>0.74</v>
      </c>
      <c r="K369" s="489"/>
      <c r="L369" s="65"/>
      <c r="M369" s="65"/>
      <c r="N369" s="53"/>
      <c r="O369" s="97"/>
      <c r="P369" s="473">
        <v>0</v>
      </c>
      <c r="Q369" s="54">
        <v>0</v>
      </c>
      <c r="R369" s="54">
        <v>0</v>
      </c>
      <c r="S369" s="54">
        <v>500</v>
      </c>
      <c r="T369" s="55">
        <v>0</v>
      </c>
      <c r="U369" s="564">
        <v>-500</v>
      </c>
      <c r="V369" s="523"/>
    </row>
    <row r="370" spans="1:22" s="6" customFormat="1" outlineLevel="2" x14ac:dyDescent="0.2">
      <c r="A370" s="448" t="s">
        <v>743</v>
      </c>
      <c r="B370" s="3" t="s">
        <v>230</v>
      </c>
      <c r="C370" s="3" t="s">
        <v>210</v>
      </c>
      <c r="D370" s="3" t="s">
        <v>35</v>
      </c>
      <c r="E370" s="3" t="s">
        <v>147</v>
      </c>
      <c r="F370" s="473">
        <v>27000</v>
      </c>
      <c r="G370" s="54">
        <v>30388</v>
      </c>
      <c r="H370" s="54">
        <v>22411.31</v>
      </c>
      <c r="I370" s="55">
        <f t="shared" si="16"/>
        <v>0.83004851851851857</v>
      </c>
      <c r="J370" s="474">
        <v>7976.69</v>
      </c>
      <c r="K370" s="488">
        <v>30000</v>
      </c>
      <c r="L370" s="52">
        <v>34429</v>
      </c>
      <c r="M370" s="52">
        <v>28607.48</v>
      </c>
      <c r="N370" s="53">
        <f t="shared" si="17"/>
        <v>0.95358266666666669</v>
      </c>
      <c r="O370" s="96">
        <f>34429-28607.48</f>
        <v>5821.52</v>
      </c>
      <c r="P370" s="473">
        <v>30000</v>
      </c>
      <c r="Q370" s="54">
        <v>30000</v>
      </c>
      <c r="R370" s="54">
        <v>15704.31</v>
      </c>
      <c r="S370" s="54">
        <v>3403.41</v>
      </c>
      <c r="T370" s="55">
        <f t="shared" si="18"/>
        <v>0.52347699999999997</v>
      </c>
      <c r="U370" s="564">
        <v>10892.28</v>
      </c>
      <c r="V370" s="523"/>
    </row>
    <row r="371" spans="1:22" s="6" customFormat="1" outlineLevel="2" x14ac:dyDescent="0.2">
      <c r="A371" s="448" t="s">
        <v>743</v>
      </c>
      <c r="B371" s="3" t="s">
        <v>231</v>
      </c>
      <c r="C371" s="3" t="s">
        <v>210</v>
      </c>
      <c r="D371" s="3" t="s">
        <v>232</v>
      </c>
      <c r="E371" s="3" t="s">
        <v>147</v>
      </c>
      <c r="F371" s="473">
        <v>4000</v>
      </c>
      <c r="G371" s="54">
        <v>8856</v>
      </c>
      <c r="H371" s="54">
        <v>8855.2199999999993</v>
      </c>
      <c r="I371" s="55">
        <f t="shared" si="16"/>
        <v>2.2138049999999998</v>
      </c>
      <c r="J371" s="474">
        <v>0.78</v>
      </c>
      <c r="K371" s="488">
        <v>4000</v>
      </c>
      <c r="L371" s="52">
        <v>9955</v>
      </c>
      <c r="M371" s="52">
        <v>9954.9699999999993</v>
      </c>
      <c r="N371" s="53">
        <f t="shared" si="17"/>
        <v>2.4887424999999999</v>
      </c>
      <c r="O371" s="96">
        <v>0.03</v>
      </c>
      <c r="P371" s="473">
        <v>4000</v>
      </c>
      <c r="Q371" s="54">
        <v>4500</v>
      </c>
      <c r="R371" s="54">
        <v>4267.2</v>
      </c>
      <c r="S371" s="54">
        <v>0</v>
      </c>
      <c r="T371" s="55">
        <f t="shared" si="18"/>
        <v>1.0668</v>
      </c>
      <c r="U371" s="564">
        <v>232.8</v>
      </c>
      <c r="V371" s="523"/>
    </row>
    <row r="372" spans="1:22" s="6" customFormat="1" outlineLevel="2" x14ac:dyDescent="0.2">
      <c r="A372" s="448" t="s">
        <v>743</v>
      </c>
      <c r="B372" s="3" t="s">
        <v>216</v>
      </c>
      <c r="C372" s="3" t="s">
        <v>210</v>
      </c>
      <c r="D372" s="3" t="s">
        <v>217</v>
      </c>
      <c r="E372" s="3" t="s">
        <v>147</v>
      </c>
      <c r="F372" s="473">
        <v>30000</v>
      </c>
      <c r="G372" s="54">
        <v>4756</v>
      </c>
      <c r="H372" s="54">
        <v>4576</v>
      </c>
      <c r="I372" s="55">
        <f t="shared" si="16"/>
        <v>0.15253333333333333</v>
      </c>
      <c r="J372" s="474">
        <v>180</v>
      </c>
      <c r="K372" s="488">
        <v>40000</v>
      </c>
      <c r="L372" s="52">
        <v>0</v>
      </c>
      <c r="M372" s="52">
        <v>0</v>
      </c>
      <c r="N372" s="53">
        <f t="shared" si="17"/>
        <v>0</v>
      </c>
      <c r="O372" s="96">
        <v>0</v>
      </c>
      <c r="P372" s="475"/>
      <c r="Q372" s="64"/>
      <c r="R372" s="64"/>
      <c r="S372" s="64"/>
      <c r="T372" s="55">
        <v>0</v>
      </c>
      <c r="U372" s="565"/>
      <c r="V372" s="523"/>
    </row>
    <row r="373" spans="1:22" s="6" customFormat="1" outlineLevel="2" x14ac:dyDescent="0.2">
      <c r="A373" s="448" t="s">
        <v>743</v>
      </c>
      <c r="B373" s="3" t="s">
        <v>218</v>
      </c>
      <c r="C373" s="3" t="s">
        <v>210</v>
      </c>
      <c r="D373" s="3" t="s">
        <v>37</v>
      </c>
      <c r="E373" s="3" t="s">
        <v>147</v>
      </c>
      <c r="F373" s="473">
        <v>0</v>
      </c>
      <c r="G373" s="54">
        <v>2980</v>
      </c>
      <c r="H373" s="54">
        <v>0</v>
      </c>
      <c r="I373" s="55">
        <v>0</v>
      </c>
      <c r="J373" s="474">
        <v>2980</v>
      </c>
      <c r="K373" s="488">
        <v>0</v>
      </c>
      <c r="L373" s="52">
        <v>2365</v>
      </c>
      <c r="M373" s="52">
        <v>2365</v>
      </c>
      <c r="N373" s="53">
        <v>0</v>
      </c>
      <c r="O373" s="96">
        <v>0</v>
      </c>
      <c r="P373" s="475"/>
      <c r="Q373" s="64"/>
      <c r="R373" s="64"/>
      <c r="S373" s="64"/>
      <c r="T373" s="55">
        <v>0</v>
      </c>
      <c r="U373" s="565"/>
      <c r="V373" s="523"/>
    </row>
    <row r="374" spans="1:22" s="6" customFormat="1" outlineLevel="2" x14ac:dyDescent="0.2">
      <c r="A374" s="448" t="s">
        <v>743</v>
      </c>
      <c r="B374" s="3" t="s">
        <v>233</v>
      </c>
      <c r="C374" s="3" t="s">
        <v>210</v>
      </c>
      <c r="D374" s="3" t="s">
        <v>37</v>
      </c>
      <c r="E374" s="3" t="s">
        <v>147</v>
      </c>
      <c r="F374" s="475"/>
      <c r="G374" s="64"/>
      <c r="H374" s="64"/>
      <c r="I374" s="55"/>
      <c r="J374" s="476"/>
      <c r="K374" s="488">
        <v>0</v>
      </c>
      <c r="L374" s="52">
        <v>996</v>
      </c>
      <c r="M374" s="52">
        <v>995.8</v>
      </c>
      <c r="N374" s="53">
        <v>0</v>
      </c>
      <c r="O374" s="96">
        <v>0.2</v>
      </c>
      <c r="P374" s="475"/>
      <c r="Q374" s="64"/>
      <c r="R374" s="64"/>
      <c r="S374" s="64"/>
      <c r="T374" s="55">
        <v>0</v>
      </c>
      <c r="U374" s="565"/>
      <c r="V374" s="523"/>
    </row>
    <row r="375" spans="1:22" s="6" customFormat="1" outlineLevel="2" x14ac:dyDescent="0.2">
      <c r="A375" s="448" t="s">
        <v>743</v>
      </c>
      <c r="B375" s="3" t="s">
        <v>234</v>
      </c>
      <c r="C375" s="3" t="s">
        <v>210</v>
      </c>
      <c r="D375" s="3" t="s">
        <v>102</v>
      </c>
      <c r="E375" s="3" t="s">
        <v>147</v>
      </c>
      <c r="F375" s="473">
        <v>45000</v>
      </c>
      <c r="G375" s="54">
        <v>22343</v>
      </c>
      <c r="H375" s="54">
        <v>14894.07</v>
      </c>
      <c r="I375" s="55">
        <f t="shared" si="16"/>
        <v>0.33097933333333335</v>
      </c>
      <c r="J375" s="474">
        <v>7448.93</v>
      </c>
      <c r="K375" s="488">
        <v>45000</v>
      </c>
      <c r="L375" s="52">
        <v>33949</v>
      </c>
      <c r="M375" s="52">
        <v>29117.88</v>
      </c>
      <c r="N375" s="53">
        <f t="shared" si="17"/>
        <v>0.64706399999999997</v>
      </c>
      <c r="O375" s="96">
        <v>4831.12</v>
      </c>
      <c r="P375" s="473">
        <v>45000</v>
      </c>
      <c r="Q375" s="54">
        <v>44500</v>
      </c>
      <c r="R375" s="54">
        <v>10669.26</v>
      </c>
      <c r="S375" s="54">
        <v>0</v>
      </c>
      <c r="T375" s="55">
        <f t="shared" si="18"/>
        <v>0.23709466666666668</v>
      </c>
      <c r="U375" s="564">
        <v>33830.74</v>
      </c>
      <c r="V375" s="523"/>
    </row>
    <row r="376" spans="1:22" s="6" customFormat="1" outlineLevel="2" x14ac:dyDescent="0.2">
      <c r="A376" s="448" t="s">
        <v>743</v>
      </c>
      <c r="B376" s="3" t="s">
        <v>235</v>
      </c>
      <c r="C376" s="3" t="s">
        <v>210</v>
      </c>
      <c r="D376" s="3" t="s">
        <v>206</v>
      </c>
      <c r="E376" s="3" t="s">
        <v>147</v>
      </c>
      <c r="F376" s="473">
        <v>0</v>
      </c>
      <c r="G376" s="54">
        <v>12427</v>
      </c>
      <c r="H376" s="54">
        <v>12427</v>
      </c>
      <c r="I376" s="55">
        <v>0</v>
      </c>
      <c r="J376" s="474">
        <v>0</v>
      </c>
      <c r="K376" s="489"/>
      <c r="L376" s="65"/>
      <c r="M376" s="65"/>
      <c r="N376" s="53"/>
      <c r="O376" s="97"/>
      <c r="P376" s="475"/>
      <c r="Q376" s="64"/>
      <c r="R376" s="64"/>
      <c r="S376" s="64"/>
      <c r="T376" s="55">
        <v>0</v>
      </c>
      <c r="U376" s="565"/>
      <c r="V376" s="523"/>
    </row>
    <row r="377" spans="1:22" s="6" customFormat="1" outlineLevel="2" x14ac:dyDescent="0.2">
      <c r="A377" s="448" t="s">
        <v>743</v>
      </c>
      <c r="B377" s="3" t="s">
        <v>236</v>
      </c>
      <c r="C377" s="3" t="s">
        <v>210</v>
      </c>
      <c r="D377" s="3" t="s">
        <v>51</v>
      </c>
      <c r="E377" s="3" t="s">
        <v>147</v>
      </c>
      <c r="F377" s="473">
        <v>20000</v>
      </c>
      <c r="G377" s="54">
        <v>26168</v>
      </c>
      <c r="H377" s="54">
        <f>419.42+9302+16333.98</f>
        <v>26055.4</v>
      </c>
      <c r="I377" s="55">
        <f t="shared" si="16"/>
        <v>1.30277</v>
      </c>
      <c r="J377" s="474">
        <f>9834.02-419.42-9302</f>
        <v>112.60000000000036</v>
      </c>
      <c r="K377" s="488">
        <v>20000</v>
      </c>
      <c r="L377" s="52">
        <v>1306</v>
      </c>
      <c r="M377" s="52">
        <f>24932.8+1305.84</f>
        <v>26238.639999999999</v>
      </c>
      <c r="N377" s="53">
        <f t="shared" si="17"/>
        <v>1.3119319999999999</v>
      </c>
      <c r="O377" s="96">
        <f>1306-1305.84-24932.8</f>
        <v>-24932.639999999999</v>
      </c>
      <c r="P377" s="473">
        <v>20000</v>
      </c>
      <c r="Q377" s="54">
        <v>20000</v>
      </c>
      <c r="R377" s="54">
        <v>0</v>
      </c>
      <c r="S377" s="54">
        <v>0</v>
      </c>
      <c r="T377" s="55">
        <f t="shared" si="18"/>
        <v>0</v>
      </c>
      <c r="U377" s="564">
        <v>20000</v>
      </c>
      <c r="V377" s="523"/>
    </row>
    <row r="378" spans="1:22" s="6" customFormat="1" outlineLevel="2" x14ac:dyDescent="0.2">
      <c r="A378" s="448" t="s">
        <v>743</v>
      </c>
      <c r="B378" s="3" t="s">
        <v>219</v>
      </c>
      <c r="C378" s="3" t="s">
        <v>210</v>
      </c>
      <c r="D378" s="3" t="s">
        <v>220</v>
      </c>
      <c r="E378" s="3" t="s">
        <v>147</v>
      </c>
      <c r="F378" s="473">
        <v>30000</v>
      </c>
      <c r="G378" s="54">
        <v>20413</v>
      </c>
      <c r="H378" s="54">
        <v>20393.46</v>
      </c>
      <c r="I378" s="55">
        <f t="shared" si="16"/>
        <v>0.679782</v>
      </c>
      <c r="J378" s="474">
        <v>19.54</v>
      </c>
      <c r="K378" s="488">
        <v>40000</v>
      </c>
      <c r="L378" s="52">
        <v>0</v>
      </c>
      <c r="M378" s="52">
        <v>0</v>
      </c>
      <c r="N378" s="53">
        <f t="shared" si="17"/>
        <v>0</v>
      </c>
      <c r="O378" s="96">
        <v>0</v>
      </c>
      <c r="P378" s="475"/>
      <c r="Q378" s="64"/>
      <c r="R378" s="64"/>
      <c r="S378" s="64"/>
      <c r="T378" s="55">
        <v>0</v>
      </c>
      <c r="U378" s="565"/>
      <c r="V378" s="523"/>
    </row>
    <row r="379" spans="1:22" s="6" customFormat="1" outlineLevel="2" x14ac:dyDescent="0.2">
      <c r="A379" s="448" t="s">
        <v>743</v>
      </c>
      <c r="B379" s="3" t="s">
        <v>242</v>
      </c>
      <c r="C379" s="3" t="s">
        <v>243</v>
      </c>
      <c r="D379" s="3" t="s">
        <v>221</v>
      </c>
      <c r="E379" s="3" t="s">
        <v>147</v>
      </c>
      <c r="F379" s="473">
        <v>25000</v>
      </c>
      <c r="G379" s="54">
        <v>25000</v>
      </c>
      <c r="H379" s="54">
        <v>27500</v>
      </c>
      <c r="I379" s="55">
        <f t="shared" si="16"/>
        <v>1.1000000000000001</v>
      </c>
      <c r="J379" s="474">
        <v>-2500</v>
      </c>
      <c r="K379" s="488">
        <v>11000</v>
      </c>
      <c r="L379" s="52">
        <v>11000</v>
      </c>
      <c r="M379" s="52">
        <v>11000</v>
      </c>
      <c r="N379" s="53">
        <f t="shared" si="17"/>
        <v>1</v>
      </c>
      <c r="O379" s="96">
        <v>0</v>
      </c>
      <c r="P379" s="473">
        <v>16500</v>
      </c>
      <c r="Q379" s="54">
        <v>16500</v>
      </c>
      <c r="R379" s="54">
        <v>16500</v>
      </c>
      <c r="S379" s="54">
        <v>0</v>
      </c>
      <c r="T379" s="55">
        <f t="shared" si="18"/>
        <v>1</v>
      </c>
      <c r="U379" s="564">
        <v>0</v>
      </c>
      <c r="V379" s="523"/>
    </row>
    <row r="380" spans="1:22" s="6" customFormat="1" outlineLevel="2" x14ac:dyDescent="0.2">
      <c r="A380" s="448" t="s">
        <v>743</v>
      </c>
      <c r="B380" s="3" t="s">
        <v>265</v>
      </c>
      <c r="C380" s="3" t="s">
        <v>264</v>
      </c>
      <c r="D380" s="3" t="s">
        <v>58</v>
      </c>
      <c r="E380" s="3" t="s">
        <v>147</v>
      </c>
      <c r="F380" s="480"/>
      <c r="G380" s="440"/>
      <c r="H380" s="440"/>
      <c r="I380" s="55"/>
      <c r="J380" s="481"/>
      <c r="K380" s="490">
        <v>0</v>
      </c>
      <c r="L380" s="121">
        <v>11911</v>
      </c>
      <c r="M380" s="121">
        <f>8026.5+12061</f>
        <v>20087.5</v>
      </c>
      <c r="N380" s="53">
        <v>0</v>
      </c>
      <c r="O380" s="96">
        <f>-150-8026.5</f>
        <v>-8176.5</v>
      </c>
      <c r="P380" s="479">
        <v>0</v>
      </c>
      <c r="Q380" s="56">
        <v>0</v>
      </c>
      <c r="R380" s="56">
        <v>0</v>
      </c>
      <c r="S380" s="56">
        <v>0</v>
      </c>
      <c r="T380" s="55">
        <v>0</v>
      </c>
      <c r="U380" s="564">
        <v>0</v>
      </c>
      <c r="V380" s="523"/>
    </row>
    <row r="381" spans="1:22" s="6" customFormat="1" outlineLevel="2" x14ac:dyDescent="0.2">
      <c r="A381" s="448" t="s">
        <v>743</v>
      </c>
      <c r="B381" s="3" t="s">
        <v>263</v>
      </c>
      <c r="C381" s="3" t="s">
        <v>264</v>
      </c>
      <c r="D381" s="3" t="s">
        <v>7</v>
      </c>
      <c r="E381" s="3" t="s">
        <v>147</v>
      </c>
      <c r="F381" s="475"/>
      <c r="G381" s="64"/>
      <c r="H381" s="64"/>
      <c r="I381" s="55"/>
      <c r="J381" s="476"/>
      <c r="K381" s="488">
        <v>0</v>
      </c>
      <c r="L381" s="52">
        <v>0</v>
      </c>
      <c r="M381" s="52">
        <v>0</v>
      </c>
      <c r="N381" s="53"/>
      <c r="O381" s="96">
        <v>0</v>
      </c>
      <c r="P381" s="475"/>
      <c r="Q381" s="64"/>
      <c r="R381" s="64"/>
      <c r="S381" s="64"/>
      <c r="T381" s="55"/>
      <c r="U381" s="565"/>
      <c r="V381" s="523"/>
    </row>
    <row r="382" spans="1:22" s="6" customFormat="1" outlineLevel="2" x14ac:dyDescent="0.2">
      <c r="A382" s="448" t="s">
        <v>743</v>
      </c>
      <c r="B382" s="3" t="s">
        <v>266</v>
      </c>
      <c r="C382" s="3" t="s">
        <v>264</v>
      </c>
      <c r="D382" s="3" t="s">
        <v>19</v>
      </c>
      <c r="E382" s="3" t="s">
        <v>147</v>
      </c>
      <c r="F382" s="475"/>
      <c r="G382" s="64"/>
      <c r="H382" s="64"/>
      <c r="I382" s="55"/>
      <c r="J382" s="476"/>
      <c r="K382" s="488">
        <v>0</v>
      </c>
      <c r="L382" s="52">
        <v>3000</v>
      </c>
      <c r="M382" s="52">
        <f>2013.06+727.28</f>
        <v>2740.34</v>
      </c>
      <c r="N382" s="53">
        <v>0</v>
      </c>
      <c r="O382" s="96">
        <f>2272.72-2013.06</f>
        <v>259.65999999999985</v>
      </c>
      <c r="P382" s="473">
        <v>0</v>
      </c>
      <c r="Q382" s="54">
        <v>0</v>
      </c>
      <c r="R382" s="54">
        <v>153.41999999999999</v>
      </c>
      <c r="S382" s="54">
        <v>0</v>
      </c>
      <c r="T382" s="55">
        <v>0</v>
      </c>
      <c r="U382" s="564">
        <v>-153.41999999999999</v>
      </c>
      <c r="V382" s="523"/>
    </row>
    <row r="383" spans="1:22" s="6" customFormat="1" outlineLevel="2" x14ac:dyDescent="0.2">
      <c r="A383" s="448" t="s">
        <v>743</v>
      </c>
      <c r="B383" s="3" t="s">
        <v>267</v>
      </c>
      <c r="C383" s="3" t="s">
        <v>264</v>
      </c>
      <c r="D383" s="3" t="s">
        <v>29</v>
      </c>
      <c r="E383" s="3" t="s">
        <v>147</v>
      </c>
      <c r="F383" s="475"/>
      <c r="G383" s="64"/>
      <c r="H383" s="64"/>
      <c r="I383" s="55"/>
      <c r="J383" s="476"/>
      <c r="K383" s="488">
        <v>0</v>
      </c>
      <c r="L383" s="52">
        <v>15000</v>
      </c>
      <c r="M383" s="52">
        <v>14855.45</v>
      </c>
      <c r="N383" s="53">
        <v>0</v>
      </c>
      <c r="O383" s="96">
        <f>15000-14855.45</f>
        <v>144.54999999999927</v>
      </c>
      <c r="P383" s="475"/>
      <c r="Q383" s="64"/>
      <c r="R383" s="64"/>
      <c r="S383" s="64"/>
      <c r="T383" s="55"/>
      <c r="U383" s="565"/>
      <c r="V383" s="523"/>
    </row>
    <row r="384" spans="1:22" s="6" customFormat="1" outlineLevel="2" x14ac:dyDescent="0.2">
      <c r="A384" s="448" t="s">
        <v>743</v>
      </c>
      <c r="B384" s="3" t="s">
        <v>268</v>
      </c>
      <c r="C384" s="3" t="s">
        <v>269</v>
      </c>
      <c r="D384" s="3" t="s">
        <v>58</v>
      </c>
      <c r="E384" s="3" t="s">
        <v>269</v>
      </c>
      <c r="F384" s="479">
        <v>15068</v>
      </c>
      <c r="G384" s="56">
        <v>15068</v>
      </c>
      <c r="H384" s="56">
        <v>11367.89</v>
      </c>
      <c r="I384" s="55">
        <f t="shared" si="16"/>
        <v>0.75443920891956462</v>
      </c>
      <c r="J384" s="474">
        <v>3700.11</v>
      </c>
      <c r="K384" s="490">
        <v>15068</v>
      </c>
      <c r="L384" s="121">
        <v>9406</v>
      </c>
      <c r="M384" s="121">
        <v>10587.5</v>
      </c>
      <c r="N384" s="53">
        <f t="shared" si="17"/>
        <v>0.70264799575258829</v>
      </c>
      <c r="O384" s="96">
        <v>-1181.5</v>
      </c>
      <c r="P384" s="479">
        <v>15068</v>
      </c>
      <c r="Q384" s="56">
        <v>15068</v>
      </c>
      <c r="R384" s="56">
        <v>3443.75</v>
      </c>
      <c r="S384" s="56">
        <v>0</v>
      </c>
      <c r="T384" s="55">
        <f t="shared" si="18"/>
        <v>0.22854725245553492</v>
      </c>
      <c r="U384" s="564">
        <v>11624.25</v>
      </c>
      <c r="V384" s="523"/>
    </row>
    <row r="385" spans="1:22" s="6" customFormat="1" outlineLevel="2" x14ac:dyDescent="0.2">
      <c r="A385" s="448" t="s">
        <v>743</v>
      </c>
      <c r="B385" s="3" t="s">
        <v>270</v>
      </c>
      <c r="C385" s="3" t="s">
        <v>269</v>
      </c>
      <c r="D385" s="3" t="s">
        <v>7</v>
      </c>
      <c r="E385" s="3" t="s">
        <v>269</v>
      </c>
      <c r="F385" s="473">
        <v>4360</v>
      </c>
      <c r="G385" s="54">
        <v>0</v>
      </c>
      <c r="H385" s="54">
        <v>0</v>
      </c>
      <c r="I385" s="55">
        <f t="shared" si="16"/>
        <v>0</v>
      </c>
      <c r="J385" s="474">
        <v>0</v>
      </c>
      <c r="K385" s="488">
        <v>4360</v>
      </c>
      <c r="L385" s="52">
        <v>0</v>
      </c>
      <c r="M385" s="52">
        <v>0</v>
      </c>
      <c r="N385" s="53">
        <f t="shared" si="17"/>
        <v>0</v>
      </c>
      <c r="O385" s="96">
        <v>0</v>
      </c>
      <c r="P385" s="473">
        <v>4360</v>
      </c>
      <c r="Q385" s="54">
        <v>4360</v>
      </c>
      <c r="R385" s="54">
        <v>0</v>
      </c>
      <c r="S385" s="54">
        <v>0</v>
      </c>
      <c r="T385" s="55">
        <f t="shared" si="18"/>
        <v>0</v>
      </c>
      <c r="U385" s="564">
        <v>4360</v>
      </c>
      <c r="V385" s="523"/>
    </row>
    <row r="386" spans="1:22" s="6" customFormat="1" outlineLevel="2" x14ac:dyDescent="0.2">
      <c r="A386" s="448" t="s">
        <v>743</v>
      </c>
      <c r="B386" s="3" t="s">
        <v>271</v>
      </c>
      <c r="C386" s="3" t="s">
        <v>269</v>
      </c>
      <c r="D386" s="3" t="s">
        <v>52</v>
      </c>
      <c r="E386" s="3" t="s">
        <v>269</v>
      </c>
      <c r="F386" s="473">
        <v>0</v>
      </c>
      <c r="G386" s="54">
        <v>1107</v>
      </c>
      <c r="H386" s="54">
        <v>1106.82</v>
      </c>
      <c r="I386" s="55">
        <v>0</v>
      </c>
      <c r="J386" s="474">
        <v>0.18</v>
      </c>
      <c r="K386" s="489"/>
      <c r="L386" s="65"/>
      <c r="M386" s="65"/>
      <c r="N386" s="53"/>
      <c r="O386" s="97"/>
      <c r="P386" s="475"/>
      <c r="Q386" s="64"/>
      <c r="R386" s="64"/>
      <c r="S386" s="64"/>
      <c r="T386" s="55"/>
      <c r="U386" s="565"/>
      <c r="V386" s="523"/>
    </row>
    <row r="387" spans="1:22" s="6" customFormat="1" outlineLevel="1" x14ac:dyDescent="0.2">
      <c r="A387" s="366" t="s">
        <v>766</v>
      </c>
      <c r="B387" s="3"/>
      <c r="C387" s="3"/>
      <c r="D387" s="3"/>
      <c r="E387" s="3"/>
      <c r="F387" s="477">
        <f>SUBTOTAL(9,F309:F386)</f>
        <v>456280</v>
      </c>
      <c r="G387" s="9">
        <f>SUBTOTAL(9,G309:G386)</f>
        <v>499715</v>
      </c>
      <c r="H387" s="9">
        <f>SUBTOTAL(9,H309:H386)</f>
        <v>420667.72000000003</v>
      </c>
      <c r="I387" s="16">
        <f t="shared" si="16"/>
        <v>0.92195081967213122</v>
      </c>
      <c r="J387" s="478">
        <f>SUBTOTAL(9,J309:J386)</f>
        <v>79047.27999999997</v>
      </c>
      <c r="K387" s="482">
        <f>SUBTOTAL(9,K309:K386)</f>
        <v>1068623</v>
      </c>
      <c r="L387" s="10">
        <f>SUBTOTAL(9,L309:L386)</f>
        <v>911075</v>
      </c>
      <c r="M387" s="10">
        <f>SUBTOTAL(9,M309:M386)</f>
        <v>914838.75</v>
      </c>
      <c r="N387" s="16">
        <f t="shared" si="17"/>
        <v>0.85609120335235156</v>
      </c>
      <c r="O387" s="99">
        <f>SUBTOTAL(9,O309:O386)</f>
        <v>-3763.7499999999964</v>
      </c>
      <c r="P387" s="482">
        <f>SUBTOTAL(9,P309:P386)</f>
        <v>772954</v>
      </c>
      <c r="Q387" s="10">
        <f>SUBTOTAL(9,Q309:Q386)</f>
        <v>1147955</v>
      </c>
      <c r="R387" s="10">
        <f>SUBTOTAL(9,R309:R386)</f>
        <v>532435.43000000005</v>
      </c>
      <c r="S387" s="10">
        <f>SUBTOTAL(9,S309:S386)</f>
        <v>28570.76</v>
      </c>
      <c r="T387" s="16">
        <f t="shared" si="18"/>
        <v>0.68883197447713584</v>
      </c>
      <c r="U387" s="568">
        <f>SUBTOTAL(9,U309:U386)</f>
        <v>586948.81000000006</v>
      </c>
      <c r="V387" s="523"/>
    </row>
    <row r="388" spans="1:22" s="6" customFormat="1" outlineLevel="2" x14ac:dyDescent="0.2">
      <c r="A388" s="448" t="s">
        <v>752</v>
      </c>
      <c r="B388" s="3" t="s">
        <v>652</v>
      </c>
      <c r="C388" s="3" t="s">
        <v>650</v>
      </c>
      <c r="D388" s="3" t="s">
        <v>19</v>
      </c>
      <c r="E388" s="3" t="s">
        <v>651</v>
      </c>
      <c r="F388" s="473">
        <v>572</v>
      </c>
      <c r="G388" s="54">
        <v>579</v>
      </c>
      <c r="H388" s="54">
        <v>579</v>
      </c>
      <c r="I388" s="55">
        <f t="shared" ref="I388:I451" si="19">+H388/F388</f>
        <v>1.0122377622377623</v>
      </c>
      <c r="J388" s="474">
        <v>0</v>
      </c>
      <c r="K388" s="488">
        <v>572</v>
      </c>
      <c r="L388" s="52">
        <v>2372</v>
      </c>
      <c r="M388" s="52">
        <v>2372</v>
      </c>
      <c r="N388" s="53">
        <f t="shared" ref="N388:N447" si="20">+M388/K388</f>
        <v>4.1468531468531467</v>
      </c>
      <c r="O388" s="96">
        <v>0</v>
      </c>
      <c r="P388" s="473">
        <v>572</v>
      </c>
      <c r="Q388" s="54">
        <v>572</v>
      </c>
      <c r="R388" s="54">
        <v>572</v>
      </c>
      <c r="S388" s="54">
        <v>0</v>
      </c>
      <c r="T388" s="55">
        <f t="shared" ref="T388:T447" si="21">+R388/P388</f>
        <v>1</v>
      </c>
      <c r="U388" s="564">
        <v>0</v>
      </c>
      <c r="V388" s="523"/>
    </row>
    <row r="389" spans="1:22" s="6" customFormat="1" outlineLevel="2" x14ac:dyDescent="0.2">
      <c r="A389" s="448" t="s">
        <v>752</v>
      </c>
      <c r="B389" s="3" t="s">
        <v>653</v>
      </c>
      <c r="C389" s="3" t="s">
        <v>650</v>
      </c>
      <c r="D389" s="3" t="s">
        <v>25</v>
      </c>
      <c r="E389" s="3" t="s">
        <v>651</v>
      </c>
      <c r="F389" s="473">
        <v>0</v>
      </c>
      <c r="G389" s="54">
        <v>0</v>
      </c>
      <c r="H389" s="54">
        <v>0</v>
      </c>
      <c r="I389" s="55"/>
      <c r="J389" s="474">
        <v>0</v>
      </c>
      <c r="K389" s="488">
        <v>0</v>
      </c>
      <c r="L389" s="52">
        <v>0</v>
      </c>
      <c r="M389" s="52">
        <v>0</v>
      </c>
      <c r="N389" s="53"/>
      <c r="O389" s="96">
        <v>0</v>
      </c>
      <c r="P389" s="473">
        <v>0</v>
      </c>
      <c r="Q389" s="54">
        <v>0</v>
      </c>
      <c r="R389" s="54">
        <v>0</v>
      </c>
      <c r="S389" s="54">
        <v>0</v>
      </c>
      <c r="T389" s="55"/>
      <c r="U389" s="564">
        <v>0</v>
      </c>
      <c r="V389" s="523"/>
    </row>
    <row r="390" spans="1:22" s="6" customFormat="1" outlineLevel="2" x14ac:dyDescent="0.2">
      <c r="A390" s="448" t="s">
        <v>752</v>
      </c>
      <c r="B390" s="3" t="s">
        <v>654</v>
      </c>
      <c r="C390" s="3" t="s">
        <v>650</v>
      </c>
      <c r="D390" s="3" t="s">
        <v>31</v>
      </c>
      <c r="E390" s="3" t="s">
        <v>651</v>
      </c>
      <c r="F390" s="473">
        <v>1600</v>
      </c>
      <c r="G390" s="54">
        <v>1751</v>
      </c>
      <c r="H390" s="54">
        <v>1751</v>
      </c>
      <c r="I390" s="55">
        <f t="shared" si="19"/>
        <v>1.0943750000000001</v>
      </c>
      <c r="J390" s="474">
        <v>0</v>
      </c>
      <c r="K390" s="488">
        <v>1600</v>
      </c>
      <c r="L390" s="52">
        <v>0</v>
      </c>
      <c r="M390" s="52">
        <v>0</v>
      </c>
      <c r="N390" s="53">
        <f t="shared" si="20"/>
        <v>0</v>
      </c>
      <c r="O390" s="96">
        <v>0</v>
      </c>
      <c r="P390" s="473">
        <v>1600</v>
      </c>
      <c r="Q390" s="54">
        <v>1600</v>
      </c>
      <c r="R390" s="54">
        <v>0</v>
      </c>
      <c r="S390" s="54">
        <v>0</v>
      </c>
      <c r="T390" s="55">
        <f t="shared" si="21"/>
        <v>0</v>
      </c>
      <c r="U390" s="564">
        <v>1600</v>
      </c>
      <c r="V390" s="523"/>
    </row>
    <row r="391" spans="1:22" s="6" customFormat="1" outlineLevel="2" x14ac:dyDescent="0.2">
      <c r="A391" s="448" t="s">
        <v>752</v>
      </c>
      <c r="B391" s="3" t="s">
        <v>655</v>
      </c>
      <c r="C391" s="3" t="s">
        <v>650</v>
      </c>
      <c r="D391" s="3" t="s">
        <v>48</v>
      </c>
      <c r="E391" s="3" t="s">
        <v>651</v>
      </c>
      <c r="F391" s="473">
        <v>200</v>
      </c>
      <c r="G391" s="54">
        <v>42</v>
      </c>
      <c r="H391" s="54">
        <v>41.82</v>
      </c>
      <c r="I391" s="55">
        <f t="shared" si="19"/>
        <v>0.20910000000000001</v>
      </c>
      <c r="J391" s="474">
        <v>0.18</v>
      </c>
      <c r="K391" s="488">
        <v>200</v>
      </c>
      <c r="L391" s="52">
        <v>0</v>
      </c>
      <c r="M391" s="52">
        <v>0</v>
      </c>
      <c r="N391" s="53">
        <f t="shared" si="20"/>
        <v>0</v>
      </c>
      <c r="O391" s="96">
        <v>0</v>
      </c>
      <c r="P391" s="473">
        <v>200</v>
      </c>
      <c r="Q391" s="54">
        <v>200</v>
      </c>
      <c r="R391" s="54">
        <v>0</v>
      </c>
      <c r="S391" s="54">
        <v>0</v>
      </c>
      <c r="T391" s="55">
        <f t="shared" si="21"/>
        <v>0</v>
      </c>
      <c r="U391" s="564">
        <v>200</v>
      </c>
      <c r="V391" s="523"/>
    </row>
    <row r="392" spans="1:22" s="6" customFormat="1" outlineLevel="2" x14ac:dyDescent="0.2">
      <c r="A392" s="448" t="s">
        <v>752</v>
      </c>
      <c r="B392" s="3" t="s">
        <v>657</v>
      </c>
      <c r="C392" s="3" t="s">
        <v>656</v>
      </c>
      <c r="D392" s="3" t="s">
        <v>19</v>
      </c>
      <c r="E392" s="3" t="s">
        <v>651</v>
      </c>
      <c r="F392" s="473">
        <v>4000</v>
      </c>
      <c r="G392" s="54">
        <v>4009</v>
      </c>
      <c r="H392" s="54">
        <v>4008.33</v>
      </c>
      <c r="I392" s="55">
        <f t="shared" si="19"/>
        <v>1.0020825</v>
      </c>
      <c r="J392" s="474">
        <v>0.67</v>
      </c>
      <c r="K392" s="488">
        <v>4000</v>
      </c>
      <c r="L392" s="52">
        <v>3950</v>
      </c>
      <c r="M392" s="52">
        <v>3949.93</v>
      </c>
      <c r="N392" s="53">
        <f t="shared" si="20"/>
        <v>0.98748249999999993</v>
      </c>
      <c r="O392" s="96">
        <v>7.0000000000000007E-2</v>
      </c>
      <c r="P392" s="473">
        <v>4000</v>
      </c>
      <c r="Q392" s="54">
        <v>4000</v>
      </c>
      <c r="R392" s="54">
        <v>3309.67</v>
      </c>
      <c r="S392" s="54">
        <v>1446.57</v>
      </c>
      <c r="T392" s="55">
        <f t="shared" si="21"/>
        <v>0.82741750000000003</v>
      </c>
      <c r="U392" s="564">
        <v>-756.24</v>
      </c>
      <c r="V392" s="523"/>
    </row>
    <row r="393" spans="1:22" s="6" customFormat="1" outlineLevel="2" x14ac:dyDescent="0.2">
      <c r="A393" s="448" t="s">
        <v>752</v>
      </c>
      <c r="B393" s="3" t="s">
        <v>658</v>
      </c>
      <c r="C393" s="3" t="s">
        <v>656</v>
      </c>
      <c r="D393" s="3" t="s">
        <v>93</v>
      </c>
      <c r="E393" s="3" t="s">
        <v>651</v>
      </c>
      <c r="F393" s="473">
        <v>3000</v>
      </c>
      <c r="G393" s="54">
        <v>3000</v>
      </c>
      <c r="H393" s="54">
        <v>2990.74</v>
      </c>
      <c r="I393" s="55">
        <f t="shared" si="19"/>
        <v>0.99691333333333321</v>
      </c>
      <c r="J393" s="474">
        <v>9.26</v>
      </c>
      <c r="K393" s="488">
        <v>3000</v>
      </c>
      <c r="L393" s="52">
        <v>3050</v>
      </c>
      <c r="M393" s="52">
        <v>3050.01</v>
      </c>
      <c r="N393" s="53">
        <f t="shared" si="20"/>
        <v>1.01667</v>
      </c>
      <c r="O393" s="96">
        <v>-0.01</v>
      </c>
      <c r="P393" s="473">
        <v>3000</v>
      </c>
      <c r="Q393" s="54">
        <v>3000</v>
      </c>
      <c r="R393" s="54">
        <v>2935.12</v>
      </c>
      <c r="S393" s="54">
        <v>0</v>
      </c>
      <c r="T393" s="55">
        <f t="shared" si="21"/>
        <v>0.97837333333333332</v>
      </c>
      <c r="U393" s="564">
        <v>64.88</v>
      </c>
      <c r="V393" s="523"/>
    </row>
    <row r="394" spans="1:22" s="6" customFormat="1" outlineLevel="2" x14ac:dyDescent="0.2">
      <c r="A394" s="448" t="s">
        <v>752</v>
      </c>
      <c r="B394" s="3" t="s">
        <v>660</v>
      </c>
      <c r="C394" s="3" t="s">
        <v>659</v>
      </c>
      <c r="D394" s="3" t="s">
        <v>389</v>
      </c>
      <c r="E394" s="3" t="s">
        <v>651</v>
      </c>
      <c r="F394" s="479">
        <v>4040</v>
      </c>
      <c r="G394" s="56">
        <v>4040</v>
      </c>
      <c r="H394" s="56">
        <v>0</v>
      </c>
      <c r="I394" s="55">
        <f t="shared" si="19"/>
        <v>0</v>
      </c>
      <c r="J394" s="474">
        <v>0</v>
      </c>
      <c r="K394" s="490">
        <v>4040</v>
      </c>
      <c r="L394" s="121">
        <v>4040</v>
      </c>
      <c r="M394" s="121">
        <v>0</v>
      </c>
      <c r="N394" s="53">
        <f t="shared" si="20"/>
        <v>0</v>
      </c>
      <c r="O394" s="96">
        <v>0</v>
      </c>
      <c r="P394" s="479">
        <v>4040</v>
      </c>
      <c r="Q394" s="56">
        <v>4040</v>
      </c>
      <c r="R394" s="56">
        <v>0</v>
      </c>
      <c r="S394" s="56">
        <v>0</v>
      </c>
      <c r="T394" s="55">
        <f t="shared" si="21"/>
        <v>0</v>
      </c>
      <c r="U394" s="564">
        <v>0</v>
      </c>
      <c r="V394" s="523"/>
    </row>
    <row r="395" spans="1:22" s="6" customFormat="1" outlineLevel="2" x14ac:dyDescent="0.2">
      <c r="A395" s="448" t="s">
        <v>752</v>
      </c>
      <c r="B395" s="3" t="s">
        <v>661</v>
      </c>
      <c r="C395" s="3" t="s">
        <v>659</v>
      </c>
      <c r="D395" s="3" t="s">
        <v>58</v>
      </c>
      <c r="E395" s="3" t="s">
        <v>651</v>
      </c>
      <c r="F395" s="479">
        <v>1015</v>
      </c>
      <c r="G395" s="56">
        <v>606</v>
      </c>
      <c r="H395" s="56">
        <v>605.88</v>
      </c>
      <c r="I395" s="55">
        <f t="shared" si="19"/>
        <v>0.5969261083743842</v>
      </c>
      <c r="J395" s="474">
        <v>0.12</v>
      </c>
      <c r="K395" s="490">
        <v>1015</v>
      </c>
      <c r="L395" s="121">
        <v>0</v>
      </c>
      <c r="M395" s="121">
        <v>0</v>
      </c>
      <c r="N395" s="53">
        <f t="shared" si="20"/>
        <v>0</v>
      </c>
      <c r="O395" s="96">
        <v>0</v>
      </c>
      <c r="P395" s="479">
        <v>1015</v>
      </c>
      <c r="Q395" s="56">
        <v>6470</v>
      </c>
      <c r="R395" s="56">
        <v>3332.34</v>
      </c>
      <c r="S395" s="56">
        <v>0</v>
      </c>
      <c r="T395" s="55">
        <f t="shared" si="21"/>
        <v>3.2830935960591137</v>
      </c>
      <c r="U395" s="564">
        <v>3137.66</v>
      </c>
      <c r="V395" s="523"/>
    </row>
    <row r="396" spans="1:22" s="6" customFormat="1" outlineLevel="2" x14ac:dyDescent="0.2">
      <c r="A396" s="448" t="s">
        <v>752</v>
      </c>
      <c r="B396" s="3" t="s">
        <v>662</v>
      </c>
      <c r="C396" s="3" t="s">
        <v>659</v>
      </c>
      <c r="D396" s="3" t="s">
        <v>7</v>
      </c>
      <c r="E396" s="3" t="s">
        <v>651</v>
      </c>
      <c r="F396" s="473">
        <v>0</v>
      </c>
      <c r="G396" s="54">
        <v>0</v>
      </c>
      <c r="H396" s="54">
        <v>0</v>
      </c>
      <c r="I396" s="55"/>
      <c r="J396" s="474">
        <v>0</v>
      </c>
      <c r="K396" s="489"/>
      <c r="L396" s="65"/>
      <c r="M396" s="65"/>
      <c r="N396" s="53"/>
      <c r="O396" s="97"/>
      <c r="P396" s="475"/>
      <c r="Q396" s="64"/>
      <c r="R396" s="64"/>
      <c r="S396" s="64"/>
      <c r="T396" s="55"/>
      <c r="U396" s="565"/>
      <c r="V396" s="523"/>
    </row>
    <row r="397" spans="1:22" s="6" customFormat="1" outlineLevel="2" x14ac:dyDescent="0.2">
      <c r="A397" s="448" t="s">
        <v>752</v>
      </c>
      <c r="B397" s="3" t="s">
        <v>672</v>
      </c>
      <c r="C397" s="3" t="s">
        <v>659</v>
      </c>
      <c r="D397" s="3" t="s">
        <v>83</v>
      </c>
      <c r="E397" s="3" t="s">
        <v>651</v>
      </c>
      <c r="F397" s="475"/>
      <c r="G397" s="64"/>
      <c r="H397" s="64"/>
      <c r="I397" s="55"/>
      <c r="J397" s="476"/>
      <c r="K397" s="488">
        <v>0</v>
      </c>
      <c r="L397" s="52">
        <v>0</v>
      </c>
      <c r="M397" s="52">
        <v>1601.46</v>
      </c>
      <c r="N397" s="53">
        <v>0</v>
      </c>
      <c r="O397" s="96">
        <v>-1601.46</v>
      </c>
      <c r="P397" s="475"/>
      <c r="Q397" s="64"/>
      <c r="R397" s="64"/>
      <c r="S397" s="64"/>
      <c r="T397" s="55"/>
      <c r="U397" s="565"/>
      <c r="V397" s="523"/>
    </row>
    <row r="398" spans="1:22" s="6" customFormat="1" outlineLevel="2" x14ac:dyDescent="0.2">
      <c r="A398" s="448" t="s">
        <v>752</v>
      </c>
      <c r="B398" s="3" t="s">
        <v>673</v>
      </c>
      <c r="C398" s="3" t="s">
        <v>659</v>
      </c>
      <c r="D398" s="3" t="s">
        <v>9</v>
      </c>
      <c r="E398" s="3" t="s">
        <v>651</v>
      </c>
      <c r="F398" s="475"/>
      <c r="G398" s="64"/>
      <c r="H398" s="64"/>
      <c r="I398" s="55"/>
      <c r="J398" s="476"/>
      <c r="K398" s="489"/>
      <c r="L398" s="65"/>
      <c r="M398" s="65"/>
      <c r="N398" s="53"/>
      <c r="O398" s="97"/>
      <c r="P398" s="473">
        <v>0</v>
      </c>
      <c r="Q398" s="54">
        <v>0</v>
      </c>
      <c r="R398" s="54">
        <v>4704</v>
      </c>
      <c r="S398" s="54">
        <v>0</v>
      </c>
      <c r="T398" s="55">
        <v>0</v>
      </c>
      <c r="U398" s="564">
        <v>-4704</v>
      </c>
      <c r="V398" s="523"/>
    </row>
    <row r="399" spans="1:22" s="6" customFormat="1" outlineLevel="2" x14ac:dyDescent="0.2">
      <c r="A399" s="448" t="s">
        <v>752</v>
      </c>
      <c r="B399" s="3" t="s">
        <v>663</v>
      </c>
      <c r="C399" s="3" t="s">
        <v>659</v>
      </c>
      <c r="D399" s="3" t="s">
        <v>313</v>
      </c>
      <c r="E399" s="3" t="s">
        <v>651</v>
      </c>
      <c r="F399" s="473">
        <v>22411</v>
      </c>
      <c r="G399" s="54">
        <v>22414</v>
      </c>
      <c r="H399" s="54">
        <v>22413.54</v>
      </c>
      <c r="I399" s="55">
        <f t="shared" si="19"/>
        <v>1.000113337200482</v>
      </c>
      <c r="J399" s="474">
        <v>0.46</v>
      </c>
      <c r="K399" s="488">
        <v>22411</v>
      </c>
      <c r="L399" s="52">
        <v>22411</v>
      </c>
      <c r="M399" s="52">
        <f>23161.75+5046.9</f>
        <v>28208.65</v>
      </c>
      <c r="N399" s="53">
        <f t="shared" si="20"/>
        <v>1.2586966221944582</v>
      </c>
      <c r="O399" s="96">
        <f>-750.75-5046.9</f>
        <v>-5797.65</v>
      </c>
      <c r="P399" s="473">
        <v>22411</v>
      </c>
      <c r="Q399" s="54">
        <v>48411</v>
      </c>
      <c r="R399" s="54">
        <v>21148.35</v>
      </c>
      <c r="S399" s="54">
        <v>0</v>
      </c>
      <c r="T399" s="55">
        <f t="shared" si="21"/>
        <v>0.94365936370532322</v>
      </c>
      <c r="U399" s="564">
        <v>27262.65</v>
      </c>
      <c r="V399" s="523"/>
    </row>
    <row r="400" spans="1:22" s="6" customFormat="1" outlineLevel="2" x14ac:dyDescent="0.2">
      <c r="A400" s="448" t="s">
        <v>752</v>
      </c>
      <c r="B400" s="3" t="s">
        <v>664</v>
      </c>
      <c r="C400" s="3" t="s">
        <v>659</v>
      </c>
      <c r="D400" s="3" t="s">
        <v>17</v>
      </c>
      <c r="E400" s="3" t="s">
        <v>651</v>
      </c>
      <c r="F400" s="473">
        <v>9150</v>
      </c>
      <c r="G400" s="54">
        <v>8184</v>
      </c>
      <c r="H400" s="54">
        <v>8183.72</v>
      </c>
      <c r="I400" s="55">
        <f t="shared" si="19"/>
        <v>0.89439562841530063</v>
      </c>
      <c r="J400" s="474">
        <v>0.28000000000000003</v>
      </c>
      <c r="K400" s="488">
        <v>9150</v>
      </c>
      <c r="L400" s="52">
        <v>3956</v>
      </c>
      <c r="M400" s="52">
        <v>3955.38</v>
      </c>
      <c r="N400" s="53">
        <f t="shared" si="20"/>
        <v>0.43228196721311479</v>
      </c>
      <c r="O400" s="96">
        <f>3956-3955.38</f>
        <v>0.61999999999989086</v>
      </c>
      <c r="P400" s="473">
        <v>9150</v>
      </c>
      <c r="Q400" s="54">
        <v>0</v>
      </c>
      <c r="R400" s="54">
        <v>0</v>
      </c>
      <c r="S400" s="54">
        <v>0</v>
      </c>
      <c r="T400" s="55">
        <f t="shared" si="21"/>
        <v>0</v>
      </c>
      <c r="U400" s="564">
        <v>0</v>
      </c>
      <c r="V400" s="523"/>
    </row>
    <row r="401" spans="1:22" s="6" customFormat="1" outlineLevel="2" x14ac:dyDescent="0.2">
      <c r="A401" s="448" t="s">
        <v>752</v>
      </c>
      <c r="B401" s="3" t="s">
        <v>665</v>
      </c>
      <c r="C401" s="3" t="s">
        <v>659</v>
      </c>
      <c r="D401" s="3" t="s">
        <v>666</v>
      </c>
      <c r="E401" s="3" t="s">
        <v>651</v>
      </c>
      <c r="F401" s="473">
        <v>2574</v>
      </c>
      <c r="G401" s="54">
        <v>2365</v>
      </c>
      <c r="H401" s="54">
        <v>2360.21</v>
      </c>
      <c r="I401" s="55">
        <f t="shared" si="19"/>
        <v>0.91694250194250193</v>
      </c>
      <c r="J401" s="474">
        <v>4.79</v>
      </c>
      <c r="K401" s="488">
        <v>2574</v>
      </c>
      <c r="L401" s="52">
        <v>0</v>
      </c>
      <c r="M401" s="52">
        <v>0</v>
      </c>
      <c r="N401" s="53">
        <f t="shared" si="20"/>
        <v>0</v>
      </c>
      <c r="O401" s="96">
        <v>0</v>
      </c>
      <c r="P401" s="473">
        <v>2574</v>
      </c>
      <c r="Q401" s="54">
        <v>0</v>
      </c>
      <c r="R401" s="54">
        <v>0</v>
      </c>
      <c r="S401" s="54">
        <v>0</v>
      </c>
      <c r="T401" s="55">
        <f t="shared" si="21"/>
        <v>0</v>
      </c>
      <c r="U401" s="564">
        <v>0</v>
      </c>
      <c r="V401" s="523"/>
    </row>
    <row r="402" spans="1:22" s="6" customFormat="1" outlineLevel="2" x14ac:dyDescent="0.2">
      <c r="A402" s="448" t="s">
        <v>752</v>
      </c>
      <c r="B402" s="3" t="s">
        <v>667</v>
      </c>
      <c r="C402" s="3" t="s">
        <v>659</v>
      </c>
      <c r="D402" s="3" t="s">
        <v>334</v>
      </c>
      <c r="E402" s="3" t="s">
        <v>651</v>
      </c>
      <c r="F402" s="473">
        <v>3000</v>
      </c>
      <c r="G402" s="54">
        <v>2948</v>
      </c>
      <c r="H402" s="54">
        <v>2947.14</v>
      </c>
      <c r="I402" s="55">
        <f t="shared" si="19"/>
        <v>0.98237999999999992</v>
      </c>
      <c r="J402" s="474">
        <v>0.86</v>
      </c>
      <c r="K402" s="488">
        <v>3000</v>
      </c>
      <c r="L402" s="52">
        <v>3000</v>
      </c>
      <c r="M402" s="52">
        <v>0</v>
      </c>
      <c r="N402" s="53">
        <f t="shared" si="20"/>
        <v>0</v>
      </c>
      <c r="O402" s="96">
        <v>3000</v>
      </c>
      <c r="P402" s="473">
        <v>3000</v>
      </c>
      <c r="Q402" s="54">
        <v>0</v>
      </c>
      <c r="R402" s="54">
        <v>0</v>
      </c>
      <c r="S402" s="54">
        <v>0</v>
      </c>
      <c r="T402" s="55">
        <f t="shared" si="21"/>
        <v>0</v>
      </c>
      <c r="U402" s="564">
        <v>0</v>
      </c>
      <c r="V402" s="523"/>
    </row>
    <row r="403" spans="1:22" s="6" customFormat="1" outlineLevel="2" x14ac:dyDescent="0.2">
      <c r="A403" s="448" t="s">
        <v>752</v>
      </c>
      <c r="B403" s="3" t="s">
        <v>668</v>
      </c>
      <c r="C403" s="3" t="s">
        <v>659</v>
      </c>
      <c r="D403" s="3" t="s">
        <v>405</v>
      </c>
      <c r="E403" s="3" t="s">
        <v>651</v>
      </c>
      <c r="F403" s="473">
        <v>116</v>
      </c>
      <c r="G403" s="54">
        <v>0</v>
      </c>
      <c r="H403" s="54">
        <v>0</v>
      </c>
      <c r="I403" s="55">
        <f t="shared" si="19"/>
        <v>0</v>
      </c>
      <c r="J403" s="474">
        <v>0</v>
      </c>
      <c r="K403" s="488">
        <v>116</v>
      </c>
      <c r="L403" s="52">
        <v>0</v>
      </c>
      <c r="M403" s="52">
        <v>0</v>
      </c>
      <c r="N403" s="53">
        <f t="shared" si="20"/>
        <v>0</v>
      </c>
      <c r="O403" s="96">
        <v>0</v>
      </c>
      <c r="P403" s="473">
        <v>116</v>
      </c>
      <c r="Q403" s="54">
        <v>0</v>
      </c>
      <c r="R403" s="54">
        <v>0</v>
      </c>
      <c r="S403" s="54">
        <v>0</v>
      </c>
      <c r="T403" s="55">
        <f t="shared" si="21"/>
        <v>0</v>
      </c>
      <c r="U403" s="564">
        <v>0</v>
      </c>
      <c r="V403" s="523"/>
    </row>
    <row r="404" spans="1:22" s="6" customFormat="1" outlineLevel="2" x14ac:dyDescent="0.2">
      <c r="A404" s="448" t="s">
        <v>752</v>
      </c>
      <c r="B404" s="3" t="s">
        <v>669</v>
      </c>
      <c r="C404" s="3" t="s">
        <v>659</v>
      </c>
      <c r="D404" s="3" t="s">
        <v>19</v>
      </c>
      <c r="E404" s="3" t="s">
        <v>651</v>
      </c>
      <c r="F404" s="473">
        <v>0</v>
      </c>
      <c r="G404" s="54">
        <v>549</v>
      </c>
      <c r="H404" s="54">
        <v>547.73</v>
      </c>
      <c r="I404" s="55">
        <v>0</v>
      </c>
      <c r="J404" s="474">
        <v>1.27</v>
      </c>
      <c r="K404" s="489"/>
      <c r="L404" s="65"/>
      <c r="M404" s="65"/>
      <c r="N404" s="53"/>
      <c r="O404" s="97"/>
      <c r="P404" s="475"/>
      <c r="Q404" s="64"/>
      <c r="R404" s="64"/>
      <c r="S404" s="64"/>
      <c r="T404" s="55"/>
      <c r="U404" s="565"/>
      <c r="V404" s="523"/>
    </row>
    <row r="405" spans="1:22" s="6" customFormat="1" outlineLevel="2" x14ac:dyDescent="0.2">
      <c r="A405" s="448" t="s">
        <v>752</v>
      </c>
      <c r="B405" s="3" t="s">
        <v>670</v>
      </c>
      <c r="C405" s="3" t="s">
        <v>659</v>
      </c>
      <c r="D405" s="3" t="s">
        <v>29</v>
      </c>
      <c r="E405" s="3" t="s">
        <v>651</v>
      </c>
      <c r="F405" s="475"/>
      <c r="G405" s="64"/>
      <c r="H405" s="64"/>
      <c r="I405" s="55"/>
      <c r="J405" s="476"/>
      <c r="K405" s="489"/>
      <c r="L405" s="65"/>
      <c r="M405" s="65"/>
      <c r="N405" s="53"/>
      <c r="O405" s="97"/>
      <c r="P405" s="473">
        <v>0</v>
      </c>
      <c r="Q405" s="54">
        <v>2500</v>
      </c>
      <c r="R405" s="54">
        <v>2384.25</v>
      </c>
      <c r="S405" s="54">
        <v>0</v>
      </c>
      <c r="T405" s="55">
        <v>0</v>
      </c>
      <c r="U405" s="564">
        <v>115.75</v>
      </c>
      <c r="V405" s="523"/>
    </row>
    <row r="406" spans="1:22" s="6" customFormat="1" outlineLevel="2" x14ac:dyDescent="0.2">
      <c r="A406" s="448" t="s">
        <v>752</v>
      </c>
      <c r="B406" s="3" t="s">
        <v>671</v>
      </c>
      <c r="C406" s="3" t="s">
        <v>659</v>
      </c>
      <c r="D406" s="3" t="s">
        <v>51</v>
      </c>
      <c r="E406" s="3" t="s">
        <v>651</v>
      </c>
      <c r="F406" s="473">
        <v>11945</v>
      </c>
      <c r="G406" s="54">
        <v>13340</v>
      </c>
      <c r="H406" s="54">
        <v>13339.86</v>
      </c>
      <c r="I406" s="55">
        <f t="shared" si="19"/>
        <v>1.1167735454164922</v>
      </c>
      <c r="J406" s="474">
        <v>0.14000000000000001</v>
      </c>
      <c r="K406" s="488">
        <v>11945</v>
      </c>
      <c r="L406" s="52">
        <v>17139</v>
      </c>
      <c r="M406" s="52">
        <v>17117.89</v>
      </c>
      <c r="N406" s="53">
        <f t="shared" si="20"/>
        <v>1.4330590205106739</v>
      </c>
      <c r="O406" s="96">
        <f>17139-17117.89</f>
        <v>21.110000000000582</v>
      </c>
      <c r="P406" s="473">
        <v>11945</v>
      </c>
      <c r="Q406" s="54">
        <v>9445</v>
      </c>
      <c r="R406" s="54">
        <v>7855.77</v>
      </c>
      <c r="S406" s="54">
        <v>0</v>
      </c>
      <c r="T406" s="55">
        <f t="shared" si="21"/>
        <v>0.65766178317287571</v>
      </c>
      <c r="U406" s="564">
        <v>1589.23</v>
      </c>
      <c r="V406" s="523"/>
    </row>
    <row r="407" spans="1:22" s="6" customFormat="1" outlineLevel="2" x14ac:dyDescent="0.2">
      <c r="A407" s="448" t="s">
        <v>752</v>
      </c>
      <c r="B407" s="3" t="s">
        <v>676</v>
      </c>
      <c r="C407" s="3" t="s">
        <v>675</v>
      </c>
      <c r="D407" s="3" t="s">
        <v>313</v>
      </c>
      <c r="E407" s="3" t="s">
        <v>651</v>
      </c>
      <c r="F407" s="473">
        <v>26000</v>
      </c>
      <c r="G407" s="54">
        <v>26000</v>
      </c>
      <c r="H407" s="54">
        <v>26000</v>
      </c>
      <c r="I407" s="55">
        <f t="shared" si="19"/>
        <v>1</v>
      </c>
      <c r="J407" s="474">
        <v>0</v>
      </c>
      <c r="K407" s="488">
        <v>26000</v>
      </c>
      <c r="L407" s="52">
        <v>26000</v>
      </c>
      <c r="M407" s="52">
        <v>26000</v>
      </c>
      <c r="N407" s="53">
        <f t="shared" si="20"/>
        <v>1</v>
      </c>
      <c r="O407" s="96">
        <v>0</v>
      </c>
      <c r="P407" s="473">
        <v>26000</v>
      </c>
      <c r="Q407" s="54">
        <v>0</v>
      </c>
      <c r="R407" s="54">
        <v>0</v>
      </c>
      <c r="S407" s="54">
        <v>0</v>
      </c>
      <c r="T407" s="55">
        <f t="shared" si="21"/>
        <v>0</v>
      </c>
      <c r="U407" s="564">
        <v>0</v>
      </c>
      <c r="V407" s="523"/>
    </row>
    <row r="408" spans="1:22" s="6" customFormat="1" outlineLevel="2" x14ac:dyDescent="0.2">
      <c r="A408" s="448" t="s">
        <v>752</v>
      </c>
      <c r="B408" s="3" t="s">
        <v>677</v>
      </c>
      <c r="C408" s="3" t="s">
        <v>675</v>
      </c>
      <c r="D408" s="3" t="s">
        <v>17</v>
      </c>
      <c r="E408" s="3" t="s">
        <v>651</v>
      </c>
      <c r="F408" s="473">
        <v>1000</v>
      </c>
      <c r="G408" s="54">
        <v>932</v>
      </c>
      <c r="H408" s="54">
        <v>931.13</v>
      </c>
      <c r="I408" s="55">
        <f t="shared" si="19"/>
        <v>0.93113000000000001</v>
      </c>
      <c r="J408" s="474">
        <v>0.87</v>
      </c>
      <c r="K408" s="488">
        <v>1000</v>
      </c>
      <c r="L408" s="52">
        <v>944</v>
      </c>
      <c r="M408" s="52">
        <v>944</v>
      </c>
      <c r="N408" s="53">
        <f t="shared" si="20"/>
        <v>0.94399999999999995</v>
      </c>
      <c r="O408" s="96">
        <f>944-944</f>
        <v>0</v>
      </c>
      <c r="P408" s="473">
        <v>1000</v>
      </c>
      <c r="Q408" s="54">
        <v>0</v>
      </c>
      <c r="R408" s="54">
        <v>0</v>
      </c>
      <c r="S408" s="54">
        <v>0</v>
      </c>
      <c r="T408" s="55">
        <f t="shared" si="21"/>
        <v>0</v>
      </c>
      <c r="U408" s="564">
        <v>0</v>
      </c>
      <c r="V408" s="523"/>
    </row>
    <row r="409" spans="1:22" s="6" customFormat="1" outlineLevel="2" x14ac:dyDescent="0.2">
      <c r="A409" s="448" t="s">
        <v>752</v>
      </c>
      <c r="B409" s="3" t="s">
        <v>678</v>
      </c>
      <c r="C409" s="3" t="s">
        <v>675</v>
      </c>
      <c r="D409" s="3" t="s">
        <v>246</v>
      </c>
      <c r="E409" s="3" t="s">
        <v>651</v>
      </c>
      <c r="F409" s="473">
        <v>100</v>
      </c>
      <c r="G409" s="54">
        <v>238</v>
      </c>
      <c r="H409" s="54">
        <v>237.54</v>
      </c>
      <c r="I409" s="55">
        <f t="shared" si="19"/>
        <v>2.3754</v>
      </c>
      <c r="J409" s="474">
        <v>0.46</v>
      </c>
      <c r="K409" s="488">
        <v>100</v>
      </c>
      <c r="L409" s="52">
        <v>0</v>
      </c>
      <c r="M409" s="52">
        <v>0</v>
      </c>
      <c r="N409" s="53">
        <f t="shared" si="20"/>
        <v>0</v>
      </c>
      <c r="O409" s="96">
        <v>0</v>
      </c>
      <c r="P409" s="473">
        <v>100</v>
      </c>
      <c r="Q409" s="54">
        <v>100</v>
      </c>
      <c r="R409" s="54">
        <v>37</v>
      </c>
      <c r="S409" s="54">
        <v>0</v>
      </c>
      <c r="T409" s="55">
        <f t="shared" si="21"/>
        <v>0.37</v>
      </c>
      <c r="U409" s="564">
        <v>63</v>
      </c>
      <c r="V409" s="523"/>
    </row>
    <row r="410" spans="1:22" s="6" customFormat="1" outlineLevel="2" x14ac:dyDescent="0.2">
      <c r="A410" s="448" t="s">
        <v>752</v>
      </c>
      <c r="B410" s="3" t="s">
        <v>682</v>
      </c>
      <c r="C410" s="3" t="s">
        <v>675</v>
      </c>
      <c r="D410" s="3" t="s">
        <v>19</v>
      </c>
      <c r="E410" s="3" t="s">
        <v>651</v>
      </c>
      <c r="F410" s="473">
        <v>1032</v>
      </c>
      <c r="G410" s="54">
        <v>1102</v>
      </c>
      <c r="H410" s="54">
        <v>1098.58</v>
      </c>
      <c r="I410" s="55">
        <f t="shared" si="19"/>
        <v>1.0645155038759688</v>
      </c>
      <c r="J410" s="474">
        <v>3.42</v>
      </c>
      <c r="K410" s="488">
        <v>1032</v>
      </c>
      <c r="L410" s="52">
        <v>1032</v>
      </c>
      <c r="M410" s="52">
        <v>1031.99</v>
      </c>
      <c r="N410" s="53">
        <f t="shared" si="20"/>
        <v>0.99999031007751937</v>
      </c>
      <c r="O410" s="96">
        <f>1032-1031.99</f>
        <v>9.9999999999909051E-3</v>
      </c>
      <c r="P410" s="473">
        <v>1032</v>
      </c>
      <c r="Q410" s="54">
        <v>1032</v>
      </c>
      <c r="R410" s="54">
        <v>1032.68</v>
      </c>
      <c r="S410" s="54">
        <v>0</v>
      </c>
      <c r="T410" s="55">
        <f t="shared" si="21"/>
        <v>1.0006589147286822</v>
      </c>
      <c r="U410" s="564">
        <v>-0.68</v>
      </c>
      <c r="V410" s="523"/>
    </row>
    <row r="411" spans="1:22" s="6" customFormat="1" outlineLevel="2" x14ac:dyDescent="0.2">
      <c r="A411" s="448" t="s">
        <v>752</v>
      </c>
      <c r="B411" s="3" t="s">
        <v>683</v>
      </c>
      <c r="C411" s="3" t="s">
        <v>675</v>
      </c>
      <c r="D411" s="3" t="s">
        <v>586</v>
      </c>
      <c r="E411" s="3" t="s">
        <v>651</v>
      </c>
      <c r="F411" s="473">
        <v>1196</v>
      </c>
      <c r="G411" s="54">
        <v>1196</v>
      </c>
      <c r="H411" s="54">
        <v>1196</v>
      </c>
      <c r="I411" s="55">
        <f t="shared" si="19"/>
        <v>1</v>
      </c>
      <c r="J411" s="474">
        <v>0</v>
      </c>
      <c r="K411" s="488">
        <v>1196</v>
      </c>
      <c r="L411" s="52">
        <v>1196</v>
      </c>
      <c r="M411" s="52">
        <v>1199.6099999999999</v>
      </c>
      <c r="N411" s="53">
        <f t="shared" si="20"/>
        <v>1.0030183946488294</v>
      </c>
      <c r="O411" s="96">
        <f>1196-1199.61</f>
        <v>-3.6099999999999</v>
      </c>
      <c r="P411" s="473">
        <v>1196</v>
      </c>
      <c r="Q411" s="54">
        <v>1196</v>
      </c>
      <c r="R411" s="54">
        <v>1201.83</v>
      </c>
      <c r="S411" s="54">
        <v>0</v>
      </c>
      <c r="T411" s="55">
        <f t="shared" si="21"/>
        <v>1.0048745819397993</v>
      </c>
      <c r="U411" s="564">
        <v>-5.83</v>
      </c>
      <c r="V411" s="523"/>
    </row>
    <row r="412" spans="1:22" s="6" customFormat="1" outlineLevel="2" x14ac:dyDescent="0.2">
      <c r="A412" s="448" t="s">
        <v>752</v>
      </c>
      <c r="B412" s="3" t="s">
        <v>679</v>
      </c>
      <c r="C412" s="3" t="s">
        <v>675</v>
      </c>
      <c r="D412" s="3" t="s">
        <v>29</v>
      </c>
      <c r="E412" s="3" t="s">
        <v>651</v>
      </c>
      <c r="F412" s="473">
        <v>3100</v>
      </c>
      <c r="G412" s="54">
        <v>6379</v>
      </c>
      <c r="H412" s="54">
        <v>6379</v>
      </c>
      <c r="I412" s="55">
        <f t="shared" si="19"/>
        <v>2.0577419354838709</v>
      </c>
      <c r="J412" s="474">
        <v>0</v>
      </c>
      <c r="K412" s="488">
        <v>3100</v>
      </c>
      <c r="L412" s="52">
        <v>3100</v>
      </c>
      <c r="M412" s="52">
        <v>2758.38</v>
      </c>
      <c r="N412" s="53">
        <f t="shared" si="20"/>
        <v>0.88980000000000004</v>
      </c>
      <c r="O412" s="96">
        <v>341.62</v>
      </c>
      <c r="P412" s="473">
        <v>3100</v>
      </c>
      <c r="Q412" s="54">
        <v>3100</v>
      </c>
      <c r="R412" s="54">
        <v>3100</v>
      </c>
      <c r="S412" s="54">
        <v>0</v>
      </c>
      <c r="T412" s="55">
        <f t="shared" si="21"/>
        <v>1</v>
      </c>
      <c r="U412" s="564">
        <v>0</v>
      </c>
      <c r="V412" s="523"/>
    </row>
    <row r="413" spans="1:22" s="6" customFormat="1" outlineLevel="2" x14ac:dyDescent="0.2">
      <c r="A413" s="448" t="s">
        <v>752</v>
      </c>
      <c r="B413" s="3" t="s">
        <v>680</v>
      </c>
      <c r="C413" s="3" t="s">
        <v>675</v>
      </c>
      <c r="D413" s="3" t="s">
        <v>35</v>
      </c>
      <c r="E413" s="3" t="s">
        <v>651</v>
      </c>
      <c r="F413" s="473">
        <v>1056</v>
      </c>
      <c r="G413" s="54">
        <v>0</v>
      </c>
      <c r="H413" s="54">
        <v>0</v>
      </c>
      <c r="I413" s="55">
        <f t="shared" si="19"/>
        <v>0</v>
      </c>
      <c r="J413" s="474">
        <v>0</v>
      </c>
      <c r="K413" s="488">
        <v>1056</v>
      </c>
      <c r="L413" s="52">
        <v>1056</v>
      </c>
      <c r="M413" s="52">
        <v>973.88</v>
      </c>
      <c r="N413" s="53">
        <f t="shared" si="20"/>
        <v>0.92223484848484849</v>
      </c>
      <c r="O413" s="96">
        <v>82.12</v>
      </c>
      <c r="P413" s="473">
        <v>1056</v>
      </c>
      <c r="Q413" s="54">
        <v>1056</v>
      </c>
      <c r="R413" s="54">
        <v>808</v>
      </c>
      <c r="S413" s="54">
        <v>185.71</v>
      </c>
      <c r="T413" s="55">
        <f t="shared" si="21"/>
        <v>0.76515151515151514</v>
      </c>
      <c r="U413" s="564">
        <v>62.29</v>
      </c>
      <c r="V413" s="523"/>
    </row>
    <row r="414" spans="1:22" s="6" customFormat="1" outlineLevel="2" x14ac:dyDescent="0.2">
      <c r="A414" s="448" t="s">
        <v>752</v>
      </c>
      <c r="B414" s="3" t="s">
        <v>681</v>
      </c>
      <c r="C414" s="3" t="s">
        <v>675</v>
      </c>
      <c r="D414" s="3" t="s">
        <v>37</v>
      </c>
      <c r="E414" s="3" t="s">
        <v>651</v>
      </c>
      <c r="F414" s="473">
        <v>15000</v>
      </c>
      <c r="G414" s="54">
        <v>12777</v>
      </c>
      <c r="H414" s="54">
        <v>9229.5499999999993</v>
      </c>
      <c r="I414" s="55">
        <f t="shared" si="19"/>
        <v>0.61530333333333331</v>
      </c>
      <c r="J414" s="474">
        <v>3547.45</v>
      </c>
      <c r="K414" s="488">
        <v>0</v>
      </c>
      <c r="L414" s="52">
        <v>0</v>
      </c>
      <c r="M414" s="52">
        <v>0</v>
      </c>
      <c r="N414" s="53"/>
      <c r="O414" s="96">
        <v>0</v>
      </c>
      <c r="P414" s="475"/>
      <c r="Q414" s="64"/>
      <c r="R414" s="64"/>
      <c r="S414" s="64"/>
      <c r="T414" s="55"/>
      <c r="U414" s="565"/>
      <c r="V414" s="523"/>
    </row>
    <row r="415" spans="1:22" s="6" customFormat="1" outlineLevel="2" x14ac:dyDescent="0.2">
      <c r="A415" s="448" t="s">
        <v>752</v>
      </c>
      <c r="B415" s="3" t="s">
        <v>684</v>
      </c>
      <c r="C415" s="3" t="s">
        <v>685</v>
      </c>
      <c r="D415" s="3" t="s">
        <v>29</v>
      </c>
      <c r="E415" s="3" t="s">
        <v>651</v>
      </c>
      <c r="F415" s="475"/>
      <c r="G415" s="64"/>
      <c r="H415" s="64"/>
      <c r="I415" s="55"/>
      <c r="J415" s="476"/>
      <c r="K415" s="488">
        <v>15000</v>
      </c>
      <c r="L415" s="52">
        <v>15000</v>
      </c>
      <c r="M415" s="52">
        <v>15000</v>
      </c>
      <c r="N415" s="53">
        <f t="shared" si="20"/>
        <v>1</v>
      </c>
      <c r="O415" s="96">
        <v>0</v>
      </c>
      <c r="P415" s="473">
        <v>15000</v>
      </c>
      <c r="Q415" s="54">
        <v>15000</v>
      </c>
      <c r="R415" s="54">
        <v>5746</v>
      </c>
      <c r="S415" s="54">
        <v>9254</v>
      </c>
      <c r="T415" s="55">
        <f t="shared" si="21"/>
        <v>0.38306666666666667</v>
      </c>
      <c r="U415" s="564">
        <v>0</v>
      </c>
      <c r="V415" s="523"/>
    </row>
    <row r="416" spans="1:22" s="6" customFormat="1" outlineLevel="2" x14ac:dyDescent="0.2">
      <c r="A416" s="448" t="s">
        <v>752</v>
      </c>
      <c r="B416" s="3" t="s">
        <v>686</v>
      </c>
      <c r="C416" s="3" t="s">
        <v>687</v>
      </c>
      <c r="D416" s="3" t="s">
        <v>666</v>
      </c>
      <c r="E416" s="3" t="s">
        <v>651</v>
      </c>
      <c r="F416" s="473">
        <v>10000</v>
      </c>
      <c r="G416" s="54">
        <v>10000</v>
      </c>
      <c r="H416" s="54">
        <v>9999.9699999999993</v>
      </c>
      <c r="I416" s="55">
        <f t="shared" si="19"/>
        <v>0.99999699999999991</v>
      </c>
      <c r="J416" s="474">
        <v>0.03</v>
      </c>
      <c r="K416" s="488">
        <v>10000</v>
      </c>
      <c r="L416" s="52">
        <v>0</v>
      </c>
      <c r="M416" s="52">
        <v>0</v>
      </c>
      <c r="N416" s="53">
        <f t="shared" si="20"/>
        <v>0</v>
      </c>
      <c r="O416" s="96">
        <v>0</v>
      </c>
      <c r="P416" s="473">
        <v>10000</v>
      </c>
      <c r="Q416" s="54">
        <v>0</v>
      </c>
      <c r="R416" s="54">
        <v>0</v>
      </c>
      <c r="S416" s="54">
        <v>0</v>
      </c>
      <c r="T416" s="55">
        <f t="shared" si="21"/>
        <v>0</v>
      </c>
      <c r="U416" s="564">
        <v>0</v>
      </c>
      <c r="V416" s="523"/>
    </row>
    <row r="417" spans="1:22" s="6" customFormat="1" outlineLevel="2" x14ac:dyDescent="0.2">
      <c r="A417" s="448" t="s">
        <v>752</v>
      </c>
      <c r="B417" s="3" t="s">
        <v>688</v>
      </c>
      <c r="C417" s="3" t="s">
        <v>687</v>
      </c>
      <c r="D417" s="3" t="s">
        <v>19</v>
      </c>
      <c r="E417" s="3" t="s">
        <v>651</v>
      </c>
      <c r="F417" s="473">
        <v>2860</v>
      </c>
      <c r="G417" s="54">
        <v>2860</v>
      </c>
      <c r="H417" s="54">
        <v>2859.73</v>
      </c>
      <c r="I417" s="55">
        <f t="shared" si="19"/>
        <v>0.99990559440559446</v>
      </c>
      <c r="J417" s="474">
        <v>0.27</v>
      </c>
      <c r="K417" s="488">
        <v>2860</v>
      </c>
      <c r="L417" s="52">
        <v>7757</v>
      </c>
      <c r="M417" s="52">
        <v>7756.65</v>
      </c>
      <c r="N417" s="53">
        <f t="shared" si="20"/>
        <v>2.7121153846153847</v>
      </c>
      <c r="O417" s="96">
        <v>0.35</v>
      </c>
      <c r="P417" s="473">
        <v>2860</v>
      </c>
      <c r="Q417" s="54">
        <v>2860</v>
      </c>
      <c r="R417" s="54">
        <v>1746.1</v>
      </c>
      <c r="S417" s="54">
        <v>22.81</v>
      </c>
      <c r="T417" s="55">
        <f t="shared" si="21"/>
        <v>0.61052447552447553</v>
      </c>
      <c r="U417" s="564">
        <v>1091.0899999999999</v>
      </c>
      <c r="V417" s="523"/>
    </row>
    <row r="418" spans="1:22" s="6" customFormat="1" outlineLevel="2" x14ac:dyDescent="0.2">
      <c r="A418" s="448" t="s">
        <v>752</v>
      </c>
      <c r="B418" s="3" t="s">
        <v>689</v>
      </c>
      <c r="C418" s="3" t="s">
        <v>687</v>
      </c>
      <c r="D418" s="3" t="s">
        <v>29</v>
      </c>
      <c r="E418" s="3" t="s">
        <v>651</v>
      </c>
      <c r="F418" s="473">
        <v>1430</v>
      </c>
      <c r="G418" s="54">
        <v>1430</v>
      </c>
      <c r="H418" s="54">
        <v>1430</v>
      </c>
      <c r="I418" s="55">
        <f t="shared" si="19"/>
        <v>1</v>
      </c>
      <c r="J418" s="474">
        <v>0</v>
      </c>
      <c r="K418" s="488">
        <v>1430</v>
      </c>
      <c r="L418" s="52">
        <v>1430</v>
      </c>
      <c r="M418" s="52">
        <v>1430</v>
      </c>
      <c r="N418" s="53">
        <f t="shared" si="20"/>
        <v>1</v>
      </c>
      <c r="O418" s="96">
        <v>0</v>
      </c>
      <c r="P418" s="473">
        <v>1430</v>
      </c>
      <c r="Q418" s="54">
        <v>1430</v>
      </c>
      <c r="R418" s="54">
        <v>1430</v>
      </c>
      <c r="S418" s="54">
        <v>0</v>
      </c>
      <c r="T418" s="55">
        <f t="shared" si="21"/>
        <v>1</v>
      </c>
      <c r="U418" s="564">
        <v>0</v>
      </c>
      <c r="V418" s="523"/>
    </row>
    <row r="419" spans="1:22" s="6" customFormat="1" outlineLevel="1" x14ac:dyDescent="0.2">
      <c r="A419" s="366" t="s">
        <v>767</v>
      </c>
      <c r="B419" s="3"/>
      <c r="C419" s="3"/>
      <c r="D419" s="3"/>
      <c r="E419" s="3"/>
      <c r="F419" s="477">
        <f>SUBTOTAL(9,F388:F418)</f>
        <v>126397</v>
      </c>
      <c r="G419" s="9">
        <f>SUBTOTAL(9,G388:G418)</f>
        <v>126741</v>
      </c>
      <c r="H419" s="9">
        <f>SUBTOTAL(9,H388:H418)</f>
        <v>119130.47</v>
      </c>
      <c r="I419" s="16">
        <f t="shared" si="19"/>
        <v>0.94251026527528348</v>
      </c>
      <c r="J419" s="478">
        <f>SUBTOTAL(9,J388:J418)</f>
        <v>3570.53</v>
      </c>
      <c r="K419" s="477">
        <f>SUBTOTAL(9,K388:K418)</f>
        <v>126397</v>
      </c>
      <c r="L419" s="9">
        <f>SUBTOTAL(9,L388:L418)</f>
        <v>117433</v>
      </c>
      <c r="M419" s="9">
        <f>SUBTOTAL(9,M388:M418)</f>
        <v>117349.83000000002</v>
      </c>
      <c r="N419" s="16">
        <f t="shared" si="20"/>
        <v>0.92842258914372977</v>
      </c>
      <c r="O419" s="478">
        <f>SUBTOTAL(9,O388:O418)</f>
        <v>-3956.8299999999986</v>
      </c>
      <c r="P419" s="477">
        <f>SUBTOTAL(9,P388:P418)</f>
        <v>126397</v>
      </c>
      <c r="Q419" s="9">
        <f>SUBTOTAL(9,Q388:Q418)</f>
        <v>106012</v>
      </c>
      <c r="R419" s="9">
        <f>SUBTOTAL(9,R388:R418)</f>
        <v>61343.11</v>
      </c>
      <c r="S419" s="9">
        <f>SUBTOTAL(9,S388:S418)</f>
        <v>10909.09</v>
      </c>
      <c r="T419" s="16">
        <f t="shared" si="21"/>
        <v>0.48532093324999803</v>
      </c>
      <c r="U419" s="566">
        <f>SUBTOTAL(9,U388:U418)</f>
        <v>29719.8</v>
      </c>
      <c r="V419" s="523"/>
    </row>
    <row r="420" spans="1:22" s="6" customFormat="1" outlineLevel="2" x14ac:dyDescent="0.2">
      <c r="A420" s="448" t="s">
        <v>749</v>
      </c>
      <c r="B420" s="3" t="s">
        <v>571</v>
      </c>
      <c r="C420" s="3" t="s">
        <v>572</v>
      </c>
      <c r="D420" s="3" t="s">
        <v>19</v>
      </c>
      <c r="E420" s="3" t="s">
        <v>544</v>
      </c>
      <c r="F420" s="473">
        <v>1235</v>
      </c>
      <c r="G420" s="54">
        <v>837</v>
      </c>
      <c r="H420" s="54">
        <v>836.62</v>
      </c>
      <c r="I420" s="55">
        <f t="shared" si="19"/>
        <v>0.67742510121457489</v>
      </c>
      <c r="J420" s="474">
        <v>0.38</v>
      </c>
      <c r="K420" s="488">
        <v>1235</v>
      </c>
      <c r="L420" s="52">
        <v>328</v>
      </c>
      <c r="M420" s="52">
        <v>430.23</v>
      </c>
      <c r="N420" s="53">
        <f t="shared" si="20"/>
        <v>0.34836437246963564</v>
      </c>
      <c r="O420" s="96">
        <v>-102.23</v>
      </c>
      <c r="P420" s="473">
        <v>1235</v>
      </c>
      <c r="Q420" s="54">
        <v>1235</v>
      </c>
      <c r="R420" s="54">
        <v>26</v>
      </c>
      <c r="S420" s="54">
        <v>0</v>
      </c>
      <c r="T420" s="55">
        <f t="shared" si="21"/>
        <v>2.1052631578947368E-2</v>
      </c>
      <c r="U420" s="564">
        <v>1209</v>
      </c>
      <c r="V420" s="523"/>
    </row>
    <row r="421" spans="1:22" s="6" customFormat="1" outlineLevel="2" x14ac:dyDescent="0.2">
      <c r="A421" s="448" t="s">
        <v>749</v>
      </c>
      <c r="B421" s="3" t="s">
        <v>573</v>
      </c>
      <c r="C421" s="3" t="s">
        <v>572</v>
      </c>
      <c r="D421" s="3" t="s">
        <v>23</v>
      </c>
      <c r="E421" s="3" t="s">
        <v>544</v>
      </c>
      <c r="F421" s="473">
        <v>403</v>
      </c>
      <c r="G421" s="54">
        <v>403</v>
      </c>
      <c r="H421" s="54">
        <v>403</v>
      </c>
      <c r="I421" s="55">
        <f t="shared" si="19"/>
        <v>1</v>
      </c>
      <c r="J421" s="474">
        <v>0</v>
      </c>
      <c r="K421" s="488">
        <v>403</v>
      </c>
      <c r="L421" s="52">
        <v>2</v>
      </c>
      <c r="M421" s="52">
        <v>1.34</v>
      </c>
      <c r="N421" s="53">
        <f t="shared" si="20"/>
        <v>3.3250620347394541E-3</v>
      </c>
      <c r="O421" s="96">
        <v>0.66</v>
      </c>
      <c r="P421" s="473">
        <v>403</v>
      </c>
      <c r="Q421" s="54">
        <v>403</v>
      </c>
      <c r="R421" s="54">
        <v>0</v>
      </c>
      <c r="S421" s="54">
        <v>0</v>
      </c>
      <c r="T421" s="55">
        <f t="shared" si="21"/>
        <v>0</v>
      </c>
      <c r="U421" s="564">
        <v>403</v>
      </c>
      <c r="V421" s="523"/>
    </row>
    <row r="422" spans="1:22" s="6" customFormat="1" outlineLevel="2" x14ac:dyDescent="0.2">
      <c r="A422" s="448" t="s">
        <v>749</v>
      </c>
      <c r="B422" s="3" t="s">
        <v>574</v>
      </c>
      <c r="C422" s="3" t="s">
        <v>572</v>
      </c>
      <c r="D422" s="3" t="s">
        <v>27</v>
      </c>
      <c r="E422" s="3" t="s">
        <v>544</v>
      </c>
      <c r="F422" s="473">
        <v>691</v>
      </c>
      <c r="G422" s="54">
        <v>1026</v>
      </c>
      <c r="H422" s="54">
        <v>1025.3699999999999</v>
      </c>
      <c r="I422" s="55">
        <f t="shared" si="19"/>
        <v>1.4838929088277857</v>
      </c>
      <c r="J422" s="474">
        <v>0.63</v>
      </c>
      <c r="K422" s="488">
        <v>691</v>
      </c>
      <c r="L422" s="52">
        <v>0</v>
      </c>
      <c r="M422" s="52">
        <v>0</v>
      </c>
      <c r="N422" s="53">
        <f t="shared" si="20"/>
        <v>0</v>
      </c>
      <c r="O422" s="96">
        <v>0</v>
      </c>
      <c r="P422" s="473">
        <v>691</v>
      </c>
      <c r="Q422" s="54">
        <v>691</v>
      </c>
      <c r="R422" s="54">
        <v>0</v>
      </c>
      <c r="S422" s="54">
        <v>0</v>
      </c>
      <c r="T422" s="55">
        <f t="shared" si="21"/>
        <v>0</v>
      </c>
      <c r="U422" s="564">
        <v>691</v>
      </c>
      <c r="V422" s="523"/>
    </row>
    <row r="423" spans="1:22" s="6" customFormat="1" outlineLevel="2" x14ac:dyDescent="0.2">
      <c r="A423" s="448" t="s">
        <v>749</v>
      </c>
      <c r="B423" s="3" t="s">
        <v>575</v>
      </c>
      <c r="C423" s="3" t="s">
        <v>572</v>
      </c>
      <c r="D423" s="3" t="s">
        <v>115</v>
      </c>
      <c r="E423" s="3" t="s">
        <v>544</v>
      </c>
      <c r="F423" s="473">
        <v>248</v>
      </c>
      <c r="G423" s="54">
        <v>311</v>
      </c>
      <c r="H423" s="54">
        <v>284.31</v>
      </c>
      <c r="I423" s="55">
        <f t="shared" si="19"/>
        <v>1.1464112903225807</v>
      </c>
      <c r="J423" s="474">
        <v>26.69</v>
      </c>
      <c r="K423" s="488">
        <v>248</v>
      </c>
      <c r="L423" s="52">
        <v>2247</v>
      </c>
      <c r="M423" s="52">
        <v>1999</v>
      </c>
      <c r="N423" s="53">
        <f t="shared" si="20"/>
        <v>8.060483870967742</v>
      </c>
      <c r="O423" s="96">
        <v>248</v>
      </c>
      <c r="P423" s="473">
        <v>248</v>
      </c>
      <c r="Q423" s="54">
        <v>248</v>
      </c>
      <c r="R423" s="54">
        <v>0</v>
      </c>
      <c r="S423" s="54">
        <v>0</v>
      </c>
      <c r="T423" s="55">
        <f t="shared" si="21"/>
        <v>0</v>
      </c>
      <c r="U423" s="564">
        <v>248</v>
      </c>
      <c r="V423" s="523"/>
    </row>
    <row r="424" spans="1:22" s="6" customFormat="1" outlineLevel="2" x14ac:dyDescent="0.2">
      <c r="A424" s="448" t="s">
        <v>749</v>
      </c>
      <c r="B424" s="3" t="s">
        <v>576</v>
      </c>
      <c r="C424" s="3" t="s">
        <v>572</v>
      </c>
      <c r="D424" s="3" t="s">
        <v>577</v>
      </c>
      <c r="E424" s="3" t="s">
        <v>544</v>
      </c>
      <c r="F424" s="475"/>
      <c r="G424" s="64"/>
      <c r="H424" s="64"/>
      <c r="I424" s="55"/>
      <c r="J424" s="476"/>
      <c r="K424" s="489"/>
      <c r="L424" s="65"/>
      <c r="M424" s="65"/>
      <c r="N424" s="53"/>
      <c r="O424" s="97"/>
      <c r="P424" s="473">
        <v>0</v>
      </c>
      <c r="Q424" s="54">
        <v>0</v>
      </c>
      <c r="R424" s="54">
        <v>2792.82</v>
      </c>
      <c r="S424" s="54">
        <v>0</v>
      </c>
      <c r="T424" s="55"/>
      <c r="U424" s="564">
        <v>-2792.82</v>
      </c>
      <c r="V424" s="523"/>
    </row>
    <row r="425" spans="1:22" s="6" customFormat="1" outlineLevel="2" x14ac:dyDescent="0.2">
      <c r="A425" s="448" t="s">
        <v>749</v>
      </c>
      <c r="B425" s="3" t="s">
        <v>580</v>
      </c>
      <c r="C425" s="3" t="s">
        <v>578</v>
      </c>
      <c r="D425" s="3" t="s">
        <v>7</v>
      </c>
      <c r="E425" s="3" t="s">
        <v>579</v>
      </c>
      <c r="F425" s="473">
        <v>5796</v>
      </c>
      <c r="G425" s="54">
        <v>2524</v>
      </c>
      <c r="H425" s="54">
        <v>0</v>
      </c>
      <c r="I425" s="55">
        <f t="shared" si="19"/>
        <v>0</v>
      </c>
      <c r="J425" s="474">
        <v>2524</v>
      </c>
      <c r="K425" s="488">
        <v>5796</v>
      </c>
      <c r="L425" s="52">
        <v>0</v>
      </c>
      <c r="M425" s="52">
        <v>0</v>
      </c>
      <c r="N425" s="53">
        <f t="shared" si="20"/>
        <v>0</v>
      </c>
      <c r="O425" s="96">
        <v>0</v>
      </c>
      <c r="P425" s="473">
        <v>9007</v>
      </c>
      <c r="Q425" s="54">
        <v>9007</v>
      </c>
      <c r="R425" s="54">
        <v>5854.38</v>
      </c>
      <c r="S425" s="54">
        <v>0</v>
      </c>
      <c r="T425" s="55">
        <f t="shared" si="21"/>
        <v>0.64998112579105138</v>
      </c>
      <c r="U425" s="564">
        <v>3152.62</v>
      </c>
      <c r="V425" s="523"/>
    </row>
    <row r="426" spans="1:22" s="6" customFormat="1" outlineLevel="2" x14ac:dyDescent="0.2">
      <c r="A426" s="448" t="s">
        <v>749</v>
      </c>
      <c r="B426" s="3" t="s">
        <v>581</v>
      </c>
      <c r="C426" s="3" t="s">
        <v>578</v>
      </c>
      <c r="D426" s="3" t="s">
        <v>52</v>
      </c>
      <c r="E426" s="3" t="s">
        <v>579</v>
      </c>
      <c r="F426" s="473">
        <v>0</v>
      </c>
      <c r="G426" s="54">
        <v>3272</v>
      </c>
      <c r="H426" s="54">
        <v>3271.91</v>
      </c>
      <c r="I426" s="55">
        <v>0</v>
      </c>
      <c r="J426" s="474">
        <v>0.09</v>
      </c>
      <c r="K426" s="489"/>
      <c r="L426" s="65"/>
      <c r="M426" s="65"/>
      <c r="N426" s="53"/>
      <c r="O426" s="97"/>
      <c r="P426" s="475"/>
      <c r="Q426" s="64"/>
      <c r="R426" s="64"/>
      <c r="S426" s="64"/>
      <c r="T426" s="55"/>
      <c r="U426" s="565"/>
      <c r="V426" s="523"/>
    </row>
    <row r="427" spans="1:22" s="6" customFormat="1" outlineLevel="2" x14ac:dyDescent="0.2">
      <c r="A427" s="448" t="s">
        <v>749</v>
      </c>
      <c r="B427" s="3" t="s">
        <v>582</v>
      </c>
      <c r="C427" s="3" t="s">
        <v>578</v>
      </c>
      <c r="D427" s="3" t="s">
        <v>9</v>
      </c>
      <c r="E427" s="3" t="s">
        <v>579</v>
      </c>
      <c r="F427" s="475"/>
      <c r="G427" s="64"/>
      <c r="H427" s="64"/>
      <c r="I427" s="55"/>
      <c r="J427" s="476"/>
      <c r="K427" s="489"/>
      <c r="L427" s="65"/>
      <c r="M427" s="65"/>
      <c r="N427" s="53"/>
      <c r="O427" s="97"/>
      <c r="P427" s="473">
        <v>0</v>
      </c>
      <c r="Q427" s="54">
        <v>0</v>
      </c>
      <c r="R427" s="54">
        <v>367.5</v>
      </c>
      <c r="S427" s="54">
        <v>0</v>
      </c>
      <c r="T427" s="55">
        <v>0</v>
      </c>
      <c r="U427" s="564">
        <v>-367.5</v>
      </c>
      <c r="V427" s="523"/>
    </row>
    <row r="428" spans="1:22" s="6" customFormat="1" outlineLevel="2" x14ac:dyDescent="0.2">
      <c r="A428" s="448" t="s">
        <v>749</v>
      </c>
      <c r="B428" s="3" t="s">
        <v>583</v>
      </c>
      <c r="C428" s="3" t="s">
        <v>578</v>
      </c>
      <c r="D428" s="3" t="s">
        <v>19</v>
      </c>
      <c r="E428" s="3" t="s">
        <v>579</v>
      </c>
      <c r="F428" s="473">
        <v>1327</v>
      </c>
      <c r="G428" s="54">
        <v>1327</v>
      </c>
      <c r="H428" s="54">
        <v>1327</v>
      </c>
      <c r="I428" s="55">
        <f t="shared" si="19"/>
        <v>1</v>
      </c>
      <c r="J428" s="474">
        <v>0</v>
      </c>
      <c r="K428" s="488">
        <v>1327</v>
      </c>
      <c r="L428" s="52">
        <v>424</v>
      </c>
      <c r="M428" s="52">
        <v>423.8</v>
      </c>
      <c r="N428" s="53">
        <f t="shared" si="20"/>
        <v>0.3193669932177845</v>
      </c>
      <c r="O428" s="96">
        <v>0.2</v>
      </c>
      <c r="P428" s="475"/>
      <c r="Q428" s="64"/>
      <c r="R428" s="64"/>
      <c r="S428" s="64"/>
      <c r="T428" s="55"/>
      <c r="U428" s="565"/>
      <c r="V428" s="523"/>
    </row>
    <row r="429" spans="1:22" s="6" customFormat="1" outlineLevel="2" x14ac:dyDescent="0.2">
      <c r="A429" s="448" t="s">
        <v>749</v>
      </c>
      <c r="B429" s="3" t="s">
        <v>584</v>
      </c>
      <c r="C429" s="3" t="s">
        <v>578</v>
      </c>
      <c r="D429" s="3" t="s">
        <v>23</v>
      </c>
      <c r="E429" s="3" t="s">
        <v>579</v>
      </c>
      <c r="F429" s="473">
        <v>809</v>
      </c>
      <c r="G429" s="54">
        <v>809</v>
      </c>
      <c r="H429" s="54">
        <v>809</v>
      </c>
      <c r="I429" s="55">
        <f t="shared" si="19"/>
        <v>1</v>
      </c>
      <c r="J429" s="474">
        <v>0</v>
      </c>
      <c r="K429" s="488">
        <v>809</v>
      </c>
      <c r="L429" s="52">
        <v>457</v>
      </c>
      <c r="M429" s="52">
        <v>456.7</v>
      </c>
      <c r="N429" s="53">
        <f t="shared" si="20"/>
        <v>0.56452410383189122</v>
      </c>
      <c r="O429" s="96">
        <v>0.3</v>
      </c>
      <c r="P429" s="475"/>
      <c r="Q429" s="64"/>
      <c r="R429" s="64"/>
      <c r="S429" s="64"/>
      <c r="T429" s="55"/>
      <c r="U429" s="565"/>
      <c r="V429" s="523"/>
    </row>
    <row r="430" spans="1:22" s="6" customFormat="1" outlineLevel="2" x14ac:dyDescent="0.2">
      <c r="A430" s="448" t="s">
        <v>749</v>
      </c>
      <c r="B430" s="3" t="s">
        <v>585</v>
      </c>
      <c r="C430" s="3" t="s">
        <v>578</v>
      </c>
      <c r="D430" s="3" t="s">
        <v>586</v>
      </c>
      <c r="E430" s="3" t="s">
        <v>579</v>
      </c>
      <c r="F430" s="473">
        <v>29</v>
      </c>
      <c r="G430" s="54">
        <v>29</v>
      </c>
      <c r="H430" s="54">
        <v>22.77</v>
      </c>
      <c r="I430" s="55">
        <f t="shared" si="19"/>
        <v>0.78517241379310343</v>
      </c>
      <c r="J430" s="474">
        <v>6.23</v>
      </c>
      <c r="K430" s="488">
        <v>29</v>
      </c>
      <c r="L430" s="52">
        <v>0</v>
      </c>
      <c r="M430" s="52">
        <v>0</v>
      </c>
      <c r="N430" s="53">
        <f t="shared" si="20"/>
        <v>0</v>
      </c>
      <c r="O430" s="96">
        <v>0</v>
      </c>
      <c r="P430" s="475"/>
      <c r="Q430" s="64"/>
      <c r="R430" s="64"/>
      <c r="S430" s="64"/>
      <c r="T430" s="55"/>
      <c r="U430" s="565"/>
      <c r="V430" s="523"/>
    </row>
    <row r="431" spans="1:22" s="6" customFormat="1" outlineLevel="2" x14ac:dyDescent="0.2">
      <c r="A431" s="448" t="s">
        <v>749</v>
      </c>
      <c r="B431" s="3" t="s">
        <v>587</v>
      </c>
      <c r="C431" s="3" t="s">
        <v>578</v>
      </c>
      <c r="D431" s="3" t="s">
        <v>29</v>
      </c>
      <c r="E431" s="3" t="s">
        <v>579</v>
      </c>
      <c r="F431" s="475"/>
      <c r="G431" s="64"/>
      <c r="H431" s="64"/>
      <c r="I431" s="55"/>
      <c r="J431" s="476"/>
      <c r="K431" s="488">
        <v>0</v>
      </c>
      <c r="L431" s="52">
        <v>8382</v>
      </c>
      <c r="M431" s="52">
        <v>8382</v>
      </c>
      <c r="N431" s="53">
        <v>0</v>
      </c>
      <c r="O431" s="96">
        <v>0</v>
      </c>
      <c r="P431" s="475"/>
      <c r="Q431" s="64"/>
      <c r="R431" s="64"/>
      <c r="S431" s="64"/>
      <c r="T431" s="55"/>
      <c r="U431" s="565"/>
      <c r="V431" s="523"/>
    </row>
    <row r="432" spans="1:22" s="6" customFormat="1" outlineLevel="2" x14ac:dyDescent="0.2">
      <c r="A432" s="448" t="s">
        <v>749</v>
      </c>
      <c r="B432" s="3" t="s">
        <v>588</v>
      </c>
      <c r="C432" s="3" t="s">
        <v>578</v>
      </c>
      <c r="D432" s="3" t="s">
        <v>31</v>
      </c>
      <c r="E432" s="3" t="s">
        <v>579</v>
      </c>
      <c r="F432" s="473">
        <v>0</v>
      </c>
      <c r="G432" s="54">
        <v>868</v>
      </c>
      <c r="H432" s="54">
        <v>868</v>
      </c>
      <c r="I432" s="55">
        <v>0</v>
      </c>
      <c r="J432" s="474">
        <v>0</v>
      </c>
      <c r="K432" s="489"/>
      <c r="L432" s="65"/>
      <c r="M432" s="65"/>
      <c r="N432" s="53"/>
      <c r="O432" s="97"/>
      <c r="P432" s="475"/>
      <c r="Q432" s="64"/>
      <c r="R432" s="64"/>
      <c r="S432" s="64"/>
      <c r="T432" s="55"/>
      <c r="U432" s="565"/>
      <c r="V432" s="523"/>
    </row>
    <row r="433" spans="1:22" s="6" customFormat="1" outlineLevel="2" x14ac:dyDescent="0.2">
      <c r="A433" s="448" t="s">
        <v>749</v>
      </c>
      <c r="B433" s="3" t="s">
        <v>589</v>
      </c>
      <c r="C433" s="3" t="s">
        <v>578</v>
      </c>
      <c r="D433" s="3" t="s">
        <v>97</v>
      </c>
      <c r="E433" s="3" t="s">
        <v>579</v>
      </c>
      <c r="F433" s="473">
        <v>693</v>
      </c>
      <c r="G433" s="54">
        <v>0</v>
      </c>
      <c r="H433" s="54">
        <v>0</v>
      </c>
      <c r="I433" s="55">
        <f t="shared" si="19"/>
        <v>0</v>
      </c>
      <c r="J433" s="474">
        <v>0</v>
      </c>
      <c r="K433" s="488">
        <v>693</v>
      </c>
      <c r="L433" s="52">
        <v>0</v>
      </c>
      <c r="M433" s="52">
        <v>0</v>
      </c>
      <c r="N433" s="53">
        <f t="shared" si="20"/>
        <v>0</v>
      </c>
      <c r="O433" s="96">
        <v>0</v>
      </c>
      <c r="P433" s="475"/>
      <c r="Q433" s="64"/>
      <c r="R433" s="64"/>
      <c r="S433" s="64"/>
      <c r="T433" s="55"/>
      <c r="U433" s="565"/>
      <c r="V433" s="523"/>
    </row>
    <row r="434" spans="1:22" s="6" customFormat="1" outlineLevel="2" x14ac:dyDescent="0.2">
      <c r="A434" s="448" t="s">
        <v>749</v>
      </c>
      <c r="B434" s="3" t="s">
        <v>590</v>
      </c>
      <c r="C434" s="3" t="s">
        <v>578</v>
      </c>
      <c r="D434" s="3" t="s">
        <v>35</v>
      </c>
      <c r="E434" s="3" t="s">
        <v>579</v>
      </c>
      <c r="F434" s="473">
        <v>353</v>
      </c>
      <c r="G434" s="54">
        <v>178</v>
      </c>
      <c r="H434" s="54">
        <v>177.63</v>
      </c>
      <c r="I434" s="55">
        <f t="shared" si="19"/>
        <v>0.5032011331444759</v>
      </c>
      <c r="J434" s="474">
        <v>0.37</v>
      </c>
      <c r="K434" s="488">
        <v>353</v>
      </c>
      <c r="L434" s="52">
        <v>0</v>
      </c>
      <c r="M434" s="52">
        <v>0</v>
      </c>
      <c r="N434" s="53">
        <f t="shared" si="20"/>
        <v>0</v>
      </c>
      <c r="O434" s="96">
        <v>0</v>
      </c>
      <c r="P434" s="475"/>
      <c r="Q434" s="64"/>
      <c r="R434" s="64"/>
      <c r="S434" s="64"/>
      <c r="T434" s="55"/>
      <c r="U434" s="565"/>
      <c r="V434" s="523"/>
    </row>
    <row r="435" spans="1:22" s="6" customFormat="1" outlineLevel="1" x14ac:dyDescent="0.2">
      <c r="A435" s="366" t="s">
        <v>768</v>
      </c>
      <c r="B435" s="3"/>
      <c r="C435" s="3"/>
      <c r="D435" s="3"/>
      <c r="E435" s="3"/>
      <c r="F435" s="477">
        <f>SUBTOTAL(9,F420:F434)</f>
        <v>11584</v>
      </c>
      <c r="G435" s="9">
        <f>SUBTOTAL(9,G420:G434)</f>
        <v>11584</v>
      </c>
      <c r="H435" s="9">
        <f>SUBTOTAL(9,H420:H434)</f>
        <v>9025.6099999999988</v>
      </c>
      <c r="I435" s="16">
        <f t="shared" si="19"/>
        <v>0.77914450966850823</v>
      </c>
      <c r="J435" s="478">
        <f>SUBTOTAL(9,J420:J434)</f>
        <v>2558.39</v>
      </c>
      <c r="K435" s="477">
        <f>SUBTOTAL(9,K420:K434)</f>
        <v>11584</v>
      </c>
      <c r="L435" s="9">
        <f>SUBTOTAL(9,L420:L434)</f>
        <v>11840</v>
      </c>
      <c r="M435" s="9">
        <f>SUBTOTAL(9,M420:M434)</f>
        <v>11693.07</v>
      </c>
      <c r="N435" s="16">
        <f t="shared" si="20"/>
        <v>1.0094155732044199</v>
      </c>
      <c r="O435" s="478">
        <f>SUBTOTAL(9,O420:O434)</f>
        <v>146.93</v>
      </c>
      <c r="P435" s="482">
        <f>SUBTOTAL(9,P420:P434)</f>
        <v>11584</v>
      </c>
      <c r="Q435" s="10">
        <f>SUBTOTAL(9,Q420:Q434)</f>
        <v>11584</v>
      </c>
      <c r="R435" s="10">
        <f>SUBTOTAL(9,R420:R434)</f>
        <v>9040.7000000000007</v>
      </c>
      <c r="S435" s="10">
        <f>SUBTOTAL(9,S420:S434)</f>
        <v>0</v>
      </c>
      <c r="T435" s="16">
        <f t="shared" si="21"/>
        <v>0.78044716850828733</v>
      </c>
      <c r="U435" s="568">
        <f>SUBTOTAL(9,U420:U434)</f>
        <v>2543.2999999999997</v>
      </c>
      <c r="V435" s="523"/>
    </row>
    <row r="436" spans="1:22" s="6" customFormat="1" outlineLevel="2" x14ac:dyDescent="0.2">
      <c r="A436" s="448" t="s">
        <v>741</v>
      </c>
      <c r="B436" s="3" t="s">
        <v>119</v>
      </c>
      <c r="C436" s="3" t="s">
        <v>120</v>
      </c>
      <c r="D436" s="3" t="s">
        <v>19</v>
      </c>
      <c r="E436" s="3" t="s">
        <v>120</v>
      </c>
      <c r="F436" s="473">
        <v>100</v>
      </c>
      <c r="G436" s="54">
        <v>100</v>
      </c>
      <c r="H436" s="54">
        <v>98.31</v>
      </c>
      <c r="I436" s="55">
        <f t="shared" si="19"/>
        <v>0.98309999999999997</v>
      </c>
      <c r="J436" s="474">
        <v>1.69</v>
      </c>
      <c r="K436" s="488">
        <v>100</v>
      </c>
      <c r="L436" s="52">
        <v>43</v>
      </c>
      <c r="M436" s="52">
        <v>11.37</v>
      </c>
      <c r="N436" s="53">
        <f t="shared" si="20"/>
        <v>0.1137</v>
      </c>
      <c r="O436" s="96">
        <v>31.63</v>
      </c>
      <c r="P436" s="473">
        <v>100</v>
      </c>
      <c r="Q436" s="54">
        <v>100</v>
      </c>
      <c r="R436" s="54">
        <v>0</v>
      </c>
      <c r="S436" s="54">
        <v>0</v>
      </c>
      <c r="T436" s="55">
        <f t="shared" si="21"/>
        <v>0</v>
      </c>
      <c r="U436" s="564">
        <v>100</v>
      </c>
      <c r="V436" s="523"/>
    </row>
    <row r="437" spans="1:22" s="6" customFormat="1" outlineLevel="2" x14ac:dyDescent="0.2">
      <c r="A437" s="448" t="s">
        <v>741</v>
      </c>
      <c r="B437" s="3" t="s">
        <v>121</v>
      </c>
      <c r="C437" s="3" t="s">
        <v>120</v>
      </c>
      <c r="D437" s="3" t="s">
        <v>27</v>
      </c>
      <c r="E437" s="3" t="s">
        <v>120</v>
      </c>
      <c r="F437" s="473">
        <v>0</v>
      </c>
      <c r="G437" s="54">
        <v>230</v>
      </c>
      <c r="H437" s="54">
        <v>230</v>
      </c>
      <c r="I437" s="55">
        <v>0</v>
      </c>
      <c r="J437" s="474">
        <v>0</v>
      </c>
      <c r="K437" s="489"/>
      <c r="L437" s="65"/>
      <c r="M437" s="65"/>
      <c r="N437" s="53"/>
      <c r="O437" s="97"/>
      <c r="P437" s="475"/>
      <c r="Q437" s="64"/>
      <c r="R437" s="64"/>
      <c r="S437" s="64"/>
      <c r="T437" s="55"/>
      <c r="U437" s="565"/>
      <c r="V437" s="523"/>
    </row>
    <row r="438" spans="1:22" s="6" customFormat="1" outlineLevel="2" x14ac:dyDescent="0.2">
      <c r="A438" s="448" t="s">
        <v>741</v>
      </c>
      <c r="B438" s="3" t="s">
        <v>122</v>
      </c>
      <c r="C438" s="3" t="s">
        <v>120</v>
      </c>
      <c r="D438" s="3" t="s">
        <v>31</v>
      </c>
      <c r="E438" s="3" t="s">
        <v>120</v>
      </c>
      <c r="F438" s="473">
        <v>271</v>
      </c>
      <c r="G438" s="54">
        <v>178</v>
      </c>
      <c r="H438" s="54">
        <v>177.9</v>
      </c>
      <c r="I438" s="55">
        <f t="shared" si="19"/>
        <v>0.65645756457564575</v>
      </c>
      <c r="J438" s="474">
        <v>0.1</v>
      </c>
      <c r="K438" s="488">
        <v>271</v>
      </c>
      <c r="L438" s="52">
        <v>592</v>
      </c>
      <c r="M438" s="52">
        <v>591.95000000000005</v>
      </c>
      <c r="N438" s="53">
        <f t="shared" si="20"/>
        <v>2.184317343173432</v>
      </c>
      <c r="O438" s="96">
        <v>0.05</v>
      </c>
      <c r="P438" s="473">
        <v>271</v>
      </c>
      <c r="Q438" s="54">
        <v>271</v>
      </c>
      <c r="R438" s="54">
        <v>0</v>
      </c>
      <c r="S438" s="54">
        <v>0</v>
      </c>
      <c r="T438" s="55">
        <f t="shared" si="21"/>
        <v>0</v>
      </c>
      <c r="U438" s="564">
        <v>271</v>
      </c>
      <c r="V438" s="523"/>
    </row>
    <row r="439" spans="1:22" s="6" customFormat="1" outlineLevel="2" x14ac:dyDescent="0.2">
      <c r="A439" s="448" t="s">
        <v>741</v>
      </c>
      <c r="B439" s="3" t="s">
        <v>123</v>
      </c>
      <c r="C439" s="3" t="s">
        <v>120</v>
      </c>
      <c r="D439" s="3" t="s">
        <v>48</v>
      </c>
      <c r="E439" s="3" t="s">
        <v>120</v>
      </c>
      <c r="F439" s="473">
        <v>200</v>
      </c>
      <c r="G439" s="54">
        <v>572</v>
      </c>
      <c r="H439" s="54">
        <v>571.20000000000005</v>
      </c>
      <c r="I439" s="55">
        <f t="shared" si="19"/>
        <v>2.8560000000000003</v>
      </c>
      <c r="J439" s="474">
        <v>0.8</v>
      </c>
      <c r="K439" s="488">
        <v>200</v>
      </c>
      <c r="L439" s="52">
        <v>0</v>
      </c>
      <c r="M439" s="52">
        <v>0</v>
      </c>
      <c r="N439" s="53">
        <f t="shared" si="20"/>
        <v>0</v>
      </c>
      <c r="O439" s="96">
        <v>0</v>
      </c>
      <c r="P439" s="473">
        <v>200</v>
      </c>
      <c r="Q439" s="54">
        <v>200</v>
      </c>
      <c r="R439" s="54">
        <v>0</v>
      </c>
      <c r="S439" s="54">
        <v>0</v>
      </c>
      <c r="T439" s="55">
        <f t="shared" si="21"/>
        <v>0</v>
      </c>
      <c r="U439" s="564">
        <v>200</v>
      </c>
      <c r="V439" s="523"/>
    </row>
    <row r="440" spans="1:22" s="6" customFormat="1" outlineLevel="2" x14ac:dyDescent="0.2">
      <c r="A440" s="448" t="s">
        <v>741</v>
      </c>
      <c r="B440" s="3" t="s">
        <v>135</v>
      </c>
      <c r="C440" s="3" t="s">
        <v>136</v>
      </c>
      <c r="D440" s="3" t="s">
        <v>7</v>
      </c>
      <c r="E440" s="3" t="s">
        <v>126</v>
      </c>
      <c r="F440" s="473">
        <v>1000</v>
      </c>
      <c r="G440" s="54">
        <v>0</v>
      </c>
      <c r="H440" s="54">
        <v>0</v>
      </c>
      <c r="I440" s="55">
        <f t="shared" si="19"/>
        <v>0</v>
      </c>
      <c r="J440" s="474">
        <v>0</v>
      </c>
      <c r="K440" s="488">
        <v>1000</v>
      </c>
      <c r="L440" s="52">
        <v>0</v>
      </c>
      <c r="M440" s="52">
        <v>0</v>
      </c>
      <c r="N440" s="53">
        <f t="shared" si="20"/>
        <v>0</v>
      </c>
      <c r="O440" s="96">
        <v>0</v>
      </c>
      <c r="P440" s="473">
        <v>1000</v>
      </c>
      <c r="Q440" s="54">
        <v>1000</v>
      </c>
      <c r="R440" s="54">
        <v>0</v>
      </c>
      <c r="S440" s="54">
        <v>0</v>
      </c>
      <c r="T440" s="55">
        <f t="shared" si="21"/>
        <v>0</v>
      </c>
      <c r="U440" s="564">
        <v>1000</v>
      </c>
      <c r="V440" s="523"/>
    </row>
    <row r="441" spans="1:22" s="6" customFormat="1" outlineLevel="2" x14ac:dyDescent="0.2">
      <c r="A441" s="448" t="s">
        <v>741</v>
      </c>
      <c r="B441" s="3" t="s">
        <v>137</v>
      </c>
      <c r="C441" s="3" t="s">
        <v>136</v>
      </c>
      <c r="D441" s="3" t="s">
        <v>19</v>
      </c>
      <c r="E441" s="3" t="s">
        <v>126</v>
      </c>
      <c r="F441" s="473">
        <v>500</v>
      </c>
      <c r="G441" s="54">
        <v>500</v>
      </c>
      <c r="H441" s="54">
        <v>488.48</v>
      </c>
      <c r="I441" s="55">
        <f t="shared" si="19"/>
        <v>0.97696000000000005</v>
      </c>
      <c r="J441" s="474">
        <v>11.52</v>
      </c>
      <c r="K441" s="488">
        <v>500</v>
      </c>
      <c r="L441" s="52">
        <v>375</v>
      </c>
      <c r="M441" s="52">
        <v>374.5</v>
      </c>
      <c r="N441" s="53">
        <f t="shared" si="20"/>
        <v>0.749</v>
      </c>
      <c r="O441" s="96">
        <v>0.5</v>
      </c>
      <c r="P441" s="473">
        <v>500</v>
      </c>
      <c r="Q441" s="54">
        <v>500</v>
      </c>
      <c r="R441" s="54">
        <v>0</v>
      </c>
      <c r="S441" s="54">
        <v>0</v>
      </c>
      <c r="T441" s="55">
        <f t="shared" si="21"/>
        <v>0</v>
      </c>
      <c r="U441" s="564">
        <v>500</v>
      </c>
      <c r="V441" s="523"/>
    </row>
    <row r="442" spans="1:22" s="6" customFormat="1" outlineLevel="2" x14ac:dyDescent="0.2">
      <c r="A442" s="448" t="s">
        <v>741</v>
      </c>
      <c r="B442" s="3" t="s">
        <v>138</v>
      </c>
      <c r="C442" s="3" t="s">
        <v>136</v>
      </c>
      <c r="D442" s="3" t="s">
        <v>27</v>
      </c>
      <c r="E442" s="3" t="s">
        <v>126</v>
      </c>
      <c r="F442" s="473">
        <v>1500</v>
      </c>
      <c r="G442" s="54">
        <v>2500</v>
      </c>
      <c r="H442" s="54">
        <v>2499.7399999999998</v>
      </c>
      <c r="I442" s="55">
        <f t="shared" si="19"/>
        <v>1.6664933333333332</v>
      </c>
      <c r="J442" s="474">
        <v>0.26</v>
      </c>
      <c r="K442" s="488">
        <v>1500</v>
      </c>
      <c r="L442" s="52">
        <v>483</v>
      </c>
      <c r="M442" s="52">
        <v>482.44</v>
      </c>
      <c r="N442" s="53">
        <f t="shared" si="20"/>
        <v>0.32162666666666667</v>
      </c>
      <c r="O442" s="96">
        <v>0.56000000000000005</v>
      </c>
      <c r="P442" s="473">
        <v>1500</v>
      </c>
      <c r="Q442" s="54">
        <v>1500</v>
      </c>
      <c r="R442" s="54">
        <v>0</v>
      </c>
      <c r="S442" s="54">
        <v>0</v>
      </c>
      <c r="T442" s="55">
        <f t="shared" si="21"/>
        <v>0</v>
      </c>
      <c r="U442" s="564">
        <v>1500</v>
      </c>
      <c r="V442" s="523"/>
    </row>
    <row r="443" spans="1:22" s="6" customFormat="1" outlineLevel="2" x14ac:dyDescent="0.2">
      <c r="A443" s="448" t="s">
        <v>741</v>
      </c>
      <c r="B443" s="3" t="s">
        <v>139</v>
      </c>
      <c r="C443" s="3" t="s">
        <v>136</v>
      </c>
      <c r="D443" s="3" t="s">
        <v>31</v>
      </c>
      <c r="E443" s="3" t="s">
        <v>126</v>
      </c>
      <c r="F443" s="473">
        <v>1500</v>
      </c>
      <c r="G443" s="54">
        <v>1500</v>
      </c>
      <c r="H443" s="54">
        <v>1500</v>
      </c>
      <c r="I443" s="55">
        <f t="shared" si="19"/>
        <v>1</v>
      </c>
      <c r="J443" s="474">
        <v>0</v>
      </c>
      <c r="K443" s="488">
        <v>1500</v>
      </c>
      <c r="L443" s="52">
        <v>3642</v>
      </c>
      <c r="M443" s="52">
        <v>3642</v>
      </c>
      <c r="N443" s="53">
        <f t="shared" si="20"/>
        <v>2.4279999999999999</v>
      </c>
      <c r="O443" s="96">
        <v>0</v>
      </c>
      <c r="P443" s="473">
        <v>1500</v>
      </c>
      <c r="Q443" s="54">
        <v>1500</v>
      </c>
      <c r="R443" s="54">
        <v>197.05</v>
      </c>
      <c r="S443" s="54">
        <v>0</v>
      </c>
      <c r="T443" s="55">
        <f t="shared" si="21"/>
        <v>0.13136666666666669</v>
      </c>
      <c r="U443" s="564">
        <v>1302.95</v>
      </c>
      <c r="V443" s="523"/>
    </row>
    <row r="444" spans="1:22" s="6" customFormat="1" outlineLevel="1" x14ac:dyDescent="0.2">
      <c r="A444" s="366" t="s">
        <v>769</v>
      </c>
      <c r="B444" s="3"/>
      <c r="C444" s="3"/>
      <c r="D444" s="3"/>
      <c r="E444" s="3"/>
      <c r="F444" s="477">
        <f>SUBTOTAL(9,F436:F443)</f>
        <v>5071</v>
      </c>
      <c r="G444" s="9">
        <f>SUBTOTAL(9,G436:G443)</f>
        <v>5580</v>
      </c>
      <c r="H444" s="9">
        <f>SUBTOTAL(9,H436:H443)</f>
        <v>5565.63</v>
      </c>
      <c r="I444" s="16">
        <f t="shared" si="19"/>
        <v>1.0975409189508973</v>
      </c>
      <c r="J444" s="478">
        <f>SUBTOTAL(9,J436:J443)</f>
        <v>14.37</v>
      </c>
      <c r="K444" s="477">
        <f>SUBTOTAL(9,K436:K443)</f>
        <v>5071</v>
      </c>
      <c r="L444" s="9">
        <f>SUBTOTAL(9,L436:L443)</f>
        <v>5135</v>
      </c>
      <c r="M444" s="9">
        <f>SUBTOTAL(9,M436:M443)</f>
        <v>5102.26</v>
      </c>
      <c r="N444" s="16">
        <f t="shared" si="20"/>
        <v>1.0061644646026424</v>
      </c>
      <c r="O444" s="478">
        <f>SUBTOTAL(9,O436:O443)</f>
        <v>32.74</v>
      </c>
      <c r="P444" s="477">
        <f>SUBTOTAL(9,P436:P443)</f>
        <v>5071</v>
      </c>
      <c r="Q444" s="9">
        <f>SUBTOTAL(9,Q436:Q443)</f>
        <v>5071</v>
      </c>
      <c r="R444" s="9">
        <f>SUBTOTAL(9,R436:R443)</f>
        <v>197.05</v>
      </c>
      <c r="S444" s="9">
        <f>SUBTOTAL(9,S436:S443)</f>
        <v>0</v>
      </c>
      <c r="T444" s="16">
        <f t="shared" si="21"/>
        <v>3.885821337014396E-2</v>
      </c>
      <c r="U444" s="566">
        <f>SUBTOTAL(9,U436:U443)</f>
        <v>4873.95</v>
      </c>
      <c r="V444" s="523"/>
    </row>
    <row r="445" spans="1:22" s="6" customFormat="1" outlineLevel="2" x14ac:dyDescent="0.2">
      <c r="A445" s="448" t="s">
        <v>742</v>
      </c>
      <c r="B445" s="3" t="s">
        <v>124</v>
      </c>
      <c r="C445" s="3" t="s">
        <v>125</v>
      </c>
      <c r="D445" s="3" t="s">
        <v>58</v>
      </c>
      <c r="E445" s="3" t="s">
        <v>126</v>
      </c>
      <c r="F445" s="479">
        <v>2085</v>
      </c>
      <c r="G445" s="56">
        <v>2400</v>
      </c>
      <c r="H445" s="56">
        <v>2400</v>
      </c>
      <c r="I445" s="55">
        <f t="shared" si="19"/>
        <v>1.1510791366906474</v>
      </c>
      <c r="J445" s="474">
        <v>0</v>
      </c>
      <c r="K445" s="490">
        <v>2085</v>
      </c>
      <c r="L445" s="121">
        <v>0</v>
      </c>
      <c r="M445" s="121">
        <v>0</v>
      </c>
      <c r="N445" s="53">
        <f t="shared" si="20"/>
        <v>0</v>
      </c>
      <c r="O445" s="96">
        <v>0</v>
      </c>
      <c r="P445" s="479">
        <v>2085</v>
      </c>
      <c r="Q445" s="56">
        <v>585</v>
      </c>
      <c r="R445" s="56">
        <v>0</v>
      </c>
      <c r="S445" s="56">
        <v>0</v>
      </c>
      <c r="T445" s="55">
        <f t="shared" si="21"/>
        <v>0</v>
      </c>
      <c r="U445" s="564">
        <v>585</v>
      </c>
      <c r="V445" s="523"/>
    </row>
    <row r="446" spans="1:22" s="6" customFormat="1" outlineLevel="2" x14ac:dyDescent="0.2">
      <c r="A446" s="448" t="s">
        <v>742</v>
      </c>
      <c r="B446" s="3" t="s">
        <v>127</v>
      </c>
      <c r="C446" s="3" t="s">
        <v>125</v>
      </c>
      <c r="D446" s="3" t="s">
        <v>19</v>
      </c>
      <c r="E446" s="3" t="s">
        <v>126</v>
      </c>
      <c r="F446" s="473">
        <v>100</v>
      </c>
      <c r="G446" s="54">
        <v>100</v>
      </c>
      <c r="H446" s="54">
        <v>52.35</v>
      </c>
      <c r="I446" s="55">
        <f t="shared" si="19"/>
        <v>0.52349999999999997</v>
      </c>
      <c r="J446" s="474">
        <v>47.65</v>
      </c>
      <c r="K446" s="488">
        <v>100</v>
      </c>
      <c r="L446" s="52">
        <v>292</v>
      </c>
      <c r="M446" s="52">
        <v>291.85000000000002</v>
      </c>
      <c r="N446" s="53">
        <f t="shared" si="20"/>
        <v>2.9185000000000003</v>
      </c>
      <c r="O446" s="96">
        <v>0.15</v>
      </c>
      <c r="P446" s="473">
        <v>100</v>
      </c>
      <c r="Q446" s="54">
        <v>100</v>
      </c>
      <c r="R446" s="54">
        <v>12.5</v>
      </c>
      <c r="S446" s="54">
        <v>0</v>
      </c>
      <c r="T446" s="55">
        <f t="shared" si="21"/>
        <v>0.125</v>
      </c>
      <c r="U446" s="564">
        <v>87.5</v>
      </c>
      <c r="V446" s="523"/>
    </row>
    <row r="447" spans="1:22" s="6" customFormat="1" outlineLevel="2" x14ac:dyDescent="0.2">
      <c r="A447" s="448" t="s">
        <v>742</v>
      </c>
      <c r="B447" s="3" t="s">
        <v>128</v>
      </c>
      <c r="C447" s="3" t="s">
        <v>125</v>
      </c>
      <c r="D447" s="3" t="s">
        <v>23</v>
      </c>
      <c r="E447" s="3" t="s">
        <v>126</v>
      </c>
      <c r="F447" s="473">
        <v>100</v>
      </c>
      <c r="G447" s="54">
        <v>100</v>
      </c>
      <c r="H447" s="54">
        <v>0</v>
      </c>
      <c r="I447" s="55">
        <f t="shared" si="19"/>
        <v>0</v>
      </c>
      <c r="J447" s="474">
        <v>100</v>
      </c>
      <c r="K447" s="488">
        <v>100</v>
      </c>
      <c r="L447" s="52">
        <v>0</v>
      </c>
      <c r="M447" s="52">
        <v>0</v>
      </c>
      <c r="N447" s="53">
        <f t="shared" si="20"/>
        <v>0</v>
      </c>
      <c r="O447" s="96">
        <v>0</v>
      </c>
      <c r="P447" s="473">
        <v>100</v>
      </c>
      <c r="Q447" s="54">
        <v>100</v>
      </c>
      <c r="R447" s="54">
        <v>43.29</v>
      </c>
      <c r="S447" s="54">
        <v>0</v>
      </c>
      <c r="T447" s="55">
        <f t="shared" si="21"/>
        <v>0.43290000000000001</v>
      </c>
      <c r="U447" s="564">
        <v>56.71</v>
      </c>
      <c r="V447" s="523"/>
    </row>
    <row r="448" spans="1:22" s="6" customFormat="1" outlineLevel="2" x14ac:dyDescent="0.2">
      <c r="A448" s="448" t="s">
        <v>742</v>
      </c>
      <c r="B448" s="3" t="s">
        <v>129</v>
      </c>
      <c r="C448" s="3" t="s">
        <v>125</v>
      </c>
      <c r="D448" s="3" t="s">
        <v>27</v>
      </c>
      <c r="E448" s="3" t="s">
        <v>126</v>
      </c>
      <c r="F448" s="475"/>
      <c r="G448" s="64"/>
      <c r="H448" s="64"/>
      <c r="I448" s="55"/>
      <c r="J448" s="476"/>
      <c r="K448" s="488">
        <v>0</v>
      </c>
      <c r="L448" s="52">
        <v>1948</v>
      </c>
      <c r="M448" s="52">
        <v>1517</v>
      </c>
      <c r="N448" s="53">
        <v>0</v>
      </c>
      <c r="O448" s="96">
        <v>431</v>
      </c>
      <c r="P448" s="473">
        <v>0</v>
      </c>
      <c r="Q448" s="54">
        <v>1500</v>
      </c>
      <c r="R448" s="54">
        <v>989.06</v>
      </c>
      <c r="S448" s="54">
        <v>0</v>
      </c>
      <c r="T448" s="55">
        <v>0</v>
      </c>
      <c r="U448" s="564">
        <v>510.94</v>
      </c>
      <c r="V448" s="523"/>
    </row>
    <row r="449" spans="1:22" s="6" customFormat="1" outlineLevel="2" x14ac:dyDescent="0.2">
      <c r="A449" s="448" t="s">
        <v>742</v>
      </c>
      <c r="B449" s="3" t="s">
        <v>130</v>
      </c>
      <c r="C449" s="3" t="s">
        <v>125</v>
      </c>
      <c r="D449" s="3" t="s">
        <v>29</v>
      </c>
      <c r="E449" s="3" t="s">
        <v>126</v>
      </c>
      <c r="F449" s="473">
        <v>0</v>
      </c>
      <c r="G449" s="54">
        <v>0</v>
      </c>
      <c r="H449" s="54">
        <v>0</v>
      </c>
      <c r="I449" s="55"/>
      <c r="J449" s="474">
        <v>0</v>
      </c>
      <c r="K449" s="488">
        <v>0</v>
      </c>
      <c r="L449" s="52">
        <v>0</v>
      </c>
      <c r="M449" s="52">
        <v>0</v>
      </c>
      <c r="N449" s="53"/>
      <c r="O449" s="96">
        <v>0</v>
      </c>
      <c r="P449" s="475"/>
      <c r="Q449" s="64"/>
      <c r="R449" s="64"/>
      <c r="S449" s="64"/>
      <c r="T449" s="55"/>
      <c r="U449" s="565"/>
      <c r="V449" s="523"/>
    </row>
    <row r="450" spans="1:22" s="6" customFormat="1" outlineLevel="2" x14ac:dyDescent="0.2">
      <c r="A450" s="448" t="s">
        <v>742</v>
      </c>
      <c r="B450" s="3" t="s">
        <v>131</v>
      </c>
      <c r="C450" s="3" t="s">
        <v>125</v>
      </c>
      <c r="D450" s="3" t="s">
        <v>31</v>
      </c>
      <c r="E450" s="3" t="s">
        <v>126</v>
      </c>
      <c r="F450" s="473">
        <v>0</v>
      </c>
      <c r="G450" s="54">
        <v>0</v>
      </c>
      <c r="H450" s="54">
        <v>0</v>
      </c>
      <c r="I450" s="55"/>
      <c r="J450" s="474">
        <v>0</v>
      </c>
      <c r="K450" s="489"/>
      <c r="L450" s="65"/>
      <c r="M450" s="65"/>
      <c r="N450" s="53"/>
      <c r="O450" s="97"/>
      <c r="P450" s="475"/>
      <c r="Q450" s="64"/>
      <c r="R450" s="64"/>
      <c r="S450" s="64"/>
      <c r="T450" s="55"/>
      <c r="U450" s="565"/>
      <c r="V450" s="523"/>
    </row>
    <row r="451" spans="1:22" s="6" customFormat="1" outlineLevel="2" x14ac:dyDescent="0.2">
      <c r="A451" s="448" t="s">
        <v>742</v>
      </c>
      <c r="B451" s="3" t="s">
        <v>375</v>
      </c>
      <c r="C451" s="3" t="s">
        <v>376</v>
      </c>
      <c r="D451" s="3" t="s">
        <v>19</v>
      </c>
      <c r="E451" s="3" t="s">
        <v>376</v>
      </c>
      <c r="F451" s="473">
        <v>60</v>
      </c>
      <c r="G451" s="54">
        <v>60</v>
      </c>
      <c r="H451" s="54">
        <v>0</v>
      </c>
      <c r="I451" s="55">
        <f t="shared" si="19"/>
        <v>0</v>
      </c>
      <c r="J451" s="474">
        <v>60</v>
      </c>
      <c r="K451" s="488">
        <v>0</v>
      </c>
      <c r="L451" s="52">
        <v>0</v>
      </c>
      <c r="M451" s="52">
        <v>0</v>
      </c>
      <c r="N451" s="53"/>
      <c r="O451" s="96">
        <v>0</v>
      </c>
      <c r="P451" s="475"/>
      <c r="Q451" s="64"/>
      <c r="R451" s="64"/>
      <c r="S451" s="64"/>
      <c r="T451" s="55"/>
      <c r="U451" s="565"/>
      <c r="V451" s="523"/>
    </row>
    <row r="452" spans="1:22" s="6" customFormat="1" outlineLevel="2" x14ac:dyDescent="0.2">
      <c r="A452" s="448" t="s">
        <v>742</v>
      </c>
      <c r="B452" s="3" t="s">
        <v>378</v>
      </c>
      <c r="C452" s="3" t="s">
        <v>377</v>
      </c>
      <c r="D452" s="3" t="s">
        <v>17</v>
      </c>
      <c r="E452" s="3" t="s">
        <v>376</v>
      </c>
      <c r="F452" s="473">
        <v>500</v>
      </c>
      <c r="G452" s="54">
        <v>500</v>
      </c>
      <c r="H452" s="54">
        <v>499.06</v>
      </c>
      <c r="I452" s="55">
        <f t="shared" ref="I452:I515" si="22">+H452/F452</f>
        <v>0.99812000000000001</v>
      </c>
      <c r="J452" s="474">
        <v>0.94</v>
      </c>
      <c r="K452" s="488">
        <v>500</v>
      </c>
      <c r="L452" s="52">
        <v>500</v>
      </c>
      <c r="M452" s="52">
        <v>499.3</v>
      </c>
      <c r="N452" s="53">
        <f t="shared" ref="N452:N515" si="23">+M452/K452</f>
        <v>0.99860000000000004</v>
      </c>
      <c r="O452" s="96">
        <f>500-499.3</f>
        <v>0.69999999999998863</v>
      </c>
      <c r="P452" s="475"/>
      <c r="Q452" s="64"/>
      <c r="R452" s="64"/>
      <c r="S452" s="64"/>
      <c r="T452" s="55"/>
      <c r="U452" s="565"/>
      <c r="V452" s="523"/>
    </row>
    <row r="453" spans="1:22" s="6" customFormat="1" outlineLevel="2" x14ac:dyDescent="0.2">
      <c r="A453" s="448" t="s">
        <v>742</v>
      </c>
      <c r="B453" s="3" t="s">
        <v>379</v>
      </c>
      <c r="C453" s="3" t="s">
        <v>377</v>
      </c>
      <c r="D453" s="3" t="s">
        <v>246</v>
      </c>
      <c r="E453" s="3" t="s">
        <v>376</v>
      </c>
      <c r="F453" s="473">
        <v>2950</v>
      </c>
      <c r="G453" s="54">
        <v>2962</v>
      </c>
      <c r="H453" s="54">
        <v>2961.72</v>
      </c>
      <c r="I453" s="55">
        <f t="shared" si="22"/>
        <v>1.0039728813559321</v>
      </c>
      <c r="J453" s="474">
        <v>0.28000000000000003</v>
      </c>
      <c r="K453" s="488">
        <v>3450</v>
      </c>
      <c r="L453" s="52">
        <v>0</v>
      </c>
      <c r="M453" s="52">
        <v>0</v>
      </c>
      <c r="N453" s="53">
        <f t="shared" si="23"/>
        <v>0</v>
      </c>
      <c r="O453" s="96">
        <v>0</v>
      </c>
      <c r="P453" s="475"/>
      <c r="Q453" s="64"/>
      <c r="R453" s="64"/>
      <c r="S453" s="64"/>
      <c r="T453" s="55"/>
      <c r="U453" s="565"/>
      <c r="V453" s="523"/>
    </row>
    <row r="454" spans="1:22" s="6" customFormat="1" outlineLevel="2" x14ac:dyDescent="0.2">
      <c r="A454" s="448" t="s">
        <v>742</v>
      </c>
      <c r="B454" s="3" t="s">
        <v>381</v>
      </c>
      <c r="C454" s="3" t="s">
        <v>380</v>
      </c>
      <c r="D454" s="3" t="s">
        <v>17</v>
      </c>
      <c r="E454" s="3" t="s">
        <v>376</v>
      </c>
      <c r="F454" s="473">
        <v>250</v>
      </c>
      <c r="G454" s="54">
        <v>250</v>
      </c>
      <c r="H454" s="54">
        <v>249.23</v>
      </c>
      <c r="I454" s="55">
        <f t="shared" si="22"/>
        <v>0.99691999999999992</v>
      </c>
      <c r="J454" s="474">
        <v>0.77</v>
      </c>
      <c r="K454" s="488">
        <v>500</v>
      </c>
      <c r="L454" s="52">
        <v>500</v>
      </c>
      <c r="M454" s="52">
        <v>498.15</v>
      </c>
      <c r="N454" s="53">
        <f t="shared" si="23"/>
        <v>0.99629999999999996</v>
      </c>
      <c r="O454" s="96">
        <f>500-498.15</f>
        <v>1.8500000000000227</v>
      </c>
      <c r="P454" s="475"/>
      <c r="Q454" s="64"/>
      <c r="R454" s="64"/>
      <c r="S454" s="64"/>
      <c r="T454" s="55"/>
      <c r="U454" s="565"/>
      <c r="V454" s="523"/>
    </row>
    <row r="455" spans="1:22" s="6" customFormat="1" outlineLevel="2" x14ac:dyDescent="0.2">
      <c r="A455" s="448" t="s">
        <v>742</v>
      </c>
      <c r="B455" s="3" t="s">
        <v>382</v>
      </c>
      <c r="C455" s="3" t="s">
        <v>380</v>
      </c>
      <c r="D455" s="3" t="s">
        <v>246</v>
      </c>
      <c r="E455" s="3" t="s">
        <v>376</v>
      </c>
      <c r="F455" s="473">
        <v>1050</v>
      </c>
      <c r="G455" s="54">
        <v>1050</v>
      </c>
      <c r="H455" s="54">
        <v>719.08</v>
      </c>
      <c r="I455" s="55">
        <f t="shared" si="22"/>
        <v>0.68483809523809525</v>
      </c>
      <c r="J455" s="474">
        <v>330.92</v>
      </c>
      <c r="K455" s="488">
        <v>2000</v>
      </c>
      <c r="L455" s="52">
        <v>0</v>
      </c>
      <c r="M455" s="52">
        <v>0</v>
      </c>
      <c r="N455" s="53">
        <f t="shared" si="23"/>
        <v>0</v>
      </c>
      <c r="O455" s="96">
        <v>0</v>
      </c>
      <c r="P455" s="475"/>
      <c r="Q455" s="64"/>
      <c r="R455" s="64"/>
      <c r="S455" s="64"/>
      <c r="T455" s="55"/>
      <c r="U455" s="565"/>
      <c r="V455" s="523"/>
    </row>
    <row r="456" spans="1:22" s="6" customFormat="1" outlineLevel="2" x14ac:dyDescent="0.2">
      <c r="A456" s="448" t="s">
        <v>742</v>
      </c>
      <c r="B456" s="3" t="s">
        <v>384</v>
      </c>
      <c r="C456" s="3" t="s">
        <v>383</v>
      </c>
      <c r="D456" s="3" t="s">
        <v>17</v>
      </c>
      <c r="E456" s="3" t="s">
        <v>376</v>
      </c>
      <c r="F456" s="473">
        <v>570</v>
      </c>
      <c r="G456" s="54">
        <v>570</v>
      </c>
      <c r="H456" s="54">
        <v>474.73</v>
      </c>
      <c r="I456" s="55">
        <f t="shared" si="22"/>
        <v>0.83285964912280708</v>
      </c>
      <c r="J456" s="474">
        <v>95.27</v>
      </c>
      <c r="K456" s="488">
        <v>670</v>
      </c>
      <c r="L456" s="52">
        <v>670</v>
      </c>
      <c r="M456" s="52">
        <v>498.64</v>
      </c>
      <c r="N456" s="53">
        <f t="shared" si="23"/>
        <v>0.74423880597014924</v>
      </c>
      <c r="O456" s="96">
        <f>670-498.64</f>
        <v>171.36</v>
      </c>
      <c r="P456" s="475"/>
      <c r="Q456" s="64"/>
      <c r="R456" s="64"/>
      <c r="S456" s="64"/>
      <c r="T456" s="55"/>
      <c r="U456" s="565"/>
      <c r="V456" s="523"/>
    </row>
    <row r="457" spans="1:22" s="6" customFormat="1" outlineLevel="2" x14ac:dyDescent="0.2">
      <c r="A457" s="448" t="s">
        <v>742</v>
      </c>
      <c r="B457" s="3" t="s">
        <v>385</v>
      </c>
      <c r="C457" s="3" t="s">
        <v>383</v>
      </c>
      <c r="D457" s="3" t="s">
        <v>246</v>
      </c>
      <c r="E457" s="3" t="s">
        <v>376</v>
      </c>
      <c r="F457" s="473">
        <v>1050</v>
      </c>
      <c r="G457" s="54">
        <v>1050</v>
      </c>
      <c r="H457" s="54">
        <v>499.24</v>
      </c>
      <c r="I457" s="55">
        <f t="shared" si="22"/>
        <v>0.47546666666666665</v>
      </c>
      <c r="J457" s="474">
        <v>550.76</v>
      </c>
      <c r="K457" s="488">
        <v>1050</v>
      </c>
      <c r="L457" s="52">
        <v>0</v>
      </c>
      <c r="M457" s="52">
        <v>0</v>
      </c>
      <c r="N457" s="53">
        <f t="shared" si="23"/>
        <v>0</v>
      </c>
      <c r="O457" s="96">
        <v>0</v>
      </c>
      <c r="P457" s="475"/>
      <c r="Q457" s="64"/>
      <c r="R457" s="64"/>
      <c r="S457" s="64"/>
      <c r="T457" s="55"/>
      <c r="U457" s="565"/>
      <c r="V457" s="523"/>
    </row>
    <row r="458" spans="1:22" s="6" customFormat="1" outlineLevel="2" x14ac:dyDescent="0.2">
      <c r="A458" s="448" t="s">
        <v>742</v>
      </c>
      <c r="B458" s="3" t="s">
        <v>386</v>
      </c>
      <c r="C458" s="3" t="s">
        <v>383</v>
      </c>
      <c r="D458" s="3" t="s">
        <v>27</v>
      </c>
      <c r="E458" s="3" t="s">
        <v>376</v>
      </c>
      <c r="F458" s="473">
        <v>150</v>
      </c>
      <c r="G458" s="54">
        <v>150</v>
      </c>
      <c r="H458" s="54">
        <v>150</v>
      </c>
      <c r="I458" s="55">
        <f t="shared" si="22"/>
        <v>1</v>
      </c>
      <c r="J458" s="474">
        <v>0</v>
      </c>
      <c r="K458" s="488">
        <v>150</v>
      </c>
      <c r="L458" s="52">
        <v>150</v>
      </c>
      <c r="M458" s="52">
        <v>0</v>
      </c>
      <c r="N458" s="53">
        <f t="shared" si="23"/>
        <v>0</v>
      </c>
      <c r="O458" s="96">
        <v>150</v>
      </c>
      <c r="P458" s="473">
        <v>150</v>
      </c>
      <c r="Q458" s="54">
        <v>150</v>
      </c>
      <c r="R458" s="54">
        <v>0</v>
      </c>
      <c r="S458" s="54">
        <v>0</v>
      </c>
      <c r="T458" s="55">
        <f t="shared" ref="T458:T515" si="24">+R458/P458</f>
        <v>0</v>
      </c>
      <c r="U458" s="564">
        <v>150</v>
      </c>
      <c r="V458" s="523"/>
    </row>
    <row r="459" spans="1:22" s="6" customFormat="1" outlineLevel="2" x14ac:dyDescent="0.2">
      <c r="A459" s="448" t="s">
        <v>742</v>
      </c>
      <c r="B459" s="3" t="s">
        <v>387</v>
      </c>
      <c r="C459" s="3" t="s">
        <v>383</v>
      </c>
      <c r="D459" s="3" t="s">
        <v>48</v>
      </c>
      <c r="E459" s="3" t="s">
        <v>376</v>
      </c>
      <c r="F459" s="473">
        <v>100</v>
      </c>
      <c r="G459" s="54">
        <v>100</v>
      </c>
      <c r="H459" s="54">
        <v>100</v>
      </c>
      <c r="I459" s="55">
        <f t="shared" si="22"/>
        <v>1</v>
      </c>
      <c r="J459" s="474">
        <v>0</v>
      </c>
      <c r="K459" s="488">
        <v>100</v>
      </c>
      <c r="L459" s="52">
        <v>100</v>
      </c>
      <c r="M459" s="52">
        <v>0</v>
      </c>
      <c r="N459" s="53">
        <f t="shared" si="23"/>
        <v>0</v>
      </c>
      <c r="O459" s="96">
        <v>100</v>
      </c>
      <c r="P459" s="473">
        <v>100</v>
      </c>
      <c r="Q459" s="54">
        <v>100</v>
      </c>
      <c r="R459" s="54">
        <v>0</v>
      </c>
      <c r="S459" s="54">
        <v>0</v>
      </c>
      <c r="T459" s="55">
        <f t="shared" si="24"/>
        <v>0</v>
      </c>
      <c r="U459" s="564">
        <v>100</v>
      </c>
      <c r="V459" s="523"/>
    </row>
    <row r="460" spans="1:22" s="6" customFormat="1" outlineLevel="2" x14ac:dyDescent="0.2">
      <c r="A460" s="448" t="s">
        <v>742</v>
      </c>
      <c r="B460" s="3" t="s">
        <v>400</v>
      </c>
      <c r="C460" s="3" t="s">
        <v>398</v>
      </c>
      <c r="D460" s="3" t="s">
        <v>313</v>
      </c>
      <c r="E460" s="3" t="s">
        <v>399</v>
      </c>
      <c r="F460" s="475"/>
      <c r="G460" s="64"/>
      <c r="H460" s="64"/>
      <c r="I460" s="55"/>
      <c r="J460" s="476"/>
      <c r="K460" s="488">
        <v>0</v>
      </c>
      <c r="L460" s="52">
        <v>0</v>
      </c>
      <c r="M460" s="52">
        <v>178.5</v>
      </c>
      <c r="N460" s="53">
        <v>0</v>
      </c>
      <c r="O460" s="96">
        <v>-178.5</v>
      </c>
      <c r="P460" s="475"/>
      <c r="Q460" s="64"/>
      <c r="R460" s="64"/>
      <c r="S460" s="64"/>
      <c r="T460" s="55"/>
      <c r="U460" s="565"/>
      <c r="V460" s="523"/>
    </row>
    <row r="461" spans="1:22" s="6" customFormat="1" outlineLevel="2" x14ac:dyDescent="0.2">
      <c r="A461" s="448" t="s">
        <v>742</v>
      </c>
      <c r="B461" s="3" t="s">
        <v>401</v>
      </c>
      <c r="C461" s="3" t="s">
        <v>398</v>
      </c>
      <c r="D461" s="3" t="s">
        <v>17</v>
      </c>
      <c r="E461" s="3" t="s">
        <v>399</v>
      </c>
      <c r="F461" s="473">
        <v>2500</v>
      </c>
      <c r="G461" s="54">
        <v>2664</v>
      </c>
      <c r="H461" s="54">
        <v>2286.67</v>
      </c>
      <c r="I461" s="55">
        <f t="shared" si="22"/>
        <v>0.91466800000000004</v>
      </c>
      <c r="J461" s="474">
        <v>377.33</v>
      </c>
      <c r="K461" s="488">
        <v>2500</v>
      </c>
      <c r="L461" s="52">
        <v>2500</v>
      </c>
      <c r="M461" s="52">
        <v>2490.66</v>
      </c>
      <c r="N461" s="53">
        <f t="shared" si="23"/>
        <v>0.99626399999999993</v>
      </c>
      <c r="O461" s="96">
        <f>2500-2490.66</f>
        <v>9.3400000000001455</v>
      </c>
      <c r="P461" s="473">
        <v>2500</v>
      </c>
      <c r="Q461" s="54">
        <v>0</v>
      </c>
      <c r="R461" s="54">
        <v>0</v>
      </c>
      <c r="S461" s="54">
        <v>0</v>
      </c>
      <c r="T461" s="55">
        <f t="shared" si="24"/>
        <v>0</v>
      </c>
      <c r="U461" s="564">
        <v>0</v>
      </c>
      <c r="V461" s="523"/>
    </row>
    <row r="462" spans="1:22" s="6" customFormat="1" outlineLevel="2" x14ac:dyDescent="0.2">
      <c r="A462" s="448" t="s">
        <v>742</v>
      </c>
      <c r="B462" s="3" t="s">
        <v>402</v>
      </c>
      <c r="C462" s="3" t="s">
        <v>398</v>
      </c>
      <c r="D462" s="3" t="s">
        <v>246</v>
      </c>
      <c r="E462" s="3" t="s">
        <v>399</v>
      </c>
      <c r="F462" s="473">
        <v>410</v>
      </c>
      <c r="G462" s="54">
        <v>393</v>
      </c>
      <c r="H462" s="54">
        <v>392.24</v>
      </c>
      <c r="I462" s="55">
        <f t="shared" si="22"/>
        <v>0.95668292682926837</v>
      </c>
      <c r="J462" s="474">
        <v>0.76</v>
      </c>
      <c r="K462" s="488">
        <v>410</v>
      </c>
      <c r="L462" s="52">
        <v>0</v>
      </c>
      <c r="M462" s="52">
        <v>0</v>
      </c>
      <c r="N462" s="53">
        <f t="shared" si="23"/>
        <v>0</v>
      </c>
      <c r="O462" s="96">
        <v>0</v>
      </c>
      <c r="P462" s="473">
        <v>410</v>
      </c>
      <c r="Q462" s="54">
        <v>410</v>
      </c>
      <c r="R462" s="54">
        <v>121.28</v>
      </c>
      <c r="S462" s="54">
        <v>0</v>
      </c>
      <c r="T462" s="55">
        <f t="shared" si="24"/>
        <v>0.29580487804878047</v>
      </c>
      <c r="U462" s="564">
        <v>288.72000000000003</v>
      </c>
      <c r="V462" s="523"/>
    </row>
    <row r="463" spans="1:22" s="6" customFormat="1" outlineLevel="2" x14ac:dyDescent="0.2">
      <c r="A463" s="448" t="s">
        <v>742</v>
      </c>
      <c r="B463" s="3" t="s">
        <v>403</v>
      </c>
      <c r="C463" s="3" t="s">
        <v>398</v>
      </c>
      <c r="D463" s="3" t="s">
        <v>334</v>
      </c>
      <c r="E463" s="3" t="s">
        <v>399</v>
      </c>
      <c r="F463" s="473">
        <v>700</v>
      </c>
      <c r="G463" s="54">
        <v>624</v>
      </c>
      <c r="H463" s="54">
        <v>575.29999999999995</v>
      </c>
      <c r="I463" s="55">
        <f t="shared" si="22"/>
        <v>0.82185714285714284</v>
      </c>
      <c r="J463" s="474">
        <v>48.7</v>
      </c>
      <c r="K463" s="488">
        <v>700</v>
      </c>
      <c r="L463" s="52">
        <v>700</v>
      </c>
      <c r="M463" s="52">
        <v>0</v>
      </c>
      <c r="N463" s="53">
        <f t="shared" si="23"/>
        <v>0</v>
      </c>
      <c r="O463" s="96">
        <v>700</v>
      </c>
      <c r="P463" s="473">
        <v>700</v>
      </c>
      <c r="Q463" s="54">
        <v>0</v>
      </c>
      <c r="R463" s="54">
        <v>0</v>
      </c>
      <c r="S463" s="54">
        <v>0</v>
      </c>
      <c r="T463" s="55">
        <f t="shared" si="24"/>
        <v>0</v>
      </c>
      <c r="U463" s="564">
        <v>0</v>
      </c>
      <c r="V463" s="523"/>
    </row>
    <row r="464" spans="1:22" s="6" customFormat="1" outlineLevel="2" x14ac:dyDescent="0.2">
      <c r="A464" s="448" t="s">
        <v>742</v>
      </c>
      <c r="B464" s="3" t="s">
        <v>404</v>
      </c>
      <c r="C464" s="3" t="s">
        <v>398</v>
      </c>
      <c r="D464" s="3" t="s">
        <v>405</v>
      </c>
      <c r="E464" s="3" t="s">
        <v>399</v>
      </c>
      <c r="F464" s="473">
        <v>300</v>
      </c>
      <c r="G464" s="54">
        <v>300</v>
      </c>
      <c r="H464" s="54">
        <v>277.39</v>
      </c>
      <c r="I464" s="55">
        <f t="shared" si="22"/>
        <v>0.92463333333333331</v>
      </c>
      <c r="J464" s="474">
        <v>22.61</v>
      </c>
      <c r="K464" s="488">
        <v>400</v>
      </c>
      <c r="L464" s="52">
        <v>0</v>
      </c>
      <c r="M464" s="52">
        <v>0</v>
      </c>
      <c r="N464" s="53">
        <f t="shared" si="23"/>
        <v>0</v>
      </c>
      <c r="O464" s="96">
        <v>0</v>
      </c>
      <c r="P464" s="473">
        <v>400</v>
      </c>
      <c r="Q464" s="54">
        <v>0</v>
      </c>
      <c r="R464" s="54">
        <v>0</v>
      </c>
      <c r="S464" s="54">
        <v>0</v>
      </c>
      <c r="T464" s="55">
        <f t="shared" si="24"/>
        <v>0</v>
      </c>
      <c r="U464" s="564">
        <v>0</v>
      </c>
      <c r="V464" s="523"/>
    </row>
    <row r="465" spans="1:22" s="6" customFormat="1" outlineLevel="2" x14ac:dyDescent="0.2">
      <c r="A465" s="448" t="s">
        <v>742</v>
      </c>
      <c r="B465" s="3" t="s">
        <v>406</v>
      </c>
      <c r="C465" s="3" t="s">
        <v>398</v>
      </c>
      <c r="D465" s="3" t="s">
        <v>407</v>
      </c>
      <c r="E465" s="3" t="s">
        <v>399</v>
      </c>
      <c r="F465" s="473">
        <v>150</v>
      </c>
      <c r="G465" s="54">
        <v>243</v>
      </c>
      <c r="H465" s="54">
        <v>242.04</v>
      </c>
      <c r="I465" s="55">
        <f t="shared" si="22"/>
        <v>1.6135999999999999</v>
      </c>
      <c r="J465" s="474">
        <v>0.96</v>
      </c>
      <c r="K465" s="488">
        <v>150</v>
      </c>
      <c r="L465" s="52">
        <v>290</v>
      </c>
      <c r="M465" s="52">
        <v>289.64</v>
      </c>
      <c r="N465" s="53">
        <f t="shared" si="23"/>
        <v>1.9309333333333332</v>
      </c>
      <c r="O465" s="96">
        <v>0.36</v>
      </c>
      <c r="P465" s="473">
        <v>150</v>
      </c>
      <c r="Q465" s="54">
        <v>0</v>
      </c>
      <c r="R465" s="54">
        <v>0</v>
      </c>
      <c r="S465" s="54">
        <v>0</v>
      </c>
      <c r="T465" s="55">
        <f t="shared" si="24"/>
        <v>0</v>
      </c>
      <c r="U465" s="564">
        <v>0</v>
      </c>
      <c r="V465" s="523"/>
    </row>
    <row r="466" spans="1:22" s="6" customFormat="1" outlineLevel="2" x14ac:dyDescent="0.2">
      <c r="A466" s="448" t="s">
        <v>742</v>
      </c>
      <c r="B466" s="3" t="s">
        <v>408</v>
      </c>
      <c r="C466" s="3" t="s">
        <v>398</v>
      </c>
      <c r="D466" s="3" t="s">
        <v>409</v>
      </c>
      <c r="E466" s="3" t="s">
        <v>399</v>
      </c>
      <c r="F466" s="473">
        <v>2500</v>
      </c>
      <c r="G466" s="54">
        <v>2500</v>
      </c>
      <c r="H466" s="54">
        <v>2436</v>
      </c>
      <c r="I466" s="55">
        <f t="shared" si="22"/>
        <v>0.97440000000000004</v>
      </c>
      <c r="J466" s="474">
        <v>64</v>
      </c>
      <c r="K466" s="488">
        <v>5000</v>
      </c>
      <c r="L466" s="52">
        <v>5000</v>
      </c>
      <c r="M466" s="52">
        <v>4620</v>
      </c>
      <c r="N466" s="53">
        <f t="shared" si="23"/>
        <v>0.92400000000000004</v>
      </c>
      <c r="O466" s="96">
        <v>380</v>
      </c>
      <c r="P466" s="473">
        <v>5000</v>
      </c>
      <c r="Q466" s="54">
        <v>5000</v>
      </c>
      <c r="R466" s="54">
        <v>2856</v>
      </c>
      <c r="S466" s="54">
        <v>0</v>
      </c>
      <c r="T466" s="55">
        <f t="shared" si="24"/>
        <v>0.57120000000000004</v>
      </c>
      <c r="U466" s="564">
        <v>2144</v>
      </c>
      <c r="V466" s="523"/>
    </row>
    <row r="467" spans="1:22" s="6" customFormat="1" outlineLevel="2" x14ac:dyDescent="0.2">
      <c r="A467" s="448" t="s">
        <v>742</v>
      </c>
      <c r="B467" s="3" t="s">
        <v>411</v>
      </c>
      <c r="C467" s="3" t="s">
        <v>410</v>
      </c>
      <c r="D467" s="3" t="s">
        <v>17</v>
      </c>
      <c r="E467" s="3" t="s">
        <v>399</v>
      </c>
      <c r="F467" s="473">
        <v>0</v>
      </c>
      <c r="G467" s="54">
        <v>0</v>
      </c>
      <c r="H467" s="54">
        <v>0</v>
      </c>
      <c r="I467" s="55"/>
      <c r="J467" s="474">
        <v>0</v>
      </c>
      <c r="K467" s="489"/>
      <c r="L467" s="65"/>
      <c r="M467" s="65"/>
      <c r="N467" s="53"/>
      <c r="O467" s="97"/>
      <c r="P467" s="475"/>
      <c r="Q467" s="64"/>
      <c r="R467" s="64"/>
      <c r="S467" s="64"/>
      <c r="T467" s="55"/>
      <c r="U467" s="565"/>
      <c r="V467" s="523"/>
    </row>
    <row r="468" spans="1:22" s="6" customFormat="1" outlineLevel="2" x14ac:dyDescent="0.2">
      <c r="A468" s="448" t="s">
        <v>742</v>
      </c>
      <c r="B468" s="3" t="s">
        <v>413</v>
      </c>
      <c r="C468" s="3" t="s">
        <v>412</v>
      </c>
      <c r="D468" s="3" t="s">
        <v>9</v>
      </c>
      <c r="E468" s="3" t="s">
        <v>399</v>
      </c>
      <c r="F468" s="473">
        <v>0</v>
      </c>
      <c r="G468" s="54">
        <v>199</v>
      </c>
      <c r="H468" s="54">
        <v>198.75</v>
      </c>
      <c r="I468" s="55">
        <v>0</v>
      </c>
      <c r="J468" s="474">
        <v>0.25</v>
      </c>
      <c r="K468" s="489"/>
      <c r="L468" s="65"/>
      <c r="M468" s="65"/>
      <c r="N468" s="53"/>
      <c r="O468" s="97"/>
      <c r="P468" s="475"/>
      <c r="Q468" s="64"/>
      <c r="R468" s="64"/>
      <c r="S468" s="64"/>
      <c r="T468" s="55"/>
      <c r="U468" s="565"/>
      <c r="V468" s="523"/>
    </row>
    <row r="469" spans="1:22" s="6" customFormat="1" outlineLevel="2" x14ac:dyDescent="0.2">
      <c r="A469" s="448" t="s">
        <v>742</v>
      </c>
      <c r="B469" s="3" t="s">
        <v>414</v>
      </c>
      <c r="C469" s="3" t="s">
        <v>412</v>
      </c>
      <c r="D469" s="3" t="s">
        <v>313</v>
      </c>
      <c r="E469" s="3" t="s">
        <v>399</v>
      </c>
      <c r="F469" s="473">
        <v>0</v>
      </c>
      <c r="G469" s="54">
        <v>0</v>
      </c>
      <c r="H469" s="54">
        <v>75</v>
      </c>
      <c r="I469" s="55">
        <v>0</v>
      </c>
      <c r="J469" s="474">
        <v>-75</v>
      </c>
      <c r="K469" s="489"/>
      <c r="L469" s="65"/>
      <c r="M469" s="65"/>
      <c r="N469" s="53"/>
      <c r="O469" s="97"/>
      <c r="P469" s="475"/>
      <c r="Q469" s="64"/>
      <c r="R469" s="64"/>
      <c r="S469" s="64"/>
      <c r="T469" s="55"/>
      <c r="U469" s="565"/>
      <c r="V469" s="523"/>
    </row>
    <row r="470" spans="1:22" s="6" customFormat="1" outlineLevel="2" x14ac:dyDescent="0.2">
      <c r="A470" s="448" t="s">
        <v>742</v>
      </c>
      <c r="B470" s="3" t="s">
        <v>415</v>
      </c>
      <c r="C470" s="3" t="s">
        <v>412</v>
      </c>
      <c r="D470" s="3" t="s">
        <v>17</v>
      </c>
      <c r="E470" s="3" t="s">
        <v>399</v>
      </c>
      <c r="F470" s="473">
        <v>100</v>
      </c>
      <c r="G470" s="54">
        <v>100</v>
      </c>
      <c r="H470" s="54">
        <v>98.55</v>
      </c>
      <c r="I470" s="55">
        <f t="shared" si="22"/>
        <v>0.98549999999999993</v>
      </c>
      <c r="J470" s="474">
        <v>1.45</v>
      </c>
      <c r="K470" s="488">
        <v>100</v>
      </c>
      <c r="L470" s="52">
        <v>0</v>
      </c>
      <c r="M470" s="52">
        <v>0</v>
      </c>
      <c r="N470" s="53">
        <f t="shared" si="23"/>
        <v>0</v>
      </c>
      <c r="O470" s="96">
        <v>0</v>
      </c>
      <c r="P470" s="475"/>
      <c r="Q470" s="64"/>
      <c r="R470" s="64"/>
      <c r="S470" s="64"/>
      <c r="T470" s="55"/>
      <c r="U470" s="565"/>
      <c r="V470" s="523"/>
    </row>
    <row r="471" spans="1:22" s="6" customFormat="1" outlineLevel="2" x14ac:dyDescent="0.2">
      <c r="A471" s="448" t="s">
        <v>742</v>
      </c>
      <c r="B471" s="3" t="s">
        <v>416</v>
      </c>
      <c r="C471" s="3" t="s">
        <v>412</v>
      </c>
      <c r="D471" s="3" t="s">
        <v>246</v>
      </c>
      <c r="E471" s="3" t="s">
        <v>399</v>
      </c>
      <c r="F471" s="473">
        <v>250</v>
      </c>
      <c r="G471" s="54">
        <v>311</v>
      </c>
      <c r="H471" s="54">
        <v>309.92</v>
      </c>
      <c r="I471" s="55">
        <f t="shared" si="22"/>
        <v>1.2396800000000001</v>
      </c>
      <c r="J471" s="474">
        <v>1.08</v>
      </c>
      <c r="K471" s="488">
        <v>250</v>
      </c>
      <c r="L471" s="52">
        <v>0</v>
      </c>
      <c r="M471" s="52">
        <v>0</v>
      </c>
      <c r="N471" s="53">
        <f t="shared" si="23"/>
        <v>0</v>
      </c>
      <c r="O471" s="96">
        <v>0</v>
      </c>
      <c r="P471" s="475"/>
      <c r="Q471" s="64"/>
      <c r="R471" s="64"/>
      <c r="S471" s="64"/>
      <c r="T471" s="55"/>
      <c r="U471" s="565"/>
      <c r="V471" s="523"/>
    </row>
    <row r="472" spans="1:22" s="6" customFormat="1" outlineLevel="2" x14ac:dyDescent="0.2">
      <c r="A472" s="448" t="s">
        <v>742</v>
      </c>
      <c r="B472" s="3" t="s">
        <v>417</v>
      </c>
      <c r="C472" s="3" t="s">
        <v>412</v>
      </c>
      <c r="D472" s="3" t="s">
        <v>409</v>
      </c>
      <c r="E472" s="3" t="s">
        <v>399</v>
      </c>
      <c r="F472" s="473">
        <v>200</v>
      </c>
      <c r="G472" s="54">
        <v>200</v>
      </c>
      <c r="H472" s="54">
        <v>23.8</v>
      </c>
      <c r="I472" s="55">
        <f t="shared" si="22"/>
        <v>0.11900000000000001</v>
      </c>
      <c r="J472" s="474">
        <v>176.2</v>
      </c>
      <c r="K472" s="488">
        <v>200</v>
      </c>
      <c r="L472" s="52">
        <v>200</v>
      </c>
      <c r="M472" s="52">
        <v>0</v>
      </c>
      <c r="N472" s="53">
        <f t="shared" si="23"/>
        <v>0</v>
      </c>
      <c r="O472" s="96">
        <v>200</v>
      </c>
      <c r="P472" s="473">
        <v>200</v>
      </c>
      <c r="Q472" s="54">
        <v>200</v>
      </c>
      <c r="R472" s="54">
        <v>110</v>
      </c>
      <c r="S472" s="54">
        <v>0</v>
      </c>
      <c r="T472" s="55">
        <f t="shared" si="24"/>
        <v>0.55000000000000004</v>
      </c>
      <c r="U472" s="564">
        <v>90</v>
      </c>
      <c r="V472" s="523"/>
    </row>
    <row r="473" spans="1:22" s="6" customFormat="1" outlineLevel="2" x14ac:dyDescent="0.2">
      <c r="A473" s="448" t="s">
        <v>742</v>
      </c>
      <c r="B473" s="3" t="s">
        <v>419</v>
      </c>
      <c r="C473" s="3" t="s">
        <v>418</v>
      </c>
      <c r="D473" s="3" t="s">
        <v>17</v>
      </c>
      <c r="E473" s="3" t="s">
        <v>399</v>
      </c>
      <c r="F473" s="473">
        <v>296</v>
      </c>
      <c r="G473" s="54">
        <v>296</v>
      </c>
      <c r="H473" s="54">
        <v>292.29000000000002</v>
      </c>
      <c r="I473" s="55">
        <f t="shared" si="22"/>
        <v>0.98746621621621633</v>
      </c>
      <c r="J473" s="474">
        <v>3.71</v>
      </c>
      <c r="K473" s="488">
        <v>350</v>
      </c>
      <c r="L473" s="52">
        <v>0</v>
      </c>
      <c r="M473" s="52">
        <v>0</v>
      </c>
      <c r="N473" s="53">
        <f t="shared" si="23"/>
        <v>0</v>
      </c>
      <c r="O473" s="96">
        <v>0</v>
      </c>
      <c r="P473" s="475"/>
      <c r="Q473" s="64"/>
      <c r="R473" s="64"/>
      <c r="S473" s="64"/>
      <c r="T473" s="55"/>
      <c r="U473" s="565"/>
      <c r="V473" s="523"/>
    </row>
    <row r="474" spans="1:22" s="6" customFormat="1" outlineLevel="2" x14ac:dyDescent="0.2">
      <c r="A474" s="448" t="s">
        <v>742</v>
      </c>
      <c r="B474" s="3" t="s">
        <v>420</v>
      </c>
      <c r="C474" s="3" t="s">
        <v>418</v>
      </c>
      <c r="D474" s="3" t="s">
        <v>246</v>
      </c>
      <c r="E474" s="3" t="s">
        <v>399</v>
      </c>
      <c r="F474" s="473">
        <v>682</v>
      </c>
      <c r="G474" s="54">
        <v>1293</v>
      </c>
      <c r="H474" s="54">
        <v>1291.71</v>
      </c>
      <c r="I474" s="55">
        <f t="shared" si="22"/>
        <v>1.8940029325513197</v>
      </c>
      <c r="J474" s="474">
        <v>1.29</v>
      </c>
      <c r="K474" s="488">
        <v>682</v>
      </c>
      <c r="L474" s="52">
        <v>0</v>
      </c>
      <c r="M474" s="52">
        <v>0</v>
      </c>
      <c r="N474" s="53">
        <f t="shared" si="23"/>
        <v>0</v>
      </c>
      <c r="O474" s="96">
        <v>0</v>
      </c>
      <c r="P474" s="475"/>
      <c r="Q474" s="64"/>
      <c r="R474" s="64"/>
      <c r="S474" s="64"/>
      <c r="T474" s="55"/>
      <c r="U474" s="565"/>
      <c r="V474" s="523"/>
    </row>
    <row r="475" spans="1:22" s="6" customFormat="1" outlineLevel="2" x14ac:dyDescent="0.2">
      <c r="A475" s="448" t="s">
        <v>742</v>
      </c>
      <c r="B475" s="3" t="s">
        <v>428</v>
      </c>
      <c r="C475" s="3" t="s">
        <v>427</v>
      </c>
      <c r="D475" s="3" t="s">
        <v>17</v>
      </c>
      <c r="E475" s="3" t="s">
        <v>399</v>
      </c>
      <c r="F475" s="473">
        <v>111</v>
      </c>
      <c r="G475" s="54">
        <v>111</v>
      </c>
      <c r="H475" s="54">
        <v>111</v>
      </c>
      <c r="I475" s="55">
        <f t="shared" si="22"/>
        <v>1</v>
      </c>
      <c r="J475" s="474">
        <v>0</v>
      </c>
      <c r="K475" s="488">
        <v>300</v>
      </c>
      <c r="L475" s="52">
        <v>0</v>
      </c>
      <c r="M475" s="52">
        <v>0</v>
      </c>
      <c r="N475" s="53">
        <f t="shared" si="23"/>
        <v>0</v>
      </c>
      <c r="O475" s="96">
        <v>0</v>
      </c>
      <c r="P475" s="475"/>
      <c r="Q475" s="64"/>
      <c r="R475" s="64"/>
      <c r="S475" s="64"/>
      <c r="T475" s="55"/>
      <c r="U475" s="565"/>
      <c r="V475" s="523"/>
    </row>
    <row r="476" spans="1:22" s="6" customFormat="1" outlineLevel="2" x14ac:dyDescent="0.2">
      <c r="A476" s="448" t="s">
        <v>742</v>
      </c>
      <c r="B476" s="3" t="s">
        <v>429</v>
      </c>
      <c r="C476" s="3" t="s">
        <v>427</v>
      </c>
      <c r="D476" s="3" t="s">
        <v>246</v>
      </c>
      <c r="E476" s="3" t="s">
        <v>399</v>
      </c>
      <c r="F476" s="473">
        <v>230</v>
      </c>
      <c r="G476" s="54">
        <v>413</v>
      </c>
      <c r="H476" s="54">
        <v>412.82</v>
      </c>
      <c r="I476" s="55">
        <f t="shared" si="22"/>
        <v>1.7948695652173914</v>
      </c>
      <c r="J476" s="474">
        <v>0.18</v>
      </c>
      <c r="K476" s="488">
        <v>400</v>
      </c>
      <c r="L476" s="52">
        <v>0</v>
      </c>
      <c r="M476" s="52">
        <v>0</v>
      </c>
      <c r="N476" s="53">
        <f t="shared" si="23"/>
        <v>0</v>
      </c>
      <c r="O476" s="96">
        <v>0</v>
      </c>
      <c r="P476" s="475"/>
      <c r="Q476" s="64"/>
      <c r="R476" s="64"/>
      <c r="S476" s="64"/>
      <c r="T476" s="55"/>
      <c r="U476" s="565"/>
      <c r="V476" s="523"/>
    </row>
    <row r="477" spans="1:22" s="6" customFormat="1" outlineLevel="2" x14ac:dyDescent="0.2">
      <c r="A477" s="448" t="s">
        <v>742</v>
      </c>
      <c r="B477" s="3" t="s">
        <v>430</v>
      </c>
      <c r="C477" s="3" t="s">
        <v>427</v>
      </c>
      <c r="D477" s="3" t="s">
        <v>409</v>
      </c>
      <c r="E477" s="3" t="s">
        <v>399</v>
      </c>
      <c r="F477" s="473">
        <v>465</v>
      </c>
      <c r="G477" s="54">
        <v>465</v>
      </c>
      <c r="H477" s="54">
        <v>125.74</v>
      </c>
      <c r="I477" s="55">
        <f t="shared" si="22"/>
        <v>0.27040860215053764</v>
      </c>
      <c r="J477" s="474">
        <v>339.26</v>
      </c>
      <c r="K477" s="488">
        <v>600</v>
      </c>
      <c r="L477" s="52">
        <v>600</v>
      </c>
      <c r="M477" s="52">
        <v>0</v>
      </c>
      <c r="N477" s="53">
        <f t="shared" si="23"/>
        <v>0</v>
      </c>
      <c r="O477" s="96">
        <v>600</v>
      </c>
      <c r="P477" s="473">
        <v>600</v>
      </c>
      <c r="Q477" s="54">
        <v>600</v>
      </c>
      <c r="R477" s="54">
        <v>600</v>
      </c>
      <c r="S477" s="54">
        <v>0</v>
      </c>
      <c r="T477" s="55">
        <f t="shared" si="24"/>
        <v>1</v>
      </c>
      <c r="U477" s="564">
        <v>0</v>
      </c>
      <c r="V477" s="523"/>
    </row>
    <row r="478" spans="1:22" s="6" customFormat="1" outlineLevel="2" x14ac:dyDescent="0.2">
      <c r="A478" s="448" t="s">
        <v>742</v>
      </c>
      <c r="B478" s="3" t="s">
        <v>441</v>
      </c>
      <c r="C478" s="3" t="s">
        <v>440</v>
      </c>
      <c r="D478" s="3" t="s">
        <v>246</v>
      </c>
      <c r="E478" s="3" t="s">
        <v>399</v>
      </c>
      <c r="F478" s="473">
        <v>70</v>
      </c>
      <c r="G478" s="54">
        <v>183</v>
      </c>
      <c r="H478" s="54">
        <v>182.11</v>
      </c>
      <c r="I478" s="55">
        <f t="shared" si="22"/>
        <v>2.6015714285714289</v>
      </c>
      <c r="J478" s="474">
        <v>0.89</v>
      </c>
      <c r="K478" s="488">
        <v>70</v>
      </c>
      <c r="L478" s="52">
        <v>0</v>
      </c>
      <c r="M478" s="52">
        <v>0</v>
      </c>
      <c r="N478" s="53">
        <f t="shared" si="23"/>
        <v>0</v>
      </c>
      <c r="O478" s="96">
        <v>0</v>
      </c>
      <c r="P478" s="475"/>
      <c r="Q478" s="64"/>
      <c r="R478" s="64"/>
      <c r="S478" s="64"/>
      <c r="T478" s="55"/>
      <c r="U478" s="565"/>
      <c r="V478" s="523"/>
    </row>
    <row r="479" spans="1:22" s="6" customFormat="1" outlineLevel="2" x14ac:dyDescent="0.2">
      <c r="A479" s="448" t="s">
        <v>742</v>
      </c>
      <c r="B479" s="3" t="s">
        <v>442</v>
      </c>
      <c r="C479" s="3" t="s">
        <v>443</v>
      </c>
      <c r="D479" s="3" t="s">
        <v>17</v>
      </c>
      <c r="E479" s="3" t="s">
        <v>444</v>
      </c>
      <c r="F479" s="475"/>
      <c r="G479" s="64"/>
      <c r="H479" s="64"/>
      <c r="I479" s="55"/>
      <c r="J479" s="476"/>
      <c r="K479" s="489"/>
      <c r="L479" s="65"/>
      <c r="M479" s="65"/>
      <c r="N479" s="53"/>
      <c r="O479" s="97"/>
      <c r="P479" s="473">
        <v>0</v>
      </c>
      <c r="Q479" s="54">
        <v>1845</v>
      </c>
      <c r="R479" s="54">
        <v>506.92</v>
      </c>
      <c r="S479" s="54">
        <v>1338.08</v>
      </c>
      <c r="T479" s="55">
        <v>0</v>
      </c>
      <c r="U479" s="564">
        <v>0</v>
      </c>
      <c r="V479" s="523"/>
    </row>
    <row r="480" spans="1:22" s="6" customFormat="1" outlineLevel="2" x14ac:dyDescent="0.2">
      <c r="A480" s="448" t="s">
        <v>742</v>
      </c>
      <c r="B480" s="3" t="s">
        <v>446</v>
      </c>
      <c r="C480" s="3" t="s">
        <v>443</v>
      </c>
      <c r="D480" s="3" t="s">
        <v>17</v>
      </c>
      <c r="E480" s="3" t="s">
        <v>444</v>
      </c>
      <c r="F480" s="475"/>
      <c r="G480" s="64"/>
      <c r="H480" s="64"/>
      <c r="I480" s="55"/>
      <c r="J480" s="476"/>
      <c r="K480" s="489"/>
      <c r="L480" s="65"/>
      <c r="M480" s="65"/>
      <c r="N480" s="53"/>
      <c r="O480" s="97"/>
      <c r="P480" s="473">
        <v>2845</v>
      </c>
      <c r="Q480" s="54">
        <v>0</v>
      </c>
      <c r="R480" s="54">
        <v>28.26</v>
      </c>
      <c r="S480" s="54">
        <v>0</v>
      </c>
      <c r="T480" s="55">
        <f t="shared" si="24"/>
        <v>9.9332161687170472E-3</v>
      </c>
      <c r="U480" s="564">
        <v>-28.26</v>
      </c>
      <c r="V480" s="523"/>
    </row>
    <row r="481" spans="1:22" s="6" customFormat="1" outlineLevel="2" x14ac:dyDescent="0.2">
      <c r="A481" s="448" t="s">
        <v>742</v>
      </c>
      <c r="B481" s="3" t="s">
        <v>445</v>
      </c>
      <c r="C481" s="3" t="s">
        <v>443</v>
      </c>
      <c r="D481" s="3" t="s">
        <v>246</v>
      </c>
      <c r="E481" s="3" t="s">
        <v>444</v>
      </c>
      <c r="F481" s="475"/>
      <c r="G481" s="64"/>
      <c r="H481" s="64"/>
      <c r="I481" s="55"/>
      <c r="J481" s="476"/>
      <c r="K481" s="489"/>
      <c r="L481" s="65"/>
      <c r="M481" s="65"/>
      <c r="N481" s="53"/>
      <c r="O481" s="97"/>
      <c r="P481" s="473">
        <v>0</v>
      </c>
      <c r="Q481" s="54">
        <v>0</v>
      </c>
      <c r="R481" s="54">
        <v>0</v>
      </c>
      <c r="S481" s="54">
        <v>0</v>
      </c>
      <c r="T481" s="55"/>
      <c r="U481" s="564">
        <v>0</v>
      </c>
      <c r="V481" s="523"/>
    </row>
    <row r="482" spans="1:22" s="6" customFormat="1" outlineLevel="2" x14ac:dyDescent="0.2">
      <c r="A482" s="448" t="s">
        <v>742</v>
      </c>
      <c r="B482" s="3" t="s">
        <v>447</v>
      </c>
      <c r="C482" s="3" t="s">
        <v>443</v>
      </c>
      <c r="D482" s="3" t="s">
        <v>246</v>
      </c>
      <c r="E482" s="3" t="s">
        <v>444</v>
      </c>
      <c r="F482" s="475"/>
      <c r="G482" s="64"/>
      <c r="H482" s="64"/>
      <c r="I482" s="55"/>
      <c r="J482" s="476"/>
      <c r="K482" s="489"/>
      <c r="L482" s="65"/>
      <c r="M482" s="65"/>
      <c r="N482" s="53"/>
      <c r="O482" s="97"/>
      <c r="P482" s="473">
        <v>0</v>
      </c>
      <c r="Q482" s="54">
        <v>8415</v>
      </c>
      <c r="R482" s="54">
        <v>5743.46</v>
      </c>
      <c r="S482" s="54">
        <v>0</v>
      </c>
      <c r="T482" s="55">
        <v>0</v>
      </c>
      <c r="U482" s="564">
        <v>2671.54</v>
      </c>
      <c r="V482" s="523"/>
    </row>
    <row r="483" spans="1:22" s="6" customFormat="1" outlineLevel="2" x14ac:dyDescent="0.2">
      <c r="A483" s="448" t="s">
        <v>742</v>
      </c>
      <c r="B483" s="3" t="s">
        <v>448</v>
      </c>
      <c r="C483" s="3" t="s">
        <v>443</v>
      </c>
      <c r="D483" s="3" t="s">
        <v>19</v>
      </c>
      <c r="E483" s="3" t="s">
        <v>444</v>
      </c>
      <c r="F483" s="473">
        <v>300</v>
      </c>
      <c r="G483" s="54">
        <v>300</v>
      </c>
      <c r="H483" s="54">
        <v>226.01</v>
      </c>
      <c r="I483" s="55">
        <f t="shared" si="22"/>
        <v>0.75336666666666663</v>
      </c>
      <c r="J483" s="474">
        <v>73.989999999999995</v>
      </c>
      <c r="K483" s="488">
        <v>300</v>
      </c>
      <c r="L483" s="52">
        <v>300</v>
      </c>
      <c r="M483" s="52">
        <v>504.78</v>
      </c>
      <c r="N483" s="53">
        <f t="shared" si="23"/>
        <v>1.6825999999999999</v>
      </c>
      <c r="O483" s="96">
        <v>-204.78</v>
      </c>
      <c r="P483" s="473">
        <v>0</v>
      </c>
      <c r="Q483" s="54">
        <v>1000</v>
      </c>
      <c r="R483" s="54">
        <v>36.409999999999997</v>
      </c>
      <c r="S483" s="54">
        <v>957.59</v>
      </c>
      <c r="T483" s="55">
        <v>0</v>
      </c>
      <c r="U483" s="564">
        <v>6</v>
      </c>
      <c r="V483" s="523"/>
    </row>
    <row r="484" spans="1:22" s="6" customFormat="1" outlineLevel="2" x14ac:dyDescent="0.2">
      <c r="A484" s="448" t="s">
        <v>742</v>
      </c>
      <c r="B484" s="3" t="s">
        <v>449</v>
      </c>
      <c r="C484" s="3" t="s">
        <v>443</v>
      </c>
      <c r="D484" s="3" t="s">
        <v>23</v>
      </c>
      <c r="E484" s="3" t="s">
        <v>444</v>
      </c>
      <c r="F484" s="475"/>
      <c r="G484" s="64"/>
      <c r="H484" s="64"/>
      <c r="I484" s="55"/>
      <c r="J484" s="476"/>
      <c r="K484" s="489"/>
      <c r="L484" s="65"/>
      <c r="M484" s="65"/>
      <c r="N484" s="53"/>
      <c r="O484" s="97"/>
      <c r="P484" s="473">
        <v>8415</v>
      </c>
      <c r="Q484" s="54">
        <v>0</v>
      </c>
      <c r="R484" s="54">
        <v>0</v>
      </c>
      <c r="S484" s="54">
        <v>0</v>
      </c>
      <c r="T484" s="55">
        <f t="shared" si="24"/>
        <v>0</v>
      </c>
      <c r="U484" s="564">
        <v>0</v>
      </c>
      <c r="V484" s="523"/>
    </row>
    <row r="485" spans="1:22" s="6" customFormat="1" outlineLevel="2" x14ac:dyDescent="0.2">
      <c r="A485" s="448" t="s">
        <v>742</v>
      </c>
      <c r="B485" s="3" t="s">
        <v>451</v>
      </c>
      <c r="C485" s="3" t="s">
        <v>450</v>
      </c>
      <c r="D485" s="3" t="s">
        <v>17</v>
      </c>
      <c r="E485" s="3" t="s">
        <v>444</v>
      </c>
      <c r="F485" s="473">
        <v>450</v>
      </c>
      <c r="G485" s="54">
        <v>1779</v>
      </c>
      <c r="H485" s="54">
        <v>1775.49</v>
      </c>
      <c r="I485" s="55">
        <f t="shared" si="22"/>
        <v>3.9455333333333336</v>
      </c>
      <c r="J485" s="474">
        <v>3.51</v>
      </c>
      <c r="K485" s="488">
        <v>450</v>
      </c>
      <c r="L485" s="52">
        <v>450</v>
      </c>
      <c r="M485" s="52">
        <v>448.77</v>
      </c>
      <c r="N485" s="53">
        <f t="shared" si="23"/>
        <v>0.99726666666666663</v>
      </c>
      <c r="O485" s="96">
        <f>450-448.77</f>
        <v>1.2300000000000182</v>
      </c>
      <c r="P485" s="475"/>
      <c r="Q485" s="64"/>
      <c r="R485" s="64"/>
      <c r="S485" s="64"/>
      <c r="T485" s="55"/>
      <c r="U485" s="565"/>
      <c r="V485" s="523"/>
    </row>
    <row r="486" spans="1:22" s="6" customFormat="1" outlineLevel="2" x14ac:dyDescent="0.2">
      <c r="A486" s="448" t="s">
        <v>742</v>
      </c>
      <c r="B486" s="3" t="s">
        <v>452</v>
      </c>
      <c r="C486" s="3" t="s">
        <v>450</v>
      </c>
      <c r="D486" s="3" t="s">
        <v>246</v>
      </c>
      <c r="E486" s="3" t="s">
        <v>444</v>
      </c>
      <c r="F486" s="473">
        <v>3800</v>
      </c>
      <c r="G486" s="54">
        <v>5249</v>
      </c>
      <c r="H486" s="54">
        <v>5248.14</v>
      </c>
      <c r="I486" s="55">
        <f t="shared" si="22"/>
        <v>1.3810894736842105</v>
      </c>
      <c r="J486" s="474">
        <v>0.86</v>
      </c>
      <c r="K486" s="488">
        <v>3800</v>
      </c>
      <c r="L486" s="52">
        <v>0</v>
      </c>
      <c r="M486" s="52">
        <v>0</v>
      </c>
      <c r="N486" s="53">
        <f t="shared" si="23"/>
        <v>0</v>
      </c>
      <c r="O486" s="96">
        <v>0</v>
      </c>
      <c r="P486" s="475"/>
      <c r="Q486" s="64"/>
      <c r="R486" s="64"/>
      <c r="S486" s="64"/>
      <c r="T486" s="55"/>
      <c r="U486" s="565"/>
      <c r="V486" s="523"/>
    </row>
    <row r="487" spans="1:22" s="6" customFormat="1" outlineLevel="2" x14ac:dyDescent="0.2">
      <c r="A487" s="448" t="s">
        <v>742</v>
      </c>
      <c r="B487" s="3" t="s">
        <v>453</v>
      </c>
      <c r="C487" s="3" t="s">
        <v>450</v>
      </c>
      <c r="D487" s="3" t="s">
        <v>334</v>
      </c>
      <c r="E487" s="3" t="s">
        <v>444</v>
      </c>
      <c r="F487" s="473">
        <v>625</v>
      </c>
      <c r="G487" s="54">
        <v>0</v>
      </c>
      <c r="H487" s="54">
        <v>0</v>
      </c>
      <c r="I487" s="55">
        <f t="shared" si="22"/>
        <v>0</v>
      </c>
      <c r="J487" s="474">
        <v>0</v>
      </c>
      <c r="K487" s="489"/>
      <c r="L487" s="65"/>
      <c r="M487" s="65"/>
      <c r="N487" s="53"/>
      <c r="O487" s="97"/>
      <c r="P487" s="475"/>
      <c r="Q487" s="64"/>
      <c r="R487" s="64"/>
      <c r="S487" s="64"/>
      <c r="T487" s="55"/>
      <c r="U487" s="565"/>
      <c r="V487" s="523"/>
    </row>
    <row r="488" spans="1:22" s="6" customFormat="1" outlineLevel="2" x14ac:dyDescent="0.2">
      <c r="A488" s="448" t="s">
        <v>742</v>
      </c>
      <c r="B488" s="3" t="s">
        <v>454</v>
      </c>
      <c r="C488" s="3" t="s">
        <v>450</v>
      </c>
      <c r="D488" s="3" t="s">
        <v>405</v>
      </c>
      <c r="E488" s="3" t="s">
        <v>444</v>
      </c>
      <c r="F488" s="473">
        <v>725</v>
      </c>
      <c r="G488" s="54">
        <v>91</v>
      </c>
      <c r="H488" s="54">
        <v>90.27</v>
      </c>
      <c r="I488" s="55">
        <f t="shared" si="22"/>
        <v>0.1245103448275862</v>
      </c>
      <c r="J488" s="474">
        <v>0.73</v>
      </c>
      <c r="K488" s="488">
        <v>725</v>
      </c>
      <c r="L488" s="52">
        <v>0</v>
      </c>
      <c r="M488" s="52">
        <v>0</v>
      </c>
      <c r="N488" s="53">
        <f t="shared" si="23"/>
        <v>0</v>
      </c>
      <c r="O488" s="96">
        <v>0</v>
      </c>
      <c r="P488" s="475"/>
      <c r="Q488" s="64"/>
      <c r="R488" s="64"/>
      <c r="S488" s="64"/>
      <c r="T488" s="55"/>
      <c r="U488" s="565"/>
      <c r="V488" s="523"/>
    </row>
    <row r="489" spans="1:22" s="6" customFormat="1" outlineLevel="2" x14ac:dyDescent="0.2">
      <c r="A489" s="448" t="s">
        <v>742</v>
      </c>
      <c r="B489" s="3" t="s">
        <v>493</v>
      </c>
      <c r="C489" s="3" t="s">
        <v>491</v>
      </c>
      <c r="D489" s="3" t="s">
        <v>17</v>
      </c>
      <c r="E489" s="3" t="s">
        <v>492</v>
      </c>
      <c r="F489" s="473">
        <v>278</v>
      </c>
      <c r="G489" s="54">
        <v>694</v>
      </c>
      <c r="H489" s="54">
        <v>690.69</v>
      </c>
      <c r="I489" s="55">
        <f t="shared" si="22"/>
        <v>2.4844964028776979</v>
      </c>
      <c r="J489" s="474">
        <v>3.31</v>
      </c>
      <c r="K489" s="488">
        <v>0</v>
      </c>
      <c r="L489" s="52">
        <v>777</v>
      </c>
      <c r="M489" s="52">
        <v>1463.87</v>
      </c>
      <c r="N489" s="53">
        <v>0</v>
      </c>
      <c r="O489" s="96">
        <f>777-1463.87</f>
        <v>-686.86999999999989</v>
      </c>
      <c r="P489" s="473">
        <v>1741</v>
      </c>
      <c r="Q489" s="54">
        <v>0</v>
      </c>
      <c r="R489" s="54">
        <v>0</v>
      </c>
      <c r="S489" s="54">
        <v>0</v>
      </c>
      <c r="T489" s="55">
        <f t="shared" si="24"/>
        <v>0</v>
      </c>
      <c r="U489" s="564">
        <v>0</v>
      </c>
      <c r="V489" s="523"/>
    </row>
    <row r="490" spans="1:22" s="6" customFormat="1" outlineLevel="2" x14ac:dyDescent="0.2">
      <c r="A490" s="448" t="s">
        <v>742</v>
      </c>
      <c r="B490" s="3" t="s">
        <v>490</v>
      </c>
      <c r="C490" s="3" t="s">
        <v>491</v>
      </c>
      <c r="D490" s="3" t="s">
        <v>246</v>
      </c>
      <c r="E490" s="3" t="s">
        <v>492</v>
      </c>
      <c r="F490" s="475"/>
      <c r="G490" s="64"/>
      <c r="H490" s="64"/>
      <c r="I490" s="55"/>
      <c r="J490" s="476"/>
      <c r="K490" s="489"/>
      <c r="L490" s="65"/>
      <c r="M490" s="65"/>
      <c r="N490" s="53"/>
      <c r="O490" s="97"/>
      <c r="P490" s="473">
        <v>0</v>
      </c>
      <c r="Q490" s="54">
        <v>0</v>
      </c>
      <c r="R490" s="54">
        <v>132.91999999999999</v>
      </c>
      <c r="S490" s="54">
        <v>0</v>
      </c>
      <c r="T490" s="55">
        <v>0</v>
      </c>
      <c r="U490" s="564">
        <v>-132.91999999999999</v>
      </c>
      <c r="V490" s="523"/>
    </row>
    <row r="491" spans="1:22" s="6" customFormat="1" outlineLevel="2" x14ac:dyDescent="0.2">
      <c r="A491" s="448" t="s">
        <v>742</v>
      </c>
      <c r="B491" s="3" t="s">
        <v>494</v>
      </c>
      <c r="C491" s="3" t="s">
        <v>491</v>
      </c>
      <c r="D491" s="3" t="s">
        <v>246</v>
      </c>
      <c r="E491" s="3" t="s">
        <v>492</v>
      </c>
      <c r="F491" s="475"/>
      <c r="G491" s="64"/>
      <c r="H491" s="64"/>
      <c r="I491" s="55"/>
      <c r="J491" s="476"/>
      <c r="K491" s="488">
        <v>0</v>
      </c>
      <c r="L491" s="52">
        <v>0</v>
      </c>
      <c r="M491" s="52">
        <v>0</v>
      </c>
      <c r="N491" s="53"/>
      <c r="O491" s="96">
        <v>0</v>
      </c>
      <c r="P491" s="473">
        <v>4503</v>
      </c>
      <c r="Q491" s="54">
        <v>4503</v>
      </c>
      <c r="R491" s="54">
        <v>4435.12</v>
      </c>
      <c r="S491" s="54">
        <v>0</v>
      </c>
      <c r="T491" s="55">
        <f t="shared" si="24"/>
        <v>0.9849256051521208</v>
      </c>
      <c r="U491" s="564">
        <v>67.88</v>
      </c>
      <c r="V491" s="523"/>
    </row>
    <row r="492" spans="1:22" s="6" customFormat="1" outlineLevel="2" x14ac:dyDescent="0.2">
      <c r="A492" s="448" t="s">
        <v>742</v>
      </c>
      <c r="B492" s="3" t="s">
        <v>496</v>
      </c>
      <c r="C492" s="3" t="s">
        <v>495</v>
      </c>
      <c r="D492" s="3" t="s">
        <v>17</v>
      </c>
      <c r="E492" s="3" t="s">
        <v>492</v>
      </c>
      <c r="F492" s="475"/>
      <c r="G492" s="64"/>
      <c r="H492" s="64"/>
      <c r="I492" s="55"/>
      <c r="J492" s="476"/>
      <c r="K492" s="488">
        <v>50</v>
      </c>
      <c r="L492" s="52">
        <v>0</v>
      </c>
      <c r="M492" s="52">
        <v>0</v>
      </c>
      <c r="N492" s="53">
        <f t="shared" si="23"/>
        <v>0</v>
      </c>
      <c r="O492" s="96">
        <v>0</v>
      </c>
      <c r="P492" s="475"/>
      <c r="Q492" s="64"/>
      <c r="R492" s="64"/>
      <c r="S492" s="64"/>
      <c r="T492" s="55"/>
      <c r="U492" s="565"/>
      <c r="V492" s="523"/>
    </row>
    <row r="493" spans="1:22" s="6" customFormat="1" outlineLevel="2" x14ac:dyDescent="0.2">
      <c r="A493" s="448" t="s">
        <v>742</v>
      </c>
      <c r="B493" s="3" t="s">
        <v>497</v>
      </c>
      <c r="C493" s="3" t="s">
        <v>495</v>
      </c>
      <c r="D493" s="3" t="s">
        <v>246</v>
      </c>
      <c r="E493" s="3" t="s">
        <v>492</v>
      </c>
      <c r="F493" s="473">
        <v>50</v>
      </c>
      <c r="G493" s="54">
        <v>286</v>
      </c>
      <c r="H493" s="54">
        <v>285</v>
      </c>
      <c r="I493" s="55">
        <f t="shared" si="22"/>
        <v>5.7</v>
      </c>
      <c r="J493" s="474">
        <v>1</v>
      </c>
      <c r="K493" s="488">
        <v>50</v>
      </c>
      <c r="L493" s="52">
        <v>0</v>
      </c>
      <c r="M493" s="52">
        <v>0</v>
      </c>
      <c r="N493" s="53">
        <f t="shared" si="23"/>
        <v>0</v>
      </c>
      <c r="O493" s="96">
        <v>0</v>
      </c>
      <c r="P493" s="475"/>
      <c r="Q493" s="64"/>
      <c r="R493" s="64"/>
      <c r="S493" s="64"/>
      <c r="T493" s="55"/>
      <c r="U493" s="565"/>
      <c r="V493" s="523"/>
    </row>
    <row r="494" spans="1:22" s="6" customFormat="1" outlineLevel="2" x14ac:dyDescent="0.2">
      <c r="A494" s="448" t="s">
        <v>742</v>
      </c>
      <c r="B494" s="3" t="s">
        <v>499</v>
      </c>
      <c r="C494" s="3" t="s">
        <v>498</v>
      </c>
      <c r="D494" s="3" t="s">
        <v>17</v>
      </c>
      <c r="E494" s="3" t="s">
        <v>492</v>
      </c>
      <c r="F494" s="473">
        <v>32</v>
      </c>
      <c r="G494" s="54">
        <v>0</v>
      </c>
      <c r="H494" s="54">
        <v>0</v>
      </c>
      <c r="I494" s="55">
        <f t="shared" si="22"/>
        <v>0</v>
      </c>
      <c r="J494" s="474">
        <v>0</v>
      </c>
      <c r="K494" s="488">
        <v>32</v>
      </c>
      <c r="L494" s="52">
        <v>0</v>
      </c>
      <c r="M494" s="52">
        <v>0</v>
      </c>
      <c r="N494" s="53">
        <f t="shared" si="23"/>
        <v>0</v>
      </c>
      <c r="O494" s="96">
        <v>0</v>
      </c>
      <c r="P494" s="475"/>
      <c r="Q494" s="64"/>
      <c r="R494" s="64"/>
      <c r="S494" s="64"/>
      <c r="T494" s="55"/>
      <c r="U494" s="565"/>
      <c r="V494" s="523"/>
    </row>
    <row r="495" spans="1:22" s="6" customFormat="1" outlineLevel="2" x14ac:dyDescent="0.2">
      <c r="A495" s="448" t="s">
        <v>742</v>
      </c>
      <c r="B495" s="3" t="s">
        <v>500</v>
      </c>
      <c r="C495" s="3" t="s">
        <v>498</v>
      </c>
      <c r="D495" s="3" t="s">
        <v>246</v>
      </c>
      <c r="E495" s="3" t="s">
        <v>492</v>
      </c>
      <c r="F495" s="473">
        <v>276</v>
      </c>
      <c r="G495" s="54">
        <v>393</v>
      </c>
      <c r="H495" s="54">
        <v>392.76</v>
      </c>
      <c r="I495" s="55">
        <f t="shared" si="22"/>
        <v>1.4230434782608696</v>
      </c>
      <c r="J495" s="474">
        <v>0.24</v>
      </c>
      <c r="K495" s="488">
        <v>276</v>
      </c>
      <c r="L495" s="52">
        <v>0</v>
      </c>
      <c r="M495" s="52">
        <v>0</v>
      </c>
      <c r="N495" s="53">
        <f t="shared" si="23"/>
        <v>0</v>
      </c>
      <c r="O495" s="96">
        <v>0</v>
      </c>
      <c r="P495" s="475"/>
      <c r="Q495" s="64"/>
      <c r="R495" s="64"/>
      <c r="S495" s="64"/>
      <c r="T495" s="55"/>
      <c r="U495" s="565"/>
      <c r="V495" s="523"/>
    </row>
    <row r="496" spans="1:22" s="6" customFormat="1" outlineLevel="2" x14ac:dyDescent="0.2">
      <c r="A496" s="448" t="s">
        <v>742</v>
      </c>
      <c r="B496" s="3" t="s">
        <v>502</v>
      </c>
      <c r="C496" s="3" t="s">
        <v>501</v>
      </c>
      <c r="D496" s="3" t="s">
        <v>17</v>
      </c>
      <c r="E496" s="3" t="s">
        <v>492</v>
      </c>
      <c r="F496" s="473">
        <v>60</v>
      </c>
      <c r="G496" s="54">
        <v>0</v>
      </c>
      <c r="H496" s="54">
        <v>0</v>
      </c>
      <c r="I496" s="55">
        <f t="shared" si="22"/>
        <v>0</v>
      </c>
      <c r="J496" s="474">
        <v>0</v>
      </c>
      <c r="K496" s="488">
        <v>60</v>
      </c>
      <c r="L496" s="52">
        <v>0</v>
      </c>
      <c r="M496" s="52">
        <v>0</v>
      </c>
      <c r="N496" s="53">
        <f t="shared" si="23"/>
        <v>0</v>
      </c>
      <c r="O496" s="96">
        <v>0</v>
      </c>
      <c r="P496" s="475"/>
      <c r="Q496" s="64"/>
      <c r="R496" s="64"/>
      <c r="S496" s="64"/>
      <c r="T496" s="55"/>
      <c r="U496" s="565"/>
      <c r="V496" s="523"/>
    </row>
    <row r="497" spans="1:22" s="6" customFormat="1" outlineLevel="2" x14ac:dyDescent="0.2">
      <c r="A497" s="448" t="s">
        <v>742</v>
      </c>
      <c r="B497" s="3" t="s">
        <v>503</v>
      </c>
      <c r="C497" s="3" t="s">
        <v>501</v>
      </c>
      <c r="D497" s="3" t="s">
        <v>246</v>
      </c>
      <c r="E497" s="3" t="s">
        <v>492</v>
      </c>
      <c r="F497" s="473">
        <v>518</v>
      </c>
      <c r="G497" s="54">
        <v>1024</v>
      </c>
      <c r="H497" s="54">
        <v>1023.44</v>
      </c>
      <c r="I497" s="55">
        <f t="shared" si="22"/>
        <v>1.9757528957528958</v>
      </c>
      <c r="J497" s="474">
        <v>0.56000000000000005</v>
      </c>
      <c r="K497" s="488">
        <v>518</v>
      </c>
      <c r="L497" s="52">
        <v>0</v>
      </c>
      <c r="M497" s="52">
        <v>0</v>
      </c>
      <c r="N497" s="53">
        <f t="shared" si="23"/>
        <v>0</v>
      </c>
      <c r="O497" s="96">
        <v>0</v>
      </c>
      <c r="P497" s="475"/>
      <c r="Q497" s="64"/>
      <c r="R497" s="64"/>
      <c r="S497" s="64"/>
      <c r="T497" s="55"/>
      <c r="U497" s="565"/>
      <c r="V497" s="523"/>
    </row>
    <row r="498" spans="1:22" s="6" customFormat="1" outlineLevel="2" x14ac:dyDescent="0.2">
      <c r="A498" s="448" t="s">
        <v>742</v>
      </c>
      <c r="B498" s="3" t="s">
        <v>505</v>
      </c>
      <c r="C498" s="3" t="s">
        <v>504</v>
      </c>
      <c r="D498" s="3" t="s">
        <v>17</v>
      </c>
      <c r="E498" s="3" t="s">
        <v>492</v>
      </c>
      <c r="F498" s="473">
        <v>113</v>
      </c>
      <c r="G498" s="54">
        <v>113</v>
      </c>
      <c r="H498" s="54">
        <v>110.04</v>
      </c>
      <c r="I498" s="55">
        <f t="shared" si="22"/>
        <v>0.97380530973451329</v>
      </c>
      <c r="J498" s="474">
        <v>2.96</v>
      </c>
      <c r="K498" s="488">
        <v>113</v>
      </c>
      <c r="L498" s="52">
        <v>0</v>
      </c>
      <c r="M498" s="52">
        <v>0</v>
      </c>
      <c r="N498" s="53">
        <f t="shared" si="23"/>
        <v>0</v>
      </c>
      <c r="O498" s="96">
        <v>0</v>
      </c>
      <c r="P498" s="475"/>
      <c r="Q498" s="64"/>
      <c r="R498" s="64"/>
      <c r="S498" s="64"/>
      <c r="T498" s="55"/>
      <c r="U498" s="565"/>
      <c r="V498" s="523"/>
    </row>
    <row r="499" spans="1:22" s="6" customFormat="1" outlineLevel="2" x14ac:dyDescent="0.2">
      <c r="A499" s="448" t="s">
        <v>742</v>
      </c>
      <c r="B499" s="3" t="s">
        <v>506</v>
      </c>
      <c r="C499" s="3" t="s">
        <v>504</v>
      </c>
      <c r="D499" s="3" t="s">
        <v>246</v>
      </c>
      <c r="E499" s="3" t="s">
        <v>492</v>
      </c>
      <c r="F499" s="473">
        <v>138</v>
      </c>
      <c r="G499" s="54">
        <v>305</v>
      </c>
      <c r="H499" s="54">
        <v>303.8</v>
      </c>
      <c r="I499" s="55">
        <f t="shared" si="22"/>
        <v>2.2014492753623189</v>
      </c>
      <c r="J499" s="474">
        <v>1.2</v>
      </c>
      <c r="K499" s="488">
        <v>138</v>
      </c>
      <c r="L499" s="52">
        <v>0</v>
      </c>
      <c r="M499" s="52">
        <v>0</v>
      </c>
      <c r="N499" s="53">
        <f t="shared" si="23"/>
        <v>0</v>
      </c>
      <c r="O499" s="96">
        <v>0</v>
      </c>
      <c r="P499" s="475"/>
      <c r="Q499" s="64"/>
      <c r="R499" s="64"/>
      <c r="S499" s="64"/>
      <c r="T499" s="55"/>
      <c r="U499" s="565"/>
      <c r="V499" s="523"/>
    </row>
    <row r="500" spans="1:22" s="6" customFormat="1" outlineLevel="2" x14ac:dyDescent="0.2">
      <c r="A500" s="448" t="s">
        <v>742</v>
      </c>
      <c r="B500" s="3" t="s">
        <v>508</v>
      </c>
      <c r="C500" s="3" t="s">
        <v>507</v>
      </c>
      <c r="D500" s="3" t="s">
        <v>17</v>
      </c>
      <c r="E500" s="3" t="s">
        <v>492</v>
      </c>
      <c r="F500" s="473">
        <v>59</v>
      </c>
      <c r="G500" s="54">
        <v>18</v>
      </c>
      <c r="H500" s="54">
        <v>17.8</v>
      </c>
      <c r="I500" s="55">
        <f t="shared" si="22"/>
        <v>0.30169491525423731</v>
      </c>
      <c r="J500" s="474">
        <v>0.2</v>
      </c>
      <c r="K500" s="488">
        <v>59</v>
      </c>
      <c r="L500" s="52">
        <v>5</v>
      </c>
      <c r="M500" s="52">
        <v>4.51</v>
      </c>
      <c r="N500" s="53">
        <f t="shared" si="23"/>
        <v>7.6440677966101697E-2</v>
      </c>
      <c r="O500" s="96">
        <f>5-4.51</f>
        <v>0.49000000000000021</v>
      </c>
      <c r="P500" s="475"/>
      <c r="Q500" s="64"/>
      <c r="R500" s="64"/>
      <c r="S500" s="64"/>
      <c r="T500" s="55"/>
      <c r="U500" s="565"/>
      <c r="V500" s="523"/>
    </row>
    <row r="501" spans="1:22" s="6" customFormat="1" outlineLevel="2" x14ac:dyDescent="0.2">
      <c r="A501" s="448" t="s">
        <v>742</v>
      </c>
      <c r="B501" s="3" t="s">
        <v>509</v>
      </c>
      <c r="C501" s="3" t="s">
        <v>507</v>
      </c>
      <c r="D501" s="3" t="s">
        <v>246</v>
      </c>
      <c r="E501" s="3" t="s">
        <v>492</v>
      </c>
      <c r="F501" s="473">
        <v>345</v>
      </c>
      <c r="G501" s="54">
        <v>517</v>
      </c>
      <c r="H501" s="54">
        <v>516.4</v>
      </c>
      <c r="I501" s="55">
        <f t="shared" si="22"/>
        <v>1.4968115942028986</v>
      </c>
      <c r="J501" s="474">
        <v>0.6</v>
      </c>
      <c r="K501" s="488">
        <v>345</v>
      </c>
      <c r="L501" s="52">
        <v>0</v>
      </c>
      <c r="M501" s="52">
        <v>0</v>
      </c>
      <c r="N501" s="53">
        <f t="shared" si="23"/>
        <v>0</v>
      </c>
      <c r="O501" s="96">
        <v>0</v>
      </c>
      <c r="P501" s="475"/>
      <c r="Q501" s="64"/>
      <c r="R501" s="64"/>
      <c r="S501" s="64"/>
      <c r="T501" s="55"/>
      <c r="U501" s="565"/>
      <c r="V501" s="523"/>
    </row>
    <row r="502" spans="1:22" s="6" customFormat="1" outlineLevel="2" x14ac:dyDescent="0.2">
      <c r="A502" s="448" t="s">
        <v>742</v>
      </c>
      <c r="B502" s="3" t="s">
        <v>511</v>
      </c>
      <c r="C502" s="3" t="s">
        <v>510</v>
      </c>
      <c r="D502" s="3" t="s">
        <v>17</v>
      </c>
      <c r="E502" s="3" t="s">
        <v>492</v>
      </c>
      <c r="F502" s="475"/>
      <c r="G502" s="64"/>
      <c r="H502" s="64"/>
      <c r="I502" s="55"/>
      <c r="J502" s="476"/>
      <c r="K502" s="488">
        <v>59</v>
      </c>
      <c r="L502" s="52">
        <v>0</v>
      </c>
      <c r="M502" s="52">
        <v>0</v>
      </c>
      <c r="N502" s="53">
        <f t="shared" si="23"/>
        <v>0</v>
      </c>
      <c r="O502" s="96">
        <v>0</v>
      </c>
      <c r="P502" s="475"/>
      <c r="Q502" s="64"/>
      <c r="R502" s="64"/>
      <c r="S502" s="64"/>
      <c r="T502" s="55"/>
      <c r="U502" s="565"/>
      <c r="V502" s="523"/>
    </row>
    <row r="503" spans="1:22" s="6" customFormat="1" outlineLevel="2" x14ac:dyDescent="0.2">
      <c r="A503" s="448" t="s">
        <v>742</v>
      </c>
      <c r="B503" s="3" t="s">
        <v>513</v>
      </c>
      <c r="C503" s="3" t="s">
        <v>510</v>
      </c>
      <c r="D503" s="3" t="s">
        <v>17</v>
      </c>
      <c r="E503" s="3" t="s">
        <v>492</v>
      </c>
      <c r="F503" s="473">
        <v>59</v>
      </c>
      <c r="G503" s="54">
        <v>59</v>
      </c>
      <c r="H503" s="54">
        <v>33.24</v>
      </c>
      <c r="I503" s="55">
        <f t="shared" si="22"/>
        <v>0.56338983050847458</v>
      </c>
      <c r="J503" s="474">
        <v>25.76</v>
      </c>
      <c r="K503" s="489"/>
      <c r="L503" s="65"/>
      <c r="M503" s="65"/>
      <c r="N503" s="53"/>
      <c r="O503" s="97"/>
      <c r="P503" s="475"/>
      <c r="Q503" s="64"/>
      <c r="R503" s="64"/>
      <c r="S503" s="64"/>
      <c r="T503" s="55"/>
      <c r="U503" s="565"/>
      <c r="V503" s="523"/>
    </row>
    <row r="504" spans="1:22" s="6" customFormat="1" outlineLevel="2" x14ac:dyDescent="0.2">
      <c r="A504" s="448" t="s">
        <v>742</v>
      </c>
      <c r="B504" s="3" t="s">
        <v>512</v>
      </c>
      <c r="C504" s="3" t="s">
        <v>510</v>
      </c>
      <c r="D504" s="3" t="s">
        <v>246</v>
      </c>
      <c r="E504" s="3" t="s">
        <v>492</v>
      </c>
      <c r="F504" s="473">
        <v>415</v>
      </c>
      <c r="G504" s="54">
        <v>758</v>
      </c>
      <c r="H504" s="54">
        <v>757.92</v>
      </c>
      <c r="I504" s="55">
        <f t="shared" si="22"/>
        <v>1.8263132530120481</v>
      </c>
      <c r="J504" s="474">
        <v>0.08</v>
      </c>
      <c r="K504" s="488">
        <v>415</v>
      </c>
      <c r="L504" s="52">
        <v>0</v>
      </c>
      <c r="M504" s="52">
        <v>0</v>
      </c>
      <c r="N504" s="53">
        <f t="shared" si="23"/>
        <v>0</v>
      </c>
      <c r="O504" s="96">
        <v>0</v>
      </c>
      <c r="P504" s="475"/>
      <c r="Q504" s="64"/>
      <c r="R504" s="64"/>
      <c r="S504" s="64"/>
      <c r="T504" s="55"/>
      <c r="U504" s="565"/>
      <c r="V504" s="523"/>
    </row>
    <row r="505" spans="1:22" s="6" customFormat="1" outlineLevel="2" x14ac:dyDescent="0.2">
      <c r="A505" s="448" t="s">
        <v>742</v>
      </c>
      <c r="B505" s="3" t="s">
        <v>515</v>
      </c>
      <c r="C505" s="3" t="s">
        <v>514</v>
      </c>
      <c r="D505" s="3" t="s">
        <v>17</v>
      </c>
      <c r="E505" s="3" t="s">
        <v>492</v>
      </c>
      <c r="F505" s="473">
        <v>59</v>
      </c>
      <c r="G505" s="54">
        <v>59</v>
      </c>
      <c r="H505" s="54">
        <v>55.19</v>
      </c>
      <c r="I505" s="55">
        <f t="shared" si="22"/>
        <v>0.93542372881355929</v>
      </c>
      <c r="J505" s="474">
        <v>3.81</v>
      </c>
      <c r="K505" s="488">
        <v>170</v>
      </c>
      <c r="L505" s="52">
        <v>0</v>
      </c>
      <c r="M505" s="52">
        <v>0</v>
      </c>
      <c r="N505" s="53">
        <f t="shared" si="23"/>
        <v>0</v>
      </c>
      <c r="O505" s="96">
        <v>0</v>
      </c>
      <c r="P505" s="475"/>
      <c r="Q505" s="64"/>
      <c r="R505" s="64"/>
      <c r="S505" s="64"/>
      <c r="T505" s="55"/>
      <c r="U505" s="565"/>
      <c r="V505" s="523"/>
    </row>
    <row r="506" spans="1:22" s="6" customFormat="1" outlineLevel="2" x14ac:dyDescent="0.2">
      <c r="A506" s="448" t="s">
        <v>742</v>
      </c>
      <c r="B506" s="3" t="s">
        <v>516</v>
      </c>
      <c r="C506" s="3" t="s">
        <v>514</v>
      </c>
      <c r="D506" s="3" t="s">
        <v>246</v>
      </c>
      <c r="E506" s="3" t="s">
        <v>492</v>
      </c>
      <c r="F506" s="473">
        <v>400</v>
      </c>
      <c r="G506" s="54">
        <v>657</v>
      </c>
      <c r="H506" s="54">
        <v>656.44</v>
      </c>
      <c r="I506" s="55">
        <f t="shared" si="22"/>
        <v>1.6411000000000002</v>
      </c>
      <c r="J506" s="474">
        <v>0.56000000000000005</v>
      </c>
      <c r="K506" s="488">
        <v>400</v>
      </c>
      <c r="L506" s="52">
        <v>0</v>
      </c>
      <c r="M506" s="52">
        <v>0</v>
      </c>
      <c r="N506" s="53">
        <f t="shared" si="23"/>
        <v>0</v>
      </c>
      <c r="O506" s="96">
        <v>0</v>
      </c>
      <c r="P506" s="475"/>
      <c r="Q506" s="64"/>
      <c r="R506" s="64"/>
      <c r="S506" s="64"/>
      <c r="T506" s="55"/>
      <c r="U506" s="565"/>
      <c r="V506" s="523"/>
    </row>
    <row r="507" spans="1:22" s="6" customFormat="1" outlineLevel="2" x14ac:dyDescent="0.2">
      <c r="A507" s="448" t="s">
        <v>753</v>
      </c>
      <c r="B507" s="3" t="s">
        <v>692</v>
      </c>
      <c r="C507" s="3" t="s">
        <v>690</v>
      </c>
      <c r="D507" s="3" t="s">
        <v>674</v>
      </c>
      <c r="E507" s="3" t="s">
        <v>691</v>
      </c>
      <c r="F507" s="480"/>
      <c r="G507" s="440"/>
      <c r="H507" s="440"/>
      <c r="I507" s="55"/>
      <c r="J507" s="481"/>
      <c r="K507" s="490">
        <v>0</v>
      </c>
      <c r="L507" s="121">
        <v>12077</v>
      </c>
      <c r="M507" s="121">
        <v>12076.75</v>
      </c>
      <c r="N507" s="53">
        <v>0</v>
      </c>
      <c r="O507" s="96">
        <v>0.25</v>
      </c>
      <c r="P507" s="480"/>
      <c r="Q507" s="440"/>
      <c r="R507" s="440"/>
      <c r="S507" s="440"/>
      <c r="T507" s="55"/>
      <c r="U507" s="567"/>
      <c r="V507" s="523"/>
    </row>
    <row r="508" spans="1:22" s="6" customFormat="1" outlineLevel="2" x14ac:dyDescent="0.2">
      <c r="A508" s="448" t="s">
        <v>753</v>
      </c>
      <c r="B508" s="3" t="s">
        <v>694</v>
      </c>
      <c r="C508" s="3" t="s">
        <v>690</v>
      </c>
      <c r="D508" s="3" t="s">
        <v>674</v>
      </c>
      <c r="E508" s="3" t="s">
        <v>691</v>
      </c>
      <c r="F508" s="479">
        <v>30000</v>
      </c>
      <c r="G508" s="56">
        <v>30000</v>
      </c>
      <c r="H508" s="56">
        <v>50980.52</v>
      </c>
      <c r="I508" s="55">
        <f t="shared" si="22"/>
        <v>1.6993506666666665</v>
      </c>
      <c r="J508" s="474">
        <v>-20980.52</v>
      </c>
      <c r="K508" s="490">
        <v>27737</v>
      </c>
      <c r="L508" s="121">
        <v>23794</v>
      </c>
      <c r="M508" s="121">
        <v>24020.83</v>
      </c>
      <c r="N508" s="53">
        <f t="shared" si="23"/>
        <v>0.86602119912030873</v>
      </c>
      <c r="O508" s="96">
        <v>-226.83</v>
      </c>
      <c r="P508" s="479">
        <v>27737</v>
      </c>
      <c r="Q508" s="56">
        <v>27737</v>
      </c>
      <c r="R508" s="56">
        <v>15414.49</v>
      </c>
      <c r="S508" s="56">
        <v>0</v>
      </c>
      <c r="T508" s="55">
        <f t="shared" si="24"/>
        <v>0.5557374625950896</v>
      </c>
      <c r="U508" s="564">
        <v>12322.51</v>
      </c>
      <c r="V508" s="523"/>
    </row>
    <row r="509" spans="1:22" s="6" customFormat="1" outlineLevel="2" x14ac:dyDescent="0.2">
      <c r="A509" s="448" t="s">
        <v>753</v>
      </c>
      <c r="B509" s="3" t="s">
        <v>695</v>
      </c>
      <c r="C509" s="3" t="s">
        <v>690</v>
      </c>
      <c r="D509" s="3" t="s">
        <v>7</v>
      </c>
      <c r="E509" s="3" t="s">
        <v>691</v>
      </c>
      <c r="F509" s="473">
        <v>5034</v>
      </c>
      <c r="G509" s="54">
        <v>5034</v>
      </c>
      <c r="H509" s="54">
        <v>3380.15</v>
      </c>
      <c r="I509" s="55">
        <f t="shared" si="22"/>
        <v>0.67146404449741759</v>
      </c>
      <c r="J509" s="474">
        <v>1653.85</v>
      </c>
      <c r="K509" s="488">
        <v>5034</v>
      </c>
      <c r="L509" s="52">
        <v>5034</v>
      </c>
      <c r="M509" s="52">
        <v>4277.83</v>
      </c>
      <c r="N509" s="53">
        <f t="shared" si="23"/>
        <v>0.84978744537147399</v>
      </c>
      <c r="O509" s="96">
        <v>756.17</v>
      </c>
      <c r="P509" s="473">
        <v>5034</v>
      </c>
      <c r="Q509" s="54">
        <v>5034</v>
      </c>
      <c r="R509" s="54">
        <v>1528.5</v>
      </c>
      <c r="S509" s="54">
        <v>0</v>
      </c>
      <c r="T509" s="55">
        <f t="shared" si="24"/>
        <v>0.30363528009535162</v>
      </c>
      <c r="U509" s="564">
        <v>3505.5</v>
      </c>
      <c r="V509" s="523"/>
    </row>
    <row r="510" spans="1:22" s="6" customFormat="1" outlineLevel="2" x14ac:dyDescent="0.2">
      <c r="A510" s="448" t="s">
        <v>753</v>
      </c>
      <c r="B510" s="3" t="s">
        <v>696</v>
      </c>
      <c r="C510" s="3" t="s">
        <v>690</v>
      </c>
      <c r="D510" s="3" t="s">
        <v>17</v>
      </c>
      <c r="E510" s="3" t="s">
        <v>691</v>
      </c>
      <c r="F510" s="473">
        <v>2772</v>
      </c>
      <c r="G510" s="54">
        <v>2772</v>
      </c>
      <c r="H510" s="54">
        <v>2723.8</v>
      </c>
      <c r="I510" s="55">
        <f t="shared" si="22"/>
        <v>0.98261183261183271</v>
      </c>
      <c r="J510" s="474">
        <v>48.2</v>
      </c>
      <c r="K510" s="488">
        <v>2772</v>
      </c>
      <c r="L510" s="52">
        <v>2772</v>
      </c>
      <c r="M510" s="52">
        <v>2779.73</v>
      </c>
      <c r="N510" s="53">
        <f t="shared" si="23"/>
        <v>1.0027886002886004</v>
      </c>
      <c r="O510" s="96">
        <f>2772-2779.73</f>
        <v>-7.7300000000000182</v>
      </c>
      <c r="P510" s="473">
        <v>2772</v>
      </c>
      <c r="Q510" s="54">
        <v>0</v>
      </c>
      <c r="R510" s="54">
        <v>0</v>
      </c>
      <c r="S510" s="54">
        <v>0</v>
      </c>
      <c r="T510" s="55">
        <f t="shared" si="24"/>
        <v>0</v>
      </c>
      <c r="U510" s="564">
        <v>0</v>
      </c>
      <c r="V510" s="523"/>
    </row>
    <row r="511" spans="1:22" s="6" customFormat="1" outlineLevel="2" x14ac:dyDescent="0.2">
      <c r="A511" s="448" t="s">
        <v>753</v>
      </c>
      <c r="B511" s="3" t="s">
        <v>697</v>
      </c>
      <c r="C511" s="3" t="s">
        <v>690</v>
      </c>
      <c r="D511" s="3" t="s">
        <v>334</v>
      </c>
      <c r="E511" s="3" t="s">
        <v>691</v>
      </c>
      <c r="F511" s="473">
        <v>8718</v>
      </c>
      <c r="G511" s="54">
        <v>8718</v>
      </c>
      <c r="H511" s="54">
        <v>8718</v>
      </c>
      <c r="I511" s="55">
        <f t="shared" si="22"/>
        <v>1</v>
      </c>
      <c r="J511" s="474">
        <v>0</v>
      </c>
      <c r="K511" s="488">
        <v>8718</v>
      </c>
      <c r="L511" s="52">
        <v>5713</v>
      </c>
      <c r="M511" s="52">
        <v>0</v>
      </c>
      <c r="N511" s="53">
        <f t="shared" si="23"/>
        <v>0</v>
      </c>
      <c r="O511" s="96">
        <v>5713</v>
      </c>
      <c r="P511" s="473">
        <v>7158</v>
      </c>
      <c r="Q511" s="54">
        <v>0</v>
      </c>
      <c r="R511" s="54">
        <v>0</v>
      </c>
      <c r="S511" s="54">
        <v>0</v>
      </c>
      <c r="T511" s="55">
        <f t="shared" si="24"/>
        <v>0</v>
      </c>
      <c r="U511" s="564">
        <v>0</v>
      </c>
      <c r="V511" s="523"/>
    </row>
    <row r="512" spans="1:22" s="6" customFormat="1" outlineLevel="2" x14ac:dyDescent="0.2">
      <c r="A512" s="448" t="s">
        <v>753</v>
      </c>
      <c r="B512" s="3" t="s">
        <v>698</v>
      </c>
      <c r="C512" s="3" t="s">
        <v>690</v>
      </c>
      <c r="D512" s="3" t="s">
        <v>19</v>
      </c>
      <c r="E512" s="3" t="s">
        <v>691</v>
      </c>
      <c r="F512" s="473">
        <v>2813</v>
      </c>
      <c r="G512" s="54">
        <v>2814</v>
      </c>
      <c r="H512" s="54">
        <v>2809.65</v>
      </c>
      <c r="I512" s="55">
        <f t="shared" si="22"/>
        <v>0.99880910060433703</v>
      </c>
      <c r="J512" s="474">
        <v>4.3499999999999996</v>
      </c>
      <c r="K512" s="488">
        <v>2813</v>
      </c>
      <c r="L512" s="52">
        <v>5818</v>
      </c>
      <c r="M512" s="52">
        <v>5776.81</v>
      </c>
      <c r="N512" s="53">
        <f t="shared" si="23"/>
        <v>2.0536118023462495</v>
      </c>
      <c r="O512" s="96">
        <f>5818-5776.81</f>
        <v>41.1899999999996</v>
      </c>
      <c r="P512" s="473">
        <v>5818</v>
      </c>
      <c r="Q512" s="54">
        <v>5537</v>
      </c>
      <c r="R512" s="54">
        <v>5542.29</v>
      </c>
      <c r="S512" s="54">
        <v>91.09</v>
      </c>
      <c r="T512" s="55">
        <f t="shared" si="24"/>
        <v>0.95261086283946372</v>
      </c>
      <c r="U512" s="564">
        <v>-96.38</v>
      </c>
      <c r="V512" s="523"/>
    </row>
    <row r="513" spans="1:22" s="6" customFormat="1" outlineLevel="2" x14ac:dyDescent="0.2">
      <c r="A513" s="448" t="s">
        <v>753</v>
      </c>
      <c r="B513" s="3" t="s">
        <v>699</v>
      </c>
      <c r="C513" s="3" t="s">
        <v>690</v>
      </c>
      <c r="D513" s="3" t="s">
        <v>23</v>
      </c>
      <c r="E513" s="3" t="s">
        <v>691</v>
      </c>
      <c r="F513" s="473">
        <v>439</v>
      </c>
      <c r="G513" s="54">
        <v>439</v>
      </c>
      <c r="H513" s="54">
        <v>297.10000000000002</v>
      </c>
      <c r="I513" s="55">
        <f t="shared" si="22"/>
        <v>0.67676537585421415</v>
      </c>
      <c r="J513" s="474">
        <v>141.9</v>
      </c>
      <c r="K513" s="488">
        <v>439</v>
      </c>
      <c r="L513" s="52">
        <v>314</v>
      </c>
      <c r="M513" s="52">
        <v>268.86</v>
      </c>
      <c r="N513" s="53">
        <f t="shared" si="23"/>
        <v>0.61243735763097951</v>
      </c>
      <c r="O513" s="96">
        <v>45.14</v>
      </c>
      <c r="P513" s="473">
        <v>539</v>
      </c>
      <c r="Q513" s="54">
        <v>820</v>
      </c>
      <c r="R513" s="54">
        <v>819.05</v>
      </c>
      <c r="S513" s="54">
        <v>0</v>
      </c>
      <c r="T513" s="55">
        <f t="shared" si="24"/>
        <v>1.5195732838589981</v>
      </c>
      <c r="U513" s="564">
        <v>0.95</v>
      </c>
      <c r="V513" s="523"/>
    </row>
    <row r="514" spans="1:22" s="6" customFormat="1" outlineLevel="2" x14ac:dyDescent="0.2">
      <c r="A514" s="448" t="s">
        <v>753</v>
      </c>
      <c r="B514" s="3" t="s">
        <v>693</v>
      </c>
      <c r="C514" s="3" t="s">
        <v>690</v>
      </c>
      <c r="D514" s="3" t="s">
        <v>25</v>
      </c>
      <c r="E514" s="3" t="s">
        <v>691</v>
      </c>
      <c r="F514" s="473">
        <v>0</v>
      </c>
      <c r="G514" s="54">
        <v>0</v>
      </c>
      <c r="H514" s="54">
        <v>0</v>
      </c>
      <c r="I514" s="55"/>
      <c r="J514" s="474">
        <v>0</v>
      </c>
      <c r="K514" s="488">
        <v>0</v>
      </c>
      <c r="L514" s="52">
        <v>0</v>
      </c>
      <c r="M514" s="52">
        <v>0</v>
      </c>
      <c r="N514" s="53"/>
      <c r="O514" s="96">
        <v>0</v>
      </c>
      <c r="P514" s="473">
        <v>0</v>
      </c>
      <c r="Q514" s="54">
        <v>0</v>
      </c>
      <c r="R514" s="54">
        <v>1914.61</v>
      </c>
      <c r="S514" s="54">
        <v>0</v>
      </c>
      <c r="T514" s="55">
        <v>0</v>
      </c>
      <c r="U514" s="564">
        <v>-1914.61</v>
      </c>
      <c r="V514" s="523"/>
    </row>
    <row r="515" spans="1:22" s="6" customFormat="1" outlineLevel="2" x14ac:dyDescent="0.2">
      <c r="A515" s="448" t="s">
        <v>753</v>
      </c>
      <c r="B515" s="3" t="s">
        <v>700</v>
      </c>
      <c r="C515" s="3" t="s">
        <v>690</v>
      </c>
      <c r="D515" s="3" t="s">
        <v>586</v>
      </c>
      <c r="E515" s="3" t="s">
        <v>691</v>
      </c>
      <c r="F515" s="473">
        <v>6763</v>
      </c>
      <c r="G515" s="54">
        <v>6763</v>
      </c>
      <c r="H515" s="54">
        <v>6763</v>
      </c>
      <c r="I515" s="55">
        <f t="shared" si="22"/>
        <v>1</v>
      </c>
      <c r="J515" s="474">
        <v>0</v>
      </c>
      <c r="K515" s="488">
        <v>6763</v>
      </c>
      <c r="L515" s="52">
        <v>6763</v>
      </c>
      <c r="M515" s="52">
        <v>6763</v>
      </c>
      <c r="N515" s="53">
        <f t="shared" si="23"/>
        <v>1</v>
      </c>
      <c r="O515" s="96">
        <f>6763-6763</f>
        <v>0</v>
      </c>
      <c r="P515" s="473">
        <v>6763</v>
      </c>
      <c r="Q515" s="54">
        <v>6763</v>
      </c>
      <c r="R515" s="54">
        <v>6400</v>
      </c>
      <c r="S515" s="54">
        <v>0</v>
      </c>
      <c r="T515" s="55">
        <f t="shared" si="24"/>
        <v>0.9463255951500813</v>
      </c>
      <c r="U515" s="564">
        <v>363</v>
      </c>
      <c r="V515" s="523"/>
    </row>
    <row r="516" spans="1:22" s="6" customFormat="1" outlineLevel="2" x14ac:dyDescent="0.2">
      <c r="A516" s="448" t="s">
        <v>753</v>
      </c>
      <c r="B516" s="3" t="s">
        <v>701</v>
      </c>
      <c r="C516" s="3" t="s">
        <v>690</v>
      </c>
      <c r="D516" s="3" t="s">
        <v>29</v>
      </c>
      <c r="E516" s="3" t="s">
        <v>691</v>
      </c>
      <c r="F516" s="473">
        <v>150</v>
      </c>
      <c r="G516" s="54">
        <v>150</v>
      </c>
      <c r="H516" s="54">
        <v>150</v>
      </c>
      <c r="I516" s="55">
        <f t="shared" ref="I516:I525" si="25">+H516/F516</f>
        <v>1</v>
      </c>
      <c r="J516" s="474">
        <v>0</v>
      </c>
      <c r="K516" s="488">
        <v>150</v>
      </c>
      <c r="L516" s="52">
        <v>0</v>
      </c>
      <c r="M516" s="52">
        <v>0</v>
      </c>
      <c r="N516" s="53">
        <f t="shared" ref="N516:N525" si="26">+M516/K516</f>
        <v>0</v>
      </c>
      <c r="O516" s="96">
        <v>0</v>
      </c>
      <c r="P516" s="475"/>
      <c r="Q516" s="64"/>
      <c r="R516" s="64"/>
      <c r="S516" s="64"/>
      <c r="T516" s="55"/>
      <c r="U516" s="565"/>
      <c r="V516" s="523"/>
    </row>
    <row r="517" spans="1:22" s="6" customFormat="1" outlineLevel="2" x14ac:dyDescent="0.2">
      <c r="A517" s="448" t="s">
        <v>753</v>
      </c>
      <c r="B517" s="3" t="s">
        <v>702</v>
      </c>
      <c r="C517" s="3" t="s">
        <v>690</v>
      </c>
      <c r="D517" s="3" t="s">
        <v>31</v>
      </c>
      <c r="E517" s="3" t="s">
        <v>691</v>
      </c>
      <c r="F517" s="473">
        <v>533</v>
      </c>
      <c r="G517" s="54">
        <v>233</v>
      </c>
      <c r="H517" s="54">
        <v>94</v>
      </c>
      <c r="I517" s="55">
        <f t="shared" si="25"/>
        <v>0.17636022514071295</v>
      </c>
      <c r="J517" s="474">
        <v>139</v>
      </c>
      <c r="K517" s="488">
        <v>533</v>
      </c>
      <c r="L517" s="52">
        <v>733</v>
      </c>
      <c r="M517" s="52">
        <v>733</v>
      </c>
      <c r="N517" s="53">
        <f t="shared" si="26"/>
        <v>1.3752345215759849</v>
      </c>
      <c r="O517" s="96">
        <v>0</v>
      </c>
      <c r="P517" s="473">
        <v>508</v>
      </c>
      <c r="Q517" s="54">
        <v>508</v>
      </c>
      <c r="R517" s="54">
        <v>0</v>
      </c>
      <c r="S517" s="54">
        <v>0</v>
      </c>
      <c r="T517" s="55">
        <f t="shared" ref="T517:T525" si="27">+R517/P517</f>
        <v>0</v>
      </c>
      <c r="U517" s="564">
        <v>508</v>
      </c>
      <c r="V517" s="523"/>
    </row>
    <row r="518" spans="1:22" s="6" customFormat="1" outlineLevel="2" x14ac:dyDescent="0.2">
      <c r="A518" s="448" t="s">
        <v>753</v>
      </c>
      <c r="B518" s="3" t="s">
        <v>703</v>
      </c>
      <c r="C518" s="3" t="s">
        <v>690</v>
      </c>
      <c r="D518" s="3" t="s">
        <v>704</v>
      </c>
      <c r="E518" s="3" t="s">
        <v>691</v>
      </c>
      <c r="F518" s="473">
        <v>2208</v>
      </c>
      <c r="G518" s="54">
        <v>2208</v>
      </c>
      <c r="H518" s="54">
        <v>2208</v>
      </c>
      <c r="I518" s="55">
        <f t="shared" si="25"/>
        <v>1</v>
      </c>
      <c r="J518" s="474">
        <v>0</v>
      </c>
      <c r="K518" s="488">
        <v>2208</v>
      </c>
      <c r="L518" s="52">
        <v>2208</v>
      </c>
      <c r="M518" s="52">
        <v>2208</v>
      </c>
      <c r="N518" s="53">
        <f t="shared" si="26"/>
        <v>1</v>
      </c>
      <c r="O518" s="96">
        <f>2208-2208</f>
        <v>0</v>
      </c>
      <c r="P518" s="473">
        <v>2208</v>
      </c>
      <c r="Q518" s="54">
        <v>2208</v>
      </c>
      <c r="R518" s="54">
        <v>2208</v>
      </c>
      <c r="S518" s="54">
        <v>0</v>
      </c>
      <c r="T518" s="55">
        <f t="shared" si="27"/>
        <v>1</v>
      </c>
      <c r="U518" s="564">
        <v>0</v>
      </c>
      <c r="V518" s="523"/>
    </row>
    <row r="519" spans="1:22" s="6" customFormat="1" outlineLevel="2" x14ac:dyDescent="0.2">
      <c r="A519" s="448" t="s">
        <v>753</v>
      </c>
      <c r="B519" s="3" t="s">
        <v>705</v>
      </c>
      <c r="C519" s="3" t="s">
        <v>690</v>
      </c>
      <c r="D519" s="3" t="s">
        <v>37</v>
      </c>
      <c r="E519" s="3" t="s">
        <v>691</v>
      </c>
      <c r="F519" s="473">
        <v>430</v>
      </c>
      <c r="G519" s="54">
        <v>730</v>
      </c>
      <c r="H519" s="54">
        <v>725</v>
      </c>
      <c r="I519" s="55">
        <f t="shared" si="25"/>
        <v>1.6860465116279071</v>
      </c>
      <c r="J519" s="474">
        <v>5</v>
      </c>
      <c r="K519" s="488">
        <v>430</v>
      </c>
      <c r="L519" s="52">
        <v>650</v>
      </c>
      <c r="M519" s="52">
        <v>650</v>
      </c>
      <c r="N519" s="53">
        <f t="shared" si="26"/>
        <v>1.5116279069767442</v>
      </c>
      <c r="O519" s="96">
        <v>0</v>
      </c>
      <c r="P519" s="473">
        <v>650</v>
      </c>
      <c r="Q519" s="54">
        <v>650</v>
      </c>
      <c r="R519" s="54">
        <v>412</v>
      </c>
      <c r="S519" s="54">
        <v>0</v>
      </c>
      <c r="T519" s="55">
        <f t="shared" si="27"/>
        <v>0.63384615384615384</v>
      </c>
      <c r="U519" s="564">
        <v>238</v>
      </c>
      <c r="V519" s="523"/>
    </row>
    <row r="520" spans="1:22" s="6" customFormat="1" outlineLevel="2" x14ac:dyDescent="0.2">
      <c r="A520" s="448" t="s">
        <v>753</v>
      </c>
      <c r="B520" s="3" t="s">
        <v>706</v>
      </c>
      <c r="C520" s="3" t="s">
        <v>690</v>
      </c>
      <c r="D520" s="3" t="s">
        <v>707</v>
      </c>
      <c r="E520" s="3" t="s">
        <v>691</v>
      </c>
      <c r="F520" s="473">
        <v>7809</v>
      </c>
      <c r="G520" s="54">
        <v>7809</v>
      </c>
      <c r="H520" s="54">
        <v>7142.9</v>
      </c>
      <c r="I520" s="55">
        <f t="shared" si="25"/>
        <v>0.91470098604174666</v>
      </c>
      <c r="J520" s="474">
        <v>666.1</v>
      </c>
      <c r="K520" s="488">
        <v>7809</v>
      </c>
      <c r="L520" s="52"/>
      <c r="M520" s="52">
        <v>7809</v>
      </c>
      <c r="N520" s="53">
        <f t="shared" si="26"/>
        <v>1</v>
      </c>
      <c r="O520" s="96">
        <v>-7809</v>
      </c>
      <c r="P520" s="473">
        <v>7809</v>
      </c>
      <c r="Q520" s="54">
        <v>7809</v>
      </c>
      <c r="R520" s="54">
        <v>140.04</v>
      </c>
      <c r="S520" s="54">
        <v>3780.49</v>
      </c>
      <c r="T520" s="55">
        <f t="shared" si="27"/>
        <v>1.7933154053015751E-2</v>
      </c>
      <c r="U520" s="564">
        <v>3888.47</v>
      </c>
      <c r="V520" s="523"/>
    </row>
    <row r="521" spans="1:22" s="6" customFormat="1" outlineLevel="2" x14ac:dyDescent="0.2">
      <c r="A521" s="448" t="s">
        <v>753</v>
      </c>
      <c r="B521" s="3" t="s">
        <v>716</v>
      </c>
      <c r="C521" s="3" t="s">
        <v>715</v>
      </c>
      <c r="D521" s="3" t="s">
        <v>17</v>
      </c>
      <c r="E521" s="3" t="s">
        <v>710</v>
      </c>
      <c r="F521" s="473">
        <v>448</v>
      </c>
      <c r="G521" s="54">
        <v>759</v>
      </c>
      <c r="H521" s="54">
        <v>757.45</v>
      </c>
      <c r="I521" s="55">
        <f t="shared" si="25"/>
        <v>1.6907366071428573</v>
      </c>
      <c r="J521" s="474">
        <v>1.55</v>
      </c>
      <c r="K521" s="488">
        <v>448</v>
      </c>
      <c r="L521" s="52">
        <v>148</v>
      </c>
      <c r="M521" s="52">
        <v>147.80000000000001</v>
      </c>
      <c r="N521" s="53">
        <f t="shared" si="26"/>
        <v>0.32991071428571433</v>
      </c>
      <c r="O521" s="96">
        <f>148-147.8</f>
        <v>0.19999999999998863</v>
      </c>
      <c r="P521" s="475"/>
      <c r="Q521" s="64"/>
      <c r="R521" s="64"/>
      <c r="S521" s="64"/>
      <c r="T521" s="55"/>
      <c r="U521" s="565"/>
      <c r="V521" s="523"/>
    </row>
    <row r="522" spans="1:22" s="6" customFormat="1" outlineLevel="2" x14ac:dyDescent="0.2">
      <c r="A522" s="448" t="s">
        <v>753</v>
      </c>
      <c r="B522" s="3" t="s">
        <v>717</v>
      </c>
      <c r="C522" s="3" t="s">
        <v>715</v>
      </c>
      <c r="D522" s="3" t="s">
        <v>246</v>
      </c>
      <c r="E522" s="3" t="s">
        <v>710</v>
      </c>
      <c r="F522" s="473">
        <v>364</v>
      </c>
      <c r="G522" s="54">
        <v>267</v>
      </c>
      <c r="H522" s="54">
        <v>266.48</v>
      </c>
      <c r="I522" s="55">
        <f t="shared" si="25"/>
        <v>0.73208791208791213</v>
      </c>
      <c r="J522" s="474">
        <v>0.52</v>
      </c>
      <c r="K522" s="488">
        <v>364</v>
      </c>
      <c r="L522" s="52">
        <v>0</v>
      </c>
      <c r="M522" s="52">
        <v>0</v>
      </c>
      <c r="N522" s="53">
        <f t="shared" si="26"/>
        <v>0</v>
      </c>
      <c r="O522" s="96">
        <v>0</v>
      </c>
      <c r="P522" s="475"/>
      <c r="Q522" s="64"/>
      <c r="R522" s="64"/>
      <c r="S522" s="64"/>
      <c r="T522" s="55"/>
      <c r="U522" s="565"/>
      <c r="V522" s="523"/>
    </row>
    <row r="523" spans="1:22" s="6" customFormat="1" outlineLevel="2" x14ac:dyDescent="0.2">
      <c r="A523" s="448" t="s">
        <v>753</v>
      </c>
      <c r="B523" s="3" t="s">
        <v>730</v>
      </c>
      <c r="C523" s="3" t="s">
        <v>731</v>
      </c>
      <c r="D523" s="3" t="s">
        <v>35</v>
      </c>
      <c r="E523" s="3" t="s">
        <v>726</v>
      </c>
      <c r="F523" s="473">
        <v>33700</v>
      </c>
      <c r="G523" s="54">
        <v>34005</v>
      </c>
      <c r="H523" s="54">
        <v>34005</v>
      </c>
      <c r="I523" s="55">
        <f t="shared" si="25"/>
        <v>1.0090504451038576</v>
      </c>
      <c r="J523" s="474">
        <v>0</v>
      </c>
      <c r="K523" s="488">
        <v>0</v>
      </c>
      <c r="L523" s="52">
        <v>0</v>
      </c>
      <c r="M523" s="52">
        <v>378.87</v>
      </c>
      <c r="N523" s="53">
        <v>0</v>
      </c>
      <c r="O523" s="96">
        <v>-378.87</v>
      </c>
      <c r="P523" s="473">
        <v>0</v>
      </c>
      <c r="Q523" s="54">
        <v>37971</v>
      </c>
      <c r="R523" s="54">
        <v>36427.35</v>
      </c>
      <c r="S523" s="54">
        <v>1438.65</v>
      </c>
      <c r="T523" s="55">
        <v>0</v>
      </c>
      <c r="U523" s="564">
        <v>105</v>
      </c>
      <c r="V523" s="523"/>
    </row>
    <row r="524" spans="1:22" s="6" customFormat="1" outlineLevel="1" x14ac:dyDescent="0.2">
      <c r="A524" s="366" t="s">
        <v>770</v>
      </c>
      <c r="B524" s="3"/>
      <c r="C524" s="3"/>
      <c r="D524" s="3"/>
      <c r="E524" s="3"/>
      <c r="F524" s="477">
        <f>SUBTOTAL(9,F445:F523)</f>
        <v>128812</v>
      </c>
      <c r="G524" s="9">
        <f>SUBTOTAL(9,G445:G523)</f>
        <v>134590</v>
      </c>
      <c r="H524" s="9">
        <f>SUBTOTAL(9,H445:H523)</f>
        <v>150640.41999999998</v>
      </c>
      <c r="I524" s="16">
        <f t="shared" si="25"/>
        <v>1.1694595224047448</v>
      </c>
      <c r="J524" s="478">
        <f>SUBTOTAL(9,J445:J523)</f>
        <v>-16050.42</v>
      </c>
      <c r="K524" s="477">
        <f>SUBTOTAL(9,K445:K523)</f>
        <v>96995</v>
      </c>
      <c r="L524" s="9">
        <f>SUBTOTAL(9,L445:L523)</f>
        <v>81006</v>
      </c>
      <c r="M524" s="9">
        <f>SUBTOTAL(9,M445:M523)</f>
        <v>81196.150000000009</v>
      </c>
      <c r="N524" s="16">
        <f t="shared" si="26"/>
        <v>0.83711686169390187</v>
      </c>
      <c r="O524" s="478">
        <f>SUBTOTAL(9,O445:O523)</f>
        <v>-190.14999999999958</v>
      </c>
      <c r="P524" s="477">
        <f>SUBTOTAL(9,P445:P523)</f>
        <v>96995</v>
      </c>
      <c r="Q524" s="9">
        <f>SUBTOTAL(9,Q445:Q523)</f>
        <v>119545</v>
      </c>
      <c r="R524" s="9">
        <f>SUBTOTAL(9,R445:R523)</f>
        <v>86421.55</v>
      </c>
      <c r="S524" s="9">
        <f>SUBTOTAL(9,S445:S523)</f>
        <v>7605.9</v>
      </c>
      <c r="T524" s="16">
        <f t="shared" si="27"/>
        <v>0.89098974173926493</v>
      </c>
      <c r="U524" s="566">
        <f>SUBTOTAL(9,U445:U523)</f>
        <v>25517.55</v>
      </c>
      <c r="V524" s="509"/>
    </row>
    <row r="525" spans="1:22" s="6" customFormat="1" x14ac:dyDescent="0.2">
      <c r="A525" s="366" t="s">
        <v>771</v>
      </c>
      <c r="B525" s="3"/>
      <c r="C525" s="3"/>
      <c r="D525" s="3"/>
      <c r="E525" s="3"/>
      <c r="F525" s="446">
        <f>SUBTOTAL(9,F3:F523)</f>
        <v>1479077</v>
      </c>
      <c r="G525" s="5">
        <f>SUBTOTAL(9,G3:G523)</f>
        <v>1653108</v>
      </c>
      <c r="H525" s="5">
        <f>SUBTOTAL(9,H3:H523)</f>
        <v>1516265.0399999996</v>
      </c>
      <c r="I525" s="13">
        <f t="shared" si="25"/>
        <v>1.0251427342863149</v>
      </c>
      <c r="J525" s="483">
        <f>SUBTOTAL(9,J3:J523)</f>
        <v>132802.96000000002</v>
      </c>
      <c r="K525" s="446">
        <f>SUBTOTAL(9,K3:K523)</f>
        <v>2106103</v>
      </c>
      <c r="L525" s="5">
        <f>SUBTOTAL(9,L3:L523)</f>
        <v>1997924</v>
      </c>
      <c r="M525" s="5">
        <f>SUBTOTAL(9,M3:M523)</f>
        <v>2008662.69</v>
      </c>
      <c r="N525" s="13">
        <f t="shared" si="26"/>
        <v>0.95373430929066616</v>
      </c>
      <c r="O525" s="483">
        <f>SUBTOTAL(9,O3:O523)</f>
        <v>-20439.130000000012</v>
      </c>
      <c r="P525" s="446">
        <f>SUBTOTAL(9,P3:P523)</f>
        <v>1795114</v>
      </c>
      <c r="Q525" s="5">
        <f>SUBTOTAL(9,Q3:Q523)</f>
        <v>2044588</v>
      </c>
      <c r="R525" s="5">
        <f>SUBTOTAL(9,R3:R523)</f>
        <v>1030251.2200000004</v>
      </c>
      <c r="S525" s="5">
        <f>SUBTOTAL(9,S3:S523)</f>
        <v>91981.820000000022</v>
      </c>
      <c r="T525" s="13">
        <f t="shared" si="27"/>
        <v>0.57391966192676369</v>
      </c>
      <c r="U525" s="569">
        <f>SUBTOTAL(9,U3:U523)</f>
        <v>918314.96</v>
      </c>
      <c r="V525" s="509"/>
    </row>
    <row r="526" spans="1:22" s="6" customFormat="1" x14ac:dyDescent="0.2">
      <c r="A526" s="448"/>
      <c r="B526" s="3"/>
      <c r="C526" s="3"/>
      <c r="D526" s="3"/>
      <c r="E526" s="3"/>
      <c r="F526" s="446"/>
      <c r="G526" s="5"/>
      <c r="H526" s="5"/>
      <c r="I526" s="5"/>
      <c r="J526" s="447"/>
      <c r="K526" s="444"/>
      <c r="L526" s="4"/>
      <c r="M526" s="4"/>
      <c r="N526" s="14"/>
      <c r="O526" s="445"/>
      <c r="P526" s="444"/>
      <c r="Q526" s="4"/>
      <c r="R526" s="4"/>
      <c r="S526" s="4"/>
      <c r="T526" s="14"/>
      <c r="U526" s="541"/>
      <c r="V526" s="509"/>
    </row>
    <row r="527" spans="1:22" s="6" customFormat="1" x14ac:dyDescent="0.2">
      <c r="A527" s="448"/>
      <c r="B527" s="12" t="s">
        <v>794</v>
      </c>
      <c r="C527" s="3"/>
      <c r="D527" s="3"/>
      <c r="E527" s="3"/>
      <c r="F527" s="446"/>
      <c r="G527" s="5"/>
      <c r="H527" s="5"/>
      <c r="I527" s="5"/>
      <c r="J527" s="447"/>
      <c r="K527" s="444"/>
      <c r="L527" s="4"/>
      <c r="M527" s="4"/>
      <c r="N527" s="14"/>
      <c r="O527" s="445"/>
      <c r="P527" s="444"/>
      <c r="Q527" s="4"/>
      <c r="R527" s="4"/>
      <c r="S527" s="4"/>
      <c r="T527" s="14"/>
      <c r="U527" s="541"/>
      <c r="V527" s="509"/>
    </row>
    <row r="528" spans="1:22" s="6" customFormat="1" outlineLevel="2" x14ac:dyDescent="0.2">
      <c r="A528" s="448" t="s">
        <v>738</v>
      </c>
      <c r="B528" s="3" t="s">
        <v>727</v>
      </c>
      <c r="C528" s="3" t="s">
        <v>724</v>
      </c>
      <c r="D528" s="3" t="s">
        <v>728</v>
      </c>
      <c r="E528" s="3" t="s">
        <v>726</v>
      </c>
      <c r="F528" s="446">
        <v>30000</v>
      </c>
      <c r="G528" s="5">
        <v>30000</v>
      </c>
      <c r="H528" s="5">
        <v>11208.73</v>
      </c>
      <c r="I528" s="5"/>
      <c r="J528" s="483">
        <v>18791.27</v>
      </c>
      <c r="K528" s="446">
        <v>28800</v>
      </c>
      <c r="L528" s="5">
        <v>28800</v>
      </c>
      <c r="M528" s="5">
        <v>15059.32</v>
      </c>
      <c r="N528" s="13"/>
      <c r="O528" s="483">
        <v>13740.68</v>
      </c>
      <c r="P528" s="446">
        <v>28800</v>
      </c>
      <c r="Q528" s="5">
        <v>28800</v>
      </c>
      <c r="R528" s="5">
        <v>7802.44</v>
      </c>
      <c r="S528" s="5">
        <v>0</v>
      </c>
      <c r="T528" s="13"/>
      <c r="U528" s="569">
        <v>20997.56</v>
      </c>
      <c r="V528" s="509"/>
    </row>
    <row r="529" spans="1:22" s="6" customFormat="1" outlineLevel="2" x14ac:dyDescent="0.2">
      <c r="A529" s="448" t="s">
        <v>738</v>
      </c>
      <c r="B529" s="3" t="s">
        <v>723</v>
      </c>
      <c r="C529" s="3" t="s">
        <v>724</v>
      </c>
      <c r="D529" s="3" t="s">
        <v>725</v>
      </c>
      <c r="E529" s="3" t="s">
        <v>726</v>
      </c>
      <c r="F529" s="444"/>
      <c r="G529" s="4"/>
      <c r="H529" s="4"/>
      <c r="I529" s="4"/>
      <c r="J529" s="484"/>
      <c r="K529" s="446">
        <v>0</v>
      </c>
      <c r="L529" s="5">
        <v>136909</v>
      </c>
      <c r="M529" s="5">
        <v>0</v>
      </c>
      <c r="N529" s="13"/>
      <c r="O529" s="483">
        <v>136909</v>
      </c>
      <c r="P529" s="446">
        <v>0</v>
      </c>
      <c r="Q529" s="5">
        <v>150650</v>
      </c>
      <c r="R529" s="5">
        <v>0</v>
      </c>
      <c r="S529" s="5">
        <v>0</v>
      </c>
      <c r="T529" s="13"/>
      <c r="U529" s="569">
        <v>150650</v>
      </c>
      <c r="V529" s="509"/>
    </row>
    <row r="530" spans="1:22" s="6" customFormat="1" outlineLevel="2" x14ac:dyDescent="0.2">
      <c r="A530" s="448" t="s">
        <v>738</v>
      </c>
      <c r="B530" s="3" t="s">
        <v>729</v>
      </c>
      <c r="C530" s="3" t="s">
        <v>724</v>
      </c>
      <c r="D530" s="3" t="s">
        <v>725</v>
      </c>
      <c r="E530" s="3" t="s">
        <v>726</v>
      </c>
      <c r="F530" s="446">
        <v>0</v>
      </c>
      <c r="G530" s="5">
        <v>118118</v>
      </c>
      <c r="H530" s="5">
        <v>0</v>
      </c>
      <c r="I530" s="5"/>
      <c r="J530" s="483">
        <v>118118</v>
      </c>
      <c r="K530" s="444"/>
      <c r="L530" s="4"/>
      <c r="M530" s="4"/>
      <c r="N530" s="14"/>
      <c r="O530" s="484"/>
      <c r="P530" s="444"/>
      <c r="Q530" s="4"/>
      <c r="R530" s="4"/>
      <c r="S530" s="4"/>
      <c r="T530" s="14"/>
      <c r="U530" s="570"/>
      <c r="V530" s="509"/>
    </row>
    <row r="531" spans="1:22" s="6" customFormat="1" ht="13.5" thickBot="1" x14ac:dyDescent="0.25">
      <c r="A531" s="496"/>
      <c r="B531" s="28"/>
      <c r="C531" s="28"/>
      <c r="D531" s="28"/>
      <c r="E531" s="28"/>
      <c r="F531" s="485"/>
      <c r="G531" s="486"/>
      <c r="H531" s="486"/>
      <c r="I531" s="486"/>
      <c r="J531" s="487"/>
      <c r="K531" s="492"/>
      <c r="L531" s="493"/>
      <c r="M531" s="493"/>
      <c r="N531" s="494"/>
      <c r="O531" s="495"/>
      <c r="P531" s="492"/>
      <c r="Q531" s="493"/>
      <c r="R531" s="493"/>
      <c r="S531" s="493"/>
      <c r="T531" s="494"/>
      <c r="U531" s="571"/>
      <c r="V531" s="515"/>
    </row>
    <row r="532" spans="1:22" ht="12.75" customHeight="1" x14ac:dyDescent="0.2">
      <c r="D532" s="12" t="s">
        <v>775</v>
      </c>
    </row>
    <row r="533" spans="1:22" ht="12.75" customHeight="1" x14ac:dyDescent="0.2">
      <c r="D533" s="3" t="s">
        <v>776</v>
      </c>
      <c r="M533" s="2">
        <f>-1589.68-2480.02-1305.84-1526.48-23759.28-3030.69-6381.34-1156.6-17117.89-28607.48-41425.83-27748-14855.45</f>
        <v>-170984.58000000002</v>
      </c>
    </row>
    <row r="534" spans="1:22" ht="12.75" customHeight="1" x14ac:dyDescent="0.2">
      <c r="D534" s="3" t="s">
        <v>777</v>
      </c>
      <c r="M534" s="2">
        <f>-1031.99-1199.61</f>
        <v>-2231.6</v>
      </c>
    </row>
    <row r="535" spans="1:22" ht="12.75" customHeight="1" x14ac:dyDescent="0.2">
      <c r="D535" s="3" t="s">
        <v>778</v>
      </c>
      <c r="M535" s="2">
        <v>-5776.81</v>
      </c>
    </row>
    <row r="536" spans="1:22" ht="12.75" customHeight="1" x14ac:dyDescent="0.2">
      <c r="D536" s="3" t="s">
        <v>780</v>
      </c>
      <c r="M536" s="2">
        <v>-5110.53</v>
      </c>
    </row>
    <row r="537" spans="1:22" ht="12.75" customHeight="1" x14ac:dyDescent="0.2">
      <c r="D537" s="3" t="s">
        <v>779</v>
      </c>
      <c r="M537" s="2">
        <f>-1721.82-2208</f>
        <v>-3929.8199999999997</v>
      </c>
    </row>
    <row r="538" spans="1:22" ht="12.75" customHeight="1" x14ac:dyDescent="0.2">
      <c r="D538" s="3" t="s">
        <v>781</v>
      </c>
      <c r="M538" s="2">
        <f>-6763-2013.06-11021.73-239.67-783.89-1780.07-211.04-852.52-300.15-1357.8</f>
        <v>-25322.93</v>
      </c>
    </row>
    <row r="539" spans="1:22" ht="12.75" customHeight="1" x14ac:dyDescent="0.2">
      <c r="D539" s="3" t="s">
        <v>782</v>
      </c>
      <c r="M539" s="2">
        <v>-41647.120000000003</v>
      </c>
    </row>
    <row r="540" spans="1:22" ht="12.75" customHeight="1" x14ac:dyDescent="0.2">
      <c r="D540" s="3" t="s">
        <v>783</v>
      </c>
      <c r="M540" s="2">
        <v>-18161.330000000002</v>
      </c>
    </row>
    <row r="541" spans="1:22" ht="12.75" customHeight="1" x14ac:dyDescent="0.2">
      <c r="D541" s="3" t="s">
        <v>784</v>
      </c>
      <c r="M541" s="2">
        <f>-982.32-1601.46-5046.9</f>
        <v>-7630.68</v>
      </c>
    </row>
    <row r="542" spans="1:22" ht="12.75" customHeight="1" x14ac:dyDescent="0.2">
      <c r="D542" s="3" t="s">
        <v>773</v>
      </c>
      <c r="M542" s="2">
        <v>-2549.69</v>
      </c>
    </row>
    <row r="543" spans="1:22" ht="12.75" customHeight="1" x14ac:dyDescent="0.2">
      <c r="D543" s="3" t="s">
        <v>785</v>
      </c>
      <c r="M543" s="2">
        <f>-53403.76-7809</f>
        <v>-61212.76</v>
      </c>
    </row>
    <row r="544" spans="1:22" ht="12.75" customHeight="1" x14ac:dyDescent="0.2">
      <c r="D544" s="3" t="s">
        <v>786</v>
      </c>
      <c r="M544" s="2">
        <f>-22925.85-28075.15</f>
        <v>-51001</v>
      </c>
    </row>
    <row r="545" spans="4:13" ht="12.75" customHeight="1" x14ac:dyDescent="0.2">
      <c r="D545" s="3" t="s">
        <v>787</v>
      </c>
      <c r="M545" s="2">
        <f>-23606.64-14586.87-6023.93</f>
        <v>-44217.440000000002</v>
      </c>
    </row>
    <row r="546" spans="4:13" ht="12.75" customHeight="1" x14ac:dyDescent="0.2">
      <c r="D546" s="3" t="s">
        <v>788</v>
      </c>
      <c r="M546" s="2">
        <f>-4768.3-24932.8-6363.71</f>
        <v>-36064.81</v>
      </c>
    </row>
    <row r="547" spans="4:13" ht="12.75" customHeight="1" x14ac:dyDescent="0.2">
      <c r="D547" s="3" t="s">
        <v>789</v>
      </c>
      <c r="M547" s="2">
        <v>-8026.5</v>
      </c>
    </row>
    <row r="548" spans="4:13" ht="12.75" customHeight="1" x14ac:dyDescent="0.2">
      <c r="D548" s="3" t="s">
        <v>774</v>
      </c>
      <c r="M548" s="2">
        <v>-4000</v>
      </c>
    </row>
    <row r="549" spans="4:13" ht="12.75" customHeight="1" thickBot="1" x14ac:dyDescent="0.25">
      <c r="M549" s="11">
        <f>SUM(M533:M548)</f>
        <v>-487867.60000000003</v>
      </c>
    </row>
    <row r="550" spans="4:13" ht="12.75" customHeight="1" thickTop="1" x14ac:dyDescent="0.2"/>
  </sheetData>
  <sortState ref="A532:U547">
    <sortCondition descending="1" ref="D532:D547"/>
  </sortState>
  <mergeCells count="3">
    <mergeCell ref="F1:J1"/>
    <mergeCell ref="K1:O1"/>
    <mergeCell ref="P1:U1"/>
  </mergeCells>
  <printOptions horizontalCentered="1" gridLines="1"/>
  <pageMargins left="0" right="0" top="0.75" bottom="0.75" header="0.3" footer="0.3"/>
  <pageSetup paperSize="5" scale="78" fitToHeight="0" orientation="landscape" r:id="rId1"/>
  <headerFooter>
    <oddHeader>&amp;CMISSION COLLEGE
Fund 100 - Operating Budget vs Actual Spending for FY10/11, FY11/12 &amp; FY12/13</oddHeader>
    <oddFooter>&amp;ROffice of Administrative Services
&amp;Z&amp;F &amp;A   March 20, 2013 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5"/>
  <sheetViews>
    <sheetView workbookViewId="0">
      <selection activeCell="T1" sqref="T1:T2"/>
    </sheetView>
  </sheetViews>
  <sheetFormatPr defaultRowHeight="12.75" outlineLevelRow="2" x14ac:dyDescent="0.2"/>
  <cols>
    <col min="1" max="1" width="12.7109375" customWidth="1"/>
    <col min="2" max="2" width="22.85546875" bestFit="1" customWidth="1"/>
    <col min="3" max="3" width="12.85546875" bestFit="1" customWidth="1"/>
    <col min="4" max="4" width="18.42578125" bestFit="1" customWidth="1"/>
    <col min="6" max="6" width="7.140625" bestFit="1" customWidth="1"/>
    <col min="7" max="7" width="7.5703125" bestFit="1" customWidth="1"/>
    <col min="8" max="8" width="6.7109375" bestFit="1" customWidth="1"/>
    <col min="9" max="9" width="6" bestFit="1" customWidth="1"/>
    <col min="10" max="11" width="7.140625" bestFit="1" customWidth="1"/>
    <col min="12" max="12" width="7.5703125" bestFit="1" customWidth="1"/>
    <col min="13" max="13" width="6.7109375" bestFit="1" customWidth="1"/>
    <col min="14" max="14" width="6" bestFit="1" customWidth="1"/>
    <col min="15" max="16" width="7.140625" bestFit="1" customWidth="1"/>
    <col min="17" max="17" width="7.5703125" bestFit="1" customWidth="1"/>
    <col min="18" max="18" width="6.7109375" bestFit="1" customWidth="1"/>
    <col min="19" max="19" width="7" bestFit="1" customWidth="1"/>
    <col min="20" max="20" width="29.7109375" customWidth="1"/>
  </cols>
  <sheetData>
    <row r="1" spans="1:20" s="1" customFormat="1" ht="13.5" thickBot="1" x14ac:dyDescent="0.25">
      <c r="A1" s="437"/>
      <c r="B1" s="438"/>
      <c r="C1" s="438"/>
      <c r="D1" s="439"/>
      <c r="E1" s="624" t="s">
        <v>791</v>
      </c>
      <c r="F1" s="625"/>
      <c r="G1" s="625"/>
      <c r="H1" s="625"/>
      <c r="I1" s="626"/>
      <c r="J1" s="627" t="s">
        <v>790</v>
      </c>
      <c r="K1" s="628"/>
      <c r="L1" s="628"/>
      <c r="M1" s="628"/>
      <c r="N1" s="629"/>
      <c r="O1" s="624" t="s">
        <v>792</v>
      </c>
      <c r="P1" s="625"/>
      <c r="Q1" s="625"/>
      <c r="R1" s="625"/>
      <c r="S1" s="630"/>
      <c r="T1" s="524" t="s">
        <v>825</v>
      </c>
    </row>
    <row r="2" spans="1:20" s="17" customFormat="1" ht="45.75" thickBot="1" x14ac:dyDescent="0.25">
      <c r="A2" s="360"/>
      <c r="B2" s="361" t="s">
        <v>732</v>
      </c>
      <c r="C2" s="361" t="s">
        <v>735</v>
      </c>
      <c r="D2" s="368" t="s">
        <v>733</v>
      </c>
      <c r="E2" s="459" t="s">
        <v>0</v>
      </c>
      <c r="F2" s="460" t="s">
        <v>1</v>
      </c>
      <c r="G2" s="460" t="s">
        <v>772</v>
      </c>
      <c r="H2" s="460" t="s">
        <v>793</v>
      </c>
      <c r="I2" s="461" t="s">
        <v>3</v>
      </c>
      <c r="J2" s="462" t="s">
        <v>0</v>
      </c>
      <c r="K2" s="463" t="s">
        <v>1</v>
      </c>
      <c r="L2" s="463" t="s">
        <v>772</v>
      </c>
      <c r="M2" s="464" t="s">
        <v>793</v>
      </c>
      <c r="N2" s="465" t="s">
        <v>3</v>
      </c>
      <c r="O2" s="459" t="s">
        <v>0</v>
      </c>
      <c r="P2" s="460" t="s">
        <v>1</v>
      </c>
      <c r="Q2" s="460" t="s">
        <v>772</v>
      </c>
      <c r="R2" s="466" t="s">
        <v>793</v>
      </c>
      <c r="S2" s="504" t="s">
        <v>3</v>
      </c>
      <c r="T2" s="525" t="s">
        <v>826</v>
      </c>
    </row>
    <row r="3" spans="1:20" s="6" customFormat="1" ht="18" customHeight="1" outlineLevel="2" x14ac:dyDescent="0.2">
      <c r="A3" s="290" t="s">
        <v>748</v>
      </c>
      <c r="B3" s="122" t="s">
        <v>562</v>
      </c>
      <c r="C3" s="122" t="s">
        <v>563</v>
      </c>
      <c r="D3" s="138" t="s">
        <v>7</v>
      </c>
      <c r="E3" s="455">
        <v>380</v>
      </c>
      <c r="F3" s="456">
        <v>0</v>
      </c>
      <c r="G3" s="456">
        <v>0</v>
      </c>
      <c r="H3" s="457">
        <f>+G3/E3</f>
        <v>0</v>
      </c>
      <c r="I3" s="458">
        <v>0</v>
      </c>
      <c r="J3" s="297">
        <v>225</v>
      </c>
      <c r="K3" s="177">
        <v>225</v>
      </c>
      <c r="L3" s="177">
        <v>193.38</v>
      </c>
      <c r="M3" s="178">
        <f>+L3/J3</f>
        <v>0.8594666666666666</v>
      </c>
      <c r="N3" s="298">
        <v>31.62</v>
      </c>
      <c r="O3" s="455">
        <v>225</v>
      </c>
      <c r="P3" s="456">
        <v>225</v>
      </c>
      <c r="Q3" s="456">
        <v>0</v>
      </c>
      <c r="R3" s="457">
        <f>+Q3/O3</f>
        <v>0</v>
      </c>
      <c r="S3" s="505">
        <v>225</v>
      </c>
      <c r="T3" s="526"/>
    </row>
    <row r="4" spans="1:20" s="6" customFormat="1" ht="18" customHeight="1" outlineLevel="2" x14ac:dyDescent="0.2">
      <c r="A4" s="25" t="s">
        <v>748</v>
      </c>
      <c r="B4" s="22" t="s">
        <v>564</v>
      </c>
      <c r="C4" s="22" t="s">
        <v>563</v>
      </c>
      <c r="D4" s="139" t="s">
        <v>52</v>
      </c>
      <c r="E4" s="451">
        <v>0</v>
      </c>
      <c r="F4" s="45">
        <v>1209</v>
      </c>
      <c r="G4" s="45">
        <v>1208.76</v>
      </c>
      <c r="H4" s="46">
        <v>0</v>
      </c>
      <c r="I4" s="452">
        <v>0.24</v>
      </c>
      <c r="J4" s="299">
        <v>1000</v>
      </c>
      <c r="K4" s="47">
        <v>0</v>
      </c>
      <c r="L4" s="47">
        <v>0</v>
      </c>
      <c r="M4" s="48">
        <f t="shared" ref="M4:M14" si="0">+L4/J4</f>
        <v>0</v>
      </c>
      <c r="N4" s="300">
        <v>0</v>
      </c>
      <c r="O4" s="451">
        <v>1000</v>
      </c>
      <c r="P4" s="45">
        <v>1000</v>
      </c>
      <c r="Q4" s="45">
        <v>0</v>
      </c>
      <c r="R4" s="46">
        <f t="shared" ref="R4:R14" si="1">+Q4/O4</f>
        <v>0</v>
      </c>
      <c r="S4" s="506">
        <v>1000</v>
      </c>
      <c r="T4" s="527"/>
    </row>
    <row r="5" spans="1:20" s="6" customFormat="1" ht="18" customHeight="1" outlineLevel="2" x14ac:dyDescent="0.2">
      <c r="A5" s="25" t="s">
        <v>748</v>
      </c>
      <c r="B5" s="22" t="s">
        <v>565</v>
      </c>
      <c r="C5" s="22" t="s">
        <v>563</v>
      </c>
      <c r="D5" s="139" t="s">
        <v>9</v>
      </c>
      <c r="E5" s="451">
        <v>0</v>
      </c>
      <c r="F5" s="45">
        <v>350</v>
      </c>
      <c r="G5" s="45">
        <v>350</v>
      </c>
      <c r="H5" s="46">
        <v>0</v>
      </c>
      <c r="I5" s="452">
        <v>0</v>
      </c>
      <c r="J5" s="299">
        <v>400</v>
      </c>
      <c r="K5" s="47">
        <v>400</v>
      </c>
      <c r="L5" s="47">
        <v>350</v>
      </c>
      <c r="M5" s="48">
        <f t="shared" si="0"/>
        <v>0.875</v>
      </c>
      <c r="N5" s="300">
        <v>50</v>
      </c>
      <c r="O5" s="451">
        <v>400</v>
      </c>
      <c r="P5" s="45">
        <v>400</v>
      </c>
      <c r="Q5" s="45">
        <v>0</v>
      </c>
      <c r="R5" s="46">
        <f t="shared" si="1"/>
        <v>0</v>
      </c>
      <c r="S5" s="506">
        <v>400</v>
      </c>
      <c r="T5" s="527"/>
    </row>
    <row r="6" spans="1:20" s="6" customFormat="1" ht="18" customHeight="1" outlineLevel="2" x14ac:dyDescent="0.2">
      <c r="A6" s="25" t="s">
        <v>748</v>
      </c>
      <c r="B6" s="22" t="s">
        <v>566</v>
      </c>
      <c r="C6" s="22" t="s">
        <v>563</v>
      </c>
      <c r="D6" s="139" t="s">
        <v>19</v>
      </c>
      <c r="E6" s="451">
        <v>2933</v>
      </c>
      <c r="F6" s="45">
        <v>3002</v>
      </c>
      <c r="G6" s="45">
        <v>529.65</v>
      </c>
      <c r="H6" s="46">
        <f t="shared" ref="H6:H14" si="2">+G6/E6</f>
        <v>0.18058302079781793</v>
      </c>
      <c r="I6" s="452">
        <v>2472.35</v>
      </c>
      <c r="J6" s="299">
        <v>2206</v>
      </c>
      <c r="K6" s="47">
        <v>6323</v>
      </c>
      <c r="L6" s="47">
        <v>4543.8599999999997</v>
      </c>
      <c r="M6" s="48">
        <f t="shared" si="0"/>
        <v>2.0597733454215774</v>
      </c>
      <c r="N6" s="300">
        <v>1779.14</v>
      </c>
      <c r="O6" s="451">
        <v>2206</v>
      </c>
      <c r="P6" s="45">
        <v>2206</v>
      </c>
      <c r="Q6" s="45">
        <v>2299.08</v>
      </c>
      <c r="R6" s="46">
        <f t="shared" si="1"/>
        <v>1.0421940163191297</v>
      </c>
      <c r="S6" s="506">
        <v>-93.08</v>
      </c>
      <c r="T6" s="527"/>
    </row>
    <row r="7" spans="1:20" s="6" customFormat="1" ht="18" customHeight="1" outlineLevel="2" x14ac:dyDescent="0.2">
      <c r="A7" s="25" t="s">
        <v>748</v>
      </c>
      <c r="B7" s="22" t="s">
        <v>567</v>
      </c>
      <c r="C7" s="22" t="s">
        <v>563</v>
      </c>
      <c r="D7" s="139" t="s">
        <v>23</v>
      </c>
      <c r="E7" s="451">
        <v>0</v>
      </c>
      <c r="F7" s="45">
        <v>200</v>
      </c>
      <c r="G7" s="45">
        <v>198.25</v>
      </c>
      <c r="H7" s="46">
        <v>0</v>
      </c>
      <c r="I7" s="452">
        <v>1.75</v>
      </c>
      <c r="J7" s="301"/>
      <c r="K7" s="49"/>
      <c r="L7" s="49"/>
      <c r="M7" s="48"/>
      <c r="N7" s="302"/>
      <c r="O7" s="453"/>
      <c r="P7" s="50"/>
      <c r="Q7" s="50"/>
      <c r="R7" s="46"/>
      <c r="S7" s="507"/>
      <c r="T7" s="527"/>
    </row>
    <row r="8" spans="1:20" s="6" customFormat="1" ht="18" customHeight="1" outlineLevel="2" x14ac:dyDescent="0.2">
      <c r="A8" s="25" t="s">
        <v>748</v>
      </c>
      <c r="B8" s="22" t="s">
        <v>568</v>
      </c>
      <c r="C8" s="22" t="s">
        <v>563</v>
      </c>
      <c r="D8" s="139" t="s">
        <v>569</v>
      </c>
      <c r="E8" s="451">
        <v>12700</v>
      </c>
      <c r="F8" s="45">
        <v>13129</v>
      </c>
      <c r="G8" s="45">
        <v>12695.62</v>
      </c>
      <c r="H8" s="46">
        <f t="shared" si="2"/>
        <v>0.99965511811023633</v>
      </c>
      <c r="I8" s="452">
        <v>433.38</v>
      </c>
      <c r="J8" s="299">
        <v>12500</v>
      </c>
      <c r="K8" s="47">
        <v>6800</v>
      </c>
      <c r="L8" s="47">
        <v>4784.4399999999996</v>
      </c>
      <c r="M8" s="48">
        <f t="shared" si="0"/>
        <v>0.38275519999999996</v>
      </c>
      <c r="N8" s="300">
        <v>2015.56</v>
      </c>
      <c r="O8" s="451">
        <v>12500</v>
      </c>
      <c r="P8" s="45">
        <v>12500</v>
      </c>
      <c r="Q8" s="45">
        <v>0</v>
      </c>
      <c r="R8" s="46">
        <f t="shared" si="1"/>
        <v>0</v>
      </c>
      <c r="S8" s="506">
        <v>12500</v>
      </c>
      <c r="T8" s="527"/>
    </row>
    <row r="9" spans="1:20" s="6" customFormat="1" ht="18" customHeight="1" outlineLevel="2" x14ac:dyDescent="0.2">
      <c r="A9" s="25" t="s">
        <v>748</v>
      </c>
      <c r="B9" s="22" t="s">
        <v>570</v>
      </c>
      <c r="C9" s="22" t="s">
        <v>563</v>
      </c>
      <c r="D9" s="139" t="s">
        <v>467</v>
      </c>
      <c r="E9" s="451">
        <v>668</v>
      </c>
      <c r="F9" s="45">
        <v>0</v>
      </c>
      <c r="G9" s="45">
        <v>0</v>
      </c>
      <c r="H9" s="46">
        <f t="shared" si="2"/>
        <v>0</v>
      </c>
      <c r="I9" s="452">
        <v>0</v>
      </c>
      <c r="J9" s="299">
        <v>350</v>
      </c>
      <c r="K9" s="47">
        <v>350</v>
      </c>
      <c r="L9" s="47">
        <v>64.94</v>
      </c>
      <c r="M9" s="48">
        <f t="shared" si="0"/>
        <v>0.18554285714285715</v>
      </c>
      <c r="N9" s="300">
        <v>285.06</v>
      </c>
      <c r="O9" s="451">
        <v>350</v>
      </c>
      <c r="P9" s="45">
        <v>350</v>
      </c>
      <c r="Q9" s="45">
        <v>65.2</v>
      </c>
      <c r="R9" s="46">
        <f t="shared" si="1"/>
        <v>0.1862857142857143</v>
      </c>
      <c r="S9" s="506">
        <v>284.8</v>
      </c>
      <c r="T9" s="527"/>
    </row>
    <row r="10" spans="1:20" s="6" customFormat="1" ht="18" customHeight="1" outlineLevel="2" x14ac:dyDescent="0.2">
      <c r="A10" s="25" t="s">
        <v>748</v>
      </c>
      <c r="B10" s="22" t="s">
        <v>625</v>
      </c>
      <c r="C10" s="22" t="s">
        <v>626</v>
      </c>
      <c r="D10" s="139" t="s">
        <v>52</v>
      </c>
      <c r="E10" s="451">
        <v>622</v>
      </c>
      <c r="F10" s="45">
        <v>622</v>
      </c>
      <c r="G10" s="45">
        <v>568.54999999999995</v>
      </c>
      <c r="H10" s="46">
        <f t="shared" si="2"/>
        <v>0.91406752411575554</v>
      </c>
      <c r="I10" s="452">
        <v>53.45</v>
      </c>
      <c r="J10" s="299">
        <v>622</v>
      </c>
      <c r="K10" s="47">
        <v>622</v>
      </c>
      <c r="L10" s="47">
        <v>791.46</v>
      </c>
      <c r="M10" s="48">
        <f t="shared" si="0"/>
        <v>1.2724437299035369</v>
      </c>
      <c r="N10" s="300">
        <v>-169.46</v>
      </c>
      <c r="O10" s="451">
        <v>622</v>
      </c>
      <c r="P10" s="45">
        <v>622</v>
      </c>
      <c r="Q10" s="45">
        <v>0</v>
      </c>
      <c r="R10" s="46">
        <f t="shared" si="1"/>
        <v>0</v>
      </c>
      <c r="S10" s="506">
        <v>622</v>
      </c>
      <c r="T10" s="527"/>
    </row>
    <row r="11" spans="1:20" s="6" customFormat="1" ht="18" customHeight="1" outlineLevel="2" x14ac:dyDescent="0.2">
      <c r="A11" s="25" t="s">
        <v>748</v>
      </c>
      <c r="B11" s="22" t="s">
        <v>628</v>
      </c>
      <c r="C11" s="22" t="s">
        <v>626</v>
      </c>
      <c r="D11" s="139" t="s">
        <v>17</v>
      </c>
      <c r="E11" s="451">
        <v>58</v>
      </c>
      <c r="F11" s="45">
        <v>58</v>
      </c>
      <c r="G11" s="45">
        <v>0</v>
      </c>
      <c r="H11" s="46">
        <f t="shared" si="2"/>
        <v>0</v>
      </c>
      <c r="I11" s="452">
        <v>58</v>
      </c>
      <c r="J11" s="299">
        <v>58</v>
      </c>
      <c r="K11" s="47">
        <v>58</v>
      </c>
      <c r="L11" s="47">
        <v>0</v>
      </c>
      <c r="M11" s="48">
        <f t="shared" si="0"/>
        <v>0</v>
      </c>
      <c r="N11" s="300">
        <v>58</v>
      </c>
      <c r="O11" s="453"/>
      <c r="P11" s="50"/>
      <c r="Q11" s="50"/>
      <c r="R11" s="46"/>
      <c r="S11" s="507"/>
      <c r="T11" s="527"/>
    </row>
    <row r="12" spans="1:20" s="6" customFormat="1" ht="18" customHeight="1" outlineLevel="2" x14ac:dyDescent="0.2">
      <c r="A12" s="25" t="s">
        <v>748</v>
      </c>
      <c r="B12" s="22" t="s">
        <v>629</v>
      </c>
      <c r="C12" s="22" t="s">
        <v>626</v>
      </c>
      <c r="D12" s="139" t="s">
        <v>19</v>
      </c>
      <c r="E12" s="453"/>
      <c r="F12" s="50"/>
      <c r="G12" s="50"/>
      <c r="H12" s="46">
        <v>0</v>
      </c>
      <c r="I12" s="454"/>
      <c r="J12" s="301"/>
      <c r="K12" s="49"/>
      <c r="L12" s="49"/>
      <c r="M12" s="48"/>
      <c r="N12" s="302"/>
      <c r="O12" s="451">
        <v>58</v>
      </c>
      <c r="P12" s="45">
        <v>58</v>
      </c>
      <c r="Q12" s="45">
        <v>0</v>
      </c>
      <c r="R12" s="46">
        <f t="shared" si="1"/>
        <v>0</v>
      </c>
      <c r="S12" s="506">
        <v>58</v>
      </c>
      <c r="T12" s="527"/>
    </row>
    <row r="13" spans="1:20" s="6" customFormat="1" ht="18" customHeight="1" outlineLevel="2" x14ac:dyDescent="0.2">
      <c r="A13" s="25" t="s">
        <v>748</v>
      </c>
      <c r="B13" s="22" t="s">
        <v>630</v>
      </c>
      <c r="C13" s="22" t="s">
        <v>626</v>
      </c>
      <c r="D13" s="139" t="s">
        <v>115</v>
      </c>
      <c r="E13" s="451">
        <v>350</v>
      </c>
      <c r="F13" s="45">
        <v>350</v>
      </c>
      <c r="G13" s="45">
        <v>111.18</v>
      </c>
      <c r="H13" s="46">
        <f t="shared" si="2"/>
        <v>0.31765714285714286</v>
      </c>
      <c r="I13" s="452">
        <v>238.82</v>
      </c>
      <c r="J13" s="299">
        <v>350</v>
      </c>
      <c r="K13" s="47">
        <v>350</v>
      </c>
      <c r="L13" s="47">
        <v>330.42</v>
      </c>
      <c r="M13" s="48">
        <f t="shared" si="0"/>
        <v>0.94405714285714293</v>
      </c>
      <c r="N13" s="300">
        <v>19.579999999999998</v>
      </c>
      <c r="O13" s="451">
        <v>350</v>
      </c>
      <c r="P13" s="45">
        <v>350</v>
      </c>
      <c r="Q13" s="45">
        <v>0</v>
      </c>
      <c r="R13" s="46">
        <f t="shared" si="1"/>
        <v>0</v>
      </c>
      <c r="S13" s="506">
        <v>350</v>
      </c>
      <c r="T13" s="527"/>
    </row>
    <row r="14" spans="1:20" s="6" customFormat="1" ht="18" customHeight="1" outlineLevel="1" thickBot="1" x14ac:dyDescent="0.25">
      <c r="A14" s="356" t="s">
        <v>754</v>
      </c>
      <c r="B14" s="22"/>
      <c r="C14" s="22"/>
      <c r="D14" s="139"/>
      <c r="E14" s="306">
        <f>SUBTOTAL(9,E3:E13)</f>
        <v>17711</v>
      </c>
      <c r="F14" s="175">
        <f>SUBTOTAL(9,F3:F13)</f>
        <v>18920</v>
      </c>
      <c r="G14" s="175">
        <f>SUBTOTAL(9,G3:G13)</f>
        <v>15662.01</v>
      </c>
      <c r="H14" s="176">
        <f t="shared" si="2"/>
        <v>0.88430975100220199</v>
      </c>
      <c r="I14" s="307">
        <f>SUBTOTAL(9,I3:I13)</f>
        <v>3257.99</v>
      </c>
      <c r="J14" s="306">
        <f>SUBTOTAL(9,J3:J13)</f>
        <v>17711</v>
      </c>
      <c r="K14" s="175">
        <f>SUBTOTAL(9,K3:K13)</f>
        <v>15128</v>
      </c>
      <c r="L14" s="175">
        <f>SUBTOTAL(9,L3:L13)</f>
        <v>11058.500000000002</v>
      </c>
      <c r="M14" s="176">
        <f t="shared" si="0"/>
        <v>0.62438597481790992</v>
      </c>
      <c r="N14" s="307">
        <f>SUBTOTAL(9,N3:N13)</f>
        <v>4069.5</v>
      </c>
      <c r="O14" s="306">
        <f>SUBTOTAL(9,O3:O13)</f>
        <v>17711</v>
      </c>
      <c r="P14" s="175">
        <f>SUBTOTAL(9,P3:P13)</f>
        <v>17711</v>
      </c>
      <c r="Q14" s="175">
        <f>SUBTOTAL(9,Q3:Q13)</f>
        <v>2364.2799999999997</v>
      </c>
      <c r="R14" s="176">
        <f t="shared" si="1"/>
        <v>0.13349218000112922</v>
      </c>
      <c r="S14" s="508">
        <f>SUBTOTAL(9,S3:S13)</f>
        <v>15346.72</v>
      </c>
      <c r="T14" s="528"/>
    </row>
    <row r="15" spans="1:20" ht="14.25" thickTop="1" thickBot="1" x14ac:dyDescent="0.25">
      <c r="A15" s="27"/>
      <c r="B15" s="91"/>
      <c r="C15" s="91"/>
      <c r="D15" s="91"/>
      <c r="E15" s="27"/>
      <c r="F15" s="91"/>
      <c r="G15" s="91"/>
      <c r="H15" s="91"/>
      <c r="I15" s="38"/>
      <c r="J15" s="27"/>
      <c r="K15" s="91"/>
      <c r="L15" s="91"/>
      <c r="M15" s="91"/>
      <c r="N15" s="38"/>
      <c r="O15" s="27"/>
      <c r="P15" s="91"/>
      <c r="Q15" s="91"/>
      <c r="R15" s="91"/>
      <c r="S15" s="91"/>
      <c r="T15" s="516"/>
    </row>
  </sheetData>
  <mergeCells count="3">
    <mergeCell ref="E1:I1"/>
    <mergeCell ref="J1:N1"/>
    <mergeCell ref="O1:S1"/>
  </mergeCells>
  <printOptions horizontalCentered="1" gridLines="1"/>
  <pageMargins left="0" right="0" top="1" bottom="0.75" header="0.3" footer="0.3"/>
  <pageSetup paperSize="5" scale="89" orientation="landscape" r:id="rId1"/>
  <headerFooter>
    <oddHeader>&amp;CMISSION COLLEGE
Fund 100 - Operating Budget vs Actual Spending for FY10/11, FY11/12 &amp; FY12/13</oddHeader>
    <oddFooter>&amp;ROffice of Administrative Services
&amp;Z&amp;F &amp;A   March 20, 2013 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230"/>
  <sheetViews>
    <sheetView topLeftCell="D1" workbookViewId="0">
      <selection activeCell="T24" sqref="T24"/>
    </sheetView>
  </sheetViews>
  <sheetFormatPr defaultColWidth="8.85546875" defaultRowHeight="12.75" outlineLevelRow="2" x14ac:dyDescent="0.2"/>
  <cols>
    <col min="1" max="1" width="12.140625" style="6" customWidth="1"/>
    <col min="2" max="2" width="22.85546875" style="6" bestFit="1" customWidth="1"/>
    <col min="3" max="3" width="17.7109375" style="6" bestFit="1" customWidth="1"/>
    <col min="4" max="4" width="18.42578125" style="6" bestFit="1" customWidth="1"/>
    <col min="5" max="6" width="7.140625" style="6" bestFit="1" customWidth="1"/>
    <col min="7" max="7" width="7.5703125" style="6" bestFit="1" customWidth="1"/>
    <col min="8" max="8" width="6.7109375" style="6" bestFit="1" customWidth="1"/>
    <col min="9" max="9" width="7.5703125" style="6" bestFit="1" customWidth="1"/>
    <col min="10" max="11" width="7.140625" style="6" bestFit="1" customWidth="1"/>
    <col min="12" max="12" width="7.5703125" style="6" bestFit="1" customWidth="1"/>
    <col min="13" max="13" width="6.7109375" style="6" bestFit="1" customWidth="1"/>
    <col min="14" max="14" width="7.5703125" style="6" bestFit="1" customWidth="1"/>
    <col min="15" max="16" width="7.140625" style="6" bestFit="1" customWidth="1"/>
    <col min="17" max="17" width="7.5703125" style="6" bestFit="1" customWidth="1"/>
    <col min="18" max="18" width="6.28515625" style="6" customWidth="1"/>
    <col min="19" max="19" width="6.7109375" style="6" bestFit="1" customWidth="1"/>
    <col min="20" max="20" width="7.5703125" style="6" bestFit="1" customWidth="1"/>
    <col min="21" max="21" width="23" style="6" bestFit="1" customWidth="1"/>
    <col min="22" max="16384" width="8.85546875" style="6"/>
  </cols>
  <sheetData>
    <row r="1" spans="1:22" s="1" customFormat="1" ht="13.5" thickBot="1" x14ac:dyDescent="0.25">
      <c r="A1" s="24"/>
      <c r="B1" s="88"/>
      <c r="C1" s="88"/>
      <c r="D1" s="88"/>
      <c r="E1" s="631" t="s">
        <v>791</v>
      </c>
      <c r="F1" s="632"/>
      <c r="G1" s="632"/>
      <c r="H1" s="632"/>
      <c r="I1" s="633"/>
      <c r="J1" s="634" t="s">
        <v>790</v>
      </c>
      <c r="K1" s="635"/>
      <c r="L1" s="635"/>
      <c r="M1" s="635"/>
      <c r="N1" s="636"/>
      <c r="O1" s="631" t="s">
        <v>792</v>
      </c>
      <c r="P1" s="632"/>
      <c r="Q1" s="632"/>
      <c r="R1" s="632"/>
      <c r="S1" s="632"/>
      <c r="T1" s="633"/>
      <c r="U1" s="518" t="s">
        <v>825</v>
      </c>
    </row>
    <row r="2" spans="1:22" s="17" customFormat="1" ht="45.75" thickBot="1" x14ac:dyDescent="0.25">
      <c r="A2" s="355"/>
      <c r="B2" s="83" t="s">
        <v>732</v>
      </c>
      <c r="C2" s="83" t="s">
        <v>735</v>
      </c>
      <c r="D2" s="348" t="s">
        <v>733</v>
      </c>
      <c r="E2" s="349" t="s">
        <v>0</v>
      </c>
      <c r="F2" s="82" t="s">
        <v>1</v>
      </c>
      <c r="G2" s="82" t="s">
        <v>772</v>
      </c>
      <c r="H2" s="82" t="s">
        <v>793</v>
      </c>
      <c r="I2" s="350" t="s">
        <v>3</v>
      </c>
      <c r="J2" s="349" t="s">
        <v>0</v>
      </c>
      <c r="K2" s="82" t="s">
        <v>1</v>
      </c>
      <c r="L2" s="82" t="s">
        <v>772</v>
      </c>
      <c r="M2" s="78" t="s">
        <v>793</v>
      </c>
      <c r="N2" s="350" t="s">
        <v>3</v>
      </c>
      <c r="O2" s="349" t="s">
        <v>0</v>
      </c>
      <c r="P2" s="82" t="s">
        <v>1</v>
      </c>
      <c r="Q2" s="82" t="s">
        <v>772</v>
      </c>
      <c r="R2" s="82" t="s">
        <v>2</v>
      </c>
      <c r="S2" s="78" t="s">
        <v>793</v>
      </c>
      <c r="T2" s="350" t="s">
        <v>3</v>
      </c>
      <c r="U2" s="529" t="s">
        <v>826</v>
      </c>
    </row>
    <row r="3" spans="1:22" ht="18" customHeight="1" outlineLevel="2" x14ac:dyDescent="0.2">
      <c r="A3" s="25" t="s">
        <v>747</v>
      </c>
      <c r="B3" s="22" t="s">
        <v>519</v>
      </c>
      <c r="C3" s="22" t="s">
        <v>517</v>
      </c>
      <c r="D3" s="139" t="s">
        <v>17</v>
      </c>
      <c r="E3" s="299">
        <v>434</v>
      </c>
      <c r="F3" s="47">
        <v>434</v>
      </c>
      <c r="G3" s="47">
        <v>434</v>
      </c>
      <c r="H3" s="48">
        <f t="shared" ref="H3:H16" si="0">+G3/E3</f>
        <v>1</v>
      </c>
      <c r="I3" s="300">
        <v>0</v>
      </c>
      <c r="J3" s="331">
        <v>436</v>
      </c>
      <c r="K3" s="57">
        <v>285</v>
      </c>
      <c r="L3" s="57">
        <v>134.4</v>
      </c>
      <c r="M3" s="58">
        <f t="shared" ref="M3:M16" si="1">+L3/J3</f>
        <v>0.30825688073394497</v>
      </c>
      <c r="N3" s="165">
        <f>285-134.4</f>
        <v>150.6</v>
      </c>
      <c r="O3" s="299">
        <v>436</v>
      </c>
      <c r="P3" s="47">
        <v>0</v>
      </c>
      <c r="Q3" s="47">
        <v>0</v>
      </c>
      <c r="R3" s="47">
        <v>0</v>
      </c>
      <c r="S3" s="48">
        <v>0</v>
      </c>
      <c r="T3" s="512">
        <v>0</v>
      </c>
      <c r="U3" s="572" t="s">
        <v>827</v>
      </c>
      <c r="V3" s="6" t="s">
        <v>828</v>
      </c>
    </row>
    <row r="4" spans="1:22" ht="18" customHeight="1" outlineLevel="2" x14ac:dyDescent="0.2">
      <c r="A4" s="25" t="s">
        <v>747</v>
      </c>
      <c r="B4" s="22" t="s">
        <v>520</v>
      </c>
      <c r="C4" s="22" t="s">
        <v>517</v>
      </c>
      <c r="D4" s="139" t="s">
        <v>246</v>
      </c>
      <c r="E4" s="299">
        <v>202</v>
      </c>
      <c r="F4" s="47">
        <v>559</v>
      </c>
      <c r="G4" s="47">
        <v>558.08000000000004</v>
      </c>
      <c r="H4" s="48">
        <f t="shared" si="0"/>
        <v>2.762772277227723</v>
      </c>
      <c r="I4" s="300">
        <v>0.92</v>
      </c>
      <c r="J4" s="331">
        <v>200</v>
      </c>
      <c r="K4" s="57">
        <v>0</v>
      </c>
      <c r="L4" s="57">
        <v>0</v>
      </c>
      <c r="M4" s="58">
        <f t="shared" si="1"/>
        <v>0</v>
      </c>
      <c r="N4" s="165">
        <v>0</v>
      </c>
      <c r="O4" s="299">
        <v>200</v>
      </c>
      <c r="P4" s="47">
        <v>200</v>
      </c>
      <c r="Q4" s="47">
        <v>8.48</v>
      </c>
      <c r="R4" s="47">
        <v>0</v>
      </c>
      <c r="S4" s="48">
        <f t="shared" ref="S4:S16" si="2">+Q4/O4</f>
        <v>4.24E-2</v>
      </c>
      <c r="T4" s="512">
        <v>191.52</v>
      </c>
      <c r="U4" s="573">
        <v>200</v>
      </c>
    </row>
    <row r="5" spans="1:22" ht="18" customHeight="1" outlineLevel="2" x14ac:dyDescent="0.2">
      <c r="A5" s="25" t="s">
        <v>747</v>
      </c>
      <c r="B5" s="22" t="s">
        <v>593</v>
      </c>
      <c r="C5" s="22" t="s">
        <v>591</v>
      </c>
      <c r="D5" s="139" t="s">
        <v>141</v>
      </c>
      <c r="E5" s="305">
        <v>30771</v>
      </c>
      <c r="F5" s="59">
        <v>32980</v>
      </c>
      <c r="G5" s="59">
        <v>51037.59</v>
      </c>
      <c r="H5" s="48">
        <f t="shared" si="0"/>
        <v>1.6586263039875206</v>
      </c>
      <c r="I5" s="300">
        <v>-18057.59</v>
      </c>
      <c r="J5" s="342">
        <v>30771</v>
      </c>
      <c r="K5" s="60">
        <v>68802</v>
      </c>
      <c r="L5" s="60">
        <v>79585.539999999994</v>
      </c>
      <c r="M5" s="58">
        <f t="shared" si="1"/>
        <v>2.5863813330733483</v>
      </c>
      <c r="N5" s="165">
        <v>-10783.54</v>
      </c>
      <c r="O5" s="305">
        <v>32980</v>
      </c>
      <c r="P5" s="59">
        <v>32980</v>
      </c>
      <c r="Q5" s="59">
        <v>45732.35</v>
      </c>
      <c r="R5" s="59">
        <v>0</v>
      </c>
      <c r="S5" s="48">
        <f t="shared" si="2"/>
        <v>1.3866691934505762</v>
      </c>
      <c r="T5" s="512">
        <v>-12752.35</v>
      </c>
      <c r="U5" s="573" t="s">
        <v>829</v>
      </c>
    </row>
    <row r="6" spans="1:22" ht="18" customHeight="1" outlineLevel="2" x14ac:dyDescent="0.2">
      <c r="A6" s="25" t="s">
        <v>747</v>
      </c>
      <c r="B6" s="22" t="s">
        <v>600</v>
      </c>
      <c r="C6" s="22" t="s">
        <v>591</v>
      </c>
      <c r="D6" s="139" t="s">
        <v>141</v>
      </c>
      <c r="E6" s="303"/>
      <c r="F6" s="61"/>
      <c r="G6" s="61"/>
      <c r="H6" s="48"/>
      <c r="I6" s="304"/>
      <c r="J6" s="432"/>
      <c r="K6" s="62"/>
      <c r="L6" s="62"/>
      <c r="M6" s="58"/>
      <c r="N6" s="164"/>
      <c r="O6" s="305">
        <v>0</v>
      </c>
      <c r="P6" s="59">
        <v>0</v>
      </c>
      <c r="Q6" s="59">
        <v>1358.5</v>
      </c>
      <c r="R6" s="59">
        <v>0</v>
      </c>
      <c r="S6" s="48">
        <v>0</v>
      </c>
      <c r="T6" s="512">
        <v>-1358.5</v>
      </c>
      <c r="U6" s="573" t="s">
        <v>830</v>
      </c>
    </row>
    <row r="7" spans="1:22" ht="18" customHeight="1" outlineLevel="2" x14ac:dyDescent="0.2">
      <c r="A7" s="25" t="s">
        <v>747</v>
      </c>
      <c r="B7" s="22" t="s">
        <v>594</v>
      </c>
      <c r="C7" s="22" t="s">
        <v>591</v>
      </c>
      <c r="D7" s="139" t="s">
        <v>7</v>
      </c>
      <c r="E7" s="299">
        <v>727</v>
      </c>
      <c r="F7" s="47">
        <v>5550</v>
      </c>
      <c r="G7" s="47">
        <v>5550</v>
      </c>
      <c r="H7" s="48">
        <f t="shared" si="0"/>
        <v>7.6341127922971115</v>
      </c>
      <c r="I7" s="300">
        <v>0</v>
      </c>
      <c r="J7" s="331">
        <v>727</v>
      </c>
      <c r="K7" s="57">
        <v>1630</v>
      </c>
      <c r="L7" s="57">
        <v>1630</v>
      </c>
      <c r="M7" s="58">
        <f t="shared" si="1"/>
        <v>2.2420907840440165</v>
      </c>
      <c r="N7" s="165">
        <v>0</v>
      </c>
      <c r="O7" s="299">
        <v>727</v>
      </c>
      <c r="P7" s="47">
        <v>727</v>
      </c>
      <c r="Q7" s="47">
        <v>2164.5</v>
      </c>
      <c r="R7" s="47">
        <v>0</v>
      </c>
      <c r="S7" s="48">
        <f t="shared" si="2"/>
        <v>2.9773039889958737</v>
      </c>
      <c r="T7" s="512">
        <v>-1437.5</v>
      </c>
      <c r="U7" s="573">
        <v>2500</v>
      </c>
    </row>
    <row r="8" spans="1:22" ht="18" customHeight="1" outlineLevel="2" x14ac:dyDescent="0.2">
      <c r="A8" s="25" t="s">
        <v>747</v>
      </c>
      <c r="B8" s="22" t="s">
        <v>595</v>
      </c>
      <c r="C8" s="22" t="s">
        <v>591</v>
      </c>
      <c r="D8" s="139" t="s">
        <v>52</v>
      </c>
      <c r="E8" s="301"/>
      <c r="F8" s="49"/>
      <c r="G8" s="49"/>
      <c r="H8" s="48"/>
      <c r="I8" s="302"/>
      <c r="J8" s="331">
        <v>0</v>
      </c>
      <c r="K8" s="57">
        <v>0</v>
      </c>
      <c r="L8" s="57">
        <v>780</v>
      </c>
      <c r="M8" s="58">
        <v>0</v>
      </c>
      <c r="N8" s="165">
        <v>-780</v>
      </c>
      <c r="O8" s="299">
        <v>0</v>
      </c>
      <c r="P8" s="47">
        <v>0</v>
      </c>
      <c r="Q8" s="47">
        <v>0</v>
      </c>
      <c r="R8" s="47">
        <v>0</v>
      </c>
      <c r="S8" s="48"/>
      <c r="T8" s="512">
        <v>0</v>
      </c>
      <c r="U8" s="573">
        <v>0</v>
      </c>
    </row>
    <row r="9" spans="1:22" ht="18" customHeight="1" outlineLevel="2" x14ac:dyDescent="0.2">
      <c r="A9" s="25" t="s">
        <v>747</v>
      </c>
      <c r="B9" s="22" t="s">
        <v>596</v>
      </c>
      <c r="C9" s="22" t="s">
        <v>591</v>
      </c>
      <c r="D9" s="139" t="s">
        <v>9</v>
      </c>
      <c r="E9" s="301"/>
      <c r="F9" s="49"/>
      <c r="G9" s="49"/>
      <c r="H9" s="48"/>
      <c r="I9" s="302"/>
      <c r="J9" s="331">
        <v>0</v>
      </c>
      <c r="K9" s="57">
        <v>0</v>
      </c>
      <c r="L9" s="57">
        <v>2720</v>
      </c>
      <c r="M9" s="58">
        <v>0</v>
      </c>
      <c r="N9" s="165">
        <v>-2720</v>
      </c>
      <c r="O9" s="299">
        <v>0</v>
      </c>
      <c r="P9" s="47">
        <v>0</v>
      </c>
      <c r="Q9" s="47">
        <v>3480</v>
      </c>
      <c r="R9" s="47">
        <v>0</v>
      </c>
      <c r="S9" s="48">
        <v>0</v>
      </c>
      <c r="T9" s="512">
        <v>-3480</v>
      </c>
      <c r="U9" s="573">
        <v>0</v>
      </c>
      <c r="V9" s="6" t="s">
        <v>831</v>
      </c>
    </row>
    <row r="10" spans="1:22" ht="18" customHeight="1" outlineLevel="2" x14ac:dyDescent="0.2">
      <c r="A10" s="25" t="s">
        <v>747</v>
      </c>
      <c r="B10" s="22" t="s">
        <v>597</v>
      </c>
      <c r="C10" s="22" t="s">
        <v>591</v>
      </c>
      <c r="D10" s="139" t="s">
        <v>407</v>
      </c>
      <c r="E10" s="299">
        <v>643</v>
      </c>
      <c r="F10" s="47">
        <v>643</v>
      </c>
      <c r="G10" s="47">
        <v>596.96</v>
      </c>
      <c r="H10" s="48">
        <f t="shared" si="0"/>
        <v>0.92839813374805602</v>
      </c>
      <c r="I10" s="300">
        <v>46.04</v>
      </c>
      <c r="J10" s="331">
        <v>643</v>
      </c>
      <c r="K10" s="57">
        <v>0</v>
      </c>
      <c r="L10" s="57">
        <v>0</v>
      </c>
      <c r="M10" s="58">
        <f t="shared" si="1"/>
        <v>0</v>
      </c>
      <c r="N10" s="165">
        <v>0</v>
      </c>
      <c r="O10" s="301"/>
      <c r="P10" s="49"/>
      <c r="Q10" s="49"/>
      <c r="R10" s="49"/>
      <c r="S10" s="48"/>
      <c r="T10" s="513"/>
      <c r="U10" s="573">
        <v>0</v>
      </c>
    </row>
    <row r="11" spans="1:22" ht="18" customHeight="1" outlineLevel="2" x14ac:dyDescent="0.2">
      <c r="A11" s="25" t="s">
        <v>747</v>
      </c>
      <c r="B11" s="22" t="s">
        <v>598</v>
      </c>
      <c r="C11" s="22" t="s">
        <v>591</v>
      </c>
      <c r="D11" s="139" t="s">
        <v>19</v>
      </c>
      <c r="E11" s="299">
        <v>635</v>
      </c>
      <c r="F11" s="47">
        <v>635</v>
      </c>
      <c r="G11" s="47">
        <v>635</v>
      </c>
      <c r="H11" s="48">
        <f t="shared" si="0"/>
        <v>1</v>
      </c>
      <c r="I11" s="300">
        <v>0</v>
      </c>
      <c r="J11" s="331">
        <v>635</v>
      </c>
      <c r="K11" s="57">
        <v>635</v>
      </c>
      <c r="L11" s="57">
        <v>597.16</v>
      </c>
      <c r="M11" s="58">
        <f t="shared" si="1"/>
        <v>0.94040944881889754</v>
      </c>
      <c r="N11" s="165">
        <v>37.840000000000003</v>
      </c>
      <c r="O11" s="299">
        <v>1278</v>
      </c>
      <c r="P11" s="47">
        <v>1278</v>
      </c>
      <c r="Q11" s="47">
        <v>772.61</v>
      </c>
      <c r="R11" s="47">
        <v>69.67</v>
      </c>
      <c r="S11" s="48">
        <f t="shared" si="2"/>
        <v>0.60454616588419408</v>
      </c>
      <c r="T11" s="512">
        <v>435.72</v>
      </c>
      <c r="U11" s="573">
        <v>1203</v>
      </c>
    </row>
    <row r="12" spans="1:22" ht="18" customHeight="1" outlineLevel="2" x14ac:dyDescent="0.2">
      <c r="A12" s="25" t="s">
        <v>747</v>
      </c>
      <c r="B12" s="22" t="s">
        <v>599</v>
      </c>
      <c r="C12" s="22" t="s">
        <v>591</v>
      </c>
      <c r="D12" s="139" t="s">
        <v>23</v>
      </c>
      <c r="E12" s="299">
        <v>1698</v>
      </c>
      <c r="F12" s="47">
        <v>2348</v>
      </c>
      <c r="G12" s="47">
        <v>2347</v>
      </c>
      <c r="H12" s="48">
        <f t="shared" si="0"/>
        <v>1.3822143698468787</v>
      </c>
      <c r="I12" s="300">
        <v>1</v>
      </c>
      <c r="J12" s="331">
        <v>1698</v>
      </c>
      <c r="K12" s="57">
        <v>3596</v>
      </c>
      <c r="L12" s="57">
        <v>3595.48</v>
      </c>
      <c r="M12" s="58">
        <f t="shared" si="1"/>
        <v>2.1174793875147233</v>
      </c>
      <c r="N12" s="165">
        <v>0.52</v>
      </c>
      <c r="O12" s="299">
        <v>1698</v>
      </c>
      <c r="P12" s="47">
        <v>1698</v>
      </c>
      <c r="Q12" s="47">
        <v>1683.52</v>
      </c>
      <c r="R12" s="47">
        <v>0</v>
      </c>
      <c r="S12" s="48">
        <f t="shared" si="2"/>
        <v>0.99147232037691402</v>
      </c>
      <c r="T12" s="512">
        <v>14.48</v>
      </c>
      <c r="U12" s="573">
        <v>0</v>
      </c>
    </row>
    <row r="13" spans="1:22" ht="18" customHeight="1" outlineLevel="2" x14ac:dyDescent="0.2">
      <c r="A13" s="25" t="s">
        <v>747</v>
      </c>
      <c r="B13" s="22" t="s">
        <v>601</v>
      </c>
      <c r="C13" s="22" t="s">
        <v>602</v>
      </c>
      <c r="D13" s="139" t="s">
        <v>141</v>
      </c>
      <c r="E13" s="303"/>
      <c r="F13" s="61"/>
      <c r="G13" s="61"/>
      <c r="H13" s="48"/>
      <c r="I13" s="304"/>
      <c r="J13" s="342">
        <v>0</v>
      </c>
      <c r="K13" s="60">
        <v>0</v>
      </c>
      <c r="L13" s="60">
        <v>1918.62</v>
      </c>
      <c r="M13" s="58">
        <v>0</v>
      </c>
      <c r="N13" s="165">
        <v>-1918.62</v>
      </c>
      <c r="O13" s="303"/>
      <c r="P13" s="61"/>
      <c r="Q13" s="61"/>
      <c r="R13" s="61"/>
      <c r="S13" s="48"/>
      <c r="T13" s="514"/>
      <c r="U13" s="573">
        <v>0</v>
      </c>
    </row>
    <row r="14" spans="1:22" ht="18" customHeight="1" outlineLevel="2" x14ac:dyDescent="0.2">
      <c r="A14" s="25" t="s">
        <v>747</v>
      </c>
      <c r="B14" s="22" t="s">
        <v>718</v>
      </c>
      <c r="C14" s="22" t="s">
        <v>719</v>
      </c>
      <c r="D14" s="139" t="s">
        <v>7</v>
      </c>
      <c r="E14" s="301"/>
      <c r="F14" s="49"/>
      <c r="G14" s="49"/>
      <c r="H14" s="48"/>
      <c r="I14" s="302"/>
      <c r="J14" s="331">
        <v>5000</v>
      </c>
      <c r="K14" s="57">
        <v>823</v>
      </c>
      <c r="L14" s="57">
        <v>1362.94</v>
      </c>
      <c r="M14" s="58">
        <f t="shared" si="1"/>
        <v>0.272588</v>
      </c>
      <c r="N14" s="165">
        <v>-539.94000000000005</v>
      </c>
      <c r="O14" s="299">
        <v>5000</v>
      </c>
      <c r="P14" s="47">
        <v>5000</v>
      </c>
      <c r="Q14" s="47">
        <v>-11</v>
      </c>
      <c r="R14" s="47">
        <v>0</v>
      </c>
      <c r="S14" s="48">
        <f t="shared" si="2"/>
        <v>-2.2000000000000001E-3</v>
      </c>
      <c r="T14" s="512">
        <v>5011</v>
      </c>
      <c r="U14" s="573">
        <v>5000</v>
      </c>
    </row>
    <row r="15" spans="1:22" ht="18" customHeight="1" outlineLevel="2" x14ac:dyDescent="0.2">
      <c r="A15" s="25" t="s">
        <v>747</v>
      </c>
      <c r="B15" s="22" t="s">
        <v>721</v>
      </c>
      <c r="C15" s="22" t="s">
        <v>722</v>
      </c>
      <c r="D15" s="139" t="s">
        <v>7</v>
      </c>
      <c r="E15" s="301"/>
      <c r="F15" s="49"/>
      <c r="G15" s="49"/>
      <c r="H15" s="48"/>
      <c r="I15" s="302"/>
      <c r="J15" s="331">
        <v>0</v>
      </c>
      <c r="K15" s="57">
        <v>4265</v>
      </c>
      <c r="L15" s="57">
        <v>4264.1499999999996</v>
      </c>
      <c r="M15" s="58">
        <v>0</v>
      </c>
      <c r="N15" s="165">
        <v>0.85</v>
      </c>
      <c r="O15" s="299">
        <v>0</v>
      </c>
      <c r="P15" s="47">
        <v>0</v>
      </c>
      <c r="Q15" s="47">
        <v>146.25</v>
      </c>
      <c r="R15" s="47">
        <v>0</v>
      </c>
      <c r="S15" s="48">
        <v>0</v>
      </c>
      <c r="T15" s="512">
        <v>-146.25</v>
      </c>
      <c r="U15" s="573">
        <v>0</v>
      </c>
    </row>
    <row r="16" spans="1:22" ht="18" customHeight="1" outlineLevel="1" thickBot="1" x14ac:dyDescent="0.25">
      <c r="A16" s="366" t="s">
        <v>755</v>
      </c>
      <c r="B16" s="3"/>
      <c r="C16" s="3"/>
      <c r="D16" s="3"/>
      <c r="E16" s="148">
        <f>SUBTOTAL(9,E3:E15)</f>
        <v>35110</v>
      </c>
      <c r="F16" s="116">
        <f>SUBTOTAL(9,F3:F15)</f>
        <v>43149</v>
      </c>
      <c r="G16" s="116">
        <f>SUBTOTAL(9,G3:G15)</f>
        <v>61158.63</v>
      </c>
      <c r="H16" s="117">
        <f t="shared" si="0"/>
        <v>1.7419148390771859</v>
      </c>
      <c r="I16" s="119">
        <f>SUBTOTAL(9,I3:I15)</f>
        <v>-18009.63</v>
      </c>
      <c r="J16" s="148">
        <f>SUBTOTAL(9,J3:J15)</f>
        <v>40110</v>
      </c>
      <c r="K16" s="116">
        <f>SUBTOTAL(9,K3:K15)</f>
        <v>80036</v>
      </c>
      <c r="L16" s="116">
        <f>SUBTOTAL(9,L3:L15)</f>
        <v>96588.289999999979</v>
      </c>
      <c r="M16" s="117">
        <f t="shared" si="1"/>
        <v>2.4080850162054346</v>
      </c>
      <c r="N16" s="119">
        <f>SUBTOTAL(9,N3:N15)</f>
        <v>-16552.29</v>
      </c>
      <c r="O16" s="148">
        <f>SUBTOTAL(9,O3:O15)</f>
        <v>42319</v>
      </c>
      <c r="P16" s="116">
        <f>SUBTOTAL(9,P3:P15)</f>
        <v>41883</v>
      </c>
      <c r="Q16" s="116">
        <f>SUBTOTAL(9,Q3:Q15)</f>
        <v>55335.21</v>
      </c>
      <c r="R16" s="116">
        <f>SUBTOTAL(9,R3:R15)</f>
        <v>69.67</v>
      </c>
      <c r="S16" s="117">
        <f t="shared" si="2"/>
        <v>1.3075736666745432</v>
      </c>
      <c r="T16" s="118">
        <f>SUBTOTAL(9,T3:T15)</f>
        <v>-13521.880000000001</v>
      </c>
      <c r="U16" s="509"/>
    </row>
    <row r="17" spans="1:21" ht="14.25" thickTop="1" thickBot="1" x14ac:dyDescent="0.25">
      <c r="A17" s="450"/>
      <c r="B17" s="28"/>
      <c r="C17" s="28"/>
      <c r="D17" s="28"/>
      <c r="E17" s="262"/>
      <c r="F17" s="29"/>
      <c r="G17" s="449"/>
      <c r="H17" s="29"/>
      <c r="I17" s="30"/>
      <c r="J17" s="262"/>
      <c r="K17" s="29"/>
      <c r="L17" s="449"/>
      <c r="M17" s="29"/>
      <c r="N17" s="30"/>
      <c r="O17" s="262"/>
      <c r="P17" s="29"/>
      <c r="Q17" s="29"/>
      <c r="R17" s="29"/>
      <c r="S17" s="449"/>
      <c r="T17" s="449"/>
      <c r="U17" s="515"/>
    </row>
    <row r="18" spans="1:21" x14ac:dyDescent="0.2">
      <c r="A18" s="3"/>
      <c r="B18" s="3"/>
      <c r="C18" s="3"/>
      <c r="D18" s="3"/>
      <c r="E18" s="18"/>
      <c r="F18" s="18"/>
      <c r="H18" s="18"/>
      <c r="I18" s="18"/>
      <c r="J18" s="18"/>
      <c r="K18" s="18"/>
      <c r="M18" s="18"/>
      <c r="N18" s="18"/>
      <c r="O18" s="18"/>
      <c r="P18" s="18"/>
      <c r="Q18" s="18"/>
      <c r="R18" s="18"/>
    </row>
    <row r="19" spans="1:21" x14ac:dyDescent="0.2">
      <c r="A19" s="3"/>
      <c r="B19" s="3"/>
      <c r="C19" s="3"/>
      <c r="D19" s="3"/>
      <c r="E19" s="18"/>
      <c r="F19" s="18"/>
      <c r="H19" s="18"/>
      <c r="I19" s="18"/>
      <c r="J19" s="18"/>
      <c r="K19" s="18"/>
      <c r="M19" s="18"/>
      <c r="N19" s="18"/>
      <c r="O19" s="18"/>
      <c r="P19" s="18"/>
      <c r="Q19" s="18"/>
      <c r="R19" s="18"/>
    </row>
    <row r="20" spans="1:21" x14ac:dyDescent="0.2">
      <c r="A20" s="3"/>
      <c r="B20" s="3"/>
      <c r="C20" s="3"/>
      <c r="D20" s="3"/>
      <c r="E20" s="18"/>
      <c r="F20" s="18"/>
      <c r="H20" s="18"/>
      <c r="I20" s="18"/>
      <c r="J20" s="18"/>
      <c r="K20" s="18"/>
      <c r="M20" s="18"/>
    </row>
    <row r="21" spans="1:21" x14ac:dyDescent="0.2">
      <c r="A21" s="3"/>
      <c r="B21" s="3"/>
      <c r="C21" s="3"/>
      <c r="D21" s="3"/>
      <c r="E21" s="18"/>
      <c r="F21" s="18"/>
      <c r="H21" s="18"/>
      <c r="I21" s="18"/>
      <c r="J21" s="18"/>
      <c r="K21" s="18"/>
      <c r="M21" s="18"/>
    </row>
    <row r="22" spans="1:21" x14ac:dyDescent="0.2">
      <c r="A22" s="3"/>
      <c r="B22" s="3"/>
      <c r="C22" s="3"/>
      <c r="D22" s="3"/>
      <c r="E22" s="18"/>
      <c r="F22" s="18"/>
      <c r="H22" s="18"/>
    </row>
    <row r="23" spans="1:21" x14ac:dyDescent="0.2">
      <c r="A23" s="3"/>
      <c r="B23" s="3"/>
      <c r="C23" s="3"/>
      <c r="D23" s="3"/>
      <c r="E23" s="18"/>
      <c r="F23" s="18"/>
      <c r="H23" s="18"/>
      <c r="I23" s="18"/>
      <c r="J23" s="18"/>
      <c r="K23" s="18"/>
      <c r="M23" s="18"/>
      <c r="N23" s="18"/>
      <c r="O23" s="18"/>
      <c r="P23" s="18"/>
      <c r="Q23" s="18"/>
      <c r="R23" s="18"/>
    </row>
    <row r="24" spans="1:21" x14ac:dyDescent="0.2">
      <c r="A24" s="3"/>
      <c r="B24" s="3"/>
      <c r="C24" s="3"/>
      <c r="D24" s="3"/>
      <c r="E24" s="18"/>
      <c r="F24" s="18"/>
      <c r="H24" s="18"/>
      <c r="I24" s="18"/>
      <c r="J24" s="18"/>
      <c r="K24" s="18"/>
      <c r="M24" s="18"/>
    </row>
    <row r="25" spans="1:21" x14ac:dyDescent="0.2">
      <c r="A25" s="3"/>
      <c r="B25" s="3"/>
      <c r="C25" s="3"/>
      <c r="D25" s="3"/>
      <c r="E25" s="18"/>
      <c r="F25" s="18"/>
      <c r="H25" s="18"/>
    </row>
    <row r="26" spans="1:21" x14ac:dyDescent="0.2">
      <c r="A26" s="3"/>
      <c r="B26" s="3"/>
      <c r="C26" s="3"/>
      <c r="D26" s="3"/>
      <c r="E26" s="18"/>
      <c r="F26" s="18"/>
      <c r="H26" s="18"/>
      <c r="I26" s="18"/>
      <c r="J26" s="18"/>
      <c r="K26" s="18"/>
      <c r="M26" s="18"/>
    </row>
    <row r="27" spans="1:21" x14ac:dyDescent="0.2">
      <c r="A27" s="3"/>
      <c r="B27" s="3"/>
      <c r="C27" s="3"/>
      <c r="D27" s="3"/>
      <c r="E27" s="18"/>
      <c r="F27" s="18"/>
      <c r="H27" s="18"/>
      <c r="I27" s="18"/>
      <c r="J27" s="18"/>
      <c r="K27" s="18"/>
      <c r="M27" s="18"/>
      <c r="N27" s="18"/>
      <c r="O27" s="18"/>
      <c r="P27" s="18"/>
      <c r="Q27" s="18"/>
      <c r="R27" s="18"/>
    </row>
    <row r="28" spans="1:21" x14ac:dyDescent="0.2">
      <c r="A28" s="3"/>
      <c r="B28" s="3"/>
      <c r="C28" s="3"/>
      <c r="D28" s="3"/>
      <c r="E28" s="18"/>
      <c r="F28" s="18"/>
      <c r="H28" s="18"/>
      <c r="I28" s="18"/>
      <c r="J28" s="18"/>
      <c r="K28" s="18"/>
      <c r="M28" s="18"/>
    </row>
    <row r="29" spans="1:21" x14ac:dyDescent="0.2">
      <c r="A29" s="3"/>
      <c r="B29" s="3"/>
      <c r="C29" s="3"/>
      <c r="D29" s="3"/>
      <c r="E29" s="18"/>
      <c r="F29" s="18"/>
      <c r="H29" s="18"/>
      <c r="I29" s="18"/>
      <c r="J29" s="18"/>
      <c r="K29" s="18"/>
      <c r="M29" s="18"/>
    </row>
    <row r="30" spans="1:21" x14ac:dyDescent="0.2">
      <c r="A30" s="3"/>
      <c r="B30" s="3"/>
      <c r="C30" s="3"/>
      <c r="D30" s="3"/>
      <c r="E30" s="18"/>
      <c r="F30" s="18"/>
      <c r="H30" s="18"/>
    </row>
    <row r="31" spans="1:21" x14ac:dyDescent="0.2">
      <c r="A31" s="3"/>
      <c r="B31" s="3"/>
      <c r="C31" s="3"/>
      <c r="D31" s="3"/>
      <c r="E31" s="18"/>
      <c r="F31" s="18"/>
      <c r="H31" s="18"/>
    </row>
    <row r="32" spans="1:21" x14ac:dyDescent="0.2">
      <c r="A32" s="3"/>
      <c r="B32" s="3"/>
      <c r="C32" s="3"/>
      <c r="D32" s="3"/>
      <c r="E32" s="18"/>
      <c r="F32" s="18"/>
      <c r="H32" s="18"/>
      <c r="I32" s="18"/>
      <c r="J32" s="18"/>
      <c r="K32" s="18"/>
      <c r="M32" s="18"/>
    </row>
    <row r="33" spans="1:18" x14ac:dyDescent="0.2">
      <c r="A33" s="3"/>
      <c r="B33" s="3"/>
      <c r="C33" s="3"/>
      <c r="D33" s="3"/>
      <c r="E33" s="18"/>
      <c r="F33" s="18"/>
      <c r="H33" s="18"/>
      <c r="I33" s="18"/>
      <c r="J33" s="18"/>
      <c r="K33" s="18"/>
      <c r="M33" s="18"/>
    </row>
    <row r="34" spans="1:18" x14ac:dyDescent="0.2">
      <c r="A34" s="3"/>
      <c r="B34" s="3"/>
      <c r="C34" s="3"/>
      <c r="D34" s="3"/>
      <c r="E34" s="18"/>
      <c r="F34" s="18"/>
      <c r="H34" s="18"/>
      <c r="I34" s="18"/>
      <c r="J34" s="18"/>
      <c r="K34" s="18"/>
      <c r="M34" s="18"/>
      <c r="N34" s="18"/>
      <c r="O34" s="18"/>
      <c r="P34" s="18"/>
      <c r="Q34" s="18"/>
      <c r="R34" s="18"/>
    </row>
    <row r="35" spans="1:18" x14ac:dyDescent="0.2">
      <c r="A35" s="3"/>
      <c r="B35" s="3"/>
      <c r="C35" s="3"/>
      <c r="D35" s="3"/>
      <c r="I35" s="18"/>
      <c r="J35" s="18"/>
      <c r="K35" s="18"/>
      <c r="M35" s="18"/>
    </row>
    <row r="36" spans="1:18" x14ac:dyDescent="0.2">
      <c r="A36" s="3"/>
      <c r="B36" s="3"/>
      <c r="C36" s="3"/>
      <c r="D36" s="3"/>
      <c r="I36" s="18"/>
      <c r="J36" s="18"/>
      <c r="K36" s="18"/>
      <c r="M36" s="18"/>
    </row>
    <row r="37" spans="1:18" x14ac:dyDescent="0.2">
      <c r="A37" s="3"/>
      <c r="B37" s="3"/>
      <c r="C37" s="3"/>
      <c r="D37" s="3"/>
      <c r="E37" s="18"/>
      <c r="F37" s="18"/>
      <c r="H37" s="18"/>
      <c r="I37" s="18"/>
      <c r="J37" s="18"/>
      <c r="K37" s="18"/>
      <c r="M37" s="18"/>
    </row>
    <row r="38" spans="1:18" x14ac:dyDescent="0.2">
      <c r="A38" s="3"/>
      <c r="B38" s="3"/>
      <c r="C38" s="3"/>
      <c r="D38" s="3"/>
      <c r="E38" s="18"/>
      <c r="F38" s="18"/>
      <c r="H38" s="18"/>
      <c r="I38" s="18"/>
      <c r="J38" s="18"/>
      <c r="K38" s="18"/>
      <c r="M38" s="18"/>
      <c r="N38" s="18"/>
      <c r="O38" s="18"/>
      <c r="P38" s="18"/>
      <c r="Q38" s="18"/>
      <c r="R38" s="18"/>
    </row>
    <row r="39" spans="1:18" x14ac:dyDescent="0.2">
      <c r="A39" s="3"/>
      <c r="B39" s="3"/>
      <c r="C39" s="3"/>
      <c r="D39" s="3"/>
      <c r="E39" s="18"/>
      <c r="F39" s="18"/>
      <c r="H39" s="18"/>
      <c r="I39" s="18"/>
      <c r="J39" s="18"/>
      <c r="K39" s="18"/>
      <c r="M39" s="18"/>
    </row>
    <row r="40" spans="1:18" x14ac:dyDescent="0.2">
      <c r="A40" s="3"/>
      <c r="B40" s="3"/>
      <c r="C40" s="3"/>
      <c r="D40" s="3"/>
      <c r="E40" s="18"/>
      <c r="F40" s="18"/>
      <c r="H40" s="18"/>
    </row>
    <row r="41" spans="1:18" x14ac:dyDescent="0.2">
      <c r="A41" s="3"/>
      <c r="B41" s="3"/>
      <c r="C41" s="3"/>
      <c r="D41" s="3"/>
      <c r="I41" s="18"/>
      <c r="J41" s="18"/>
      <c r="K41" s="18"/>
      <c r="M41" s="18"/>
    </row>
    <row r="42" spans="1:18" x14ac:dyDescent="0.2">
      <c r="A42" s="3"/>
      <c r="B42" s="3"/>
      <c r="C42" s="3"/>
      <c r="D42" s="3"/>
      <c r="I42" s="18"/>
      <c r="J42" s="18"/>
      <c r="K42" s="18"/>
      <c r="M42" s="18"/>
    </row>
    <row r="43" spans="1:18" x14ac:dyDescent="0.2">
      <c r="A43" s="3"/>
      <c r="B43" s="3"/>
      <c r="C43" s="3"/>
      <c r="D43" s="3"/>
      <c r="E43" s="18"/>
      <c r="F43" s="18"/>
      <c r="H43" s="18"/>
      <c r="I43" s="18"/>
      <c r="J43" s="18"/>
      <c r="K43" s="18"/>
      <c r="M43" s="18"/>
      <c r="N43" s="18"/>
      <c r="O43" s="18"/>
      <c r="P43" s="18"/>
      <c r="Q43" s="18"/>
      <c r="R43" s="18"/>
    </row>
    <row r="44" spans="1:18" x14ac:dyDescent="0.2">
      <c r="A44" s="3"/>
      <c r="B44" s="3"/>
      <c r="C44" s="3"/>
      <c r="D44" s="3"/>
      <c r="E44" s="18"/>
      <c r="F44" s="18"/>
      <c r="H44" s="18"/>
      <c r="I44" s="18"/>
      <c r="J44" s="18"/>
      <c r="K44" s="18"/>
      <c r="M44" s="18"/>
      <c r="N44" s="18"/>
      <c r="O44" s="18"/>
      <c r="P44" s="18"/>
      <c r="Q44" s="18"/>
      <c r="R44" s="18"/>
    </row>
    <row r="45" spans="1:18" x14ac:dyDescent="0.2">
      <c r="A45" s="3"/>
      <c r="B45" s="3"/>
      <c r="C45" s="3"/>
      <c r="D45" s="3"/>
      <c r="E45" s="18"/>
      <c r="F45" s="18"/>
      <c r="H45" s="18"/>
      <c r="I45" s="18"/>
      <c r="J45" s="18"/>
      <c r="K45" s="18"/>
      <c r="M45" s="18"/>
      <c r="N45" s="18"/>
      <c r="O45" s="18"/>
      <c r="P45" s="18"/>
      <c r="Q45" s="18"/>
      <c r="R45" s="18"/>
    </row>
    <row r="46" spans="1:18" x14ac:dyDescent="0.2">
      <c r="A46" s="3"/>
      <c r="B46" s="3"/>
      <c r="C46" s="3"/>
      <c r="D46" s="3"/>
      <c r="E46" s="18"/>
      <c r="F46" s="18"/>
      <c r="H46" s="18"/>
      <c r="I46" s="18"/>
      <c r="J46" s="18"/>
      <c r="K46" s="18"/>
      <c r="M46" s="18"/>
      <c r="N46" s="18"/>
      <c r="O46" s="18"/>
      <c r="P46" s="18"/>
      <c r="Q46" s="18"/>
      <c r="R46" s="18"/>
    </row>
    <row r="47" spans="1:18" x14ac:dyDescent="0.2">
      <c r="A47" s="3"/>
      <c r="B47" s="3"/>
      <c r="C47" s="3"/>
      <c r="D47" s="3"/>
      <c r="E47" s="18"/>
      <c r="F47" s="18"/>
      <c r="H47" s="18"/>
      <c r="I47" s="18"/>
      <c r="J47" s="18"/>
      <c r="K47" s="18"/>
      <c r="M47" s="18"/>
      <c r="N47" s="18"/>
      <c r="O47" s="18"/>
      <c r="P47" s="18"/>
      <c r="Q47" s="18"/>
      <c r="R47" s="18"/>
    </row>
    <row r="48" spans="1:18" x14ac:dyDescent="0.2">
      <c r="A48" s="3"/>
      <c r="B48" s="3"/>
      <c r="C48" s="3"/>
      <c r="D48" s="3"/>
      <c r="E48" s="18"/>
      <c r="F48" s="18"/>
      <c r="H48" s="18"/>
      <c r="I48" s="18"/>
      <c r="J48" s="18"/>
      <c r="K48" s="18"/>
      <c r="M48" s="18"/>
      <c r="N48" s="18"/>
      <c r="O48" s="18"/>
      <c r="P48" s="18"/>
      <c r="Q48" s="18"/>
      <c r="R48" s="18"/>
    </row>
    <row r="49" spans="1:18" x14ac:dyDescent="0.2">
      <c r="A49" s="3"/>
      <c r="B49" s="3"/>
      <c r="C49" s="3"/>
      <c r="D49" s="3"/>
      <c r="E49" s="18"/>
      <c r="F49" s="18"/>
      <c r="H49" s="18"/>
      <c r="I49" s="18"/>
      <c r="J49" s="18"/>
      <c r="K49" s="18"/>
      <c r="M49" s="18"/>
      <c r="N49" s="18"/>
      <c r="O49" s="18"/>
      <c r="P49" s="18"/>
      <c r="Q49" s="18"/>
      <c r="R49" s="18"/>
    </row>
    <row r="50" spans="1:18" x14ac:dyDescent="0.2">
      <c r="A50" s="3"/>
      <c r="B50" s="3"/>
      <c r="C50" s="3"/>
      <c r="D50" s="3"/>
      <c r="E50" s="18"/>
      <c r="F50" s="18"/>
      <c r="H50" s="18"/>
      <c r="I50" s="18"/>
      <c r="J50" s="18"/>
      <c r="K50" s="18"/>
      <c r="M50" s="18"/>
    </row>
    <row r="51" spans="1:18" x14ac:dyDescent="0.2">
      <c r="A51" s="3"/>
      <c r="B51" s="3"/>
      <c r="C51" s="3"/>
      <c r="D51" s="3"/>
      <c r="E51" s="18"/>
      <c r="F51" s="18"/>
      <c r="H51" s="18"/>
      <c r="I51" s="18"/>
      <c r="J51" s="18"/>
      <c r="K51" s="18"/>
      <c r="M51" s="18"/>
      <c r="N51" s="18"/>
      <c r="O51" s="18"/>
      <c r="P51" s="18"/>
      <c r="Q51" s="18"/>
      <c r="R51" s="18"/>
    </row>
    <row r="52" spans="1:18" x14ac:dyDescent="0.2">
      <c r="A52" s="3"/>
      <c r="B52" s="3"/>
      <c r="C52" s="3"/>
      <c r="D52" s="3"/>
      <c r="E52" s="18"/>
      <c r="F52" s="18"/>
      <c r="H52" s="18"/>
    </row>
    <row r="53" spans="1:18" x14ac:dyDescent="0.2">
      <c r="A53" s="3"/>
      <c r="B53" s="3"/>
      <c r="C53" s="3"/>
      <c r="D53" s="3"/>
      <c r="E53" s="18"/>
      <c r="F53" s="18"/>
      <c r="H53" s="18"/>
      <c r="I53" s="18"/>
      <c r="J53" s="18"/>
      <c r="K53" s="18"/>
      <c r="M53" s="18"/>
    </row>
    <row r="54" spans="1:18" x14ac:dyDescent="0.2">
      <c r="A54" s="3"/>
      <c r="B54" s="3"/>
      <c r="C54" s="3"/>
      <c r="D54" s="3"/>
      <c r="E54" s="18"/>
      <c r="F54" s="18"/>
      <c r="H54" s="18"/>
      <c r="I54" s="18"/>
      <c r="J54" s="18"/>
      <c r="K54" s="18"/>
      <c r="M54" s="18"/>
    </row>
    <row r="55" spans="1:18" x14ac:dyDescent="0.2">
      <c r="A55" s="3"/>
      <c r="B55" s="3"/>
      <c r="C55" s="3"/>
      <c r="D55" s="3"/>
      <c r="E55" s="18"/>
      <c r="F55" s="18"/>
      <c r="H55" s="18"/>
    </row>
    <row r="56" spans="1:18" x14ac:dyDescent="0.2">
      <c r="A56" s="3"/>
      <c r="B56" s="3"/>
      <c r="C56" s="3"/>
      <c r="D56" s="3"/>
      <c r="E56" s="18"/>
      <c r="F56" s="18"/>
      <c r="H56" s="18"/>
      <c r="I56" s="18"/>
      <c r="J56" s="18"/>
      <c r="K56" s="18"/>
      <c r="M56" s="18"/>
    </row>
    <row r="57" spans="1:18" x14ac:dyDescent="0.2">
      <c r="A57" s="3"/>
      <c r="B57" s="3"/>
      <c r="C57" s="3"/>
      <c r="D57" s="3"/>
      <c r="E57" s="18"/>
      <c r="F57" s="18"/>
      <c r="H57" s="18"/>
      <c r="I57" s="18"/>
      <c r="J57" s="18"/>
      <c r="K57" s="18"/>
      <c r="M57" s="18"/>
    </row>
    <row r="58" spans="1:18" x14ac:dyDescent="0.2">
      <c r="A58" s="3"/>
      <c r="B58" s="3"/>
      <c r="C58" s="3"/>
      <c r="D58" s="3"/>
      <c r="E58" s="18"/>
      <c r="F58" s="18"/>
      <c r="H58" s="18"/>
      <c r="I58" s="18"/>
      <c r="J58" s="18"/>
      <c r="K58" s="18"/>
      <c r="M58" s="18"/>
    </row>
    <row r="59" spans="1:18" x14ac:dyDescent="0.2">
      <c r="A59" s="3"/>
      <c r="B59" s="3"/>
      <c r="C59" s="3"/>
      <c r="D59" s="3"/>
      <c r="E59" s="18"/>
      <c r="F59" s="18"/>
      <c r="H59" s="18"/>
    </row>
    <row r="60" spans="1:18" x14ac:dyDescent="0.2">
      <c r="A60" s="3"/>
      <c r="B60" s="3"/>
      <c r="C60" s="3"/>
      <c r="D60" s="3"/>
      <c r="E60" s="18"/>
      <c r="F60" s="18"/>
      <c r="H60" s="18"/>
    </row>
    <row r="61" spans="1:18" x14ac:dyDescent="0.2">
      <c r="A61" s="3"/>
      <c r="B61" s="3"/>
      <c r="C61" s="3"/>
      <c r="D61" s="3"/>
      <c r="E61" s="18"/>
      <c r="F61" s="18"/>
      <c r="H61" s="18"/>
    </row>
    <row r="62" spans="1:18" x14ac:dyDescent="0.2">
      <c r="A62" s="3"/>
      <c r="B62" s="3"/>
      <c r="C62" s="3"/>
      <c r="D62" s="3"/>
      <c r="E62" s="18"/>
      <c r="F62" s="18"/>
      <c r="H62" s="18"/>
    </row>
    <row r="63" spans="1:18" x14ac:dyDescent="0.2">
      <c r="A63" s="3"/>
      <c r="B63" s="3"/>
      <c r="C63" s="3"/>
      <c r="D63" s="3"/>
      <c r="E63" s="18"/>
      <c r="F63" s="18"/>
      <c r="H63" s="18"/>
    </row>
    <row r="64" spans="1:18" x14ac:dyDescent="0.2">
      <c r="A64" s="3"/>
      <c r="B64" s="3"/>
      <c r="C64" s="3"/>
      <c r="D64" s="3"/>
      <c r="E64" s="18"/>
      <c r="F64" s="18"/>
      <c r="H64" s="18"/>
    </row>
    <row r="65" spans="1:13" x14ac:dyDescent="0.2">
      <c r="A65" s="3"/>
      <c r="B65" s="3"/>
      <c r="C65" s="3"/>
      <c r="D65" s="3"/>
      <c r="E65" s="18"/>
      <c r="F65" s="18"/>
      <c r="H65" s="18"/>
    </row>
    <row r="66" spans="1:13" x14ac:dyDescent="0.2">
      <c r="A66" s="3"/>
      <c r="B66" s="3"/>
      <c r="C66" s="3"/>
      <c r="D66" s="3"/>
      <c r="E66" s="18"/>
      <c r="F66" s="18"/>
      <c r="H66" s="18"/>
      <c r="I66" s="18"/>
      <c r="J66" s="18"/>
      <c r="K66" s="18"/>
      <c r="M66" s="18"/>
    </row>
    <row r="67" spans="1:13" x14ac:dyDescent="0.2">
      <c r="A67" s="3"/>
      <c r="B67" s="3"/>
      <c r="C67" s="3"/>
      <c r="D67" s="3"/>
      <c r="E67" s="18"/>
      <c r="F67" s="18"/>
      <c r="H67" s="18"/>
    </row>
    <row r="68" spans="1:13" x14ac:dyDescent="0.2">
      <c r="A68" s="3"/>
      <c r="B68" s="3"/>
      <c r="C68" s="3"/>
      <c r="D68" s="3"/>
      <c r="I68" s="18"/>
      <c r="J68" s="18"/>
      <c r="K68" s="18"/>
      <c r="M68" s="18"/>
    </row>
    <row r="69" spans="1:13" x14ac:dyDescent="0.2">
      <c r="A69" s="3"/>
      <c r="B69" s="3"/>
      <c r="C69" s="3"/>
      <c r="D69" s="3"/>
      <c r="E69" s="18"/>
      <c r="F69" s="18"/>
      <c r="H69" s="18"/>
    </row>
    <row r="70" spans="1:13" x14ac:dyDescent="0.2">
      <c r="A70" s="3"/>
      <c r="B70" s="3"/>
      <c r="C70" s="3"/>
      <c r="D70" s="3"/>
      <c r="E70" s="18"/>
      <c r="F70" s="18"/>
      <c r="H70" s="18"/>
      <c r="I70" s="18"/>
      <c r="J70" s="18"/>
      <c r="K70" s="18"/>
      <c r="M70" s="18"/>
    </row>
    <row r="71" spans="1:13" x14ac:dyDescent="0.2">
      <c r="A71" s="3"/>
      <c r="B71" s="3"/>
      <c r="C71" s="3"/>
      <c r="D71" s="3"/>
      <c r="E71" s="18"/>
      <c r="F71" s="18"/>
      <c r="H71" s="18"/>
    </row>
    <row r="72" spans="1:13" x14ac:dyDescent="0.2">
      <c r="A72" s="3"/>
      <c r="B72" s="3"/>
      <c r="C72" s="3"/>
      <c r="D72" s="3"/>
      <c r="E72" s="18"/>
      <c r="F72" s="18"/>
      <c r="H72" s="18"/>
      <c r="I72" s="18"/>
      <c r="J72" s="18"/>
      <c r="K72" s="18"/>
      <c r="M72" s="18"/>
    </row>
    <row r="73" spans="1:13" x14ac:dyDescent="0.2">
      <c r="A73" s="3"/>
      <c r="B73" s="3"/>
      <c r="C73" s="3"/>
      <c r="D73" s="3"/>
      <c r="E73" s="18"/>
      <c r="F73" s="18"/>
      <c r="H73" s="18"/>
    </row>
    <row r="74" spans="1:13" x14ac:dyDescent="0.2">
      <c r="A74" s="3"/>
      <c r="B74" s="3"/>
      <c r="C74" s="3"/>
      <c r="D74" s="3"/>
      <c r="E74" s="18"/>
      <c r="F74" s="18"/>
      <c r="H74" s="18"/>
    </row>
    <row r="75" spans="1:13" x14ac:dyDescent="0.2">
      <c r="A75" s="3"/>
      <c r="B75" s="3"/>
      <c r="C75" s="3"/>
      <c r="D75" s="3"/>
      <c r="E75" s="18"/>
      <c r="F75" s="18"/>
      <c r="H75" s="18"/>
      <c r="I75" s="18"/>
      <c r="J75" s="18"/>
      <c r="K75" s="18"/>
      <c r="M75" s="18"/>
    </row>
    <row r="76" spans="1:13" x14ac:dyDescent="0.2">
      <c r="A76" s="3"/>
      <c r="B76" s="3"/>
      <c r="C76" s="3"/>
      <c r="D76" s="3"/>
      <c r="E76" s="18"/>
      <c r="F76" s="18"/>
      <c r="H76" s="18"/>
      <c r="I76" s="18"/>
      <c r="J76" s="18"/>
      <c r="K76" s="18"/>
      <c r="M76" s="18"/>
    </row>
    <row r="77" spans="1:13" x14ac:dyDescent="0.2">
      <c r="A77" s="3"/>
      <c r="B77" s="3"/>
      <c r="C77" s="3"/>
      <c r="D77" s="3"/>
      <c r="E77" s="18"/>
      <c r="F77" s="18"/>
      <c r="H77" s="18"/>
      <c r="I77" s="18"/>
      <c r="J77" s="18"/>
      <c r="K77" s="18"/>
      <c r="M77" s="18"/>
    </row>
    <row r="78" spans="1:13" x14ac:dyDescent="0.2">
      <c r="A78" s="3"/>
      <c r="B78" s="3"/>
      <c r="C78" s="3"/>
      <c r="D78" s="3"/>
      <c r="E78" s="18"/>
      <c r="F78" s="18"/>
      <c r="H78" s="18"/>
      <c r="I78" s="18"/>
      <c r="J78" s="18"/>
      <c r="K78" s="18"/>
      <c r="M78" s="18"/>
    </row>
    <row r="79" spans="1:13" x14ac:dyDescent="0.2">
      <c r="A79" s="3"/>
      <c r="B79" s="3"/>
      <c r="C79" s="3"/>
      <c r="D79" s="3"/>
      <c r="E79" s="18"/>
      <c r="F79" s="18"/>
      <c r="H79" s="18"/>
    </row>
    <row r="80" spans="1:13" x14ac:dyDescent="0.2">
      <c r="A80" s="3"/>
      <c r="B80" s="3"/>
      <c r="C80" s="3"/>
      <c r="D80" s="3"/>
      <c r="E80" s="18"/>
      <c r="F80" s="18"/>
      <c r="H80" s="18"/>
      <c r="I80" s="18"/>
      <c r="J80" s="18"/>
      <c r="K80" s="18"/>
      <c r="M80" s="18"/>
    </row>
    <row r="81" spans="1:13" x14ac:dyDescent="0.2">
      <c r="A81" s="3"/>
      <c r="B81" s="3"/>
      <c r="C81" s="3"/>
      <c r="D81" s="3"/>
      <c r="E81" s="18"/>
      <c r="F81" s="18"/>
      <c r="H81" s="18"/>
      <c r="I81" s="18"/>
      <c r="J81" s="18"/>
      <c r="K81" s="18"/>
      <c r="M81" s="18"/>
    </row>
    <row r="82" spans="1:13" x14ac:dyDescent="0.2">
      <c r="A82" s="3"/>
      <c r="B82" s="3"/>
      <c r="C82" s="3"/>
      <c r="D82" s="3"/>
      <c r="E82" s="18"/>
      <c r="F82" s="18"/>
      <c r="H82" s="18"/>
      <c r="I82" s="18"/>
      <c r="J82" s="18"/>
      <c r="K82" s="18"/>
      <c r="M82" s="18"/>
    </row>
    <row r="83" spans="1:13" x14ac:dyDescent="0.2">
      <c r="A83" s="3"/>
      <c r="B83" s="3"/>
      <c r="C83" s="3"/>
      <c r="D83" s="3"/>
      <c r="E83" s="18"/>
      <c r="F83" s="18"/>
      <c r="H83" s="18"/>
      <c r="I83" s="18"/>
      <c r="J83" s="18"/>
      <c r="K83" s="18"/>
      <c r="M83" s="18"/>
    </row>
    <row r="84" spans="1:13" x14ac:dyDescent="0.2">
      <c r="A84" s="3"/>
      <c r="B84" s="3"/>
      <c r="C84" s="3"/>
      <c r="D84" s="3"/>
      <c r="E84" s="18"/>
      <c r="F84" s="18"/>
      <c r="H84" s="18"/>
    </row>
    <row r="85" spans="1:13" x14ac:dyDescent="0.2">
      <c r="A85" s="3"/>
      <c r="B85" s="3"/>
      <c r="C85" s="3"/>
      <c r="D85" s="3"/>
      <c r="E85" s="18"/>
      <c r="F85" s="18"/>
      <c r="H85" s="18"/>
      <c r="I85" s="18"/>
      <c r="J85" s="18"/>
      <c r="K85" s="18"/>
      <c r="M85" s="18"/>
    </row>
    <row r="86" spans="1:13" x14ac:dyDescent="0.2">
      <c r="A86" s="3"/>
      <c r="B86" s="3"/>
      <c r="C86" s="3"/>
      <c r="D86" s="3"/>
      <c r="E86" s="18"/>
      <c r="F86" s="18"/>
      <c r="H86" s="18"/>
    </row>
    <row r="87" spans="1:13" x14ac:dyDescent="0.2">
      <c r="A87" s="3"/>
      <c r="B87" s="3"/>
      <c r="C87" s="3"/>
      <c r="D87" s="3"/>
      <c r="E87" s="18"/>
      <c r="F87" s="18"/>
      <c r="H87" s="18"/>
      <c r="I87" s="18"/>
      <c r="J87" s="18"/>
      <c r="K87" s="18"/>
      <c r="M87" s="18"/>
    </row>
    <row r="88" spans="1:13" x14ac:dyDescent="0.2">
      <c r="A88" s="3"/>
      <c r="B88" s="3"/>
      <c r="C88" s="3"/>
      <c r="D88" s="3"/>
      <c r="I88" s="18"/>
      <c r="J88" s="18"/>
      <c r="K88" s="18"/>
      <c r="M88" s="18"/>
    </row>
    <row r="89" spans="1:13" x14ac:dyDescent="0.2">
      <c r="A89" s="3"/>
      <c r="B89" s="3"/>
      <c r="C89" s="3"/>
      <c r="D89" s="3"/>
      <c r="E89" s="18"/>
      <c r="F89" s="18"/>
      <c r="H89" s="18"/>
      <c r="I89" s="18"/>
      <c r="J89" s="18"/>
      <c r="K89" s="18"/>
      <c r="M89" s="18"/>
    </row>
    <row r="90" spans="1:13" x14ac:dyDescent="0.2">
      <c r="A90" s="3"/>
      <c r="B90" s="3"/>
      <c r="C90" s="3"/>
      <c r="D90" s="3"/>
      <c r="E90" s="18"/>
      <c r="F90" s="18"/>
      <c r="H90" s="18"/>
      <c r="I90" s="18"/>
      <c r="J90" s="18"/>
      <c r="K90" s="18"/>
      <c r="M90" s="18"/>
    </row>
    <row r="91" spans="1:13" x14ac:dyDescent="0.2">
      <c r="A91" s="3"/>
      <c r="B91" s="3"/>
      <c r="C91" s="3"/>
      <c r="D91" s="3"/>
      <c r="E91" s="18"/>
      <c r="F91" s="18"/>
      <c r="H91" s="18"/>
      <c r="I91" s="18"/>
      <c r="J91" s="18"/>
      <c r="K91" s="18"/>
      <c r="M91" s="18"/>
    </row>
    <row r="92" spans="1:13" x14ac:dyDescent="0.2">
      <c r="A92" s="3"/>
      <c r="B92" s="3"/>
      <c r="C92" s="3"/>
      <c r="D92" s="3"/>
      <c r="E92" s="18"/>
      <c r="F92" s="18"/>
      <c r="H92" s="18"/>
      <c r="I92" s="18"/>
      <c r="J92" s="18"/>
      <c r="K92" s="18"/>
      <c r="M92" s="18"/>
    </row>
    <row r="93" spans="1:13" x14ac:dyDescent="0.2">
      <c r="A93" s="3"/>
      <c r="B93" s="3"/>
      <c r="C93" s="3"/>
      <c r="D93" s="3"/>
      <c r="E93" s="18"/>
      <c r="F93" s="18"/>
      <c r="H93" s="18"/>
      <c r="I93" s="18"/>
      <c r="J93" s="18"/>
      <c r="K93" s="18"/>
      <c r="M93" s="18"/>
    </row>
    <row r="94" spans="1:13" x14ac:dyDescent="0.2">
      <c r="A94" s="3"/>
      <c r="B94" s="3"/>
      <c r="C94" s="3"/>
      <c r="D94" s="3"/>
      <c r="E94" s="18"/>
      <c r="F94" s="18"/>
      <c r="H94" s="18"/>
    </row>
    <row r="95" spans="1:13" x14ac:dyDescent="0.2">
      <c r="A95" s="3"/>
      <c r="B95" s="3"/>
      <c r="C95" s="3"/>
      <c r="D95" s="3"/>
      <c r="E95" s="18"/>
      <c r="F95" s="18"/>
      <c r="H95" s="18"/>
      <c r="I95" s="18"/>
      <c r="J95" s="18"/>
      <c r="K95" s="18"/>
      <c r="M95" s="18"/>
    </row>
    <row r="96" spans="1:13" x14ac:dyDescent="0.2">
      <c r="A96" s="3"/>
      <c r="B96" s="3"/>
      <c r="C96" s="3"/>
      <c r="D96" s="3"/>
      <c r="E96" s="18"/>
      <c r="F96" s="18"/>
      <c r="H96" s="18"/>
    </row>
    <row r="97" spans="1:13" x14ac:dyDescent="0.2">
      <c r="A97" s="3"/>
      <c r="B97" s="3"/>
      <c r="C97" s="3"/>
      <c r="D97" s="3"/>
      <c r="E97" s="18"/>
      <c r="F97" s="18"/>
      <c r="H97" s="18"/>
      <c r="I97" s="18"/>
      <c r="J97" s="18"/>
      <c r="K97" s="18"/>
      <c r="M97" s="18"/>
    </row>
    <row r="98" spans="1:13" x14ac:dyDescent="0.2">
      <c r="A98" s="3"/>
      <c r="B98" s="3"/>
      <c r="C98" s="3"/>
      <c r="D98" s="3"/>
      <c r="I98" s="18"/>
      <c r="J98" s="18"/>
      <c r="K98" s="18"/>
      <c r="M98" s="18"/>
    </row>
    <row r="99" spans="1:13" x14ac:dyDescent="0.2">
      <c r="A99" s="3"/>
      <c r="B99" s="3"/>
      <c r="C99" s="3"/>
      <c r="D99" s="3"/>
      <c r="E99" s="18"/>
      <c r="F99" s="18"/>
      <c r="H99" s="18"/>
      <c r="I99" s="18"/>
      <c r="J99" s="18"/>
      <c r="K99" s="18"/>
      <c r="M99" s="18"/>
    </row>
    <row r="100" spans="1:13" x14ac:dyDescent="0.2">
      <c r="A100" s="3"/>
      <c r="B100" s="3"/>
      <c r="C100" s="3"/>
      <c r="D100" s="3"/>
      <c r="E100" s="18"/>
      <c r="F100" s="18"/>
      <c r="H100" s="18"/>
      <c r="I100" s="18"/>
      <c r="J100" s="18"/>
      <c r="K100" s="18"/>
      <c r="M100" s="18"/>
    </row>
    <row r="101" spans="1:13" x14ac:dyDescent="0.2">
      <c r="A101" s="3"/>
      <c r="B101" s="3"/>
      <c r="C101" s="3"/>
      <c r="D101" s="3"/>
      <c r="E101" s="18"/>
      <c r="F101" s="18"/>
      <c r="H101" s="18"/>
    </row>
    <row r="102" spans="1:13" x14ac:dyDescent="0.2">
      <c r="A102" s="3"/>
      <c r="B102" s="3"/>
      <c r="C102" s="3"/>
      <c r="D102" s="3"/>
      <c r="E102" s="18"/>
      <c r="F102" s="18"/>
      <c r="H102" s="18"/>
    </row>
    <row r="103" spans="1:13" x14ac:dyDescent="0.2">
      <c r="A103" s="3"/>
      <c r="B103" s="3"/>
      <c r="C103" s="3"/>
      <c r="D103" s="3"/>
      <c r="E103" s="18"/>
      <c r="F103" s="18"/>
      <c r="H103" s="18"/>
      <c r="I103" s="18"/>
      <c r="J103" s="18"/>
      <c r="K103" s="18"/>
      <c r="M103" s="18"/>
    </row>
    <row r="104" spans="1:13" x14ac:dyDescent="0.2">
      <c r="A104" s="3"/>
      <c r="B104" s="3"/>
      <c r="C104" s="3"/>
      <c r="D104" s="3"/>
      <c r="E104" s="18"/>
      <c r="F104" s="18"/>
      <c r="H104" s="18"/>
      <c r="I104" s="18"/>
      <c r="J104" s="18"/>
      <c r="K104" s="18"/>
      <c r="M104" s="18"/>
    </row>
    <row r="105" spans="1:13" x14ac:dyDescent="0.2">
      <c r="A105" s="3"/>
      <c r="B105" s="3"/>
      <c r="C105" s="3"/>
      <c r="D105" s="3"/>
      <c r="E105" s="18"/>
      <c r="F105" s="18"/>
      <c r="H105" s="18"/>
    </row>
    <row r="106" spans="1:13" x14ac:dyDescent="0.2">
      <c r="A106" s="3"/>
      <c r="B106" s="3"/>
      <c r="C106" s="3"/>
      <c r="D106" s="3"/>
      <c r="E106" s="18"/>
      <c r="F106" s="18"/>
      <c r="H106" s="18"/>
      <c r="I106" s="18"/>
      <c r="J106" s="18"/>
      <c r="K106" s="18"/>
      <c r="M106" s="18"/>
    </row>
    <row r="107" spans="1:13" x14ac:dyDescent="0.2">
      <c r="A107" s="3"/>
      <c r="B107" s="3"/>
      <c r="C107" s="3"/>
      <c r="D107" s="3"/>
      <c r="E107" s="18"/>
      <c r="F107" s="18"/>
      <c r="H107" s="18"/>
      <c r="I107" s="18"/>
      <c r="J107" s="18"/>
      <c r="K107" s="18"/>
      <c r="M107" s="18"/>
    </row>
    <row r="108" spans="1:13" x14ac:dyDescent="0.2">
      <c r="A108" s="3"/>
      <c r="B108" s="3"/>
      <c r="C108" s="3"/>
      <c r="D108" s="3"/>
      <c r="E108" s="18"/>
      <c r="F108" s="18"/>
      <c r="H108" s="18"/>
      <c r="I108" s="18"/>
      <c r="J108" s="18"/>
      <c r="K108" s="18"/>
      <c r="M108" s="18"/>
    </row>
    <row r="109" spans="1:13" x14ac:dyDescent="0.2">
      <c r="A109" s="3"/>
      <c r="B109" s="3"/>
      <c r="C109" s="3"/>
      <c r="D109" s="3"/>
      <c r="E109" s="18"/>
      <c r="F109" s="18"/>
      <c r="H109" s="18"/>
    </row>
    <row r="110" spans="1:13" x14ac:dyDescent="0.2">
      <c r="A110" s="3"/>
      <c r="B110" s="3"/>
      <c r="C110" s="3"/>
      <c r="D110" s="3"/>
      <c r="E110" s="18"/>
      <c r="F110" s="18"/>
      <c r="H110" s="18"/>
      <c r="I110" s="18"/>
      <c r="J110" s="18"/>
      <c r="K110" s="18"/>
      <c r="M110" s="18"/>
    </row>
    <row r="111" spans="1:13" x14ac:dyDescent="0.2">
      <c r="A111" s="3"/>
      <c r="B111" s="3"/>
      <c r="C111" s="3"/>
      <c r="D111" s="3"/>
      <c r="E111" s="18"/>
      <c r="F111" s="18"/>
      <c r="H111" s="18"/>
      <c r="I111" s="18"/>
      <c r="J111" s="18"/>
      <c r="K111" s="18"/>
      <c r="M111" s="18"/>
    </row>
    <row r="112" spans="1:13" x14ac:dyDescent="0.2">
      <c r="A112" s="3"/>
      <c r="B112" s="3"/>
      <c r="C112" s="3"/>
      <c r="D112" s="3"/>
      <c r="E112" s="18"/>
      <c r="F112" s="18"/>
      <c r="H112" s="18"/>
    </row>
    <row r="113" spans="1:13" x14ac:dyDescent="0.2">
      <c r="A113" s="3"/>
      <c r="B113" s="3"/>
      <c r="C113" s="3"/>
      <c r="D113" s="3"/>
      <c r="E113" s="18"/>
      <c r="F113" s="18"/>
      <c r="H113" s="18"/>
    </row>
    <row r="114" spans="1:13" x14ac:dyDescent="0.2">
      <c r="A114" s="3"/>
      <c r="B114" s="3"/>
      <c r="C114" s="3"/>
      <c r="D114" s="3"/>
      <c r="E114" s="18"/>
      <c r="F114" s="18"/>
      <c r="H114" s="18"/>
    </row>
    <row r="115" spans="1:13" x14ac:dyDescent="0.2">
      <c r="A115" s="3"/>
      <c r="B115" s="3"/>
      <c r="C115" s="3"/>
      <c r="D115" s="3"/>
      <c r="E115" s="18"/>
      <c r="F115" s="18"/>
      <c r="H115" s="18"/>
      <c r="I115" s="18"/>
      <c r="J115" s="18"/>
      <c r="K115" s="18"/>
      <c r="M115" s="18"/>
    </row>
    <row r="116" spans="1:13" x14ac:dyDescent="0.2">
      <c r="A116" s="3"/>
      <c r="B116" s="3"/>
      <c r="C116" s="3"/>
      <c r="D116" s="3"/>
      <c r="E116" s="18"/>
      <c r="F116" s="18"/>
      <c r="H116" s="18"/>
      <c r="I116" s="18"/>
      <c r="J116" s="18"/>
      <c r="K116" s="18"/>
      <c r="M116" s="18"/>
    </row>
    <row r="117" spans="1:13" x14ac:dyDescent="0.2">
      <c r="A117" s="3"/>
      <c r="B117" s="3"/>
      <c r="C117" s="3"/>
      <c r="D117" s="3"/>
      <c r="E117" s="18"/>
      <c r="F117" s="18"/>
      <c r="H117" s="18"/>
    </row>
    <row r="118" spans="1:13" x14ac:dyDescent="0.2">
      <c r="A118" s="3"/>
      <c r="B118" s="3"/>
      <c r="C118" s="3"/>
      <c r="D118" s="3"/>
      <c r="E118" s="18"/>
      <c r="F118" s="18"/>
      <c r="H118" s="18"/>
    </row>
    <row r="119" spans="1:13" x14ac:dyDescent="0.2">
      <c r="A119" s="3"/>
      <c r="B119" s="3"/>
      <c r="C119" s="3"/>
      <c r="D119" s="3"/>
      <c r="E119" s="18"/>
      <c r="F119" s="18"/>
      <c r="H119" s="18"/>
      <c r="I119" s="18"/>
      <c r="J119" s="18"/>
      <c r="K119" s="18"/>
      <c r="M119" s="18"/>
    </row>
    <row r="120" spans="1:13" x14ac:dyDescent="0.2">
      <c r="A120" s="3"/>
      <c r="B120" s="3"/>
      <c r="C120" s="3"/>
      <c r="D120" s="3"/>
      <c r="E120" s="18"/>
      <c r="F120" s="18"/>
      <c r="H120" s="18"/>
      <c r="I120" s="18"/>
      <c r="J120" s="18"/>
      <c r="K120" s="18"/>
      <c r="M120" s="18"/>
    </row>
    <row r="121" spans="1:13" x14ac:dyDescent="0.2">
      <c r="A121" s="3"/>
      <c r="B121" s="3"/>
      <c r="C121" s="3"/>
      <c r="D121" s="3"/>
      <c r="E121" s="18"/>
      <c r="F121" s="18"/>
      <c r="H121" s="18"/>
      <c r="I121" s="18"/>
      <c r="J121" s="18"/>
      <c r="K121" s="18"/>
      <c r="M121" s="18"/>
    </row>
    <row r="122" spans="1:13" x14ac:dyDescent="0.2">
      <c r="A122" s="3"/>
      <c r="B122" s="3"/>
      <c r="C122" s="3"/>
      <c r="D122" s="3"/>
      <c r="E122" s="18"/>
      <c r="F122" s="18"/>
      <c r="H122" s="18"/>
    </row>
    <row r="123" spans="1:13" x14ac:dyDescent="0.2">
      <c r="A123" s="3"/>
      <c r="B123" s="3"/>
      <c r="C123" s="3"/>
      <c r="D123" s="3"/>
      <c r="E123" s="18"/>
      <c r="F123" s="18"/>
      <c r="H123" s="18"/>
    </row>
    <row r="124" spans="1:13" x14ac:dyDescent="0.2">
      <c r="A124" s="3"/>
      <c r="B124" s="3"/>
      <c r="C124" s="3"/>
      <c r="D124" s="3"/>
      <c r="E124" s="18"/>
      <c r="F124" s="18"/>
      <c r="H124" s="18"/>
      <c r="I124" s="18"/>
      <c r="J124" s="18"/>
      <c r="K124" s="18"/>
      <c r="M124" s="18"/>
    </row>
    <row r="125" spans="1:13" x14ac:dyDescent="0.2">
      <c r="A125" s="3"/>
      <c r="B125" s="3"/>
      <c r="C125" s="3"/>
      <c r="D125" s="3"/>
      <c r="E125" s="18"/>
      <c r="F125" s="18"/>
      <c r="H125" s="18"/>
      <c r="I125" s="18"/>
      <c r="J125" s="18"/>
      <c r="K125" s="18"/>
      <c r="M125" s="18"/>
    </row>
    <row r="126" spans="1:13" x14ac:dyDescent="0.2">
      <c r="A126" s="3"/>
      <c r="B126" s="3"/>
      <c r="C126" s="3"/>
      <c r="D126" s="3"/>
      <c r="E126" s="18"/>
      <c r="F126" s="18"/>
      <c r="H126" s="18"/>
    </row>
    <row r="127" spans="1:13" x14ac:dyDescent="0.2">
      <c r="A127" s="3"/>
      <c r="B127" s="3"/>
      <c r="C127" s="3"/>
      <c r="D127" s="3"/>
      <c r="E127" s="18"/>
      <c r="F127" s="18"/>
      <c r="H127" s="18"/>
      <c r="I127" s="18"/>
      <c r="J127" s="18"/>
      <c r="K127" s="18"/>
      <c r="M127" s="18"/>
    </row>
    <row r="128" spans="1:13" x14ac:dyDescent="0.2">
      <c r="A128" s="3"/>
      <c r="B128" s="3"/>
      <c r="C128" s="3"/>
      <c r="D128" s="3"/>
      <c r="E128" s="18"/>
      <c r="F128" s="18"/>
      <c r="H128" s="18"/>
      <c r="I128" s="18"/>
      <c r="J128" s="18"/>
      <c r="K128" s="18"/>
      <c r="M128" s="18"/>
    </row>
    <row r="129" spans="1:13" x14ac:dyDescent="0.2">
      <c r="A129" s="3"/>
      <c r="B129" s="3"/>
      <c r="C129" s="3"/>
      <c r="D129" s="3"/>
      <c r="E129" s="18"/>
      <c r="F129" s="18"/>
      <c r="H129" s="18"/>
      <c r="I129" s="18"/>
      <c r="J129" s="18"/>
      <c r="K129" s="18"/>
      <c r="M129" s="18"/>
    </row>
    <row r="130" spans="1:13" x14ac:dyDescent="0.2">
      <c r="A130" s="3"/>
      <c r="B130" s="3"/>
      <c r="C130" s="3"/>
      <c r="D130" s="3"/>
      <c r="E130" s="18"/>
      <c r="F130" s="18"/>
      <c r="H130" s="18"/>
      <c r="I130" s="18"/>
      <c r="J130" s="18"/>
      <c r="K130" s="18"/>
      <c r="M130" s="18"/>
    </row>
    <row r="131" spans="1:13" x14ac:dyDescent="0.2">
      <c r="A131" s="3"/>
      <c r="B131" s="3"/>
      <c r="C131" s="3"/>
      <c r="D131" s="3"/>
      <c r="E131" s="18"/>
      <c r="F131" s="18"/>
      <c r="H131" s="18"/>
      <c r="I131" s="18"/>
      <c r="J131" s="18"/>
      <c r="K131" s="18"/>
      <c r="M131" s="18"/>
    </row>
    <row r="132" spans="1:13" x14ac:dyDescent="0.2">
      <c r="A132" s="3"/>
      <c r="B132" s="3"/>
      <c r="C132" s="3"/>
      <c r="D132" s="3"/>
      <c r="E132" s="18"/>
      <c r="F132" s="18"/>
      <c r="H132" s="18"/>
    </row>
    <row r="133" spans="1:13" x14ac:dyDescent="0.2">
      <c r="A133" s="3"/>
      <c r="B133" s="3"/>
      <c r="C133" s="3"/>
      <c r="D133" s="3"/>
      <c r="E133" s="18"/>
      <c r="F133" s="18"/>
      <c r="H133" s="18"/>
    </row>
    <row r="134" spans="1:13" x14ac:dyDescent="0.2">
      <c r="A134" s="3"/>
      <c r="B134" s="3"/>
      <c r="C134" s="3"/>
      <c r="D134" s="3"/>
      <c r="E134" s="18"/>
      <c r="F134" s="18"/>
      <c r="H134" s="18"/>
    </row>
    <row r="135" spans="1:13" x14ac:dyDescent="0.2">
      <c r="A135" s="3"/>
      <c r="B135" s="3"/>
      <c r="C135" s="3"/>
      <c r="D135" s="3"/>
      <c r="E135" s="18"/>
      <c r="F135" s="18"/>
      <c r="H135" s="18"/>
      <c r="I135" s="18"/>
      <c r="J135" s="18"/>
      <c r="K135" s="18"/>
      <c r="M135" s="18"/>
    </row>
    <row r="136" spans="1:13" x14ac:dyDescent="0.2">
      <c r="A136" s="3"/>
      <c r="B136" s="3"/>
      <c r="C136" s="3"/>
      <c r="D136" s="3"/>
      <c r="E136" s="18"/>
      <c r="F136" s="18"/>
      <c r="H136" s="18"/>
      <c r="I136" s="18"/>
      <c r="J136" s="18"/>
      <c r="K136" s="18"/>
      <c r="M136" s="18"/>
    </row>
    <row r="137" spans="1:13" x14ac:dyDescent="0.2">
      <c r="A137" s="3"/>
      <c r="B137" s="3"/>
      <c r="C137" s="3"/>
      <c r="D137" s="3"/>
      <c r="E137" s="18"/>
      <c r="F137" s="18"/>
      <c r="H137" s="18"/>
    </row>
    <row r="138" spans="1:13" x14ac:dyDescent="0.2">
      <c r="A138" s="3"/>
      <c r="B138" s="3"/>
      <c r="C138" s="3"/>
      <c r="D138" s="3"/>
      <c r="E138" s="18"/>
      <c r="F138" s="18"/>
      <c r="H138" s="18"/>
    </row>
    <row r="139" spans="1:13" x14ac:dyDescent="0.2">
      <c r="A139" s="3"/>
      <c r="B139" s="3"/>
      <c r="C139" s="3"/>
      <c r="D139" s="3"/>
      <c r="E139" s="18"/>
      <c r="F139" s="18"/>
      <c r="H139" s="18"/>
      <c r="I139" s="18"/>
      <c r="J139" s="18"/>
      <c r="K139" s="18"/>
      <c r="M139" s="18"/>
    </row>
    <row r="140" spans="1:13" x14ac:dyDescent="0.2">
      <c r="A140" s="3"/>
      <c r="B140" s="3"/>
      <c r="C140" s="3"/>
      <c r="D140" s="3"/>
      <c r="E140" s="18"/>
      <c r="F140" s="18"/>
      <c r="H140" s="18"/>
      <c r="I140" s="18"/>
      <c r="J140" s="18"/>
      <c r="K140" s="18"/>
      <c r="M140" s="18"/>
    </row>
    <row r="141" spans="1:13" x14ac:dyDescent="0.2">
      <c r="A141" s="3"/>
      <c r="B141" s="3"/>
      <c r="C141" s="3"/>
      <c r="D141" s="3"/>
      <c r="E141" s="18"/>
      <c r="F141" s="18"/>
      <c r="H141" s="18"/>
      <c r="I141" s="18"/>
      <c r="J141" s="18"/>
      <c r="K141" s="18"/>
      <c r="M141" s="18"/>
    </row>
    <row r="142" spans="1:13" x14ac:dyDescent="0.2">
      <c r="A142" s="3"/>
      <c r="B142" s="3"/>
      <c r="C142" s="3"/>
      <c r="D142" s="3"/>
      <c r="E142" s="18"/>
      <c r="F142" s="18"/>
      <c r="H142" s="18"/>
    </row>
    <row r="143" spans="1:13" x14ac:dyDescent="0.2">
      <c r="A143" s="3"/>
      <c r="B143" s="3"/>
      <c r="C143" s="3"/>
      <c r="D143" s="3"/>
      <c r="E143" s="18"/>
      <c r="F143" s="18"/>
      <c r="H143" s="18"/>
      <c r="I143" s="18"/>
      <c r="J143" s="18"/>
      <c r="K143" s="18"/>
      <c r="M143" s="18"/>
    </row>
    <row r="144" spans="1:13" x14ac:dyDescent="0.2">
      <c r="A144" s="3"/>
      <c r="B144" s="3"/>
      <c r="C144" s="3"/>
      <c r="D144" s="3"/>
      <c r="E144" s="18"/>
      <c r="F144" s="18"/>
      <c r="H144" s="18"/>
      <c r="I144" s="18"/>
      <c r="J144" s="18"/>
      <c r="K144" s="18"/>
      <c r="M144" s="18"/>
    </row>
    <row r="145" spans="1:18" x14ac:dyDescent="0.2">
      <c r="A145" s="3"/>
      <c r="B145" s="3"/>
      <c r="C145" s="3"/>
      <c r="D145" s="3"/>
      <c r="E145" s="18"/>
      <c r="F145" s="18"/>
      <c r="H145" s="18"/>
    </row>
    <row r="146" spans="1:18" x14ac:dyDescent="0.2">
      <c r="A146" s="3"/>
      <c r="B146" s="3"/>
      <c r="C146" s="3"/>
      <c r="D146" s="3"/>
      <c r="E146" s="18"/>
      <c r="F146" s="18"/>
      <c r="H146" s="18"/>
      <c r="I146" s="18"/>
      <c r="J146" s="18"/>
      <c r="K146" s="18"/>
      <c r="M146" s="18"/>
      <c r="N146" s="18"/>
      <c r="O146" s="18"/>
      <c r="P146" s="18"/>
      <c r="Q146" s="18"/>
      <c r="R146" s="18"/>
    </row>
    <row r="147" spans="1:18" x14ac:dyDescent="0.2">
      <c r="A147" s="3"/>
      <c r="B147" s="3"/>
      <c r="C147" s="3"/>
      <c r="D147" s="3"/>
      <c r="E147" s="18"/>
      <c r="F147" s="18"/>
      <c r="H147" s="18"/>
      <c r="I147" s="18"/>
      <c r="J147" s="18"/>
      <c r="K147" s="18"/>
      <c r="M147" s="18"/>
      <c r="N147" s="18"/>
      <c r="O147" s="18"/>
      <c r="P147" s="18"/>
      <c r="Q147" s="18"/>
      <c r="R147" s="18"/>
    </row>
    <row r="148" spans="1:18" x14ac:dyDescent="0.2">
      <c r="A148" s="3"/>
      <c r="B148" s="3"/>
      <c r="C148" s="3"/>
      <c r="D148" s="3"/>
      <c r="E148" s="18"/>
      <c r="F148" s="18"/>
      <c r="H148" s="18"/>
      <c r="I148" s="18"/>
      <c r="J148" s="18"/>
      <c r="K148" s="18"/>
      <c r="M148" s="18"/>
    </row>
    <row r="149" spans="1:18" x14ac:dyDescent="0.2">
      <c r="A149" s="3"/>
      <c r="B149" s="3"/>
      <c r="C149" s="3"/>
      <c r="D149" s="3"/>
      <c r="E149" s="18"/>
      <c r="F149" s="18"/>
      <c r="H149" s="18"/>
      <c r="I149" s="18"/>
      <c r="J149" s="18"/>
      <c r="K149" s="18"/>
      <c r="M149" s="18"/>
    </row>
    <row r="150" spans="1:18" x14ac:dyDescent="0.2">
      <c r="A150" s="3"/>
      <c r="B150" s="3"/>
      <c r="C150" s="3"/>
      <c r="D150" s="3"/>
      <c r="E150" s="18"/>
      <c r="F150" s="18"/>
      <c r="H150" s="18"/>
      <c r="I150" s="18"/>
      <c r="J150" s="18"/>
      <c r="K150" s="18"/>
      <c r="M150" s="18"/>
      <c r="N150" s="18"/>
      <c r="O150" s="18"/>
      <c r="P150" s="18"/>
      <c r="Q150" s="18"/>
      <c r="R150" s="18"/>
    </row>
    <row r="151" spans="1:18" x14ac:dyDescent="0.2">
      <c r="A151" s="3"/>
      <c r="B151" s="3"/>
      <c r="C151" s="3"/>
      <c r="D151" s="3"/>
      <c r="E151" s="18"/>
      <c r="F151" s="18"/>
      <c r="H151" s="18"/>
      <c r="I151" s="18"/>
      <c r="J151" s="18"/>
      <c r="K151" s="18"/>
      <c r="M151" s="18"/>
      <c r="N151" s="18"/>
      <c r="O151" s="18"/>
      <c r="P151" s="18"/>
      <c r="Q151" s="18"/>
      <c r="R151" s="18"/>
    </row>
    <row r="152" spans="1:18" x14ac:dyDescent="0.2">
      <c r="A152" s="3"/>
      <c r="B152" s="3"/>
      <c r="C152" s="3"/>
      <c r="D152" s="3"/>
      <c r="E152" s="18"/>
      <c r="F152" s="18"/>
      <c r="H152" s="18"/>
      <c r="I152" s="18"/>
      <c r="J152" s="18"/>
      <c r="K152" s="18"/>
      <c r="M152" s="18"/>
      <c r="N152" s="18"/>
      <c r="O152" s="18"/>
      <c r="P152" s="18"/>
      <c r="Q152" s="18"/>
      <c r="R152" s="18"/>
    </row>
    <row r="153" spans="1:18" x14ac:dyDescent="0.2">
      <c r="A153" s="3"/>
      <c r="B153" s="3"/>
      <c r="C153" s="3"/>
      <c r="D153" s="3"/>
      <c r="I153" s="18"/>
      <c r="J153" s="18"/>
      <c r="K153" s="18"/>
      <c r="M153" s="18"/>
    </row>
    <row r="154" spans="1:18" x14ac:dyDescent="0.2">
      <c r="A154" s="3"/>
      <c r="B154" s="3"/>
      <c r="C154" s="3"/>
      <c r="D154" s="3"/>
      <c r="E154" s="18"/>
      <c r="F154" s="18"/>
      <c r="H154" s="18"/>
      <c r="I154" s="18"/>
      <c r="J154" s="18"/>
      <c r="K154" s="18"/>
      <c r="M154" s="18"/>
      <c r="N154" s="18"/>
      <c r="O154" s="18"/>
      <c r="P154" s="18"/>
      <c r="Q154" s="18"/>
      <c r="R154" s="18"/>
    </row>
    <row r="155" spans="1:18" x14ac:dyDescent="0.2">
      <c r="A155" s="3"/>
      <c r="B155" s="3"/>
      <c r="C155" s="3"/>
      <c r="D155" s="3"/>
      <c r="E155" s="18"/>
      <c r="F155" s="18"/>
      <c r="H155" s="18"/>
      <c r="I155" s="18"/>
      <c r="J155" s="18"/>
      <c r="K155" s="18"/>
      <c r="M155" s="18"/>
    </row>
    <row r="156" spans="1:18" x14ac:dyDescent="0.2">
      <c r="A156" s="3"/>
      <c r="B156" s="3"/>
      <c r="C156" s="3"/>
      <c r="D156" s="3"/>
      <c r="E156" s="18"/>
      <c r="F156" s="18"/>
      <c r="H156" s="18"/>
    </row>
    <row r="157" spans="1:18" x14ac:dyDescent="0.2">
      <c r="A157" s="3"/>
      <c r="B157" s="3"/>
      <c r="C157" s="3"/>
      <c r="D157" s="3"/>
      <c r="E157" s="18"/>
      <c r="F157" s="18"/>
      <c r="H157" s="18"/>
      <c r="I157" s="18"/>
      <c r="J157" s="18"/>
      <c r="K157" s="18"/>
      <c r="M157" s="18"/>
    </row>
    <row r="158" spans="1:18" x14ac:dyDescent="0.2">
      <c r="A158" s="3"/>
      <c r="B158" s="3"/>
      <c r="C158" s="3"/>
      <c r="D158" s="3"/>
      <c r="E158" s="18"/>
      <c r="F158" s="18"/>
      <c r="H158" s="18"/>
      <c r="I158" s="18"/>
      <c r="J158" s="18"/>
      <c r="K158" s="18"/>
      <c r="M158" s="18"/>
      <c r="N158" s="18"/>
      <c r="O158" s="18"/>
      <c r="P158" s="18"/>
      <c r="Q158" s="18"/>
      <c r="R158" s="18"/>
    </row>
    <row r="159" spans="1:18" x14ac:dyDescent="0.2">
      <c r="A159" s="3"/>
      <c r="B159" s="3"/>
      <c r="C159" s="3"/>
      <c r="D159" s="3"/>
      <c r="E159" s="18"/>
      <c r="F159" s="18"/>
      <c r="H159" s="18"/>
      <c r="I159" s="18"/>
      <c r="J159" s="18"/>
      <c r="K159" s="18"/>
      <c r="M159" s="18"/>
      <c r="N159" s="18"/>
      <c r="O159" s="18"/>
      <c r="P159" s="18"/>
      <c r="Q159" s="18"/>
      <c r="R159" s="18"/>
    </row>
    <row r="160" spans="1:18" x14ac:dyDescent="0.2">
      <c r="A160" s="3"/>
      <c r="B160" s="3"/>
      <c r="C160" s="3"/>
      <c r="D160" s="3"/>
      <c r="E160" s="18"/>
      <c r="F160" s="18"/>
      <c r="H160" s="18"/>
      <c r="I160" s="18"/>
      <c r="J160" s="18"/>
      <c r="K160" s="18"/>
      <c r="M160" s="18"/>
      <c r="N160" s="18"/>
      <c r="O160" s="18"/>
      <c r="P160" s="18"/>
      <c r="Q160" s="18"/>
      <c r="R160" s="18"/>
    </row>
    <row r="161" spans="1:18" x14ac:dyDescent="0.2">
      <c r="A161" s="3"/>
      <c r="B161" s="3"/>
      <c r="C161" s="3"/>
      <c r="D161" s="3"/>
      <c r="E161" s="18"/>
      <c r="F161" s="18"/>
      <c r="H161" s="18"/>
      <c r="I161" s="18"/>
      <c r="J161" s="18"/>
      <c r="K161" s="18"/>
      <c r="M161" s="18"/>
      <c r="N161" s="18"/>
      <c r="O161" s="18"/>
      <c r="P161" s="18"/>
      <c r="Q161" s="18"/>
      <c r="R161" s="18"/>
    </row>
    <row r="162" spans="1:18" x14ac:dyDescent="0.2">
      <c r="A162" s="3"/>
      <c r="B162" s="3"/>
      <c r="C162" s="3"/>
      <c r="D162" s="3"/>
      <c r="E162" s="18"/>
      <c r="F162" s="18"/>
      <c r="H162" s="18"/>
      <c r="I162" s="18"/>
      <c r="J162" s="18"/>
      <c r="K162" s="18"/>
      <c r="M162" s="18"/>
      <c r="N162" s="18"/>
      <c r="O162" s="18"/>
      <c r="P162" s="18"/>
      <c r="Q162" s="18"/>
      <c r="R162" s="18"/>
    </row>
    <row r="163" spans="1:18" x14ac:dyDescent="0.2">
      <c r="A163" s="3"/>
      <c r="B163" s="3"/>
      <c r="C163" s="3"/>
      <c r="D163" s="3"/>
      <c r="E163" s="18"/>
      <c r="F163" s="18"/>
      <c r="H163" s="18"/>
      <c r="I163" s="18"/>
      <c r="J163" s="18"/>
      <c r="K163" s="18"/>
      <c r="M163" s="18"/>
      <c r="N163" s="18"/>
      <c r="O163" s="18"/>
      <c r="P163" s="18"/>
      <c r="Q163" s="18"/>
      <c r="R163" s="18"/>
    </row>
    <row r="164" spans="1:18" x14ac:dyDescent="0.2">
      <c r="A164" s="3"/>
      <c r="B164" s="3"/>
      <c r="C164" s="3"/>
      <c r="D164" s="3"/>
      <c r="E164" s="18"/>
      <c r="F164" s="18"/>
      <c r="H164" s="18"/>
      <c r="I164" s="18"/>
      <c r="J164" s="18"/>
      <c r="K164" s="18"/>
      <c r="M164" s="18"/>
      <c r="N164" s="18"/>
      <c r="O164" s="18"/>
      <c r="P164" s="18"/>
      <c r="Q164" s="18"/>
      <c r="R164" s="18"/>
    </row>
    <row r="165" spans="1:18" x14ac:dyDescent="0.2">
      <c r="A165" s="3"/>
      <c r="B165" s="3"/>
      <c r="C165" s="3"/>
      <c r="D165" s="3"/>
      <c r="E165" s="18"/>
      <c r="F165" s="18"/>
      <c r="H165" s="18"/>
      <c r="I165" s="18"/>
      <c r="J165" s="18"/>
      <c r="K165" s="18"/>
      <c r="M165" s="18"/>
      <c r="N165" s="18"/>
      <c r="O165" s="18"/>
      <c r="P165" s="18"/>
      <c r="Q165" s="18"/>
      <c r="R165" s="18"/>
    </row>
    <row r="166" spans="1:18" x14ac:dyDescent="0.2">
      <c r="A166" s="3"/>
      <c r="B166" s="3"/>
      <c r="C166" s="3"/>
      <c r="D166" s="3"/>
      <c r="E166" s="18"/>
      <c r="F166" s="18"/>
      <c r="H166" s="18"/>
      <c r="I166" s="18"/>
      <c r="J166" s="18"/>
      <c r="K166" s="18"/>
      <c r="M166" s="18"/>
    </row>
    <row r="167" spans="1:18" x14ac:dyDescent="0.2">
      <c r="A167" s="3"/>
      <c r="B167" s="3"/>
      <c r="C167" s="3"/>
      <c r="D167" s="3"/>
      <c r="E167" s="18"/>
      <c r="F167" s="18"/>
      <c r="H167" s="18"/>
      <c r="I167" s="18"/>
      <c r="J167" s="18"/>
      <c r="K167" s="18"/>
      <c r="M167" s="18"/>
    </row>
    <row r="168" spans="1:18" x14ac:dyDescent="0.2">
      <c r="A168" s="3"/>
      <c r="B168" s="3"/>
      <c r="C168" s="3"/>
      <c r="D168" s="3"/>
      <c r="E168" s="18"/>
      <c r="F168" s="18"/>
      <c r="H168" s="18"/>
      <c r="I168" s="18"/>
      <c r="J168" s="18"/>
      <c r="K168" s="18"/>
      <c r="M168" s="18"/>
      <c r="N168" s="18"/>
      <c r="O168" s="18"/>
      <c r="P168" s="18"/>
      <c r="Q168" s="18"/>
      <c r="R168" s="18"/>
    </row>
    <row r="169" spans="1:18" x14ac:dyDescent="0.2">
      <c r="A169" s="3"/>
      <c r="B169" s="3"/>
      <c r="C169" s="3"/>
      <c r="D169" s="3"/>
      <c r="E169" s="18"/>
      <c r="F169" s="18"/>
      <c r="H169" s="18"/>
    </row>
    <row r="170" spans="1:18" x14ac:dyDescent="0.2">
      <c r="A170" s="3"/>
      <c r="B170" s="3"/>
      <c r="C170" s="3"/>
      <c r="D170" s="3"/>
      <c r="E170" s="18"/>
      <c r="F170" s="18"/>
      <c r="H170" s="18"/>
    </row>
    <row r="171" spans="1:18" x14ac:dyDescent="0.2">
      <c r="A171" s="3"/>
      <c r="B171" s="3"/>
      <c r="C171" s="3"/>
      <c r="D171" s="3"/>
      <c r="E171" s="18"/>
      <c r="F171" s="18"/>
      <c r="H171" s="18"/>
      <c r="I171" s="18"/>
      <c r="J171" s="18"/>
      <c r="K171" s="18"/>
      <c r="M171" s="18"/>
      <c r="N171" s="18"/>
      <c r="O171" s="18"/>
      <c r="P171" s="18"/>
      <c r="Q171" s="18"/>
      <c r="R171" s="18"/>
    </row>
    <row r="172" spans="1:18" x14ac:dyDescent="0.2">
      <c r="A172" s="3"/>
      <c r="B172" s="3"/>
      <c r="C172" s="3"/>
      <c r="D172" s="3"/>
      <c r="E172" s="18"/>
      <c r="F172" s="18"/>
      <c r="H172" s="18"/>
      <c r="I172" s="18"/>
      <c r="J172" s="18"/>
      <c r="K172" s="18"/>
      <c r="M172" s="18"/>
    </row>
    <row r="173" spans="1:18" x14ac:dyDescent="0.2">
      <c r="A173" s="3"/>
      <c r="B173" s="3"/>
      <c r="C173" s="3"/>
      <c r="D173" s="3"/>
      <c r="N173" s="18"/>
      <c r="O173" s="18"/>
      <c r="P173" s="18"/>
      <c r="Q173" s="18"/>
      <c r="R173" s="18"/>
    </row>
    <row r="174" spans="1:18" x14ac:dyDescent="0.2">
      <c r="A174" s="3"/>
      <c r="B174" s="3"/>
      <c r="C174" s="3"/>
      <c r="D174" s="3"/>
      <c r="N174" s="18"/>
      <c r="O174" s="18"/>
      <c r="P174" s="18"/>
      <c r="Q174" s="18"/>
      <c r="R174" s="18"/>
    </row>
    <row r="175" spans="1:18" x14ac:dyDescent="0.2">
      <c r="A175" s="3"/>
      <c r="B175" s="3"/>
      <c r="C175" s="3"/>
      <c r="D175" s="3"/>
      <c r="E175" s="18"/>
      <c r="F175" s="18"/>
      <c r="H175" s="18"/>
      <c r="I175" s="18"/>
      <c r="J175" s="18"/>
      <c r="K175" s="18"/>
      <c r="M175" s="18"/>
    </row>
    <row r="176" spans="1:18" x14ac:dyDescent="0.2">
      <c r="A176" s="3"/>
      <c r="B176" s="3"/>
      <c r="C176" s="3"/>
      <c r="D176" s="3"/>
      <c r="E176" s="18"/>
      <c r="F176" s="18"/>
      <c r="H176" s="18"/>
    </row>
    <row r="177" spans="1:18" x14ac:dyDescent="0.2">
      <c r="A177" s="3"/>
      <c r="B177" s="3"/>
      <c r="C177" s="3"/>
      <c r="D177" s="3"/>
      <c r="E177" s="18"/>
      <c r="F177" s="18"/>
      <c r="H177" s="18"/>
    </row>
    <row r="178" spans="1:18" x14ac:dyDescent="0.2">
      <c r="A178" s="3"/>
      <c r="B178" s="3"/>
      <c r="C178" s="3"/>
      <c r="D178" s="3"/>
      <c r="E178" s="18"/>
      <c r="F178" s="18"/>
      <c r="H178" s="18"/>
    </row>
    <row r="179" spans="1:18" x14ac:dyDescent="0.2">
      <c r="A179" s="3"/>
      <c r="B179" s="3"/>
      <c r="C179" s="3"/>
      <c r="D179" s="3"/>
      <c r="E179" s="18"/>
      <c r="F179" s="18"/>
      <c r="H179" s="18"/>
      <c r="I179" s="18"/>
      <c r="J179" s="18"/>
      <c r="K179" s="18"/>
      <c r="M179" s="18"/>
    </row>
    <row r="180" spans="1:18" x14ac:dyDescent="0.2">
      <c r="A180" s="3"/>
      <c r="B180" s="3"/>
      <c r="C180" s="3"/>
      <c r="D180" s="3"/>
      <c r="I180" s="18"/>
      <c r="J180" s="18"/>
      <c r="K180" s="18"/>
      <c r="M180" s="18"/>
    </row>
    <row r="181" spans="1:18" x14ac:dyDescent="0.2">
      <c r="A181" s="3"/>
      <c r="B181" s="3"/>
      <c r="C181" s="3"/>
      <c r="D181" s="3"/>
      <c r="I181" s="18"/>
      <c r="J181" s="18"/>
      <c r="K181" s="18"/>
      <c r="M181" s="18"/>
    </row>
    <row r="182" spans="1:18" x14ac:dyDescent="0.2">
      <c r="A182" s="3"/>
      <c r="B182" s="3"/>
      <c r="C182" s="3"/>
      <c r="D182" s="3"/>
      <c r="E182" s="18"/>
      <c r="F182" s="18"/>
      <c r="H182" s="18"/>
      <c r="I182" s="18"/>
      <c r="J182" s="18"/>
      <c r="K182" s="18"/>
      <c r="M182" s="18"/>
      <c r="N182" s="18"/>
      <c r="O182" s="18"/>
      <c r="P182" s="18"/>
      <c r="Q182" s="18"/>
      <c r="R182" s="18"/>
    </row>
    <row r="183" spans="1:18" x14ac:dyDescent="0.2">
      <c r="A183" s="3"/>
      <c r="B183" s="3"/>
      <c r="C183" s="3"/>
      <c r="D183" s="3"/>
      <c r="E183" s="18"/>
      <c r="F183" s="18"/>
      <c r="H183" s="18"/>
    </row>
    <row r="184" spans="1:18" x14ac:dyDescent="0.2">
      <c r="A184" s="3"/>
      <c r="B184" s="3"/>
      <c r="C184" s="3"/>
      <c r="D184" s="3"/>
      <c r="E184" s="18"/>
      <c r="F184" s="18"/>
      <c r="H184" s="18"/>
    </row>
    <row r="185" spans="1:18" x14ac:dyDescent="0.2">
      <c r="A185" s="3"/>
      <c r="B185" s="3"/>
      <c r="C185" s="3"/>
      <c r="D185" s="3"/>
      <c r="E185" s="18"/>
      <c r="F185" s="18"/>
      <c r="H185" s="18"/>
      <c r="I185" s="18"/>
      <c r="J185" s="18"/>
      <c r="K185" s="18"/>
      <c r="M185" s="18"/>
    </row>
    <row r="186" spans="1:18" x14ac:dyDescent="0.2">
      <c r="A186" s="3"/>
      <c r="B186" s="3"/>
      <c r="C186" s="3"/>
      <c r="D186" s="3"/>
      <c r="E186" s="18"/>
      <c r="F186" s="18"/>
      <c r="H186" s="18"/>
    </row>
    <row r="187" spans="1:18" x14ac:dyDescent="0.2">
      <c r="A187" s="3"/>
      <c r="B187" s="3"/>
      <c r="C187" s="3"/>
      <c r="D187" s="3"/>
      <c r="E187" s="18"/>
      <c r="F187" s="18"/>
      <c r="H187" s="18"/>
    </row>
    <row r="188" spans="1:18" x14ac:dyDescent="0.2">
      <c r="A188" s="3"/>
      <c r="B188" s="3"/>
      <c r="C188" s="3"/>
      <c r="D188" s="3"/>
      <c r="E188" s="18"/>
      <c r="F188" s="18"/>
      <c r="H188" s="18"/>
      <c r="I188" s="18"/>
      <c r="J188" s="18"/>
      <c r="K188" s="18"/>
      <c r="M188" s="18"/>
    </row>
    <row r="189" spans="1:18" x14ac:dyDescent="0.2">
      <c r="A189" s="3"/>
      <c r="B189" s="3"/>
      <c r="C189" s="3"/>
      <c r="D189" s="3"/>
      <c r="E189" s="18"/>
      <c r="F189" s="18"/>
      <c r="H189" s="18"/>
    </row>
    <row r="190" spans="1:18" x14ac:dyDescent="0.2">
      <c r="A190" s="3"/>
      <c r="B190" s="3"/>
      <c r="C190" s="3"/>
      <c r="D190" s="3"/>
      <c r="E190" s="18"/>
      <c r="F190" s="18"/>
      <c r="H190" s="18"/>
      <c r="I190" s="18"/>
      <c r="J190" s="18"/>
      <c r="K190" s="18"/>
      <c r="M190" s="18"/>
    </row>
    <row r="191" spans="1:18" x14ac:dyDescent="0.2">
      <c r="A191" s="3"/>
      <c r="B191" s="3"/>
      <c r="C191" s="3"/>
      <c r="D191" s="3"/>
      <c r="E191" s="18"/>
      <c r="F191" s="18"/>
      <c r="H191" s="18"/>
    </row>
    <row r="192" spans="1:18" x14ac:dyDescent="0.2">
      <c r="A192" s="3"/>
      <c r="B192" s="3"/>
      <c r="C192" s="3"/>
      <c r="D192" s="3"/>
      <c r="E192" s="18"/>
      <c r="F192" s="18"/>
      <c r="H192" s="18"/>
      <c r="I192" s="18"/>
      <c r="J192" s="18"/>
      <c r="K192" s="18"/>
      <c r="M192" s="18"/>
    </row>
    <row r="193" spans="1:18" x14ac:dyDescent="0.2">
      <c r="A193" s="3"/>
      <c r="B193" s="3"/>
      <c r="C193" s="3"/>
      <c r="D193" s="3"/>
      <c r="E193" s="18"/>
      <c r="F193" s="18"/>
      <c r="H193" s="18"/>
      <c r="I193" s="18"/>
      <c r="J193" s="18"/>
      <c r="K193" s="18"/>
      <c r="M193" s="18"/>
      <c r="N193" s="18"/>
      <c r="O193" s="18"/>
      <c r="P193" s="18"/>
      <c r="Q193" s="18"/>
      <c r="R193" s="18"/>
    </row>
    <row r="194" spans="1:18" x14ac:dyDescent="0.2">
      <c r="A194" s="3"/>
      <c r="B194" s="3"/>
      <c r="C194" s="3"/>
      <c r="D194" s="3"/>
      <c r="E194" s="18"/>
      <c r="F194" s="18"/>
      <c r="H194" s="18"/>
    </row>
    <row r="195" spans="1:18" x14ac:dyDescent="0.2">
      <c r="A195" s="3"/>
      <c r="B195" s="3"/>
      <c r="C195" s="3"/>
      <c r="D195" s="3"/>
      <c r="E195" s="18"/>
      <c r="F195" s="18"/>
      <c r="H195" s="18"/>
      <c r="I195" s="18"/>
      <c r="J195" s="18"/>
      <c r="K195" s="18"/>
      <c r="M195" s="18"/>
      <c r="N195" s="18"/>
      <c r="O195" s="18"/>
      <c r="P195" s="18"/>
      <c r="Q195" s="18"/>
      <c r="R195" s="18"/>
    </row>
    <row r="196" spans="1:18" x14ac:dyDescent="0.2">
      <c r="A196" s="3"/>
      <c r="B196" s="3"/>
      <c r="C196" s="3"/>
      <c r="D196" s="3"/>
      <c r="E196" s="18"/>
      <c r="F196" s="18"/>
      <c r="H196" s="18"/>
      <c r="I196" s="18"/>
      <c r="J196" s="18"/>
      <c r="K196" s="18"/>
      <c r="M196" s="18"/>
    </row>
    <row r="197" spans="1:18" x14ac:dyDescent="0.2">
      <c r="A197" s="3"/>
      <c r="B197" s="3"/>
      <c r="C197" s="3"/>
      <c r="D197" s="3"/>
      <c r="E197" s="18"/>
      <c r="F197" s="18"/>
      <c r="H197" s="18"/>
      <c r="I197" s="18"/>
      <c r="J197" s="18"/>
      <c r="K197" s="18"/>
      <c r="M197" s="18"/>
      <c r="N197" s="18"/>
      <c r="O197" s="18"/>
      <c r="P197" s="18"/>
      <c r="Q197" s="18"/>
      <c r="R197" s="18"/>
    </row>
    <row r="198" spans="1:18" x14ac:dyDescent="0.2">
      <c r="A198" s="3"/>
      <c r="B198" s="3"/>
      <c r="C198" s="3"/>
      <c r="D198" s="3"/>
      <c r="E198" s="18"/>
      <c r="F198" s="18"/>
      <c r="H198" s="18"/>
    </row>
    <row r="199" spans="1:18" x14ac:dyDescent="0.2">
      <c r="A199" s="3"/>
      <c r="B199" s="3"/>
      <c r="C199" s="3"/>
      <c r="D199" s="3"/>
      <c r="E199" s="18"/>
      <c r="F199" s="18"/>
      <c r="H199" s="18"/>
    </row>
    <row r="200" spans="1:18" x14ac:dyDescent="0.2">
      <c r="A200" s="3"/>
      <c r="B200" s="3"/>
      <c r="C200" s="3"/>
      <c r="D200" s="3"/>
      <c r="E200" s="18"/>
      <c r="F200" s="18"/>
      <c r="H200" s="18"/>
    </row>
    <row r="201" spans="1:18" x14ac:dyDescent="0.2">
      <c r="A201" s="3"/>
      <c r="B201" s="3"/>
      <c r="C201" s="3"/>
      <c r="D201" s="3"/>
      <c r="E201" s="18"/>
      <c r="F201" s="18"/>
      <c r="H201" s="18"/>
    </row>
    <row r="202" spans="1:18" x14ac:dyDescent="0.2">
      <c r="A202" s="3"/>
      <c r="B202" s="3"/>
      <c r="C202" s="3"/>
      <c r="D202" s="3"/>
      <c r="E202" s="18"/>
      <c r="F202" s="18"/>
      <c r="H202" s="18"/>
      <c r="I202" s="18"/>
      <c r="J202" s="18"/>
      <c r="K202" s="18"/>
      <c r="M202" s="18"/>
      <c r="N202" s="18"/>
      <c r="O202" s="18"/>
      <c r="P202" s="18"/>
      <c r="Q202" s="18"/>
      <c r="R202" s="18"/>
    </row>
    <row r="203" spans="1:18" x14ac:dyDescent="0.2">
      <c r="A203" s="3"/>
      <c r="B203" s="3"/>
      <c r="C203" s="3"/>
      <c r="D203" s="3"/>
      <c r="E203" s="18"/>
      <c r="F203" s="18"/>
      <c r="H203" s="18"/>
      <c r="I203" s="18"/>
      <c r="J203" s="18"/>
      <c r="K203" s="18"/>
      <c r="M203" s="18"/>
      <c r="N203" s="18"/>
      <c r="O203" s="18"/>
      <c r="P203" s="18"/>
      <c r="Q203" s="18"/>
      <c r="R203" s="18"/>
    </row>
    <row r="204" spans="1:18" x14ac:dyDescent="0.2">
      <c r="A204" s="3"/>
      <c r="B204" s="3"/>
      <c r="C204" s="3"/>
      <c r="D204" s="3"/>
      <c r="E204" s="18"/>
      <c r="F204" s="18"/>
      <c r="H204" s="18"/>
    </row>
    <row r="205" spans="1:18" x14ac:dyDescent="0.2">
      <c r="A205" s="3"/>
      <c r="B205" s="3"/>
      <c r="C205" s="3"/>
      <c r="D205" s="3"/>
      <c r="E205" s="18"/>
      <c r="F205" s="18"/>
      <c r="H205" s="18"/>
      <c r="I205" s="18"/>
      <c r="J205" s="18"/>
      <c r="K205" s="18"/>
      <c r="M205" s="18"/>
    </row>
    <row r="206" spans="1:18" x14ac:dyDescent="0.2">
      <c r="A206" s="3"/>
      <c r="B206" s="3"/>
      <c r="C206" s="3"/>
      <c r="D206" s="3"/>
      <c r="E206" s="18"/>
      <c r="F206" s="18"/>
      <c r="H206" s="18"/>
    </row>
    <row r="207" spans="1:18" x14ac:dyDescent="0.2">
      <c r="A207" s="3"/>
      <c r="B207" s="3"/>
      <c r="C207" s="3"/>
      <c r="D207" s="3"/>
      <c r="E207" s="18"/>
      <c r="F207" s="18"/>
      <c r="H207" s="18"/>
    </row>
    <row r="208" spans="1:18" x14ac:dyDescent="0.2">
      <c r="A208" s="3"/>
      <c r="B208" s="3"/>
      <c r="C208" s="3"/>
      <c r="D208" s="3"/>
      <c r="E208" s="18"/>
      <c r="F208" s="18"/>
      <c r="H208" s="18"/>
    </row>
    <row r="209" spans="1:18" x14ac:dyDescent="0.2">
      <c r="A209" s="3"/>
      <c r="B209" s="3"/>
      <c r="C209" s="3"/>
      <c r="D209" s="3"/>
      <c r="E209" s="18"/>
      <c r="F209" s="18"/>
      <c r="H209" s="18"/>
    </row>
    <row r="210" spans="1:18" x14ac:dyDescent="0.2">
      <c r="A210" s="3"/>
      <c r="B210" s="3"/>
      <c r="C210" s="3"/>
      <c r="D210" s="3"/>
      <c r="E210" s="18"/>
      <c r="F210" s="18"/>
      <c r="H210" s="18"/>
      <c r="I210" s="18"/>
      <c r="J210" s="18"/>
      <c r="K210" s="18"/>
      <c r="M210" s="18"/>
    </row>
    <row r="211" spans="1:18" x14ac:dyDescent="0.2">
      <c r="A211" s="3"/>
      <c r="B211" s="3"/>
      <c r="C211" s="3"/>
      <c r="D211" s="3"/>
      <c r="E211" s="18"/>
      <c r="F211" s="18"/>
      <c r="H211" s="18"/>
      <c r="I211" s="18"/>
      <c r="J211" s="18"/>
      <c r="K211" s="18"/>
      <c r="M211" s="18"/>
      <c r="N211" s="18"/>
      <c r="O211" s="18"/>
      <c r="P211" s="18"/>
      <c r="Q211" s="18"/>
      <c r="R211" s="18"/>
    </row>
    <row r="212" spans="1:18" x14ac:dyDescent="0.2">
      <c r="A212" s="3"/>
      <c r="B212" s="3"/>
      <c r="C212" s="3"/>
      <c r="D212" s="3"/>
      <c r="E212" s="18"/>
      <c r="F212" s="18"/>
      <c r="H212" s="18"/>
    </row>
    <row r="213" spans="1:18" x14ac:dyDescent="0.2">
      <c r="A213" s="3"/>
      <c r="B213" s="3"/>
      <c r="C213" s="3"/>
      <c r="D213" s="3"/>
      <c r="E213" s="18"/>
      <c r="F213" s="18"/>
      <c r="H213" s="18"/>
    </row>
    <row r="214" spans="1:18" x14ac:dyDescent="0.2">
      <c r="A214" s="3"/>
      <c r="B214" s="3"/>
      <c r="C214" s="3"/>
      <c r="D214" s="3"/>
      <c r="E214" s="18"/>
      <c r="F214" s="18"/>
      <c r="H214" s="18"/>
    </row>
    <row r="215" spans="1:18" x14ac:dyDescent="0.2">
      <c r="A215" s="3"/>
      <c r="B215" s="3"/>
      <c r="C215" s="3"/>
      <c r="D215" s="3"/>
      <c r="E215" s="18"/>
      <c r="F215" s="18"/>
      <c r="H215" s="18"/>
      <c r="I215" s="18"/>
      <c r="J215" s="18"/>
      <c r="K215" s="18"/>
      <c r="M215" s="18"/>
      <c r="N215" s="18"/>
      <c r="O215" s="18"/>
      <c r="P215" s="18"/>
      <c r="Q215" s="18"/>
      <c r="R215" s="18"/>
    </row>
    <row r="216" spans="1:18" x14ac:dyDescent="0.2">
      <c r="A216" s="3"/>
      <c r="B216" s="3"/>
      <c r="C216" s="3"/>
      <c r="D216" s="3"/>
      <c r="E216" s="18"/>
      <c r="F216" s="18"/>
      <c r="H216" s="18"/>
      <c r="I216" s="18"/>
      <c r="J216" s="18"/>
      <c r="K216" s="18"/>
      <c r="M216" s="18"/>
    </row>
    <row r="217" spans="1:18" x14ac:dyDescent="0.2">
      <c r="A217" s="3"/>
      <c r="B217" s="3"/>
      <c r="C217" s="3"/>
      <c r="D217" s="3"/>
      <c r="E217" s="18"/>
      <c r="F217" s="18"/>
      <c r="H217" s="18"/>
      <c r="I217" s="18"/>
      <c r="J217" s="18"/>
      <c r="K217" s="18"/>
      <c r="M217" s="18"/>
      <c r="N217" s="18"/>
      <c r="O217" s="18"/>
      <c r="P217" s="18"/>
      <c r="Q217" s="18"/>
      <c r="R217" s="18"/>
    </row>
    <row r="218" spans="1:18" x14ac:dyDescent="0.2">
      <c r="A218" s="3"/>
      <c r="B218" s="3"/>
      <c r="C218" s="3"/>
      <c r="D218" s="3"/>
      <c r="E218" s="18"/>
      <c r="F218" s="18"/>
      <c r="H218" s="18"/>
      <c r="I218" s="18"/>
      <c r="J218" s="18"/>
      <c r="K218" s="18"/>
      <c r="M218" s="18"/>
      <c r="N218" s="18"/>
      <c r="O218" s="18"/>
      <c r="P218" s="18"/>
      <c r="Q218" s="18"/>
      <c r="R218" s="18"/>
    </row>
    <row r="219" spans="1:18" x14ac:dyDescent="0.2">
      <c r="A219" s="3"/>
      <c r="B219" s="3"/>
      <c r="C219" s="3"/>
      <c r="D219" s="3"/>
      <c r="E219" s="18"/>
      <c r="F219" s="18"/>
      <c r="H219" s="18"/>
    </row>
    <row r="220" spans="1:18" x14ac:dyDescent="0.2">
      <c r="A220" s="3"/>
      <c r="B220" s="3"/>
      <c r="C220" s="3"/>
      <c r="D220" s="3"/>
      <c r="E220" s="18"/>
      <c r="F220" s="18"/>
      <c r="H220" s="18"/>
      <c r="I220" s="18"/>
      <c r="J220" s="18"/>
      <c r="K220" s="18"/>
      <c r="M220" s="18"/>
      <c r="N220" s="18"/>
      <c r="O220" s="18"/>
      <c r="P220" s="18"/>
      <c r="Q220" s="18"/>
      <c r="R220" s="18"/>
    </row>
    <row r="221" spans="1:18" x14ac:dyDescent="0.2">
      <c r="A221" s="3"/>
      <c r="B221" s="3"/>
      <c r="C221" s="3"/>
      <c r="D221" s="3"/>
      <c r="E221" s="18"/>
      <c r="F221" s="18"/>
      <c r="H221" s="18"/>
    </row>
    <row r="222" spans="1:18" x14ac:dyDescent="0.2">
      <c r="A222" s="3"/>
      <c r="B222" s="3"/>
      <c r="C222" s="3"/>
      <c r="D222" s="3"/>
      <c r="E222" s="18"/>
      <c r="F222" s="18"/>
      <c r="H222" s="18"/>
    </row>
    <row r="223" spans="1:18" x14ac:dyDescent="0.2">
      <c r="A223" s="3"/>
      <c r="B223" s="3"/>
      <c r="C223" s="3"/>
      <c r="D223" s="3"/>
      <c r="E223" s="18"/>
      <c r="F223" s="18"/>
      <c r="H223" s="18"/>
      <c r="I223" s="18"/>
      <c r="J223" s="18"/>
      <c r="K223" s="18"/>
      <c r="M223" s="18"/>
    </row>
    <row r="224" spans="1:18" x14ac:dyDescent="0.2">
      <c r="A224" s="3"/>
      <c r="B224" s="3"/>
      <c r="C224" s="3"/>
      <c r="D224" s="3"/>
      <c r="E224" s="18"/>
      <c r="F224" s="18"/>
      <c r="H224" s="18"/>
    </row>
    <row r="225" spans="1:13" x14ac:dyDescent="0.2">
      <c r="A225" s="3"/>
      <c r="B225" s="3"/>
      <c r="C225" s="3"/>
      <c r="D225" s="3"/>
      <c r="I225" s="18"/>
      <c r="J225" s="18"/>
      <c r="K225" s="18"/>
      <c r="M225" s="18"/>
    </row>
    <row r="226" spans="1:13" x14ac:dyDescent="0.2">
      <c r="A226" s="3"/>
      <c r="B226" s="3"/>
      <c r="C226" s="3"/>
      <c r="D226" s="3"/>
      <c r="E226" s="18"/>
      <c r="F226" s="18"/>
      <c r="H226" s="18"/>
    </row>
    <row r="227" spans="1:13" x14ac:dyDescent="0.2">
      <c r="A227" s="3"/>
      <c r="B227" s="3"/>
      <c r="C227" s="3"/>
      <c r="D227" s="3"/>
      <c r="E227" s="18"/>
      <c r="F227" s="18"/>
      <c r="H227" s="18"/>
    </row>
    <row r="228" spans="1:13" x14ac:dyDescent="0.2">
      <c r="A228" s="3"/>
      <c r="B228" s="3"/>
      <c r="C228" s="3"/>
      <c r="D228" s="3"/>
      <c r="E228" s="18"/>
      <c r="F228" s="18"/>
      <c r="H228" s="18"/>
    </row>
    <row r="229" spans="1:13" x14ac:dyDescent="0.2">
      <c r="A229" s="3"/>
      <c r="B229" s="3"/>
      <c r="C229" s="3"/>
      <c r="D229" s="3"/>
      <c r="E229" s="18"/>
      <c r="F229" s="18"/>
      <c r="H229" s="18"/>
    </row>
    <row r="230" spans="1:13" x14ac:dyDescent="0.2">
      <c r="A230" s="3"/>
      <c r="B230" s="3"/>
      <c r="C230" s="3"/>
      <c r="D230" s="3"/>
      <c r="E230" s="18"/>
      <c r="F230" s="18"/>
      <c r="H230" s="18"/>
    </row>
  </sheetData>
  <mergeCells count="3">
    <mergeCell ref="E1:I1"/>
    <mergeCell ref="J1:N1"/>
    <mergeCell ref="O1:T1"/>
  </mergeCells>
  <printOptions horizontalCentered="1"/>
  <pageMargins left="0" right="0" top="0.75" bottom="0.75" header="0.3" footer="0.3"/>
  <pageSetup paperSize="5" scale="87" orientation="landscape" r:id="rId1"/>
  <headerFooter>
    <oddHeader>&amp;CMISSION COLLEGE
Fund 100 - Operating Budget vs Actual Spending for FY10/11, FY11/12 &amp; FY12/13</oddHeader>
    <oddFooter>&amp;ROffice of Administrative Services
&amp;Z&amp;F &amp;A   March 20, 2013 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"/>
  <sheetViews>
    <sheetView topLeftCell="D1" workbookViewId="0">
      <selection activeCell="M19" sqref="M19"/>
    </sheetView>
  </sheetViews>
  <sheetFormatPr defaultColWidth="9.140625" defaultRowHeight="12.75" outlineLevelRow="2" x14ac:dyDescent="0.2"/>
  <cols>
    <col min="1" max="1" width="8.28515625" style="545" customWidth="1"/>
    <col min="2" max="2" width="21.7109375" style="1" customWidth="1"/>
    <col min="3" max="3" width="18.5703125" style="1" customWidth="1"/>
    <col min="4" max="4" width="20.140625" style="1" bestFit="1" customWidth="1"/>
    <col min="5" max="5" width="7.140625" style="1" bestFit="1" customWidth="1"/>
    <col min="6" max="6" width="8" style="1" bestFit="1" customWidth="1"/>
    <col min="7" max="7" width="7.5703125" style="1" bestFit="1" customWidth="1"/>
    <col min="8" max="8" width="5" style="1" customWidth="1"/>
    <col min="9" max="9" width="6.85546875" style="1" customWidth="1"/>
    <col min="10" max="10" width="8.140625" style="1" bestFit="1" customWidth="1"/>
    <col min="11" max="11" width="8" style="1" bestFit="1" customWidth="1"/>
    <col min="12" max="12" width="8.42578125" style="1" bestFit="1" customWidth="1"/>
    <col min="13" max="13" width="5.28515625" style="1" customWidth="1"/>
    <col min="14" max="14" width="7.42578125" style="1" customWidth="1"/>
    <col min="15" max="15" width="8.140625" style="1" bestFit="1" customWidth="1"/>
    <col min="16" max="16" width="8" style="1" bestFit="1" customWidth="1"/>
    <col min="17" max="17" width="7.5703125" style="1" bestFit="1" customWidth="1"/>
    <col min="18" max="18" width="6.7109375" style="1" customWidth="1"/>
    <col min="19" max="19" width="7.42578125" style="1" customWidth="1"/>
    <col min="20" max="20" width="7.140625" style="1" customWidth="1"/>
    <col min="21" max="21" width="21.85546875" style="1" customWidth="1"/>
    <col min="22" max="16384" width="9.140625" style="1"/>
  </cols>
  <sheetData>
    <row r="1" spans="1:21" ht="13.5" thickBot="1" x14ac:dyDescent="0.25">
      <c r="A1" s="543"/>
      <c r="B1" s="441"/>
      <c r="C1" s="441"/>
      <c r="D1" s="441"/>
      <c r="E1" s="637" t="s">
        <v>791</v>
      </c>
      <c r="F1" s="638"/>
      <c r="G1" s="638"/>
      <c r="H1" s="638"/>
      <c r="I1" s="639"/>
      <c r="J1" s="640" t="s">
        <v>790</v>
      </c>
      <c r="K1" s="641"/>
      <c r="L1" s="641"/>
      <c r="M1" s="641"/>
      <c r="N1" s="642"/>
      <c r="O1" s="637" t="s">
        <v>792</v>
      </c>
      <c r="P1" s="638"/>
      <c r="Q1" s="638"/>
      <c r="R1" s="638"/>
      <c r="S1" s="638"/>
      <c r="T1" s="638"/>
      <c r="U1" s="520" t="s">
        <v>825</v>
      </c>
    </row>
    <row r="2" spans="1:21" s="17" customFormat="1" ht="28.9" customHeight="1" thickBot="1" x14ac:dyDescent="0.25">
      <c r="A2" s="434"/>
      <c r="B2" s="435" t="s">
        <v>732</v>
      </c>
      <c r="C2" s="435" t="s">
        <v>735</v>
      </c>
      <c r="D2" s="436" t="s">
        <v>733</v>
      </c>
      <c r="E2" s="140" t="s">
        <v>0</v>
      </c>
      <c r="F2" s="141" t="s">
        <v>1</v>
      </c>
      <c r="G2" s="141" t="s">
        <v>772</v>
      </c>
      <c r="H2" s="546" t="s">
        <v>793</v>
      </c>
      <c r="I2" s="143" t="s">
        <v>3</v>
      </c>
      <c r="J2" s="140" t="s">
        <v>0</v>
      </c>
      <c r="K2" s="141" t="s">
        <v>1</v>
      </c>
      <c r="L2" s="141" t="s">
        <v>772</v>
      </c>
      <c r="M2" s="142" t="s">
        <v>793</v>
      </c>
      <c r="N2" s="143" t="s">
        <v>3</v>
      </c>
      <c r="O2" s="140" t="s">
        <v>0</v>
      </c>
      <c r="P2" s="141" t="s">
        <v>1</v>
      </c>
      <c r="Q2" s="141" t="s">
        <v>772</v>
      </c>
      <c r="R2" s="141" t="s">
        <v>2</v>
      </c>
      <c r="S2" s="142" t="s">
        <v>793</v>
      </c>
      <c r="T2" s="535" t="s">
        <v>3</v>
      </c>
      <c r="U2" s="521" t="s">
        <v>826</v>
      </c>
    </row>
    <row r="3" spans="1:21" s="6" customFormat="1" ht="15" customHeight="1" outlineLevel="2" x14ac:dyDescent="0.2">
      <c r="A3" s="136" t="s">
        <v>736</v>
      </c>
      <c r="B3" s="122" t="s">
        <v>40</v>
      </c>
      <c r="C3" s="122" t="s">
        <v>41</v>
      </c>
      <c r="D3" s="138" t="s">
        <v>7</v>
      </c>
      <c r="E3" s="328">
        <v>0</v>
      </c>
      <c r="F3" s="125">
        <v>439</v>
      </c>
      <c r="G3" s="125">
        <v>0</v>
      </c>
      <c r="H3" s="126">
        <v>0</v>
      </c>
      <c r="I3" s="329">
        <v>439</v>
      </c>
      <c r="J3" s="144"/>
      <c r="K3" s="123"/>
      <c r="L3" s="123"/>
      <c r="M3" s="124"/>
      <c r="N3" s="137"/>
      <c r="O3" s="340"/>
      <c r="P3" s="157"/>
      <c r="Q3" s="157"/>
      <c r="R3" s="157"/>
      <c r="S3" s="126"/>
      <c r="T3" s="536"/>
      <c r="U3" s="522"/>
    </row>
    <row r="4" spans="1:21" s="6" customFormat="1" ht="15" customHeight="1" outlineLevel="2" x14ac:dyDescent="0.2">
      <c r="A4" s="135" t="s">
        <v>736</v>
      </c>
      <c r="B4" s="22" t="s">
        <v>42</v>
      </c>
      <c r="C4" s="22" t="s">
        <v>41</v>
      </c>
      <c r="D4" s="139" t="s">
        <v>9</v>
      </c>
      <c r="E4" s="331">
        <v>0</v>
      </c>
      <c r="F4" s="57">
        <v>1071</v>
      </c>
      <c r="G4" s="57">
        <v>1071</v>
      </c>
      <c r="H4" s="58">
        <v>0</v>
      </c>
      <c r="I4" s="165">
        <v>0</v>
      </c>
      <c r="J4" s="145"/>
      <c r="K4" s="66"/>
      <c r="L4" s="66"/>
      <c r="M4" s="67"/>
      <c r="N4" s="90"/>
      <c r="O4" s="330"/>
      <c r="P4" s="68"/>
      <c r="Q4" s="68"/>
      <c r="R4" s="68"/>
      <c r="S4" s="58"/>
      <c r="T4" s="537"/>
      <c r="U4" s="523"/>
    </row>
    <row r="5" spans="1:21" s="6" customFormat="1" ht="15" customHeight="1" outlineLevel="2" x14ac:dyDescent="0.2">
      <c r="A5" s="135" t="s">
        <v>736</v>
      </c>
      <c r="B5" s="22" t="s">
        <v>43</v>
      </c>
      <c r="C5" s="22" t="s">
        <v>41</v>
      </c>
      <c r="D5" s="139" t="s">
        <v>19</v>
      </c>
      <c r="E5" s="331">
        <v>8400</v>
      </c>
      <c r="F5" s="57">
        <v>4317</v>
      </c>
      <c r="G5" s="57">
        <v>4001.84</v>
      </c>
      <c r="H5" s="58">
        <f t="shared" ref="H5:H42" si="0">+G5/E5</f>
        <v>0.47640952380952384</v>
      </c>
      <c r="I5" s="165">
        <v>315.16000000000003</v>
      </c>
      <c r="J5" s="146">
        <v>3000</v>
      </c>
      <c r="K5" s="69">
        <v>616</v>
      </c>
      <c r="L5" s="69">
        <v>47.47</v>
      </c>
      <c r="M5" s="67">
        <f t="shared" ref="M5:M40" si="1">+L5/J5</f>
        <v>1.5823333333333332E-2</v>
      </c>
      <c r="N5" s="89">
        <v>568.53</v>
      </c>
      <c r="O5" s="331">
        <v>3000</v>
      </c>
      <c r="P5" s="57">
        <v>2500</v>
      </c>
      <c r="Q5" s="57">
        <v>238.55</v>
      </c>
      <c r="R5" s="57">
        <v>61.45</v>
      </c>
      <c r="S5" s="58">
        <f t="shared" ref="S5:S69" si="2">+Q5/O5</f>
        <v>7.9516666666666666E-2</v>
      </c>
      <c r="T5" s="538">
        <v>2200</v>
      </c>
      <c r="U5" s="523"/>
    </row>
    <row r="6" spans="1:21" s="6" customFormat="1" ht="15" customHeight="1" outlineLevel="2" x14ac:dyDescent="0.2">
      <c r="A6" s="135" t="s">
        <v>736</v>
      </c>
      <c r="B6" s="22" t="s">
        <v>44</v>
      </c>
      <c r="C6" s="22" t="s">
        <v>41</v>
      </c>
      <c r="D6" s="139" t="s">
        <v>23</v>
      </c>
      <c r="E6" s="331">
        <v>0</v>
      </c>
      <c r="F6" s="57">
        <v>500</v>
      </c>
      <c r="G6" s="57">
        <v>0</v>
      </c>
      <c r="H6" s="58">
        <v>0</v>
      </c>
      <c r="I6" s="165">
        <v>500</v>
      </c>
      <c r="J6" s="146">
        <v>0</v>
      </c>
      <c r="K6" s="69">
        <v>200</v>
      </c>
      <c r="L6" s="69">
        <v>87</v>
      </c>
      <c r="M6" s="67">
        <v>0</v>
      </c>
      <c r="N6" s="89">
        <v>113</v>
      </c>
      <c r="O6" s="331">
        <v>0</v>
      </c>
      <c r="P6" s="57">
        <v>500</v>
      </c>
      <c r="Q6" s="57">
        <v>195.1</v>
      </c>
      <c r="R6" s="57">
        <v>0</v>
      </c>
      <c r="S6" s="58">
        <v>0</v>
      </c>
      <c r="T6" s="538">
        <v>304.89999999999998</v>
      </c>
      <c r="U6" s="523"/>
    </row>
    <row r="7" spans="1:21" s="6" customFormat="1" ht="15" customHeight="1" outlineLevel="2" x14ac:dyDescent="0.2">
      <c r="A7" s="135" t="s">
        <v>736</v>
      </c>
      <c r="B7" s="22" t="s">
        <v>45</v>
      </c>
      <c r="C7" s="22" t="s">
        <v>41</v>
      </c>
      <c r="D7" s="139" t="s">
        <v>29</v>
      </c>
      <c r="E7" s="331">
        <v>12000</v>
      </c>
      <c r="F7" s="57">
        <v>3325</v>
      </c>
      <c r="G7" s="57">
        <v>3324.04</v>
      </c>
      <c r="H7" s="58">
        <f t="shared" si="0"/>
        <v>0.27700333333333332</v>
      </c>
      <c r="I7" s="165">
        <v>0.96</v>
      </c>
      <c r="J7" s="146">
        <v>11000</v>
      </c>
      <c r="K7" s="69">
        <v>9290</v>
      </c>
      <c r="L7" s="69">
        <v>6846.91</v>
      </c>
      <c r="M7" s="67">
        <f t="shared" si="1"/>
        <v>0.62244636363636363</v>
      </c>
      <c r="N7" s="89">
        <v>2443.09</v>
      </c>
      <c r="O7" s="331">
        <v>11000</v>
      </c>
      <c r="P7" s="57">
        <v>11000</v>
      </c>
      <c r="Q7" s="57">
        <v>2364.8000000000002</v>
      </c>
      <c r="R7" s="57">
        <v>0</v>
      </c>
      <c r="S7" s="58">
        <f t="shared" si="2"/>
        <v>0.21498181818181819</v>
      </c>
      <c r="T7" s="538">
        <v>8635.2000000000007</v>
      </c>
      <c r="U7" s="523"/>
    </row>
    <row r="8" spans="1:21" s="6" customFormat="1" ht="15" customHeight="1" outlineLevel="2" x14ac:dyDescent="0.2">
      <c r="A8" s="135" t="s">
        <v>736</v>
      </c>
      <c r="B8" s="22" t="s">
        <v>46</v>
      </c>
      <c r="C8" s="22" t="s">
        <v>41</v>
      </c>
      <c r="D8" s="139" t="s">
        <v>31</v>
      </c>
      <c r="E8" s="331">
        <v>1000</v>
      </c>
      <c r="F8" s="57">
        <v>895</v>
      </c>
      <c r="G8" s="57">
        <v>375</v>
      </c>
      <c r="H8" s="58">
        <f t="shared" si="0"/>
        <v>0.375</v>
      </c>
      <c r="I8" s="165">
        <v>520</v>
      </c>
      <c r="J8" s="146">
        <v>1000</v>
      </c>
      <c r="K8" s="69">
        <v>1000</v>
      </c>
      <c r="L8" s="69">
        <v>500.91</v>
      </c>
      <c r="M8" s="67">
        <f t="shared" si="1"/>
        <v>0.50091000000000008</v>
      </c>
      <c r="N8" s="89">
        <v>499.09</v>
      </c>
      <c r="O8" s="331">
        <v>1000</v>
      </c>
      <c r="P8" s="57">
        <v>1000</v>
      </c>
      <c r="Q8" s="57">
        <v>0</v>
      </c>
      <c r="R8" s="57">
        <v>0</v>
      </c>
      <c r="S8" s="58">
        <f t="shared" si="2"/>
        <v>0</v>
      </c>
      <c r="T8" s="538">
        <v>1000</v>
      </c>
      <c r="U8" s="523"/>
    </row>
    <row r="9" spans="1:21" s="6" customFormat="1" ht="15" customHeight="1" outlineLevel="2" x14ac:dyDescent="0.2">
      <c r="A9" s="135" t="s">
        <v>736</v>
      </c>
      <c r="B9" s="22" t="s">
        <v>47</v>
      </c>
      <c r="C9" s="22" t="s">
        <v>41</v>
      </c>
      <c r="D9" s="139" t="s">
        <v>48</v>
      </c>
      <c r="E9" s="331">
        <v>0</v>
      </c>
      <c r="F9" s="57">
        <v>105</v>
      </c>
      <c r="G9" s="57">
        <v>96.8</v>
      </c>
      <c r="H9" s="58">
        <v>0</v>
      </c>
      <c r="I9" s="165">
        <v>8.1999999999999993</v>
      </c>
      <c r="J9" s="145"/>
      <c r="K9" s="66"/>
      <c r="L9" s="66"/>
      <c r="M9" s="67"/>
      <c r="N9" s="90"/>
      <c r="O9" s="330"/>
      <c r="P9" s="68"/>
      <c r="Q9" s="68"/>
      <c r="R9" s="68"/>
      <c r="S9" s="58"/>
      <c r="T9" s="537"/>
      <c r="U9" s="523"/>
    </row>
    <row r="10" spans="1:21" s="6" customFormat="1" ht="15" customHeight="1" outlineLevel="2" x14ac:dyDescent="0.2">
      <c r="A10" s="135" t="s">
        <v>736</v>
      </c>
      <c r="B10" s="22" t="s">
        <v>49</v>
      </c>
      <c r="C10" s="22" t="s">
        <v>41</v>
      </c>
      <c r="D10" s="139" t="s">
        <v>37</v>
      </c>
      <c r="E10" s="331">
        <v>600</v>
      </c>
      <c r="F10" s="57">
        <v>8600</v>
      </c>
      <c r="G10" s="57">
        <v>0</v>
      </c>
      <c r="H10" s="58">
        <f t="shared" si="0"/>
        <v>0</v>
      </c>
      <c r="I10" s="165">
        <v>8600</v>
      </c>
      <c r="J10" s="146">
        <v>1000</v>
      </c>
      <c r="K10" s="69">
        <v>0</v>
      </c>
      <c r="L10" s="69">
        <v>0</v>
      </c>
      <c r="M10" s="67">
        <f t="shared" si="1"/>
        <v>0</v>
      </c>
      <c r="N10" s="89">
        <v>0</v>
      </c>
      <c r="O10" s="331">
        <v>1000</v>
      </c>
      <c r="P10" s="57">
        <v>1000</v>
      </c>
      <c r="Q10" s="57">
        <v>0</v>
      </c>
      <c r="R10" s="57">
        <v>0</v>
      </c>
      <c r="S10" s="58">
        <f t="shared" si="2"/>
        <v>0</v>
      </c>
      <c r="T10" s="538">
        <v>1000</v>
      </c>
      <c r="U10" s="523"/>
    </row>
    <row r="11" spans="1:21" s="6" customFormat="1" ht="15" customHeight="1" outlineLevel="2" x14ac:dyDescent="0.2">
      <c r="A11" s="135" t="s">
        <v>736</v>
      </c>
      <c r="B11" s="22" t="s">
        <v>50</v>
      </c>
      <c r="C11" s="22" t="s">
        <v>41</v>
      </c>
      <c r="D11" s="139" t="s">
        <v>51</v>
      </c>
      <c r="E11" s="331">
        <v>0</v>
      </c>
      <c r="F11" s="57">
        <v>2258</v>
      </c>
      <c r="G11" s="57">
        <v>2238.37</v>
      </c>
      <c r="H11" s="58">
        <v>0</v>
      </c>
      <c r="I11" s="165">
        <v>19.63</v>
      </c>
      <c r="J11" s="146">
        <v>0</v>
      </c>
      <c r="K11" s="69">
        <v>3341</v>
      </c>
      <c r="L11" s="69">
        <f>1704.13+1589.68</f>
        <v>3293.8100000000004</v>
      </c>
      <c r="M11" s="67">
        <v>0</v>
      </c>
      <c r="N11" s="89">
        <f>1636.87-1589.68</f>
        <v>47.189999999999827</v>
      </c>
      <c r="O11" s="330"/>
      <c r="P11" s="68"/>
      <c r="Q11" s="68"/>
      <c r="R11" s="68"/>
      <c r="S11" s="58"/>
      <c r="T11" s="537"/>
      <c r="U11" s="523"/>
    </row>
    <row r="12" spans="1:21" s="6" customFormat="1" ht="15" customHeight="1" outlineLevel="1" thickBot="1" x14ac:dyDescent="0.25">
      <c r="A12" s="98" t="s">
        <v>756</v>
      </c>
      <c r="B12" s="3"/>
      <c r="C12" s="3"/>
      <c r="D12" s="3"/>
      <c r="E12" s="372">
        <f>SUBTOTAL(9,E3:E11)</f>
        <v>22000</v>
      </c>
      <c r="F12" s="208">
        <f>SUBTOTAL(9,F3:F11)</f>
        <v>21510</v>
      </c>
      <c r="G12" s="208">
        <f>SUBTOTAL(9,G3:G11)</f>
        <v>11107.05</v>
      </c>
      <c r="H12" s="93">
        <f t="shared" si="0"/>
        <v>0.504865909090909</v>
      </c>
      <c r="I12" s="367">
        <f>SUBTOTAL(9,I3:I11)</f>
        <v>10402.949999999999</v>
      </c>
      <c r="J12" s="372">
        <f>SUBTOTAL(9,J3:J11)</f>
        <v>16000</v>
      </c>
      <c r="K12" s="208">
        <f>SUBTOTAL(9,K3:K11)</f>
        <v>14447</v>
      </c>
      <c r="L12" s="208">
        <f>SUBTOTAL(9,L3:L11)</f>
        <v>10776.1</v>
      </c>
      <c r="M12" s="93">
        <f t="shared" si="1"/>
        <v>0.67350624999999997</v>
      </c>
      <c r="N12" s="367">
        <f>SUBTOTAL(9,N3:N11)</f>
        <v>3670.8999999999996</v>
      </c>
      <c r="O12" s="379">
        <f>SUBTOTAL(9,O3:O11)</f>
        <v>16000</v>
      </c>
      <c r="P12" s="92">
        <f>SUBTOTAL(9,P3:P11)</f>
        <v>16000</v>
      </c>
      <c r="Q12" s="92">
        <f>SUBTOTAL(9,Q3:Q11)</f>
        <v>2798.4500000000003</v>
      </c>
      <c r="R12" s="92">
        <f>SUBTOTAL(9,R3:R11)</f>
        <v>61.45</v>
      </c>
      <c r="S12" s="93">
        <f t="shared" si="2"/>
        <v>0.17490312500000002</v>
      </c>
      <c r="T12" s="539">
        <f>SUBTOTAL(9,T3:T11)</f>
        <v>13140.1</v>
      </c>
      <c r="U12" s="509"/>
    </row>
    <row r="13" spans="1:21" s="6" customFormat="1" ht="15" customHeight="1" outlineLevel="1" thickTop="1" x14ac:dyDescent="0.2">
      <c r="A13" s="98"/>
      <c r="B13" s="7"/>
      <c r="C13" s="7"/>
      <c r="D13" s="7"/>
      <c r="E13" s="366"/>
      <c r="F13" s="7"/>
      <c r="G13" s="7"/>
      <c r="H13" s="7"/>
      <c r="I13" s="442"/>
      <c r="J13" s="366"/>
      <c r="K13" s="7"/>
      <c r="L13" s="7"/>
      <c r="M13" s="7"/>
      <c r="N13" s="442"/>
      <c r="O13" s="366"/>
      <c r="P13" s="7"/>
      <c r="Q13" s="7"/>
      <c r="R13" s="7"/>
      <c r="S13" s="7"/>
      <c r="T13" s="7"/>
      <c r="U13" s="509"/>
    </row>
    <row r="14" spans="1:21" s="6" customFormat="1" ht="15" customHeight="1" outlineLevel="2" x14ac:dyDescent="0.2">
      <c r="A14" s="135" t="s">
        <v>738</v>
      </c>
      <c r="B14" s="22" t="s">
        <v>54</v>
      </c>
      <c r="C14" s="22" t="s">
        <v>55</v>
      </c>
      <c r="D14" s="139" t="s">
        <v>56</v>
      </c>
      <c r="E14" s="331">
        <v>2750</v>
      </c>
      <c r="F14" s="57">
        <v>2750</v>
      </c>
      <c r="G14" s="57">
        <v>0</v>
      </c>
      <c r="H14" s="58">
        <f t="shared" si="0"/>
        <v>0</v>
      </c>
      <c r="I14" s="165">
        <v>2750</v>
      </c>
      <c r="J14" s="145"/>
      <c r="K14" s="66"/>
      <c r="L14" s="66"/>
      <c r="M14" s="67"/>
      <c r="N14" s="90"/>
      <c r="O14" s="330"/>
      <c r="P14" s="68"/>
      <c r="Q14" s="68"/>
      <c r="R14" s="68"/>
      <c r="S14" s="58"/>
      <c r="T14" s="537"/>
      <c r="U14" s="523"/>
    </row>
    <row r="15" spans="1:21" s="6" customFormat="1" ht="15" customHeight="1" outlineLevel="2" x14ac:dyDescent="0.2">
      <c r="A15" s="135" t="s">
        <v>738</v>
      </c>
      <c r="B15" s="22" t="s">
        <v>57</v>
      </c>
      <c r="C15" s="22" t="s">
        <v>55</v>
      </c>
      <c r="D15" s="139" t="s">
        <v>58</v>
      </c>
      <c r="E15" s="432"/>
      <c r="F15" s="62"/>
      <c r="G15" s="62"/>
      <c r="H15" s="58"/>
      <c r="I15" s="433"/>
      <c r="J15" s="147"/>
      <c r="K15" s="70"/>
      <c r="L15" s="70"/>
      <c r="M15" s="67"/>
      <c r="N15" s="90"/>
      <c r="O15" s="342">
        <v>0</v>
      </c>
      <c r="P15" s="60">
        <v>0</v>
      </c>
      <c r="Q15" s="60">
        <v>0</v>
      </c>
      <c r="R15" s="60">
        <v>0</v>
      </c>
      <c r="S15" s="58"/>
      <c r="T15" s="538">
        <v>0</v>
      </c>
      <c r="U15" s="523"/>
    </row>
    <row r="16" spans="1:21" s="6" customFormat="1" ht="15" customHeight="1" outlineLevel="2" x14ac:dyDescent="0.2">
      <c r="A16" s="135" t="s">
        <v>738</v>
      </c>
      <c r="B16" s="22" t="s">
        <v>59</v>
      </c>
      <c r="C16" s="22" t="s">
        <v>55</v>
      </c>
      <c r="D16" s="139" t="s">
        <v>58</v>
      </c>
      <c r="E16" s="330"/>
      <c r="F16" s="68"/>
      <c r="G16" s="68"/>
      <c r="H16" s="58"/>
      <c r="I16" s="164"/>
      <c r="J16" s="145"/>
      <c r="K16" s="66"/>
      <c r="L16" s="66"/>
      <c r="M16" s="67"/>
      <c r="N16" s="90"/>
      <c r="O16" s="331">
        <v>0</v>
      </c>
      <c r="P16" s="57">
        <v>8050</v>
      </c>
      <c r="Q16" s="57">
        <v>2827.44</v>
      </c>
      <c r="R16" s="57">
        <v>0</v>
      </c>
      <c r="S16" s="58">
        <v>0</v>
      </c>
      <c r="T16" s="538">
        <v>5222.5600000000004</v>
      </c>
      <c r="U16" s="523"/>
    </row>
    <row r="17" spans="1:21" s="6" customFormat="1" ht="15" customHeight="1" outlineLevel="2" x14ac:dyDescent="0.2">
      <c r="A17" s="135" t="s">
        <v>738</v>
      </c>
      <c r="B17" s="22" t="s">
        <v>60</v>
      </c>
      <c r="C17" s="22" t="s">
        <v>55</v>
      </c>
      <c r="D17" s="139" t="s">
        <v>10</v>
      </c>
      <c r="E17" s="330"/>
      <c r="F17" s="68"/>
      <c r="G17" s="68"/>
      <c r="H17" s="58"/>
      <c r="I17" s="164"/>
      <c r="J17" s="145"/>
      <c r="K17" s="66"/>
      <c r="L17" s="66"/>
      <c r="M17" s="67"/>
      <c r="N17" s="90"/>
      <c r="O17" s="331">
        <v>0</v>
      </c>
      <c r="P17" s="57">
        <v>300</v>
      </c>
      <c r="Q17" s="57">
        <v>233.27</v>
      </c>
      <c r="R17" s="57">
        <v>0</v>
      </c>
      <c r="S17" s="58">
        <v>0</v>
      </c>
      <c r="T17" s="538">
        <v>66.73</v>
      </c>
      <c r="U17" s="523"/>
    </row>
    <row r="18" spans="1:21" s="6" customFormat="1" ht="15" customHeight="1" outlineLevel="2" x14ac:dyDescent="0.2">
      <c r="A18" s="135" t="s">
        <v>738</v>
      </c>
      <c r="B18" s="22" t="s">
        <v>61</v>
      </c>
      <c r="C18" s="22" t="s">
        <v>55</v>
      </c>
      <c r="D18" s="139" t="s">
        <v>11</v>
      </c>
      <c r="E18" s="330"/>
      <c r="F18" s="68"/>
      <c r="G18" s="68"/>
      <c r="H18" s="58"/>
      <c r="I18" s="164"/>
      <c r="J18" s="145"/>
      <c r="K18" s="66"/>
      <c r="L18" s="66"/>
      <c r="M18" s="67"/>
      <c r="N18" s="90"/>
      <c r="O18" s="331">
        <v>0</v>
      </c>
      <c r="P18" s="57">
        <v>50</v>
      </c>
      <c r="Q18" s="57">
        <v>39.92</v>
      </c>
      <c r="R18" s="57">
        <v>0</v>
      </c>
      <c r="S18" s="58">
        <v>0</v>
      </c>
      <c r="T18" s="538">
        <v>10.08</v>
      </c>
      <c r="U18" s="523"/>
    </row>
    <row r="19" spans="1:21" s="6" customFormat="1" ht="15" customHeight="1" outlineLevel="2" x14ac:dyDescent="0.2">
      <c r="A19" s="135" t="s">
        <v>738</v>
      </c>
      <c r="B19" s="22" t="s">
        <v>62</v>
      </c>
      <c r="C19" s="22" t="s">
        <v>55</v>
      </c>
      <c r="D19" s="139" t="s">
        <v>13</v>
      </c>
      <c r="E19" s="330"/>
      <c r="F19" s="68"/>
      <c r="G19" s="68"/>
      <c r="H19" s="58"/>
      <c r="I19" s="164"/>
      <c r="J19" s="145"/>
      <c r="K19" s="66"/>
      <c r="L19" s="66"/>
      <c r="M19" s="67"/>
      <c r="N19" s="90"/>
      <c r="O19" s="331">
        <v>0</v>
      </c>
      <c r="P19" s="57">
        <v>50</v>
      </c>
      <c r="Q19" s="57">
        <v>30.28</v>
      </c>
      <c r="R19" s="57">
        <v>0</v>
      </c>
      <c r="S19" s="58">
        <v>0</v>
      </c>
      <c r="T19" s="538">
        <v>19.72</v>
      </c>
      <c r="U19" s="523"/>
    </row>
    <row r="20" spans="1:21" s="6" customFormat="1" ht="15" customHeight="1" outlineLevel="2" x14ac:dyDescent="0.2">
      <c r="A20" s="135" t="s">
        <v>738</v>
      </c>
      <c r="B20" s="22" t="s">
        <v>63</v>
      </c>
      <c r="C20" s="22" t="s">
        <v>55</v>
      </c>
      <c r="D20" s="139" t="s">
        <v>15</v>
      </c>
      <c r="E20" s="330"/>
      <c r="F20" s="68"/>
      <c r="G20" s="68"/>
      <c r="H20" s="58"/>
      <c r="I20" s="164"/>
      <c r="J20" s="145"/>
      <c r="K20" s="66"/>
      <c r="L20" s="66"/>
      <c r="M20" s="67"/>
      <c r="N20" s="90"/>
      <c r="O20" s="331">
        <v>0</v>
      </c>
      <c r="P20" s="57">
        <v>50</v>
      </c>
      <c r="Q20" s="57">
        <v>40.65</v>
      </c>
      <c r="R20" s="57">
        <v>0</v>
      </c>
      <c r="S20" s="58">
        <v>0</v>
      </c>
      <c r="T20" s="538">
        <v>9.35</v>
      </c>
      <c r="U20" s="523"/>
    </row>
    <row r="21" spans="1:21" s="6" customFormat="1" ht="15" customHeight="1" outlineLevel="2" x14ac:dyDescent="0.2">
      <c r="A21" s="135" t="s">
        <v>738</v>
      </c>
      <c r="B21" s="22" t="s">
        <v>64</v>
      </c>
      <c r="C21" s="22" t="s">
        <v>55</v>
      </c>
      <c r="D21" s="139" t="s">
        <v>19</v>
      </c>
      <c r="E21" s="331">
        <v>11900</v>
      </c>
      <c r="F21" s="57">
        <v>11900</v>
      </c>
      <c r="G21" s="57">
        <v>11899.4</v>
      </c>
      <c r="H21" s="58">
        <f t="shared" si="0"/>
        <v>0.99994957983193278</v>
      </c>
      <c r="I21" s="165">
        <v>0.6</v>
      </c>
      <c r="J21" s="145"/>
      <c r="K21" s="66"/>
      <c r="L21" s="66"/>
      <c r="M21" s="67"/>
      <c r="N21" s="90"/>
      <c r="O21" s="331">
        <v>10000</v>
      </c>
      <c r="P21" s="57">
        <v>1500</v>
      </c>
      <c r="Q21" s="57">
        <v>176.12</v>
      </c>
      <c r="R21" s="57">
        <v>0</v>
      </c>
      <c r="S21" s="58">
        <f t="shared" si="2"/>
        <v>1.7611999999999999E-2</v>
      </c>
      <c r="T21" s="538">
        <v>1323.88</v>
      </c>
      <c r="U21" s="523"/>
    </row>
    <row r="22" spans="1:21" s="6" customFormat="1" ht="15" customHeight="1" outlineLevel="2" x14ac:dyDescent="0.2">
      <c r="A22" s="135" t="s">
        <v>738</v>
      </c>
      <c r="B22" s="22" t="s">
        <v>65</v>
      </c>
      <c r="C22" s="22" t="s">
        <v>55</v>
      </c>
      <c r="D22" s="139" t="s">
        <v>66</v>
      </c>
      <c r="E22" s="331">
        <v>0</v>
      </c>
      <c r="F22" s="57">
        <v>500</v>
      </c>
      <c r="G22" s="57">
        <v>0</v>
      </c>
      <c r="H22" s="58">
        <v>0</v>
      </c>
      <c r="I22" s="165">
        <v>500</v>
      </c>
      <c r="J22" s="145"/>
      <c r="K22" s="66"/>
      <c r="L22" s="66"/>
      <c r="M22" s="67"/>
      <c r="N22" s="90"/>
      <c r="O22" s="330"/>
      <c r="P22" s="68"/>
      <c r="Q22" s="68"/>
      <c r="R22" s="68"/>
      <c r="S22" s="58"/>
      <c r="T22" s="537"/>
      <c r="U22" s="523"/>
    </row>
    <row r="23" spans="1:21" s="6" customFormat="1" ht="15" customHeight="1" outlineLevel="2" x14ac:dyDescent="0.2">
      <c r="A23" s="135" t="s">
        <v>738</v>
      </c>
      <c r="B23" s="22" t="s">
        <v>67</v>
      </c>
      <c r="C23" s="22" t="s">
        <v>55</v>
      </c>
      <c r="D23" s="139" t="s">
        <v>66</v>
      </c>
      <c r="E23" s="331">
        <v>350</v>
      </c>
      <c r="F23" s="57">
        <v>700</v>
      </c>
      <c r="G23" s="57">
        <v>0</v>
      </c>
      <c r="H23" s="58">
        <f t="shared" si="0"/>
        <v>0</v>
      </c>
      <c r="I23" s="165">
        <v>700</v>
      </c>
      <c r="J23" s="145"/>
      <c r="K23" s="66"/>
      <c r="L23" s="66"/>
      <c r="M23" s="67"/>
      <c r="N23" s="90"/>
      <c r="O23" s="330"/>
      <c r="P23" s="68"/>
      <c r="Q23" s="68"/>
      <c r="R23" s="68"/>
      <c r="S23" s="58"/>
      <c r="T23" s="537"/>
      <c r="U23" s="523"/>
    </row>
    <row r="24" spans="1:21" s="6" customFormat="1" ht="15" customHeight="1" outlineLevel="2" x14ac:dyDescent="0.2">
      <c r="A24" s="135" t="s">
        <v>738</v>
      </c>
      <c r="B24" s="22" t="s">
        <v>68</v>
      </c>
      <c r="C24" s="22" t="s">
        <v>55</v>
      </c>
      <c r="D24" s="139" t="s">
        <v>37</v>
      </c>
      <c r="E24" s="331">
        <v>5929</v>
      </c>
      <c r="F24" s="57">
        <v>3264</v>
      </c>
      <c r="G24" s="57">
        <v>0</v>
      </c>
      <c r="H24" s="58">
        <f t="shared" si="0"/>
        <v>0</v>
      </c>
      <c r="I24" s="165">
        <v>3264</v>
      </c>
      <c r="J24" s="146">
        <v>8929</v>
      </c>
      <c r="K24" s="69">
        <v>929</v>
      </c>
      <c r="L24" s="69">
        <v>0</v>
      </c>
      <c r="M24" s="67">
        <f t="shared" si="1"/>
        <v>0</v>
      </c>
      <c r="N24" s="89">
        <v>929</v>
      </c>
      <c r="O24" s="331">
        <v>8929</v>
      </c>
      <c r="P24" s="57">
        <v>8929</v>
      </c>
      <c r="Q24" s="57">
        <v>0</v>
      </c>
      <c r="R24" s="57">
        <v>0</v>
      </c>
      <c r="S24" s="58">
        <f t="shared" si="2"/>
        <v>0</v>
      </c>
      <c r="T24" s="538">
        <v>8929</v>
      </c>
      <c r="U24" s="523"/>
    </row>
    <row r="25" spans="1:21" s="6" customFormat="1" ht="15" customHeight="1" outlineLevel="2" x14ac:dyDescent="0.2">
      <c r="A25" s="135" t="s">
        <v>738</v>
      </c>
      <c r="B25" s="22" t="s">
        <v>69</v>
      </c>
      <c r="C25" s="22" t="s">
        <v>55</v>
      </c>
      <c r="D25" s="139" t="s">
        <v>37</v>
      </c>
      <c r="E25" s="331">
        <v>17453</v>
      </c>
      <c r="F25" s="57">
        <v>16850</v>
      </c>
      <c r="G25" s="57">
        <v>16850</v>
      </c>
      <c r="H25" s="58">
        <f t="shared" si="0"/>
        <v>0.96545006589125082</v>
      </c>
      <c r="I25" s="165">
        <v>0</v>
      </c>
      <c r="J25" s="146">
        <v>17453</v>
      </c>
      <c r="K25" s="69">
        <v>17453</v>
      </c>
      <c r="L25" s="69">
        <v>17453</v>
      </c>
      <c r="M25" s="67">
        <f t="shared" si="1"/>
        <v>1</v>
      </c>
      <c r="N25" s="89">
        <v>0</v>
      </c>
      <c r="O25" s="331">
        <v>17453</v>
      </c>
      <c r="P25" s="57">
        <v>17453</v>
      </c>
      <c r="Q25" s="57">
        <v>15579</v>
      </c>
      <c r="R25" s="57">
        <v>0</v>
      </c>
      <c r="S25" s="58">
        <f t="shared" si="2"/>
        <v>0.89262590958574461</v>
      </c>
      <c r="T25" s="538">
        <v>1874</v>
      </c>
      <c r="U25" s="523"/>
    </row>
    <row r="26" spans="1:21" s="6" customFormat="1" ht="15" customHeight="1" outlineLevel="2" x14ac:dyDescent="0.2">
      <c r="A26" s="135" t="s">
        <v>738</v>
      </c>
      <c r="B26" s="22" t="s">
        <v>70</v>
      </c>
      <c r="C26" s="22" t="s">
        <v>71</v>
      </c>
      <c r="D26" s="139" t="s">
        <v>72</v>
      </c>
      <c r="E26" s="330"/>
      <c r="F26" s="68"/>
      <c r="G26" s="68"/>
      <c r="H26" s="58">
        <v>0</v>
      </c>
      <c r="I26" s="164"/>
      <c r="J26" s="146">
        <v>30000</v>
      </c>
      <c r="K26" s="69">
        <v>0</v>
      </c>
      <c r="L26" s="69">
        <v>0</v>
      </c>
      <c r="M26" s="67">
        <f t="shared" si="1"/>
        <v>0</v>
      </c>
      <c r="N26" s="89">
        <v>0</v>
      </c>
      <c r="O26" s="330"/>
      <c r="P26" s="68"/>
      <c r="Q26" s="68"/>
      <c r="R26" s="68"/>
      <c r="S26" s="58"/>
      <c r="T26" s="537"/>
      <c r="U26" s="523"/>
    </row>
    <row r="27" spans="1:21" s="6" customFormat="1" ht="15" customHeight="1" outlineLevel="2" x14ac:dyDescent="0.2">
      <c r="A27" s="135" t="s">
        <v>738</v>
      </c>
      <c r="B27" s="22" t="s">
        <v>73</v>
      </c>
      <c r="C27" s="22" t="s">
        <v>71</v>
      </c>
      <c r="D27" s="139" t="s">
        <v>74</v>
      </c>
      <c r="E27" s="330"/>
      <c r="F27" s="68"/>
      <c r="G27" s="68"/>
      <c r="H27" s="58">
        <v>0</v>
      </c>
      <c r="I27" s="164"/>
      <c r="J27" s="146">
        <v>40000</v>
      </c>
      <c r="K27" s="69">
        <v>0</v>
      </c>
      <c r="L27" s="69">
        <v>0</v>
      </c>
      <c r="M27" s="67">
        <f t="shared" si="1"/>
        <v>0</v>
      </c>
      <c r="N27" s="89">
        <v>0</v>
      </c>
      <c r="O27" s="330"/>
      <c r="P27" s="68"/>
      <c r="Q27" s="68"/>
      <c r="R27" s="68"/>
      <c r="S27" s="58"/>
      <c r="T27" s="537"/>
      <c r="U27" s="523"/>
    </row>
    <row r="28" spans="1:21" s="6" customFormat="1" ht="15" customHeight="1" outlineLevel="2" x14ac:dyDescent="0.2">
      <c r="A28" s="135" t="s">
        <v>738</v>
      </c>
      <c r="B28" s="22" t="s">
        <v>247</v>
      </c>
      <c r="C28" s="22" t="s">
        <v>245</v>
      </c>
      <c r="D28" s="139" t="s">
        <v>7</v>
      </c>
      <c r="E28" s="330"/>
      <c r="F28" s="68"/>
      <c r="G28" s="68"/>
      <c r="H28" s="58">
        <v>0</v>
      </c>
      <c r="I28" s="164"/>
      <c r="J28" s="146">
        <v>0</v>
      </c>
      <c r="K28" s="69">
        <v>1076</v>
      </c>
      <c r="L28" s="69">
        <f>1076+1526.48</f>
        <v>2602.48</v>
      </c>
      <c r="M28" s="67">
        <v>0</v>
      </c>
      <c r="N28" s="89">
        <v>-1526.48</v>
      </c>
      <c r="O28" s="330"/>
      <c r="P28" s="68"/>
      <c r="Q28" s="68"/>
      <c r="R28" s="68"/>
      <c r="S28" s="58"/>
      <c r="T28" s="537"/>
      <c r="U28" s="523"/>
    </row>
    <row r="29" spans="1:21" s="6" customFormat="1" ht="15" customHeight="1" outlineLevel="2" x14ac:dyDescent="0.2">
      <c r="A29" s="135" t="s">
        <v>738</v>
      </c>
      <c r="B29" s="22" t="s">
        <v>244</v>
      </c>
      <c r="C29" s="22" t="s">
        <v>245</v>
      </c>
      <c r="D29" s="139" t="s">
        <v>246</v>
      </c>
      <c r="E29" s="330"/>
      <c r="F29" s="68"/>
      <c r="G29" s="68"/>
      <c r="H29" s="58">
        <v>0</v>
      </c>
      <c r="I29" s="164"/>
      <c r="J29" s="146">
        <v>0</v>
      </c>
      <c r="K29" s="69">
        <v>0</v>
      </c>
      <c r="L29" s="69">
        <v>0</v>
      </c>
      <c r="M29" s="67">
        <v>0</v>
      </c>
      <c r="N29" s="89">
        <v>0</v>
      </c>
      <c r="O29" s="330"/>
      <c r="P29" s="68"/>
      <c r="Q29" s="68"/>
      <c r="R29" s="68"/>
      <c r="S29" s="58"/>
      <c r="T29" s="537"/>
      <c r="U29" s="523"/>
    </row>
    <row r="30" spans="1:21" s="6" customFormat="1" ht="15" customHeight="1" outlineLevel="2" x14ac:dyDescent="0.2">
      <c r="A30" s="135" t="s">
        <v>738</v>
      </c>
      <c r="B30" s="22" t="s">
        <v>248</v>
      </c>
      <c r="C30" s="22" t="s">
        <v>245</v>
      </c>
      <c r="D30" s="139" t="s">
        <v>19</v>
      </c>
      <c r="E30" s="330"/>
      <c r="F30" s="68"/>
      <c r="G30" s="68"/>
      <c r="H30" s="58">
        <v>0</v>
      </c>
      <c r="I30" s="164"/>
      <c r="J30" s="146">
        <v>0</v>
      </c>
      <c r="K30" s="69">
        <v>4038</v>
      </c>
      <c r="L30" s="69">
        <v>4037.88</v>
      </c>
      <c r="M30" s="67">
        <v>0</v>
      </c>
      <c r="N30" s="89">
        <v>0.12</v>
      </c>
      <c r="O30" s="330"/>
      <c r="P30" s="68"/>
      <c r="Q30" s="68"/>
      <c r="R30" s="68"/>
      <c r="S30" s="58"/>
      <c r="T30" s="537"/>
      <c r="U30" s="523"/>
    </row>
    <row r="31" spans="1:21" s="6" customFormat="1" ht="15" customHeight="1" outlineLevel="2" x14ac:dyDescent="0.2">
      <c r="A31" s="135" t="s">
        <v>738</v>
      </c>
      <c r="B31" s="22" t="s">
        <v>249</v>
      </c>
      <c r="C31" s="22" t="s">
        <v>245</v>
      </c>
      <c r="D31" s="139" t="s">
        <v>29</v>
      </c>
      <c r="E31" s="330"/>
      <c r="F31" s="68"/>
      <c r="G31" s="68"/>
      <c r="H31" s="58">
        <v>0</v>
      </c>
      <c r="I31" s="164"/>
      <c r="J31" s="146">
        <v>0</v>
      </c>
      <c r="K31" s="69">
        <v>41427</v>
      </c>
      <c r="L31" s="69">
        <v>41425.83</v>
      </c>
      <c r="M31" s="67">
        <v>0</v>
      </c>
      <c r="N31" s="89">
        <f>41427-41425.83</f>
        <v>1.1699999999982538</v>
      </c>
      <c r="O31" s="330"/>
      <c r="P31" s="68"/>
      <c r="Q31" s="68"/>
      <c r="R31" s="68"/>
      <c r="S31" s="58"/>
      <c r="T31" s="537"/>
      <c r="U31" s="523"/>
    </row>
    <row r="32" spans="1:21" s="6" customFormat="1" ht="15" customHeight="1" outlineLevel="2" x14ac:dyDescent="0.2">
      <c r="A32" s="135" t="s">
        <v>738</v>
      </c>
      <c r="B32" s="22" t="s">
        <v>250</v>
      </c>
      <c r="C32" s="22" t="s">
        <v>245</v>
      </c>
      <c r="D32" s="139" t="s">
        <v>51</v>
      </c>
      <c r="E32" s="330"/>
      <c r="F32" s="68"/>
      <c r="G32" s="68"/>
      <c r="H32" s="58">
        <v>0</v>
      </c>
      <c r="I32" s="164"/>
      <c r="J32" s="146">
        <v>0</v>
      </c>
      <c r="K32" s="69">
        <v>1637</v>
      </c>
      <c r="L32" s="69">
        <v>6363.71</v>
      </c>
      <c r="M32" s="67">
        <v>0</v>
      </c>
      <c r="N32" s="89">
        <f>1637-6363.71</f>
        <v>-4726.71</v>
      </c>
      <c r="O32" s="331">
        <v>0</v>
      </c>
      <c r="P32" s="57">
        <v>0</v>
      </c>
      <c r="Q32" s="57">
        <v>0</v>
      </c>
      <c r="R32" s="57">
        <v>0</v>
      </c>
      <c r="S32" s="58"/>
      <c r="T32" s="538">
        <v>0</v>
      </c>
      <c r="U32" s="523"/>
    </row>
    <row r="33" spans="1:21" s="6" customFormat="1" ht="15" customHeight="1" outlineLevel="2" x14ac:dyDescent="0.2">
      <c r="A33" s="135" t="s">
        <v>738</v>
      </c>
      <c r="B33" s="22" t="s">
        <v>274</v>
      </c>
      <c r="C33" s="22" t="s">
        <v>272</v>
      </c>
      <c r="D33" s="139" t="s">
        <v>7</v>
      </c>
      <c r="E33" s="331">
        <v>3000</v>
      </c>
      <c r="F33" s="57">
        <v>8051</v>
      </c>
      <c r="G33" s="57">
        <v>8637.27</v>
      </c>
      <c r="H33" s="58">
        <f t="shared" si="0"/>
        <v>2.8790900000000001</v>
      </c>
      <c r="I33" s="165">
        <v>-586.27</v>
      </c>
      <c r="J33" s="146">
        <v>0</v>
      </c>
      <c r="K33" s="69">
        <v>22882</v>
      </c>
      <c r="L33" s="69">
        <v>22761.26</v>
      </c>
      <c r="M33" s="67">
        <v>0</v>
      </c>
      <c r="N33" s="89">
        <v>120.74</v>
      </c>
      <c r="O33" s="331">
        <v>0</v>
      </c>
      <c r="P33" s="57">
        <v>0</v>
      </c>
      <c r="Q33" s="57">
        <v>5017.25</v>
      </c>
      <c r="R33" s="57">
        <v>0</v>
      </c>
      <c r="S33" s="58">
        <v>0</v>
      </c>
      <c r="T33" s="538">
        <v>-5017.25</v>
      </c>
      <c r="U33" s="523"/>
    </row>
    <row r="34" spans="1:21" s="6" customFormat="1" ht="15" customHeight="1" outlineLevel="2" x14ac:dyDescent="0.2">
      <c r="A34" s="135" t="s">
        <v>738</v>
      </c>
      <c r="B34" s="22" t="s">
        <v>275</v>
      </c>
      <c r="C34" s="22" t="s">
        <v>272</v>
      </c>
      <c r="D34" s="139" t="s">
        <v>52</v>
      </c>
      <c r="E34" s="331">
        <v>0</v>
      </c>
      <c r="F34" s="57">
        <v>8057</v>
      </c>
      <c r="G34" s="57">
        <v>4784.09</v>
      </c>
      <c r="H34" s="58">
        <v>0</v>
      </c>
      <c r="I34" s="165">
        <v>3272.91</v>
      </c>
      <c r="J34" s="146">
        <v>0</v>
      </c>
      <c r="K34" s="69">
        <v>154</v>
      </c>
      <c r="L34" s="69">
        <v>153.75</v>
      </c>
      <c r="M34" s="67">
        <v>0</v>
      </c>
      <c r="N34" s="89">
        <v>0.25</v>
      </c>
      <c r="O34" s="330"/>
      <c r="P34" s="68"/>
      <c r="Q34" s="68"/>
      <c r="R34" s="68"/>
      <c r="S34" s="58"/>
      <c r="T34" s="537"/>
      <c r="U34" s="523"/>
    </row>
    <row r="35" spans="1:21" s="6" customFormat="1" ht="15" customHeight="1" outlineLevel="2" x14ac:dyDescent="0.2">
      <c r="A35" s="135" t="s">
        <v>738</v>
      </c>
      <c r="B35" s="22" t="s">
        <v>276</v>
      </c>
      <c r="C35" s="22" t="s">
        <v>272</v>
      </c>
      <c r="D35" s="139" t="s">
        <v>277</v>
      </c>
      <c r="E35" s="330"/>
      <c r="F35" s="68"/>
      <c r="G35" s="68"/>
      <c r="H35" s="58">
        <v>0</v>
      </c>
      <c r="I35" s="164"/>
      <c r="J35" s="146">
        <v>0</v>
      </c>
      <c r="K35" s="69">
        <v>0</v>
      </c>
      <c r="L35" s="69">
        <v>0</v>
      </c>
      <c r="M35" s="67"/>
      <c r="N35" s="89">
        <v>0</v>
      </c>
      <c r="O35" s="330"/>
      <c r="P35" s="68"/>
      <c r="Q35" s="68"/>
      <c r="R35" s="68"/>
      <c r="S35" s="58"/>
      <c r="T35" s="537"/>
      <c r="U35" s="523"/>
    </row>
    <row r="36" spans="1:21" s="6" customFormat="1" ht="15" customHeight="1" outlineLevel="2" x14ac:dyDescent="0.2">
      <c r="A36" s="135" t="s">
        <v>738</v>
      </c>
      <c r="B36" s="22" t="s">
        <v>278</v>
      </c>
      <c r="C36" s="22" t="s">
        <v>272</v>
      </c>
      <c r="D36" s="139" t="s">
        <v>19</v>
      </c>
      <c r="E36" s="331">
        <v>793</v>
      </c>
      <c r="F36" s="57">
        <v>955</v>
      </c>
      <c r="G36" s="57">
        <v>951.21</v>
      </c>
      <c r="H36" s="58">
        <f t="shared" si="0"/>
        <v>1.1995081967213115</v>
      </c>
      <c r="I36" s="165">
        <v>3.79</v>
      </c>
      <c r="J36" s="146">
        <v>1550</v>
      </c>
      <c r="K36" s="69">
        <v>2508</v>
      </c>
      <c r="L36" s="69">
        <v>2467.7199999999998</v>
      </c>
      <c r="M36" s="67">
        <f t="shared" si="1"/>
        <v>1.5920774193548386</v>
      </c>
      <c r="N36" s="89">
        <v>40.28</v>
      </c>
      <c r="O36" s="331">
        <v>1550</v>
      </c>
      <c r="P36" s="57">
        <v>1550</v>
      </c>
      <c r="Q36" s="57">
        <v>1471.85</v>
      </c>
      <c r="R36" s="57">
        <v>56.73</v>
      </c>
      <c r="S36" s="58">
        <f t="shared" si="2"/>
        <v>0.94958064516129026</v>
      </c>
      <c r="T36" s="538">
        <v>21.42</v>
      </c>
      <c r="U36" s="523"/>
    </row>
    <row r="37" spans="1:21" s="6" customFormat="1" ht="15" customHeight="1" outlineLevel="2" x14ac:dyDescent="0.2">
      <c r="A37" s="135" t="s">
        <v>738</v>
      </c>
      <c r="B37" s="22" t="s">
        <v>279</v>
      </c>
      <c r="C37" s="22" t="s">
        <v>272</v>
      </c>
      <c r="D37" s="139" t="s">
        <v>23</v>
      </c>
      <c r="E37" s="331">
        <v>558</v>
      </c>
      <c r="F37" s="57">
        <v>781</v>
      </c>
      <c r="G37" s="57">
        <v>780.25</v>
      </c>
      <c r="H37" s="58">
        <f t="shared" si="0"/>
        <v>1.3982974910394266</v>
      </c>
      <c r="I37" s="165">
        <v>0.75</v>
      </c>
      <c r="J37" s="146">
        <v>558</v>
      </c>
      <c r="K37" s="69">
        <v>605</v>
      </c>
      <c r="L37" s="69">
        <v>604.85</v>
      </c>
      <c r="M37" s="67">
        <f t="shared" si="1"/>
        <v>1.0839605734767026</v>
      </c>
      <c r="N37" s="89">
        <v>0.15</v>
      </c>
      <c r="O37" s="331">
        <v>558</v>
      </c>
      <c r="P37" s="57">
        <v>558</v>
      </c>
      <c r="Q37" s="57">
        <v>498.7</v>
      </c>
      <c r="R37" s="57">
        <v>0</v>
      </c>
      <c r="S37" s="58">
        <f t="shared" si="2"/>
        <v>0.89372759856630823</v>
      </c>
      <c r="T37" s="538">
        <v>59.3</v>
      </c>
      <c r="U37" s="523"/>
    </row>
    <row r="38" spans="1:21" s="6" customFormat="1" ht="15" customHeight="1" outlineLevel="2" x14ac:dyDescent="0.2">
      <c r="A38" s="135" t="s">
        <v>738</v>
      </c>
      <c r="B38" s="22" t="s">
        <v>280</v>
      </c>
      <c r="C38" s="22" t="s">
        <v>272</v>
      </c>
      <c r="D38" s="139" t="s">
        <v>25</v>
      </c>
      <c r="E38" s="331">
        <v>0</v>
      </c>
      <c r="F38" s="57">
        <v>0</v>
      </c>
      <c r="G38" s="57">
        <v>0</v>
      </c>
      <c r="H38" s="58">
        <v>0</v>
      </c>
      <c r="I38" s="165">
        <v>0</v>
      </c>
      <c r="J38" s="146">
        <v>0</v>
      </c>
      <c r="K38" s="69">
        <v>0</v>
      </c>
      <c r="L38" s="69">
        <v>0</v>
      </c>
      <c r="M38" s="67"/>
      <c r="N38" s="89">
        <v>0</v>
      </c>
      <c r="O38" s="331">
        <v>0</v>
      </c>
      <c r="P38" s="57">
        <v>0</v>
      </c>
      <c r="Q38" s="57">
        <v>0</v>
      </c>
      <c r="R38" s="57">
        <v>0</v>
      </c>
      <c r="S38" s="58"/>
      <c r="T38" s="538">
        <v>0</v>
      </c>
      <c r="U38" s="523"/>
    </row>
    <row r="39" spans="1:21" s="6" customFormat="1" ht="15" customHeight="1" outlineLevel="2" x14ac:dyDescent="0.2">
      <c r="A39" s="135" t="s">
        <v>738</v>
      </c>
      <c r="B39" s="22" t="s">
        <v>281</v>
      </c>
      <c r="C39" s="22" t="s">
        <v>272</v>
      </c>
      <c r="D39" s="139" t="s">
        <v>115</v>
      </c>
      <c r="E39" s="331">
        <v>143</v>
      </c>
      <c r="F39" s="57">
        <v>2354</v>
      </c>
      <c r="G39" s="57">
        <v>1263.98</v>
      </c>
      <c r="H39" s="58">
        <f t="shared" si="0"/>
        <v>8.8390209790209795</v>
      </c>
      <c r="I39" s="165">
        <v>1090.02</v>
      </c>
      <c r="J39" s="146">
        <v>0</v>
      </c>
      <c r="K39" s="69">
        <v>0</v>
      </c>
      <c r="L39" s="69">
        <v>0</v>
      </c>
      <c r="M39" s="67"/>
      <c r="N39" s="89">
        <v>0</v>
      </c>
      <c r="O39" s="330"/>
      <c r="P39" s="68"/>
      <c r="Q39" s="68"/>
      <c r="R39" s="68"/>
      <c r="S39" s="58"/>
      <c r="T39" s="537"/>
      <c r="U39" s="523"/>
    </row>
    <row r="40" spans="1:21" s="6" customFormat="1" ht="15" customHeight="1" outlineLevel="2" x14ac:dyDescent="0.2">
      <c r="A40" s="135" t="s">
        <v>738</v>
      </c>
      <c r="B40" s="22" t="s">
        <v>282</v>
      </c>
      <c r="C40" s="22" t="s">
        <v>272</v>
      </c>
      <c r="D40" s="139" t="s">
        <v>31</v>
      </c>
      <c r="E40" s="331">
        <v>995</v>
      </c>
      <c r="F40" s="57">
        <v>700</v>
      </c>
      <c r="G40" s="57">
        <v>600</v>
      </c>
      <c r="H40" s="58">
        <f t="shared" si="0"/>
        <v>0.60301507537688437</v>
      </c>
      <c r="I40" s="165">
        <v>100</v>
      </c>
      <c r="J40" s="146">
        <v>2643</v>
      </c>
      <c r="K40" s="69">
        <v>2643</v>
      </c>
      <c r="L40" s="69">
        <v>2379.0500000000002</v>
      </c>
      <c r="M40" s="67">
        <f t="shared" si="1"/>
        <v>0.90013242527430959</v>
      </c>
      <c r="N40" s="89">
        <v>263.95</v>
      </c>
      <c r="O40" s="331">
        <v>2643</v>
      </c>
      <c r="P40" s="57">
        <v>2299</v>
      </c>
      <c r="Q40" s="57">
        <v>731.6</v>
      </c>
      <c r="R40" s="57">
        <v>0</v>
      </c>
      <c r="S40" s="58">
        <f t="shared" si="2"/>
        <v>0.27680665909950813</v>
      </c>
      <c r="T40" s="538">
        <v>1567.4</v>
      </c>
      <c r="U40" s="523"/>
    </row>
    <row r="41" spans="1:21" s="6" customFormat="1" ht="15" customHeight="1" outlineLevel="2" x14ac:dyDescent="0.2">
      <c r="A41" s="135" t="s">
        <v>738</v>
      </c>
      <c r="B41" s="22" t="s">
        <v>283</v>
      </c>
      <c r="C41" s="22" t="s">
        <v>272</v>
      </c>
      <c r="D41" s="139" t="s">
        <v>48</v>
      </c>
      <c r="E41" s="331">
        <v>215</v>
      </c>
      <c r="F41" s="57">
        <v>0</v>
      </c>
      <c r="G41" s="57">
        <v>0</v>
      </c>
      <c r="H41" s="58">
        <f t="shared" si="0"/>
        <v>0</v>
      </c>
      <c r="I41" s="165">
        <v>0</v>
      </c>
      <c r="J41" s="146">
        <v>215</v>
      </c>
      <c r="K41" s="69">
        <v>0</v>
      </c>
      <c r="L41" s="69">
        <v>0</v>
      </c>
      <c r="M41" s="67">
        <v>0</v>
      </c>
      <c r="N41" s="89">
        <v>0</v>
      </c>
      <c r="O41" s="331">
        <v>215</v>
      </c>
      <c r="P41" s="57">
        <v>365</v>
      </c>
      <c r="Q41" s="57">
        <v>299.7</v>
      </c>
      <c r="R41" s="57">
        <v>0</v>
      </c>
      <c r="S41" s="58">
        <f t="shared" si="2"/>
        <v>1.393953488372093</v>
      </c>
      <c r="T41" s="538">
        <v>65.3</v>
      </c>
      <c r="U41" s="523"/>
    </row>
    <row r="42" spans="1:21" s="6" customFormat="1" ht="15" customHeight="1" outlineLevel="2" x14ac:dyDescent="0.2">
      <c r="A42" s="135" t="s">
        <v>738</v>
      </c>
      <c r="B42" s="22" t="s">
        <v>284</v>
      </c>
      <c r="C42" s="22" t="s">
        <v>272</v>
      </c>
      <c r="D42" s="139" t="s">
        <v>35</v>
      </c>
      <c r="E42" s="331">
        <v>816</v>
      </c>
      <c r="F42" s="57">
        <v>816</v>
      </c>
      <c r="G42" s="57">
        <v>815.16</v>
      </c>
      <c r="H42" s="58">
        <f t="shared" si="0"/>
        <v>0.99897058823529405</v>
      </c>
      <c r="I42" s="165">
        <v>0.84</v>
      </c>
      <c r="J42" s="146">
        <v>816</v>
      </c>
      <c r="K42" s="69">
        <v>816</v>
      </c>
      <c r="L42" s="69">
        <v>0</v>
      </c>
      <c r="M42" s="67">
        <v>0</v>
      </c>
      <c r="N42" s="89">
        <v>816</v>
      </c>
      <c r="O42" s="331">
        <v>816</v>
      </c>
      <c r="P42" s="57">
        <v>1010</v>
      </c>
      <c r="Q42" s="57">
        <v>1010</v>
      </c>
      <c r="R42" s="57">
        <v>0</v>
      </c>
      <c r="S42" s="58">
        <f t="shared" si="2"/>
        <v>1.2377450980392157</v>
      </c>
      <c r="T42" s="538">
        <v>0</v>
      </c>
      <c r="U42" s="523"/>
    </row>
    <row r="43" spans="1:21" s="6" customFormat="1" ht="15" customHeight="1" outlineLevel="2" x14ac:dyDescent="0.2">
      <c r="A43" s="135" t="s">
        <v>738</v>
      </c>
      <c r="B43" s="22" t="s">
        <v>286</v>
      </c>
      <c r="C43" s="22" t="s">
        <v>272</v>
      </c>
      <c r="D43" s="139" t="s">
        <v>35</v>
      </c>
      <c r="E43" s="330"/>
      <c r="F43" s="68"/>
      <c r="G43" s="68"/>
      <c r="H43" s="58">
        <v>0</v>
      </c>
      <c r="I43" s="164"/>
      <c r="J43" s="145"/>
      <c r="K43" s="66"/>
      <c r="L43" s="66"/>
      <c r="M43" s="67"/>
      <c r="N43" s="90"/>
      <c r="O43" s="331">
        <v>42471</v>
      </c>
      <c r="P43" s="57">
        <v>4500</v>
      </c>
      <c r="Q43" s="57">
        <v>4500</v>
      </c>
      <c r="R43" s="57">
        <v>0</v>
      </c>
      <c r="S43" s="58">
        <f t="shared" si="2"/>
        <v>0.10595465140919687</v>
      </c>
      <c r="T43" s="538">
        <v>0</v>
      </c>
      <c r="U43" s="523"/>
    </row>
    <row r="44" spans="1:21" s="6" customFormat="1" ht="15" customHeight="1" outlineLevel="2" x14ac:dyDescent="0.2">
      <c r="A44" s="135" t="s">
        <v>738</v>
      </c>
      <c r="B44" s="22" t="s">
        <v>285</v>
      </c>
      <c r="C44" s="22" t="s">
        <v>272</v>
      </c>
      <c r="D44" s="139" t="s">
        <v>37</v>
      </c>
      <c r="E44" s="331">
        <v>0</v>
      </c>
      <c r="F44" s="57">
        <v>300</v>
      </c>
      <c r="G44" s="57">
        <v>300</v>
      </c>
      <c r="H44" s="58">
        <v>0</v>
      </c>
      <c r="I44" s="165">
        <v>0</v>
      </c>
      <c r="J44" s="146">
        <v>500</v>
      </c>
      <c r="K44" s="69">
        <v>204</v>
      </c>
      <c r="L44" s="69">
        <v>204</v>
      </c>
      <c r="M44" s="67">
        <f t="shared" ref="M44:M69" si="3">+L44/J44</f>
        <v>0.40799999999999997</v>
      </c>
      <c r="N44" s="89">
        <v>0</v>
      </c>
      <c r="O44" s="331">
        <v>500</v>
      </c>
      <c r="P44" s="57">
        <v>500</v>
      </c>
      <c r="Q44" s="57">
        <v>204</v>
      </c>
      <c r="R44" s="57">
        <v>0</v>
      </c>
      <c r="S44" s="58">
        <f t="shared" si="2"/>
        <v>0.40799999999999997</v>
      </c>
      <c r="T44" s="538">
        <v>296</v>
      </c>
      <c r="U44" s="523"/>
    </row>
    <row r="45" spans="1:21" s="6" customFormat="1" ht="15" customHeight="1" outlineLevel="2" x14ac:dyDescent="0.2">
      <c r="A45" s="135" t="s">
        <v>738</v>
      </c>
      <c r="B45" s="22" t="s">
        <v>287</v>
      </c>
      <c r="C45" s="22" t="s">
        <v>288</v>
      </c>
      <c r="D45" s="139" t="s">
        <v>19</v>
      </c>
      <c r="E45" s="331">
        <v>284</v>
      </c>
      <c r="F45" s="57">
        <v>284</v>
      </c>
      <c r="G45" s="57">
        <v>0</v>
      </c>
      <c r="H45" s="58">
        <f t="shared" ref="H45:H69" si="4">+G45/E45</f>
        <v>0</v>
      </c>
      <c r="I45" s="165">
        <v>284</v>
      </c>
      <c r="J45" s="146">
        <v>286</v>
      </c>
      <c r="K45" s="69">
        <v>286</v>
      </c>
      <c r="L45" s="69">
        <v>0</v>
      </c>
      <c r="M45" s="67">
        <f t="shared" si="3"/>
        <v>0</v>
      </c>
      <c r="N45" s="89">
        <v>286</v>
      </c>
      <c r="O45" s="331">
        <v>286</v>
      </c>
      <c r="P45" s="57">
        <v>286</v>
      </c>
      <c r="Q45" s="57">
        <v>0</v>
      </c>
      <c r="R45" s="57">
        <v>0</v>
      </c>
      <c r="S45" s="58">
        <f t="shared" si="2"/>
        <v>0</v>
      </c>
      <c r="T45" s="538">
        <v>286</v>
      </c>
      <c r="U45" s="523"/>
    </row>
    <row r="46" spans="1:21" s="6" customFormat="1" ht="15" customHeight="1" outlineLevel="2" x14ac:dyDescent="0.2">
      <c r="A46" s="135" t="s">
        <v>738</v>
      </c>
      <c r="B46" s="22" t="s">
        <v>289</v>
      </c>
      <c r="C46" s="22" t="s">
        <v>290</v>
      </c>
      <c r="D46" s="139" t="s">
        <v>19</v>
      </c>
      <c r="E46" s="331">
        <v>1059</v>
      </c>
      <c r="F46" s="57">
        <v>1059</v>
      </c>
      <c r="G46" s="57">
        <v>921.73</v>
      </c>
      <c r="H46" s="58">
        <f t="shared" si="4"/>
        <v>0.8703777148253069</v>
      </c>
      <c r="I46" s="165">
        <v>137.27000000000001</v>
      </c>
      <c r="J46" s="146">
        <v>1059</v>
      </c>
      <c r="K46" s="69">
        <v>1559</v>
      </c>
      <c r="L46" s="69">
        <v>1366.14</v>
      </c>
      <c r="M46" s="67">
        <f t="shared" si="3"/>
        <v>1.2900283286118981</v>
      </c>
      <c r="N46" s="89">
        <v>192.86</v>
      </c>
      <c r="O46" s="331">
        <v>1059</v>
      </c>
      <c r="P46" s="57">
        <v>1059</v>
      </c>
      <c r="Q46" s="57">
        <v>661.51</v>
      </c>
      <c r="R46" s="57">
        <v>397.49</v>
      </c>
      <c r="S46" s="58">
        <f t="shared" si="2"/>
        <v>0.62465533522190742</v>
      </c>
      <c r="T46" s="538">
        <v>0</v>
      </c>
      <c r="U46" s="523"/>
    </row>
    <row r="47" spans="1:21" s="6" customFormat="1" ht="15" customHeight="1" outlineLevel="2" x14ac:dyDescent="0.2">
      <c r="A47" s="135" t="s">
        <v>738</v>
      </c>
      <c r="B47" s="22" t="s">
        <v>296</v>
      </c>
      <c r="C47" s="22" t="s">
        <v>290</v>
      </c>
      <c r="D47" s="139" t="s">
        <v>19</v>
      </c>
      <c r="E47" s="331">
        <v>0</v>
      </c>
      <c r="F47" s="57">
        <v>2001</v>
      </c>
      <c r="G47" s="57">
        <v>1446.99</v>
      </c>
      <c r="H47" s="58">
        <v>0</v>
      </c>
      <c r="I47" s="165">
        <v>554.01</v>
      </c>
      <c r="J47" s="145"/>
      <c r="K47" s="66"/>
      <c r="L47" s="66"/>
      <c r="M47" s="67"/>
      <c r="N47" s="90"/>
      <c r="O47" s="330"/>
      <c r="P47" s="68"/>
      <c r="Q47" s="68"/>
      <c r="R47" s="68"/>
      <c r="S47" s="58"/>
      <c r="T47" s="537"/>
      <c r="U47" s="523"/>
    </row>
    <row r="48" spans="1:21" s="6" customFormat="1" ht="15" customHeight="1" outlineLevel="2" x14ac:dyDescent="0.2">
      <c r="A48" s="135" t="s">
        <v>738</v>
      </c>
      <c r="B48" s="22" t="s">
        <v>291</v>
      </c>
      <c r="C48" s="22" t="s">
        <v>290</v>
      </c>
      <c r="D48" s="139" t="s">
        <v>48</v>
      </c>
      <c r="E48" s="331">
        <v>0</v>
      </c>
      <c r="F48" s="57">
        <v>0</v>
      </c>
      <c r="G48" s="57">
        <v>0</v>
      </c>
      <c r="H48" s="58">
        <v>0</v>
      </c>
      <c r="I48" s="165">
        <v>0</v>
      </c>
      <c r="J48" s="145"/>
      <c r="K48" s="66"/>
      <c r="L48" s="66"/>
      <c r="M48" s="67"/>
      <c r="N48" s="90"/>
      <c r="O48" s="330"/>
      <c r="P48" s="68"/>
      <c r="Q48" s="68"/>
      <c r="R48" s="68"/>
      <c r="S48" s="58"/>
      <c r="T48" s="537"/>
      <c r="U48" s="523"/>
    </row>
    <row r="49" spans="1:21" s="6" customFormat="1" ht="15" customHeight="1" outlineLevel="2" x14ac:dyDescent="0.2">
      <c r="A49" s="135" t="s">
        <v>738</v>
      </c>
      <c r="B49" s="22" t="s">
        <v>292</v>
      </c>
      <c r="C49" s="22" t="s">
        <v>290</v>
      </c>
      <c r="D49" s="139" t="s">
        <v>97</v>
      </c>
      <c r="E49" s="331">
        <v>31754</v>
      </c>
      <c r="F49" s="57">
        <v>0</v>
      </c>
      <c r="G49" s="57">
        <v>0</v>
      </c>
      <c r="H49" s="58">
        <f t="shared" si="4"/>
        <v>0</v>
      </c>
      <c r="I49" s="165">
        <v>0</v>
      </c>
      <c r="J49" s="146">
        <v>29500</v>
      </c>
      <c r="K49" s="69">
        <v>17062</v>
      </c>
      <c r="L49" s="69">
        <v>16100.22</v>
      </c>
      <c r="M49" s="67">
        <f t="shared" si="3"/>
        <v>0.54577016949152535</v>
      </c>
      <c r="N49" s="89">
        <v>961.78</v>
      </c>
      <c r="O49" s="331">
        <v>29500</v>
      </c>
      <c r="P49" s="57">
        <v>29500</v>
      </c>
      <c r="Q49" s="57">
        <v>5272.44</v>
      </c>
      <c r="R49" s="57">
        <v>0</v>
      </c>
      <c r="S49" s="58">
        <f t="shared" si="2"/>
        <v>0.17872677966101694</v>
      </c>
      <c r="T49" s="538">
        <v>24227.56</v>
      </c>
      <c r="U49" s="523"/>
    </row>
    <row r="50" spans="1:21" s="6" customFormat="1" ht="15" customHeight="1" outlineLevel="2" x14ac:dyDescent="0.2">
      <c r="A50" s="135" t="s">
        <v>738</v>
      </c>
      <c r="B50" s="22" t="s">
        <v>293</v>
      </c>
      <c r="C50" s="22" t="s">
        <v>290</v>
      </c>
      <c r="D50" s="139" t="s">
        <v>35</v>
      </c>
      <c r="E50" s="331">
        <v>1643</v>
      </c>
      <c r="F50" s="57">
        <v>1643</v>
      </c>
      <c r="G50" s="57">
        <v>1315</v>
      </c>
      <c r="H50" s="58">
        <f t="shared" si="4"/>
        <v>0.80036518563603165</v>
      </c>
      <c r="I50" s="165">
        <v>328</v>
      </c>
      <c r="J50" s="146">
        <v>1643</v>
      </c>
      <c r="K50" s="69">
        <v>835</v>
      </c>
      <c r="L50" s="69">
        <v>835</v>
      </c>
      <c r="M50" s="67">
        <f t="shared" si="3"/>
        <v>0.50821667681071214</v>
      </c>
      <c r="N50" s="89">
        <v>0</v>
      </c>
      <c r="O50" s="331">
        <v>1643</v>
      </c>
      <c r="P50" s="57">
        <v>1643</v>
      </c>
      <c r="Q50" s="57">
        <v>0</v>
      </c>
      <c r="R50" s="57">
        <v>0</v>
      </c>
      <c r="S50" s="58">
        <f t="shared" si="2"/>
        <v>0</v>
      </c>
      <c r="T50" s="538">
        <v>1643</v>
      </c>
      <c r="U50" s="523"/>
    </row>
    <row r="51" spans="1:21" s="6" customFormat="1" ht="15" customHeight="1" outlineLevel="2" x14ac:dyDescent="0.2">
      <c r="A51" s="135" t="s">
        <v>738</v>
      </c>
      <c r="B51" s="22" t="s">
        <v>294</v>
      </c>
      <c r="C51" s="22" t="s">
        <v>290</v>
      </c>
      <c r="D51" s="139" t="s">
        <v>37</v>
      </c>
      <c r="E51" s="331">
        <v>0</v>
      </c>
      <c r="F51" s="57">
        <v>0</v>
      </c>
      <c r="G51" s="57">
        <v>0</v>
      </c>
      <c r="H51" s="58">
        <v>0</v>
      </c>
      <c r="I51" s="165">
        <v>0</v>
      </c>
      <c r="J51" s="145"/>
      <c r="K51" s="66"/>
      <c r="L51" s="66"/>
      <c r="M51" s="67"/>
      <c r="N51" s="90"/>
      <c r="O51" s="330"/>
      <c r="P51" s="68"/>
      <c r="Q51" s="68"/>
      <c r="R51" s="68"/>
      <c r="S51" s="58"/>
      <c r="T51" s="537"/>
      <c r="U51" s="523"/>
    </row>
    <row r="52" spans="1:21" s="6" customFormat="1" ht="15" customHeight="1" outlineLevel="2" x14ac:dyDescent="0.2">
      <c r="A52" s="135" t="s">
        <v>738</v>
      </c>
      <c r="B52" s="22" t="s">
        <v>295</v>
      </c>
      <c r="C52" s="22" t="s">
        <v>290</v>
      </c>
      <c r="D52" s="139" t="s">
        <v>51</v>
      </c>
      <c r="E52" s="331">
        <v>0</v>
      </c>
      <c r="F52" s="57">
        <v>0</v>
      </c>
      <c r="G52" s="57">
        <v>0</v>
      </c>
      <c r="H52" s="58">
        <v>0</v>
      </c>
      <c r="I52" s="165">
        <v>0</v>
      </c>
      <c r="J52" s="146">
        <v>0</v>
      </c>
      <c r="K52" s="69">
        <v>11068</v>
      </c>
      <c r="L52" s="69">
        <v>11067.07</v>
      </c>
      <c r="M52" s="67">
        <v>0</v>
      </c>
      <c r="N52" s="89">
        <v>0.93</v>
      </c>
      <c r="O52" s="330"/>
      <c r="P52" s="68"/>
      <c r="Q52" s="68"/>
      <c r="R52" s="68"/>
      <c r="S52" s="58"/>
      <c r="T52" s="537"/>
      <c r="U52" s="523"/>
    </row>
    <row r="53" spans="1:21" s="6" customFormat="1" ht="15" customHeight="1" outlineLevel="2" x14ac:dyDescent="0.2">
      <c r="A53" s="135" t="s">
        <v>738</v>
      </c>
      <c r="B53" s="22" t="s">
        <v>299</v>
      </c>
      <c r="C53" s="22" t="s">
        <v>298</v>
      </c>
      <c r="D53" s="139" t="s">
        <v>52</v>
      </c>
      <c r="E53" s="330"/>
      <c r="F53" s="68"/>
      <c r="G53" s="68"/>
      <c r="H53" s="58">
        <v>0</v>
      </c>
      <c r="I53" s="164"/>
      <c r="J53" s="146">
        <v>0</v>
      </c>
      <c r="K53" s="69">
        <v>199</v>
      </c>
      <c r="L53" s="69">
        <v>198.72</v>
      </c>
      <c r="M53" s="67">
        <v>0</v>
      </c>
      <c r="N53" s="89">
        <v>0.28000000000000003</v>
      </c>
      <c r="O53" s="330"/>
      <c r="P53" s="68"/>
      <c r="Q53" s="68"/>
      <c r="R53" s="68"/>
      <c r="S53" s="58"/>
      <c r="T53" s="537"/>
      <c r="U53" s="523"/>
    </row>
    <row r="54" spans="1:21" s="6" customFormat="1" ht="15" customHeight="1" outlineLevel="2" x14ac:dyDescent="0.2">
      <c r="A54" s="135" t="s">
        <v>738</v>
      </c>
      <c r="B54" s="22" t="s">
        <v>297</v>
      </c>
      <c r="C54" s="22" t="s">
        <v>298</v>
      </c>
      <c r="D54" s="139" t="s">
        <v>19</v>
      </c>
      <c r="E54" s="331">
        <v>224</v>
      </c>
      <c r="F54" s="57">
        <v>386</v>
      </c>
      <c r="G54" s="57">
        <v>385.29</v>
      </c>
      <c r="H54" s="58">
        <f t="shared" si="4"/>
        <v>1.720044642857143</v>
      </c>
      <c r="I54" s="165">
        <v>0.71</v>
      </c>
      <c r="J54" s="145"/>
      <c r="K54" s="66"/>
      <c r="L54" s="66"/>
      <c r="M54" s="67"/>
      <c r="N54" s="90"/>
      <c r="O54" s="330"/>
      <c r="P54" s="68"/>
      <c r="Q54" s="68"/>
      <c r="R54" s="68"/>
      <c r="S54" s="58"/>
      <c r="T54" s="537"/>
      <c r="U54" s="523"/>
    </row>
    <row r="55" spans="1:21" s="6" customFormat="1" ht="15" customHeight="1" outlineLevel="2" x14ac:dyDescent="0.2">
      <c r="A55" s="135" t="s">
        <v>738</v>
      </c>
      <c r="B55" s="22" t="s">
        <v>302</v>
      </c>
      <c r="C55" s="22" t="s">
        <v>300</v>
      </c>
      <c r="D55" s="139" t="s">
        <v>58</v>
      </c>
      <c r="E55" s="432"/>
      <c r="F55" s="62"/>
      <c r="G55" s="62"/>
      <c r="H55" s="58">
        <v>0</v>
      </c>
      <c r="I55" s="433"/>
      <c r="J55" s="343">
        <v>0</v>
      </c>
      <c r="K55" s="71">
        <v>0</v>
      </c>
      <c r="L55" s="71">
        <v>1487.85</v>
      </c>
      <c r="M55" s="67">
        <v>0</v>
      </c>
      <c r="N55" s="89">
        <v>-1487.85</v>
      </c>
      <c r="O55" s="432"/>
      <c r="P55" s="62"/>
      <c r="Q55" s="62"/>
      <c r="R55" s="62"/>
      <c r="S55" s="58"/>
      <c r="T55" s="540"/>
      <c r="U55" s="523"/>
    </row>
    <row r="56" spans="1:21" s="6" customFormat="1" ht="15" customHeight="1" outlineLevel="2" x14ac:dyDescent="0.2">
      <c r="A56" s="135" t="s">
        <v>738</v>
      </c>
      <c r="B56" s="22" t="s">
        <v>301</v>
      </c>
      <c r="C56" s="22" t="s">
        <v>300</v>
      </c>
      <c r="D56" s="139" t="s">
        <v>7</v>
      </c>
      <c r="E56" s="330"/>
      <c r="F56" s="68"/>
      <c r="G56" s="68"/>
      <c r="H56" s="58">
        <v>0</v>
      </c>
      <c r="I56" s="164"/>
      <c r="J56" s="146">
        <v>0</v>
      </c>
      <c r="K56" s="69">
        <v>0</v>
      </c>
      <c r="L56" s="69">
        <v>1874.88</v>
      </c>
      <c r="M56" s="67">
        <v>0</v>
      </c>
      <c r="N56" s="89">
        <v>-1874.88</v>
      </c>
      <c r="O56" s="331">
        <v>0</v>
      </c>
      <c r="P56" s="57">
        <v>0</v>
      </c>
      <c r="Q56" s="57">
        <v>-1874.88</v>
      </c>
      <c r="R56" s="57">
        <v>0</v>
      </c>
      <c r="S56" s="58">
        <v>0</v>
      </c>
      <c r="T56" s="538">
        <v>1874.88</v>
      </c>
      <c r="U56" s="523"/>
    </row>
    <row r="57" spans="1:21" s="6" customFormat="1" ht="15" customHeight="1" outlineLevel="2" x14ac:dyDescent="0.2">
      <c r="A57" s="135" t="s">
        <v>738</v>
      </c>
      <c r="B57" s="22" t="s">
        <v>303</v>
      </c>
      <c r="C57" s="22" t="s">
        <v>300</v>
      </c>
      <c r="D57" s="139" t="s">
        <v>7</v>
      </c>
      <c r="E57" s="331">
        <v>5600</v>
      </c>
      <c r="F57" s="57">
        <v>0</v>
      </c>
      <c r="G57" s="57">
        <v>0</v>
      </c>
      <c r="H57" s="58">
        <f t="shared" si="4"/>
        <v>0</v>
      </c>
      <c r="I57" s="165">
        <v>0</v>
      </c>
      <c r="J57" s="146">
        <v>8260</v>
      </c>
      <c r="K57" s="69">
        <v>0</v>
      </c>
      <c r="L57" s="69">
        <v>0</v>
      </c>
      <c r="M57" s="67">
        <f t="shared" si="3"/>
        <v>0</v>
      </c>
      <c r="N57" s="89">
        <v>0</v>
      </c>
      <c r="O57" s="331">
        <v>8260</v>
      </c>
      <c r="P57" s="57">
        <v>8260</v>
      </c>
      <c r="Q57" s="57">
        <v>2430.4</v>
      </c>
      <c r="R57" s="57">
        <v>0</v>
      </c>
      <c r="S57" s="58">
        <f t="shared" si="2"/>
        <v>0.29423728813559324</v>
      </c>
      <c r="T57" s="538">
        <v>5829.6</v>
      </c>
      <c r="U57" s="523"/>
    </row>
    <row r="58" spans="1:21" s="6" customFormat="1" ht="15" customHeight="1" outlineLevel="2" x14ac:dyDescent="0.2">
      <c r="A58" s="135" t="s">
        <v>738</v>
      </c>
      <c r="B58" s="22" t="s">
        <v>304</v>
      </c>
      <c r="C58" s="22" t="s">
        <v>300</v>
      </c>
      <c r="D58" s="139" t="s">
        <v>17</v>
      </c>
      <c r="E58" s="331">
        <v>143</v>
      </c>
      <c r="F58" s="57">
        <v>0</v>
      </c>
      <c r="G58" s="57">
        <v>0</v>
      </c>
      <c r="H58" s="58">
        <f t="shared" si="4"/>
        <v>0</v>
      </c>
      <c r="I58" s="165">
        <v>0</v>
      </c>
      <c r="J58" s="145"/>
      <c r="K58" s="66"/>
      <c r="L58" s="66"/>
      <c r="M58" s="67">
        <v>0</v>
      </c>
      <c r="N58" s="90"/>
      <c r="O58" s="330"/>
      <c r="P58" s="68"/>
      <c r="Q58" s="68"/>
      <c r="R58" s="68"/>
      <c r="S58" s="58"/>
      <c r="T58" s="537"/>
      <c r="U58" s="523"/>
    </row>
    <row r="59" spans="1:21" s="6" customFormat="1" ht="15" customHeight="1" outlineLevel="2" x14ac:dyDescent="0.2">
      <c r="A59" s="135" t="s">
        <v>738</v>
      </c>
      <c r="B59" s="22" t="s">
        <v>305</v>
      </c>
      <c r="C59" s="22" t="s">
        <v>300</v>
      </c>
      <c r="D59" s="139" t="s">
        <v>19</v>
      </c>
      <c r="E59" s="330"/>
      <c r="F59" s="68"/>
      <c r="G59" s="68"/>
      <c r="H59" s="58">
        <v>0</v>
      </c>
      <c r="I59" s="164"/>
      <c r="J59" s="146">
        <v>1182</v>
      </c>
      <c r="K59" s="69">
        <v>206</v>
      </c>
      <c r="L59" s="69">
        <v>205.64</v>
      </c>
      <c r="M59" s="67">
        <f t="shared" si="3"/>
        <v>0.17397631133671743</v>
      </c>
      <c r="N59" s="89">
        <v>0.36</v>
      </c>
      <c r="O59" s="331">
        <v>1182</v>
      </c>
      <c r="P59" s="57">
        <v>1182</v>
      </c>
      <c r="Q59" s="57">
        <v>1178.33</v>
      </c>
      <c r="R59" s="57">
        <v>19.78</v>
      </c>
      <c r="S59" s="58">
        <f t="shared" si="2"/>
        <v>0.99689509306260571</v>
      </c>
      <c r="T59" s="538">
        <v>-16.11</v>
      </c>
      <c r="U59" s="523"/>
    </row>
    <row r="60" spans="1:21" s="6" customFormat="1" ht="15" customHeight="1" outlineLevel="2" x14ac:dyDescent="0.2">
      <c r="A60" s="135" t="s">
        <v>738</v>
      </c>
      <c r="B60" s="22" t="s">
        <v>306</v>
      </c>
      <c r="C60" s="22" t="s">
        <v>300</v>
      </c>
      <c r="D60" s="139" t="s">
        <v>23</v>
      </c>
      <c r="E60" s="331">
        <v>1395</v>
      </c>
      <c r="F60" s="57">
        <v>1082</v>
      </c>
      <c r="G60" s="57">
        <v>1081.1600000000001</v>
      </c>
      <c r="H60" s="58">
        <f t="shared" si="4"/>
        <v>0.7750250896057348</v>
      </c>
      <c r="I60" s="165">
        <v>0.84</v>
      </c>
      <c r="J60" s="146">
        <v>1395</v>
      </c>
      <c r="K60" s="69">
        <v>1334</v>
      </c>
      <c r="L60" s="69">
        <v>1315.53</v>
      </c>
      <c r="M60" s="67">
        <f t="shared" si="3"/>
        <v>0.94303225806451607</v>
      </c>
      <c r="N60" s="89">
        <v>18.47</v>
      </c>
      <c r="O60" s="331">
        <v>1395</v>
      </c>
      <c r="P60" s="57">
        <v>1395</v>
      </c>
      <c r="Q60" s="57">
        <v>1280.25</v>
      </c>
      <c r="R60" s="57">
        <v>0</v>
      </c>
      <c r="S60" s="58">
        <f t="shared" si="2"/>
        <v>0.91774193548387095</v>
      </c>
      <c r="T60" s="538">
        <v>114.75</v>
      </c>
      <c r="U60" s="523"/>
    </row>
    <row r="61" spans="1:21" s="6" customFormat="1" ht="15" customHeight="1" outlineLevel="2" x14ac:dyDescent="0.2">
      <c r="A61" s="135" t="s">
        <v>738</v>
      </c>
      <c r="B61" s="22" t="s">
        <v>307</v>
      </c>
      <c r="C61" s="22" t="s">
        <v>300</v>
      </c>
      <c r="D61" s="139" t="s">
        <v>93</v>
      </c>
      <c r="E61" s="331">
        <v>529</v>
      </c>
      <c r="F61" s="57">
        <v>1832</v>
      </c>
      <c r="G61" s="57">
        <v>1807.08</v>
      </c>
      <c r="H61" s="58">
        <f t="shared" si="4"/>
        <v>3.4160302457466916</v>
      </c>
      <c r="I61" s="165">
        <v>24.92</v>
      </c>
      <c r="J61" s="146">
        <v>1000</v>
      </c>
      <c r="K61" s="69">
        <v>2243</v>
      </c>
      <c r="L61" s="69">
        <v>2237.58</v>
      </c>
      <c r="M61" s="67">
        <f t="shared" si="3"/>
        <v>2.2375799999999999</v>
      </c>
      <c r="N61" s="89">
        <v>5.42</v>
      </c>
      <c r="O61" s="331">
        <v>1000</v>
      </c>
      <c r="P61" s="57">
        <v>1000</v>
      </c>
      <c r="Q61" s="57">
        <v>0</v>
      </c>
      <c r="R61" s="57">
        <v>0</v>
      </c>
      <c r="S61" s="58">
        <f t="shared" si="2"/>
        <v>0</v>
      </c>
      <c r="T61" s="538">
        <v>1000</v>
      </c>
      <c r="U61" s="523"/>
    </row>
    <row r="62" spans="1:21" s="6" customFormat="1" ht="15" customHeight="1" outlineLevel="2" x14ac:dyDescent="0.2">
      <c r="A62" s="135" t="s">
        <v>738</v>
      </c>
      <c r="B62" s="22" t="s">
        <v>308</v>
      </c>
      <c r="C62" s="22" t="s">
        <v>300</v>
      </c>
      <c r="D62" s="139" t="s">
        <v>309</v>
      </c>
      <c r="E62" s="331">
        <v>901</v>
      </c>
      <c r="F62" s="57">
        <v>0</v>
      </c>
      <c r="G62" s="57">
        <v>0</v>
      </c>
      <c r="H62" s="58">
        <f t="shared" si="4"/>
        <v>0</v>
      </c>
      <c r="I62" s="165">
        <v>0</v>
      </c>
      <c r="J62" s="146">
        <v>450</v>
      </c>
      <c r="K62" s="69">
        <v>0</v>
      </c>
      <c r="L62" s="69">
        <v>0</v>
      </c>
      <c r="M62" s="67">
        <f t="shared" si="3"/>
        <v>0</v>
      </c>
      <c r="N62" s="89">
        <v>0</v>
      </c>
      <c r="O62" s="331">
        <v>450</v>
      </c>
      <c r="P62" s="57">
        <v>450</v>
      </c>
      <c r="Q62" s="57">
        <v>0</v>
      </c>
      <c r="R62" s="57">
        <v>0</v>
      </c>
      <c r="S62" s="58">
        <f t="shared" si="2"/>
        <v>0</v>
      </c>
      <c r="T62" s="538">
        <v>450</v>
      </c>
      <c r="U62" s="523"/>
    </row>
    <row r="63" spans="1:21" s="6" customFormat="1" ht="15" customHeight="1" outlineLevel="2" x14ac:dyDescent="0.2">
      <c r="A63" s="135" t="s">
        <v>738</v>
      </c>
      <c r="B63" s="22" t="s">
        <v>310</v>
      </c>
      <c r="C63" s="22" t="s">
        <v>300</v>
      </c>
      <c r="D63" s="139" t="s">
        <v>29</v>
      </c>
      <c r="E63" s="331">
        <v>0</v>
      </c>
      <c r="F63" s="57">
        <v>300</v>
      </c>
      <c r="G63" s="57">
        <v>300</v>
      </c>
      <c r="H63" s="58">
        <v>0</v>
      </c>
      <c r="I63" s="165">
        <v>0</v>
      </c>
      <c r="J63" s="145"/>
      <c r="K63" s="66"/>
      <c r="L63" s="66"/>
      <c r="M63" s="67"/>
      <c r="N63" s="90"/>
      <c r="O63" s="330"/>
      <c r="P63" s="68"/>
      <c r="Q63" s="68"/>
      <c r="R63" s="68"/>
      <c r="S63" s="58"/>
      <c r="T63" s="537"/>
      <c r="U63" s="523"/>
    </row>
    <row r="64" spans="1:21" s="6" customFormat="1" ht="15" customHeight="1" outlineLevel="2" x14ac:dyDescent="0.2">
      <c r="A64" s="135" t="s">
        <v>738</v>
      </c>
      <c r="B64" s="22" t="s">
        <v>311</v>
      </c>
      <c r="C64" s="22" t="s">
        <v>312</v>
      </c>
      <c r="D64" s="139" t="s">
        <v>313</v>
      </c>
      <c r="E64" s="331">
        <v>575</v>
      </c>
      <c r="F64" s="57">
        <v>0</v>
      </c>
      <c r="G64" s="57">
        <v>0</v>
      </c>
      <c r="H64" s="58">
        <f t="shared" si="4"/>
        <v>0</v>
      </c>
      <c r="I64" s="165">
        <v>0</v>
      </c>
      <c r="J64" s="146">
        <v>32671</v>
      </c>
      <c r="K64" s="69">
        <v>26000</v>
      </c>
      <c r="L64" s="69">
        <v>26000</v>
      </c>
      <c r="M64" s="67">
        <f t="shared" si="3"/>
        <v>0.79581280034281165</v>
      </c>
      <c r="N64" s="89">
        <v>0</v>
      </c>
      <c r="O64" s="331">
        <v>32671</v>
      </c>
      <c r="P64" s="57">
        <v>0</v>
      </c>
      <c r="Q64" s="57">
        <v>0</v>
      </c>
      <c r="R64" s="57">
        <v>0</v>
      </c>
      <c r="S64" s="58">
        <f t="shared" si="2"/>
        <v>0</v>
      </c>
      <c r="T64" s="538">
        <v>0</v>
      </c>
      <c r="U64" s="523"/>
    </row>
    <row r="65" spans="1:21" s="6" customFormat="1" ht="15" customHeight="1" outlineLevel="2" x14ac:dyDescent="0.2">
      <c r="A65" s="135" t="s">
        <v>738</v>
      </c>
      <c r="B65" s="22" t="s">
        <v>314</v>
      </c>
      <c r="C65" s="22" t="s">
        <v>312</v>
      </c>
      <c r="D65" s="139" t="s">
        <v>17</v>
      </c>
      <c r="E65" s="331">
        <v>1715</v>
      </c>
      <c r="F65" s="57">
        <v>2332</v>
      </c>
      <c r="G65" s="57">
        <v>2307.37</v>
      </c>
      <c r="H65" s="58">
        <f t="shared" si="4"/>
        <v>1.3454052478134111</v>
      </c>
      <c r="I65" s="165">
        <v>24.63</v>
      </c>
      <c r="J65" s="146">
        <v>1715</v>
      </c>
      <c r="K65" s="69">
        <v>1715</v>
      </c>
      <c r="L65" s="69">
        <v>1706.68</v>
      </c>
      <c r="M65" s="67">
        <f t="shared" si="3"/>
        <v>0.99514868804664725</v>
      </c>
      <c r="N65" s="89">
        <f>1715-1706.68</f>
        <v>8.3199999999999363</v>
      </c>
      <c r="O65" s="331">
        <v>1715</v>
      </c>
      <c r="P65" s="57">
        <v>1715</v>
      </c>
      <c r="Q65" s="57">
        <v>1706.96</v>
      </c>
      <c r="R65" s="57">
        <v>8.0399999999999991</v>
      </c>
      <c r="S65" s="58">
        <f t="shared" si="2"/>
        <v>0.99531195335276967</v>
      </c>
      <c r="T65" s="538">
        <v>0</v>
      </c>
      <c r="U65" s="523"/>
    </row>
    <row r="66" spans="1:21" s="6" customFormat="1" ht="15" customHeight="1" outlineLevel="2" x14ac:dyDescent="0.2">
      <c r="A66" s="135" t="s">
        <v>738</v>
      </c>
      <c r="B66" s="22" t="s">
        <v>315</v>
      </c>
      <c r="C66" s="22" t="s">
        <v>312</v>
      </c>
      <c r="D66" s="139" t="s">
        <v>19</v>
      </c>
      <c r="E66" s="331">
        <v>0</v>
      </c>
      <c r="F66" s="57">
        <v>555</v>
      </c>
      <c r="G66" s="57">
        <v>555</v>
      </c>
      <c r="H66" s="58">
        <v>0</v>
      </c>
      <c r="I66" s="165">
        <v>0</v>
      </c>
      <c r="J66" s="145"/>
      <c r="K66" s="66"/>
      <c r="L66" s="66"/>
      <c r="M66" s="67"/>
      <c r="N66" s="90"/>
      <c r="O66" s="330"/>
      <c r="P66" s="68"/>
      <c r="Q66" s="68"/>
      <c r="R66" s="68"/>
      <c r="S66" s="58"/>
      <c r="T66" s="537"/>
      <c r="U66" s="523"/>
    </row>
    <row r="67" spans="1:21" s="6" customFormat="1" ht="15" customHeight="1" outlineLevel="2" x14ac:dyDescent="0.2">
      <c r="A67" s="135" t="s">
        <v>738</v>
      </c>
      <c r="B67" s="22" t="s">
        <v>316</v>
      </c>
      <c r="C67" s="22" t="s">
        <v>312</v>
      </c>
      <c r="D67" s="139" t="s">
        <v>35</v>
      </c>
      <c r="E67" s="331">
        <v>0</v>
      </c>
      <c r="F67" s="57">
        <v>995</v>
      </c>
      <c r="G67" s="57">
        <v>995</v>
      </c>
      <c r="H67" s="58">
        <v>0</v>
      </c>
      <c r="I67" s="165">
        <v>0</v>
      </c>
      <c r="J67" s="145"/>
      <c r="K67" s="66"/>
      <c r="L67" s="66"/>
      <c r="M67" s="67"/>
      <c r="N67" s="90"/>
      <c r="O67" s="330"/>
      <c r="P67" s="68"/>
      <c r="Q67" s="68"/>
      <c r="R67" s="68"/>
      <c r="S67" s="58"/>
      <c r="T67" s="537"/>
      <c r="U67" s="523"/>
    </row>
    <row r="68" spans="1:21" s="6" customFormat="1" ht="15" customHeight="1" outlineLevel="2" x14ac:dyDescent="0.2">
      <c r="A68" s="135" t="s">
        <v>738</v>
      </c>
      <c r="B68" s="22" t="s">
        <v>317</v>
      </c>
      <c r="C68" s="22" t="s">
        <v>312</v>
      </c>
      <c r="D68" s="139" t="s">
        <v>51</v>
      </c>
      <c r="E68" s="331">
        <v>3430</v>
      </c>
      <c r="F68" s="57">
        <v>0</v>
      </c>
      <c r="G68" s="57">
        <v>0</v>
      </c>
      <c r="H68" s="58">
        <f t="shared" si="4"/>
        <v>0</v>
      </c>
      <c r="I68" s="165">
        <v>0</v>
      </c>
      <c r="J68" s="145"/>
      <c r="K68" s="66"/>
      <c r="L68" s="66"/>
      <c r="M68" s="67"/>
      <c r="N68" s="90"/>
      <c r="O68" s="330"/>
      <c r="P68" s="68"/>
      <c r="Q68" s="68"/>
      <c r="R68" s="68"/>
      <c r="S68" s="58"/>
      <c r="T68" s="537"/>
      <c r="U68" s="523"/>
    </row>
    <row r="69" spans="1:21" s="6" customFormat="1" ht="15" customHeight="1" outlineLevel="1" thickBot="1" x14ac:dyDescent="0.25">
      <c r="A69" s="98" t="s">
        <v>757</v>
      </c>
      <c r="B69" s="3"/>
      <c r="C69" s="3"/>
      <c r="D69" s="3"/>
      <c r="E69" s="148">
        <f>SUBTOTAL(9,E14:E68)</f>
        <v>94154</v>
      </c>
      <c r="F69" s="116">
        <f>SUBTOTAL(9,F14:F68)</f>
        <v>70447</v>
      </c>
      <c r="G69" s="116">
        <f t="shared" ref="G69:T69" si="5">SUBTOTAL(9,G14:G68)</f>
        <v>57995.98000000001</v>
      </c>
      <c r="H69" s="117">
        <f t="shared" si="4"/>
        <v>0.61596936933109603</v>
      </c>
      <c r="I69" s="119">
        <f t="shared" si="5"/>
        <v>12451.02</v>
      </c>
      <c r="J69" s="148">
        <f t="shared" si="5"/>
        <v>181825</v>
      </c>
      <c r="K69" s="116">
        <f t="shared" si="5"/>
        <v>158879</v>
      </c>
      <c r="L69" s="116">
        <f t="shared" si="5"/>
        <v>164848.84000000003</v>
      </c>
      <c r="M69" s="117">
        <f t="shared" si="3"/>
        <v>0.90663462120170513</v>
      </c>
      <c r="N69" s="119">
        <f t="shared" si="5"/>
        <v>-5969.8400000000029</v>
      </c>
      <c r="O69" s="148">
        <f t="shared" si="5"/>
        <v>164296</v>
      </c>
      <c r="P69" s="116">
        <f t="shared" si="5"/>
        <v>93654</v>
      </c>
      <c r="Q69" s="116">
        <f t="shared" si="5"/>
        <v>43314.790000000008</v>
      </c>
      <c r="R69" s="116">
        <f t="shared" si="5"/>
        <v>482.04</v>
      </c>
      <c r="S69" s="117">
        <f t="shared" si="2"/>
        <v>0.26363873740078886</v>
      </c>
      <c r="T69" s="118">
        <f t="shared" si="5"/>
        <v>49857.17</v>
      </c>
      <c r="U69" s="509"/>
    </row>
    <row r="70" spans="1:21" ht="15" customHeight="1" thickTop="1" x14ac:dyDescent="0.2">
      <c r="A70" s="544"/>
      <c r="E70" s="26"/>
      <c r="I70" s="443"/>
      <c r="J70" s="26"/>
      <c r="N70" s="443"/>
      <c r="O70" s="26"/>
      <c r="U70" s="542"/>
    </row>
    <row r="71" spans="1:21" s="6" customFormat="1" ht="15" customHeight="1" x14ac:dyDescent="0.2">
      <c r="A71" s="95"/>
      <c r="B71" s="12" t="s">
        <v>794</v>
      </c>
      <c r="C71" s="3"/>
      <c r="D71" s="3"/>
      <c r="E71" s="446"/>
      <c r="F71" s="5"/>
      <c r="G71" s="5"/>
      <c r="H71" s="5"/>
      <c r="I71" s="447"/>
      <c r="J71" s="444"/>
      <c r="K71" s="4"/>
      <c r="L71" s="4"/>
      <c r="M71" s="14"/>
      <c r="N71" s="445"/>
      <c r="O71" s="444"/>
      <c r="P71" s="4"/>
      <c r="Q71" s="4"/>
      <c r="R71" s="4"/>
      <c r="S71" s="14"/>
      <c r="T71" s="541"/>
      <c r="U71" s="509"/>
    </row>
    <row r="72" spans="1:21" s="6" customFormat="1" ht="15" customHeight="1" outlineLevel="2" x14ac:dyDescent="0.2">
      <c r="A72" s="135" t="s">
        <v>738</v>
      </c>
      <c r="B72" s="22" t="s">
        <v>727</v>
      </c>
      <c r="C72" s="22" t="s">
        <v>724</v>
      </c>
      <c r="D72" s="139" t="s">
        <v>728</v>
      </c>
      <c r="E72" s="331">
        <v>30000</v>
      </c>
      <c r="F72" s="57">
        <v>30000</v>
      </c>
      <c r="G72" s="57">
        <v>11208.73</v>
      </c>
      <c r="H72" s="57"/>
      <c r="I72" s="165">
        <v>18791.27</v>
      </c>
      <c r="J72" s="146">
        <v>28800</v>
      </c>
      <c r="K72" s="69">
        <v>28800</v>
      </c>
      <c r="L72" s="69">
        <v>15059.32</v>
      </c>
      <c r="M72" s="67"/>
      <c r="N72" s="89">
        <v>13740.68</v>
      </c>
      <c r="O72" s="331">
        <v>28800</v>
      </c>
      <c r="P72" s="57">
        <v>28800</v>
      </c>
      <c r="Q72" s="57">
        <v>7802.44</v>
      </c>
      <c r="R72" s="57">
        <v>0</v>
      </c>
      <c r="S72" s="58"/>
      <c r="T72" s="538">
        <v>20997.56</v>
      </c>
      <c r="U72" s="523"/>
    </row>
    <row r="73" spans="1:21" s="6" customFormat="1" ht="15" customHeight="1" outlineLevel="2" x14ac:dyDescent="0.2">
      <c r="A73" s="135" t="s">
        <v>738</v>
      </c>
      <c r="B73" s="22" t="s">
        <v>723</v>
      </c>
      <c r="C73" s="22" t="s">
        <v>724</v>
      </c>
      <c r="D73" s="139" t="s">
        <v>725</v>
      </c>
      <c r="E73" s="330"/>
      <c r="F73" s="68"/>
      <c r="G73" s="68"/>
      <c r="H73" s="68"/>
      <c r="I73" s="164"/>
      <c r="J73" s="146">
        <v>0</v>
      </c>
      <c r="K73" s="69">
        <v>136909</v>
      </c>
      <c r="L73" s="69">
        <v>0</v>
      </c>
      <c r="M73" s="67"/>
      <c r="N73" s="89">
        <v>136909</v>
      </c>
      <c r="O73" s="331">
        <v>0</v>
      </c>
      <c r="P73" s="57">
        <v>150650</v>
      </c>
      <c r="Q73" s="57">
        <v>0</v>
      </c>
      <c r="R73" s="57">
        <v>0</v>
      </c>
      <c r="S73" s="58"/>
      <c r="T73" s="538">
        <v>150650</v>
      </c>
      <c r="U73" s="523"/>
    </row>
    <row r="74" spans="1:21" s="6" customFormat="1" ht="15" customHeight="1" outlineLevel="2" x14ac:dyDescent="0.2">
      <c r="A74" s="135" t="s">
        <v>738</v>
      </c>
      <c r="B74" s="22" t="s">
        <v>729</v>
      </c>
      <c r="C74" s="22" t="s">
        <v>724</v>
      </c>
      <c r="D74" s="139" t="s">
        <v>725</v>
      </c>
      <c r="E74" s="331">
        <v>0</v>
      </c>
      <c r="F74" s="57">
        <v>118118</v>
      </c>
      <c r="G74" s="57">
        <v>0</v>
      </c>
      <c r="H74" s="57"/>
      <c r="I74" s="165">
        <v>118118</v>
      </c>
      <c r="J74" s="145"/>
      <c r="K74" s="66"/>
      <c r="L74" s="66"/>
      <c r="M74" s="431"/>
      <c r="N74" s="90"/>
      <c r="O74" s="330"/>
      <c r="P74" s="68"/>
      <c r="Q74" s="68"/>
      <c r="R74" s="68"/>
      <c r="S74" s="430"/>
      <c r="T74" s="537"/>
      <c r="U74" s="523"/>
    </row>
    <row r="75" spans="1:21" ht="13.5" thickBot="1" x14ac:dyDescent="0.25">
      <c r="A75" s="100"/>
      <c r="B75" s="91"/>
      <c r="C75" s="91"/>
      <c r="D75" s="91"/>
      <c r="E75" s="27"/>
      <c r="F75" s="91"/>
      <c r="G75" s="91"/>
      <c r="H75" s="91"/>
      <c r="I75" s="38"/>
      <c r="J75" s="27"/>
      <c r="K75" s="91"/>
      <c r="L75" s="91"/>
      <c r="M75" s="91"/>
      <c r="N75" s="38"/>
      <c r="O75" s="27"/>
      <c r="P75" s="91"/>
      <c r="Q75" s="91"/>
      <c r="R75" s="91"/>
      <c r="S75" s="91"/>
      <c r="T75" s="91"/>
      <c r="U75" s="510"/>
    </row>
  </sheetData>
  <mergeCells count="3">
    <mergeCell ref="E1:I1"/>
    <mergeCell ref="J1:N1"/>
    <mergeCell ref="O1:T1"/>
  </mergeCells>
  <printOptions horizontalCentered="1"/>
  <pageMargins left="0" right="0" top="0.75" bottom="0.75" header="0.3" footer="0.3"/>
  <pageSetup paperSize="5" scale="83" orientation="landscape" r:id="rId1"/>
  <headerFooter>
    <oddHeader>&amp;CMISSION COLLEGE
Fund 100 - Operating Budget vs Actual Spending for FY10/11, FY11/12 &amp; FY12/13</oddHeader>
    <oddFooter>&amp;ROffice of Administrative Services
&amp;Z&amp;F &amp;A   March 20, 2013 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3"/>
  <sheetViews>
    <sheetView topLeftCell="A23" workbookViewId="0">
      <selection activeCell="E2" sqref="E1:N1048576"/>
    </sheetView>
  </sheetViews>
  <sheetFormatPr defaultColWidth="9.140625" defaultRowHeight="12.75" outlineLevelRow="2" x14ac:dyDescent="0.2"/>
  <cols>
    <col min="1" max="1" width="0.42578125" style="167" customWidth="1"/>
    <col min="2" max="2" width="21.28515625" style="1" customWidth="1"/>
    <col min="3" max="3" width="14.7109375" style="1" customWidth="1"/>
    <col min="4" max="4" width="21.28515625" style="1" customWidth="1"/>
    <col min="5" max="7" width="7.7109375" style="1" hidden="1" customWidth="1"/>
    <col min="8" max="9" width="6.7109375" style="1" hidden="1" customWidth="1"/>
    <col min="10" max="11" width="7.7109375" style="1" hidden="1" customWidth="1"/>
    <col min="12" max="12" width="7.42578125" style="1" hidden="1" customWidth="1"/>
    <col min="13" max="14" width="6.7109375" style="1" hidden="1" customWidth="1"/>
    <col min="15" max="15" width="7.7109375" style="1" bestFit="1" customWidth="1"/>
    <col min="16" max="16" width="6.85546875" style="1" bestFit="1" customWidth="1"/>
    <col min="17" max="17" width="7.42578125" style="1" bestFit="1" customWidth="1"/>
    <col min="18" max="18" width="6.85546875" style="1" customWidth="1"/>
    <col min="19" max="19" width="6.7109375" style="1" bestFit="1" customWidth="1"/>
    <col min="20" max="20" width="7" style="1" bestFit="1" customWidth="1"/>
    <col min="21" max="21" width="23" style="1" bestFit="1" customWidth="1"/>
    <col min="22" max="16384" width="9.140625" style="1"/>
  </cols>
  <sheetData>
    <row r="1" spans="1:21" ht="13.5" thickBot="1" x14ac:dyDescent="0.25">
      <c r="A1" s="421"/>
      <c r="B1" s="217"/>
      <c r="C1" s="217"/>
      <c r="D1" s="217"/>
      <c r="E1" s="643" t="s">
        <v>791</v>
      </c>
      <c r="F1" s="644"/>
      <c r="G1" s="644"/>
      <c r="H1" s="644"/>
      <c r="I1" s="645"/>
      <c r="J1" s="646" t="s">
        <v>790</v>
      </c>
      <c r="K1" s="647"/>
      <c r="L1" s="647"/>
      <c r="M1" s="647"/>
      <c r="N1" s="648"/>
      <c r="O1" s="643" t="s">
        <v>792</v>
      </c>
      <c r="P1" s="644"/>
      <c r="Q1" s="644"/>
      <c r="R1" s="644"/>
      <c r="S1" s="644"/>
      <c r="T1" s="645"/>
      <c r="U1" s="518" t="s">
        <v>825</v>
      </c>
    </row>
    <row r="2" spans="1:21" ht="45.75" thickBot="1" x14ac:dyDescent="0.25">
      <c r="A2" s="149"/>
      <c r="B2" s="150" t="s">
        <v>732</v>
      </c>
      <c r="C2" s="150" t="s">
        <v>735</v>
      </c>
      <c r="D2" s="151" t="s">
        <v>733</v>
      </c>
      <c r="E2" s="140" t="s">
        <v>0</v>
      </c>
      <c r="F2" s="141" t="s">
        <v>1</v>
      </c>
      <c r="G2" s="141" t="s">
        <v>772</v>
      </c>
      <c r="H2" s="141" t="s">
        <v>793</v>
      </c>
      <c r="I2" s="143" t="s">
        <v>3</v>
      </c>
      <c r="J2" s="140" t="s">
        <v>0</v>
      </c>
      <c r="K2" s="141" t="s">
        <v>1</v>
      </c>
      <c r="L2" s="141" t="s">
        <v>772</v>
      </c>
      <c r="M2" s="142" t="s">
        <v>793</v>
      </c>
      <c r="N2" s="143" t="s">
        <v>3</v>
      </c>
      <c r="O2" s="140" t="s">
        <v>0</v>
      </c>
      <c r="P2" s="141" t="s">
        <v>1</v>
      </c>
      <c r="Q2" s="141" t="s">
        <v>772</v>
      </c>
      <c r="R2" s="141" t="s">
        <v>2</v>
      </c>
      <c r="S2" s="142" t="s">
        <v>793</v>
      </c>
      <c r="T2" s="143" t="s">
        <v>3</v>
      </c>
      <c r="U2" s="529" t="s">
        <v>826</v>
      </c>
    </row>
    <row r="3" spans="1:21" s="6" customFormat="1" ht="18" customHeight="1" outlineLevel="2" x14ac:dyDescent="0.2">
      <c r="A3" s="411" t="s">
        <v>745</v>
      </c>
      <c r="B3" s="110" t="s">
        <v>321</v>
      </c>
      <c r="C3" s="110" t="s">
        <v>318</v>
      </c>
      <c r="D3" s="195" t="s">
        <v>7</v>
      </c>
      <c r="E3" s="423"/>
      <c r="F3" s="133"/>
      <c r="G3" s="133"/>
      <c r="H3" s="112">
        <v>0</v>
      </c>
      <c r="I3" s="134"/>
      <c r="J3" s="346">
        <v>0</v>
      </c>
      <c r="K3" s="113">
        <v>0</v>
      </c>
      <c r="L3" s="113">
        <v>892.13</v>
      </c>
      <c r="M3" s="114">
        <v>0</v>
      </c>
      <c r="N3" s="347">
        <v>-892.13</v>
      </c>
      <c r="O3" s="423"/>
      <c r="P3" s="133"/>
      <c r="Q3" s="133"/>
      <c r="R3" s="133"/>
      <c r="S3" s="112"/>
      <c r="T3" s="134"/>
      <c r="U3" s="531"/>
    </row>
    <row r="4" spans="1:21" s="6" customFormat="1" ht="18" customHeight="1" outlineLevel="2" x14ac:dyDescent="0.2">
      <c r="A4" s="323" t="s">
        <v>745</v>
      </c>
      <c r="B4" s="22" t="s">
        <v>322</v>
      </c>
      <c r="C4" s="22" t="s">
        <v>318</v>
      </c>
      <c r="D4" s="139" t="s">
        <v>313</v>
      </c>
      <c r="E4" s="146">
        <v>1000</v>
      </c>
      <c r="F4" s="69">
        <v>0</v>
      </c>
      <c r="G4" s="69">
        <v>0</v>
      </c>
      <c r="H4" s="67">
        <f t="shared" ref="H4:H38" si="0">+G4/E4</f>
        <v>0</v>
      </c>
      <c r="I4" s="89">
        <v>0</v>
      </c>
      <c r="J4" s="331">
        <v>1000</v>
      </c>
      <c r="K4" s="57">
        <v>0</v>
      </c>
      <c r="L4" s="57">
        <v>0</v>
      </c>
      <c r="M4" s="58">
        <f t="shared" ref="M4:M38" si="1">+L4/J4</f>
        <v>0</v>
      </c>
      <c r="N4" s="165">
        <v>0</v>
      </c>
      <c r="O4" s="146">
        <v>1000</v>
      </c>
      <c r="P4" s="69">
        <v>1000</v>
      </c>
      <c r="Q4" s="69">
        <v>0</v>
      </c>
      <c r="R4" s="69">
        <v>0</v>
      </c>
      <c r="S4" s="67">
        <f t="shared" ref="S4:S38" si="2">+Q4/O4</f>
        <v>0</v>
      </c>
      <c r="T4" s="89">
        <v>1000</v>
      </c>
      <c r="U4" s="519"/>
    </row>
    <row r="5" spans="1:21" s="6" customFormat="1" ht="18" customHeight="1" outlineLevel="2" x14ac:dyDescent="0.2">
      <c r="A5" s="323" t="s">
        <v>745</v>
      </c>
      <c r="B5" s="22" t="s">
        <v>320</v>
      </c>
      <c r="C5" s="22" t="s">
        <v>318</v>
      </c>
      <c r="D5" s="139" t="s">
        <v>19</v>
      </c>
      <c r="E5" s="146">
        <v>825</v>
      </c>
      <c r="F5" s="69">
        <v>860</v>
      </c>
      <c r="G5" s="69">
        <v>859.34</v>
      </c>
      <c r="H5" s="67">
        <f t="shared" si="0"/>
        <v>1.0416242424242426</v>
      </c>
      <c r="I5" s="89">
        <v>0.66</v>
      </c>
      <c r="J5" s="331">
        <v>0</v>
      </c>
      <c r="K5" s="57">
        <v>0</v>
      </c>
      <c r="L5" s="57">
        <v>0</v>
      </c>
      <c r="M5" s="58"/>
      <c r="N5" s="165">
        <v>0</v>
      </c>
      <c r="O5" s="145"/>
      <c r="P5" s="66"/>
      <c r="Q5" s="66"/>
      <c r="R5" s="66"/>
      <c r="S5" s="67"/>
      <c r="T5" s="90"/>
      <c r="U5" s="519"/>
    </row>
    <row r="6" spans="1:21" s="6" customFormat="1" ht="18" customHeight="1" outlineLevel="2" x14ac:dyDescent="0.2">
      <c r="A6" s="323" t="s">
        <v>745</v>
      </c>
      <c r="B6" s="22" t="s">
        <v>323</v>
      </c>
      <c r="C6" s="22" t="s">
        <v>318</v>
      </c>
      <c r="D6" s="139" t="s">
        <v>19</v>
      </c>
      <c r="E6" s="145"/>
      <c r="F6" s="66"/>
      <c r="G6" s="66"/>
      <c r="H6" s="67">
        <v>0</v>
      </c>
      <c r="I6" s="90"/>
      <c r="J6" s="331">
        <v>825</v>
      </c>
      <c r="K6" s="57">
        <v>11933</v>
      </c>
      <c r="L6" s="57">
        <v>11021.73</v>
      </c>
      <c r="M6" s="58">
        <f t="shared" si="1"/>
        <v>13.359672727272727</v>
      </c>
      <c r="N6" s="165">
        <f>11933-11021.73</f>
        <v>911.27000000000044</v>
      </c>
      <c r="O6" s="146">
        <v>12610</v>
      </c>
      <c r="P6" s="69">
        <v>12610</v>
      </c>
      <c r="Q6" s="69">
        <v>293.27999999999997</v>
      </c>
      <c r="R6" s="69">
        <v>306.72000000000003</v>
      </c>
      <c r="S6" s="67">
        <f t="shared" si="2"/>
        <v>2.3257731958762885E-2</v>
      </c>
      <c r="T6" s="89">
        <v>12010</v>
      </c>
      <c r="U6" s="519"/>
    </row>
    <row r="7" spans="1:21" s="6" customFormat="1" ht="18" customHeight="1" outlineLevel="2" x14ac:dyDescent="0.2">
      <c r="A7" s="323" t="s">
        <v>745</v>
      </c>
      <c r="B7" s="22" t="s">
        <v>324</v>
      </c>
      <c r="C7" s="22" t="s">
        <v>318</v>
      </c>
      <c r="D7" s="139" t="s">
        <v>51</v>
      </c>
      <c r="E7" s="145"/>
      <c r="F7" s="66"/>
      <c r="G7" s="66"/>
      <c r="H7" s="67">
        <v>0</v>
      </c>
      <c r="I7" s="90"/>
      <c r="J7" s="331">
        <v>12985</v>
      </c>
      <c r="K7" s="57">
        <v>3027</v>
      </c>
      <c r="L7" s="57">
        <v>3030.69</v>
      </c>
      <c r="M7" s="58">
        <f t="shared" si="1"/>
        <v>0.23339930689256835</v>
      </c>
      <c r="N7" s="165">
        <f>3027-3030.69</f>
        <v>-3.6900000000000546</v>
      </c>
      <c r="O7" s="146">
        <v>1200</v>
      </c>
      <c r="P7" s="69">
        <v>1200</v>
      </c>
      <c r="Q7" s="69">
        <v>0</v>
      </c>
      <c r="R7" s="69">
        <v>0</v>
      </c>
      <c r="S7" s="67">
        <f t="shared" si="2"/>
        <v>0</v>
      </c>
      <c r="T7" s="89">
        <v>1200</v>
      </c>
      <c r="U7" s="519"/>
    </row>
    <row r="8" spans="1:21" s="6" customFormat="1" ht="18" customHeight="1" outlineLevel="2" x14ac:dyDescent="0.2">
      <c r="A8" s="323" t="s">
        <v>745</v>
      </c>
      <c r="B8" s="22" t="s">
        <v>326</v>
      </c>
      <c r="C8" s="22" t="s">
        <v>325</v>
      </c>
      <c r="D8" s="139" t="s">
        <v>58</v>
      </c>
      <c r="E8" s="343">
        <v>0</v>
      </c>
      <c r="F8" s="71">
        <v>200</v>
      </c>
      <c r="G8" s="71">
        <v>200</v>
      </c>
      <c r="H8" s="67">
        <v>0</v>
      </c>
      <c r="I8" s="89">
        <v>0</v>
      </c>
      <c r="J8" s="342">
        <v>0</v>
      </c>
      <c r="K8" s="60">
        <v>0</v>
      </c>
      <c r="L8" s="60">
        <v>1290</v>
      </c>
      <c r="M8" s="58">
        <v>0</v>
      </c>
      <c r="N8" s="165">
        <v>-1290</v>
      </c>
      <c r="O8" s="343">
        <v>0</v>
      </c>
      <c r="P8" s="71">
        <v>0</v>
      </c>
      <c r="Q8" s="71">
        <v>465</v>
      </c>
      <c r="R8" s="71">
        <v>0</v>
      </c>
      <c r="S8" s="67">
        <v>0</v>
      </c>
      <c r="T8" s="89">
        <v>-465</v>
      </c>
      <c r="U8" s="519"/>
    </row>
    <row r="9" spans="1:21" s="6" customFormat="1" ht="18" customHeight="1" outlineLevel="2" x14ac:dyDescent="0.2">
      <c r="A9" s="323" t="s">
        <v>745</v>
      </c>
      <c r="B9" s="22" t="s">
        <v>327</v>
      </c>
      <c r="C9" s="22" t="s">
        <v>325</v>
      </c>
      <c r="D9" s="139" t="s">
        <v>7</v>
      </c>
      <c r="E9" s="146">
        <v>0</v>
      </c>
      <c r="F9" s="69">
        <v>1000</v>
      </c>
      <c r="G9" s="69">
        <v>740.99</v>
      </c>
      <c r="H9" s="67">
        <v>0</v>
      </c>
      <c r="I9" s="89">
        <v>259.01</v>
      </c>
      <c r="J9" s="331">
        <v>0</v>
      </c>
      <c r="K9" s="57">
        <v>0</v>
      </c>
      <c r="L9" s="57">
        <v>580.13</v>
      </c>
      <c r="M9" s="58">
        <v>0</v>
      </c>
      <c r="N9" s="165">
        <v>-580.13</v>
      </c>
      <c r="O9" s="145"/>
      <c r="P9" s="66"/>
      <c r="Q9" s="66"/>
      <c r="R9" s="66"/>
      <c r="S9" s="67"/>
      <c r="T9" s="90"/>
      <c r="U9" s="519"/>
    </row>
    <row r="10" spans="1:21" s="6" customFormat="1" ht="18" customHeight="1" outlineLevel="2" x14ac:dyDescent="0.2">
      <c r="A10" s="323" t="s">
        <v>745</v>
      </c>
      <c r="B10" s="22" t="s">
        <v>328</v>
      </c>
      <c r="C10" s="22" t="s">
        <v>325</v>
      </c>
      <c r="D10" s="139" t="s">
        <v>83</v>
      </c>
      <c r="E10" s="145"/>
      <c r="F10" s="66"/>
      <c r="G10" s="66"/>
      <c r="H10" s="67">
        <v>0</v>
      </c>
      <c r="I10" s="90"/>
      <c r="J10" s="331">
        <v>0</v>
      </c>
      <c r="K10" s="57">
        <v>2500</v>
      </c>
      <c r="L10" s="57">
        <v>2044.58</v>
      </c>
      <c r="M10" s="58">
        <v>0</v>
      </c>
      <c r="N10" s="165">
        <v>455.42</v>
      </c>
      <c r="O10" s="145"/>
      <c r="P10" s="66"/>
      <c r="Q10" s="66"/>
      <c r="R10" s="66"/>
      <c r="S10" s="67"/>
      <c r="T10" s="90"/>
      <c r="U10" s="519"/>
    </row>
    <row r="11" spans="1:21" s="6" customFormat="1" ht="18" customHeight="1" outlineLevel="2" x14ac:dyDescent="0.2">
      <c r="A11" s="323" t="s">
        <v>745</v>
      </c>
      <c r="B11" s="22" t="s">
        <v>329</v>
      </c>
      <c r="C11" s="22" t="s">
        <v>325</v>
      </c>
      <c r="D11" s="139" t="s">
        <v>330</v>
      </c>
      <c r="E11" s="146">
        <v>7000</v>
      </c>
      <c r="F11" s="69">
        <v>4923</v>
      </c>
      <c r="G11" s="69">
        <v>5017.5</v>
      </c>
      <c r="H11" s="67">
        <f t="shared" si="0"/>
        <v>0.71678571428571425</v>
      </c>
      <c r="I11" s="89">
        <v>-94.5</v>
      </c>
      <c r="J11" s="331">
        <v>7000</v>
      </c>
      <c r="K11" s="57">
        <v>2717</v>
      </c>
      <c r="L11" s="57">
        <v>2685</v>
      </c>
      <c r="M11" s="58">
        <f t="shared" si="1"/>
        <v>0.38357142857142856</v>
      </c>
      <c r="N11" s="165">
        <v>32</v>
      </c>
      <c r="O11" s="146">
        <v>7000</v>
      </c>
      <c r="P11" s="69">
        <v>7000</v>
      </c>
      <c r="Q11" s="69">
        <v>1175</v>
      </c>
      <c r="R11" s="69">
        <v>0</v>
      </c>
      <c r="S11" s="67">
        <f t="shared" si="2"/>
        <v>0.16785714285714284</v>
      </c>
      <c r="T11" s="89">
        <v>5825</v>
      </c>
      <c r="U11" s="519"/>
    </row>
    <row r="12" spans="1:21" s="6" customFormat="1" ht="18" customHeight="1" outlineLevel="2" x14ac:dyDescent="0.2">
      <c r="A12" s="323" t="s">
        <v>745</v>
      </c>
      <c r="B12" s="22" t="s">
        <v>331</v>
      </c>
      <c r="C12" s="22" t="s">
        <v>325</v>
      </c>
      <c r="D12" s="139" t="s">
        <v>17</v>
      </c>
      <c r="E12" s="146">
        <v>4500</v>
      </c>
      <c r="F12" s="69">
        <v>4820</v>
      </c>
      <c r="G12" s="69">
        <v>4467.03</v>
      </c>
      <c r="H12" s="67">
        <f t="shared" si="0"/>
        <v>0.9926733333333333</v>
      </c>
      <c r="I12" s="89">
        <v>352.97</v>
      </c>
      <c r="J12" s="331">
        <v>4635</v>
      </c>
      <c r="K12" s="57">
        <v>4635</v>
      </c>
      <c r="L12" s="57">
        <f>4353.97+239.67</f>
        <v>4593.6400000000003</v>
      </c>
      <c r="M12" s="58">
        <f t="shared" si="1"/>
        <v>0.99107659115426117</v>
      </c>
      <c r="N12" s="165">
        <f>4635-239.67-4353.97</f>
        <v>41.359999999999673</v>
      </c>
      <c r="O12" s="146">
        <v>6615</v>
      </c>
      <c r="P12" s="69">
        <v>0</v>
      </c>
      <c r="Q12" s="69">
        <v>0</v>
      </c>
      <c r="R12" s="69">
        <v>0</v>
      </c>
      <c r="S12" s="67">
        <f t="shared" si="2"/>
        <v>0</v>
      </c>
      <c r="T12" s="89">
        <v>0</v>
      </c>
      <c r="U12" s="519"/>
    </row>
    <row r="13" spans="1:21" s="6" customFormat="1" ht="18" customHeight="1" outlineLevel="2" x14ac:dyDescent="0.2">
      <c r="A13" s="323" t="s">
        <v>745</v>
      </c>
      <c r="B13" s="22" t="s">
        <v>332</v>
      </c>
      <c r="C13" s="22" t="s">
        <v>325</v>
      </c>
      <c r="D13" s="139" t="s">
        <v>246</v>
      </c>
      <c r="E13" s="146">
        <v>3000</v>
      </c>
      <c r="F13" s="69">
        <v>3212</v>
      </c>
      <c r="G13" s="69">
        <v>3187.72</v>
      </c>
      <c r="H13" s="67">
        <f t="shared" si="0"/>
        <v>1.0625733333333334</v>
      </c>
      <c r="I13" s="89">
        <v>24.28</v>
      </c>
      <c r="J13" s="331">
        <v>2500</v>
      </c>
      <c r="K13" s="57">
        <v>0</v>
      </c>
      <c r="L13" s="57">
        <v>0</v>
      </c>
      <c r="M13" s="58">
        <f t="shared" si="1"/>
        <v>0</v>
      </c>
      <c r="N13" s="165">
        <v>0</v>
      </c>
      <c r="O13" s="146">
        <v>2500</v>
      </c>
      <c r="P13" s="69">
        <v>2500</v>
      </c>
      <c r="Q13" s="69">
        <v>1636.28</v>
      </c>
      <c r="R13" s="69">
        <v>0</v>
      </c>
      <c r="S13" s="67">
        <f t="shared" si="2"/>
        <v>0.65451199999999998</v>
      </c>
      <c r="T13" s="89">
        <v>863.72</v>
      </c>
      <c r="U13" s="519"/>
    </row>
    <row r="14" spans="1:21" s="6" customFormat="1" ht="18" customHeight="1" outlineLevel="2" x14ac:dyDescent="0.2">
      <c r="A14" s="323" t="s">
        <v>745</v>
      </c>
      <c r="B14" s="22" t="s">
        <v>333</v>
      </c>
      <c r="C14" s="22" t="s">
        <v>325</v>
      </c>
      <c r="D14" s="139" t="s">
        <v>334</v>
      </c>
      <c r="E14" s="146">
        <v>1980</v>
      </c>
      <c r="F14" s="69">
        <v>3420</v>
      </c>
      <c r="G14" s="69">
        <v>3410.8</v>
      </c>
      <c r="H14" s="67">
        <f t="shared" si="0"/>
        <v>1.7226262626262627</v>
      </c>
      <c r="I14" s="89">
        <v>9.1999999999999993</v>
      </c>
      <c r="J14" s="331">
        <v>1980</v>
      </c>
      <c r="K14" s="57">
        <v>1980</v>
      </c>
      <c r="L14" s="57">
        <v>783.89</v>
      </c>
      <c r="M14" s="58">
        <f t="shared" si="1"/>
        <v>0.39590404040404042</v>
      </c>
      <c r="N14" s="165">
        <f>1980-783.89</f>
        <v>1196.1100000000001</v>
      </c>
      <c r="O14" s="145"/>
      <c r="P14" s="66"/>
      <c r="Q14" s="66"/>
      <c r="R14" s="66"/>
      <c r="S14" s="67"/>
      <c r="T14" s="90"/>
      <c r="U14" s="519"/>
    </row>
    <row r="15" spans="1:21" s="6" customFormat="1" ht="18" customHeight="1" outlineLevel="2" x14ac:dyDescent="0.2">
      <c r="A15" s="323" t="s">
        <v>745</v>
      </c>
      <c r="B15" s="22" t="s">
        <v>339</v>
      </c>
      <c r="C15" s="22" t="s">
        <v>325</v>
      </c>
      <c r="D15" s="139" t="s">
        <v>19</v>
      </c>
      <c r="E15" s="146">
        <v>1525</v>
      </c>
      <c r="F15" s="69">
        <v>1906</v>
      </c>
      <c r="G15" s="69">
        <v>1835.95</v>
      </c>
      <c r="H15" s="67">
        <f t="shared" si="0"/>
        <v>1.2039016393442623</v>
      </c>
      <c r="I15" s="89">
        <v>70.05</v>
      </c>
      <c r="J15" s="331">
        <v>1525</v>
      </c>
      <c r="K15" s="57">
        <v>1525</v>
      </c>
      <c r="L15" s="57">
        <v>1780.07</v>
      </c>
      <c r="M15" s="58">
        <f t="shared" si="1"/>
        <v>1.1672590163934426</v>
      </c>
      <c r="N15" s="165">
        <f>1525-1780.07</f>
        <v>-255.06999999999994</v>
      </c>
      <c r="O15" s="146">
        <v>1525</v>
      </c>
      <c r="P15" s="69">
        <v>1525</v>
      </c>
      <c r="Q15" s="69">
        <v>373.94</v>
      </c>
      <c r="R15" s="69">
        <v>261.06</v>
      </c>
      <c r="S15" s="67">
        <f t="shared" si="2"/>
        <v>0.24520655737704919</v>
      </c>
      <c r="T15" s="89">
        <v>890</v>
      </c>
      <c r="U15" s="519"/>
    </row>
    <row r="16" spans="1:21" s="6" customFormat="1" ht="18" customHeight="1" outlineLevel="2" x14ac:dyDescent="0.2">
      <c r="A16" s="323" t="s">
        <v>745</v>
      </c>
      <c r="B16" s="22" t="s">
        <v>335</v>
      </c>
      <c r="C16" s="22" t="s">
        <v>325</v>
      </c>
      <c r="D16" s="139" t="s">
        <v>336</v>
      </c>
      <c r="E16" s="146">
        <v>5400</v>
      </c>
      <c r="F16" s="69">
        <v>5400</v>
      </c>
      <c r="G16" s="69">
        <v>4360</v>
      </c>
      <c r="H16" s="67">
        <f t="shared" si="0"/>
        <v>0.80740740740740746</v>
      </c>
      <c r="I16" s="89">
        <v>1040</v>
      </c>
      <c r="J16" s="331">
        <v>5400</v>
      </c>
      <c r="K16" s="57">
        <v>4250</v>
      </c>
      <c r="L16" s="57">
        <v>4140</v>
      </c>
      <c r="M16" s="58">
        <f t="shared" si="1"/>
        <v>0.76666666666666672</v>
      </c>
      <c r="N16" s="165">
        <v>110</v>
      </c>
      <c r="O16" s="146">
        <v>5400</v>
      </c>
      <c r="P16" s="69">
        <v>5400</v>
      </c>
      <c r="Q16" s="69">
        <v>1840</v>
      </c>
      <c r="R16" s="69">
        <v>3560</v>
      </c>
      <c r="S16" s="67">
        <f t="shared" si="2"/>
        <v>0.34074074074074073</v>
      </c>
      <c r="T16" s="89">
        <v>0</v>
      </c>
      <c r="U16" s="519"/>
    </row>
    <row r="17" spans="1:21" s="6" customFormat="1" ht="18" customHeight="1" outlineLevel="2" x14ac:dyDescent="0.2">
      <c r="A17" s="323" t="s">
        <v>745</v>
      </c>
      <c r="B17" s="22" t="s">
        <v>337</v>
      </c>
      <c r="C17" s="22" t="s">
        <v>325</v>
      </c>
      <c r="D17" s="139" t="s">
        <v>338</v>
      </c>
      <c r="E17" s="146">
        <v>900</v>
      </c>
      <c r="F17" s="69">
        <v>900</v>
      </c>
      <c r="G17" s="69">
        <v>564.65</v>
      </c>
      <c r="H17" s="67">
        <f t="shared" si="0"/>
        <v>0.62738888888888888</v>
      </c>
      <c r="I17" s="89">
        <v>335.35</v>
      </c>
      <c r="J17" s="331">
        <v>900</v>
      </c>
      <c r="K17" s="57">
        <v>900</v>
      </c>
      <c r="L17" s="57">
        <v>421.9</v>
      </c>
      <c r="M17" s="58">
        <f t="shared" si="1"/>
        <v>0.46877777777777774</v>
      </c>
      <c r="N17" s="165">
        <v>478.1</v>
      </c>
      <c r="O17" s="146">
        <v>900</v>
      </c>
      <c r="P17" s="69">
        <v>900</v>
      </c>
      <c r="Q17" s="69">
        <v>500</v>
      </c>
      <c r="R17" s="69">
        <v>400</v>
      </c>
      <c r="S17" s="67">
        <f t="shared" si="2"/>
        <v>0.55555555555555558</v>
      </c>
      <c r="T17" s="89">
        <v>0</v>
      </c>
      <c r="U17" s="519"/>
    </row>
    <row r="18" spans="1:21" s="6" customFormat="1" ht="18" customHeight="1" outlineLevel="2" x14ac:dyDescent="0.2">
      <c r="A18" s="323" t="s">
        <v>745</v>
      </c>
      <c r="B18" s="22" t="s">
        <v>371</v>
      </c>
      <c r="C18" s="22" t="s">
        <v>370</v>
      </c>
      <c r="D18" s="139" t="s">
        <v>17</v>
      </c>
      <c r="E18" s="146">
        <v>2210</v>
      </c>
      <c r="F18" s="69">
        <v>2210</v>
      </c>
      <c r="G18" s="69">
        <v>2090.87</v>
      </c>
      <c r="H18" s="67">
        <f t="shared" si="0"/>
        <v>0.94609502262443435</v>
      </c>
      <c r="I18" s="89">
        <v>119.13</v>
      </c>
      <c r="J18" s="331">
        <v>50</v>
      </c>
      <c r="K18" s="57">
        <v>50</v>
      </c>
      <c r="L18" s="57">
        <v>100</v>
      </c>
      <c r="M18" s="58">
        <f t="shared" si="1"/>
        <v>2</v>
      </c>
      <c r="N18" s="165">
        <f>50-100</f>
        <v>-50</v>
      </c>
      <c r="O18" s="146">
        <v>50</v>
      </c>
      <c r="P18" s="69">
        <v>0</v>
      </c>
      <c r="Q18" s="69">
        <v>0</v>
      </c>
      <c r="R18" s="69">
        <v>0</v>
      </c>
      <c r="S18" s="67">
        <f t="shared" si="2"/>
        <v>0</v>
      </c>
      <c r="T18" s="89">
        <v>0</v>
      </c>
      <c r="U18" s="519"/>
    </row>
    <row r="19" spans="1:21" s="6" customFormat="1" ht="18" customHeight="1" outlineLevel="2" x14ac:dyDescent="0.2">
      <c r="A19" s="323" t="s">
        <v>745</v>
      </c>
      <c r="B19" s="22" t="s">
        <v>372</v>
      </c>
      <c r="C19" s="22" t="s">
        <v>370</v>
      </c>
      <c r="D19" s="139" t="s">
        <v>246</v>
      </c>
      <c r="E19" s="146">
        <v>320</v>
      </c>
      <c r="F19" s="69">
        <v>320</v>
      </c>
      <c r="G19" s="69">
        <v>311.48</v>
      </c>
      <c r="H19" s="67">
        <f t="shared" si="0"/>
        <v>0.9733750000000001</v>
      </c>
      <c r="I19" s="89">
        <v>8.52</v>
      </c>
      <c r="J19" s="331">
        <v>320</v>
      </c>
      <c r="K19" s="57">
        <v>0</v>
      </c>
      <c r="L19" s="57">
        <v>0</v>
      </c>
      <c r="M19" s="58">
        <f t="shared" si="1"/>
        <v>0</v>
      </c>
      <c r="N19" s="165">
        <v>0</v>
      </c>
      <c r="O19" s="146">
        <v>320</v>
      </c>
      <c r="P19" s="69">
        <v>320</v>
      </c>
      <c r="Q19" s="69">
        <v>170.84</v>
      </c>
      <c r="R19" s="69">
        <v>0</v>
      </c>
      <c r="S19" s="67">
        <f t="shared" si="2"/>
        <v>0.53387499999999999</v>
      </c>
      <c r="T19" s="89">
        <v>149.16</v>
      </c>
      <c r="U19" s="519"/>
    </row>
    <row r="20" spans="1:21" s="6" customFormat="1" ht="18" customHeight="1" outlineLevel="2" x14ac:dyDescent="0.2">
      <c r="A20" s="323" t="s">
        <v>745</v>
      </c>
      <c r="B20" s="22" t="s">
        <v>432</v>
      </c>
      <c r="C20" s="22" t="s">
        <v>431</v>
      </c>
      <c r="D20" s="139" t="s">
        <v>7</v>
      </c>
      <c r="E20" s="145"/>
      <c r="F20" s="66"/>
      <c r="G20" s="66"/>
      <c r="H20" s="67">
        <v>0</v>
      </c>
      <c r="I20" s="90"/>
      <c r="J20" s="331">
        <v>0</v>
      </c>
      <c r="K20" s="57">
        <v>929</v>
      </c>
      <c r="L20" s="57">
        <v>929</v>
      </c>
      <c r="M20" s="58">
        <v>0</v>
      </c>
      <c r="N20" s="165">
        <v>0</v>
      </c>
      <c r="O20" s="145"/>
      <c r="P20" s="66"/>
      <c r="Q20" s="66"/>
      <c r="R20" s="66"/>
      <c r="S20" s="67"/>
      <c r="T20" s="90"/>
      <c r="U20" s="519"/>
    </row>
    <row r="21" spans="1:21" s="6" customFormat="1" ht="18" customHeight="1" outlineLevel="2" x14ac:dyDescent="0.2">
      <c r="A21" s="323" t="s">
        <v>745</v>
      </c>
      <c r="B21" s="22" t="s">
        <v>433</v>
      </c>
      <c r="C21" s="22" t="s">
        <v>431</v>
      </c>
      <c r="D21" s="139" t="s">
        <v>313</v>
      </c>
      <c r="E21" s="146">
        <v>929</v>
      </c>
      <c r="F21" s="69">
        <v>1004</v>
      </c>
      <c r="G21" s="69">
        <v>561</v>
      </c>
      <c r="H21" s="67">
        <f t="shared" si="0"/>
        <v>0.60387513455328312</v>
      </c>
      <c r="I21" s="89">
        <v>443</v>
      </c>
      <c r="J21" s="331">
        <v>929</v>
      </c>
      <c r="K21" s="57">
        <v>0</v>
      </c>
      <c r="L21" s="57">
        <v>0</v>
      </c>
      <c r="M21" s="58">
        <f t="shared" si="1"/>
        <v>0</v>
      </c>
      <c r="N21" s="165">
        <v>0</v>
      </c>
      <c r="O21" s="146">
        <v>929</v>
      </c>
      <c r="P21" s="69">
        <v>929</v>
      </c>
      <c r="Q21" s="69">
        <v>0</v>
      </c>
      <c r="R21" s="69">
        <v>0</v>
      </c>
      <c r="S21" s="67">
        <f t="shared" si="2"/>
        <v>0</v>
      </c>
      <c r="T21" s="89">
        <v>929</v>
      </c>
      <c r="U21" s="519"/>
    </row>
    <row r="22" spans="1:21" s="6" customFormat="1" ht="18" customHeight="1" outlineLevel="2" x14ac:dyDescent="0.2">
      <c r="A22" s="323" t="s">
        <v>745</v>
      </c>
      <c r="B22" s="22" t="s">
        <v>434</v>
      </c>
      <c r="C22" s="22" t="s">
        <v>431</v>
      </c>
      <c r="D22" s="139" t="s">
        <v>17</v>
      </c>
      <c r="E22" s="146">
        <v>780</v>
      </c>
      <c r="F22" s="69">
        <v>780</v>
      </c>
      <c r="G22" s="69">
        <v>780</v>
      </c>
      <c r="H22" s="67">
        <f t="shared" si="0"/>
        <v>1</v>
      </c>
      <c r="I22" s="89">
        <v>0</v>
      </c>
      <c r="J22" s="331">
        <v>780</v>
      </c>
      <c r="K22" s="57">
        <v>312</v>
      </c>
      <c r="L22" s="57">
        <v>386.05</v>
      </c>
      <c r="M22" s="58">
        <f t="shared" si="1"/>
        <v>0.49493589743589744</v>
      </c>
      <c r="N22" s="165">
        <f>312-386.05</f>
        <v>-74.050000000000011</v>
      </c>
      <c r="O22" s="146">
        <v>2160</v>
      </c>
      <c r="P22" s="69">
        <v>3960</v>
      </c>
      <c r="Q22" s="69">
        <v>0</v>
      </c>
      <c r="R22" s="69">
        <v>0</v>
      </c>
      <c r="S22" s="67">
        <f t="shared" si="2"/>
        <v>0</v>
      </c>
      <c r="T22" s="89">
        <v>3960</v>
      </c>
      <c r="U22" s="519"/>
    </row>
    <row r="23" spans="1:21" s="6" customFormat="1" ht="18" customHeight="1" outlineLevel="2" x14ac:dyDescent="0.2">
      <c r="A23" s="323" t="s">
        <v>745</v>
      </c>
      <c r="B23" s="22" t="s">
        <v>435</v>
      </c>
      <c r="C23" s="22" t="s">
        <v>431</v>
      </c>
      <c r="D23" s="139" t="s">
        <v>246</v>
      </c>
      <c r="E23" s="146">
        <v>700</v>
      </c>
      <c r="F23" s="69">
        <v>958</v>
      </c>
      <c r="G23" s="69">
        <v>957.72</v>
      </c>
      <c r="H23" s="67">
        <f t="shared" si="0"/>
        <v>1.3681714285714286</v>
      </c>
      <c r="I23" s="89">
        <v>0.28000000000000003</v>
      </c>
      <c r="J23" s="331">
        <v>700</v>
      </c>
      <c r="K23" s="57">
        <v>0</v>
      </c>
      <c r="L23" s="57">
        <v>0</v>
      </c>
      <c r="M23" s="58">
        <f t="shared" si="1"/>
        <v>0</v>
      </c>
      <c r="N23" s="165">
        <v>0</v>
      </c>
      <c r="O23" s="146">
        <v>700</v>
      </c>
      <c r="P23" s="69">
        <v>740</v>
      </c>
      <c r="Q23" s="69">
        <v>739.85</v>
      </c>
      <c r="R23" s="69">
        <v>0</v>
      </c>
      <c r="S23" s="67">
        <f t="shared" si="2"/>
        <v>1.0569285714285714</v>
      </c>
      <c r="T23" s="89">
        <v>0.15</v>
      </c>
      <c r="U23" s="519"/>
    </row>
    <row r="24" spans="1:21" s="6" customFormat="1" ht="18" customHeight="1" outlineLevel="2" x14ac:dyDescent="0.2">
      <c r="A24" s="323" t="s">
        <v>745</v>
      </c>
      <c r="B24" s="22" t="s">
        <v>436</v>
      </c>
      <c r="C24" s="22" t="s">
        <v>431</v>
      </c>
      <c r="D24" s="139" t="s">
        <v>334</v>
      </c>
      <c r="E24" s="146">
        <v>300</v>
      </c>
      <c r="F24" s="69">
        <v>150</v>
      </c>
      <c r="G24" s="69">
        <v>95</v>
      </c>
      <c r="H24" s="67">
        <f t="shared" si="0"/>
        <v>0.31666666666666665</v>
      </c>
      <c r="I24" s="89">
        <v>55</v>
      </c>
      <c r="J24" s="331">
        <v>1380</v>
      </c>
      <c r="K24" s="57">
        <v>1286</v>
      </c>
      <c r="L24" s="57">
        <v>203.51</v>
      </c>
      <c r="M24" s="58">
        <f t="shared" si="1"/>
        <v>0.14747101449275363</v>
      </c>
      <c r="N24" s="165">
        <v>1082.49</v>
      </c>
      <c r="O24" s="145"/>
      <c r="P24" s="66"/>
      <c r="Q24" s="66"/>
      <c r="R24" s="66"/>
      <c r="S24" s="67"/>
      <c r="T24" s="90"/>
      <c r="U24" s="519"/>
    </row>
    <row r="25" spans="1:21" s="6" customFormat="1" ht="18" customHeight="1" outlineLevel="2" x14ac:dyDescent="0.2">
      <c r="A25" s="323" t="s">
        <v>745</v>
      </c>
      <c r="B25" s="22" t="s">
        <v>437</v>
      </c>
      <c r="C25" s="22" t="s">
        <v>431</v>
      </c>
      <c r="D25" s="139" t="s">
        <v>405</v>
      </c>
      <c r="E25" s="146">
        <v>300</v>
      </c>
      <c r="F25" s="69">
        <v>450</v>
      </c>
      <c r="G25" s="69">
        <v>450</v>
      </c>
      <c r="H25" s="67">
        <f t="shared" si="0"/>
        <v>1.5</v>
      </c>
      <c r="I25" s="89">
        <v>0</v>
      </c>
      <c r="J25" s="330"/>
      <c r="K25" s="68"/>
      <c r="L25" s="68"/>
      <c r="M25" s="58"/>
      <c r="N25" s="164"/>
      <c r="O25" s="145"/>
      <c r="P25" s="66"/>
      <c r="Q25" s="66"/>
      <c r="R25" s="66"/>
      <c r="S25" s="67"/>
      <c r="T25" s="90"/>
      <c r="U25" s="519"/>
    </row>
    <row r="26" spans="1:21" s="6" customFormat="1" ht="18" customHeight="1" outlineLevel="2" x14ac:dyDescent="0.2">
      <c r="A26" s="323" t="s">
        <v>745</v>
      </c>
      <c r="B26" s="22" t="s">
        <v>438</v>
      </c>
      <c r="C26" s="22" t="s">
        <v>431</v>
      </c>
      <c r="D26" s="139" t="s">
        <v>35</v>
      </c>
      <c r="E26" s="145"/>
      <c r="F26" s="66"/>
      <c r="G26" s="66"/>
      <c r="H26" s="67">
        <v>0</v>
      </c>
      <c r="I26" s="90"/>
      <c r="J26" s="331">
        <v>5000</v>
      </c>
      <c r="K26" s="57">
        <v>5000</v>
      </c>
      <c r="L26" s="57">
        <v>4478.99</v>
      </c>
      <c r="M26" s="58">
        <f t="shared" si="1"/>
        <v>0.89579799999999998</v>
      </c>
      <c r="N26" s="165">
        <v>521.01</v>
      </c>
      <c r="O26" s="146">
        <v>5000</v>
      </c>
      <c r="P26" s="69">
        <v>1000</v>
      </c>
      <c r="Q26" s="69">
        <v>297.5</v>
      </c>
      <c r="R26" s="69">
        <v>702.5</v>
      </c>
      <c r="S26" s="67">
        <f t="shared" si="2"/>
        <v>5.9499999999999997E-2</v>
      </c>
      <c r="T26" s="89">
        <v>0</v>
      </c>
      <c r="U26" s="519"/>
    </row>
    <row r="27" spans="1:21" s="6" customFormat="1" ht="18" customHeight="1" outlineLevel="2" x14ac:dyDescent="0.2">
      <c r="A27" s="323" t="s">
        <v>745</v>
      </c>
      <c r="B27" s="22" t="s">
        <v>439</v>
      </c>
      <c r="C27" s="22" t="s">
        <v>431</v>
      </c>
      <c r="D27" s="139" t="s">
        <v>51</v>
      </c>
      <c r="E27" s="145"/>
      <c r="F27" s="66"/>
      <c r="G27" s="66"/>
      <c r="H27" s="67">
        <v>0</v>
      </c>
      <c r="I27" s="90"/>
      <c r="J27" s="331">
        <v>0</v>
      </c>
      <c r="K27" s="57">
        <v>0</v>
      </c>
      <c r="L27" s="57">
        <v>0</v>
      </c>
      <c r="M27" s="58"/>
      <c r="N27" s="165">
        <v>0</v>
      </c>
      <c r="O27" s="145"/>
      <c r="P27" s="66"/>
      <c r="Q27" s="66"/>
      <c r="R27" s="66"/>
      <c r="S27" s="67"/>
      <c r="T27" s="90"/>
      <c r="U27" s="519"/>
    </row>
    <row r="28" spans="1:21" s="6" customFormat="1" ht="18" customHeight="1" outlineLevel="2" x14ac:dyDescent="0.2">
      <c r="A28" s="323" t="s">
        <v>745</v>
      </c>
      <c r="B28" s="22" t="s">
        <v>455</v>
      </c>
      <c r="C28" s="22" t="s">
        <v>456</v>
      </c>
      <c r="D28" s="139" t="s">
        <v>19</v>
      </c>
      <c r="E28" s="146">
        <v>514</v>
      </c>
      <c r="F28" s="69">
        <v>0</v>
      </c>
      <c r="G28" s="69">
        <v>0</v>
      </c>
      <c r="H28" s="67">
        <f t="shared" si="0"/>
        <v>0</v>
      </c>
      <c r="I28" s="89">
        <v>0</v>
      </c>
      <c r="J28" s="331">
        <v>3054</v>
      </c>
      <c r="K28" s="57">
        <v>3054</v>
      </c>
      <c r="L28" s="57">
        <v>2665.86</v>
      </c>
      <c r="M28" s="58">
        <f t="shared" si="1"/>
        <v>0.8729076620825148</v>
      </c>
      <c r="N28" s="165">
        <v>388.14</v>
      </c>
      <c r="O28" s="146">
        <v>3054</v>
      </c>
      <c r="P28" s="69">
        <v>0</v>
      </c>
      <c r="Q28" s="69">
        <v>1036.77</v>
      </c>
      <c r="R28" s="69">
        <v>467.92</v>
      </c>
      <c r="S28" s="67">
        <f t="shared" si="2"/>
        <v>0.33947937131630646</v>
      </c>
      <c r="T28" s="89">
        <v>-1504.69</v>
      </c>
      <c r="U28" s="519"/>
    </row>
    <row r="29" spans="1:21" s="6" customFormat="1" ht="18" customHeight="1" outlineLevel="2" x14ac:dyDescent="0.2">
      <c r="A29" s="323" t="s">
        <v>745</v>
      </c>
      <c r="B29" s="22" t="s">
        <v>458</v>
      </c>
      <c r="C29" s="22" t="s">
        <v>456</v>
      </c>
      <c r="D29" s="139" t="s">
        <v>19</v>
      </c>
      <c r="E29" s="145"/>
      <c r="F29" s="66"/>
      <c r="G29" s="66"/>
      <c r="H29" s="67">
        <v>0</v>
      </c>
      <c r="I29" s="90"/>
      <c r="J29" s="330"/>
      <c r="K29" s="68"/>
      <c r="L29" s="68"/>
      <c r="M29" s="58"/>
      <c r="N29" s="164"/>
      <c r="O29" s="146">
        <v>0</v>
      </c>
      <c r="P29" s="69">
        <v>3054</v>
      </c>
      <c r="Q29" s="69">
        <v>0</v>
      </c>
      <c r="R29" s="69">
        <v>537.15</v>
      </c>
      <c r="S29" s="67">
        <v>0</v>
      </c>
      <c r="T29" s="89">
        <v>2516.85</v>
      </c>
      <c r="U29" s="519"/>
    </row>
    <row r="30" spans="1:21" s="6" customFormat="1" ht="18" customHeight="1" outlineLevel="2" x14ac:dyDescent="0.2">
      <c r="A30" s="323" t="s">
        <v>745</v>
      </c>
      <c r="B30" s="22" t="s">
        <v>460</v>
      </c>
      <c r="C30" s="22" t="s">
        <v>459</v>
      </c>
      <c r="D30" s="139" t="s">
        <v>7</v>
      </c>
      <c r="E30" s="146">
        <v>0</v>
      </c>
      <c r="F30" s="69">
        <v>0</v>
      </c>
      <c r="G30" s="69">
        <v>0</v>
      </c>
      <c r="H30" s="67">
        <v>0</v>
      </c>
      <c r="I30" s="89">
        <v>0</v>
      </c>
      <c r="J30" s="330"/>
      <c r="K30" s="68"/>
      <c r="L30" s="68"/>
      <c r="M30" s="58"/>
      <c r="N30" s="164"/>
      <c r="O30" s="145"/>
      <c r="P30" s="66"/>
      <c r="Q30" s="66"/>
      <c r="R30" s="66"/>
      <c r="S30" s="67"/>
      <c r="T30" s="90"/>
      <c r="U30" s="519"/>
    </row>
    <row r="31" spans="1:21" s="6" customFormat="1" ht="18" customHeight="1" outlineLevel="2" x14ac:dyDescent="0.2">
      <c r="A31" s="323" t="s">
        <v>745</v>
      </c>
      <c r="B31" s="22" t="s">
        <v>461</v>
      </c>
      <c r="C31" s="22" t="s">
        <v>459</v>
      </c>
      <c r="D31" s="139" t="s">
        <v>313</v>
      </c>
      <c r="E31" s="146">
        <v>33316</v>
      </c>
      <c r="F31" s="69">
        <v>35236</v>
      </c>
      <c r="G31" s="69">
        <v>35952.86</v>
      </c>
      <c r="H31" s="67">
        <f t="shared" si="0"/>
        <v>1.079146956417337</v>
      </c>
      <c r="I31" s="89">
        <v>-716.86</v>
      </c>
      <c r="J31" s="331">
        <v>0</v>
      </c>
      <c r="K31" s="57">
        <v>0</v>
      </c>
      <c r="L31" s="57">
        <v>0</v>
      </c>
      <c r="M31" s="58"/>
      <c r="N31" s="165">
        <v>0</v>
      </c>
      <c r="O31" s="145"/>
      <c r="P31" s="66"/>
      <c r="Q31" s="66"/>
      <c r="R31" s="66"/>
      <c r="S31" s="67"/>
      <c r="T31" s="90"/>
      <c r="U31" s="519"/>
    </row>
    <row r="32" spans="1:21" s="6" customFormat="1" ht="18" customHeight="1" outlineLevel="2" x14ac:dyDescent="0.2">
      <c r="A32" s="323" t="s">
        <v>745</v>
      </c>
      <c r="B32" s="22" t="s">
        <v>462</v>
      </c>
      <c r="C32" s="22" t="s">
        <v>459</v>
      </c>
      <c r="D32" s="139" t="s">
        <v>17</v>
      </c>
      <c r="E32" s="146">
        <v>2410</v>
      </c>
      <c r="F32" s="69">
        <v>1700</v>
      </c>
      <c r="G32" s="69">
        <v>1640.18</v>
      </c>
      <c r="H32" s="67">
        <f t="shared" si="0"/>
        <v>0.68057261410788383</v>
      </c>
      <c r="I32" s="89">
        <v>59.82</v>
      </c>
      <c r="J32" s="331">
        <v>2500</v>
      </c>
      <c r="K32" s="57">
        <v>2852</v>
      </c>
      <c r="L32" s="57">
        <v>2850.47</v>
      </c>
      <c r="M32" s="58">
        <f t="shared" si="1"/>
        <v>1.140188</v>
      </c>
      <c r="N32" s="165">
        <f>2852-2850.47</f>
        <v>1.5300000000002001</v>
      </c>
      <c r="O32" s="146">
        <v>2500</v>
      </c>
      <c r="P32" s="69">
        <v>0</v>
      </c>
      <c r="Q32" s="69">
        <v>0</v>
      </c>
      <c r="R32" s="69">
        <v>0</v>
      </c>
      <c r="S32" s="67">
        <f t="shared" si="2"/>
        <v>0</v>
      </c>
      <c r="T32" s="89">
        <v>0</v>
      </c>
      <c r="U32" s="519"/>
    </row>
    <row r="33" spans="1:21" s="6" customFormat="1" ht="18" customHeight="1" outlineLevel="2" x14ac:dyDescent="0.2">
      <c r="A33" s="323" t="s">
        <v>745</v>
      </c>
      <c r="B33" s="22" t="s">
        <v>463</v>
      </c>
      <c r="C33" s="22" t="s">
        <v>459</v>
      </c>
      <c r="D33" s="139" t="s">
        <v>246</v>
      </c>
      <c r="E33" s="146">
        <v>5150</v>
      </c>
      <c r="F33" s="69">
        <v>5150</v>
      </c>
      <c r="G33" s="69">
        <v>5128.68</v>
      </c>
      <c r="H33" s="67">
        <f t="shared" si="0"/>
        <v>0.99586019417475735</v>
      </c>
      <c r="I33" s="89">
        <v>21.32</v>
      </c>
      <c r="J33" s="331">
        <v>5200</v>
      </c>
      <c r="K33" s="57">
        <v>0</v>
      </c>
      <c r="L33" s="57">
        <v>0</v>
      </c>
      <c r="M33" s="58">
        <f t="shared" si="1"/>
        <v>0</v>
      </c>
      <c r="N33" s="165">
        <v>0</v>
      </c>
      <c r="O33" s="146">
        <v>5200</v>
      </c>
      <c r="P33" s="69">
        <v>5200</v>
      </c>
      <c r="Q33" s="69">
        <v>2962.92</v>
      </c>
      <c r="R33" s="69">
        <v>0</v>
      </c>
      <c r="S33" s="67">
        <f t="shared" si="2"/>
        <v>0.56979230769230771</v>
      </c>
      <c r="T33" s="89">
        <v>2237.08</v>
      </c>
      <c r="U33" s="519"/>
    </row>
    <row r="34" spans="1:21" s="6" customFormat="1" ht="18" customHeight="1" outlineLevel="2" x14ac:dyDescent="0.2">
      <c r="A34" s="323" t="s">
        <v>745</v>
      </c>
      <c r="B34" s="22" t="s">
        <v>464</v>
      </c>
      <c r="C34" s="22" t="s">
        <v>459</v>
      </c>
      <c r="D34" s="139" t="s">
        <v>334</v>
      </c>
      <c r="E34" s="146">
        <v>300</v>
      </c>
      <c r="F34" s="69">
        <v>0</v>
      </c>
      <c r="G34" s="69">
        <v>0</v>
      </c>
      <c r="H34" s="67">
        <f t="shared" si="0"/>
        <v>0</v>
      </c>
      <c r="I34" s="89">
        <v>0</v>
      </c>
      <c r="J34" s="331">
        <v>300</v>
      </c>
      <c r="K34" s="57">
        <v>222</v>
      </c>
      <c r="L34" s="57">
        <v>0</v>
      </c>
      <c r="M34" s="58">
        <f t="shared" si="1"/>
        <v>0</v>
      </c>
      <c r="N34" s="165">
        <v>222</v>
      </c>
      <c r="O34" s="146">
        <v>300</v>
      </c>
      <c r="P34" s="69">
        <v>0</v>
      </c>
      <c r="Q34" s="69">
        <v>0</v>
      </c>
      <c r="R34" s="69">
        <v>0</v>
      </c>
      <c r="S34" s="67">
        <f t="shared" si="2"/>
        <v>0</v>
      </c>
      <c r="T34" s="89">
        <v>0</v>
      </c>
      <c r="U34" s="519"/>
    </row>
    <row r="35" spans="1:21" s="6" customFormat="1" ht="18" customHeight="1" outlineLevel="2" x14ac:dyDescent="0.2">
      <c r="A35" s="323" t="s">
        <v>745</v>
      </c>
      <c r="B35" s="22" t="s">
        <v>465</v>
      </c>
      <c r="C35" s="22" t="s">
        <v>459</v>
      </c>
      <c r="D35" s="139" t="s">
        <v>37</v>
      </c>
      <c r="E35" s="146">
        <v>34</v>
      </c>
      <c r="F35" s="69">
        <v>50</v>
      </c>
      <c r="G35" s="69">
        <v>50</v>
      </c>
      <c r="H35" s="67">
        <f t="shared" si="0"/>
        <v>1.4705882352941178</v>
      </c>
      <c r="I35" s="89">
        <v>0</v>
      </c>
      <c r="J35" s="331">
        <v>385</v>
      </c>
      <c r="K35" s="57">
        <v>385</v>
      </c>
      <c r="L35" s="57">
        <v>0</v>
      </c>
      <c r="M35" s="58">
        <f t="shared" si="1"/>
        <v>0</v>
      </c>
      <c r="N35" s="165">
        <v>385</v>
      </c>
      <c r="O35" s="146">
        <v>385</v>
      </c>
      <c r="P35" s="69">
        <v>385</v>
      </c>
      <c r="Q35" s="69">
        <v>35</v>
      </c>
      <c r="R35" s="69">
        <v>0</v>
      </c>
      <c r="S35" s="67">
        <f t="shared" si="2"/>
        <v>9.0909090909090912E-2</v>
      </c>
      <c r="T35" s="89">
        <v>350</v>
      </c>
      <c r="U35" s="519"/>
    </row>
    <row r="36" spans="1:21" s="6" customFormat="1" ht="18" customHeight="1" outlineLevel="2" x14ac:dyDescent="0.2">
      <c r="A36" s="323" t="s">
        <v>745</v>
      </c>
      <c r="B36" s="22" t="s">
        <v>466</v>
      </c>
      <c r="C36" s="22" t="s">
        <v>459</v>
      </c>
      <c r="D36" s="139" t="s">
        <v>467</v>
      </c>
      <c r="E36" s="146">
        <v>350</v>
      </c>
      <c r="F36" s="69">
        <v>350</v>
      </c>
      <c r="G36" s="69">
        <v>0</v>
      </c>
      <c r="H36" s="67">
        <f t="shared" si="0"/>
        <v>0</v>
      </c>
      <c r="I36" s="89">
        <v>350</v>
      </c>
      <c r="J36" s="330"/>
      <c r="K36" s="68"/>
      <c r="L36" s="68"/>
      <c r="M36" s="58"/>
      <c r="N36" s="164"/>
      <c r="O36" s="145"/>
      <c r="P36" s="66"/>
      <c r="Q36" s="66"/>
      <c r="R36" s="66"/>
      <c r="S36" s="67"/>
      <c r="T36" s="90"/>
      <c r="U36" s="519"/>
    </row>
    <row r="37" spans="1:21" s="6" customFormat="1" ht="18" customHeight="1" outlineLevel="2" x14ac:dyDescent="0.2">
      <c r="A37" s="323" t="s">
        <v>745</v>
      </c>
      <c r="B37" s="22" t="s">
        <v>468</v>
      </c>
      <c r="C37" s="22" t="s">
        <v>469</v>
      </c>
      <c r="D37" s="139" t="s">
        <v>19</v>
      </c>
      <c r="E37" s="145"/>
      <c r="F37" s="66"/>
      <c r="G37" s="66"/>
      <c r="H37" s="67">
        <v>0</v>
      </c>
      <c r="I37" s="90"/>
      <c r="J37" s="331">
        <v>0</v>
      </c>
      <c r="K37" s="57">
        <v>0</v>
      </c>
      <c r="L37" s="57">
        <v>0</v>
      </c>
      <c r="M37" s="58"/>
      <c r="N37" s="165">
        <v>0</v>
      </c>
      <c r="O37" s="145"/>
      <c r="P37" s="66"/>
      <c r="Q37" s="66"/>
      <c r="R37" s="66"/>
      <c r="S37" s="67"/>
      <c r="T37" s="90"/>
      <c r="U37" s="519"/>
    </row>
    <row r="38" spans="1:21" s="6" customFormat="1" ht="18" customHeight="1" outlineLevel="2" x14ac:dyDescent="0.2">
      <c r="A38" s="323" t="s">
        <v>745</v>
      </c>
      <c r="B38" s="22" t="s">
        <v>472</v>
      </c>
      <c r="C38" s="22" t="s">
        <v>471</v>
      </c>
      <c r="D38" s="139" t="s">
        <v>313</v>
      </c>
      <c r="E38" s="146">
        <v>1000</v>
      </c>
      <c r="F38" s="69">
        <v>1000</v>
      </c>
      <c r="G38" s="69">
        <v>962.85</v>
      </c>
      <c r="H38" s="67">
        <f t="shared" si="0"/>
        <v>0.96284999999999998</v>
      </c>
      <c r="I38" s="89">
        <v>37.15</v>
      </c>
      <c r="J38" s="331">
        <v>1000</v>
      </c>
      <c r="K38" s="57">
        <v>1500</v>
      </c>
      <c r="L38" s="57">
        <v>1318.15</v>
      </c>
      <c r="M38" s="58">
        <f t="shared" si="1"/>
        <v>1.3181500000000002</v>
      </c>
      <c r="N38" s="165">
        <v>181.85</v>
      </c>
      <c r="O38" s="146">
        <v>1000</v>
      </c>
      <c r="P38" s="69">
        <v>4360</v>
      </c>
      <c r="Q38" s="69">
        <v>1245.6300000000001</v>
      </c>
      <c r="R38" s="69">
        <v>0</v>
      </c>
      <c r="S38" s="67">
        <f t="shared" si="2"/>
        <v>1.24563</v>
      </c>
      <c r="T38" s="89">
        <v>3114.37</v>
      </c>
      <c r="U38" s="519"/>
    </row>
    <row r="39" spans="1:21" s="6" customFormat="1" ht="18" customHeight="1" outlineLevel="2" x14ac:dyDescent="0.2">
      <c r="A39" s="323" t="s">
        <v>745</v>
      </c>
      <c r="B39" s="22" t="s">
        <v>473</v>
      </c>
      <c r="C39" s="22" t="s">
        <v>471</v>
      </c>
      <c r="D39" s="139" t="s">
        <v>474</v>
      </c>
      <c r="E39" s="145"/>
      <c r="F39" s="66"/>
      <c r="G39" s="66"/>
      <c r="H39" s="67">
        <v>0</v>
      </c>
      <c r="I39" s="90"/>
      <c r="J39" s="330"/>
      <c r="K39" s="68"/>
      <c r="L39" s="68"/>
      <c r="M39" s="58"/>
      <c r="N39" s="164"/>
      <c r="O39" s="146">
        <v>0</v>
      </c>
      <c r="P39" s="69">
        <v>7104</v>
      </c>
      <c r="Q39" s="69">
        <v>10568.89</v>
      </c>
      <c r="R39" s="69">
        <v>0</v>
      </c>
      <c r="S39" s="67">
        <v>0</v>
      </c>
      <c r="T39" s="89">
        <v>-3464.89</v>
      </c>
      <c r="U39" s="519"/>
    </row>
    <row r="40" spans="1:21" s="6" customFormat="1" ht="18" customHeight="1" outlineLevel="2" x14ac:dyDescent="0.2">
      <c r="A40" s="323" t="s">
        <v>745</v>
      </c>
      <c r="B40" s="22" t="s">
        <v>475</v>
      </c>
      <c r="C40" s="22" t="s">
        <v>471</v>
      </c>
      <c r="D40" s="139" t="s">
        <v>17</v>
      </c>
      <c r="E40" s="146">
        <v>26000</v>
      </c>
      <c r="F40" s="69">
        <v>26312</v>
      </c>
      <c r="G40" s="69">
        <v>25955.040000000001</v>
      </c>
      <c r="H40" s="67">
        <f t="shared" ref="H40:H52" si="3">+G40/E40</f>
        <v>0.99827076923076929</v>
      </c>
      <c r="I40" s="89">
        <v>356.96</v>
      </c>
      <c r="J40" s="331">
        <v>25000</v>
      </c>
      <c r="K40" s="57">
        <v>25016</v>
      </c>
      <c r="L40" s="57">
        <f>23606.64+380.24</f>
        <v>23986.880000000001</v>
      </c>
      <c r="M40" s="58">
        <f t="shared" ref="M40:M52" si="4">+L40/J40</f>
        <v>0.95947520000000008</v>
      </c>
      <c r="N40" s="165">
        <f>25016-380.24-23606.64</f>
        <v>1029.119999999999</v>
      </c>
      <c r="O40" s="146">
        <v>25000</v>
      </c>
      <c r="P40" s="69">
        <v>1000</v>
      </c>
      <c r="Q40" s="69">
        <v>56.19</v>
      </c>
      <c r="R40" s="69">
        <v>7680.51</v>
      </c>
      <c r="S40" s="67">
        <f t="shared" ref="S40:S52" si="5">+Q40/O40</f>
        <v>2.2475999999999998E-3</v>
      </c>
      <c r="T40" s="89">
        <v>-6736.7</v>
      </c>
      <c r="U40" s="519"/>
    </row>
    <row r="41" spans="1:21" s="6" customFormat="1" ht="18" customHeight="1" outlineLevel="2" x14ac:dyDescent="0.2">
      <c r="A41" s="323" t="s">
        <v>745</v>
      </c>
      <c r="B41" s="22" t="s">
        <v>476</v>
      </c>
      <c r="C41" s="22" t="s">
        <v>471</v>
      </c>
      <c r="D41" s="139" t="s">
        <v>246</v>
      </c>
      <c r="E41" s="146">
        <v>1500</v>
      </c>
      <c r="F41" s="69">
        <v>1500</v>
      </c>
      <c r="G41" s="69">
        <v>1399.32</v>
      </c>
      <c r="H41" s="67">
        <f t="shared" si="3"/>
        <v>0.93287999999999993</v>
      </c>
      <c r="I41" s="89">
        <v>100.68</v>
      </c>
      <c r="J41" s="331">
        <v>2500</v>
      </c>
      <c r="K41" s="57">
        <v>0</v>
      </c>
      <c r="L41" s="57">
        <v>0</v>
      </c>
      <c r="M41" s="58">
        <f t="shared" si="4"/>
        <v>0</v>
      </c>
      <c r="N41" s="165">
        <v>0</v>
      </c>
      <c r="O41" s="146">
        <v>2500</v>
      </c>
      <c r="P41" s="69">
        <v>2500</v>
      </c>
      <c r="Q41" s="69">
        <v>1261.44</v>
      </c>
      <c r="R41" s="69">
        <v>0</v>
      </c>
      <c r="S41" s="67">
        <f t="shared" si="5"/>
        <v>0.50457600000000002</v>
      </c>
      <c r="T41" s="89">
        <v>1238.56</v>
      </c>
      <c r="U41" s="519"/>
    </row>
    <row r="42" spans="1:21" s="6" customFormat="1" ht="18" customHeight="1" outlineLevel="2" x14ac:dyDescent="0.2">
      <c r="A42" s="323" t="s">
        <v>745</v>
      </c>
      <c r="B42" s="22" t="s">
        <v>477</v>
      </c>
      <c r="C42" s="22" t="s">
        <v>471</v>
      </c>
      <c r="D42" s="139" t="s">
        <v>23</v>
      </c>
      <c r="E42" s="146">
        <v>0</v>
      </c>
      <c r="F42" s="69">
        <v>42</v>
      </c>
      <c r="G42" s="69">
        <v>41.76</v>
      </c>
      <c r="H42" s="67">
        <v>0</v>
      </c>
      <c r="I42" s="89">
        <v>0.24</v>
      </c>
      <c r="J42" s="330"/>
      <c r="K42" s="68"/>
      <c r="L42" s="68"/>
      <c r="M42" s="58"/>
      <c r="N42" s="164"/>
      <c r="O42" s="145"/>
      <c r="P42" s="66"/>
      <c r="Q42" s="66"/>
      <c r="R42" s="66"/>
      <c r="S42" s="67"/>
      <c r="T42" s="90"/>
      <c r="U42" s="519"/>
    </row>
    <row r="43" spans="1:21" s="6" customFormat="1" ht="18" customHeight="1" outlineLevel="2" x14ac:dyDescent="0.2">
      <c r="A43" s="323" t="s">
        <v>745</v>
      </c>
      <c r="B43" s="22" t="s">
        <v>479</v>
      </c>
      <c r="C43" s="22" t="s">
        <v>478</v>
      </c>
      <c r="D43" s="139" t="s">
        <v>313</v>
      </c>
      <c r="E43" s="146">
        <v>4165</v>
      </c>
      <c r="F43" s="69">
        <v>1151</v>
      </c>
      <c r="G43" s="69">
        <v>1150.25</v>
      </c>
      <c r="H43" s="67">
        <f t="shared" si="3"/>
        <v>0.27617046818727492</v>
      </c>
      <c r="I43" s="89">
        <v>0.75</v>
      </c>
      <c r="J43" s="331">
        <v>6250</v>
      </c>
      <c r="K43" s="57">
        <v>2419</v>
      </c>
      <c r="L43" s="57">
        <v>2419</v>
      </c>
      <c r="M43" s="58">
        <f t="shared" si="4"/>
        <v>0.38704</v>
      </c>
      <c r="N43" s="165">
        <v>0</v>
      </c>
      <c r="O43" s="146">
        <v>6250</v>
      </c>
      <c r="P43" s="69">
        <v>3000</v>
      </c>
      <c r="Q43" s="69">
        <v>645</v>
      </c>
      <c r="R43" s="69">
        <v>0</v>
      </c>
      <c r="S43" s="67">
        <f t="shared" si="5"/>
        <v>0.1032</v>
      </c>
      <c r="T43" s="89">
        <v>2355</v>
      </c>
      <c r="U43" s="519"/>
    </row>
    <row r="44" spans="1:21" s="6" customFormat="1" ht="18" customHeight="1" outlineLevel="2" x14ac:dyDescent="0.2">
      <c r="A44" s="323" t="s">
        <v>745</v>
      </c>
      <c r="B44" s="22" t="s">
        <v>480</v>
      </c>
      <c r="C44" s="22" t="s">
        <v>478</v>
      </c>
      <c r="D44" s="139" t="s">
        <v>17</v>
      </c>
      <c r="E44" s="146">
        <v>22146</v>
      </c>
      <c r="F44" s="69">
        <v>24882</v>
      </c>
      <c r="G44" s="69">
        <v>24882</v>
      </c>
      <c r="H44" s="67">
        <f t="shared" si="3"/>
        <v>1.1235437550799241</v>
      </c>
      <c r="I44" s="89">
        <v>0</v>
      </c>
      <c r="J44" s="331">
        <v>19275</v>
      </c>
      <c r="K44" s="57">
        <v>15306</v>
      </c>
      <c r="L44" s="57">
        <f>419.78+140.11+14586.87</f>
        <v>15146.76</v>
      </c>
      <c r="M44" s="58">
        <f t="shared" si="4"/>
        <v>0.78582412451361872</v>
      </c>
      <c r="N44" s="165">
        <f>419.78+15165.89-14586.87</f>
        <v>998.79999999999927</v>
      </c>
      <c r="O44" s="146">
        <v>19275</v>
      </c>
      <c r="P44" s="69">
        <v>0</v>
      </c>
      <c r="Q44" s="69">
        <v>0</v>
      </c>
      <c r="R44" s="69">
        <v>8758.58</v>
      </c>
      <c r="S44" s="67">
        <f t="shared" si="5"/>
        <v>0</v>
      </c>
      <c r="T44" s="89">
        <v>-8758.58</v>
      </c>
      <c r="U44" s="519"/>
    </row>
    <row r="45" spans="1:21" s="6" customFormat="1" ht="18" customHeight="1" outlineLevel="2" x14ac:dyDescent="0.2">
      <c r="A45" s="323" t="s">
        <v>745</v>
      </c>
      <c r="B45" s="22" t="s">
        <v>481</v>
      </c>
      <c r="C45" s="22" t="s">
        <v>478</v>
      </c>
      <c r="D45" s="139" t="s">
        <v>246</v>
      </c>
      <c r="E45" s="146">
        <v>750</v>
      </c>
      <c r="F45" s="69">
        <v>876</v>
      </c>
      <c r="G45" s="69">
        <v>875.08</v>
      </c>
      <c r="H45" s="67">
        <f t="shared" si="3"/>
        <v>1.1667733333333334</v>
      </c>
      <c r="I45" s="89">
        <v>0.92</v>
      </c>
      <c r="J45" s="331">
        <v>2000</v>
      </c>
      <c r="K45" s="57">
        <v>0</v>
      </c>
      <c r="L45" s="57">
        <v>0</v>
      </c>
      <c r="M45" s="58">
        <f t="shared" si="4"/>
        <v>0</v>
      </c>
      <c r="N45" s="165">
        <v>0</v>
      </c>
      <c r="O45" s="146">
        <v>2000</v>
      </c>
      <c r="P45" s="69">
        <v>2000</v>
      </c>
      <c r="Q45" s="69">
        <v>825.2</v>
      </c>
      <c r="R45" s="69">
        <v>0</v>
      </c>
      <c r="S45" s="67">
        <f t="shared" si="5"/>
        <v>0.41260000000000002</v>
      </c>
      <c r="T45" s="89">
        <v>1174.8</v>
      </c>
      <c r="U45" s="519"/>
    </row>
    <row r="46" spans="1:21" s="6" customFormat="1" ht="18" customHeight="1" outlineLevel="2" x14ac:dyDescent="0.2">
      <c r="A46" s="323" t="s">
        <v>745</v>
      </c>
      <c r="B46" s="22" t="s">
        <v>482</v>
      </c>
      <c r="C46" s="22" t="s">
        <v>478</v>
      </c>
      <c r="D46" s="139" t="s">
        <v>51</v>
      </c>
      <c r="E46" s="145"/>
      <c r="F46" s="66"/>
      <c r="G46" s="66"/>
      <c r="H46" s="67">
        <v>0</v>
      </c>
      <c r="I46" s="90"/>
      <c r="J46" s="331">
        <v>0</v>
      </c>
      <c r="K46" s="57">
        <v>4769</v>
      </c>
      <c r="L46" s="57">
        <v>4768.3</v>
      </c>
      <c r="M46" s="58">
        <v>0</v>
      </c>
      <c r="N46" s="165">
        <f>4769-4768.3</f>
        <v>0.6999999999998181</v>
      </c>
      <c r="O46" s="145"/>
      <c r="P46" s="66"/>
      <c r="Q46" s="66"/>
      <c r="R46" s="66"/>
      <c r="S46" s="67"/>
      <c r="T46" s="90"/>
      <c r="U46" s="519"/>
    </row>
    <row r="47" spans="1:21" s="6" customFormat="1" ht="18" customHeight="1" outlineLevel="2" x14ac:dyDescent="0.2">
      <c r="A47" s="323" t="s">
        <v>745</v>
      </c>
      <c r="B47" s="22" t="s">
        <v>484</v>
      </c>
      <c r="C47" s="22" t="s">
        <v>483</v>
      </c>
      <c r="D47" s="139" t="s">
        <v>313</v>
      </c>
      <c r="E47" s="146">
        <v>0</v>
      </c>
      <c r="F47" s="69">
        <v>0</v>
      </c>
      <c r="G47" s="69">
        <v>0</v>
      </c>
      <c r="H47" s="67">
        <v>0</v>
      </c>
      <c r="I47" s="89">
        <v>0</v>
      </c>
      <c r="J47" s="330"/>
      <c r="K47" s="68"/>
      <c r="L47" s="68"/>
      <c r="M47" s="58"/>
      <c r="N47" s="164"/>
      <c r="O47" s="145"/>
      <c r="P47" s="66"/>
      <c r="Q47" s="66"/>
      <c r="R47" s="66"/>
      <c r="S47" s="67"/>
      <c r="T47" s="90"/>
      <c r="U47" s="519"/>
    </row>
    <row r="48" spans="1:21" s="6" customFormat="1" ht="18" customHeight="1" outlineLevel="2" x14ac:dyDescent="0.2">
      <c r="A48" s="323" t="s">
        <v>745</v>
      </c>
      <c r="B48" s="22" t="s">
        <v>485</v>
      </c>
      <c r="C48" s="22" t="s">
        <v>483</v>
      </c>
      <c r="D48" s="139" t="s">
        <v>17</v>
      </c>
      <c r="E48" s="146">
        <v>7000</v>
      </c>
      <c r="F48" s="69">
        <v>7094</v>
      </c>
      <c r="G48" s="69">
        <v>7093.92</v>
      </c>
      <c r="H48" s="67">
        <f t="shared" si="3"/>
        <v>1.0134171428571428</v>
      </c>
      <c r="I48" s="89">
        <v>0.08</v>
      </c>
      <c r="J48" s="331">
        <v>7000</v>
      </c>
      <c r="K48" s="57">
        <v>7000</v>
      </c>
      <c r="L48" s="57">
        <v>6023.93</v>
      </c>
      <c r="M48" s="58">
        <f t="shared" si="4"/>
        <v>0.86056142857142859</v>
      </c>
      <c r="N48" s="165">
        <f>7000-6023.93</f>
        <v>976.06999999999971</v>
      </c>
      <c r="O48" s="146">
        <v>7000</v>
      </c>
      <c r="P48" s="69">
        <v>0</v>
      </c>
      <c r="Q48" s="69">
        <v>0</v>
      </c>
      <c r="R48" s="69">
        <v>0</v>
      </c>
      <c r="S48" s="67">
        <f t="shared" si="5"/>
        <v>0</v>
      </c>
      <c r="T48" s="89">
        <v>0</v>
      </c>
      <c r="U48" s="519"/>
    </row>
    <row r="49" spans="1:21" s="6" customFormat="1" ht="18" customHeight="1" outlineLevel="2" x14ac:dyDescent="0.2">
      <c r="A49" s="323" t="s">
        <v>745</v>
      </c>
      <c r="B49" s="22" t="s">
        <v>486</v>
      </c>
      <c r="C49" s="22" t="s">
        <v>483</v>
      </c>
      <c r="D49" s="139" t="s">
        <v>246</v>
      </c>
      <c r="E49" s="146">
        <v>1580</v>
      </c>
      <c r="F49" s="69">
        <v>2471</v>
      </c>
      <c r="G49" s="69">
        <v>2469.44</v>
      </c>
      <c r="H49" s="67">
        <f t="shared" si="3"/>
        <v>1.5629367088607595</v>
      </c>
      <c r="I49" s="89">
        <v>1.56</v>
      </c>
      <c r="J49" s="331">
        <v>1620</v>
      </c>
      <c r="K49" s="57">
        <v>0</v>
      </c>
      <c r="L49" s="57">
        <v>0</v>
      </c>
      <c r="M49" s="58">
        <f t="shared" si="4"/>
        <v>0</v>
      </c>
      <c r="N49" s="165">
        <v>0</v>
      </c>
      <c r="O49" s="146">
        <v>1620</v>
      </c>
      <c r="P49" s="69">
        <v>1620</v>
      </c>
      <c r="Q49" s="69">
        <v>0</v>
      </c>
      <c r="R49" s="69">
        <v>0</v>
      </c>
      <c r="S49" s="67">
        <f t="shared" si="5"/>
        <v>0</v>
      </c>
      <c r="T49" s="89">
        <v>1620</v>
      </c>
      <c r="U49" s="519"/>
    </row>
    <row r="50" spans="1:21" s="6" customFormat="1" ht="18" customHeight="1" outlineLevel="2" x14ac:dyDescent="0.2">
      <c r="A50" s="323" t="s">
        <v>745</v>
      </c>
      <c r="B50" s="22" t="s">
        <v>488</v>
      </c>
      <c r="C50" s="22" t="s">
        <v>487</v>
      </c>
      <c r="D50" s="139" t="s">
        <v>17</v>
      </c>
      <c r="E50" s="146">
        <v>500</v>
      </c>
      <c r="F50" s="69">
        <v>500</v>
      </c>
      <c r="G50" s="69">
        <v>498.45</v>
      </c>
      <c r="H50" s="67">
        <f t="shared" si="3"/>
        <v>0.99690000000000001</v>
      </c>
      <c r="I50" s="89">
        <v>1.55</v>
      </c>
      <c r="J50" s="331">
        <v>500</v>
      </c>
      <c r="K50" s="57">
        <v>500</v>
      </c>
      <c r="L50" s="57">
        <v>979.13</v>
      </c>
      <c r="M50" s="58">
        <f t="shared" si="4"/>
        <v>1.9582599999999999</v>
      </c>
      <c r="N50" s="165">
        <f>500-979.13</f>
        <v>-479.13</v>
      </c>
      <c r="O50" s="146">
        <v>500</v>
      </c>
      <c r="P50" s="69">
        <v>0</v>
      </c>
      <c r="Q50" s="69">
        <v>0</v>
      </c>
      <c r="R50" s="69">
        <v>0</v>
      </c>
      <c r="S50" s="67">
        <f t="shared" si="5"/>
        <v>0</v>
      </c>
      <c r="T50" s="89">
        <v>0</v>
      </c>
      <c r="U50" s="519"/>
    </row>
    <row r="51" spans="1:21" s="6" customFormat="1" ht="18" customHeight="1" outlineLevel="2" thickBot="1" x14ac:dyDescent="0.25">
      <c r="A51" s="413" t="s">
        <v>745</v>
      </c>
      <c r="B51" s="399" t="s">
        <v>489</v>
      </c>
      <c r="C51" s="399" t="s">
        <v>487</v>
      </c>
      <c r="D51" s="422" t="s">
        <v>246</v>
      </c>
      <c r="E51" s="424">
        <v>600</v>
      </c>
      <c r="F51" s="414">
        <v>600</v>
      </c>
      <c r="G51" s="414">
        <v>151.63999999999999</v>
      </c>
      <c r="H51" s="415">
        <f t="shared" si="3"/>
        <v>0.25273333333333331</v>
      </c>
      <c r="I51" s="416">
        <v>448.36</v>
      </c>
      <c r="J51" s="409">
        <v>320</v>
      </c>
      <c r="K51" s="402">
        <v>0</v>
      </c>
      <c r="L51" s="402">
        <v>0</v>
      </c>
      <c r="M51" s="403">
        <f t="shared" si="4"/>
        <v>0</v>
      </c>
      <c r="N51" s="404">
        <v>0</v>
      </c>
      <c r="O51" s="424">
        <v>320</v>
      </c>
      <c r="P51" s="414">
        <v>320</v>
      </c>
      <c r="Q51" s="414">
        <v>280.12</v>
      </c>
      <c r="R51" s="414">
        <v>0</v>
      </c>
      <c r="S51" s="415">
        <f t="shared" si="5"/>
        <v>0.87537500000000001</v>
      </c>
      <c r="T51" s="416">
        <v>39.880000000000003</v>
      </c>
      <c r="U51" s="519"/>
    </row>
    <row r="52" spans="1:21" s="6" customFormat="1" ht="18" customHeight="1" outlineLevel="1" thickBot="1" x14ac:dyDescent="0.25">
      <c r="A52" s="417" t="s">
        <v>758</v>
      </c>
      <c r="B52" s="109"/>
      <c r="C52" s="109"/>
      <c r="D52" s="109"/>
      <c r="E52" s="425">
        <f>SUBTOTAL(9,E3:E51)</f>
        <v>138984</v>
      </c>
      <c r="F52" s="418">
        <f>SUBTOTAL(9,F3:F51)</f>
        <v>141427</v>
      </c>
      <c r="G52" s="418">
        <f>SUBTOTAL(9,G3:G51)</f>
        <v>138141.52000000005</v>
      </c>
      <c r="H52" s="419">
        <f t="shared" si="3"/>
        <v>0.99393829505554632</v>
      </c>
      <c r="I52" s="420">
        <f>SUBTOTAL(9,I3:I51)</f>
        <v>3285.48</v>
      </c>
      <c r="J52" s="425">
        <f>SUBTOTAL(9,J3:J51)</f>
        <v>124813</v>
      </c>
      <c r="K52" s="418">
        <f>SUBTOTAL(9,K3:K51)</f>
        <v>104067</v>
      </c>
      <c r="L52" s="418">
        <f>SUBTOTAL(9,L3:L51)</f>
        <v>99519.790000000008</v>
      </c>
      <c r="M52" s="419">
        <f t="shared" si="4"/>
        <v>0.79735115733136774</v>
      </c>
      <c r="N52" s="420">
        <f>SUBTOTAL(9,N3:N51)</f>
        <v>5386.7699999999977</v>
      </c>
      <c r="O52" s="426">
        <f>SUBTOTAL(9,O3:O51)</f>
        <v>124813</v>
      </c>
      <c r="P52" s="427">
        <f>SUBTOTAL(9,P3:P51)</f>
        <v>69627</v>
      </c>
      <c r="Q52" s="427">
        <f>SUBTOTAL(9,Q3:Q51)</f>
        <v>26408.85</v>
      </c>
      <c r="R52" s="427">
        <f>SUBTOTAL(9,R3:R51)</f>
        <v>22674.440000000002</v>
      </c>
      <c r="S52" s="428">
        <f t="shared" si="5"/>
        <v>0.21158733465264035</v>
      </c>
      <c r="T52" s="429">
        <f>SUBTOTAL(9,T3:T51)</f>
        <v>20543.710000000006</v>
      </c>
      <c r="U52" s="511"/>
    </row>
    <row r="53" spans="1:21" ht="18" customHeight="1" thickTop="1" thickBot="1" x14ac:dyDescent="0.25">
      <c r="A53" s="412"/>
      <c r="B53" s="91"/>
      <c r="C53" s="91"/>
      <c r="D53" s="91"/>
      <c r="E53" s="27"/>
      <c r="F53" s="91"/>
      <c r="G53" s="91"/>
      <c r="H53" s="91"/>
      <c r="I53" s="38"/>
      <c r="J53" s="27"/>
      <c r="K53" s="91"/>
      <c r="L53" s="91"/>
      <c r="M53" s="91"/>
      <c r="N53" s="38"/>
      <c r="O53" s="91"/>
      <c r="P53" s="91"/>
      <c r="Q53" s="91"/>
      <c r="R53" s="91"/>
      <c r="S53" s="91"/>
      <c r="T53" s="38"/>
      <c r="U53" s="516"/>
    </row>
  </sheetData>
  <mergeCells count="3">
    <mergeCell ref="E1:I1"/>
    <mergeCell ref="J1:N1"/>
    <mergeCell ref="O1:T1"/>
  </mergeCells>
  <printOptions horizontalCentered="1"/>
  <pageMargins left="0" right="0" top="0.75" bottom="0.75" header="0.3" footer="0.3"/>
  <pageSetup paperSize="5" scale="85" orientation="landscape" r:id="rId1"/>
  <headerFooter>
    <oddHeader>&amp;CMISSION COLLEGE
Fund 100 - Operating Budget vs Actual Spending for FY10/11, FY11/12 &amp; FY12/13</oddHeader>
    <oddFooter>&amp;ROffice of Administrative Services
&amp;Z&amp;F &amp;A   March 20, 2013 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topLeftCell="C1" workbookViewId="0">
      <selection activeCell="U1" sqref="U1:U13"/>
    </sheetView>
  </sheetViews>
  <sheetFormatPr defaultRowHeight="12.75" outlineLevelRow="2" x14ac:dyDescent="0.2"/>
  <cols>
    <col min="1" max="1" width="11.140625" style="19" customWidth="1"/>
    <col min="2" max="2" width="20.42578125" bestFit="1" customWidth="1"/>
    <col min="3" max="3" width="11.7109375" bestFit="1" customWidth="1"/>
    <col min="4" max="4" width="18.85546875" bestFit="1" customWidth="1"/>
    <col min="5" max="6" width="7.140625" bestFit="1" customWidth="1"/>
    <col min="7" max="7" width="7.5703125" bestFit="1" customWidth="1"/>
    <col min="8" max="8" width="6.7109375" bestFit="1" customWidth="1"/>
    <col min="9" max="9" width="6" bestFit="1" customWidth="1"/>
    <col min="10" max="11" width="7.140625" bestFit="1" customWidth="1"/>
    <col min="12" max="12" width="7.5703125" bestFit="1" customWidth="1"/>
    <col min="13" max="13" width="6.7109375" bestFit="1" customWidth="1"/>
    <col min="14" max="14" width="6" bestFit="1" customWidth="1"/>
    <col min="15" max="16" width="7.140625" bestFit="1" customWidth="1"/>
    <col min="17" max="17" width="7.5703125" bestFit="1" customWidth="1"/>
    <col min="18" max="18" width="6.85546875" customWidth="1"/>
    <col min="19" max="19" width="6.7109375" bestFit="1" customWidth="1"/>
    <col min="20" max="20" width="6" bestFit="1" customWidth="1"/>
    <col min="21" max="21" width="23" bestFit="1" customWidth="1"/>
  </cols>
  <sheetData>
    <row r="1" spans="1:21" ht="13.5" thickBot="1" x14ac:dyDescent="0.25">
      <c r="A1" s="94"/>
      <c r="B1" s="88"/>
      <c r="C1" s="88"/>
      <c r="D1" s="88"/>
      <c r="E1" s="649" t="s">
        <v>791</v>
      </c>
      <c r="F1" s="650"/>
      <c r="G1" s="650"/>
      <c r="H1" s="650"/>
      <c r="I1" s="651"/>
      <c r="J1" s="652" t="s">
        <v>790</v>
      </c>
      <c r="K1" s="653"/>
      <c r="L1" s="653"/>
      <c r="M1" s="653"/>
      <c r="N1" s="654"/>
      <c r="O1" s="649" t="s">
        <v>792</v>
      </c>
      <c r="P1" s="650"/>
      <c r="Q1" s="650"/>
      <c r="R1" s="650"/>
      <c r="S1" s="650"/>
      <c r="T1" s="651"/>
      <c r="U1" s="520" t="s">
        <v>825</v>
      </c>
    </row>
    <row r="2" spans="1:21" ht="45.75" thickBot="1" x14ac:dyDescent="0.25">
      <c r="A2" s="393"/>
      <c r="B2" s="394" t="s">
        <v>732</v>
      </c>
      <c r="C2" s="395" t="s">
        <v>735</v>
      </c>
      <c r="D2" s="396" t="s">
        <v>733</v>
      </c>
      <c r="E2" s="370" t="s">
        <v>0</v>
      </c>
      <c r="F2" s="362" t="s">
        <v>1</v>
      </c>
      <c r="G2" s="362" t="s">
        <v>772</v>
      </c>
      <c r="H2" s="362" t="s">
        <v>793</v>
      </c>
      <c r="I2" s="365" t="s">
        <v>3</v>
      </c>
      <c r="J2" s="370" t="s">
        <v>0</v>
      </c>
      <c r="K2" s="362" t="s">
        <v>1</v>
      </c>
      <c r="L2" s="362" t="s">
        <v>772</v>
      </c>
      <c r="M2" s="363" t="s">
        <v>793</v>
      </c>
      <c r="N2" s="365" t="s">
        <v>3</v>
      </c>
      <c r="O2" s="369" t="s">
        <v>0</v>
      </c>
      <c r="P2" s="362" t="s">
        <v>1</v>
      </c>
      <c r="Q2" s="362" t="s">
        <v>772</v>
      </c>
      <c r="R2" s="364" t="s">
        <v>2</v>
      </c>
      <c r="S2" s="363" t="s">
        <v>793</v>
      </c>
      <c r="T2" s="365" t="s">
        <v>3</v>
      </c>
      <c r="U2" s="521" t="s">
        <v>826</v>
      </c>
    </row>
    <row r="3" spans="1:21" s="6" customFormat="1" ht="18" customHeight="1" outlineLevel="2" x14ac:dyDescent="0.2">
      <c r="A3" s="132" t="s">
        <v>740</v>
      </c>
      <c r="B3" s="110" t="s">
        <v>111</v>
      </c>
      <c r="C3" s="110" t="s">
        <v>108</v>
      </c>
      <c r="D3" s="397" t="s">
        <v>58</v>
      </c>
      <c r="E3" s="373">
        <v>3836</v>
      </c>
      <c r="F3" s="357">
        <v>3836</v>
      </c>
      <c r="G3" s="357">
        <v>3835.64</v>
      </c>
      <c r="H3" s="126">
        <f t="shared" ref="H3:H15" si="0">+G3/E3</f>
        <v>0.99990615224191859</v>
      </c>
      <c r="I3" s="329">
        <v>0.36</v>
      </c>
      <c r="J3" s="391">
        <v>3836</v>
      </c>
      <c r="K3" s="392">
        <v>5136</v>
      </c>
      <c r="L3" s="392">
        <v>4002.98</v>
      </c>
      <c r="M3" s="178">
        <f t="shared" ref="M3:M15" si="1">+L3/J3</f>
        <v>1.0435297184567258</v>
      </c>
      <c r="N3" s="298">
        <v>1133.02</v>
      </c>
      <c r="O3" s="371">
        <v>3836</v>
      </c>
      <c r="P3" s="357">
        <v>3836</v>
      </c>
      <c r="Q3" s="357">
        <v>3000</v>
      </c>
      <c r="R3" s="357">
        <v>0</v>
      </c>
      <c r="S3" s="126">
        <f t="shared" ref="S3:S15" si="2">+Q3/O3</f>
        <v>0.78206465067778941</v>
      </c>
      <c r="T3" s="329">
        <v>836</v>
      </c>
      <c r="U3" s="522"/>
    </row>
    <row r="4" spans="1:21" s="6" customFormat="1" ht="18" customHeight="1" outlineLevel="2" x14ac:dyDescent="0.2">
      <c r="A4" s="135" t="s">
        <v>740</v>
      </c>
      <c r="B4" s="22" t="s">
        <v>109</v>
      </c>
      <c r="C4" s="22" t="s">
        <v>108</v>
      </c>
      <c r="D4" s="276" t="s">
        <v>83</v>
      </c>
      <c r="E4" s="332"/>
      <c r="F4" s="68"/>
      <c r="G4" s="68"/>
      <c r="H4" s="58"/>
      <c r="I4" s="164"/>
      <c r="J4" s="299">
        <v>0</v>
      </c>
      <c r="K4" s="47">
        <v>4860</v>
      </c>
      <c r="L4" s="47">
        <v>4859.97</v>
      </c>
      <c r="M4" s="48">
        <v>0</v>
      </c>
      <c r="N4" s="300">
        <v>0.03</v>
      </c>
      <c r="O4" s="330"/>
      <c r="P4" s="68"/>
      <c r="Q4" s="68"/>
      <c r="R4" s="68"/>
      <c r="S4" s="58"/>
      <c r="T4" s="164"/>
      <c r="U4" s="523"/>
    </row>
    <row r="5" spans="1:21" s="6" customFormat="1" ht="18" customHeight="1" outlineLevel="2" x14ac:dyDescent="0.2">
      <c r="A5" s="135" t="s">
        <v>740</v>
      </c>
      <c r="B5" s="22" t="s">
        <v>110</v>
      </c>
      <c r="C5" s="22" t="s">
        <v>108</v>
      </c>
      <c r="D5" s="276" t="s">
        <v>9</v>
      </c>
      <c r="E5" s="332"/>
      <c r="F5" s="68"/>
      <c r="G5" s="68"/>
      <c r="H5" s="58"/>
      <c r="I5" s="164"/>
      <c r="J5" s="299">
        <v>0</v>
      </c>
      <c r="K5" s="47">
        <v>666</v>
      </c>
      <c r="L5" s="47">
        <v>665.33</v>
      </c>
      <c r="M5" s="48">
        <v>0</v>
      </c>
      <c r="N5" s="300">
        <v>0.67</v>
      </c>
      <c r="O5" s="330"/>
      <c r="P5" s="68"/>
      <c r="Q5" s="68"/>
      <c r="R5" s="68"/>
      <c r="S5" s="58"/>
      <c r="T5" s="164"/>
      <c r="U5" s="523"/>
    </row>
    <row r="6" spans="1:21" s="6" customFormat="1" ht="18" customHeight="1" outlineLevel="2" x14ac:dyDescent="0.2">
      <c r="A6" s="135" t="s">
        <v>740</v>
      </c>
      <c r="B6" s="22" t="s">
        <v>112</v>
      </c>
      <c r="C6" s="22" t="s">
        <v>108</v>
      </c>
      <c r="D6" s="276" t="s">
        <v>19</v>
      </c>
      <c r="E6" s="333">
        <v>533</v>
      </c>
      <c r="F6" s="57">
        <v>533</v>
      </c>
      <c r="G6" s="57">
        <v>489.05</v>
      </c>
      <c r="H6" s="58">
        <f t="shared" si="0"/>
        <v>0.91754221388367729</v>
      </c>
      <c r="I6" s="165">
        <v>43.95</v>
      </c>
      <c r="J6" s="299">
        <v>400</v>
      </c>
      <c r="K6" s="47">
        <v>0</v>
      </c>
      <c r="L6" s="47">
        <v>0</v>
      </c>
      <c r="M6" s="48">
        <f t="shared" si="1"/>
        <v>0</v>
      </c>
      <c r="N6" s="300">
        <v>0</v>
      </c>
      <c r="O6" s="331">
        <v>400</v>
      </c>
      <c r="P6" s="57">
        <v>400</v>
      </c>
      <c r="Q6" s="57">
        <v>71.349999999999994</v>
      </c>
      <c r="R6" s="57">
        <v>228.65</v>
      </c>
      <c r="S6" s="58">
        <f t="shared" si="2"/>
        <v>0.17837499999999998</v>
      </c>
      <c r="T6" s="165">
        <v>100</v>
      </c>
      <c r="U6" s="523"/>
    </row>
    <row r="7" spans="1:21" s="6" customFormat="1" ht="18" customHeight="1" outlineLevel="2" x14ac:dyDescent="0.2">
      <c r="A7" s="135" t="s">
        <v>740</v>
      </c>
      <c r="B7" s="22" t="s">
        <v>113</v>
      </c>
      <c r="C7" s="22" t="s">
        <v>108</v>
      </c>
      <c r="D7" s="276" t="s">
        <v>23</v>
      </c>
      <c r="E7" s="333">
        <v>174</v>
      </c>
      <c r="F7" s="57">
        <v>232</v>
      </c>
      <c r="G7" s="57">
        <v>228.87</v>
      </c>
      <c r="H7" s="58">
        <f t="shared" si="0"/>
        <v>1.315344827586207</v>
      </c>
      <c r="I7" s="165">
        <v>3.13</v>
      </c>
      <c r="J7" s="299">
        <v>174</v>
      </c>
      <c r="K7" s="47">
        <v>74</v>
      </c>
      <c r="L7" s="47">
        <v>58.8</v>
      </c>
      <c r="M7" s="48">
        <f t="shared" si="1"/>
        <v>0.33793103448275863</v>
      </c>
      <c r="N7" s="300">
        <v>15.2</v>
      </c>
      <c r="O7" s="331">
        <v>74</v>
      </c>
      <c r="P7" s="57">
        <v>74</v>
      </c>
      <c r="Q7" s="57">
        <v>0</v>
      </c>
      <c r="R7" s="57">
        <v>0</v>
      </c>
      <c r="S7" s="58">
        <f t="shared" si="2"/>
        <v>0</v>
      </c>
      <c r="T7" s="165">
        <v>74</v>
      </c>
      <c r="U7" s="523"/>
    </row>
    <row r="8" spans="1:21" s="6" customFormat="1" ht="18" customHeight="1" outlineLevel="2" x14ac:dyDescent="0.2">
      <c r="A8" s="135" t="s">
        <v>740</v>
      </c>
      <c r="B8" s="22" t="s">
        <v>114</v>
      </c>
      <c r="C8" s="22" t="s">
        <v>108</v>
      </c>
      <c r="D8" s="276" t="s">
        <v>115</v>
      </c>
      <c r="E8" s="333">
        <v>959</v>
      </c>
      <c r="F8" s="57">
        <v>959</v>
      </c>
      <c r="G8" s="57">
        <v>959</v>
      </c>
      <c r="H8" s="58">
        <f t="shared" si="0"/>
        <v>1</v>
      </c>
      <c r="I8" s="165">
        <v>0</v>
      </c>
      <c r="J8" s="299">
        <v>1000</v>
      </c>
      <c r="K8" s="47">
        <v>111</v>
      </c>
      <c r="L8" s="47">
        <v>54.27</v>
      </c>
      <c r="M8" s="48">
        <f t="shared" si="1"/>
        <v>5.4270000000000006E-2</v>
      </c>
      <c r="N8" s="300">
        <v>56.73</v>
      </c>
      <c r="O8" s="331">
        <v>1000</v>
      </c>
      <c r="P8" s="57">
        <v>1000</v>
      </c>
      <c r="Q8" s="57">
        <v>150.28</v>
      </c>
      <c r="R8" s="57">
        <v>0</v>
      </c>
      <c r="S8" s="58">
        <f t="shared" si="2"/>
        <v>0.15028</v>
      </c>
      <c r="T8" s="165">
        <v>849.72</v>
      </c>
      <c r="U8" s="523"/>
    </row>
    <row r="9" spans="1:21" s="6" customFormat="1" ht="18" customHeight="1" outlineLevel="2" x14ac:dyDescent="0.2">
      <c r="A9" s="135" t="s">
        <v>740</v>
      </c>
      <c r="B9" s="22" t="s">
        <v>116</v>
      </c>
      <c r="C9" s="22" t="s">
        <v>108</v>
      </c>
      <c r="D9" s="276" t="s">
        <v>48</v>
      </c>
      <c r="E9" s="333">
        <v>72</v>
      </c>
      <c r="F9" s="57">
        <v>72</v>
      </c>
      <c r="G9" s="57">
        <v>0</v>
      </c>
      <c r="H9" s="58">
        <f t="shared" si="0"/>
        <v>0</v>
      </c>
      <c r="I9" s="165">
        <v>72</v>
      </c>
      <c r="J9" s="299">
        <v>50</v>
      </c>
      <c r="K9" s="47">
        <v>189</v>
      </c>
      <c r="L9" s="47">
        <v>122.1</v>
      </c>
      <c r="M9" s="48">
        <f t="shared" si="1"/>
        <v>2.4419999999999997</v>
      </c>
      <c r="N9" s="300">
        <v>66.900000000000006</v>
      </c>
      <c r="O9" s="331">
        <v>150</v>
      </c>
      <c r="P9" s="57">
        <v>150</v>
      </c>
      <c r="Q9" s="57">
        <v>132.09</v>
      </c>
      <c r="R9" s="57">
        <v>0</v>
      </c>
      <c r="S9" s="58">
        <f t="shared" si="2"/>
        <v>0.88060000000000005</v>
      </c>
      <c r="T9" s="165">
        <v>17.91</v>
      </c>
      <c r="U9" s="523"/>
    </row>
    <row r="10" spans="1:21" s="6" customFormat="1" ht="18" customHeight="1" outlineLevel="2" x14ac:dyDescent="0.2">
      <c r="A10" s="135" t="s">
        <v>740</v>
      </c>
      <c r="B10" s="22" t="s">
        <v>117</v>
      </c>
      <c r="C10" s="22" t="s">
        <v>108</v>
      </c>
      <c r="D10" s="276" t="s">
        <v>97</v>
      </c>
      <c r="E10" s="333">
        <v>214</v>
      </c>
      <c r="F10" s="57">
        <v>214</v>
      </c>
      <c r="G10" s="57">
        <v>116</v>
      </c>
      <c r="H10" s="58">
        <f t="shared" si="0"/>
        <v>0.54205607476635509</v>
      </c>
      <c r="I10" s="165">
        <v>98</v>
      </c>
      <c r="J10" s="299">
        <v>50</v>
      </c>
      <c r="K10" s="47">
        <v>0</v>
      </c>
      <c r="L10" s="47">
        <v>0</v>
      </c>
      <c r="M10" s="48">
        <f t="shared" si="1"/>
        <v>0</v>
      </c>
      <c r="N10" s="300">
        <v>0</v>
      </c>
      <c r="O10" s="331">
        <v>50</v>
      </c>
      <c r="P10" s="57">
        <v>50</v>
      </c>
      <c r="Q10" s="57">
        <v>0</v>
      </c>
      <c r="R10" s="57">
        <v>0</v>
      </c>
      <c r="S10" s="58">
        <f t="shared" si="2"/>
        <v>0</v>
      </c>
      <c r="T10" s="165">
        <v>50</v>
      </c>
      <c r="U10" s="523"/>
    </row>
    <row r="11" spans="1:21" s="6" customFormat="1" ht="18" customHeight="1" outlineLevel="2" x14ac:dyDescent="0.2">
      <c r="A11" s="135" t="s">
        <v>740</v>
      </c>
      <c r="B11" s="22" t="s">
        <v>118</v>
      </c>
      <c r="C11" s="22" t="s">
        <v>108</v>
      </c>
      <c r="D11" s="276" t="s">
        <v>37</v>
      </c>
      <c r="E11" s="333">
        <v>1290</v>
      </c>
      <c r="F11" s="57">
        <v>1290</v>
      </c>
      <c r="G11" s="57">
        <v>1290</v>
      </c>
      <c r="H11" s="58">
        <f t="shared" si="0"/>
        <v>1</v>
      </c>
      <c r="I11" s="165">
        <v>0</v>
      </c>
      <c r="J11" s="299">
        <v>1568</v>
      </c>
      <c r="K11" s="47">
        <v>1568</v>
      </c>
      <c r="L11" s="47">
        <v>1568</v>
      </c>
      <c r="M11" s="48">
        <f t="shared" si="1"/>
        <v>1</v>
      </c>
      <c r="N11" s="300">
        <v>0</v>
      </c>
      <c r="O11" s="331">
        <v>1568</v>
      </c>
      <c r="P11" s="57">
        <v>1568</v>
      </c>
      <c r="Q11" s="57">
        <v>1568</v>
      </c>
      <c r="R11" s="57">
        <v>0</v>
      </c>
      <c r="S11" s="58">
        <f t="shared" si="2"/>
        <v>1</v>
      </c>
      <c r="T11" s="165">
        <v>0</v>
      </c>
      <c r="U11" s="523"/>
    </row>
    <row r="12" spans="1:21" s="6" customFormat="1" ht="18" customHeight="1" outlineLevel="2" x14ac:dyDescent="0.2">
      <c r="A12" s="135" t="s">
        <v>740</v>
      </c>
      <c r="B12" s="22" t="s">
        <v>132</v>
      </c>
      <c r="C12" s="22" t="s">
        <v>108</v>
      </c>
      <c r="D12" s="276" t="s">
        <v>19</v>
      </c>
      <c r="E12" s="333">
        <v>1000</v>
      </c>
      <c r="F12" s="57">
        <v>0</v>
      </c>
      <c r="G12" s="57">
        <v>0</v>
      </c>
      <c r="H12" s="58">
        <f t="shared" si="0"/>
        <v>0</v>
      </c>
      <c r="I12" s="165">
        <v>0</v>
      </c>
      <c r="J12" s="299">
        <v>1000</v>
      </c>
      <c r="K12" s="47">
        <v>414</v>
      </c>
      <c r="L12" s="47">
        <v>250</v>
      </c>
      <c r="M12" s="48">
        <f t="shared" si="1"/>
        <v>0.25</v>
      </c>
      <c r="N12" s="300">
        <v>164</v>
      </c>
      <c r="O12" s="331">
        <v>1000</v>
      </c>
      <c r="P12" s="57">
        <v>1000</v>
      </c>
      <c r="Q12" s="57">
        <v>163.62</v>
      </c>
      <c r="R12" s="57">
        <v>0</v>
      </c>
      <c r="S12" s="58">
        <f t="shared" si="2"/>
        <v>0.16362000000000002</v>
      </c>
      <c r="T12" s="165">
        <v>836.38</v>
      </c>
      <c r="U12" s="523"/>
    </row>
    <row r="13" spans="1:21" s="6" customFormat="1" ht="18" customHeight="1" outlineLevel="2" x14ac:dyDescent="0.2">
      <c r="A13" s="135" t="s">
        <v>740</v>
      </c>
      <c r="B13" s="22" t="s">
        <v>133</v>
      </c>
      <c r="C13" s="22" t="s">
        <v>108</v>
      </c>
      <c r="D13" s="276" t="s">
        <v>27</v>
      </c>
      <c r="E13" s="332"/>
      <c r="F13" s="68"/>
      <c r="G13" s="68"/>
      <c r="H13" s="58"/>
      <c r="I13" s="164"/>
      <c r="J13" s="299">
        <v>0</v>
      </c>
      <c r="K13" s="47">
        <v>748</v>
      </c>
      <c r="L13" s="47">
        <v>700</v>
      </c>
      <c r="M13" s="48">
        <v>0</v>
      </c>
      <c r="N13" s="300">
        <v>48</v>
      </c>
      <c r="O13" s="330"/>
      <c r="P13" s="68"/>
      <c r="Q13" s="68"/>
      <c r="R13" s="68"/>
      <c r="S13" s="58"/>
      <c r="T13" s="164"/>
      <c r="U13" s="523"/>
    </row>
    <row r="14" spans="1:21" s="6" customFormat="1" ht="18" customHeight="1" outlineLevel="2" thickBot="1" x14ac:dyDescent="0.25">
      <c r="A14" s="398" t="s">
        <v>740</v>
      </c>
      <c r="B14" s="399" t="s">
        <v>134</v>
      </c>
      <c r="C14" s="399" t="s">
        <v>108</v>
      </c>
      <c r="D14" s="400" t="s">
        <v>115</v>
      </c>
      <c r="E14" s="401">
        <v>3000</v>
      </c>
      <c r="F14" s="402">
        <v>4042</v>
      </c>
      <c r="G14" s="402">
        <v>3914.72</v>
      </c>
      <c r="H14" s="403">
        <f t="shared" si="0"/>
        <v>1.3049066666666667</v>
      </c>
      <c r="I14" s="404">
        <v>127.28</v>
      </c>
      <c r="J14" s="405">
        <v>3000</v>
      </c>
      <c r="K14" s="406">
        <v>2838</v>
      </c>
      <c r="L14" s="406">
        <v>2838</v>
      </c>
      <c r="M14" s="407">
        <f t="shared" si="1"/>
        <v>0.94599999999999995</v>
      </c>
      <c r="N14" s="408">
        <v>0</v>
      </c>
      <c r="O14" s="409">
        <v>3000</v>
      </c>
      <c r="P14" s="402">
        <v>3000</v>
      </c>
      <c r="Q14" s="402">
        <v>1067.25</v>
      </c>
      <c r="R14" s="402">
        <v>0</v>
      </c>
      <c r="S14" s="403">
        <f t="shared" si="2"/>
        <v>0.35575000000000001</v>
      </c>
      <c r="T14" s="404">
        <v>1932.75</v>
      </c>
      <c r="U14" s="523"/>
    </row>
    <row r="15" spans="1:21" s="6" customFormat="1" ht="18" customHeight="1" outlineLevel="1" thickBot="1" x14ac:dyDescent="0.25">
      <c r="A15" s="410" t="s">
        <v>759</v>
      </c>
      <c r="B15" s="109"/>
      <c r="C15" s="109"/>
      <c r="D15" s="109"/>
      <c r="E15" s="116">
        <f>SUBTOTAL(9,E3:E14)</f>
        <v>11078</v>
      </c>
      <c r="F15" s="116">
        <f>SUBTOTAL(9,F3:F14)</f>
        <v>11178</v>
      </c>
      <c r="G15" s="116">
        <f>SUBTOTAL(9,G3:G14)</f>
        <v>10833.279999999999</v>
      </c>
      <c r="H15" s="117">
        <f t="shared" si="0"/>
        <v>0.97790936992236854</v>
      </c>
      <c r="I15" s="118">
        <f>SUBTOTAL(9,I3:I14)</f>
        <v>344.72</v>
      </c>
      <c r="J15" s="116">
        <f>SUBTOTAL(9,J3:J14)</f>
        <v>11078</v>
      </c>
      <c r="K15" s="116">
        <f>SUBTOTAL(9,K3:K14)</f>
        <v>16604</v>
      </c>
      <c r="L15" s="116">
        <f>SUBTOTAL(9,L3:L14)</f>
        <v>15119.45</v>
      </c>
      <c r="M15" s="117">
        <f t="shared" si="1"/>
        <v>1.3648176566167178</v>
      </c>
      <c r="N15" s="118">
        <f>SUBTOTAL(9,N3:N14)</f>
        <v>1484.5500000000002</v>
      </c>
      <c r="O15" s="116">
        <f>SUBTOTAL(9,O3:O14)</f>
        <v>11078</v>
      </c>
      <c r="P15" s="116">
        <f>SUBTOTAL(9,P3:P14)</f>
        <v>11078</v>
      </c>
      <c r="Q15" s="116">
        <f>SUBTOTAL(9,Q3:Q14)</f>
        <v>6152.59</v>
      </c>
      <c r="R15" s="116">
        <f>SUBTOTAL(9,R3:R14)</f>
        <v>228.65</v>
      </c>
      <c r="S15" s="117">
        <f t="shared" si="2"/>
        <v>0.55538815670698682</v>
      </c>
      <c r="T15" s="119">
        <f>SUBTOTAL(9,T3:T14)</f>
        <v>4696.76</v>
      </c>
      <c r="U15" s="511"/>
    </row>
    <row r="16" spans="1:21" ht="14.25" thickTop="1" thickBot="1" x14ac:dyDescent="0.25">
      <c r="A16" s="100"/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38"/>
      <c r="U16" s="516"/>
    </row>
  </sheetData>
  <mergeCells count="3">
    <mergeCell ref="E1:I1"/>
    <mergeCell ref="J1:N1"/>
    <mergeCell ref="O1:T1"/>
  </mergeCells>
  <printOptions horizontalCentered="1" gridLines="1"/>
  <pageMargins left="0" right="0" top="1" bottom="0.75" header="0.3" footer="0.3"/>
  <pageSetup paperSize="5" scale="90" orientation="landscape" r:id="rId1"/>
  <headerFooter>
    <oddHeader>&amp;CMISSION COLLEGE
Fund 100 - Operating Budget vs Actual Spending for FY10/11, FY11/12 &amp; FY12/13</oddHeader>
    <oddFooter>&amp;ROffice of Administrative Services
&amp;Z&amp;F &amp;A   March 20, 2013 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topLeftCell="A20" workbookViewId="0">
      <selection activeCell="V35" sqref="V35"/>
    </sheetView>
  </sheetViews>
  <sheetFormatPr defaultRowHeight="12.75" outlineLevelRow="2" x14ac:dyDescent="0.2"/>
  <cols>
    <col min="1" max="1" width="14.85546875" style="19" customWidth="1"/>
    <col min="2" max="2" width="22.85546875" bestFit="1" customWidth="1"/>
    <col min="3" max="3" width="17.7109375" customWidth="1"/>
    <col min="4" max="4" width="20.42578125" customWidth="1"/>
    <col min="5" max="6" width="7.7109375" hidden="1" customWidth="1"/>
    <col min="7" max="7" width="7.5703125" hidden="1" customWidth="1"/>
    <col min="8" max="8" width="6.7109375" hidden="1" customWidth="1"/>
    <col min="9" max="9" width="7.5703125" hidden="1" customWidth="1"/>
    <col min="10" max="10" width="7.7109375" hidden="1" customWidth="1"/>
    <col min="11" max="11" width="9.42578125" hidden="1" customWidth="1"/>
    <col min="12" max="12" width="7.5703125" hidden="1" customWidth="1"/>
    <col min="13" max="13" width="6.7109375" hidden="1" customWidth="1"/>
    <col min="14" max="14" width="6" hidden="1" customWidth="1"/>
    <col min="15" max="16" width="7.7109375" bestFit="1" customWidth="1"/>
    <col min="17" max="17" width="7.5703125" bestFit="1" customWidth="1"/>
    <col min="18" max="18" width="6.7109375" bestFit="1" customWidth="1"/>
    <col min="19" max="19" width="8" bestFit="1" customWidth="1"/>
    <col min="20" max="20" width="23" bestFit="1" customWidth="1"/>
  </cols>
  <sheetData>
    <row r="1" spans="1:20" ht="13.5" thickBot="1" x14ac:dyDescent="0.25">
      <c r="A1" s="382"/>
      <c r="B1" s="383"/>
      <c r="C1" s="383"/>
      <c r="D1" s="384"/>
      <c r="E1" s="655" t="s">
        <v>791</v>
      </c>
      <c r="F1" s="656"/>
      <c r="G1" s="656"/>
      <c r="H1" s="656"/>
      <c r="I1" s="657"/>
      <c r="J1" s="658" t="s">
        <v>790</v>
      </c>
      <c r="K1" s="659"/>
      <c r="L1" s="659"/>
      <c r="M1" s="659"/>
      <c r="N1" s="660"/>
      <c r="O1" s="655" t="s">
        <v>792</v>
      </c>
      <c r="P1" s="656"/>
      <c r="Q1" s="656"/>
      <c r="R1" s="656"/>
      <c r="S1" s="661"/>
      <c r="T1" s="518" t="s">
        <v>825</v>
      </c>
    </row>
    <row r="2" spans="1:20" ht="45.75" thickBot="1" x14ac:dyDescent="0.25">
      <c r="A2" s="149"/>
      <c r="B2" s="150" t="s">
        <v>732</v>
      </c>
      <c r="C2" s="150" t="s">
        <v>735</v>
      </c>
      <c r="D2" s="389" t="s">
        <v>733</v>
      </c>
      <c r="E2" s="140" t="s">
        <v>0</v>
      </c>
      <c r="F2" s="141" t="s">
        <v>1</v>
      </c>
      <c r="G2" s="141" t="s">
        <v>772</v>
      </c>
      <c r="H2" s="141" t="s">
        <v>793</v>
      </c>
      <c r="I2" s="143" t="s">
        <v>3</v>
      </c>
      <c r="J2" s="140" t="s">
        <v>0</v>
      </c>
      <c r="K2" s="141" t="s">
        <v>1</v>
      </c>
      <c r="L2" s="141" t="s">
        <v>772</v>
      </c>
      <c r="M2" s="142" t="s">
        <v>793</v>
      </c>
      <c r="N2" s="143" t="s">
        <v>3</v>
      </c>
      <c r="O2" s="140" t="s">
        <v>0</v>
      </c>
      <c r="P2" s="141" t="s">
        <v>1</v>
      </c>
      <c r="Q2" s="141" t="s">
        <v>772</v>
      </c>
      <c r="R2" s="390" t="s">
        <v>793</v>
      </c>
      <c r="S2" s="381" t="s">
        <v>3</v>
      </c>
      <c r="T2" s="529" t="s">
        <v>826</v>
      </c>
    </row>
    <row r="3" spans="1:20" s="6" customFormat="1" ht="18" customHeight="1" outlineLevel="2" x14ac:dyDescent="0.2">
      <c r="A3" s="136" t="s">
        <v>737</v>
      </c>
      <c r="B3" s="122" t="s">
        <v>6</v>
      </c>
      <c r="C3" s="122" t="s">
        <v>4</v>
      </c>
      <c r="D3" s="291" t="s">
        <v>7</v>
      </c>
      <c r="E3" s="320"/>
      <c r="F3" s="181"/>
      <c r="G3" s="181"/>
      <c r="H3" s="178"/>
      <c r="I3" s="321"/>
      <c r="J3" s="385"/>
      <c r="K3" s="386"/>
      <c r="L3" s="386"/>
      <c r="M3" s="387"/>
      <c r="N3" s="388"/>
      <c r="O3" s="297">
        <v>0</v>
      </c>
      <c r="P3" s="177">
        <v>700</v>
      </c>
      <c r="Q3" s="177">
        <v>700</v>
      </c>
      <c r="R3" s="178">
        <v>0</v>
      </c>
      <c r="S3" s="300">
        <v>0</v>
      </c>
      <c r="T3" s="531"/>
    </row>
    <row r="4" spans="1:20" s="6" customFormat="1" ht="18" customHeight="1" outlineLevel="2" x14ac:dyDescent="0.2">
      <c r="A4" s="135" t="s">
        <v>737</v>
      </c>
      <c r="B4" s="22" t="s">
        <v>8</v>
      </c>
      <c r="C4" s="22" t="s">
        <v>4</v>
      </c>
      <c r="D4" s="276" t="s">
        <v>9</v>
      </c>
      <c r="E4" s="301"/>
      <c r="F4" s="49"/>
      <c r="G4" s="49"/>
      <c r="H4" s="48"/>
      <c r="I4" s="302"/>
      <c r="J4" s="198"/>
      <c r="K4" s="72"/>
      <c r="L4" s="72"/>
      <c r="M4" s="73"/>
      <c r="N4" s="193"/>
      <c r="O4" s="299">
        <v>0</v>
      </c>
      <c r="P4" s="47">
        <v>0</v>
      </c>
      <c r="Q4" s="47">
        <v>1000</v>
      </c>
      <c r="R4" s="48">
        <v>0</v>
      </c>
      <c r="S4" s="300">
        <v>-1000</v>
      </c>
      <c r="T4" s="519"/>
    </row>
    <row r="5" spans="1:20" s="6" customFormat="1" ht="18" customHeight="1" outlineLevel="2" x14ac:dyDescent="0.2">
      <c r="A5" s="135" t="s">
        <v>737</v>
      </c>
      <c r="B5" s="22" t="s">
        <v>16</v>
      </c>
      <c r="C5" s="22" t="s">
        <v>4</v>
      </c>
      <c r="D5" s="276" t="s">
        <v>17</v>
      </c>
      <c r="E5" s="299">
        <v>0</v>
      </c>
      <c r="F5" s="47">
        <v>0</v>
      </c>
      <c r="G5" s="47">
        <v>0</v>
      </c>
      <c r="H5" s="48">
        <v>0</v>
      </c>
      <c r="I5" s="300">
        <v>0</v>
      </c>
      <c r="J5" s="198"/>
      <c r="K5" s="72"/>
      <c r="L5" s="72"/>
      <c r="M5" s="73"/>
      <c r="N5" s="193"/>
      <c r="O5" s="301"/>
      <c r="P5" s="49"/>
      <c r="Q5" s="49"/>
      <c r="R5" s="48"/>
      <c r="S5" s="302"/>
      <c r="T5" s="519"/>
    </row>
    <row r="6" spans="1:20" s="6" customFormat="1" ht="18" customHeight="1" outlineLevel="2" x14ac:dyDescent="0.2">
      <c r="A6" s="135" t="s">
        <v>737</v>
      </c>
      <c r="B6" s="22" t="s">
        <v>18</v>
      </c>
      <c r="C6" s="22" t="s">
        <v>4</v>
      </c>
      <c r="D6" s="276" t="s">
        <v>19</v>
      </c>
      <c r="E6" s="299">
        <v>4668</v>
      </c>
      <c r="F6" s="47">
        <v>4282</v>
      </c>
      <c r="G6" s="47">
        <v>4282</v>
      </c>
      <c r="H6" s="48">
        <f t="shared" ref="H6:H38" si="0">+G6/E6</f>
        <v>0.91730934018851762</v>
      </c>
      <c r="I6" s="300">
        <v>0</v>
      </c>
      <c r="J6" s="197">
        <v>3168</v>
      </c>
      <c r="K6" s="74">
        <v>2698</v>
      </c>
      <c r="L6" s="74">
        <v>1221.9000000000001</v>
      </c>
      <c r="M6" s="73">
        <f t="shared" ref="M6:M38" si="1">+L6/J6</f>
        <v>0.38570075757575761</v>
      </c>
      <c r="N6" s="192">
        <v>1476.1</v>
      </c>
      <c r="O6" s="299">
        <v>3168</v>
      </c>
      <c r="P6" s="47">
        <v>2317</v>
      </c>
      <c r="Q6" s="47">
        <v>55.08</v>
      </c>
      <c r="R6" s="48">
        <f t="shared" ref="R6:R38" si="2">+Q6/O6</f>
        <v>1.7386363636363637E-2</v>
      </c>
      <c r="S6" s="300">
        <v>2261.92</v>
      </c>
      <c r="T6" s="519"/>
    </row>
    <row r="7" spans="1:20" s="6" customFormat="1" ht="18" customHeight="1" outlineLevel="2" x14ac:dyDescent="0.2">
      <c r="A7" s="135" t="s">
        <v>737</v>
      </c>
      <c r="B7" s="22" t="s">
        <v>20</v>
      </c>
      <c r="C7" s="22" t="s">
        <v>4</v>
      </c>
      <c r="D7" s="276" t="s">
        <v>21</v>
      </c>
      <c r="E7" s="301"/>
      <c r="F7" s="49"/>
      <c r="G7" s="49"/>
      <c r="H7" s="48"/>
      <c r="I7" s="302"/>
      <c r="J7" s="198"/>
      <c r="K7" s="72"/>
      <c r="L7" s="72"/>
      <c r="M7" s="73"/>
      <c r="N7" s="193"/>
      <c r="O7" s="299">
        <v>0</v>
      </c>
      <c r="P7" s="47">
        <v>94</v>
      </c>
      <c r="Q7" s="47">
        <v>94</v>
      </c>
      <c r="R7" s="48">
        <v>0</v>
      </c>
      <c r="S7" s="300">
        <v>0</v>
      </c>
      <c r="T7" s="519"/>
    </row>
    <row r="8" spans="1:20" s="6" customFormat="1" ht="18" customHeight="1" outlineLevel="2" x14ac:dyDescent="0.2">
      <c r="A8" s="135" t="s">
        <v>737</v>
      </c>
      <c r="B8" s="22" t="s">
        <v>22</v>
      </c>
      <c r="C8" s="22" t="s">
        <v>4</v>
      </c>
      <c r="D8" s="276" t="s">
        <v>23</v>
      </c>
      <c r="E8" s="299">
        <v>0</v>
      </c>
      <c r="F8" s="47">
        <v>487</v>
      </c>
      <c r="G8" s="47">
        <v>486.99</v>
      </c>
      <c r="H8" s="48">
        <v>0</v>
      </c>
      <c r="I8" s="300">
        <v>0.01</v>
      </c>
      <c r="J8" s="197">
        <v>500</v>
      </c>
      <c r="K8" s="74">
        <v>970</v>
      </c>
      <c r="L8" s="74">
        <v>969.24</v>
      </c>
      <c r="M8" s="73">
        <f t="shared" si="1"/>
        <v>1.93848</v>
      </c>
      <c r="N8" s="192">
        <v>0.76</v>
      </c>
      <c r="O8" s="299">
        <v>500</v>
      </c>
      <c r="P8" s="47">
        <v>500</v>
      </c>
      <c r="Q8" s="47">
        <v>70</v>
      </c>
      <c r="R8" s="48">
        <f t="shared" si="2"/>
        <v>0.14000000000000001</v>
      </c>
      <c r="S8" s="300">
        <v>430</v>
      </c>
      <c r="T8" s="519"/>
    </row>
    <row r="9" spans="1:20" s="6" customFormat="1" ht="18" customHeight="1" outlineLevel="2" x14ac:dyDescent="0.2">
      <c r="A9" s="135" t="s">
        <v>737</v>
      </c>
      <c r="B9" s="22" t="s">
        <v>24</v>
      </c>
      <c r="C9" s="22" t="s">
        <v>4</v>
      </c>
      <c r="D9" s="276" t="s">
        <v>25</v>
      </c>
      <c r="E9" s="299">
        <v>0</v>
      </c>
      <c r="F9" s="47">
        <v>0</v>
      </c>
      <c r="G9" s="47">
        <v>0</v>
      </c>
      <c r="H9" s="48"/>
      <c r="I9" s="300">
        <v>0</v>
      </c>
      <c r="J9" s="197">
        <v>0</v>
      </c>
      <c r="K9" s="74">
        <v>0</v>
      </c>
      <c r="L9" s="74">
        <v>0</v>
      </c>
      <c r="M9" s="73"/>
      <c r="N9" s="192">
        <v>0</v>
      </c>
      <c r="O9" s="299">
        <v>0</v>
      </c>
      <c r="P9" s="47">
        <v>0</v>
      </c>
      <c r="Q9" s="47">
        <v>30</v>
      </c>
      <c r="R9" s="48">
        <v>0</v>
      </c>
      <c r="S9" s="300">
        <v>-30</v>
      </c>
      <c r="T9" s="519"/>
    </row>
    <row r="10" spans="1:20" s="6" customFormat="1" ht="18" customHeight="1" outlineLevel="2" x14ac:dyDescent="0.2">
      <c r="A10" s="135" t="s">
        <v>737</v>
      </c>
      <c r="B10" s="22" t="s">
        <v>26</v>
      </c>
      <c r="C10" s="22" t="s">
        <v>4</v>
      </c>
      <c r="D10" s="276" t="s">
        <v>27</v>
      </c>
      <c r="E10" s="299">
        <v>0</v>
      </c>
      <c r="F10" s="47">
        <v>1347</v>
      </c>
      <c r="G10" s="47">
        <v>1347</v>
      </c>
      <c r="H10" s="48">
        <v>0</v>
      </c>
      <c r="I10" s="300">
        <v>0</v>
      </c>
      <c r="J10" s="198"/>
      <c r="K10" s="72"/>
      <c r="L10" s="72"/>
      <c r="M10" s="73"/>
      <c r="N10" s="193"/>
      <c r="O10" s="301"/>
      <c r="P10" s="49"/>
      <c r="Q10" s="49"/>
      <c r="R10" s="48"/>
      <c r="S10" s="302"/>
      <c r="T10" s="519"/>
    </row>
    <row r="11" spans="1:20" s="6" customFormat="1" ht="18" customHeight="1" outlineLevel="2" x14ac:dyDescent="0.2">
      <c r="A11" s="135" t="s">
        <v>737</v>
      </c>
      <c r="B11" s="22" t="s">
        <v>28</v>
      </c>
      <c r="C11" s="22" t="s">
        <v>4</v>
      </c>
      <c r="D11" s="276" t="s">
        <v>29</v>
      </c>
      <c r="E11" s="299">
        <v>0</v>
      </c>
      <c r="F11" s="47">
        <v>200</v>
      </c>
      <c r="G11" s="47">
        <v>200</v>
      </c>
      <c r="H11" s="48">
        <v>0</v>
      </c>
      <c r="I11" s="300">
        <v>0</v>
      </c>
      <c r="J11" s="198"/>
      <c r="K11" s="72"/>
      <c r="L11" s="72"/>
      <c r="M11" s="73"/>
      <c r="N11" s="193"/>
      <c r="O11" s="301"/>
      <c r="P11" s="49"/>
      <c r="Q11" s="49"/>
      <c r="R11" s="48"/>
      <c r="S11" s="302"/>
      <c r="T11" s="519"/>
    </row>
    <row r="12" spans="1:20" s="6" customFormat="1" ht="18" customHeight="1" outlineLevel="2" x14ac:dyDescent="0.2">
      <c r="A12" s="135" t="s">
        <v>737</v>
      </c>
      <c r="B12" s="22" t="s">
        <v>30</v>
      </c>
      <c r="C12" s="22" t="s">
        <v>4</v>
      </c>
      <c r="D12" s="276" t="s">
        <v>31</v>
      </c>
      <c r="E12" s="299">
        <v>0</v>
      </c>
      <c r="F12" s="47">
        <v>1000</v>
      </c>
      <c r="G12" s="47">
        <v>1000</v>
      </c>
      <c r="H12" s="48">
        <v>0</v>
      </c>
      <c r="I12" s="300">
        <v>0</v>
      </c>
      <c r="J12" s="197">
        <v>1000</v>
      </c>
      <c r="K12" s="74">
        <v>1000</v>
      </c>
      <c r="L12" s="74">
        <v>843.85</v>
      </c>
      <c r="M12" s="73">
        <f t="shared" si="1"/>
        <v>0.84384999999999999</v>
      </c>
      <c r="N12" s="192">
        <v>156.15</v>
      </c>
      <c r="O12" s="299">
        <v>1000</v>
      </c>
      <c r="P12" s="47">
        <v>1000</v>
      </c>
      <c r="Q12" s="47">
        <v>362.85</v>
      </c>
      <c r="R12" s="48">
        <f t="shared" si="2"/>
        <v>0.36285000000000001</v>
      </c>
      <c r="S12" s="300">
        <v>637.15</v>
      </c>
      <c r="T12" s="519"/>
    </row>
    <row r="13" spans="1:20" s="6" customFormat="1" ht="18" customHeight="1" outlineLevel="2" x14ac:dyDescent="0.2">
      <c r="A13" s="135" t="s">
        <v>737</v>
      </c>
      <c r="B13" s="22" t="s">
        <v>32</v>
      </c>
      <c r="C13" s="22" t="s">
        <v>4</v>
      </c>
      <c r="D13" s="276" t="s">
        <v>33</v>
      </c>
      <c r="E13" s="301"/>
      <c r="F13" s="49"/>
      <c r="G13" s="49"/>
      <c r="H13" s="48"/>
      <c r="I13" s="302"/>
      <c r="J13" s="198"/>
      <c r="K13" s="72"/>
      <c r="L13" s="72"/>
      <c r="M13" s="73"/>
      <c r="N13" s="193"/>
      <c r="O13" s="299">
        <v>0</v>
      </c>
      <c r="P13" s="47">
        <v>200</v>
      </c>
      <c r="Q13" s="47">
        <v>188</v>
      </c>
      <c r="R13" s="48">
        <v>0</v>
      </c>
      <c r="S13" s="300">
        <v>12</v>
      </c>
      <c r="T13" s="519"/>
    </row>
    <row r="14" spans="1:20" s="6" customFormat="1" ht="18" customHeight="1" outlineLevel="2" x14ac:dyDescent="0.2">
      <c r="A14" s="135" t="s">
        <v>737</v>
      </c>
      <c r="B14" s="22" t="s">
        <v>34</v>
      </c>
      <c r="C14" s="22" t="s">
        <v>4</v>
      </c>
      <c r="D14" s="276" t="s">
        <v>35</v>
      </c>
      <c r="E14" s="299">
        <v>0</v>
      </c>
      <c r="F14" s="47">
        <v>451</v>
      </c>
      <c r="G14" s="47">
        <v>450.72</v>
      </c>
      <c r="H14" s="48">
        <v>0</v>
      </c>
      <c r="I14" s="300">
        <v>0.28000000000000003</v>
      </c>
      <c r="J14" s="198"/>
      <c r="K14" s="72"/>
      <c r="L14" s="72"/>
      <c r="M14" s="73"/>
      <c r="N14" s="193"/>
      <c r="O14" s="301"/>
      <c r="P14" s="49"/>
      <c r="Q14" s="49"/>
      <c r="R14" s="48"/>
      <c r="S14" s="302"/>
      <c r="T14" s="519"/>
    </row>
    <row r="15" spans="1:20" s="6" customFormat="1" ht="18" customHeight="1" outlineLevel="2" x14ac:dyDescent="0.2">
      <c r="A15" s="135" t="s">
        <v>737</v>
      </c>
      <c r="B15" s="22" t="s">
        <v>36</v>
      </c>
      <c r="C15" s="22" t="s">
        <v>4</v>
      </c>
      <c r="D15" s="276" t="s">
        <v>37</v>
      </c>
      <c r="E15" s="299">
        <v>1100</v>
      </c>
      <c r="F15" s="47">
        <v>281</v>
      </c>
      <c r="G15" s="47">
        <v>280.08999999999997</v>
      </c>
      <c r="H15" s="48">
        <f t="shared" si="0"/>
        <v>0.2546272727272727</v>
      </c>
      <c r="I15" s="300">
        <v>0.91</v>
      </c>
      <c r="J15" s="197">
        <v>1100</v>
      </c>
      <c r="K15" s="74">
        <v>1100</v>
      </c>
      <c r="L15" s="74">
        <v>155.46</v>
      </c>
      <c r="M15" s="73">
        <f t="shared" si="1"/>
        <v>0.14132727272727275</v>
      </c>
      <c r="N15" s="192">
        <v>944.54</v>
      </c>
      <c r="O15" s="299">
        <v>1100</v>
      </c>
      <c r="P15" s="47">
        <v>900</v>
      </c>
      <c r="Q15" s="47">
        <v>447.35</v>
      </c>
      <c r="R15" s="48">
        <f t="shared" si="2"/>
        <v>0.4066818181818182</v>
      </c>
      <c r="S15" s="300">
        <v>452.65</v>
      </c>
      <c r="T15" s="519"/>
    </row>
    <row r="16" spans="1:20" s="6" customFormat="1" ht="18" customHeight="1" outlineLevel="2" x14ac:dyDescent="0.2">
      <c r="A16" s="135" t="s">
        <v>737</v>
      </c>
      <c r="B16" s="22" t="s">
        <v>38</v>
      </c>
      <c r="C16" s="22" t="s">
        <v>4</v>
      </c>
      <c r="D16" s="276" t="s">
        <v>39</v>
      </c>
      <c r="E16" s="299">
        <v>0</v>
      </c>
      <c r="F16" s="47">
        <v>0</v>
      </c>
      <c r="G16" s="47">
        <v>0</v>
      </c>
      <c r="H16" s="48"/>
      <c r="I16" s="300">
        <v>0</v>
      </c>
      <c r="J16" s="198"/>
      <c r="K16" s="72"/>
      <c r="L16" s="72"/>
      <c r="M16" s="73"/>
      <c r="N16" s="193"/>
      <c r="O16" s="301"/>
      <c r="P16" s="49"/>
      <c r="Q16" s="49"/>
      <c r="R16" s="48"/>
      <c r="S16" s="302"/>
      <c r="T16" s="519"/>
    </row>
    <row r="17" spans="1:20" s="6" customFormat="1" ht="18" customHeight="1" outlineLevel="2" x14ac:dyDescent="0.2">
      <c r="A17" s="135" t="s">
        <v>737</v>
      </c>
      <c r="B17" s="22" t="s">
        <v>256</v>
      </c>
      <c r="C17" s="22" t="s">
        <v>257</v>
      </c>
      <c r="D17" s="276" t="s">
        <v>7</v>
      </c>
      <c r="E17" s="301"/>
      <c r="F17" s="49"/>
      <c r="G17" s="49"/>
      <c r="H17" s="48"/>
      <c r="I17" s="302"/>
      <c r="J17" s="197">
        <v>0</v>
      </c>
      <c r="K17" s="74">
        <v>82</v>
      </c>
      <c r="L17" s="74">
        <v>0</v>
      </c>
      <c r="M17" s="73">
        <v>0</v>
      </c>
      <c r="N17" s="192">
        <v>82</v>
      </c>
      <c r="O17" s="301"/>
      <c r="P17" s="49"/>
      <c r="Q17" s="49"/>
      <c r="R17" s="48"/>
      <c r="S17" s="302"/>
      <c r="T17" s="519"/>
    </row>
    <row r="18" spans="1:20" s="6" customFormat="1" ht="18" customHeight="1" outlineLevel="2" x14ac:dyDescent="0.2">
      <c r="A18" s="135" t="s">
        <v>737</v>
      </c>
      <c r="B18" s="22" t="s">
        <v>258</v>
      </c>
      <c r="C18" s="22" t="s">
        <v>257</v>
      </c>
      <c r="D18" s="276" t="s">
        <v>83</v>
      </c>
      <c r="E18" s="301"/>
      <c r="F18" s="49"/>
      <c r="G18" s="49"/>
      <c r="H18" s="48"/>
      <c r="I18" s="302"/>
      <c r="J18" s="197">
        <v>0</v>
      </c>
      <c r="K18" s="74">
        <v>1945</v>
      </c>
      <c r="L18" s="74">
        <v>1944.96</v>
      </c>
      <c r="M18" s="73">
        <v>0</v>
      </c>
      <c r="N18" s="192">
        <v>0.04</v>
      </c>
      <c r="O18" s="301"/>
      <c r="P18" s="49"/>
      <c r="Q18" s="49"/>
      <c r="R18" s="48"/>
      <c r="S18" s="302"/>
      <c r="T18" s="519"/>
    </row>
    <row r="19" spans="1:20" s="6" customFormat="1" ht="18" customHeight="1" outlineLevel="2" x14ac:dyDescent="0.2">
      <c r="A19" s="135" t="s">
        <v>737</v>
      </c>
      <c r="B19" s="22" t="s">
        <v>261</v>
      </c>
      <c r="C19" s="22" t="s">
        <v>257</v>
      </c>
      <c r="D19" s="276" t="s">
        <v>19</v>
      </c>
      <c r="E19" s="301"/>
      <c r="F19" s="49"/>
      <c r="G19" s="49"/>
      <c r="H19" s="48"/>
      <c r="I19" s="302"/>
      <c r="J19" s="197">
        <v>0</v>
      </c>
      <c r="K19" s="74">
        <v>0</v>
      </c>
      <c r="L19" s="74">
        <v>0</v>
      </c>
      <c r="M19" s="73"/>
      <c r="N19" s="192">
        <v>0</v>
      </c>
      <c r="O19" s="301"/>
      <c r="P19" s="49"/>
      <c r="Q19" s="49"/>
      <c r="R19" s="48"/>
      <c r="S19" s="302"/>
      <c r="T19" s="519"/>
    </row>
    <row r="20" spans="1:20" s="6" customFormat="1" ht="18" customHeight="1" outlineLevel="2" x14ac:dyDescent="0.2">
      <c r="A20" s="135" t="s">
        <v>737</v>
      </c>
      <c r="B20" s="22" t="s">
        <v>259</v>
      </c>
      <c r="C20" s="22" t="s">
        <v>257</v>
      </c>
      <c r="D20" s="276" t="s">
        <v>23</v>
      </c>
      <c r="E20" s="301"/>
      <c r="F20" s="49"/>
      <c r="G20" s="49"/>
      <c r="H20" s="48"/>
      <c r="I20" s="302"/>
      <c r="J20" s="197">
        <v>0</v>
      </c>
      <c r="K20" s="74">
        <v>2000</v>
      </c>
      <c r="L20" s="74">
        <v>1330.38</v>
      </c>
      <c r="M20" s="73">
        <v>0</v>
      </c>
      <c r="N20" s="192">
        <v>669.62</v>
      </c>
      <c r="O20" s="301"/>
      <c r="P20" s="49"/>
      <c r="Q20" s="49"/>
      <c r="R20" s="48"/>
      <c r="S20" s="302"/>
      <c r="T20" s="519"/>
    </row>
    <row r="21" spans="1:20" s="6" customFormat="1" ht="18" customHeight="1" outlineLevel="2" x14ac:dyDescent="0.2">
      <c r="A21" s="135" t="s">
        <v>737</v>
      </c>
      <c r="B21" s="22" t="s">
        <v>260</v>
      </c>
      <c r="C21" s="22" t="s">
        <v>257</v>
      </c>
      <c r="D21" s="276" t="s">
        <v>29</v>
      </c>
      <c r="E21" s="301"/>
      <c r="F21" s="49"/>
      <c r="G21" s="49"/>
      <c r="H21" s="48"/>
      <c r="I21" s="302"/>
      <c r="J21" s="197">
        <v>0</v>
      </c>
      <c r="K21" s="74">
        <v>27973</v>
      </c>
      <c r="L21" s="74">
        <v>27748</v>
      </c>
      <c r="M21" s="73">
        <v>0</v>
      </c>
      <c r="N21" s="192">
        <f>27973-27748</f>
        <v>225</v>
      </c>
      <c r="O21" s="301"/>
      <c r="P21" s="49"/>
      <c r="Q21" s="49"/>
      <c r="R21" s="48"/>
      <c r="S21" s="302"/>
      <c r="T21" s="519"/>
    </row>
    <row r="22" spans="1:20" s="6" customFormat="1" ht="18" customHeight="1" outlineLevel="2" x14ac:dyDescent="0.2">
      <c r="A22" s="135" t="s">
        <v>737</v>
      </c>
      <c r="B22" s="22" t="s">
        <v>262</v>
      </c>
      <c r="C22" s="22" t="s">
        <v>257</v>
      </c>
      <c r="D22" s="276" t="s">
        <v>33</v>
      </c>
      <c r="E22" s="301"/>
      <c r="F22" s="49"/>
      <c r="G22" s="49"/>
      <c r="H22" s="48"/>
      <c r="I22" s="302"/>
      <c r="J22" s="197">
        <v>0</v>
      </c>
      <c r="K22" s="74">
        <v>0</v>
      </c>
      <c r="L22" s="74">
        <v>0</v>
      </c>
      <c r="M22" s="73"/>
      <c r="N22" s="192">
        <v>0</v>
      </c>
      <c r="O22" s="301"/>
      <c r="P22" s="49"/>
      <c r="Q22" s="49"/>
      <c r="R22" s="48"/>
      <c r="S22" s="302"/>
      <c r="T22" s="519"/>
    </row>
    <row r="23" spans="1:20" s="6" customFormat="1" ht="18" customHeight="1" outlineLevel="1" x14ac:dyDescent="0.2">
      <c r="A23" s="380" t="s">
        <v>760</v>
      </c>
      <c r="B23" s="22"/>
      <c r="C23" s="22"/>
      <c r="D23" s="276"/>
      <c r="E23" s="376">
        <f>SUBTOTAL(9,E3:E22)</f>
        <v>5768</v>
      </c>
      <c r="F23" s="63">
        <f>SUBTOTAL(9,F3:F22)</f>
        <v>8048</v>
      </c>
      <c r="G23" s="63">
        <f>SUBTOTAL(9,G3:G22)</f>
        <v>8046.8</v>
      </c>
      <c r="H23" s="51">
        <f t="shared" si="0"/>
        <v>1.3950762829403607</v>
      </c>
      <c r="I23" s="302">
        <f>SUBTOTAL(9,I3:I22)</f>
        <v>1.2000000000000002</v>
      </c>
      <c r="J23" s="377">
        <f>SUBTOTAL(9,J3:J22)</f>
        <v>5768</v>
      </c>
      <c r="K23" s="75">
        <f>SUBTOTAL(9,K3:K22)</f>
        <v>37768</v>
      </c>
      <c r="L23" s="75">
        <f>SUBTOTAL(9,L3:L22)</f>
        <v>34213.79</v>
      </c>
      <c r="M23" s="76">
        <f t="shared" si="1"/>
        <v>5.9316556865464634</v>
      </c>
      <c r="N23" s="192">
        <f>SUBTOTAL(9,N3:N22)</f>
        <v>3554.21</v>
      </c>
      <c r="O23" s="376">
        <f>SUBTOTAL(9,O3:O22)</f>
        <v>5768</v>
      </c>
      <c r="P23" s="63">
        <f>SUBTOTAL(9,P3:P22)</f>
        <v>5711</v>
      </c>
      <c r="Q23" s="63">
        <f>SUBTOTAL(9,Q3:Q22)</f>
        <v>2947.2799999999997</v>
      </c>
      <c r="R23" s="51">
        <f t="shared" si="2"/>
        <v>0.51097087378640771</v>
      </c>
      <c r="S23" s="302">
        <f>SUBTOTAL(9,S3:S22)</f>
        <v>2763.7200000000003</v>
      </c>
      <c r="T23" s="519"/>
    </row>
    <row r="24" spans="1:20" s="6" customFormat="1" ht="18" customHeight="1" outlineLevel="2" x14ac:dyDescent="0.2">
      <c r="A24" s="135" t="s">
        <v>751</v>
      </c>
      <c r="B24" s="22" t="s">
        <v>641</v>
      </c>
      <c r="C24" s="22" t="s">
        <v>637</v>
      </c>
      <c r="D24" s="276" t="s">
        <v>221</v>
      </c>
      <c r="E24" s="299">
        <v>36000</v>
      </c>
      <c r="F24" s="47">
        <v>42000</v>
      </c>
      <c r="G24" s="47">
        <v>46874.01</v>
      </c>
      <c r="H24" s="48">
        <f t="shared" si="0"/>
        <v>1.3020558333333334</v>
      </c>
      <c r="I24" s="300">
        <v>-4874.01</v>
      </c>
      <c r="J24" s="197">
        <v>36000</v>
      </c>
      <c r="K24" s="74">
        <v>13794</v>
      </c>
      <c r="L24" s="74">
        <v>13793.5</v>
      </c>
      <c r="M24" s="73">
        <f t="shared" si="1"/>
        <v>0.38315277777777779</v>
      </c>
      <c r="N24" s="192">
        <v>0.5</v>
      </c>
      <c r="O24" s="299">
        <v>36000</v>
      </c>
      <c r="P24" s="47">
        <v>36000</v>
      </c>
      <c r="Q24" s="47">
        <v>11506.63</v>
      </c>
      <c r="R24" s="48">
        <f t="shared" si="2"/>
        <v>0.31962861111111107</v>
      </c>
      <c r="S24" s="300">
        <v>24493.37</v>
      </c>
      <c r="T24" s="519"/>
    </row>
    <row r="25" spans="1:20" s="6" customFormat="1" ht="18" customHeight="1" outlineLevel="2" x14ac:dyDescent="0.2">
      <c r="A25" s="135" t="s">
        <v>751</v>
      </c>
      <c r="B25" s="22" t="s">
        <v>642</v>
      </c>
      <c r="C25" s="22" t="s">
        <v>637</v>
      </c>
      <c r="D25" s="276" t="s">
        <v>221</v>
      </c>
      <c r="E25" s="299">
        <v>32576</v>
      </c>
      <c r="F25" s="47">
        <v>0</v>
      </c>
      <c r="G25" s="47">
        <v>0</v>
      </c>
      <c r="H25" s="48">
        <f t="shared" si="0"/>
        <v>0</v>
      </c>
      <c r="I25" s="300">
        <v>0</v>
      </c>
      <c r="J25" s="197">
        <v>32576</v>
      </c>
      <c r="K25" s="74">
        <v>0</v>
      </c>
      <c r="L25" s="74">
        <v>0</v>
      </c>
      <c r="M25" s="73">
        <f t="shared" si="1"/>
        <v>0</v>
      </c>
      <c r="N25" s="192">
        <v>0</v>
      </c>
      <c r="O25" s="299">
        <v>32576</v>
      </c>
      <c r="P25" s="47">
        <v>32576</v>
      </c>
      <c r="Q25" s="47">
        <v>0</v>
      </c>
      <c r="R25" s="48">
        <f t="shared" si="2"/>
        <v>0</v>
      </c>
      <c r="S25" s="300">
        <v>32576</v>
      </c>
      <c r="T25" s="519"/>
    </row>
    <row r="26" spans="1:20" s="6" customFormat="1" ht="18" customHeight="1" outlineLevel="2" x14ac:dyDescent="0.2">
      <c r="A26" s="135" t="s">
        <v>751</v>
      </c>
      <c r="B26" s="22" t="s">
        <v>636</v>
      </c>
      <c r="C26" s="22" t="s">
        <v>637</v>
      </c>
      <c r="D26" s="276" t="s">
        <v>221</v>
      </c>
      <c r="E26" s="299">
        <v>48000</v>
      </c>
      <c r="F26" s="47">
        <v>103000</v>
      </c>
      <c r="G26" s="47">
        <v>115092.48</v>
      </c>
      <c r="H26" s="48">
        <f t="shared" si="0"/>
        <v>2.3977599999999999</v>
      </c>
      <c r="I26" s="300">
        <v>-12092.48</v>
      </c>
      <c r="J26" s="197">
        <v>48000</v>
      </c>
      <c r="K26" s="74">
        <v>46769</v>
      </c>
      <c r="L26" s="74">
        <v>46769.25</v>
      </c>
      <c r="M26" s="73">
        <f t="shared" si="1"/>
        <v>0.97435937500000003</v>
      </c>
      <c r="N26" s="192">
        <v>-0.25</v>
      </c>
      <c r="O26" s="299">
        <v>48000</v>
      </c>
      <c r="P26" s="47">
        <v>48000</v>
      </c>
      <c r="Q26" s="47">
        <v>34900.14</v>
      </c>
      <c r="R26" s="48">
        <f t="shared" si="2"/>
        <v>0.72708624999999993</v>
      </c>
      <c r="S26" s="300">
        <v>13099.86</v>
      </c>
      <c r="T26" s="519"/>
    </row>
    <row r="27" spans="1:20" s="6" customFormat="1" ht="18" customHeight="1" outlineLevel="2" x14ac:dyDescent="0.2">
      <c r="A27" s="135" t="s">
        <v>751</v>
      </c>
      <c r="B27" s="22" t="s">
        <v>643</v>
      </c>
      <c r="C27" s="22" t="s">
        <v>637</v>
      </c>
      <c r="D27" s="276" t="s">
        <v>362</v>
      </c>
      <c r="E27" s="305">
        <v>18000</v>
      </c>
      <c r="F27" s="59">
        <v>28900</v>
      </c>
      <c r="G27" s="59">
        <v>24886.880000000001</v>
      </c>
      <c r="H27" s="48">
        <f t="shared" si="0"/>
        <v>1.3826044444444445</v>
      </c>
      <c r="I27" s="300">
        <v>4013.12</v>
      </c>
      <c r="J27" s="378">
        <v>18000</v>
      </c>
      <c r="K27" s="77">
        <v>10940</v>
      </c>
      <c r="L27" s="77">
        <v>11081.34</v>
      </c>
      <c r="M27" s="73">
        <f t="shared" si="1"/>
        <v>0.61563000000000001</v>
      </c>
      <c r="N27" s="192">
        <v>-141.34</v>
      </c>
      <c r="O27" s="305">
        <v>18000</v>
      </c>
      <c r="P27" s="59">
        <v>18000</v>
      </c>
      <c r="Q27" s="59">
        <v>7717.76</v>
      </c>
      <c r="R27" s="48">
        <f t="shared" si="2"/>
        <v>0.42876444444444445</v>
      </c>
      <c r="S27" s="300">
        <v>10282.24</v>
      </c>
      <c r="T27" s="519"/>
    </row>
    <row r="28" spans="1:20" s="6" customFormat="1" ht="18" customHeight="1" outlineLevel="2" x14ac:dyDescent="0.2">
      <c r="A28" s="135" t="s">
        <v>751</v>
      </c>
      <c r="B28" s="22" t="s">
        <v>644</v>
      </c>
      <c r="C28" s="22" t="s">
        <v>637</v>
      </c>
      <c r="D28" s="276" t="s">
        <v>58</v>
      </c>
      <c r="E28" s="305">
        <v>0</v>
      </c>
      <c r="F28" s="59">
        <v>0</v>
      </c>
      <c r="G28" s="59">
        <v>1155</v>
      </c>
      <c r="H28" s="48"/>
      <c r="I28" s="300">
        <v>-1155</v>
      </c>
      <c r="J28" s="378">
        <v>0</v>
      </c>
      <c r="K28" s="77">
        <v>0</v>
      </c>
      <c r="L28" s="77">
        <v>0</v>
      </c>
      <c r="M28" s="73"/>
      <c r="N28" s="192">
        <v>0</v>
      </c>
      <c r="O28" s="303"/>
      <c r="P28" s="61"/>
      <c r="Q28" s="61"/>
      <c r="R28" s="48"/>
      <c r="S28" s="304"/>
      <c r="T28" s="519"/>
    </row>
    <row r="29" spans="1:20" s="6" customFormat="1" ht="18" customHeight="1" outlineLevel="2" x14ac:dyDescent="0.2">
      <c r="A29" s="135" t="s">
        <v>751</v>
      </c>
      <c r="B29" s="22" t="s">
        <v>639</v>
      </c>
      <c r="C29" s="22" t="s">
        <v>637</v>
      </c>
      <c r="D29" s="276" t="s">
        <v>17</v>
      </c>
      <c r="E29" s="299">
        <v>1400</v>
      </c>
      <c r="F29" s="47">
        <v>7625</v>
      </c>
      <c r="G29" s="47">
        <v>128</v>
      </c>
      <c r="H29" s="48">
        <f t="shared" si="0"/>
        <v>9.1428571428571428E-2</v>
      </c>
      <c r="I29" s="300">
        <v>7497</v>
      </c>
      <c r="J29" s="197">
        <v>1400</v>
      </c>
      <c r="K29" s="74">
        <v>1400</v>
      </c>
      <c r="L29" s="74">
        <v>127</v>
      </c>
      <c r="M29" s="73">
        <f t="shared" si="1"/>
        <v>9.071428571428572E-2</v>
      </c>
      <c r="N29" s="192">
        <f>1400-127</f>
        <v>1273</v>
      </c>
      <c r="O29" s="299">
        <v>1400</v>
      </c>
      <c r="P29" s="47">
        <v>0</v>
      </c>
      <c r="Q29" s="47">
        <v>0</v>
      </c>
      <c r="R29" s="48">
        <f t="shared" si="2"/>
        <v>0</v>
      </c>
      <c r="S29" s="300">
        <v>0</v>
      </c>
      <c r="T29" s="519"/>
    </row>
    <row r="30" spans="1:20" s="6" customFormat="1" ht="18" customHeight="1" outlineLevel="2" x14ac:dyDescent="0.2">
      <c r="A30" s="135" t="s">
        <v>751</v>
      </c>
      <c r="B30" s="22" t="s">
        <v>640</v>
      </c>
      <c r="C30" s="22" t="s">
        <v>637</v>
      </c>
      <c r="D30" s="276" t="s">
        <v>246</v>
      </c>
      <c r="E30" s="299">
        <v>1200</v>
      </c>
      <c r="F30" s="47">
        <v>1200</v>
      </c>
      <c r="G30" s="47">
        <v>223.2</v>
      </c>
      <c r="H30" s="48">
        <f t="shared" si="0"/>
        <v>0.186</v>
      </c>
      <c r="I30" s="300">
        <v>976.8</v>
      </c>
      <c r="J30" s="197">
        <v>1200</v>
      </c>
      <c r="K30" s="74">
        <v>0</v>
      </c>
      <c r="L30" s="74">
        <v>0</v>
      </c>
      <c r="M30" s="73">
        <f t="shared" si="1"/>
        <v>0</v>
      </c>
      <c r="N30" s="192">
        <v>0</v>
      </c>
      <c r="O30" s="299">
        <v>0</v>
      </c>
      <c r="P30" s="47">
        <v>1200</v>
      </c>
      <c r="Q30" s="47">
        <v>10</v>
      </c>
      <c r="R30" s="48">
        <v>0</v>
      </c>
      <c r="S30" s="300">
        <v>1190</v>
      </c>
      <c r="T30" s="519"/>
    </row>
    <row r="31" spans="1:20" s="6" customFormat="1" ht="18" customHeight="1" outlineLevel="2" x14ac:dyDescent="0.2">
      <c r="A31" s="135" t="s">
        <v>751</v>
      </c>
      <c r="B31" s="22" t="s">
        <v>645</v>
      </c>
      <c r="C31" s="22" t="s">
        <v>637</v>
      </c>
      <c r="D31" s="276" t="s">
        <v>246</v>
      </c>
      <c r="E31" s="301"/>
      <c r="F31" s="49"/>
      <c r="G31" s="49"/>
      <c r="H31" s="48"/>
      <c r="I31" s="302"/>
      <c r="J31" s="198"/>
      <c r="K31" s="72"/>
      <c r="L31" s="72"/>
      <c r="M31" s="73"/>
      <c r="N31" s="193"/>
      <c r="O31" s="299">
        <v>1200</v>
      </c>
      <c r="P31" s="47">
        <v>0</v>
      </c>
      <c r="Q31" s="47">
        <v>0</v>
      </c>
      <c r="R31" s="48">
        <f t="shared" si="2"/>
        <v>0</v>
      </c>
      <c r="S31" s="300">
        <v>0</v>
      </c>
      <c r="T31" s="519"/>
    </row>
    <row r="32" spans="1:20" s="6" customFormat="1" ht="18" customHeight="1" outlineLevel="2" x14ac:dyDescent="0.2">
      <c r="A32" s="135" t="s">
        <v>751</v>
      </c>
      <c r="B32" s="22" t="s">
        <v>646</v>
      </c>
      <c r="C32" s="22" t="s">
        <v>637</v>
      </c>
      <c r="D32" s="276" t="s">
        <v>19</v>
      </c>
      <c r="E32" s="299">
        <v>824</v>
      </c>
      <c r="F32" s="47">
        <v>10000</v>
      </c>
      <c r="G32" s="47">
        <v>1601.01</v>
      </c>
      <c r="H32" s="48">
        <f t="shared" si="0"/>
        <v>1.9429733009708738</v>
      </c>
      <c r="I32" s="300">
        <v>8398.99</v>
      </c>
      <c r="J32" s="197">
        <v>824</v>
      </c>
      <c r="K32" s="74">
        <v>824</v>
      </c>
      <c r="L32" s="74">
        <v>224.6</v>
      </c>
      <c r="M32" s="73">
        <f t="shared" si="1"/>
        <v>0.27257281553398055</v>
      </c>
      <c r="N32" s="192">
        <v>599.4</v>
      </c>
      <c r="O32" s="299">
        <v>824</v>
      </c>
      <c r="P32" s="47">
        <v>824</v>
      </c>
      <c r="Q32" s="47">
        <v>0</v>
      </c>
      <c r="R32" s="48">
        <f t="shared" si="2"/>
        <v>0</v>
      </c>
      <c r="S32" s="300">
        <v>824</v>
      </c>
      <c r="T32" s="519"/>
    </row>
    <row r="33" spans="1:20" s="6" customFormat="1" ht="18" customHeight="1" outlineLevel="2" x14ac:dyDescent="0.2">
      <c r="A33" s="135" t="s">
        <v>751</v>
      </c>
      <c r="B33" s="22" t="s">
        <v>647</v>
      </c>
      <c r="C33" s="22" t="s">
        <v>637</v>
      </c>
      <c r="D33" s="276" t="s">
        <v>23</v>
      </c>
      <c r="E33" s="299">
        <v>0</v>
      </c>
      <c r="F33" s="47">
        <v>1000</v>
      </c>
      <c r="G33" s="47">
        <v>0</v>
      </c>
      <c r="H33" s="48"/>
      <c r="I33" s="300">
        <v>1000</v>
      </c>
      <c r="J33" s="198"/>
      <c r="K33" s="72"/>
      <c r="L33" s="72"/>
      <c r="M33" s="73"/>
      <c r="N33" s="193"/>
      <c r="O33" s="301"/>
      <c r="P33" s="49"/>
      <c r="Q33" s="49"/>
      <c r="R33" s="48"/>
      <c r="S33" s="302"/>
      <c r="T33" s="519"/>
    </row>
    <row r="34" spans="1:20" s="6" customFormat="1" ht="18" customHeight="1" outlineLevel="2" x14ac:dyDescent="0.2">
      <c r="A34" s="135" t="s">
        <v>751</v>
      </c>
      <c r="B34" s="22" t="s">
        <v>648</v>
      </c>
      <c r="C34" s="22" t="s">
        <v>637</v>
      </c>
      <c r="D34" s="276" t="s">
        <v>29</v>
      </c>
      <c r="E34" s="301"/>
      <c r="F34" s="49"/>
      <c r="G34" s="49"/>
      <c r="H34" s="48"/>
      <c r="I34" s="302"/>
      <c r="J34" s="197">
        <v>22000</v>
      </c>
      <c r="K34" s="74">
        <v>22000</v>
      </c>
      <c r="L34" s="74">
        <v>17944.740000000002</v>
      </c>
      <c r="M34" s="73">
        <f t="shared" si="1"/>
        <v>0.81567000000000012</v>
      </c>
      <c r="N34" s="192">
        <v>4055.26</v>
      </c>
      <c r="O34" s="299">
        <v>22000</v>
      </c>
      <c r="P34" s="47">
        <v>22000</v>
      </c>
      <c r="Q34" s="47">
        <v>0</v>
      </c>
      <c r="R34" s="48">
        <f t="shared" si="2"/>
        <v>0</v>
      </c>
      <c r="S34" s="300">
        <v>22000</v>
      </c>
      <c r="T34" s="519"/>
    </row>
    <row r="35" spans="1:20" s="6" customFormat="1" ht="18" customHeight="1" outlineLevel="2" x14ac:dyDescent="0.2">
      <c r="A35" s="135" t="s">
        <v>751</v>
      </c>
      <c r="B35" s="22" t="s">
        <v>649</v>
      </c>
      <c r="C35" s="22" t="s">
        <v>637</v>
      </c>
      <c r="D35" s="276" t="s">
        <v>51</v>
      </c>
      <c r="E35" s="299">
        <v>22000</v>
      </c>
      <c r="F35" s="47">
        <v>0</v>
      </c>
      <c r="G35" s="47">
        <v>0</v>
      </c>
      <c r="H35" s="48">
        <f t="shared" si="0"/>
        <v>0</v>
      </c>
      <c r="I35" s="300">
        <v>0</v>
      </c>
      <c r="J35" s="197">
        <v>0</v>
      </c>
      <c r="K35" s="74">
        <v>1157</v>
      </c>
      <c r="L35" s="74">
        <v>1156.5999999999999</v>
      </c>
      <c r="M35" s="73">
        <v>0</v>
      </c>
      <c r="N35" s="192">
        <f>1157-1156.6</f>
        <v>0.40000000000009095</v>
      </c>
      <c r="O35" s="301"/>
      <c r="P35" s="49"/>
      <c r="Q35" s="49"/>
      <c r="R35" s="48"/>
      <c r="S35" s="302"/>
      <c r="T35" s="519"/>
    </row>
    <row r="36" spans="1:20" s="6" customFormat="1" ht="18" customHeight="1" outlineLevel="2" x14ac:dyDescent="0.2">
      <c r="A36" s="135" t="s">
        <v>751</v>
      </c>
      <c r="B36" s="22" t="s">
        <v>708</v>
      </c>
      <c r="C36" s="22" t="s">
        <v>709</v>
      </c>
      <c r="D36" s="276" t="s">
        <v>19</v>
      </c>
      <c r="E36" s="299">
        <v>0</v>
      </c>
      <c r="F36" s="47">
        <v>13</v>
      </c>
      <c r="G36" s="47">
        <v>12.2</v>
      </c>
      <c r="H36" s="48"/>
      <c r="I36" s="300">
        <v>0.8</v>
      </c>
      <c r="J36" s="198"/>
      <c r="K36" s="72"/>
      <c r="L36" s="72"/>
      <c r="M36" s="73"/>
      <c r="N36" s="193"/>
      <c r="O36" s="301"/>
      <c r="P36" s="49"/>
      <c r="Q36" s="49"/>
      <c r="R36" s="48"/>
      <c r="S36" s="302"/>
      <c r="T36" s="519"/>
    </row>
    <row r="37" spans="1:20" s="6" customFormat="1" ht="18" customHeight="1" outlineLevel="2" x14ac:dyDescent="0.2">
      <c r="A37" s="135" t="s">
        <v>751</v>
      </c>
      <c r="B37" s="22" t="s">
        <v>711</v>
      </c>
      <c r="C37" s="22" t="s">
        <v>709</v>
      </c>
      <c r="D37" s="276" t="s">
        <v>31</v>
      </c>
      <c r="E37" s="299">
        <v>499</v>
      </c>
      <c r="F37" s="47">
        <v>499</v>
      </c>
      <c r="G37" s="47">
        <v>423.5</v>
      </c>
      <c r="H37" s="48">
        <f t="shared" si="0"/>
        <v>0.84869739478957917</v>
      </c>
      <c r="I37" s="300">
        <v>75.5</v>
      </c>
      <c r="J37" s="198"/>
      <c r="K37" s="72"/>
      <c r="L37" s="72"/>
      <c r="M37" s="73"/>
      <c r="N37" s="193"/>
      <c r="O37" s="301"/>
      <c r="P37" s="49"/>
      <c r="Q37" s="49"/>
      <c r="R37" s="48"/>
      <c r="S37" s="302"/>
      <c r="T37" s="519"/>
    </row>
    <row r="38" spans="1:20" s="6" customFormat="1" ht="18" customHeight="1" outlineLevel="1" thickBot="1" x14ac:dyDescent="0.25">
      <c r="A38" s="98" t="s">
        <v>761</v>
      </c>
      <c r="B38" s="3"/>
      <c r="C38" s="3"/>
      <c r="D38" s="279"/>
      <c r="E38" s="148">
        <f>SUBTOTAL(9,E24:E37)</f>
        <v>160499</v>
      </c>
      <c r="F38" s="116">
        <f>SUBTOTAL(9,F24:F37)</f>
        <v>194237</v>
      </c>
      <c r="G38" s="116">
        <f>SUBTOTAL(9,G24:G37)</f>
        <v>190396.28000000003</v>
      </c>
      <c r="H38" s="117">
        <f t="shared" si="0"/>
        <v>1.1862770484551308</v>
      </c>
      <c r="I38" s="119">
        <f>SUBTOTAL(9,I24:I37)</f>
        <v>3840.7200000000012</v>
      </c>
      <c r="J38" s="148">
        <f>SUBTOTAL(9,J24:J37)</f>
        <v>160000</v>
      </c>
      <c r="K38" s="116">
        <f>SUBTOTAL(9,K24:K37)</f>
        <v>96884</v>
      </c>
      <c r="L38" s="116">
        <f>SUBTOTAL(9,L24:L37)</f>
        <v>91097.030000000013</v>
      </c>
      <c r="M38" s="117">
        <f t="shared" si="1"/>
        <v>0.56935643750000009</v>
      </c>
      <c r="N38" s="119">
        <f>SUBTOTAL(9,N24:N37)</f>
        <v>5786.9699999999993</v>
      </c>
      <c r="O38" s="148">
        <f>SUBTOTAL(9,O24:O37)</f>
        <v>160000</v>
      </c>
      <c r="P38" s="116">
        <f>SUBTOTAL(9,P24:P37)</f>
        <v>158600</v>
      </c>
      <c r="Q38" s="116">
        <f>SUBTOTAL(9,Q24:Q37)</f>
        <v>54134.53</v>
      </c>
      <c r="R38" s="117">
        <f t="shared" si="2"/>
        <v>0.33834081249999998</v>
      </c>
      <c r="S38" s="119">
        <f>SUBTOTAL(9,S24:S37)</f>
        <v>104465.47</v>
      </c>
      <c r="T38" s="511"/>
    </row>
    <row r="39" spans="1:20" ht="18" customHeight="1" thickTop="1" thickBot="1" x14ac:dyDescent="0.25">
      <c r="A39" s="100"/>
      <c r="B39" s="91"/>
      <c r="C39" s="91"/>
      <c r="D39" s="38"/>
      <c r="E39" s="27"/>
      <c r="F39" s="91"/>
      <c r="G39" s="91"/>
      <c r="H39" s="91"/>
      <c r="I39" s="38"/>
      <c r="J39" s="27"/>
      <c r="K39" s="91"/>
      <c r="L39" s="91"/>
      <c r="M39" s="91"/>
      <c r="N39" s="38"/>
      <c r="O39" s="27"/>
      <c r="P39" s="91"/>
      <c r="Q39" s="91"/>
      <c r="R39" s="91"/>
      <c r="S39" s="38"/>
      <c r="T39" s="516"/>
    </row>
  </sheetData>
  <mergeCells count="3">
    <mergeCell ref="E1:I1"/>
    <mergeCell ref="J1:N1"/>
    <mergeCell ref="O1:S1"/>
  </mergeCells>
  <printOptions horizontalCentered="1" gridLines="1"/>
  <pageMargins left="0" right="0" top="1" bottom="0.75" header="0.3" footer="0.3"/>
  <pageSetup paperSize="5" scale="85" orientation="landscape" r:id="rId1"/>
  <headerFooter>
    <oddHeader>&amp;CMISSION COLLEGE
Fund 100 - Operating Budget vs Actual Spending for FY10/11, FY11/12 &amp; FY12/13</oddHeader>
    <oddFooter>&amp;ROffice of Administrative Services
&amp;Z&amp;F &amp;A   March 20, 2013 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8"/>
  <sheetViews>
    <sheetView topLeftCell="C1" workbookViewId="0">
      <selection activeCell="U1" sqref="U1:U18"/>
    </sheetView>
  </sheetViews>
  <sheetFormatPr defaultColWidth="9.140625" defaultRowHeight="12.75" outlineLevelRow="2" x14ac:dyDescent="0.2"/>
  <cols>
    <col min="1" max="1" width="11.7109375" style="1" customWidth="1"/>
    <col min="2" max="2" width="20.42578125" style="1" bestFit="1" customWidth="1"/>
    <col min="3" max="3" width="6.140625" style="1" bestFit="1" customWidth="1"/>
    <col min="4" max="4" width="18.85546875" style="1" bestFit="1" customWidth="1"/>
    <col min="5" max="6" width="7.140625" style="1" bestFit="1" customWidth="1"/>
    <col min="7" max="7" width="7.5703125" style="1" bestFit="1" customWidth="1"/>
    <col min="8" max="8" width="6.7109375" style="1" bestFit="1" customWidth="1"/>
    <col min="9" max="9" width="6" style="1" bestFit="1" customWidth="1"/>
    <col min="10" max="10" width="7.140625" style="1" bestFit="1" customWidth="1"/>
    <col min="11" max="11" width="9.140625" style="1"/>
    <col min="12" max="12" width="7.5703125" style="1" bestFit="1" customWidth="1"/>
    <col min="13" max="14" width="6.7109375" style="1" bestFit="1" customWidth="1"/>
    <col min="15" max="16" width="7.140625" style="1" bestFit="1" customWidth="1"/>
    <col min="17" max="17" width="7.5703125" style="1" bestFit="1" customWidth="1"/>
    <col min="18" max="18" width="6.85546875" style="1" customWidth="1"/>
    <col min="19" max="19" width="6.7109375" style="1" bestFit="1" customWidth="1"/>
    <col min="20" max="20" width="7" style="1" bestFit="1" customWidth="1"/>
    <col min="21" max="21" width="23" style="1" bestFit="1" customWidth="1"/>
    <col min="22" max="16384" width="9.140625" style="1"/>
  </cols>
  <sheetData>
    <row r="1" spans="1:21" ht="13.5" thickBot="1" x14ac:dyDescent="0.25">
      <c r="A1" s="24"/>
      <c r="B1" s="88"/>
      <c r="C1" s="88"/>
      <c r="D1" s="88"/>
      <c r="E1" s="662" t="s">
        <v>791</v>
      </c>
      <c r="F1" s="663"/>
      <c r="G1" s="663"/>
      <c r="H1" s="663"/>
      <c r="I1" s="664"/>
      <c r="J1" s="662" t="s">
        <v>790</v>
      </c>
      <c r="K1" s="663"/>
      <c r="L1" s="663"/>
      <c r="M1" s="663"/>
      <c r="N1" s="664"/>
      <c r="O1" s="662" t="s">
        <v>792</v>
      </c>
      <c r="P1" s="663"/>
      <c r="Q1" s="663"/>
      <c r="R1" s="663"/>
      <c r="S1" s="663"/>
      <c r="T1" s="663"/>
      <c r="U1" s="520" t="s">
        <v>825</v>
      </c>
    </row>
    <row r="2" spans="1:21" ht="45.75" thickBot="1" x14ac:dyDescent="0.25">
      <c r="A2" s="360"/>
      <c r="B2" s="361" t="s">
        <v>732</v>
      </c>
      <c r="C2" s="361" t="s">
        <v>735</v>
      </c>
      <c r="D2" s="368" t="s">
        <v>733</v>
      </c>
      <c r="E2" s="370" t="s">
        <v>0</v>
      </c>
      <c r="F2" s="362" t="s">
        <v>1</v>
      </c>
      <c r="G2" s="362" t="s">
        <v>772</v>
      </c>
      <c r="H2" s="362" t="s">
        <v>793</v>
      </c>
      <c r="I2" s="365" t="s">
        <v>3</v>
      </c>
      <c r="J2" s="370" t="s">
        <v>0</v>
      </c>
      <c r="K2" s="362" t="s">
        <v>1</v>
      </c>
      <c r="L2" s="362" t="s">
        <v>772</v>
      </c>
      <c r="M2" s="363" t="s">
        <v>793</v>
      </c>
      <c r="N2" s="365" t="s">
        <v>3</v>
      </c>
      <c r="O2" s="370" t="s">
        <v>0</v>
      </c>
      <c r="P2" s="362" t="s">
        <v>1</v>
      </c>
      <c r="Q2" s="362" t="s">
        <v>772</v>
      </c>
      <c r="R2" s="364" t="s">
        <v>2</v>
      </c>
      <c r="S2" s="363" t="s">
        <v>793</v>
      </c>
      <c r="T2" s="550" t="s">
        <v>3</v>
      </c>
      <c r="U2" s="521" t="s">
        <v>826</v>
      </c>
    </row>
    <row r="3" spans="1:21" s="6" customFormat="1" ht="19.899999999999999" customHeight="1" outlineLevel="2" x14ac:dyDescent="0.2">
      <c r="A3" s="290" t="s">
        <v>750</v>
      </c>
      <c r="B3" s="122" t="s">
        <v>611</v>
      </c>
      <c r="C3" s="122" t="s">
        <v>609</v>
      </c>
      <c r="D3" s="138" t="s">
        <v>58</v>
      </c>
      <c r="E3" s="371">
        <v>0</v>
      </c>
      <c r="F3" s="357">
        <v>5500</v>
      </c>
      <c r="G3" s="357">
        <v>5500</v>
      </c>
      <c r="H3" s="126"/>
      <c r="I3" s="329">
        <v>0</v>
      </c>
      <c r="J3" s="374">
        <v>7300</v>
      </c>
      <c r="K3" s="358">
        <v>1500</v>
      </c>
      <c r="L3" s="358">
        <v>1500</v>
      </c>
      <c r="M3" s="359">
        <f t="shared" ref="M3:M17" si="0">+L3/J3</f>
        <v>0.20547945205479451</v>
      </c>
      <c r="N3" s="375">
        <v>0</v>
      </c>
      <c r="O3" s="371">
        <v>7300</v>
      </c>
      <c r="P3" s="357">
        <v>0</v>
      </c>
      <c r="Q3" s="357">
        <v>0</v>
      </c>
      <c r="R3" s="357">
        <v>0</v>
      </c>
      <c r="S3" s="126">
        <f t="shared" ref="S3:S17" si="1">+Q3/O3</f>
        <v>0</v>
      </c>
      <c r="T3" s="551">
        <v>0</v>
      </c>
      <c r="U3" s="547"/>
    </row>
    <row r="4" spans="1:21" s="6" customFormat="1" ht="19.899999999999999" customHeight="1" outlineLevel="2" x14ac:dyDescent="0.2">
      <c r="A4" s="25" t="s">
        <v>750</v>
      </c>
      <c r="B4" s="22" t="s">
        <v>612</v>
      </c>
      <c r="C4" s="22" t="s">
        <v>609</v>
      </c>
      <c r="D4" s="139" t="s">
        <v>52</v>
      </c>
      <c r="E4" s="331">
        <v>0</v>
      </c>
      <c r="F4" s="57">
        <v>1074</v>
      </c>
      <c r="G4" s="57">
        <v>1073.28</v>
      </c>
      <c r="H4" s="58"/>
      <c r="I4" s="165">
        <v>0.72</v>
      </c>
      <c r="J4" s="352">
        <v>1000</v>
      </c>
      <c r="K4" s="80">
        <v>1000</v>
      </c>
      <c r="L4" s="80">
        <v>939.12</v>
      </c>
      <c r="M4" s="79">
        <f t="shared" si="0"/>
        <v>0.93911999999999995</v>
      </c>
      <c r="N4" s="351">
        <v>60.88</v>
      </c>
      <c r="O4" s="331">
        <v>1000</v>
      </c>
      <c r="P4" s="57">
        <v>1000</v>
      </c>
      <c r="Q4" s="57">
        <v>0</v>
      </c>
      <c r="R4" s="57">
        <v>0</v>
      </c>
      <c r="S4" s="58">
        <f t="shared" si="1"/>
        <v>0</v>
      </c>
      <c r="T4" s="538">
        <v>1000</v>
      </c>
      <c r="U4" s="548"/>
    </row>
    <row r="5" spans="1:21" s="6" customFormat="1" ht="19.899999999999999" customHeight="1" outlineLevel="2" x14ac:dyDescent="0.2">
      <c r="A5" s="25" t="s">
        <v>750</v>
      </c>
      <c r="B5" s="22" t="s">
        <v>613</v>
      </c>
      <c r="C5" s="22" t="s">
        <v>609</v>
      </c>
      <c r="D5" s="139" t="s">
        <v>9</v>
      </c>
      <c r="E5" s="331">
        <v>7230</v>
      </c>
      <c r="F5" s="57">
        <v>0</v>
      </c>
      <c r="G5" s="57">
        <v>0</v>
      </c>
      <c r="H5" s="58">
        <f t="shared" ref="H5:H17" si="2">+G5/E5</f>
        <v>0</v>
      </c>
      <c r="I5" s="165">
        <v>0</v>
      </c>
      <c r="J5" s="352">
        <v>11600</v>
      </c>
      <c r="K5" s="80">
        <v>5300</v>
      </c>
      <c r="L5" s="80">
        <v>5300</v>
      </c>
      <c r="M5" s="79">
        <f t="shared" si="0"/>
        <v>0.45689655172413796</v>
      </c>
      <c r="N5" s="351">
        <v>0</v>
      </c>
      <c r="O5" s="331">
        <v>11600</v>
      </c>
      <c r="P5" s="57">
        <v>9500</v>
      </c>
      <c r="Q5" s="57">
        <v>0</v>
      </c>
      <c r="R5" s="57">
        <v>0</v>
      </c>
      <c r="S5" s="58">
        <f t="shared" si="1"/>
        <v>0</v>
      </c>
      <c r="T5" s="538">
        <v>9500</v>
      </c>
      <c r="U5" s="548"/>
    </row>
    <row r="6" spans="1:21" s="6" customFormat="1" ht="19.899999999999999" customHeight="1" outlineLevel="2" x14ac:dyDescent="0.2">
      <c r="A6" s="25" t="s">
        <v>750</v>
      </c>
      <c r="B6" s="22" t="s">
        <v>610</v>
      </c>
      <c r="C6" s="22" t="s">
        <v>609</v>
      </c>
      <c r="D6" s="139" t="s">
        <v>17</v>
      </c>
      <c r="E6" s="330"/>
      <c r="F6" s="68"/>
      <c r="G6" s="68"/>
      <c r="H6" s="58"/>
      <c r="I6" s="164"/>
      <c r="J6" s="352">
        <v>14000</v>
      </c>
      <c r="K6" s="80">
        <v>0</v>
      </c>
      <c r="L6" s="80">
        <v>0</v>
      </c>
      <c r="M6" s="79">
        <f t="shared" si="0"/>
        <v>0</v>
      </c>
      <c r="N6" s="351">
        <v>0</v>
      </c>
      <c r="O6" s="330"/>
      <c r="P6" s="68"/>
      <c r="Q6" s="68"/>
      <c r="R6" s="68"/>
      <c r="S6" s="58"/>
      <c r="T6" s="537"/>
      <c r="U6" s="548"/>
    </row>
    <row r="7" spans="1:21" s="6" customFormat="1" ht="19.899999999999999" customHeight="1" outlineLevel="2" x14ac:dyDescent="0.2">
      <c r="A7" s="25" t="s">
        <v>750</v>
      </c>
      <c r="B7" s="22" t="s">
        <v>614</v>
      </c>
      <c r="C7" s="22" t="s">
        <v>609</v>
      </c>
      <c r="D7" s="139" t="s">
        <v>17</v>
      </c>
      <c r="E7" s="331">
        <v>0</v>
      </c>
      <c r="F7" s="57">
        <v>10638</v>
      </c>
      <c r="G7" s="57">
        <v>8651.08</v>
      </c>
      <c r="H7" s="58"/>
      <c r="I7" s="165">
        <v>1986.92</v>
      </c>
      <c r="J7" s="352">
        <v>0</v>
      </c>
      <c r="K7" s="80">
        <v>13830</v>
      </c>
      <c r="L7" s="80">
        <f>6079.67+2432.27</f>
        <v>8511.94</v>
      </c>
      <c r="M7" s="79">
        <v>0</v>
      </c>
      <c r="N7" s="351">
        <f>11397.73-6079.67</f>
        <v>5318.0599999999995</v>
      </c>
      <c r="O7" s="331">
        <v>0</v>
      </c>
      <c r="P7" s="57">
        <v>0</v>
      </c>
      <c r="Q7" s="57">
        <v>0</v>
      </c>
      <c r="R7" s="57">
        <v>198.84</v>
      </c>
      <c r="S7" s="58"/>
      <c r="T7" s="538">
        <v>-198.84</v>
      </c>
      <c r="U7" s="548"/>
    </row>
    <row r="8" spans="1:21" s="6" customFormat="1" ht="19.899999999999999" customHeight="1" outlineLevel="2" x14ac:dyDescent="0.2">
      <c r="A8" s="25" t="s">
        <v>750</v>
      </c>
      <c r="B8" s="22" t="s">
        <v>615</v>
      </c>
      <c r="C8" s="22" t="s">
        <v>609</v>
      </c>
      <c r="D8" s="139" t="s">
        <v>19</v>
      </c>
      <c r="E8" s="331">
        <v>6422</v>
      </c>
      <c r="F8" s="57">
        <v>43455</v>
      </c>
      <c r="G8" s="57">
        <v>37878.620000000003</v>
      </c>
      <c r="H8" s="58">
        <f t="shared" si="2"/>
        <v>5.8982591093117414</v>
      </c>
      <c r="I8" s="165">
        <v>5576.38</v>
      </c>
      <c r="J8" s="352">
        <v>19402</v>
      </c>
      <c r="K8" s="80">
        <v>18998</v>
      </c>
      <c r="L8" s="80">
        <v>17299.810000000001</v>
      </c>
      <c r="M8" s="79">
        <f t="shared" si="0"/>
        <v>0.89165086073600663</v>
      </c>
      <c r="N8" s="351">
        <v>1698.19</v>
      </c>
      <c r="O8" s="331">
        <v>33402</v>
      </c>
      <c r="P8" s="57">
        <v>29123</v>
      </c>
      <c r="Q8" s="57">
        <v>16885.580000000002</v>
      </c>
      <c r="R8" s="57">
        <v>7751.81</v>
      </c>
      <c r="S8" s="58">
        <f t="shared" si="1"/>
        <v>0.50552601640620332</v>
      </c>
      <c r="T8" s="538">
        <v>4485.6099999999997</v>
      </c>
      <c r="U8" s="548"/>
    </row>
    <row r="9" spans="1:21" s="6" customFormat="1" ht="19.899999999999999" customHeight="1" outlineLevel="2" x14ac:dyDescent="0.2">
      <c r="A9" s="25" t="s">
        <v>750</v>
      </c>
      <c r="B9" s="22" t="s">
        <v>616</v>
      </c>
      <c r="C9" s="22" t="s">
        <v>609</v>
      </c>
      <c r="D9" s="139" t="s">
        <v>23</v>
      </c>
      <c r="E9" s="331">
        <v>50</v>
      </c>
      <c r="F9" s="57">
        <v>0</v>
      </c>
      <c r="G9" s="57">
        <v>0</v>
      </c>
      <c r="H9" s="58">
        <f t="shared" si="2"/>
        <v>0</v>
      </c>
      <c r="I9" s="165">
        <v>0</v>
      </c>
      <c r="J9" s="352">
        <v>200</v>
      </c>
      <c r="K9" s="80">
        <v>774</v>
      </c>
      <c r="L9" s="80">
        <v>640.37</v>
      </c>
      <c r="M9" s="79">
        <f t="shared" si="0"/>
        <v>3.2018499999999999</v>
      </c>
      <c r="N9" s="351">
        <v>133.63</v>
      </c>
      <c r="O9" s="331">
        <v>200</v>
      </c>
      <c r="P9" s="57">
        <v>300</v>
      </c>
      <c r="Q9" s="57">
        <v>204.7</v>
      </c>
      <c r="R9" s="57">
        <v>0</v>
      </c>
      <c r="S9" s="58">
        <f t="shared" si="1"/>
        <v>1.0234999999999999</v>
      </c>
      <c r="T9" s="538">
        <v>95.3</v>
      </c>
      <c r="U9" s="548"/>
    </row>
    <row r="10" spans="1:21" s="6" customFormat="1" ht="19.899999999999999" customHeight="1" outlineLevel="2" x14ac:dyDescent="0.2">
      <c r="A10" s="25" t="s">
        <v>750</v>
      </c>
      <c r="B10" s="22" t="s">
        <v>617</v>
      </c>
      <c r="C10" s="22" t="s">
        <v>609</v>
      </c>
      <c r="D10" s="139" t="s">
        <v>25</v>
      </c>
      <c r="E10" s="331">
        <v>0</v>
      </c>
      <c r="F10" s="57">
        <v>0</v>
      </c>
      <c r="G10" s="57">
        <v>0</v>
      </c>
      <c r="H10" s="58"/>
      <c r="I10" s="165">
        <v>0</v>
      </c>
      <c r="J10" s="352">
        <v>0</v>
      </c>
      <c r="K10" s="80">
        <v>0</v>
      </c>
      <c r="L10" s="80">
        <v>0</v>
      </c>
      <c r="M10" s="79"/>
      <c r="N10" s="351">
        <v>0</v>
      </c>
      <c r="O10" s="331">
        <v>0</v>
      </c>
      <c r="P10" s="57">
        <v>0</v>
      </c>
      <c r="Q10" s="57">
        <v>206.49</v>
      </c>
      <c r="R10" s="57">
        <v>0</v>
      </c>
      <c r="S10" s="58">
        <v>0</v>
      </c>
      <c r="T10" s="538">
        <v>-206.49</v>
      </c>
      <c r="U10" s="548"/>
    </row>
    <row r="11" spans="1:21" s="6" customFormat="1" ht="19.899999999999999" customHeight="1" outlineLevel="2" x14ac:dyDescent="0.2">
      <c r="A11" s="25" t="s">
        <v>750</v>
      </c>
      <c r="B11" s="22" t="s">
        <v>618</v>
      </c>
      <c r="C11" s="22" t="s">
        <v>609</v>
      </c>
      <c r="D11" s="139" t="s">
        <v>29</v>
      </c>
      <c r="E11" s="331">
        <v>19000</v>
      </c>
      <c r="F11" s="57">
        <v>23801</v>
      </c>
      <c r="G11" s="57">
        <v>23800.81</v>
      </c>
      <c r="H11" s="58">
        <f t="shared" si="2"/>
        <v>1.2526742105263158</v>
      </c>
      <c r="I11" s="165">
        <v>0.19</v>
      </c>
      <c r="J11" s="352">
        <v>30000</v>
      </c>
      <c r="K11" s="80">
        <v>29298</v>
      </c>
      <c r="L11" s="80">
        <v>29297.18</v>
      </c>
      <c r="M11" s="79">
        <f t="shared" si="0"/>
        <v>0.97657266666666664</v>
      </c>
      <c r="N11" s="351">
        <v>0.82</v>
      </c>
      <c r="O11" s="331">
        <v>30000</v>
      </c>
      <c r="P11" s="57">
        <v>31300</v>
      </c>
      <c r="Q11" s="57">
        <v>21401.5</v>
      </c>
      <c r="R11" s="57">
        <v>0</v>
      </c>
      <c r="S11" s="58">
        <f t="shared" si="1"/>
        <v>0.71338333333333337</v>
      </c>
      <c r="T11" s="538">
        <v>9898.5</v>
      </c>
      <c r="U11" s="548"/>
    </row>
    <row r="12" spans="1:21" s="6" customFormat="1" ht="19.899999999999999" customHeight="1" outlineLevel="2" x14ac:dyDescent="0.2">
      <c r="A12" s="25" t="s">
        <v>750</v>
      </c>
      <c r="B12" s="22" t="s">
        <v>619</v>
      </c>
      <c r="C12" s="22" t="s">
        <v>609</v>
      </c>
      <c r="D12" s="139" t="s">
        <v>115</v>
      </c>
      <c r="E12" s="330"/>
      <c r="F12" s="68"/>
      <c r="G12" s="68"/>
      <c r="H12" s="58"/>
      <c r="I12" s="164"/>
      <c r="J12" s="353"/>
      <c r="K12" s="81"/>
      <c r="L12" s="81"/>
      <c r="M12" s="79"/>
      <c r="N12" s="354"/>
      <c r="O12" s="331">
        <v>0</v>
      </c>
      <c r="P12" s="57">
        <v>2000</v>
      </c>
      <c r="Q12" s="57">
        <v>959.04</v>
      </c>
      <c r="R12" s="57">
        <v>0</v>
      </c>
      <c r="S12" s="58">
        <v>0</v>
      </c>
      <c r="T12" s="538">
        <v>1040.96</v>
      </c>
      <c r="U12" s="548"/>
    </row>
    <row r="13" spans="1:21" s="6" customFormat="1" ht="19.899999999999999" customHeight="1" outlineLevel="2" x14ac:dyDescent="0.2">
      <c r="A13" s="25" t="s">
        <v>750</v>
      </c>
      <c r="B13" s="22" t="s">
        <v>620</v>
      </c>
      <c r="C13" s="22" t="s">
        <v>609</v>
      </c>
      <c r="D13" s="139" t="s">
        <v>621</v>
      </c>
      <c r="E13" s="331">
        <v>6900</v>
      </c>
      <c r="F13" s="57">
        <v>5088</v>
      </c>
      <c r="G13" s="57">
        <v>5087.1000000000004</v>
      </c>
      <c r="H13" s="58">
        <f t="shared" si="2"/>
        <v>0.73726086956521741</v>
      </c>
      <c r="I13" s="165">
        <v>0.9</v>
      </c>
      <c r="J13" s="352">
        <v>6900</v>
      </c>
      <c r="K13" s="80">
        <v>3829</v>
      </c>
      <c r="L13" s="80">
        <v>3488.07</v>
      </c>
      <c r="M13" s="79">
        <f t="shared" si="0"/>
        <v>0.50551739130434781</v>
      </c>
      <c r="N13" s="351">
        <v>340.93</v>
      </c>
      <c r="O13" s="331">
        <v>6900</v>
      </c>
      <c r="P13" s="57">
        <v>7900</v>
      </c>
      <c r="Q13" s="57">
        <v>5907.34</v>
      </c>
      <c r="R13" s="57">
        <v>0</v>
      </c>
      <c r="S13" s="58">
        <f t="shared" si="1"/>
        <v>0.85613623188405796</v>
      </c>
      <c r="T13" s="538">
        <v>1992.66</v>
      </c>
      <c r="U13" s="548"/>
    </row>
    <row r="14" spans="1:21" s="6" customFormat="1" ht="19.899999999999999" customHeight="1" outlineLevel="2" x14ac:dyDescent="0.2">
      <c r="A14" s="25" t="s">
        <v>750</v>
      </c>
      <c r="B14" s="22" t="s">
        <v>622</v>
      </c>
      <c r="C14" s="22" t="s">
        <v>609</v>
      </c>
      <c r="D14" s="139" t="s">
        <v>35</v>
      </c>
      <c r="E14" s="331">
        <v>500</v>
      </c>
      <c r="F14" s="57">
        <v>731</v>
      </c>
      <c r="G14" s="57">
        <v>730.99</v>
      </c>
      <c r="H14" s="58">
        <f t="shared" si="2"/>
        <v>1.4619800000000001</v>
      </c>
      <c r="I14" s="165">
        <v>0.01</v>
      </c>
      <c r="J14" s="352">
        <v>2500</v>
      </c>
      <c r="K14" s="80">
        <v>5118</v>
      </c>
      <c r="L14" s="80">
        <v>5118.5</v>
      </c>
      <c r="M14" s="79">
        <f t="shared" si="0"/>
        <v>2.0474000000000001</v>
      </c>
      <c r="N14" s="351">
        <v>-0.5</v>
      </c>
      <c r="O14" s="331">
        <v>2500</v>
      </c>
      <c r="P14" s="57">
        <v>1400</v>
      </c>
      <c r="Q14" s="57">
        <v>763.58</v>
      </c>
      <c r="R14" s="57">
        <v>0</v>
      </c>
      <c r="S14" s="58">
        <f t="shared" si="1"/>
        <v>0.30543200000000004</v>
      </c>
      <c r="T14" s="538">
        <v>636.41999999999996</v>
      </c>
      <c r="U14" s="548"/>
    </row>
    <row r="15" spans="1:21" s="6" customFormat="1" ht="19.899999999999999" customHeight="1" outlineLevel="2" x14ac:dyDescent="0.2">
      <c r="A15" s="25" t="s">
        <v>750</v>
      </c>
      <c r="B15" s="22" t="s">
        <v>623</v>
      </c>
      <c r="C15" s="22" t="s">
        <v>609</v>
      </c>
      <c r="D15" s="139" t="s">
        <v>37</v>
      </c>
      <c r="E15" s="331">
        <v>500</v>
      </c>
      <c r="F15" s="57">
        <v>447</v>
      </c>
      <c r="G15" s="57">
        <v>447</v>
      </c>
      <c r="H15" s="58">
        <f t="shared" si="2"/>
        <v>0.89400000000000002</v>
      </c>
      <c r="I15" s="165">
        <v>0</v>
      </c>
      <c r="J15" s="352">
        <v>700</v>
      </c>
      <c r="K15" s="80">
        <v>3725</v>
      </c>
      <c r="L15" s="80">
        <v>3725</v>
      </c>
      <c r="M15" s="79">
        <f t="shared" si="0"/>
        <v>5.3214285714285712</v>
      </c>
      <c r="N15" s="351">
        <v>0</v>
      </c>
      <c r="O15" s="331">
        <v>700</v>
      </c>
      <c r="P15" s="57">
        <v>3100</v>
      </c>
      <c r="Q15" s="57">
        <v>2605</v>
      </c>
      <c r="R15" s="57">
        <v>0</v>
      </c>
      <c r="S15" s="58">
        <f t="shared" si="1"/>
        <v>3.7214285714285715</v>
      </c>
      <c r="T15" s="538">
        <v>495</v>
      </c>
      <c r="U15" s="548"/>
    </row>
    <row r="16" spans="1:21" s="6" customFormat="1" ht="19.899999999999999" customHeight="1" outlineLevel="2" x14ac:dyDescent="0.2">
      <c r="A16" s="25" t="s">
        <v>750</v>
      </c>
      <c r="B16" s="22" t="s">
        <v>624</v>
      </c>
      <c r="C16" s="22" t="s">
        <v>609</v>
      </c>
      <c r="D16" s="139" t="s">
        <v>51</v>
      </c>
      <c r="E16" s="331">
        <v>0</v>
      </c>
      <c r="F16" s="57">
        <v>3257</v>
      </c>
      <c r="G16" s="57">
        <v>3256.74</v>
      </c>
      <c r="H16" s="58"/>
      <c r="I16" s="165">
        <v>0.26</v>
      </c>
      <c r="J16" s="352">
        <v>2000</v>
      </c>
      <c r="K16" s="80">
        <v>2000</v>
      </c>
      <c r="L16" s="80">
        <v>6381.34</v>
      </c>
      <c r="M16" s="79">
        <f t="shared" si="0"/>
        <v>3.1906699999999999</v>
      </c>
      <c r="N16" s="351">
        <f>2000-6381.34</f>
        <v>-4381.34</v>
      </c>
      <c r="O16" s="331">
        <v>2000</v>
      </c>
      <c r="P16" s="57">
        <v>9979</v>
      </c>
      <c r="Q16" s="57">
        <v>5194.62</v>
      </c>
      <c r="R16" s="57">
        <v>0</v>
      </c>
      <c r="S16" s="58">
        <f t="shared" si="1"/>
        <v>2.5973099999999998</v>
      </c>
      <c r="T16" s="538">
        <v>4784.38</v>
      </c>
      <c r="U16" s="548"/>
    </row>
    <row r="17" spans="1:21" s="6" customFormat="1" ht="19.899999999999999" customHeight="1" outlineLevel="1" thickBot="1" x14ac:dyDescent="0.25">
      <c r="A17" s="366" t="s">
        <v>762</v>
      </c>
      <c r="B17" s="3"/>
      <c r="C17" s="3"/>
      <c r="D17" s="3"/>
      <c r="E17" s="372">
        <f>SUBTOTAL(9,E3:E16)</f>
        <v>40602</v>
      </c>
      <c r="F17" s="208">
        <f>SUBTOTAL(9,F3:F16)</f>
        <v>93991</v>
      </c>
      <c r="G17" s="208">
        <f>SUBTOTAL(9,G3:G16)</f>
        <v>86425.620000000024</v>
      </c>
      <c r="H17" s="93">
        <f t="shared" si="2"/>
        <v>2.1286049948278416</v>
      </c>
      <c r="I17" s="367">
        <f>SUBTOTAL(9,I3:I16)</f>
        <v>7565.38</v>
      </c>
      <c r="J17" s="372">
        <f>SUBTOTAL(9,J3:J16)</f>
        <v>95602</v>
      </c>
      <c r="K17" s="208">
        <f>SUBTOTAL(9,K3:K16)</f>
        <v>85372</v>
      </c>
      <c r="L17" s="208">
        <f>SUBTOTAL(9,L3:L16)</f>
        <v>82201.33</v>
      </c>
      <c r="M17" s="93">
        <f t="shared" si="0"/>
        <v>0.85982856007196506</v>
      </c>
      <c r="N17" s="367">
        <f>SUBTOTAL(9,N3:N16)</f>
        <v>3170.6699999999992</v>
      </c>
      <c r="O17" s="372">
        <f>SUBTOTAL(9,O3:O16)</f>
        <v>95602</v>
      </c>
      <c r="P17" s="208">
        <f>SUBTOTAL(9,P3:P16)</f>
        <v>95602</v>
      </c>
      <c r="Q17" s="208">
        <f>SUBTOTAL(9,Q3:Q16)</f>
        <v>54127.850000000013</v>
      </c>
      <c r="R17" s="208">
        <f>SUBTOTAL(9,R3:R16)</f>
        <v>7950.6500000000005</v>
      </c>
      <c r="S17" s="93">
        <f t="shared" si="1"/>
        <v>0.566179054831489</v>
      </c>
      <c r="T17" s="549">
        <f>SUBTOTAL(9,T3:T16)</f>
        <v>33523.5</v>
      </c>
      <c r="U17" s="548"/>
    </row>
    <row r="18" spans="1:21" ht="19.899999999999999" customHeight="1" thickTop="1" thickBot="1" x14ac:dyDescent="0.25">
      <c r="A18" s="27"/>
      <c r="B18" s="91"/>
      <c r="C18" s="91"/>
      <c r="D18" s="91"/>
      <c r="E18" s="27"/>
      <c r="F18" s="91"/>
      <c r="G18" s="91"/>
      <c r="H18" s="91"/>
      <c r="I18" s="38"/>
      <c r="J18" s="27"/>
      <c r="K18" s="91"/>
      <c r="L18" s="91"/>
      <c r="M18" s="91"/>
      <c r="N18" s="38"/>
      <c r="O18" s="27"/>
      <c r="P18" s="91"/>
      <c r="Q18" s="91"/>
      <c r="R18" s="91"/>
      <c r="S18" s="91"/>
      <c r="T18" s="91"/>
      <c r="U18" s="552"/>
    </row>
  </sheetData>
  <mergeCells count="3">
    <mergeCell ref="E1:I1"/>
    <mergeCell ref="J1:N1"/>
    <mergeCell ref="O1:T1"/>
  </mergeCells>
  <printOptions horizontalCentered="1"/>
  <pageMargins left="0" right="0" top="0.75" bottom="0.75" header="0.3" footer="0.3"/>
  <pageSetup paperSize="5" scale="93" orientation="landscape" r:id="rId1"/>
  <headerFooter>
    <oddHeader>&amp;CMISSION COLLEGE
Fund 100 - Operating Budget vs Actual Spending for FY10/11, FY11/12 &amp; FY12/13</oddHeader>
    <oddFooter>&amp;ROffice of Administrative Services
&amp;Z&amp;F &amp;A   March 20, 2013 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6"/>
  <sheetViews>
    <sheetView tabSelected="1" topLeftCell="A52" workbookViewId="0">
      <selection activeCell="A71" sqref="A71:XFD73"/>
    </sheetView>
  </sheetViews>
  <sheetFormatPr defaultRowHeight="12.75" outlineLevelRow="2" x14ac:dyDescent="0.2"/>
  <cols>
    <col min="1" max="1" width="8.28515625" style="19" customWidth="1"/>
    <col min="2" max="2" width="20.42578125" bestFit="1" customWidth="1"/>
    <col min="3" max="3" width="17" customWidth="1"/>
    <col min="4" max="4" width="20.140625" bestFit="1" customWidth="1"/>
    <col min="5" max="6" width="7.140625" customWidth="1"/>
    <col min="7" max="7" width="7.5703125" customWidth="1"/>
    <col min="8" max="8" width="6.7109375" customWidth="1"/>
    <col min="9" max="9" width="6" customWidth="1"/>
    <col min="10" max="11" width="7.7109375" customWidth="1"/>
    <col min="12" max="12" width="7.5703125" customWidth="1"/>
    <col min="13" max="13" width="6.7109375" customWidth="1"/>
    <col min="14" max="14" width="7.5703125" customWidth="1"/>
    <col min="15" max="15" width="9.140625" bestFit="1" customWidth="1"/>
    <col min="16" max="16" width="7.7109375" bestFit="1" customWidth="1"/>
    <col min="17" max="17" width="7.5703125" bestFit="1" customWidth="1"/>
    <col min="18" max="18" width="6.5703125" customWidth="1"/>
    <col min="19" max="19" width="6.85546875" customWidth="1"/>
    <col min="20" max="20" width="6.7109375" customWidth="1"/>
    <col min="21" max="21" width="29.85546875" bestFit="1" customWidth="1"/>
  </cols>
  <sheetData>
    <row r="1" spans="1:21" ht="13.5" thickBot="1" x14ac:dyDescent="0.25">
      <c r="A1" s="94"/>
      <c r="B1" s="88"/>
      <c r="C1" s="88"/>
      <c r="D1" s="88"/>
      <c r="E1" s="662" t="s">
        <v>791</v>
      </c>
      <c r="F1" s="663"/>
      <c r="G1" s="663"/>
      <c r="H1" s="663"/>
      <c r="I1" s="664"/>
      <c r="J1" s="662" t="s">
        <v>790</v>
      </c>
      <c r="K1" s="663"/>
      <c r="L1" s="663"/>
      <c r="M1" s="663"/>
      <c r="N1" s="664"/>
      <c r="O1" s="662" t="s">
        <v>792</v>
      </c>
      <c r="P1" s="663"/>
      <c r="Q1" s="663"/>
      <c r="R1" s="663"/>
      <c r="S1" s="663"/>
      <c r="T1" s="664"/>
      <c r="U1" s="518" t="s">
        <v>825</v>
      </c>
    </row>
    <row r="2" spans="1:21" ht="45.75" thickBot="1" x14ac:dyDescent="0.25">
      <c r="A2" s="106"/>
      <c r="B2" s="107" t="s">
        <v>732</v>
      </c>
      <c r="C2" s="101" t="s">
        <v>735</v>
      </c>
      <c r="D2" s="101" t="s">
        <v>733</v>
      </c>
      <c r="E2" s="344" t="s">
        <v>0</v>
      </c>
      <c r="F2" s="102" t="s">
        <v>1</v>
      </c>
      <c r="G2" s="102" t="s">
        <v>772</v>
      </c>
      <c r="H2" s="102" t="s">
        <v>793</v>
      </c>
      <c r="I2" s="105" t="s">
        <v>3</v>
      </c>
      <c r="J2" s="344" t="s">
        <v>0</v>
      </c>
      <c r="K2" s="102" t="s">
        <v>1</v>
      </c>
      <c r="L2" s="102" t="s">
        <v>772</v>
      </c>
      <c r="M2" s="103" t="s">
        <v>793</v>
      </c>
      <c r="N2" s="105" t="s">
        <v>3</v>
      </c>
      <c r="O2" s="344" t="s">
        <v>0</v>
      </c>
      <c r="P2" s="102" t="s">
        <v>1</v>
      </c>
      <c r="Q2" s="102" t="s">
        <v>772</v>
      </c>
      <c r="R2" s="104" t="s">
        <v>2</v>
      </c>
      <c r="S2" s="103" t="s">
        <v>793</v>
      </c>
      <c r="T2" s="105" t="s">
        <v>3</v>
      </c>
      <c r="U2" s="529" t="s">
        <v>826</v>
      </c>
    </row>
    <row r="3" spans="1:21" s="6" customFormat="1" ht="13.9" customHeight="1" outlineLevel="2" x14ac:dyDescent="0.2">
      <c r="A3" s="108" t="s">
        <v>746</v>
      </c>
      <c r="B3" s="109" t="s">
        <v>341</v>
      </c>
      <c r="C3" s="110" t="s">
        <v>340</v>
      </c>
      <c r="D3" s="195" t="s">
        <v>17</v>
      </c>
      <c r="E3" s="345">
        <v>1600</v>
      </c>
      <c r="F3" s="111">
        <v>1995</v>
      </c>
      <c r="G3" s="111">
        <v>1990.36</v>
      </c>
      <c r="H3" s="112">
        <f t="shared" ref="H3:H52" si="0">+G3/E3</f>
        <v>1.2439749999999998</v>
      </c>
      <c r="I3" s="115">
        <v>4.6399999999999997</v>
      </c>
      <c r="J3" s="346">
        <v>2000</v>
      </c>
      <c r="K3" s="113">
        <v>2000</v>
      </c>
      <c r="L3" s="113">
        <f>1777.28+211.04</f>
        <v>1988.32</v>
      </c>
      <c r="M3" s="114">
        <f t="shared" ref="M3:M52" si="1">+L3/J3</f>
        <v>0.99415999999999993</v>
      </c>
      <c r="N3" s="347">
        <f>2000-211.04-1777.28</f>
        <v>11.680000000000064</v>
      </c>
      <c r="O3" s="345">
        <v>4500</v>
      </c>
      <c r="P3" s="111">
        <v>0</v>
      </c>
      <c r="Q3" s="111">
        <v>0</v>
      </c>
      <c r="R3" s="111">
        <v>0</v>
      </c>
      <c r="S3" s="112">
        <f t="shared" ref="S3:S52" si="2">+Q3/O3</f>
        <v>0</v>
      </c>
      <c r="T3" s="115">
        <v>0</v>
      </c>
      <c r="U3" s="531" t="s">
        <v>847</v>
      </c>
    </row>
    <row r="4" spans="1:21" s="6" customFormat="1" ht="13.9" customHeight="1" outlineLevel="2" x14ac:dyDescent="0.2">
      <c r="A4" s="95" t="s">
        <v>746</v>
      </c>
      <c r="B4" s="3" t="s">
        <v>342</v>
      </c>
      <c r="C4" s="22" t="s">
        <v>340</v>
      </c>
      <c r="D4" s="139" t="s">
        <v>246</v>
      </c>
      <c r="E4" s="146">
        <v>1600</v>
      </c>
      <c r="F4" s="69">
        <v>1600</v>
      </c>
      <c r="G4" s="69">
        <v>1133.92</v>
      </c>
      <c r="H4" s="67">
        <f t="shared" si="0"/>
        <v>0.7087</v>
      </c>
      <c r="I4" s="89">
        <v>466.08</v>
      </c>
      <c r="J4" s="331">
        <v>1600</v>
      </c>
      <c r="K4" s="57">
        <v>0</v>
      </c>
      <c r="L4" s="57">
        <v>0</v>
      </c>
      <c r="M4" s="58">
        <f t="shared" si="1"/>
        <v>0</v>
      </c>
      <c r="N4" s="165">
        <v>0</v>
      </c>
      <c r="O4" s="146">
        <v>1600</v>
      </c>
      <c r="P4" s="69">
        <v>1600</v>
      </c>
      <c r="Q4" s="69">
        <v>1270.28</v>
      </c>
      <c r="R4" s="69">
        <v>0</v>
      </c>
      <c r="S4" s="67">
        <f t="shared" si="2"/>
        <v>0.79392499999999999</v>
      </c>
      <c r="T4" s="89">
        <v>329.72</v>
      </c>
      <c r="U4" s="519" t="s">
        <v>847</v>
      </c>
    </row>
    <row r="5" spans="1:21" s="6" customFormat="1" ht="13.9" customHeight="1" outlineLevel="2" x14ac:dyDescent="0.2">
      <c r="A5" s="95" t="s">
        <v>746</v>
      </c>
      <c r="B5" s="3" t="s">
        <v>343</v>
      </c>
      <c r="C5" s="22" t="s">
        <v>340</v>
      </c>
      <c r="D5" s="139" t="s">
        <v>334</v>
      </c>
      <c r="E5" s="146">
        <v>1900</v>
      </c>
      <c r="F5" s="69">
        <v>1900</v>
      </c>
      <c r="G5" s="69">
        <v>1884.98</v>
      </c>
      <c r="H5" s="67">
        <f t="shared" si="0"/>
        <v>0.99209473684210525</v>
      </c>
      <c r="I5" s="89">
        <v>15.02</v>
      </c>
      <c r="J5" s="331">
        <v>2500</v>
      </c>
      <c r="K5" s="57">
        <v>2500</v>
      </c>
      <c r="L5" s="57">
        <v>0</v>
      </c>
      <c r="M5" s="58">
        <f t="shared" si="1"/>
        <v>0</v>
      </c>
      <c r="N5" s="165">
        <v>2500</v>
      </c>
      <c r="O5" s="145"/>
      <c r="P5" s="66"/>
      <c r="Q5" s="66"/>
      <c r="R5" s="66"/>
      <c r="S5" s="67"/>
      <c r="T5" s="90"/>
      <c r="U5" s="519"/>
    </row>
    <row r="6" spans="1:21" s="6" customFormat="1" ht="13.9" customHeight="1" outlineLevel="2" x14ac:dyDescent="0.2">
      <c r="A6" s="95" t="s">
        <v>746</v>
      </c>
      <c r="B6" s="3" t="s">
        <v>344</v>
      </c>
      <c r="C6" s="22" t="s">
        <v>340</v>
      </c>
      <c r="D6" s="139" t="s">
        <v>19</v>
      </c>
      <c r="E6" s="146">
        <v>200</v>
      </c>
      <c r="F6" s="69">
        <v>200</v>
      </c>
      <c r="G6" s="69">
        <v>0</v>
      </c>
      <c r="H6" s="67">
        <f t="shared" si="0"/>
        <v>0</v>
      </c>
      <c r="I6" s="89">
        <v>200</v>
      </c>
      <c r="J6" s="331">
        <v>200</v>
      </c>
      <c r="K6" s="57">
        <v>200</v>
      </c>
      <c r="L6" s="57">
        <v>0</v>
      </c>
      <c r="M6" s="58">
        <f t="shared" si="1"/>
        <v>0</v>
      </c>
      <c r="N6" s="165">
        <v>200</v>
      </c>
      <c r="O6" s="146">
        <v>200</v>
      </c>
      <c r="P6" s="69">
        <v>200</v>
      </c>
      <c r="Q6" s="69">
        <v>99.36</v>
      </c>
      <c r="R6" s="69">
        <v>0</v>
      </c>
      <c r="S6" s="67">
        <f t="shared" si="2"/>
        <v>0.49680000000000002</v>
      </c>
      <c r="T6" s="89">
        <v>100.64</v>
      </c>
      <c r="U6" s="519"/>
    </row>
    <row r="7" spans="1:21" s="6" customFormat="1" ht="13.9" customHeight="1" outlineLevel="2" x14ac:dyDescent="0.2">
      <c r="A7" s="95" t="s">
        <v>746</v>
      </c>
      <c r="B7" s="3" t="s">
        <v>345</v>
      </c>
      <c r="C7" s="22" t="s">
        <v>346</v>
      </c>
      <c r="D7" s="139" t="s">
        <v>19</v>
      </c>
      <c r="E7" s="146">
        <v>269</v>
      </c>
      <c r="F7" s="69">
        <v>1019</v>
      </c>
      <c r="G7" s="69">
        <v>1018.3</v>
      </c>
      <c r="H7" s="67">
        <f t="shared" si="0"/>
        <v>3.7855018587360592</v>
      </c>
      <c r="I7" s="89">
        <v>0.7</v>
      </c>
      <c r="J7" s="331">
        <v>269</v>
      </c>
      <c r="K7" s="57">
        <v>853</v>
      </c>
      <c r="L7" s="57">
        <v>852.52</v>
      </c>
      <c r="M7" s="58">
        <f t="shared" si="1"/>
        <v>3.1692193308550185</v>
      </c>
      <c r="N7" s="165">
        <f>853-852.52</f>
        <v>0.48000000000001819</v>
      </c>
      <c r="O7" s="146">
        <v>269</v>
      </c>
      <c r="P7" s="69">
        <v>269</v>
      </c>
      <c r="Q7" s="69">
        <v>186.64</v>
      </c>
      <c r="R7" s="69">
        <v>0</v>
      </c>
      <c r="S7" s="67">
        <f t="shared" si="2"/>
        <v>0.69382899628252781</v>
      </c>
      <c r="T7" s="89">
        <v>82.36</v>
      </c>
      <c r="U7" s="519"/>
    </row>
    <row r="8" spans="1:21" s="6" customFormat="1" ht="13.9" customHeight="1" outlineLevel="2" x14ac:dyDescent="0.2">
      <c r="A8" s="95" t="s">
        <v>746</v>
      </c>
      <c r="B8" s="3" t="s">
        <v>349</v>
      </c>
      <c r="C8" s="22" t="s">
        <v>348</v>
      </c>
      <c r="D8" s="139" t="s">
        <v>17</v>
      </c>
      <c r="E8" s="145"/>
      <c r="F8" s="66"/>
      <c r="G8" s="66"/>
      <c r="H8" s="67"/>
      <c r="I8" s="90"/>
      <c r="J8" s="331">
        <v>0</v>
      </c>
      <c r="K8" s="57">
        <v>0</v>
      </c>
      <c r="L8" s="57">
        <v>0</v>
      </c>
      <c r="M8" s="58"/>
      <c r="N8" s="165">
        <v>0</v>
      </c>
      <c r="O8" s="145"/>
      <c r="P8" s="66"/>
      <c r="Q8" s="66"/>
      <c r="R8" s="66"/>
      <c r="S8" s="67"/>
      <c r="T8" s="90"/>
      <c r="U8" s="519"/>
    </row>
    <row r="9" spans="1:21" s="6" customFormat="1" ht="13.9" customHeight="1" outlineLevel="2" x14ac:dyDescent="0.2">
      <c r="A9" s="95" t="s">
        <v>746</v>
      </c>
      <c r="B9" s="3" t="s">
        <v>350</v>
      </c>
      <c r="C9" s="22" t="s">
        <v>348</v>
      </c>
      <c r="D9" s="139" t="s">
        <v>246</v>
      </c>
      <c r="E9" s="146">
        <v>750</v>
      </c>
      <c r="F9" s="69">
        <v>1301</v>
      </c>
      <c r="G9" s="69">
        <v>1299.3599999999999</v>
      </c>
      <c r="H9" s="67">
        <f t="shared" si="0"/>
        <v>1.7324799999999998</v>
      </c>
      <c r="I9" s="89">
        <v>1.64</v>
      </c>
      <c r="J9" s="331">
        <v>750</v>
      </c>
      <c r="K9" s="57">
        <v>0</v>
      </c>
      <c r="L9" s="57">
        <v>0</v>
      </c>
      <c r="M9" s="58">
        <f t="shared" si="1"/>
        <v>0</v>
      </c>
      <c r="N9" s="165">
        <v>0</v>
      </c>
      <c r="O9" s="146">
        <v>750</v>
      </c>
      <c r="P9" s="69">
        <v>750</v>
      </c>
      <c r="Q9" s="69">
        <v>551.48</v>
      </c>
      <c r="R9" s="69">
        <v>0</v>
      </c>
      <c r="S9" s="67">
        <f t="shared" si="2"/>
        <v>0.73530666666666666</v>
      </c>
      <c r="T9" s="89">
        <v>198.52</v>
      </c>
      <c r="U9" s="519"/>
    </row>
    <row r="10" spans="1:21" s="6" customFormat="1" ht="13.9" customHeight="1" outlineLevel="2" x14ac:dyDescent="0.2">
      <c r="A10" s="95" t="s">
        <v>746</v>
      </c>
      <c r="B10" s="3" t="s">
        <v>352</v>
      </c>
      <c r="C10" s="22" t="s">
        <v>351</v>
      </c>
      <c r="D10" s="139" t="s">
        <v>313</v>
      </c>
      <c r="E10" s="146">
        <v>5967</v>
      </c>
      <c r="F10" s="69">
        <v>5967</v>
      </c>
      <c r="G10" s="69">
        <v>4804.33</v>
      </c>
      <c r="H10" s="67">
        <f t="shared" si="0"/>
        <v>0.80514999162057987</v>
      </c>
      <c r="I10" s="89">
        <v>1162.67</v>
      </c>
      <c r="J10" s="331">
        <v>5967</v>
      </c>
      <c r="K10" s="57">
        <v>4800</v>
      </c>
      <c r="L10" s="57">
        <v>4799.49</v>
      </c>
      <c r="M10" s="58">
        <f t="shared" si="1"/>
        <v>0.80433886375062846</v>
      </c>
      <c r="N10" s="165">
        <v>0.51</v>
      </c>
      <c r="O10" s="146">
        <v>5967</v>
      </c>
      <c r="P10" s="69">
        <v>5967</v>
      </c>
      <c r="Q10" s="69">
        <v>2530.13</v>
      </c>
      <c r="R10" s="69">
        <v>0</v>
      </c>
      <c r="S10" s="67">
        <f t="shared" si="2"/>
        <v>0.42402044578515169</v>
      </c>
      <c r="T10" s="89">
        <v>3436.87</v>
      </c>
      <c r="U10" s="519"/>
    </row>
    <row r="11" spans="1:21" s="6" customFormat="1" ht="13.9" customHeight="1" outlineLevel="2" x14ac:dyDescent="0.2">
      <c r="A11" s="95" t="s">
        <v>746</v>
      </c>
      <c r="B11" s="3" t="s">
        <v>353</v>
      </c>
      <c r="C11" s="22" t="s">
        <v>351</v>
      </c>
      <c r="D11" s="139" t="s">
        <v>17</v>
      </c>
      <c r="E11" s="146">
        <v>1225</v>
      </c>
      <c r="F11" s="69">
        <v>1361</v>
      </c>
      <c r="G11" s="69">
        <v>1313.57</v>
      </c>
      <c r="H11" s="67">
        <f t="shared" si="0"/>
        <v>1.0723020408163264</v>
      </c>
      <c r="I11" s="89">
        <v>47.43</v>
      </c>
      <c r="J11" s="331">
        <v>1225</v>
      </c>
      <c r="K11" s="57">
        <v>1525</v>
      </c>
      <c r="L11" s="57">
        <v>1494.62</v>
      </c>
      <c r="M11" s="58">
        <f t="shared" si="1"/>
        <v>1.2200979591836734</v>
      </c>
      <c r="N11" s="165">
        <f>1525-1494.62</f>
        <v>30.380000000000109</v>
      </c>
      <c r="O11" s="146">
        <v>1225</v>
      </c>
      <c r="P11" s="69">
        <v>0</v>
      </c>
      <c r="Q11" s="69">
        <v>0</v>
      </c>
      <c r="R11" s="69">
        <v>0</v>
      </c>
      <c r="S11" s="67">
        <f t="shared" si="2"/>
        <v>0</v>
      </c>
      <c r="T11" s="89">
        <v>0</v>
      </c>
      <c r="U11" s="519"/>
    </row>
    <row r="12" spans="1:21" s="6" customFormat="1" ht="13.9" customHeight="1" outlineLevel="2" x14ac:dyDescent="0.2">
      <c r="A12" s="95" t="s">
        <v>746</v>
      </c>
      <c r="B12" s="3" t="s">
        <v>354</v>
      </c>
      <c r="C12" s="22" t="s">
        <v>351</v>
      </c>
      <c r="D12" s="139" t="s">
        <v>246</v>
      </c>
      <c r="E12" s="146">
        <v>500</v>
      </c>
      <c r="F12" s="69">
        <v>364</v>
      </c>
      <c r="G12" s="69">
        <v>99.4</v>
      </c>
      <c r="H12" s="67">
        <f t="shared" si="0"/>
        <v>0.1988</v>
      </c>
      <c r="I12" s="89">
        <v>264.60000000000002</v>
      </c>
      <c r="J12" s="331">
        <v>500</v>
      </c>
      <c r="K12" s="57">
        <v>0</v>
      </c>
      <c r="L12" s="57">
        <v>0</v>
      </c>
      <c r="M12" s="58">
        <f t="shared" si="1"/>
        <v>0</v>
      </c>
      <c r="N12" s="165">
        <v>0</v>
      </c>
      <c r="O12" s="146">
        <v>500</v>
      </c>
      <c r="P12" s="69">
        <v>500</v>
      </c>
      <c r="Q12" s="69">
        <v>50</v>
      </c>
      <c r="R12" s="69">
        <v>0</v>
      </c>
      <c r="S12" s="67">
        <f t="shared" si="2"/>
        <v>0.1</v>
      </c>
      <c r="T12" s="89">
        <v>450</v>
      </c>
      <c r="U12" s="519"/>
    </row>
    <row r="13" spans="1:21" s="6" customFormat="1" ht="13.9" customHeight="1" outlineLevel="2" x14ac:dyDescent="0.2">
      <c r="A13" s="599" t="s">
        <v>746</v>
      </c>
      <c r="B13" s="600" t="s">
        <v>356</v>
      </c>
      <c r="C13" s="587" t="s">
        <v>355</v>
      </c>
      <c r="D13" s="588" t="s">
        <v>17</v>
      </c>
      <c r="E13" s="146">
        <v>150</v>
      </c>
      <c r="F13" s="69">
        <v>0</v>
      </c>
      <c r="G13" s="69">
        <v>0</v>
      </c>
      <c r="H13" s="67">
        <f t="shared" si="0"/>
        <v>0</v>
      </c>
      <c r="I13" s="89">
        <v>0</v>
      </c>
      <c r="J13" s="331">
        <v>150</v>
      </c>
      <c r="K13" s="57">
        <v>150</v>
      </c>
      <c r="L13" s="57">
        <v>96.92</v>
      </c>
      <c r="M13" s="58">
        <f t="shared" si="1"/>
        <v>0.64613333333333334</v>
      </c>
      <c r="N13" s="165">
        <f>150-96.92</f>
        <v>53.08</v>
      </c>
      <c r="O13" s="146">
        <v>150</v>
      </c>
      <c r="P13" s="69">
        <v>0</v>
      </c>
      <c r="Q13" s="69">
        <v>0</v>
      </c>
      <c r="R13" s="69">
        <v>0</v>
      </c>
      <c r="S13" s="67">
        <f t="shared" si="2"/>
        <v>0</v>
      </c>
      <c r="T13" s="89">
        <v>0</v>
      </c>
      <c r="U13" s="519" t="s">
        <v>843</v>
      </c>
    </row>
    <row r="14" spans="1:21" s="6" customFormat="1" ht="13.9" customHeight="1" outlineLevel="2" x14ac:dyDescent="0.2">
      <c r="A14" s="599" t="s">
        <v>746</v>
      </c>
      <c r="B14" s="600" t="s">
        <v>357</v>
      </c>
      <c r="C14" s="587" t="s">
        <v>355</v>
      </c>
      <c r="D14" s="588" t="s">
        <v>246</v>
      </c>
      <c r="E14" s="146">
        <v>500</v>
      </c>
      <c r="F14" s="69">
        <v>500</v>
      </c>
      <c r="G14" s="69">
        <v>171.6</v>
      </c>
      <c r="H14" s="67">
        <f t="shared" si="0"/>
        <v>0.34320000000000001</v>
      </c>
      <c r="I14" s="89">
        <v>328.4</v>
      </c>
      <c r="J14" s="331">
        <v>500</v>
      </c>
      <c r="K14" s="57">
        <v>0</v>
      </c>
      <c r="L14" s="57">
        <v>0</v>
      </c>
      <c r="M14" s="58">
        <f t="shared" si="1"/>
        <v>0</v>
      </c>
      <c r="N14" s="165">
        <v>0</v>
      </c>
      <c r="O14" s="146">
        <v>500</v>
      </c>
      <c r="P14" s="69">
        <v>500</v>
      </c>
      <c r="Q14" s="69">
        <v>336.2</v>
      </c>
      <c r="R14" s="69">
        <v>0</v>
      </c>
      <c r="S14" s="67">
        <f t="shared" si="2"/>
        <v>0.6724</v>
      </c>
      <c r="T14" s="89">
        <v>163.80000000000001</v>
      </c>
      <c r="U14" s="519" t="s">
        <v>843</v>
      </c>
    </row>
    <row r="15" spans="1:21" s="6" customFormat="1" ht="13.9" customHeight="1" outlineLevel="2" x14ac:dyDescent="0.2">
      <c r="A15" s="599" t="s">
        <v>746</v>
      </c>
      <c r="B15" s="600" t="s">
        <v>359</v>
      </c>
      <c r="C15" s="587" t="s">
        <v>358</v>
      </c>
      <c r="D15" s="588" t="s">
        <v>17</v>
      </c>
      <c r="E15" s="146">
        <v>450</v>
      </c>
      <c r="F15" s="69">
        <v>302</v>
      </c>
      <c r="G15" s="69">
        <v>301.05</v>
      </c>
      <c r="H15" s="67">
        <f t="shared" si="0"/>
        <v>0.66900000000000004</v>
      </c>
      <c r="I15" s="89">
        <v>0.95</v>
      </c>
      <c r="J15" s="331">
        <v>450</v>
      </c>
      <c r="K15" s="57">
        <v>450</v>
      </c>
      <c r="L15" s="57">
        <v>262.3</v>
      </c>
      <c r="M15" s="58">
        <f t="shared" si="1"/>
        <v>0.5828888888888889</v>
      </c>
      <c r="N15" s="165">
        <f>450-262.3</f>
        <v>187.7</v>
      </c>
      <c r="O15" s="146">
        <v>450</v>
      </c>
      <c r="P15" s="69">
        <v>0</v>
      </c>
      <c r="Q15" s="69">
        <v>0</v>
      </c>
      <c r="R15" s="69">
        <v>0</v>
      </c>
      <c r="S15" s="67">
        <f t="shared" si="2"/>
        <v>0</v>
      </c>
      <c r="T15" s="89">
        <v>0</v>
      </c>
      <c r="U15" s="519" t="s">
        <v>843</v>
      </c>
    </row>
    <row r="16" spans="1:21" s="6" customFormat="1" ht="13.9" customHeight="1" outlineLevel="2" x14ac:dyDescent="0.2">
      <c r="A16" s="599" t="s">
        <v>746</v>
      </c>
      <c r="B16" s="600" t="s">
        <v>360</v>
      </c>
      <c r="C16" s="587" t="s">
        <v>358</v>
      </c>
      <c r="D16" s="588" t="s">
        <v>246</v>
      </c>
      <c r="E16" s="146">
        <v>850</v>
      </c>
      <c r="F16" s="69">
        <v>548</v>
      </c>
      <c r="G16" s="69">
        <v>281.8</v>
      </c>
      <c r="H16" s="67">
        <f t="shared" si="0"/>
        <v>0.33152941176470591</v>
      </c>
      <c r="I16" s="89">
        <v>266.2</v>
      </c>
      <c r="J16" s="331">
        <v>850</v>
      </c>
      <c r="K16" s="57">
        <v>0</v>
      </c>
      <c r="L16" s="57">
        <v>0</v>
      </c>
      <c r="M16" s="58">
        <f t="shared" si="1"/>
        <v>0</v>
      </c>
      <c r="N16" s="165">
        <v>0</v>
      </c>
      <c r="O16" s="146">
        <v>850</v>
      </c>
      <c r="P16" s="69">
        <v>850</v>
      </c>
      <c r="Q16" s="69">
        <v>91.6</v>
      </c>
      <c r="R16" s="69">
        <v>0</v>
      </c>
      <c r="S16" s="67">
        <f t="shared" si="2"/>
        <v>0.10776470588235293</v>
      </c>
      <c r="T16" s="89">
        <v>758.4</v>
      </c>
      <c r="U16" s="519" t="s">
        <v>843</v>
      </c>
    </row>
    <row r="17" spans="1:21" s="6" customFormat="1" ht="13.9" customHeight="1" outlineLevel="2" x14ac:dyDescent="0.2">
      <c r="A17" s="95" t="s">
        <v>746</v>
      </c>
      <c r="B17" s="3" t="s">
        <v>363</v>
      </c>
      <c r="C17" s="22" t="s">
        <v>361</v>
      </c>
      <c r="D17" s="139" t="s">
        <v>313</v>
      </c>
      <c r="E17" s="146">
        <v>0</v>
      </c>
      <c r="F17" s="69">
        <v>0</v>
      </c>
      <c r="G17" s="69">
        <v>0</v>
      </c>
      <c r="H17" s="67"/>
      <c r="I17" s="89">
        <v>0</v>
      </c>
      <c r="J17" s="331">
        <v>5000</v>
      </c>
      <c r="K17" s="57">
        <v>5000</v>
      </c>
      <c r="L17" s="57">
        <v>4917</v>
      </c>
      <c r="M17" s="58">
        <f t="shared" si="1"/>
        <v>0.98340000000000005</v>
      </c>
      <c r="N17" s="165">
        <v>83</v>
      </c>
      <c r="O17" s="146">
        <v>7600</v>
      </c>
      <c r="P17" s="69">
        <v>7600</v>
      </c>
      <c r="Q17" s="69">
        <v>0</v>
      </c>
      <c r="R17" s="69">
        <v>0</v>
      </c>
      <c r="S17" s="67">
        <f t="shared" si="2"/>
        <v>0</v>
      </c>
      <c r="T17" s="89">
        <v>7600</v>
      </c>
      <c r="U17" s="519"/>
    </row>
    <row r="18" spans="1:21" s="6" customFormat="1" ht="13.9" customHeight="1" outlineLevel="2" x14ac:dyDescent="0.2">
      <c r="A18" s="95" t="s">
        <v>746</v>
      </c>
      <c r="B18" s="3" t="s">
        <v>364</v>
      </c>
      <c r="C18" s="22" t="s">
        <v>361</v>
      </c>
      <c r="D18" s="139" t="s">
        <v>17</v>
      </c>
      <c r="E18" s="146">
        <v>85000</v>
      </c>
      <c r="F18" s="69">
        <v>79000</v>
      </c>
      <c r="G18" s="69">
        <v>79000</v>
      </c>
      <c r="H18" s="67">
        <f t="shared" si="0"/>
        <v>0.92941176470588238</v>
      </c>
      <c r="I18" s="89">
        <v>0</v>
      </c>
      <c r="J18" s="331">
        <v>54000</v>
      </c>
      <c r="K18" s="57">
        <v>52500</v>
      </c>
      <c r="L18" s="57">
        <f>300.15+5110.53+289.89+53403.76</f>
        <v>59104.33</v>
      </c>
      <c r="M18" s="58">
        <f t="shared" si="1"/>
        <v>1.0945246296296296</v>
      </c>
      <c r="N18" s="165">
        <f>52500-5110.53-300.15-289.89-53403.76</f>
        <v>-6604.3300000000017</v>
      </c>
      <c r="O18" s="146">
        <v>50700</v>
      </c>
      <c r="P18" s="69">
        <v>45700</v>
      </c>
      <c r="Q18" s="69">
        <v>35706.949999999997</v>
      </c>
      <c r="R18" s="69">
        <v>5520.54</v>
      </c>
      <c r="S18" s="67">
        <f t="shared" si="2"/>
        <v>0.7042790927021696</v>
      </c>
      <c r="T18" s="89">
        <v>4472.51</v>
      </c>
      <c r="U18" s="519"/>
    </row>
    <row r="19" spans="1:21" s="6" customFormat="1" ht="13.9" customHeight="1" outlineLevel="2" x14ac:dyDescent="0.2">
      <c r="A19" s="95" t="s">
        <v>746</v>
      </c>
      <c r="B19" s="3" t="s">
        <v>365</v>
      </c>
      <c r="C19" s="22" t="s">
        <v>361</v>
      </c>
      <c r="D19" s="139" t="s">
        <v>246</v>
      </c>
      <c r="E19" s="146">
        <v>1400</v>
      </c>
      <c r="F19" s="69">
        <v>1400</v>
      </c>
      <c r="G19" s="69">
        <v>1400</v>
      </c>
      <c r="H19" s="67">
        <f t="shared" si="0"/>
        <v>1</v>
      </c>
      <c r="I19" s="89">
        <v>0</v>
      </c>
      <c r="J19" s="331">
        <v>200</v>
      </c>
      <c r="K19" s="57">
        <v>0</v>
      </c>
      <c r="L19" s="57">
        <v>0</v>
      </c>
      <c r="M19" s="58">
        <f t="shared" si="1"/>
        <v>0</v>
      </c>
      <c r="N19" s="165">
        <v>0</v>
      </c>
      <c r="O19" s="146">
        <v>1500</v>
      </c>
      <c r="P19" s="69">
        <v>1500</v>
      </c>
      <c r="Q19" s="69">
        <v>1231.5</v>
      </c>
      <c r="R19" s="69">
        <v>0</v>
      </c>
      <c r="S19" s="67">
        <f t="shared" si="2"/>
        <v>0.82099999999999995</v>
      </c>
      <c r="T19" s="89">
        <v>268.5</v>
      </c>
      <c r="U19" s="519"/>
    </row>
    <row r="20" spans="1:21" s="6" customFormat="1" ht="13.9" customHeight="1" outlineLevel="2" x14ac:dyDescent="0.2">
      <c r="A20" s="95" t="s">
        <v>746</v>
      </c>
      <c r="B20" s="3" t="s">
        <v>366</v>
      </c>
      <c r="C20" s="22" t="s">
        <v>361</v>
      </c>
      <c r="D20" s="139" t="s">
        <v>23</v>
      </c>
      <c r="E20" s="145"/>
      <c r="F20" s="66"/>
      <c r="G20" s="66"/>
      <c r="H20" s="67"/>
      <c r="I20" s="90"/>
      <c r="J20" s="331">
        <v>0</v>
      </c>
      <c r="K20" s="57">
        <v>0</v>
      </c>
      <c r="L20" s="57">
        <v>0</v>
      </c>
      <c r="M20" s="58"/>
      <c r="N20" s="165">
        <v>0</v>
      </c>
      <c r="O20" s="145"/>
      <c r="P20" s="66"/>
      <c r="Q20" s="66"/>
      <c r="R20" s="66"/>
      <c r="S20" s="67"/>
      <c r="T20" s="90"/>
      <c r="U20" s="519"/>
    </row>
    <row r="21" spans="1:21" s="6" customFormat="1" ht="13.9" customHeight="1" outlineLevel="2" x14ac:dyDescent="0.2">
      <c r="A21" s="95" t="s">
        <v>746</v>
      </c>
      <c r="B21" s="3" t="s">
        <v>367</v>
      </c>
      <c r="C21" s="22" t="s">
        <v>361</v>
      </c>
      <c r="D21" s="139" t="s">
        <v>25</v>
      </c>
      <c r="E21" s="145"/>
      <c r="F21" s="66"/>
      <c r="G21" s="66"/>
      <c r="H21" s="67"/>
      <c r="I21" s="90"/>
      <c r="J21" s="330"/>
      <c r="K21" s="68"/>
      <c r="L21" s="68"/>
      <c r="M21" s="58"/>
      <c r="N21" s="164"/>
      <c r="O21" s="146">
        <v>0</v>
      </c>
      <c r="P21" s="69">
        <v>0</v>
      </c>
      <c r="Q21" s="69">
        <v>4395.83</v>
      </c>
      <c r="R21" s="69">
        <v>0</v>
      </c>
      <c r="S21" s="67">
        <v>0</v>
      </c>
      <c r="T21" s="89">
        <v>-4395.83</v>
      </c>
      <c r="U21" s="519"/>
    </row>
    <row r="22" spans="1:21" s="6" customFormat="1" ht="13.9" customHeight="1" outlineLevel="2" x14ac:dyDescent="0.2">
      <c r="A22" s="95" t="s">
        <v>746</v>
      </c>
      <c r="B22" s="3" t="s">
        <v>368</v>
      </c>
      <c r="C22" s="22" t="s">
        <v>361</v>
      </c>
      <c r="D22" s="139" t="s">
        <v>29</v>
      </c>
      <c r="E22" s="146">
        <v>800</v>
      </c>
      <c r="F22" s="69">
        <v>1552</v>
      </c>
      <c r="G22" s="69">
        <v>487.74</v>
      </c>
      <c r="H22" s="67">
        <f t="shared" si="0"/>
        <v>0.60967499999999997</v>
      </c>
      <c r="I22" s="89">
        <v>1064.26</v>
      </c>
      <c r="J22" s="331">
        <v>6600</v>
      </c>
      <c r="K22" s="57">
        <v>6600</v>
      </c>
      <c r="L22" s="57">
        <v>4604.5</v>
      </c>
      <c r="M22" s="58">
        <f t="shared" si="1"/>
        <v>0.69765151515151513</v>
      </c>
      <c r="N22" s="165">
        <v>1995.5</v>
      </c>
      <c r="O22" s="146">
        <v>6000</v>
      </c>
      <c r="P22" s="69">
        <v>6000</v>
      </c>
      <c r="Q22" s="69">
        <v>3599.65</v>
      </c>
      <c r="R22" s="69">
        <v>2115.35</v>
      </c>
      <c r="S22" s="67">
        <f t="shared" si="2"/>
        <v>0.59994166666666671</v>
      </c>
      <c r="T22" s="89">
        <v>285</v>
      </c>
      <c r="U22" s="519"/>
    </row>
    <row r="23" spans="1:21" s="6" customFormat="1" ht="13.9" customHeight="1" outlineLevel="2" x14ac:dyDescent="0.2">
      <c r="A23" s="95" t="s">
        <v>746</v>
      </c>
      <c r="B23" s="3" t="s">
        <v>369</v>
      </c>
      <c r="C23" s="22" t="s">
        <v>361</v>
      </c>
      <c r="D23" s="139" t="s">
        <v>35</v>
      </c>
      <c r="E23" s="145"/>
      <c r="F23" s="66"/>
      <c r="G23" s="66"/>
      <c r="H23" s="67"/>
      <c r="I23" s="90"/>
      <c r="J23" s="331">
        <v>0</v>
      </c>
      <c r="K23" s="57"/>
      <c r="L23" s="57">
        <f>4000+2549.69</f>
        <v>6549.6900000000005</v>
      </c>
      <c r="M23" s="58">
        <v>0</v>
      </c>
      <c r="N23" s="165">
        <f>-2549.69-4000</f>
        <v>-6549.6900000000005</v>
      </c>
      <c r="O23" s="146">
        <v>0</v>
      </c>
      <c r="P23" s="69">
        <v>5000</v>
      </c>
      <c r="Q23" s="69">
        <v>2123.83</v>
      </c>
      <c r="R23" s="69">
        <v>1808.52</v>
      </c>
      <c r="S23" s="67">
        <v>0</v>
      </c>
      <c r="T23" s="89">
        <v>1067.6500000000001</v>
      </c>
      <c r="U23" s="519"/>
    </row>
    <row r="24" spans="1:21" s="6" customFormat="1" ht="13.9" customHeight="1" outlineLevel="2" x14ac:dyDescent="0.2">
      <c r="A24" s="95" t="s">
        <v>746</v>
      </c>
      <c r="B24" s="3" t="s">
        <v>374</v>
      </c>
      <c r="C24" s="22" t="s">
        <v>373</v>
      </c>
      <c r="D24" s="139" t="s">
        <v>17</v>
      </c>
      <c r="E24" s="145"/>
      <c r="F24" s="66"/>
      <c r="G24" s="66"/>
      <c r="H24" s="67"/>
      <c r="I24" s="90"/>
      <c r="J24" s="331">
        <v>2000</v>
      </c>
      <c r="K24" s="57">
        <v>2000</v>
      </c>
      <c r="L24" s="57">
        <v>2004.33</v>
      </c>
      <c r="M24" s="58">
        <f t="shared" si="1"/>
        <v>1.002165</v>
      </c>
      <c r="N24" s="165">
        <f>2000-2004.33</f>
        <v>-4.3299999999999272</v>
      </c>
      <c r="O24" s="146">
        <v>2000</v>
      </c>
      <c r="P24" s="69">
        <v>0</v>
      </c>
      <c r="Q24" s="69">
        <v>0</v>
      </c>
      <c r="R24" s="69">
        <v>0</v>
      </c>
      <c r="S24" s="67">
        <f t="shared" si="2"/>
        <v>0</v>
      </c>
      <c r="T24" s="89">
        <v>0</v>
      </c>
      <c r="U24" s="519"/>
    </row>
    <row r="25" spans="1:21" s="6" customFormat="1" ht="13.9" customHeight="1" outlineLevel="2" x14ac:dyDescent="0.2">
      <c r="A25" s="95" t="s">
        <v>746</v>
      </c>
      <c r="B25" s="3" t="s">
        <v>391</v>
      </c>
      <c r="C25" s="22" t="s">
        <v>388</v>
      </c>
      <c r="D25" s="139" t="s">
        <v>7</v>
      </c>
      <c r="E25" s="146">
        <v>1400</v>
      </c>
      <c r="F25" s="69">
        <v>2089</v>
      </c>
      <c r="G25" s="69">
        <v>2088.1799999999998</v>
      </c>
      <c r="H25" s="67">
        <f t="shared" si="0"/>
        <v>1.4915571428571428</v>
      </c>
      <c r="I25" s="89">
        <v>0.82</v>
      </c>
      <c r="J25" s="331">
        <v>1400</v>
      </c>
      <c r="K25" s="57">
        <v>1400</v>
      </c>
      <c r="L25" s="57">
        <v>926.25</v>
      </c>
      <c r="M25" s="58">
        <f t="shared" si="1"/>
        <v>0.66160714285714284</v>
      </c>
      <c r="N25" s="165">
        <v>473.75</v>
      </c>
      <c r="O25" s="146">
        <v>1400</v>
      </c>
      <c r="P25" s="69">
        <v>1400</v>
      </c>
      <c r="Q25" s="69">
        <v>1309.8800000000001</v>
      </c>
      <c r="R25" s="69">
        <v>0</v>
      </c>
      <c r="S25" s="67">
        <f t="shared" si="2"/>
        <v>0.93562857142857148</v>
      </c>
      <c r="T25" s="89">
        <v>90.12</v>
      </c>
      <c r="U25" s="519"/>
    </row>
    <row r="26" spans="1:21" s="6" customFormat="1" ht="13.9" customHeight="1" outlineLevel="2" x14ac:dyDescent="0.2">
      <c r="A26" s="95" t="s">
        <v>746</v>
      </c>
      <c r="B26" s="3" t="s">
        <v>392</v>
      </c>
      <c r="C26" s="22" t="s">
        <v>388</v>
      </c>
      <c r="D26" s="139" t="s">
        <v>52</v>
      </c>
      <c r="E26" s="145"/>
      <c r="F26" s="66"/>
      <c r="G26" s="66"/>
      <c r="H26" s="67"/>
      <c r="I26" s="90"/>
      <c r="J26" s="330"/>
      <c r="K26" s="68"/>
      <c r="L26" s="68"/>
      <c r="M26" s="58"/>
      <c r="N26" s="164"/>
      <c r="O26" s="146">
        <v>0</v>
      </c>
      <c r="P26" s="69">
        <v>0</v>
      </c>
      <c r="Q26" s="69">
        <v>0</v>
      </c>
      <c r="R26" s="69">
        <v>0</v>
      </c>
      <c r="S26" s="67"/>
      <c r="T26" s="89">
        <v>0</v>
      </c>
      <c r="U26" s="519"/>
    </row>
    <row r="27" spans="1:21" s="6" customFormat="1" ht="13.9" customHeight="1" outlineLevel="2" x14ac:dyDescent="0.2">
      <c r="A27" s="95" t="s">
        <v>746</v>
      </c>
      <c r="B27" s="3" t="s">
        <v>390</v>
      </c>
      <c r="C27" s="22" t="s">
        <v>388</v>
      </c>
      <c r="D27" s="139" t="s">
        <v>313</v>
      </c>
      <c r="E27" s="145"/>
      <c r="F27" s="66"/>
      <c r="G27" s="66"/>
      <c r="H27" s="67"/>
      <c r="I27" s="90"/>
      <c r="J27" s="330"/>
      <c r="K27" s="68"/>
      <c r="L27" s="68"/>
      <c r="M27" s="58"/>
      <c r="N27" s="164"/>
      <c r="O27" s="146">
        <v>0</v>
      </c>
      <c r="P27" s="69">
        <v>30010</v>
      </c>
      <c r="Q27" s="69">
        <v>4169.4399999999996</v>
      </c>
      <c r="R27" s="69">
        <v>0</v>
      </c>
      <c r="S27" s="67">
        <v>0</v>
      </c>
      <c r="T27" s="89">
        <v>25840.560000000001</v>
      </c>
      <c r="U27" s="519"/>
    </row>
    <row r="28" spans="1:21" s="6" customFormat="1" ht="13.9" customHeight="1" outlineLevel="2" x14ac:dyDescent="0.2">
      <c r="A28" s="95" t="s">
        <v>746</v>
      </c>
      <c r="B28" s="3" t="s">
        <v>393</v>
      </c>
      <c r="C28" s="22" t="s">
        <v>388</v>
      </c>
      <c r="D28" s="139" t="s">
        <v>313</v>
      </c>
      <c r="E28" s="146">
        <v>15500</v>
      </c>
      <c r="F28" s="69">
        <v>42648</v>
      </c>
      <c r="G28" s="69">
        <v>42647.59</v>
      </c>
      <c r="H28" s="67">
        <f t="shared" si="0"/>
        <v>2.7514574193548387</v>
      </c>
      <c r="I28" s="89">
        <v>0.41</v>
      </c>
      <c r="J28" s="331">
        <v>15500</v>
      </c>
      <c r="K28" s="57">
        <v>15500</v>
      </c>
      <c r="L28" s="57">
        <f>15500+18161.33</f>
        <v>33661.33</v>
      </c>
      <c r="M28" s="58">
        <f t="shared" si="1"/>
        <v>2.1716987096774196</v>
      </c>
      <c r="N28" s="165">
        <v>-18161.330000000002</v>
      </c>
      <c r="O28" s="146">
        <v>15500</v>
      </c>
      <c r="P28" s="69">
        <v>0</v>
      </c>
      <c r="Q28" s="69">
        <v>0</v>
      </c>
      <c r="R28" s="69">
        <v>0</v>
      </c>
      <c r="S28" s="67">
        <f t="shared" si="2"/>
        <v>0</v>
      </c>
      <c r="T28" s="89">
        <v>0</v>
      </c>
      <c r="U28" s="519"/>
    </row>
    <row r="29" spans="1:21" s="6" customFormat="1" ht="13.9" customHeight="1" outlineLevel="2" x14ac:dyDescent="0.2">
      <c r="A29" s="95" t="s">
        <v>746</v>
      </c>
      <c r="B29" s="3" t="s">
        <v>394</v>
      </c>
      <c r="C29" s="22" t="s">
        <v>388</v>
      </c>
      <c r="D29" s="139" t="s">
        <v>17</v>
      </c>
      <c r="E29" s="146">
        <v>1590</v>
      </c>
      <c r="F29" s="69">
        <v>1590</v>
      </c>
      <c r="G29" s="69">
        <v>1482.63</v>
      </c>
      <c r="H29" s="67">
        <f t="shared" si="0"/>
        <v>0.93247169811320763</v>
      </c>
      <c r="I29" s="89">
        <v>107.37</v>
      </c>
      <c r="J29" s="331">
        <v>1590</v>
      </c>
      <c r="K29" s="57">
        <v>90</v>
      </c>
      <c r="L29" s="57">
        <v>0</v>
      </c>
      <c r="M29" s="58">
        <f t="shared" si="1"/>
        <v>0</v>
      </c>
      <c r="N29" s="165">
        <v>90</v>
      </c>
      <c r="O29" s="146">
        <v>1590</v>
      </c>
      <c r="P29" s="69">
        <v>0</v>
      </c>
      <c r="Q29" s="69">
        <v>0</v>
      </c>
      <c r="R29" s="69">
        <v>0</v>
      </c>
      <c r="S29" s="67">
        <f t="shared" si="2"/>
        <v>0</v>
      </c>
      <c r="T29" s="89">
        <v>0</v>
      </c>
      <c r="U29" s="519"/>
    </row>
    <row r="30" spans="1:21" s="6" customFormat="1" ht="13.9" customHeight="1" outlineLevel="2" x14ac:dyDescent="0.2">
      <c r="A30" s="95" t="s">
        <v>746</v>
      </c>
      <c r="B30" s="3" t="s">
        <v>395</v>
      </c>
      <c r="C30" s="22" t="s">
        <v>388</v>
      </c>
      <c r="D30" s="139" t="s">
        <v>246</v>
      </c>
      <c r="E30" s="146">
        <v>1000</v>
      </c>
      <c r="F30" s="69">
        <v>1015</v>
      </c>
      <c r="G30" s="69">
        <v>1013.84</v>
      </c>
      <c r="H30" s="67">
        <f t="shared" si="0"/>
        <v>1.0138400000000001</v>
      </c>
      <c r="I30" s="89">
        <v>1.1599999999999999</v>
      </c>
      <c r="J30" s="331">
        <v>500</v>
      </c>
      <c r="K30" s="57">
        <v>0</v>
      </c>
      <c r="L30" s="57">
        <v>0</v>
      </c>
      <c r="M30" s="58">
        <f t="shared" si="1"/>
        <v>0</v>
      </c>
      <c r="N30" s="165">
        <v>0</v>
      </c>
      <c r="O30" s="146">
        <v>500</v>
      </c>
      <c r="P30" s="69">
        <v>500</v>
      </c>
      <c r="Q30" s="69">
        <v>194</v>
      </c>
      <c r="R30" s="69">
        <v>0</v>
      </c>
      <c r="S30" s="67">
        <f t="shared" si="2"/>
        <v>0.38800000000000001</v>
      </c>
      <c r="T30" s="89">
        <v>306</v>
      </c>
      <c r="U30" s="519"/>
    </row>
    <row r="31" spans="1:21" s="6" customFormat="1" ht="13.9" customHeight="1" outlineLevel="2" x14ac:dyDescent="0.2">
      <c r="A31" s="95" t="s">
        <v>746</v>
      </c>
      <c r="B31" s="3" t="s">
        <v>396</v>
      </c>
      <c r="C31" s="22" t="s">
        <v>388</v>
      </c>
      <c r="D31" s="139" t="s">
        <v>19</v>
      </c>
      <c r="E31" s="146">
        <v>590</v>
      </c>
      <c r="F31" s="69">
        <v>590</v>
      </c>
      <c r="G31" s="69">
        <v>536.69000000000005</v>
      </c>
      <c r="H31" s="67">
        <f t="shared" si="0"/>
        <v>0.90964406779661022</v>
      </c>
      <c r="I31" s="89">
        <v>53.31</v>
      </c>
      <c r="J31" s="331">
        <v>590</v>
      </c>
      <c r="K31" s="57">
        <v>2090</v>
      </c>
      <c r="L31" s="57">
        <v>1357.88</v>
      </c>
      <c r="M31" s="58">
        <f t="shared" si="1"/>
        <v>2.3014915254237289</v>
      </c>
      <c r="N31" s="165">
        <f>2090-1357.88</f>
        <v>732.11999999999989</v>
      </c>
      <c r="O31" s="146">
        <v>590</v>
      </c>
      <c r="P31" s="69">
        <v>590</v>
      </c>
      <c r="Q31" s="69">
        <v>267.20999999999998</v>
      </c>
      <c r="R31" s="69">
        <v>86.82</v>
      </c>
      <c r="S31" s="67">
        <f t="shared" si="2"/>
        <v>0.45289830508474571</v>
      </c>
      <c r="T31" s="89">
        <v>235.97</v>
      </c>
      <c r="U31" s="519"/>
    </row>
    <row r="32" spans="1:21" s="6" customFormat="1" ht="13.9" customHeight="1" outlineLevel="2" x14ac:dyDescent="0.2">
      <c r="A32" s="95" t="s">
        <v>746</v>
      </c>
      <c r="B32" s="3" t="s">
        <v>397</v>
      </c>
      <c r="C32" s="22" t="s">
        <v>388</v>
      </c>
      <c r="D32" s="139" t="s">
        <v>115</v>
      </c>
      <c r="E32" s="145"/>
      <c r="F32" s="66"/>
      <c r="G32" s="66"/>
      <c r="H32" s="67"/>
      <c r="I32" s="90"/>
      <c r="J32" s="331">
        <v>0</v>
      </c>
      <c r="K32" s="57">
        <v>0</v>
      </c>
      <c r="L32" s="57">
        <v>0</v>
      </c>
      <c r="M32" s="58"/>
      <c r="N32" s="165">
        <v>0</v>
      </c>
      <c r="O32" s="145"/>
      <c r="P32" s="66"/>
      <c r="Q32" s="66"/>
      <c r="R32" s="66"/>
      <c r="S32" s="67"/>
      <c r="T32" s="90"/>
      <c r="U32" s="519"/>
    </row>
    <row r="33" spans="1:21" s="6" customFormat="1" ht="13.9" customHeight="1" outlineLevel="2" x14ac:dyDescent="0.2">
      <c r="A33" s="95" t="s">
        <v>746</v>
      </c>
      <c r="B33" s="3" t="s">
        <v>422</v>
      </c>
      <c r="C33" s="22" t="s">
        <v>421</v>
      </c>
      <c r="D33" s="139" t="s">
        <v>17</v>
      </c>
      <c r="E33" s="146">
        <v>1900</v>
      </c>
      <c r="F33" s="69">
        <v>2454</v>
      </c>
      <c r="G33" s="69">
        <v>2399.52</v>
      </c>
      <c r="H33" s="67">
        <f t="shared" si="0"/>
        <v>1.2629052631578948</v>
      </c>
      <c r="I33" s="89">
        <v>54.48</v>
      </c>
      <c r="J33" s="331">
        <v>1900</v>
      </c>
      <c r="K33" s="57">
        <v>1900</v>
      </c>
      <c r="L33" s="57">
        <v>1777.65</v>
      </c>
      <c r="M33" s="58">
        <f t="shared" si="1"/>
        <v>0.93560526315789483</v>
      </c>
      <c r="N33" s="165">
        <f>1900-1777.65</f>
        <v>122.34999999999991</v>
      </c>
      <c r="O33" s="146">
        <v>1900</v>
      </c>
      <c r="P33" s="69">
        <v>0</v>
      </c>
      <c r="Q33" s="69">
        <v>0</v>
      </c>
      <c r="R33" s="69">
        <v>0</v>
      </c>
      <c r="S33" s="67">
        <f t="shared" si="2"/>
        <v>0</v>
      </c>
      <c r="T33" s="89">
        <v>0</v>
      </c>
      <c r="U33" s="519"/>
    </row>
    <row r="34" spans="1:21" s="6" customFormat="1" ht="13.9" customHeight="1" outlineLevel="2" x14ac:dyDescent="0.2">
      <c r="A34" s="95" t="s">
        <v>746</v>
      </c>
      <c r="B34" s="3" t="s">
        <v>423</v>
      </c>
      <c r="C34" s="22" t="s">
        <v>421</v>
      </c>
      <c r="D34" s="139" t="s">
        <v>246</v>
      </c>
      <c r="E34" s="146">
        <v>369</v>
      </c>
      <c r="F34" s="69">
        <v>109</v>
      </c>
      <c r="G34" s="69">
        <v>79.88</v>
      </c>
      <c r="H34" s="67">
        <f t="shared" si="0"/>
        <v>0.21647696476964767</v>
      </c>
      <c r="I34" s="89">
        <v>29.12</v>
      </c>
      <c r="J34" s="331">
        <v>369</v>
      </c>
      <c r="K34" s="57">
        <v>0</v>
      </c>
      <c r="L34" s="57">
        <v>0</v>
      </c>
      <c r="M34" s="58">
        <f t="shared" si="1"/>
        <v>0</v>
      </c>
      <c r="N34" s="165">
        <v>0</v>
      </c>
      <c r="O34" s="146">
        <v>369</v>
      </c>
      <c r="P34" s="69">
        <v>369</v>
      </c>
      <c r="Q34" s="69">
        <v>119.6</v>
      </c>
      <c r="R34" s="69">
        <v>0</v>
      </c>
      <c r="S34" s="67">
        <f t="shared" si="2"/>
        <v>0.32411924119241192</v>
      </c>
      <c r="T34" s="89">
        <v>249.4</v>
      </c>
      <c r="U34" s="519"/>
    </row>
    <row r="35" spans="1:21" s="6" customFormat="1" ht="13.9" customHeight="1" outlineLevel="2" x14ac:dyDescent="0.2">
      <c r="A35" s="95" t="s">
        <v>746</v>
      </c>
      <c r="B35" s="3" t="s">
        <v>425</v>
      </c>
      <c r="C35" s="22" t="s">
        <v>424</v>
      </c>
      <c r="D35" s="139" t="s">
        <v>17</v>
      </c>
      <c r="E35" s="146">
        <v>189</v>
      </c>
      <c r="F35" s="69">
        <v>175</v>
      </c>
      <c r="G35" s="69">
        <v>174.95</v>
      </c>
      <c r="H35" s="67">
        <f t="shared" si="0"/>
        <v>0.92566137566137563</v>
      </c>
      <c r="I35" s="89">
        <v>0.05</v>
      </c>
      <c r="J35" s="331">
        <v>1116</v>
      </c>
      <c r="K35" s="57">
        <v>1116</v>
      </c>
      <c r="L35" s="57">
        <v>973.17</v>
      </c>
      <c r="M35" s="58">
        <f t="shared" si="1"/>
        <v>0.872016129032258</v>
      </c>
      <c r="N35" s="165">
        <f>1116-973.17</f>
        <v>142.83000000000004</v>
      </c>
      <c r="O35" s="146">
        <v>1116</v>
      </c>
      <c r="P35" s="69">
        <v>0</v>
      </c>
      <c r="Q35" s="69">
        <v>0</v>
      </c>
      <c r="R35" s="69">
        <v>0</v>
      </c>
      <c r="S35" s="67">
        <f t="shared" si="2"/>
        <v>0</v>
      </c>
      <c r="T35" s="89">
        <v>0</v>
      </c>
      <c r="U35" s="519"/>
    </row>
    <row r="36" spans="1:21" s="6" customFormat="1" ht="13.9" customHeight="1" outlineLevel="2" x14ac:dyDescent="0.2">
      <c r="A36" s="95" t="s">
        <v>746</v>
      </c>
      <c r="B36" s="3" t="s">
        <v>426</v>
      </c>
      <c r="C36" s="22" t="s">
        <v>424</v>
      </c>
      <c r="D36" s="139" t="s">
        <v>246</v>
      </c>
      <c r="E36" s="146">
        <v>375</v>
      </c>
      <c r="F36" s="69">
        <v>95</v>
      </c>
      <c r="G36" s="69">
        <v>90.84</v>
      </c>
      <c r="H36" s="67">
        <f t="shared" si="0"/>
        <v>0.24224000000000001</v>
      </c>
      <c r="I36" s="89">
        <v>4.16</v>
      </c>
      <c r="J36" s="331">
        <v>375</v>
      </c>
      <c r="K36" s="57">
        <v>0</v>
      </c>
      <c r="L36" s="57">
        <v>0</v>
      </c>
      <c r="M36" s="58">
        <f t="shared" si="1"/>
        <v>0</v>
      </c>
      <c r="N36" s="165">
        <v>0</v>
      </c>
      <c r="O36" s="146">
        <v>375</v>
      </c>
      <c r="P36" s="69">
        <v>375</v>
      </c>
      <c r="Q36" s="69">
        <v>10.8</v>
      </c>
      <c r="R36" s="69">
        <v>0</v>
      </c>
      <c r="S36" s="67">
        <f t="shared" si="2"/>
        <v>2.8800000000000003E-2</v>
      </c>
      <c r="T36" s="89">
        <v>364.2</v>
      </c>
      <c r="U36" s="519"/>
    </row>
    <row r="37" spans="1:21" s="6" customFormat="1" ht="13.9" customHeight="1" outlineLevel="2" x14ac:dyDescent="0.2">
      <c r="A37" s="95" t="s">
        <v>746</v>
      </c>
      <c r="B37" s="3" t="s">
        <v>521</v>
      </c>
      <c r="C37" s="22" t="s">
        <v>522</v>
      </c>
      <c r="D37" s="139" t="s">
        <v>19</v>
      </c>
      <c r="E37" s="146">
        <v>300</v>
      </c>
      <c r="F37" s="69">
        <v>300</v>
      </c>
      <c r="G37" s="69">
        <v>0</v>
      </c>
      <c r="H37" s="67">
        <f t="shared" si="0"/>
        <v>0</v>
      </c>
      <c r="I37" s="89">
        <v>300</v>
      </c>
      <c r="J37" s="331">
        <v>300</v>
      </c>
      <c r="K37" s="57">
        <v>300</v>
      </c>
      <c r="L37" s="57">
        <v>296.04000000000002</v>
      </c>
      <c r="M37" s="58">
        <f t="shared" si="1"/>
        <v>0.98680000000000012</v>
      </c>
      <c r="N37" s="165">
        <v>3.96</v>
      </c>
      <c r="O37" s="146">
        <v>300</v>
      </c>
      <c r="P37" s="69">
        <v>300</v>
      </c>
      <c r="Q37" s="69">
        <v>0</v>
      </c>
      <c r="R37" s="69">
        <v>0</v>
      </c>
      <c r="S37" s="67">
        <f t="shared" si="2"/>
        <v>0</v>
      </c>
      <c r="T37" s="89">
        <v>300</v>
      </c>
      <c r="U37" s="519"/>
    </row>
    <row r="38" spans="1:21" s="6" customFormat="1" ht="13.9" customHeight="1" outlineLevel="2" x14ac:dyDescent="0.2">
      <c r="A38" s="95" t="s">
        <v>746</v>
      </c>
      <c r="B38" s="3" t="s">
        <v>525</v>
      </c>
      <c r="C38" s="22" t="s">
        <v>524</v>
      </c>
      <c r="D38" s="139" t="s">
        <v>52</v>
      </c>
      <c r="E38" s="146">
        <v>0</v>
      </c>
      <c r="F38" s="69">
        <v>984</v>
      </c>
      <c r="G38" s="69">
        <v>983.05</v>
      </c>
      <c r="H38" s="67">
        <v>0</v>
      </c>
      <c r="I38" s="89">
        <v>0.95</v>
      </c>
      <c r="J38" s="331">
        <v>0</v>
      </c>
      <c r="K38" s="57"/>
      <c r="L38" s="57">
        <v>982.32</v>
      </c>
      <c r="M38" s="58">
        <v>0</v>
      </c>
      <c r="N38" s="165">
        <v>-982.32</v>
      </c>
      <c r="O38" s="145"/>
      <c r="P38" s="66"/>
      <c r="Q38" s="66"/>
      <c r="R38" s="66"/>
      <c r="S38" s="67"/>
      <c r="T38" s="90"/>
      <c r="U38" s="519"/>
    </row>
    <row r="39" spans="1:21" s="6" customFormat="1" ht="13.9" customHeight="1" outlineLevel="2" x14ac:dyDescent="0.2">
      <c r="A39" s="95" t="s">
        <v>746</v>
      </c>
      <c r="B39" s="3" t="s">
        <v>527</v>
      </c>
      <c r="C39" s="22" t="s">
        <v>526</v>
      </c>
      <c r="D39" s="139" t="s">
        <v>17</v>
      </c>
      <c r="E39" s="146">
        <v>1127</v>
      </c>
      <c r="F39" s="69">
        <v>1127</v>
      </c>
      <c r="G39" s="69">
        <v>1126.3599999999999</v>
      </c>
      <c r="H39" s="67">
        <f t="shared" si="0"/>
        <v>0.99943212067435661</v>
      </c>
      <c r="I39" s="89">
        <v>0.64</v>
      </c>
      <c r="J39" s="331">
        <v>1000</v>
      </c>
      <c r="K39" s="57">
        <v>1000</v>
      </c>
      <c r="L39" s="57">
        <v>1000</v>
      </c>
      <c r="M39" s="58">
        <f t="shared" si="1"/>
        <v>1</v>
      </c>
      <c r="N39" s="165">
        <f>1000-1000</f>
        <v>0</v>
      </c>
      <c r="O39" s="146">
        <v>1000</v>
      </c>
      <c r="P39" s="69">
        <v>0</v>
      </c>
      <c r="Q39" s="69">
        <v>0</v>
      </c>
      <c r="R39" s="69">
        <v>0</v>
      </c>
      <c r="S39" s="67">
        <f t="shared" si="2"/>
        <v>0</v>
      </c>
      <c r="T39" s="89">
        <v>0</v>
      </c>
      <c r="U39" s="519"/>
    </row>
    <row r="40" spans="1:21" s="6" customFormat="1" ht="13.9" customHeight="1" outlineLevel="2" x14ac:dyDescent="0.2">
      <c r="A40" s="95" t="s">
        <v>746</v>
      </c>
      <c r="B40" s="3" t="s">
        <v>528</v>
      </c>
      <c r="C40" s="22" t="s">
        <v>526</v>
      </c>
      <c r="D40" s="139" t="s">
        <v>246</v>
      </c>
      <c r="E40" s="146">
        <v>364</v>
      </c>
      <c r="F40" s="69">
        <v>364</v>
      </c>
      <c r="G40" s="69">
        <v>215.68</v>
      </c>
      <c r="H40" s="67">
        <f t="shared" si="0"/>
        <v>0.59252747252747251</v>
      </c>
      <c r="I40" s="89">
        <v>148.32</v>
      </c>
      <c r="J40" s="331">
        <v>364</v>
      </c>
      <c r="K40" s="57">
        <v>0</v>
      </c>
      <c r="L40" s="57">
        <v>0</v>
      </c>
      <c r="M40" s="58">
        <f t="shared" si="1"/>
        <v>0</v>
      </c>
      <c r="N40" s="165">
        <v>0</v>
      </c>
      <c r="O40" s="146">
        <v>364</v>
      </c>
      <c r="P40" s="69">
        <v>364</v>
      </c>
      <c r="Q40" s="69">
        <v>50</v>
      </c>
      <c r="R40" s="69">
        <v>0</v>
      </c>
      <c r="S40" s="67">
        <f t="shared" si="2"/>
        <v>0.13736263736263737</v>
      </c>
      <c r="T40" s="89">
        <v>314</v>
      </c>
      <c r="U40" s="519"/>
    </row>
    <row r="41" spans="1:21" s="6" customFormat="1" ht="13.9" customHeight="1" outlineLevel="2" x14ac:dyDescent="0.2">
      <c r="A41" s="95" t="s">
        <v>746</v>
      </c>
      <c r="B41" s="3" t="s">
        <v>530</v>
      </c>
      <c r="C41" s="22" t="s">
        <v>529</v>
      </c>
      <c r="D41" s="139" t="s">
        <v>17</v>
      </c>
      <c r="E41" s="146">
        <v>400</v>
      </c>
      <c r="F41" s="69">
        <v>400</v>
      </c>
      <c r="G41" s="69">
        <v>102.17</v>
      </c>
      <c r="H41" s="67">
        <f t="shared" si="0"/>
        <v>0.25542500000000001</v>
      </c>
      <c r="I41" s="89">
        <v>297.83</v>
      </c>
      <c r="J41" s="331">
        <v>400</v>
      </c>
      <c r="K41" s="57">
        <v>400</v>
      </c>
      <c r="L41" s="57">
        <v>136.04</v>
      </c>
      <c r="M41" s="58">
        <f t="shared" si="1"/>
        <v>0.34009999999999996</v>
      </c>
      <c r="N41" s="165">
        <f>400-136.04</f>
        <v>263.96000000000004</v>
      </c>
      <c r="O41" s="146">
        <v>400</v>
      </c>
      <c r="P41" s="69">
        <v>0</v>
      </c>
      <c r="Q41" s="69">
        <v>0</v>
      </c>
      <c r="R41" s="69">
        <v>0</v>
      </c>
      <c r="S41" s="67">
        <f t="shared" si="2"/>
        <v>0</v>
      </c>
      <c r="T41" s="89">
        <v>0</v>
      </c>
      <c r="U41" s="519"/>
    </row>
    <row r="42" spans="1:21" s="6" customFormat="1" ht="13.9" customHeight="1" outlineLevel="2" x14ac:dyDescent="0.2">
      <c r="A42" s="95" t="s">
        <v>746</v>
      </c>
      <c r="B42" s="3" t="s">
        <v>531</v>
      </c>
      <c r="C42" s="22" t="s">
        <v>529</v>
      </c>
      <c r="D42" s="139" t="s">
        <v>246</v>
      </c>
      <c r="E42" s="146">
        <v>300</v>
      </c>
      <c r="F42" s="69">
        <v>300</v>
      </c>
      <c r="G42" s="69">
        <v>202</v>
      </c>
      <c r="H42" s="67">
        <f t="shared" si="0"/>
        <v>0.67333333333333334</v>
      </c>
      <c r="I42" s="89">
        <v>98</v>
      </c>
      <c r="J42" s="331">
        <v>300</v>
      </c>
      <c r="K42" s="57">
        <v>0</v>
      </c>
      <c r="L42" s="57">
        <v>0</v>
      </c>
      <c r="M42" s="58">
        <f t="shared" si="1"/>
        <v>0</v>
      </c>
      <c r="N42" s="165">
        <v>0</v>
      </c>
      <c r="O42" s="146">
        <v>300</v>
      </c>
      <c r="P42" s="69">
        <v>300</v>
      </c>
      <c r="Q42" s="69">
        <v>52</v>
      </c>
      <c r="R42" s="69">
        <v>0</v>
      </c>
      <c r="S42" s="67">
        <f t="shared" si="2"/>
        <v>0.17333333333333334</v>
      </c>
      <c r="T42" s="89">
        <v>248</v>
      </c>
      <c r="U42" s="519"/>
    </row>
    <row r="43" spans="1:21" s="6" customFormat="1" ht="13.9" customHeight="1" outlineLevel="2" x14ac:dyDescent="0.2">
      <c r="A43" s="95" t="s">
        <v>746</v>
      </c>
      <c r="B43" s="3" t="s">
        <v>533</v>
      </c>
      <c r="C43" s="22" t="s">
        <v>532</v>
      </c>
      <c r="D43" s="139" t="s">
        <v>17</v>
      </c>
      <c r="E43" s="146">
        <v>0</v>
      </c>
      <c r="F43" s="69">
        <v>19</v>
      </c>
      <c r="G43" s="69">
        <v>0</v>
      </c>
      <c r="H43" s="67">
        <v>0</v>
      </c>
      <c r="I43" s="89">
        <v>19</v>
      </c>
      <c r="J43" s="331">
        <v>0</v>
      </c>
      <c r="K43" s="57">
        <v>0</v>
      </c>
      <c r="L43" s="57">
        <v>0</v>
      </c>
      <c r="M43" s="58"/>
      <c r="N43" s="165">
        <v>0</v>
      </c>
      <c r="O43" s="146">
        <v>0</v>
      </c>
      <c r="P43" s="69">
        <v>0</v>
      </c>
      <c r="Q43" s="69">
        <v>0</v>
      </c>
      <c r="R43" s="69">
        <v>0</v>
      </c>
      <c r="S43" s="67"/>
      <c r="T43" s="89">
        <v>0</v>
      </c>
      <c r="U43" s="519"/>
    </row>
    <row r="44" spans="1:21" s="6" customFormat="1" ht="13.9" customHeight="1" outlineLevel="2" x14ac:dyDescent="0.2">
      <c r="A44" s="95" t="s">
        <v>746</v>
      </c>
      <c r="B44" s="3" t="s">
        <v>534</v>
      </c>
      <c r="C44" s="22" t="s">
        <v>532</v>
      </c>
      <c r="D44" s="139" t="s">
        <v>246</v>
      </c>
      <c r="E44" s="146">
        <v>100</v>
      </c>
      <c r="F44" s="69">
        <v>100</v>
      </c>
      <c r="G44" s="69">
        <v>100</v>
      </c>
      <c r="H44" s="67">
        <f t="shared" si="0"/>
        <v>1</v>
      </c>
      <c r="I44" s="89">
        <v>0</v>
      </c>
      <c r="J44" s="331">
        <v>0</v>
      </c>
      <c r="K44" s="57">
        <v>0</v>
      </c>
      <c r="L44" s="57">
        <v>0</v>
      </c>
      <c r="M44" s="58"/>
      <c r="N44" s="165">
        <v>0</v>
      </c>
      <c r="O44" s="145"/>
      <c r="P44" s="66"/>
      <c r="Q44" s="66"/>
      <c r="R44" s="66"/>
      <c r="S44" s="67"/>
      <c r="T44" s="90"/>
      <c r="U44" s="519"/>
    </row>
    <row r="45" spans="1:21" s="6" customFormat="1" ht="13.9" customHeight="1" outlineLevel="2" x14ac:dyDescent="0.2">
      <c r="A45" s="95" t="s">
        <v>746</v>
      </c>
      <c r="B45" s="3" t="s">
        <v>536</v>
      </c>
      <c r="C45" s="22" t="s">
        <v>535</v>
      </c>
      <c r="D45" s="139" t="s">
        <v>17</v>
      </c>
      <c r="E45" s="146">
        <v>100</v>
      </c>
      <c r="F45" s="69">
        <v>100</v>
      </c>
      <c r="G45" s="69">
        <v>100</v>
      </c>
      <c r="H45" s="67">
        <f t="shared" si="0"/>
        <v>1</v>
      </c>
      <c r="I45" s="89">
        <v>0</v>
      </c>
      <c r="J45" s="331">
        <v>0</v>
      </c>
      <c r="K45" s="57">
        <v>0</v>
      </c>
      <c r="L45" s="57">
        <v>0</v>
      </c>
      <c r="M45" s="58"/>
      <c r="N45" s="165">
        <v>0</v>
      </c>
      <c r="O45" s="145"/>
      <c r="P45" s="66"/>
      <c r="Q45" s="66"/>
      <c r="R45" s="66"/>
      <c r="S45" s="67"/>
      <c r="T45" s="90"/>
      <c r="U45" s="519"/>
    </row>
    <row r="46" spans="1:21" s="6" customFormat="1" ht="13.9" customHeight="1" outlineLevel="2" x14ac:dyDescent="0.2">
      <c r="A46" s="95" t="s">
        <v>746</v>
      </c>
      <c r="B46" s="3" t="s">
        <v>537</v>
      </c>
      <c r="C46" s="22" t="s">
        <v>535</v>
      </c>
      <c r="D46" s="139" t="s">
        <v>246</v>
      </c>
      <c r="E46" s="146">
        <v>200</v>
      </c>
      <c r="F46" s="69">
        <v>200</v>
      </c>
      <c r="G46" s="69">
        <v>0</v>
      </c>
      <c r="H46" s="67">
        <f t="shared" si="0"/>
        <v>0</v>
      </c>
      <c r="I46" s="89">
        <v>200</v>
      </c>
      <c r="J46" s="331">
        <v>0</v>
      </c>
      <c r="K46" s="57">
        <v>0</v>
      </c>
      <c r="L46" s="57">
        <v>0</v>
      </c>
      <c r="M46" s="58"/>
      <c r="N46" s="165">
        <v>0</v>
      </c>
      <c r="O46" s="145"/>
      <c r="P46" s="66"/>
      <c r="Q46" s="66"/>
      <c r="R46" s="66"/>
      <c r="S46" s="67"/>
      <c r="T46" s="90"/>
      <c r="U46" s="519"/>
    </row>
    <row r="47" spans="1:21" s="6" customFormat="1" ht="13.9" customHeight="1" outlineLevel="2" x14ac:dyDescent="0.2">
      <c r="A47" s="95" t="s">
        <v>746</v>
      </c>
      <c r="B47" s="3" t="s">
        <v>539</v>
      </c>
      <c r="C47" s="22" t="s">
        <v>538</v>
      </c>
      <c r="D47" s="139" t="s">
        <v>17</v>
      </c>
      <c r="E47" s="146">
        <v>150</v>
      </c>
      <c r="F47" s="69">
        <v>0</v>
      </c>
      <c r="G47" s="69">
        <v>0</v>
      </c>
      <c r="H47" s="67">
        <f t="shared" si="0"/>
        <v>0</v>
      </c>
      <c r="I47" s="89">
        <v>0</v>
      </c>
      <c r="J47" s="331">
        <v>150</v>
      </c>
      <c r="K47" s="57">
        <v>290</v>
      </c>
      <c r="L47" s="57">
        <v>0</v>
      </c>
      <c r="M47" s="58">
        <f t="shared" si="1"/>
        <v>0</v>
      </c>
      <c r="N47" s="165">
        <v>290</v>
      </c>
      <c r="O47" s="146">
        <v>150</v>
      </c>
      <c r="P47" s="69">
        <v>0</v>
      </c>
      <c r="Q47" s="69">
        <v>0</v>
      </c>
      <c r="R47" s="69">
        <v>0</v>
      </c>
      <c r="S47" s="67">
        <f t="shared" si="2"/>
        <v>0</v>
      </c>
      <c r="T47" s="89">
        <v>0</v>
      </c>
      <c r="U47" s="519"/>
    </row>
    <row r="48" spans="1:21" s="6" customFormat="1" ht="13.9" customHeight="1" outlineLevel="2" x14ac:dyDescent="0.2">
      <c r="A48" s="95" t="s">
        <v>746</v>
      </c>
      <c r="B48" s="3" t="s">
        <v>540</v>
      </c>
      <c r="C48" s="22" t="s">
        <v>538</v>
      </c>
      <c r="D48" s="139" t="s">
        <v>246</v>
      </c>
      <c r="E48" s="146">
        <v>140</v>
      </c>
      <c r="F48" s="69">
        <v>140</v>
      </c>
      <c r="G48" s="69">
        <v>81.2</v>
      </c>
      <c r="H48" s="67">
        <f t="shared" si="0"/>
        <v>0.58000000000000007</v>
      </c>
      <c r="I48" s="89">
        <v>58.8</v>
      </c>
      <c r="J48" s="331">
        <v>140</v>
      </c>
      <c r="K48" s="57">
        <v>0</v>
      </c>
      <c r="L48" s="57">
        <v>0</v>
      </c>
      <c r="M48" s="58">
        <f t="shared" si="1"/>
        <v>0</v>
      </c>
      <c r="N48" s="165">
        <v>0</v>
      </c>
      <c r="O48" s="146">
        <v>140</v>
      </c>
      <c r="P48" s="69">
        <v>140</v>
      </c>
      <c r="Q48" s="69">
        <v>99.04</v>
      </c>
      <c r="R48" s="69">
        <v>0</v>
      </c>
      <c r="S48" s="67">
        <f t="shared" si="2"/>
        <v>0.70742857142857152</v>
      </c>
      <c r="T48" s="89">
        <v>40.96</v>
      </c>
      <c r="U48" s="519"/>
    </row>
    <row r="49" spans="1:23" s="6" customFormat="1" ht="13.9" customHeight="1" outlineLevel="2" x14ac:dyDescent="0.2">
      <c r="A49" s="95" t="s">
        <v>746</v>
      </c>
      <c r="B49" s="3" t="s">
        <v>542</v>
      </c>
      <c r="C49" s="22" t="s">
        <v>541</v>
      </c>
      <c r="D49" s="139" t="s">
        <v>246</v>
      </c>
      <c r="E49" s="146">
        <v>0</v>
      </c>
      <c r="F49" s="69">
        <v>81</v>
      </c>
      <c r="G49" s="69">
        <v>80.16</v>
      </c>
      <c r="H49" s="67">
        <v>0</v>
      </c>
      <c r="I49" s="89">
        <v>0.84</v>
      </c>
      <c r="J49" s="330"/>
      <c r="K49" s="68"/>
      <c r="L49" s="68"/>
      <c r="M49" s="58"/>
      <c r="N49" s="164"/>
      <c r="O49" s="145"/>
      <c r="P49" s="66"/>
      <c r="Q49" s="66"/>
      <c r="R49" s="66"/>
      <c r="S49" s="67"/>
      <c r="T49" s="90"/>
      <c r="U49" s="519"/>
    </row>
    <row r="50" spans="1:23" s="6" customFormat="1" ht="13.9" customHeight="1" outlineLevel="2" x14ac:dyDescent="0.2">
      <c r="A50" s="95" t="s">
        <v>746</v>
      </c>
      <c r="B50" s="3" t="s">
        <v>713</v>
      </c>
      <c r="C50" s="22" t="s">
        <v>712</v>
      </c>
      <c r="D50" s="139" t="s">
        <v>246</v>
      </c>
      <c r="E50" s="146">
        <v>645</v>
      </c>
      <c r="F50" s="69">
        <v>645</v>
      </c>
      <c r="G50" s="69">
        <v>16.96</v>
      </c>
      <c r="H50" s="67">
        <f t="shared" si="0"/>
        <v>2.6294573643410854E-2</v>
      </c>
      <c r="I50" s="89">
        <v>628.04</v>
      </c>
      <c r="J50" s="331">
        <v>645</v>
      </c>
      <c r="K50" s="57">
        <v>0</v>
      </c>
      <c r="L50" s="57">
        <v>0</v>
      </c>
      <c r="M50" s="58">
        <f t="shared" si="1"/>
        <v>0</v>
      </c>
      <c r="N50" s="165">
        <v>0</v>
      </c>
      <c r="O50" s="146">
        <v>645</v>
      </c>
      <c r="P50" s="69">
        <v>645</v>
      </c>
      <c r="Q50" s="69">
        <v>0</v>
      </c>
      <c r="R50" s="69">
        <v>0</v>
      </c>
      <c r="S50" s="67">
        <f t="shared" si="2"/>
        <v>0</v>
      </c>
      <c r="T50" s="89">
        <v>645</v>
      </c>
      <c r="U50" s="519"/>
    </row>
    <row r="51" spans="1:23" s="6" customFormat="1" ht="13.9" customHeight="1" outlineLevel="2" x14ac:dyDescent="0.2">
      <c r="A51" s="95" t="s">
        <v>746</v>
      </c>
      <c r="B51" s="3" t="s">
        <v>714</v>
      </c>
      <c r="C51" s="22" t="s">
        <v>712</v>
      </c>
      <c r="D51" s="139" t="s">
        <v>48</v>
      </c>
      <c r="E51" s="145"/>
      <c r="F51" s="66"/>
      <c r="G51" s="66"/>
      <c r="H51" s="67"/>
      <c r="I51" s="90"/>
      <c r="J51" s="331">
        <v>0</v>
      </c>
      <c r="K51" s="57">
        <v>273</v>
      </c>
      <c r="L51" s="57">
        <v>272.5</v>
      </c>
      <c r="M51" s="58">
        <v>0</v>
      </c>
      <c r="N51" s="165">
        <v>0.5</v>
      </c>
      <c r="O51" s="145"/>
      <c r="P51" s="66"/>
      <c r="Q51" s="66"/>
      <c r="R51" s="66"/>
      <c r="S51" s="67"/>
      <c r="T51" s="90"/>
      <c r="U51" s="519"/>
    </row>
    <row r="52" spans="1:23" s="6" customFormat="1" ht="13.9" customHeight="1" outlineLevel="1" thickBot="1" x14ac:dyDescent="0.25">
      <c r="A52" s="98" t="s">
        <v>763</v>
      </c>
      <c r="B52" s="3"/>
      <c r="C52" s="3"/>
      <c r="D52" s="3"/>
      <c r="E52" s="148">
        <f>SUBTOTAL(9,E3:E51)</f>
        <v>129900</v>
      </c>
      <c r="F52" s="116">
        <f>SUBTOTAL(9,F3:F51)</f>
        <v>154534</v>
      </c>
      <c r="G52" s="116">
        <f>SUBTOTAL(9,G3:G51)</f>
        <v>148708.10999999999</v>
      </c>
      <c r="H52" s="117">
        <f t="shared" si="0"/>
        <v>1.1447891454965358</v>
      </c>
      <c r="I52" s="119">
        <f>SUBTOTAL(9,I3:I51)</f>
        <v>5825.8899999999994</v>
      </c>
      <c r="J52" s="148">
        <f>SUBTOTAL(9,J3:J51)</f>
        <v>111400</v>
      </c>
      <c r="K52" s="116">
        <f>SUBTOTAL(9,K3:K51)</f>
        <v>102937</v>
      </c>
      <c r="L52" s="116">
        <f>SUBTOTAL(9,L3:L51)</f>
        <v>128057.2</v>
      </c>
      <c r="M52" s="117">
        <f t="shared" si="1"/>
        <v>1.1495260323159784</v>
      </c>
      <c r="N52" s="119">
        <f>SUBTOTAL(9,N3:N51)</f>
        <v>-25120.200000000008</v>
      </c>
      <c r="O52" s="148">
        <f>SUBTOTAL(9,O3:O51)</f>
        <v>111400</v>
      </c>
      <c r="P52" s="116">
        <f>SUBTOTAL(9,P3:P51)</f>
        <v>111429</v>
      </c>
      <c r="Q52" s="116">
        <f>SUBTOTAL(9,Q3:Q51)</f>
        <v>58445.420000000006</v>
      </c>
      <c r="R52" s="116">
        <f>SUBTOTAL(9,R3:R51)</f>
        <v>9531.23</v>
      </c>
      <c r="S52" s="117">
        <f t="shared" si="2"/>
        <v>0.52464470377019756</v>
      </c>
      <c r="T52" s="119">
        <f>SUBTOTAL(9,T3:T51)</f>
        <v>43452.35</v>
      </c>
      <c r="U52" s="511"/>
    </row>
    <row r="53" spans="1:23" ht="13.9" customHeight="1" thickTop="1" thickBot="1" x14ac:dyDescent="0.25">
      <c r="A53" s="100"/>
      <c r="B53" s="91"/>
      <c r="C53" s="91"/>
      <c r="D53" s="91"/>
      <c r="E53" s="27"/>
      <c r="F53" s="91"/>
      <c r="G53" s="91"/>
      <c r="H53" s="91"/>
      <c r="I53" s="38"/>
      <c r="J53" s="27"/>
      <c r="K53" s="91"/>
      <c r="L53" s="91"/>
      <c r="M53" s="91"/>
      <c r="N53" s="38"/>
      <c r="O53" s="27"/>
      <c r="P53" s="91"/>
      <c r="Q53" s="91"/>
      <c r="R53" s="91"/>
      <c r="S53" s="91"/>
      <c r="T53" s="38"/>
      <c r="U53" s="516"/>
    </row>
    <row r="56" spans="1:23" s="6" customFormat="1" outlineLevel="2" x14ac:dyDescent="0.2">
      <c r="A56" s="323" t="s">
        <v>752</v>
      </c>
      <c r="B56" s="35" t="s">
        <v>652</v>
      </c>
      <c r="C56" s="35" t="s">
        <v>650</v>
      </c>
      <c r="D56" s="574" t="s">
        <v>19</v>
      </c>
      <c r="E56" s="299">
        <v>572</v>
      </c>
      <c r="F56" s="47">
        <v>579</v>
      </c>
      <c r="G56" s="47">
        <v>579</v>
      </c>
      <c r="H56" s="48">
        <f>+G56/E56</f>
        <v>1.0122377622377623</v>
      </c>
      <c r="I56" s="300">
        <v>0</v>
      </c>
      <c r="J56" s="317">
        <v>572</v>
      </c>
      <c r="K56" s="171">
        <v>2372</v>
      </c>
      <c r="L56" s="171">
        <v>2372</v>
      </c>
      <c r="M56" s="170">
        <f>+L56/J56</f>
        <v>4.1468531468531467</v>
      </c>
      <c r="N56" s="318">
        <v>0</v>
      </c>
      <c r="O56" s="299">
        <v>572</v>
      </c>
      <c r="P56" s="47">
        <v>572</v>
      </c>
      <c r="Q56" s="47">
        <v>572</v>
      </c>
      <c r="R56" s="47">
        <v>0</v>
      </c>
      <c r="S56" s="48">
        <f>+Q56/O56</f>
        <v>1</v>
      </c>
      <c r="T56" s="300">
        <v>0</v>
      </c>
      <c r="U56" s="575" t="s">
        <v>832</v>
      </c>
      <c r="W56" s="576">
        <f>+O56+O58+O59</f>
        <v>2372</v>
      </c>
    </row>
    <row r="57" spans="1:23" s="6" customFormat="1" outlineLevel="2" x14ac:dyDescent="0.2">
      <c r="A57" s="323" t="s">
        <v>752</v>
      </c>
      <c r="B57" s="35" t="s">
        <v>653</v>
      </c>
      <c r="C57" s="35" t="s">
        <v>650</v>
      </c>
      <c r="D57" s="574" t="s">
        <v>25</v>
      </c>
      <c r="E57" s="299">
        <v>0</v>
      </c>
      <c r="F57" s="47">
        <v>0</v>
      </c>
      <c r="G57" s="47">
        <v>0</v>
      </c>
      <c r="H57" s="48"/>
      <c r="I57" s="300">
        <v>0</v>
      </c>
      <c r="J57" s="317">
        <v>0</v>
      </c>
      <c r="K57" s="171">
        <v>0</v>
      </c>
      <c r="L57" s="171">
        <v>0</v>
      </c>
      <c r="M57" s="170"/>
      <c r="N57" s="318">
        <v>0</v>
      </c>
      <c r="O57" s="299">
        <v>0</v>
      </c>
      <c r="P57" s="47">
        <v>0</v>
      </c>
      <c r="Q57" s="47">
        <v>0</v>
      </c>
      <c r="R57" s="47">
        <v>0</v>
      </c>
      <c r="S57" s="48"/>
      <c r="T57" s="300">
        <v>0</v>
      </c>
      <c r="U57" s="575" t="s">
        <v>832</v>
      </c>
    </row>
    <row r="58" spans="1:23" s="6" customFormat="1" outlineLevel="2" x14ac:dyDescent="0.2">
      <c r="A58" s="323" t="s">
        <v>752</v>
      </c>
      <c r="B58" s="35" t="s">
        <v>654</v>
      </c>
      <c r="C58" s="35" t="s">
        <v>650</v>
      </c>
      <c r="D58" s="574" t="s">
        <v>31</v>
      </c>
      <c r="E58" s="299">
        <v>1600</v>
      </c>
      <c r="F58" s="47">
        <v>1751</v>
      </c>
      <c r="G58" s="47">
        <v>1751</v>
      </c>
      <c r="H58" s="48">
        <f t="shared" ref="H58:H63" si="3">+G58/E58</f>
        <v>1.0943750000000001</v>
      </c>
      <c r="I58" s="300">
        <v>0</v>
      </c>
      <c r="J58" s="317">
        <v>1600</v>
      </c>
      <c r="K58" s="171">
        <v>0</v>
      </c>
      <c r="L58" s="171">
        <v>0</v>
      </c>
      <c r="M58" s="170">
        <f>+L58/J58</f>
        <v>0</v>
      </c>
      <c r="N58" s="318">
        <v>0</v>
      </c>
      <c r="O58" s="299">
        <v>1600</v>
      </c>
      <c r="P58" s="47">
        <v>1600</v>
      </c>
      <c r="Q58" s="47">
        <v>0</v>
      </c>
      <c r="R58" s="47">
        <v>0</v>
      </c>
      <c r="S58" s="48">
        <f>+Q58/O58</f>
        <v>0</v>
      </c>
      <c r="T58" s="300">
        <v>1600</v>
      </c>
      <c r="U58" s="575" t="s">
        <v>832</v>
      </c>
    </row>
    <row r="59" spans="1:23" s="6" customFormat="1" outlineLevel="2" x14ac:dyDescent="0.2">
      <c r="A59" s="323" t="s">
        <v>752</v>
      </c>
      <c r="B59" s="35" t="s">
        <v>655</v>
      </c>
      <c r="C59" s="35" t="s">
        <v>650</v>
      </c>
      <c r="D59" s="574" t="s">
        <v>48</v>
      </c>
      <c r="E59" s="299">
        <v>200</v>
      </c>
      <c r="F59" s="47">
        <v>42</v>
      </c>
      <c r="G59" s="47">
        <v>41.82</v>
      </c>
      <c r="H59" s="48">
        <f t="shared" si="3"/>
        <v>0.20910000000000001</v>
      </c>
      <c r="I59" s="300">
        <v>0.18</v>
      </c>
      <c r="J59" s="317">
        <v>200</v>
      </c>
      <c r="K59" s="171">
        <v>0</v>
      </c>
      <c r="L59" s="171">
        <v>0</v>
      </c>
      <c r="M59" s="170">
        <f>+L59/J59</f>
        <v>0</v>
      </c>
      <c r="N59" s="318">
        <v>0</v>
      </c>
      <c r="O59" s="299">
        <v>200</v>
      </c>
      <c r="P59" s="47">
        <v>200</v>
      </c>
      <c r="Q59" s="47">
        <v>0</v>
      </c>
      <c r="R59" s="47">
        <v>0</v>
      </c>
      <c r="S59" s="48">
        <f>+Q59/O59</f>
        <v>0</v>
      </c>
      <c r="T59" s="300">
        <v>200</v>
      </c>
      <c r="U59" s="575" t="s">
        <v>832</v>
      </c>
    </row>
    <row r="60" spans="1:23" s="6" customFormat="1" outlineLevel="2" x14ac:dyDescent="0.2">
      <c r="A60" s="586" t="s">
        <v>752</v>
      </c>
      <c r="B60" s="587" t="s">
        <v>681</v>
      </c>
      <c r="C60" s="587" t="s">
        <v>675</v>
      </c>
      <c r="D60" s="588" t="s">
        <v>37</v>
      </c>
      <c r="E60" s="593">
        <v>15000</v>
      </c>
      <c r="F60" s="594">
        <v>12777</v>
      </c>
      <c r="G60" s="594">
        <v>9229.5499999999993</v>
      </c>
      <c r="H60" s="591">
        <f t="shared" si="3"/>
        <v>0.61530333333333331</v>
      </c>
      <c r="I60" s="592">
        <v>3547.45</v>
      </c>
      <c r="J60" s="593">
        <v>0</v>
      </c>
      <c r="K60" s="594">
        <v>0</v>
      </c>
      <c r="L60" s="594">
        <v>0</v>
      </c>
      <c r="M60" s="591"/>
      <c r="N60" s="592">
        <v>0</v>
      </c>
      <c r="O60" s="595"/>
      <c r="P60" s="596"/>
      <c r="Q60" s="596"/>
      <c r="R60" s="596"/>
      <c r="S60" s="591"/>
      <c r="T60" s="597"/>
      <c r="U60" s="533"/>
      <c r="V60" s="6" t="s">
        <v>836</v>
      </c>
    </row>
    <row r="61" spans="1:23" s="6" customFormat="1" outlineLevel="2" x14ac:dyDescent="0.2">
      <c r="A61" s="586" t="s">
        <v>752</v>
      </c>
      <c r="B61" s="587" t="s">
        <v>686</v>
      </c>
      <c r="C61" s="587" t="s">
        <v>687</v>
      </c>
      <c r="D61" s="588" t="s">
        <v>666</v>
      </c>
      <c r="E61" s="593">
        <v>10000</v>
      </c>
      <c r="F61" s="594">
        <v>10000</v>
      </c>
      <c r="G61" s="594">
        <v>9999.9699999999993</v>
      </c>
      <c r="H61" s="591">
        <f t="shared" si="3"/>
        <v>0.99999699999999991</v>
      </c>
      <c r="I61" s="592">
        <v>0.03</v>
      </c>
      <c r="J61" s="593">
        <v>10000</v>
      </c>
      <c r="K61" s="594">
        <v>0</v>
      </c>
      <c r="L61" s="594">
        <v>0</v>
      </c>
      <c r="M61" s="591">
        <f>+L61/J61</f>
        <v>0</v>
      </c>
      <c r="N61" s="592">
        <v>0</v>
      </c>
      <c r="O61" s="593">
        <v>10000</v>
      </c>
      <c r="P61" s="594">
        <v>0</v>
      </c>
      <c r="Q61" s="594">
        <v>0</v>
      </c>
      <c r="R61" s="594">
        <v>0</v>
      </c>
      <c r="S61" s="591">
        <f>+Q61/O61</f>
        <v>0</v>
      </c>
      <c r="T61" s="592">
        <v>0</v>
      </c>
      <c r="U61" s="533"/>
      <c r="V61" s="6" t="s">
        <v>838</v>
      </c>
    </row>
    <row r="62" spans="1:23" s="6" customFormat="1" outlineLevel="2" x14ac:dyDescent="0.2">
      <c r="A62" s="586" t="s">
        <v>752</v>
      </c>
      <c r="B62" s="587" t="s">
        <v>688</v>
      </c>
      <c r="C62" s="587" t="s">
        <v>687</v>
      </c>
      <c r="D62" s="588" t="s">
        <v>19</v>
      </c>
      <c r="E62" s="593">
        <v>2860</v>
      </c>
      <c r="F62" s="594">
        <v>2860</v>
      </c>
      <c r="G62" s="594">
        <v>2859.73</v>
      </c>
      <c r="H62" s="591">
        <f t="shared" si="3"/>
        <v>0.99990559440559446</v>
      </c>
      <c r="I62" s="592">
        <v>0.27</v>
      </c>
      <c r="J62" s="593">
        <v>2860</v>
      </c>
      <c r="K62" s="594">
        <v>7757</v>
      </c>
      <c r="L62" s="594">
        <v>7756.65</v>
      </c>
      <c r="M62" s="591">
        <f>+L62/J62</f>
        <v>2.7121153846153847</v>
      </c>
      <c r="N62" s="592">
        <v>0.35</v>
      </c>
      <c r="O62" s="593">
        <v>2860</v>
      </c>
      <c r="P62" s="594">
        <v>2860</v>
      </c>
      <c r="Q62" s="594">
        <v>1746.1</v>
      </c>
      <c r="R62" s="594">
        <v>22.81</v>
      </c>
      <c r="S62" s="591">
        <f>+Q62/O62</f>
        <v>0.61052447552447553</v>
      </c>
      <c r="T62" s="592">
        <v>1091.0899999999999</v>
      </c>
      <c r="U62" s="533"/>
      <c r="V62" s="6" t="s">
        <v>838</v>
      </c>
    </row>
    <row r="63" spans="1:23" s="6" customFormat="1" outlineLevel="2" x14ac:dyDescent="0.2">
      <c r="A63" s="586" t="s">
        <v>752</v>
      </c>
      <c r="B63" s="587" t="s">
        <v>689</v>
      </c>
      <c r="C63" s="587" t="s">
        <v>687</v>
      </c>
      <c r="D63" s="588" t="s">
        <v>29</v>
      </c>
      <c r="E63" s="593">
        <v>1430</v>
      </c>
      <c r="F63" s="594">
        <v>1430</v>
      </c>
      <c r="G63" s="594">
        <v>1430</v>
      </c>
      <c r="H63" s="591">
        <f t="shared" si="3"/>
        <v>1</v>
      </c>
      <c r="I63" s="592">
        <v>0</v>
      </c>
      <c r="J63" s="593">
        <v>1430</v>
      </c>
      <c r="K63" s="594">
        <v>1430</v>
      </c>
      <c r="L63" s="594">
        <v>1430</v>
      </c>
      <c r="M63" s="591">
        <f>+L63/J63</f>
        <v>1</v>
      </c>
      <c r="N63" s="592">
        <v>0</v>
      </c>
      <c r="O63" s="593">
        <v>1430</v>
      </c>
      <c r="P63" s="594">
        <v>1430</v>
      </c>
      <c r="Q63" s="594">
        <v>1430</v>
      </c>
      <c r="R63" s="594">
        <v>0</v>
      </c>
      <c r="S63" s="591">
        <f>+Q63/O63</f>
        <v>1</v>
      </c>
      <c r="T63" s="592">
        <v>0</v>
      </c>
      <c r="U63" s="533"/>
      <c r="V63" s="6" t="s">
        <v>838</v>
      </c>
    </row>
    <row r="64" spans="1:23" s="6" customFormat="1" outlineLevel="2" x14ac:dyDescent="0.2">
      <c r="A64" s="577" t="s">
        <v>752</v>
      </c>
      <c r="B64" s="35" t="s">
        <v>684</v>
      </c>
      <c r="C64" s="35" t="s">
        <v>685</v>
      </c>
      <c r="D64" s="574" t="s">
        <v>29</v>
      </c>
      <c r="E64" s="578"/>
      <c r="F64" s="579"/>
      <c r="G64" s="579"/>
      <c r="H64" s="580"/>
      <c r="I64" s="581"/>
      <c r="J64" s="582">
        <v>15000</v>
      </c>
      <c r="K64" s="583">
        <v>15000</v>
      </c>
      <c r="L64" s="583">
        <v>15000</v>
      </c>
      <c r="M64" s="580">
        <f>+L64/J64</f>
        <v>1</v>
      </c>
      <c r="N64" s="584">
        <v>0</v>
      </c>
      <c r="O64" s="582">
        <v>15000</v>
      </c>
      <c r="P64" s="583">
        <v>15000</v>
      </c>
      <c r="Q64" s="583">
        <v>5746</v>
      </c>
      <c r="R64" s="583">
        <v>9254</v>
      </c>
      <c r="S64" s="580">
        <f>+Q64/O64</f>
        <v>0.38306666666666667</v>
      </c>
      <c r="T64" s="584">
        <v>0</v>
      </c>
      <c r="U64" s="575"/>
      <c r="V64" s="6" t="s">
        <v>837</v>
      </c>
    </row>
    <row r="66" spans="2:15" x14ac:dyDescent="0.2">
      <c r="O66" s="585">
        <f>SUM(O56:O65)</f>
        <v>31662</v>
      </c>
    </row>
    <row r="68" spans="2:15" x14ac:dyDescent="0.2">
      <c r="O68" s="606">
        <f>+O52+O66</f>
        <v>143062</v>
      </c>
    </row>
    <row r="69" spans="2:15" x14ac:dyDescent="0.2">
      <c r="D69" t="s">
        <v>862</v>
      </c>
      <c r="O69">
        <v>24481</v>
      </c>
    </row>
    <row r="70" spans="2:15" ht="13.5" thickBot="1" x14ac:dyDescent="0.25">
      <c r="O70" s="598">
        <f>+O68-O69</f>
        <v>118581</v>
      </c>
    </row>
    <row r="71" spans="2:15" ht="13.5" thickTop="1" x14ac:dyDescent="0.2">
      <c r="B71" s="35" t="s">
        <v>652</v>
      </c>
      <c r="C71" s="35" t="s">
        <v>863</v>
      </c>
      <c r="D71" s="574" t="s">
        <v>19</v>
      </c>
      <c r="O71" s="299">
        <v>572</v>
      </c>
    </row>
    <row r="72" spans="2:15" x14ac:dyDescent="0.2">
      <c r="B72" s="35" t="s">
        <v>654</v>
      </c>
      <c r="C72" s="35" t="s">
        <v>863</v>
      </c>
      <c r="D72" s="574" t="s">
        <v>31</v>
      </c>
      <c r="O72" s="299">
        <v>1600</v>
      </c>
    </row>
    <row r="73" spans="2:15" x14ac:dyDescent="0.2">
      <c r="B73" s="35" t="s">
        <v>655</v>
      </c>
      <c r="C73" s="35" t="s">
        <v>863</v>
      </c>
      <c r="D73" s="574" t="s">
        <v>48</v>
      </c>
      <c r="O73" s="299">
        <v>200</v>
      </c>
    </row>
    <row r="74" spans="2:15" x14ac:dyDescent="0.2">
      <c r="B74" s="587" t="s">
        <v>686</v>
      </c>
      <c r="C74" s="587" t="s">
        <v>687</v>
      </c>
      <c r="D74" s="588" t="s">
        <v>666</v>
      </c>
      <c r="O74" s="593">
        <v>10000</v>
      </c>
    </row>
    <row r="75" spans="2:15" x14ac:dyDescent="0.2">
      <c r="B75" s="587" t="s">
        <v>688</v>
      </c>
      <c r="C75" s="587" t="s">
        <v>687</v>
      </c>
      <c r="D75" s="588" t="s">
        <v>19</v>
      </c>
      <c r="O75" s="593">
        <v>2860</v>
      </c>
    </row>
    <row r="76" spans="2:15" x14ac:dyDescent="0.2">
      <c r="B76" s="587" t="s">
        <v>689</v>
      </c>
      <c r="C76" s="587" t="s">
        <v>687</v>
      </c>
      <c r="D76" s="588" t="s">
        <v>29</v>
      </c>
      <c r="O76" s="593">
        <v>1430</v>
      </c>
    </row>
  </sheetData>
  <mergeCells count="3">
    <mergeCell ref="E1:I1"/>
    <mergeCell ref="J1:N1"/>
    <mergeCell ref="O1:T1"/>
  </mergeCells>
  <printOptions horizontalCentered="1" gridLines="1"/>
  <pageMargins left="0" right="0" top="0.75" bottom="0.5" header="0.3" footer="0.3"/>
  <pageSetup paperSize="5" scale="90" orientation="landscape" r:id="rId1"/>
  <headerFooter>
    <oddHeader>&amp;CMISSION COLLEGE
Fund 100 - Operating Budget vs Actual Spending for FY10/11, FY11/12 &amp; FY12/13</oddHeader>
    <oddFooter>&amp;ROffice of Administrative Services
&amp;Z&amp;F &amp;A   March 20, 2013 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topLeftCell="D1" workbookViewId="0">
      <selection activeCell="T1" sqref="T1:T9"/>
    </sheetView>
  </sheetViews>
  <sheetFormatPr defaultRowHeight="12.75" outlineLevelRow="2" x14ac:dyDescent="0.2"/>
  <cols>
    <col min="1" max="1" width="10.7109375" style="19" customWidth="1"/>
    <col min="2" max="2" width="20.42578125" bestFit="1" customWidth="1"/>
    <col min="3" max="3" width="20.140625" bestFit="1" customWidth="1"/>
    <col min="4" max="4" width="19" customWidth="1"/>
    <col min="5" max="6" width="7.140625" bestFit="1" customWidth="1"/>
    <col min="7" max="7" width="7.5703125" bestFit="1" customWidth="1"/>
    <col min="8" max="8" width="6.7109375" bestFit="1" customWidth="1"/>
    <col min="9" max="9" width="6" bestFit="1" customWidth="1"/>
    <col min="10" max="11" width="7.140625" bestFit="1" customWidth="1"/>
    <col min="12" max="12" width="7.5703125" bestFit="1" customWidth="1"/>
    <col min="13" max="13" width="6.7109375" bestFit="1" customWidth="1"/>
    <col min="14" max="14" width="6" bestFit="1" customWidth="1"/>
    <col min="15" max="16" width="7.140625" bestFit="1" customWidth="1"/>
    <col min="17" max="17" width="7.5703125" bestFit="1" customWidth="1"/>
    <col min="18" max="19" width="6.7109375" bestFit="1" customWidth="1"/>
    <col min="20" max="20" width="23" bestFit="1" customWidth="1"/>
  </cols>
  <sheetData>
    <row r="1" spans="1:20" ht="13.5" thickBot="1" x14ac:dyDescent="0.25">
      <c r="A1" s="94"/>
      <c r="B1" s="88"/>
      <c r="C1" s="88"/>
      <c r="D1" s="88"/>
      <c r="E1" s="621" t="s">
        <v>791</v>
      </c>
      <c r="F1" s="622"/>
      <c r="G1" s="622"/>
      <c r="H1" s="622"/>
      <c r="I1" s="623"/>
      <c r="J1" s="621" t="s">
        <v>790</v>
      </c>
      <c r="K1" s="622"/>
      <c r="L1" s="622"/>
      <c r="M1" s="622"/>
      <c r="N1" s="623"/>
      <c r="O1" s="621" t="s">
        <v>792</v>
      </c>
      <c r="P1" s="622"/>
      <c r="Q1" s="622"/>
      <c r="R1" s="622"/>
      <c r="S1" s="623"/>
      <c r="T1" s="518" t="s">
        <v>825</v>
      </c>
    </row>
    <row r="2" spans="1:20" ht="45.75" thickBot="1" x14ac:dyDescent="0.25">
      <c r="A2" s="149"/>
      <c r="B2" s="150" t="s">
        <v>732</v>
      </c>
      <c r="C2" s="150" t="s">
        <v>735</v>
      </c>
      <c r="D2" s="151" t="s">
        <v>733</v>
      </c>
      <c r="E2" s="140" t="s">
        <v>0</v>
      </c>
      <c r="F2" s="141" t="s">
        <v>1</v>
      </c>
      <c r="G2" s="141" t="s">
        <v>772</v>
      </c>
      <c r="H2" s="141" t="s">
        <v>793</v>
      </c>
      <c r="I2" s="143" t="s">
        <v>3</v>
      </c>
      <c r="J2" s="140" t="s">
        <v>0</v>
      </c>
      <c r="K2" s="141" t="s">
        <v>1</v>
      </c>
      <c r="L2" s="141" t="s">
        <v>772</v>
      </c>
      <c r="M2" s="142" t="s">
        <v>793</v>
      </c>
      <c r="N2" s="143" t="s">
        <v>3</v>
      </c>
      <c r="O2" s="140" t="s">
        <v>0</v>
      </c>
      <c r="P2" s="141" t="s">
        <v>1</v>
      </c>
      <c r="Q2" s="141" t="s">
        <v>772</v>
      </c>
      <c r="R2" s="142" t="s">
        <v>793</v>
      </c>
      <c r="S2" s="143" t="s">
        <v>3</v>
      </c>
      <c r="T2" s="529" t="s">
        <v>826</v>
      </c>
    </row>
    <row r="3" spans="1:20" s="6" customFormat="1" ht="16.149999999999999" customHeight="1" outlineLevel="2" x14ac:dyDescent="0.2">
      <c r="A3" s="136" t="s">
        <v>744</v>
      </c>
      <c r="B3" s="122" t="s">
        <v>255</v>
      </c>
      <c r="C3" s="122" t="s">
        <v>252</v>
      </c>
      <c r="D3" s="138" t="s">
        <v>17</v>
      </c>
      <c r="E3" s="144"/>
      <c r="F3" s="123"/>
      <c r="G3" s="123"/>
      <c r="H3" s="124"/>
      <c r="I3" s="137"/>
      <c r="J3" s="328">
        <v>0</v>
      </c>
      <c r="K3" s="125">
        <v>3398</v>
      </c>
      <c r="L3" s="125">
        <v>0</v>
      </c>
      <c r="M3" s="126">
        <v>0</v>
      </c>
      <c r="N3" s="329">
        <v>3398</v>
      </c>
      <c r="O3" s="144"/>
      <c r="P3" s="123"/>
      <c r="Q3" s="123"/>
      <c r="R3" s="124"/>
      <c r="S3" s="137"/>
      <c r="T3" s="531"/>
    </row>
    <row r="4" spans="1:20" s="6" customFormat="1" ht="16.149999999999999" customHeight="1" outlineLevel="2" x14ac:dyDescent="0.2">
      <c r="A4" s="135" t="s">
        <v>744</v>
      </c>
      <c r="B4" s="22" t="s">
        <v>251</v>
      </c>
      <c r="C4" s="22" t="s">
        <v>252</v>
      </c>
      <c r="D4" s="139" t="s">
        <v>19</v>
      </c>
      <c r="E4" s="145"/>
      <c r="F4" s="66"/>
      <c r="G4" s="66"/>
      <c r="H4" s="67"/>
      <c r="I4" s="90"/>
      <c r="J4" s="331">
        <v>0</v>
      </c>
      <c r="K4" s="57">
        <v>2031</v>
      </c>
      <c r="L4" s="57">
        <v>1957.9</v>
      </c>
      <c r="M4" s="58">
        <v>0</v>
      </c>
      <c r="N4" s="165">
        <v>73.099999999999994</v>
      </c>
      <c r="O4" s="145"/>
      <c r="P4" s="66"/>
      <c r="Q4" s="66"/>
      <c r="R4" s="67"/>
      <c r="S4" s="90"/>
      <c r="T4" s="519"/>
    </row>
    <row r="5" spans="1:20" s="6" customFormat="1" ht="16.149999999999999" customHeight="1" outlineLevel="2" x14ac:dyDescent="0.2">
      <c r="A5" s="135" t="s">
        <v>744</v>
      </c>
      <c r="B5" s="22" t="s">
        <v>253</v>
      </c>
      <c r="C5" s="22" t="s">
        <v>252</v>
      </c>
      <c r="D5" s="139" t="s">
        <v>23</v>
      </c>
      <c r="E5" s="145"/>
      <c r="F5" s="66"/>
      <c r="G5" s="66"/>
      <c r="H5" s="67"/>
      <c r="I5" s="90"/>
      <c r="J5" s="331">
        <v>0</v>
      </c>
      <c r="K5" s="57">
        <v>1250</v>
      </c>
      <c r="L5" s="57">
        <v>0</v>
      </c>
      <c r="M5" s="58">
        <v>0</v>
      </c>
      <c r="N5" s="165">
        <v>1250</v>
      </c>
      <c r="O5" s="145"/>
      <c r="P5" s="66"/>
      <c r="Q5" s="66"/>
      <c r="R5" s="67"/>
      <c r="S5" s="90"/>
      <c r="T5" s="519"/>
    </row>
    <row r="6" spans="1:20" s="6" customFormat="1" ht="16.149999999999999" customHeight="1" outlineLevel="2" x14ac:dyDescent="0.2">
      <c r="A6" s="135" t="s">
        <v>744</v>
      </c>
      <c r="B6" s="22" t="s">
        <v>254</v>
      </c>
      <c r="C6" s="22" t="s">
        <v>252</v>
      </c>
      <c r="D6" s="139" t="s">
        <v>51</v>
      </c>
      <c r="E6" s="145"/>
      <c r="F6" s="66"/>
      <c r="G6" s="66"/>
      <c r="H6" s="67"/>
      <c r="I6" s="90"/>
      <c r="J6" s="331">
        <v>0</v>
      </c>
      <c r="K6" s="57">
        <v>23769</v>
      </c>
      <c r="L6" s="57">
        <v>23759.279999999999</v>
      </c>
      <c r="M6" s="58">
        <v>0</v>
      </c>
      <c r="N6" s="165">
        <f>23769-23759.28</f>
        <v>9.7200000000011642</v>
      </c>
      <c r="O6" s="145"/>
      <c r="P6" s="66"/>
      <c r="Q6" s="66"/>
      <c r="R6" s="67"/>
      <c r="S6" s="90"/>
      <c r="T6" s="519"/>
    </row>
    <row r="7" spans="1:20" s="6" customFormat="1" ht="16.149999999999999" customHeight="1" outlineLevel="2" x14ac:dyDescent="0.2">
      <c r="A7" s="135" t="s">
        <v>744</v>
      </c>
      <c r="B7" s="22" t="s">
        <v>545</v>
      </c>
      <c r="C7" s="22" t="s">
        <v>543</v>
      </c>
      <c r="D7" s="139" t="s">
        <v>7</v>
      </c>
      <c r="E7" s="146">
        <v>903</v>
      </c>
      <c r="F7" s="69">
        <v>903</v>
      </c>
      <c r="G7" s="69">
        <v>750.75</v>
      </c>
      <c r="H7" s="67">
        <f t="shared" ref="H7:H27" si="0">+G7/E7</f>
        <v>0.83139534883720934</v>
      </c>
      <c r="I7" s="89">
        <v>152.25</v>
      </c>
      <c r="J7" s="331">
        <v>903</v>
      </c>
      <c r="K7" s="57">
        <v>0</v>
      </c>
      <c r="L7" s="57">
        <v>0</v>
      </c>
      <c r="M7" s="58">
        <f t="shared" ref="M7:M27" si="1">+L7/J7</f>
        <v>0</v>
      </c>
      <c r="N7" s="165">
        <v>0</v>
      </c>
      <c r="O7" s="146">
        <v>903</v>
      </c>
      <c r="P7" s="69">
        <v>903</v>
      </c>
      <c r="Q7" s="69">
        <v>0</v>
      </c>
      <c r="R7" s="67">
        <f t="shared" ref="R7:R27" si="2">+Q7/O7</f>
        <v>0</v>
      </c>
      <c r="S7" s="89">
        <v>903</v>
      </c>
      <c r="T7" s="519"/>
    </row>
    <row r="8" spans="1:20" s="6" customFormat="1" ht="16.149999999999999" customHeight="1" outlineLevel="2" x14ac:dyDescent="0.2">
      <c r="A8" s="135" t="s">
        <v>744</v>
      </c>
      <c r="B8" s="22" t="s">
        <v>546</v>
      </c>
      <c r="C8" s="22" t="s">
        <v>543</v>
      </c>
      <c r="D8" s="139" t="s">
        <v>19</v>
      </c>
      <c r="E8" s="146">
        <v>513</v>
      </c>
      <c r="F8" s="69">
        <v>513</v>
      </c>
      <c r="G8" s="69">
        <v>500.21</v>
      </c>
      <c r="H8" s="67">
        <f t="shared" si="0"/>
        <v>0.97506822612085764</v>
      </c>
      <c r="I8" s="89">
        <v>12.79</v>
      </c>
      <c r="J8" s="331">
        <v>513</v>
      </c>
      <c r="K8" s="57">
        <v>513</v>
      </c>
      <c r="L8" s="57">
        <v>477.45</v>
      </c>
      <c r="M8" s="58">
        <f t="shared" si="1"/>
        <v>0.93070175438596492</v>
      </c>
      <c r="N8" s="165">
        <v>35.549999999999997</v>
      </c>
      <c r="O8" s="146">
        <v>513</v>
      </c>
      <c r="P8" s="69">
        <v>513</v>
      </c>
      <c r="Q8" s="69">
        <v>450</v>
      </c>
      <c r="R8" s="67">
        <f t="shared" si="2"/>
        <v>0.8771929824561403</v>
      </c>
      <c r="S8" s="89">
        <v>63</v>
      </c>
      <c r="T8" s="519"/>
    </row>
    <row r="9" spans="1:20" s="6" customFormat="1" ht="16.149999999999999" customHeight="1" outlineLevel="2" x14ac:dyDescent="0.2">
      <c r="A9" s="135" t="s">
        <v>744</v>
      </c>
      <c r="B9" s="22" t="s">
        <v>547</v>
      </c>
      <c r="C9" s="22" t="s">
        <v>543</v>
      </c>
      <c r="D9" s="139" t="s">
        <v>23</v>
      </c>
      <c r="E9" s="146">
        <v>71</v>
      </c>
      <c r="F9" s="69">
        <v>101</v>
      </c>
      <c r="G9" s="69">
        <v>100.65</v>
      </c>
      <c r="H9" s="67">
        <f t="shared" si="0"/>
        <v>1.4176056338028169</v>
      </c>
      <c r="I9" s="89">
        <v>0.35</v>
      </c>
      <c r="J9" s="331">
        <v>71</v>
      </c>
      <c r="K9" s="57">
        <v>71</v>
      </c>
      <c r="L9" s="57">
        <v>39.5</v>
      </c>
      <c r="M9" s="58">
        <f t="shared" si="1"/>
        <v>0.55633802816901412</v>
      </c>
      <c r="N9" s="165">
        <v>31.5</v>
      </c>
      <c r="O9" s="146">
        <v>71</v>
      </c>
      <c r="P9" s="69">
        <v>71</v>
      </c>
      <c r="Q9" s="69">
        <v>12</v>
      </c>
      <c r="R9" s="67">
        <f t="shared" si="2"/>
        <v>0.16901408450704225</v>
      </c>
      <c r="S9" s="89">
        <v>59</v>
      </c>
      <c r="T9" s="519"/>
    </row>
    <row r="10" spans="1:20" s="6" customFormat="1" ht="16.149999999999999" customHeight="1" outlineLevel="2" x14ac:dyDescent="0.2">
      <c r="A10" s="135" t="s">
        <v>744</v>
      </c>
      <c r="B10" s="22" t="s">
        <v>548</v>
      </c>
      <c r="C10" s="22" t="s">
        <v>543</v>
      </c>
      <c r="D10" s="139" t="s">
        <v>25</v>
      </c>
      <c r="E10" s="146">
        <v>0</v>
      </c>
      <c r="F10" s="69">
        <v>0</v>
      </c>
      <c r="G10" s="69">
        <v>0</v>
      </c>
      <c r="H10" s="67"/>
      <c r="I10" s="89">
        <v>0</v>
      </c>
      <c r="J10" s="331">
        <v>0</v>
      </c>
      <c r="K10" s="57">
        <v>0</v>
      </c>
      <c r="L10" s="57">
        <v>0</v>
      </c>
      <c r="M10" s="58"/>
      <c r="N10" s="165">
        <v>0</v>
      </c>
      <c r="O10" s="146">
        <v>0</v>
      </c>
      <c r="P10" s="69">
        <v>0</v>
      </c>
      <c r="Q10" s="69">
        <v>211.07</v>
      </c>
      <c r="R10" s="67">
        <v>0</v>
      </c>
      <c r="S10" s="89">
        <v>-211.07</v>
      </c>
      <c r="T10" s="519"/>
    </row>
    <row r="11" spans="1:20" s="6" customFormat="1" ht="16.149999999999999" customHeight="1" outlineLevel="2" x14ac:dyDescent="0.2">
      <c r="A11" s="135" t="s">
        <v>744</v>
      </c>
      <c r="B11" s="22" t="s">
        <v>549</v>
      </c>
      <c r="C11" s="22" t="s">
        <v>543</v>
      </c>
      <c r="D11" s="139" t="s">
        <v>31</v>
      </c>
      <c r="E11" s="146">
        <v>1152</v>
      </c>
      <c r="F11" s="69">
        <v>1540</v>
      </c>
      <c r="G11" s="69">
        <v>1539.71</v>
      </c>
      <c r="H11" s="67">
        <f t="shared" si="0"/>
        <v>1.3365538194444444</v>
      </c>
      <c r="I11" s="89">
        <v>0.28999999999999998</v>
      </c>
      <c r="J11" s="331">
        <v>2610</v>
      </c>
      <c r="K11" s="57">
        <v>2610</v>
      </c>
      <c r="L11" s="57">
        <v>2610</v>
      </c>
      <c r="M11" s="58">
        <f t="shared" si="1"/>
        <v>1</v>
      </c>
      <c r="N11" s="165">
        <v>0</v>
      </c>
      <c r="O11" s="146">
        <v>2610</v>
      </c>
      <c r="P11" s="69">
        <v>2610</v>
      </c>
      <c r="Q11" s="69">
        <v>744.95</v>
      </c>
      <c r="R11" s="67">
        <f t="shared" si="2"/>
        <v>0.28542145593869733</v>
      </c>
      <c r="S11" s="89">
        <v>1865.05</v>
      </c>
      <c r="T11" s="519"/>
    </row>
    <row r="12" spans="1:20" s="6" customFormat="1" ht="16.149999999999999" customHeight="1" outlineLevel="2" x14ac:dyDescent="0.2">
      <c r="A12" s="135" t="s">
        <v>744</v>
      </c>
      <c r="B12" s="22" t="s">
        <v>550</v>
      </c>
      <c r="C12" s="22" t="s">
        <v>543</v>
      </c>
      <c r="D12" s="139" t="s">
        <v>48</v>
      </c>
      <c r="E12" s="146">
        <v>73</v>
      </c>
      <c r="F12" s="69">
        <v>73</v>
      </c>
      <c r="G12" s="69">
        <v>22.55</v>
      </c>
      <c r="H12" s="67">
        <f t="shared" si="0"/>
        <v>0.30890410958904113</v>
      </c>
      <c r="I12" s="89">
        <v>50.45</v>
      </c>
      <c r="J12" s="331">
        <v>73</v>
      </c>
      <c r="K12" s="57">
        <v>73</v>
      </c>
      <c r="L12" s="57">
        <v>36.909999999999997</v>
      </c>
      <c r="M12" s="58">
        <f t="shared" si="1"/>
        <v>0.50561643835616432</v>
      </c>
      <c r="N12" s="165">
        <v>36.090000000000003</v>
      </c>
      <c r="O12" s="146">
        <v>73</v>
      </c>
      <c r="P12" s="69">
        <v>73</v>
      </c>
      <c r="Q12" s="69">
        <v>0</v>
      </c>
      <c r="R12" s="67">
        <f t="shared" si="2"/>
        <v>0</v>
      </c>
      <c r="S12" s="89">
        <v>73</v>
      </c>
      <c r="T12" s="519"/>
    </row>
    <row r="13" spans="1:20" s="6" customFormat="1" ht="16.149999999999999" customHeight="1" outlineLevel="2" x14ac:dyDescent="0.2">
      <c r="A13" s="135" t="s">
        <v>744</v>
      </c>
      <c r="B13" s="22" t="s">
        <v>552</v>
      </c>
      <c r="C13" s="22" t="s">
        <v>551</v>
      </c>
      <c r="D13" s="139" t="s">
        <v>9</v>
      </c>
      <c r="E13" s="145"/>
      <c r="F13" s="66"/>
      <c r="G13" s="66"/>
      <c r="H13" s="67"/>
      <c r="I13" s="90"/>
      <c r="J13" s="331">
        <v>0</v>
      </c>
      <c r="K13" s="57">
        <v>23162</v>
      </c>
      <c r="L13" s="57">
        <v>24222</v>
      </c>
      <c r="M13" s="58">
        <v>0</v>
      </c>
      <c r="N13" s="165">
        <v>-1060</v>
      </c>
      <c r="O13" s="146">
        <v>0</v>
      </c>
      <c r="P13" s="69">
        <v>0</v>
      </c>
      <c r="Q13" s="69">
        <v>0</v>
      </c>
      <c r="R13" s="67"/>
      <c r="S13" s="89">
        <v>0</v>
      </c>
      <c r="T13" s="519"/>
    </row>
    <row r="14" spans="1:20" s="6" customFormat="1" ht="16.149999999999999" customHeight="1" outlineLevel="2" x14ac:dyDescent="0.2">
      <c r="A14" s="135" t="s">
        <v>744</v>
      </c>
      <c r="B14" s="22" t="s">
        <v>553</v>
      </c>
      <c r="C14" s="22" t="s">
        <v>554</v>
      </c>
      <c r="D14" s="139" t="s">
        <v>19</v>
      </c>
      <c r="E14" s="146">
        <v>349</v>
      </c>
      <c r="F14" s="69">
        <v>349</v>
      </c>
      <c r="G14" s="69">
        <v>325.86</v>
      </c>
      <c r="H14" s="67">
        <f t="shared" si="0"/>
        <v>0.93369627507163333</v>
      </c>
      <c r="I14" s="89">
        <v>23.14</v>
      </c>
      <c r="J14" s="330"/>
      <c r="K14" s="68"/>
      <c r="L14" s="68"/>
      <c r="M14" s="58"/>
      <c r="N14" s="164"/>
      <c r="O14" s="145"/>
      <c r="P14" s="66"/>
      <c r="Q14" s="66"/>
      <c r="R14" s="67"/>
      <c r="S14" s="90"/>
      <c r="T14" s="519"/>
    </row>
    <row r="15" spans="1:20" s="6" customFormat="1" ht="16.149999999999999" customHeight="1" outlineLevel="2" x14ac:dyDescent="0.2">
      <c r="A15" s="135" t="s">
        <v>744</v>
      </c>
      <c r="B15" s="22" t="s">
        <v>555</v>
      </c>
      <c r="C15" s="22" t="s">
        <v>554</v>
      </c>
      <c r="D15" s="139" t="s">
        <v>23</v>
      </c>
      <c r="E15" s="146">
        <v>319</v>
      </c>
      <c r="F15" s="69">
        <v>319</v>
      </c>
      <c r="G15" s="69">
        <v>0</v>
      </c>
      <c r="H15" s="67">
        <f t="shared" si="0"/>
        <v>0</v>
      </c>
      <c r="I15" s="89">
        <v>319</v>
      </c>
      <c r="J15" s="330"/>
      <c r="K15" s="68"/>
      <c r="L15" s="68"/>
      <c r="M15" s="58"/>
      <c r="N15" s="164"/>
      <c r="O15" s="145"/>
      <c r="P15" s="66"/>
      <c r="Q15" s="66"/>
      <c r="R15" s="67"/>
      <c r="S15" s="90"/>
      <c r="T15" s="519"/>
    </row>
    <row r="16" spans="1:20" s="6" customFormat="1" ht="16.149999999999999" customHeight="1" outlineLevel="2" x14ac:dyDescent="0.2">
      <c r="A16" s="135" t="s">
        <v>744</v>
      </c>
      <c r="B16" s="22" t="s">
        <v>556</v>
      </c>
      <c r="C16" s="22" t="s">
        <v>557</v>
      </c>
      <c r="D16" s="139" t="s">
        <v>7</v>
      </c>
      <c r="E16" s="146">
        <v>1187</v>
      </c>
      <c r="F16" s="69">
        <v>2538</v>
      </c>
      <c r="G16" s="69">
        <v>2537.7600000000002</v>
      </c>
      <c r="H16" s="67">
        <f t="shared" si="0"/>
        <v>2.1379612468407752</v>
      </c>
      <c r="I16" s="89">
        <v>0.24</v>
      </c>
      <c r="J16" s="331">
        <v>2655</v>
      </c>
      <c r="K16" s="57">
        <v>3205</v>
      </c>
      <c r="L16" s="57">
        <v>3197.25</v>
      </c>
      <c r="M16" s="58">
        <f t="shared" si="1"/>
        <v>1.2042372881355932</v>
      </c>
      <c r="N16" s="165">
        <v>7.75</v>
      </c>
      <c r="O16" s="146">
        <v>2655</v>
      </c>
      <c r="P16" s="69">
        <v>2655</v>
      </c>
      <c r="Q16" s="69">
        <v>0</v>
      </c>
      <c r="R16" s="67">
        <f t="shared" si="2"/>
        <v>0</v>
      </c>
      <c r="S16" s="89">
        <v>2655</v>
      </c>
      <c r="T16" s="519"/>
    </row>
    <row r="17" spans="1:20" s="6" customFormat="1" ht="16.149999999999999" customHeight="1" outlineLevel="2" x14ac:dyDescent="0.2">
      <c r="A17" s="135" t="s">
        <v>744</v>
      </c>
      <c r="B17" s="22" t="s">
        <v>558</v>
      </c>
      <c r="C17" s="22" t="s">
        <v>557</v>
      </c>
      <c r="D17" s="139" t="s">
        <v>19</v>
      </c>
      <c r="E17" s="146">
        <v>433</v>
      </c>
      <c r="F17" s="69">
        <v>833</v>
      </c>
      <c r="G17" s="69">
        <v>386.12</v>
      </c>
      <c r="H17" s="67">
        <f t="shared" si="0"/>
        <v>0.89173210161662819</v>
      </c>
      <c r="I17" s="89">
        <v>446.88</v>
      </c>
      <c r="J17" s="331">
        <v>782</v>
      </c>
      <c r="K17" s="57">
        <v>782</v>
      </c>
      <c r="L17" s="57">
        <v>722.56</v>
      </c>
      <c r="M17" s="58">
        <f t="shared" si="1"/>
        <v>0.92398976982097181</v>
      </c>
      <c r="N17" s="165">
        <v>59.44</v>
      </c>
      <c r="O17" s="146">
        <v>782</v>
      </c>
      <c r="P17" s="69">
        <v>782</v>
      </c>
      <c r="Q17" s="69">
        <v>423.87</v>
      </c>
      <c r="R17" s="67">
        <f t="shared" si="2"/>
        <v>0.54203324808184139</v>
      </c>
      <c r="S17" s="89">
        <v>358.13</v>
      </c>
      <c r="T17" s="519"/>
    </row>
    <row r="18" spans="1:20" s="6" customFormat="1" ht="16.149999999999999" customHeight="1" outlineLevel="2" x14ac:dyDescent="0.2">
      <c r="A18" s="135" t="s">
        <v>744</v>
      </c>
      <c r="B18" s="22" t="s">
        <v>559</v>
      </c>
      <c r="C18" s="22" t="s">
        <v>557</v>
      </c>
      <c r="D18" s="139" t="s">
        <v>23</v>
      </c>
      <c r="E18" s="146">
        <v>71</v>
      </c>
      <c r="F18" s="69">
        <v>580</v>
      </c>
      <c r="G18" s="69">
        <v>579.29999999999995</v>
      </c>
      <c r="H18" s="67">
        <f t="shared" si="0"/>
        <v>8.1591549295774648</v>
      </c>
      <c r="I18" s="89">
        <v>0.7</v>
      </c>
      <c r="J18" s="331">
        <v>390</v>
      </c>
      <c r="K18" s="57">
        <v>682</v>
      </c>
      <c r="L18" s="57">
        <v>681.95</v>
      </c>
      <c r="M18" s="58">
        <f t="shared" si="1"/>
        <v>1.7485897435897437</v>
      </c>
      <c r="N18" s="165">
        <v>0.05</v>
      </c>
      <c r="O18" s="146">
        <v>390</v>
      </c>
      <c r="P18" s="69">
        <v>390</v>
      </c>
      <c r="Q18" s="69">
        <v>126.65</v>
      </c>
      <c r="R18" s="67">
        <f t="shared" si="2"/>
        <v>0.32474358974358974</v>
      </c>
      <c r="S18" s="89">
        <v>263.35000000000002</v>
      </c>
      <c r="T18" s="519"/>
    </row>
    <row r="19" spans="1:20" s="6" customFormat="1" ht="16.149999999999999" customHeight="1" outlineLevel="2" x14ac:dyDescent="0.2">
      <c r="A19" s="135" t="s">
        <v>744</v>
      </c>
      <c r="B19" s="22" t="s">
        <v>560</v>
      </c>
      <c r="C19" s="22" t="s">
        <v>557</v>
      </c>
      <c r="D19" s="139" t="s">
        <v>115</v>
      </c>
      <c r="E19" s="146">
        <v>369</v>
      </c>
      <c r="F19" s="69">
        <v>69</v>
      </c>
      <c r="G19" s="69">
        <v>69</v>
      </c>
      <c r="H19" s="67">
        <f t="shared" si="0"/>
        <v>0.18699186991869918</v>
      </c>
      <c r="I19" s="89">
        <v>0</v>
      </c>
      <c r="J19" s="331">
        <v>369</v>
      </c>
      <c r="K19" s="57">
        <v>69</v>
      </c>
      <c r="L19" s="57">
        <v>0</v>
      </c>
      <c r="M19" s="58">
        <f t="shared" si="1"/>
        <v>0</v>
      </c>
      <c r="N19" s="165">
        <v>69</v>
      </c>
      <c r="O19" s="146">
        <v>369</v>
      </c>
      <c r="P19" s="69">
        <v>369</v>
      </c>
      <c r="Q19" s="69">
        <v>0</v>
      </c>
      <c r="R19" s="67">
        <f t="shared" si="2"/>
        <v>0</v>
      </c>
      <c r="S19" s="89">
        <v>369</v>
      </c>
      <c r="T19" s="519"/>
    </row>
    <row r="20" spans="1:20" s="6" customFormat="1" ht="16.149999999999999" customHeight="1" outlineLevel="2" x14ac:dyDescent="0.2">
      <c r="A20" s="135" t="s">
        <v>744</v>
      </c>
      <c r="B20" s="22" t="s">
        <v>561</v>
      </c>
      <c r="C20" s="22" t="s">
        <v>557</v>
      </c>
      <c r="D20" s="139" t="s">
        <v>51</v>
      </c>
      <c r="E20" s="146">
        <v>969</v>
      </c>
      <c r="F20" s="69">
        <v>0</v>
      </c>
      <c r="G20" s="69">
        <v>0</v>
      </c>
      <c r="H20" s="67">
        <f t="shared" si="0"/>
        <v>0</v>
      </c>
      <c r="I20" s="89">
        <v>0</v>
      </c>
      <c r="J20" s="330"/>
      <c r="K20" s="68"/>
      <c r="L20" s="68"/>
      <c r="M20" s="58"/>
      <c r="N20" s="164"/>
      <c r="O20" s="145"/>
      <c r="P20" s="66"/>
      <c r="Q20" s="66"/>
      <c r="R20" s="67"/>
      <c r="S20" s="90"/>
      <c r="T20" s="519"/>
    </row>
    <row r="21" spans="1:20" s="6" customFormat="1" ht="16.149999999999999" customHeight="1" outlineLevel="2" x14ac:dyDescent="0.2">
      <c r="A21" s="135" t="s">
        <v>744</v>
      </c>
      <c r="B21" s="22" t="s">
        <v>605</v>
      </c>
      <c r="C21" s="22" t="s">
        <v>603</v>
      </c>
      <c r="D21" s="139" t="s">
        <v>141</v>
      </c>
      <c r="E21" s="147"/>
      <c r="F21" s="70"/>
      <c r="G21" s="70"/>
      <c r="H21" s="67"/>
      <c r="I21" s="341"/>
      <c r="J21" s="342">
        <v>0</v>
      </c>
      <c r="K21" s="60">
        <v>6938</v>
      </c>
      <c r="L21" s="60">
        <v>6247.91</v>
      </c>
      <c r="M21" s="58">
        <v>0</v>
      </c>
      <c r="N21" s="165">
        <v>690.09</v>
      </c>
      <c r="O21" s="343">
        <v>0</v>
      </c>
      <c r="P21" s="71">
        <v>0</v>
      </c>
      <c r="Q21" s="71">
        <v>1615.38</v>
      </c>
      <c r="R21" s="67">
        <v>0</v>
      </c>
      <c r="S21" s="89">
        <v>-1615.38</v>
      </c>
      <c r="T21" s="519"/>
    </row>
    <row r="22" spans="1:20" s="6" customFormat="1" ht="16.149999999999999" customHeight="1" outlineLevel="2" x14ac:dyDescent="0.2">
      <c r="A22" s="135" t="s">
        <v>744</v>
      </c>
      <c r="B22" s="22" t="s">
        <v>606</v>
      </c>
      <c r="C22" s="22" t="s">
        <v>603</v>
      </c>
      <c r="D22" s="139" t="s">
        <v>9</v>
      </c>
      <c r="E22" s="145"/>
      <c r="F22" s="66"/>
      <c r="G22" s="66"/>
      <c r="H22" s="67"/>
      <c r="I22" s="90"/>
      <c r="J22" s="330">
        <v>6500</v>
      </c>
      <c r="K22" s="68">
        <v>6500</v>
      </c>
      <c r="L22" s="68"/>
      <c r="M22" s="58">
        <f t="shared" si="1"/>
        <v>0</v>
      </c>
      <c r="N22" s="164"/>
      <c r="O22" s="146">
        <v>6500</v>
      </c>
      <c r="P22" s="69">
        <v>6500</v>
      </c>
      <c r="Q22" s="69">
        <v>22183.5</v>
      </c>
      <c r="R22" s="67">
        <f t="shared" si="2"/>
        <v>3.4128461538461536</v>
      </c>
      <c r="S22" s="89">
        <f>-22183.5+6500</f>
        <v>-15683.5</v>
      </c>
      <c r="T22" s="519"/>
    </row>
    <row r="23" spans="1:20" s="6" customFormat="1" ht="16.149999999999999" customHeight="1" outlineLevel="2" x14ac:dyDescent="0.2">
      <c r="A23" s="135" t="s">
        <v>744</v>
      </c>
      <c r="B23" s="22" t="s">
        <v>607</v>
      </c>
      <c r="C23" s="22" t="s">
        <v>603</v>
      </c>
      <c r="D23" s="139" t="s">
        <v>27</v>
      </c>
      <c r="E23" s="146">
        <v>458</v>
      </c>
      <c r="F23" s="69">
        <v>458</v>
      </c>
      <c r="G23" s="69">
        <v>458</v>
      </c>
      <c r="H23" s="67">
        <f t="shared" si="0"/>
        <v>1</v>
      </c>
      <c r="I23" s="89">
        <v>0</v>
      </c>
      <c r="J23" s="331">
        <v>0</v>
      </c>
      <c r="K23" s="57">
        <v>0</v>
      </c>
      <c r="L23" s="57">
        <v>0</v>
      </c>
      <c r="M23" s="58"/>
      <c r="N23" s="165">
        <v>0</v>
      </c>
      <c r="O23" s="145"/>
      <c r="P23" s="66"/>
      <c r="Q23" s="66"/>
      <c r="R23" s="67"/>
      <c r="S23" s="90"/>
      <c r="T23" s="519"/>
    </row>
    <row r="24" spans="1:20" s="6" customFormat="1" ht="16.149999999999999" customHeight="1" outlineLevel="2" x14ac:dyDescent="0.2">
      <c r="A24" s="135" t="s">
        <v>744</v>
      </c>
      <c r="B24" s="22" t="s">
        <v>608</v>
      </c>
      <c r="C24" s="22" t="s">
        <v>603</v>
      </c>
      <c r="D24" s="139" t="s">
        <v>29</v>
      </c>
      <c r="E24" s="145"/>
      <c r="F24" s="66"/>
      <c r="G24" s="66"/>
      <c r="H24" s="67"/>
      <c r="I24" s="90"/>
      <c r="J24" s="331">
        <v>0</v>
      </c>
      <c r="K24" s="57">
        <v>6062</v>
      </c>
      <c r="L24" s="57">
        <v>6062.14</v>
      </c>
      <c r="M24" s="58">
        <v>0</v>
      </c>
      <c r="N24" s="165">
        <v>-0.14000000000000001</v>
      </c>
      <c r="O24" s="145"/>
      <c r="P24" s="66"/>
      <c r="Q24" s="66"/>
      <c r="R24" s="67"/>
      <c r="S24" s="90"/>
      <c r="T24" s="519"/>
    </row>
    <row r="25" spans="1:20" s="6" customFormat="1" ht="16.149999999999999" customHeight="1" outlineLevel="2" x14ac:dyDescent="0.2">
      <c r="A25" s="135" t="s">
        <v>744</v>
      </c>
      <c r="B25" s="22" t="s">
        <v>633</v>
      </c>
      <c r="C25" s="22" t="s">
        <v>631</v>
      </c>
      <c r="D25" s="139" t="s">
        <v>313</v>
      </c>
      <c r="E25" s="146">
        <v>0</v>
      </c>
      <c r="F25" s="69">
        <v>243</v>
      </c>
      <c r="G25" s="69">
        <v>242.25</v>
      </c>
      <c r="H25" s="67">
        <v>0</v>
      </c>
      <c r="I25" s="89">
        <v>0.75</v>
      </c>
      <c r="J25" s="330"/>
      <c r="K25" s="68"/>
      <c r="L25" s="68"/>
      <c r="M25" s="58"/>
      <c r="N25" s="164"/>
      <c r="O25" s="145"/>
      <c r="P25" s="66"/>
      <c r="Q25" s="66"/>
      <c r="R25" s="67"/>
      <c r="S25" s="90"/>
      <c r="T25" s="519"/>
    </row>
    <row r="26" spans="1:20" s="6" customFormat="1" ht="16.149999999999999" customHeight="1" outlineLevel="2" x14ac:dyDescent="0.2">
      <c r="A26" s="135" t="s">
        <v>744</v>
      </c>
      <c r="B26" s="22" t="s">
        <v>634</v>
      </c>
      <c r="C26" s="22" t="s">
        <v>631</v>
      </c>
      <c r="D26" s="139" t="s">
        <v>635</v>
      </c>
      <c r="E26" s="146">
        <v>0</v>
      </c>
      <c r="F26" s="69">
        <v>0</v>
      </c>
      <c r="G26" s="69">
        <v>0</v>
      </c>
      <c r="H26" s="67"/>
      <c r="I26" s="89">
        <v>0</v>
      </c>
      <c r="J26" s="330"/>
      <c r="K26" s="68"/>
      <c r="L26" s="68"/>
      <c r="M26" s="58"/>
      <c r="N26" s="164"/>
      <c r="O26" s="145"/>
      <c r="P26" s="66"/>
      <c r="Q26" s="66"/>
      <c r="R26" s="67"/>
      <c r="S26" s="90"/>
      <c r="T26" s="519"/>
    </row>
    <row r="27" spans="1:20" s="6" customFormat="1" ht="16.149999999999999" customHeight="1" outlineLevel="1" thickBot="1" x14ac:dyDescent="0.25">
      <c r="A27" s="98" t="s">
        <v>764</v>
      </c>
      <c r="B27" s="3"/>
      <c r="C27" s="3"/>
      <c r="D27" s="3"/>
      <c r="E27" s="148">
        <f>SUBTOTAL(9,E3:E26)</f>
        <v>6867</v>
      </c>
      <c r="F27" s="116">
        <f>SUBTOTAL(9,F3:F26)</f>
        <v>8519</v>
      </c>
      <c r="G27" s="116">
        <f>SUBTOTAL(9,G3:G26)</f>
        <v>7512.1600000000008</v>
      </c>
      <c r="H27" s="117">
        <f t="shared" si="0"/>
        <v>1.0939507790883938</v>
      </c>
      <c r="I27" s="119">
        <f>SUBTOTAL(9,I3:I26)</f>
        <v>1006.84</v>
      </c>
      <c r="J27" s="148">
        <f>SUBTOTAL(9,J3:J26)</f>
        <v>14866</v>
      </c>
      <c r="K27" s="116">
        <f>SUBTOTAL(9,K3:K26)</f>
        <v>81115</v>
      </c>
      <c r="L27" s="116">
        <f>SUBTOTAL(9,L3:L26)</f>
        <v>70014.849999999991</v>
      </c>
      <c r="M27" s="117">
        <f t="shared" si="1"/>
        <v>4.709730256962195</v>
      </c>
      <c r="N27" s="119">
        <f>SUBTOTAL(9,N3:N26)</f>
        <v>4600.1500000000015</v>
      </c>
      <c r="O27" s="148">
        <f>SUBTOTAL(9,O3:O26)</f>
        <v>14866</v>
      </c>
      <c r="P27" s="116">
        <f>SUBTOTAL(9,P3:P26)</f>
        <v>14866</v>
      </c>
      <c r="Q27" s="116">
        <f>SUBTOTAL(9,Q3:Q26)</f>
        <v>25767.42</v>
      </c>
      <c r="R27" s="117">
        <f t="shared" si="2"/>
        <v>1.7333122561549845</v>
      </c>
      <c r="S27" s="119">
        <f>SUBTOTAL(9,S3:S26)</f>
        <v>-10901.42</v>
      </c>
      <c r="T27" s="511"/>
    </row>
    <row r="28" spans="1:20" ht="14.25" thickTop="1" thickBot="1" x14ac:dyDescent="0.25">
      <c r="A28" s="100"/>
      <c r="B28" s="91"/>
      <c r="C28" s="91"/>
      <c r="D28" s="91"/>
      <c r="E28" s="27"/>
      <c r="F28" s="91"/>
      <c r="G28" s="91"/>
      <c r="H28" s="91"/>
      <c r="I28" s="38"/>
      <c r="J28" s="27"/>
      <c r="K28" s="91"/>
      <c r="L28" s="91"/>
      <c r="M28" s="91"/>
      <c r="N28" s="38"/>
      <c r="O28" s="27"/>
      <c r="P28" s="91"/>
      <c r="Q28" s="91"/>
      <c r="R28" s="91"/>
      <c r="S28" s="38"/>
      <c r="T28" s="516"/>
    </row>
  </sheetData>
  <mergeCells count="3">
    <mergeCell ref="E1:I1"/>
    <mergeCell ref="J1:N1"/>
    <mergeCell ref="O1:S1"/>
  </mergeCells>
  <printOptions horizontalCentered="1" gridLines="1"/>
  <pageMargins left="0" right="0" top="0.75" bottom="0.75" header="0.3" footer="0.3"/>
  <pageSetup paperSize="5" scale="90" orientation="landscape" r:id="rId1"/>
  <headerFooter>
    <oddHeader>&amp;CMISSION COLLEGE
Fund 100 - Operating Budget vs Actual Spending for FY10/11, FY11/12 &amp; FY12/13</oddHeader>
    <oddFooter>&amp;ROffice of Administrative Services
&amp;Z&amp;F &amp;A   March 20, 2013 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8"/>
  <sheetViews>
    <sheetView topLeftCell="E1" workbookViewId="0">
      <selection activeCell="U1" sqref="U1:U6"/>
    </sheetView>
  </sheetViews>
  <sheetFormatPr defaultRowHeight="12.75" outlineLevelRow="2" x14ac:dyDescent="0.2"/>
  <cols>
    <col min="1" max="1" width="10.28515625" style="19" customWidth="1"/>
    <col min="2" max="2" width="20.42578125" bestFit="1" customWidth="1"/>
    <col min="3" max="3" width="18.85546875" bestFit="1" customWidth="1"/>
    <col min="4" max="4" width="20.140625" bestFit="1" customWidth="1"/>
    <col min="5" max="6" width="7.140625" bestFit="1" customWidth="1"/>
    <col min="7" max="7" width="7.5703125" bestFit="1" customWidth="1"/>
    <col min="8" max="8" width="9.140625" customWidth="1"/>
    <col min="9" max="9" width="6.140625" bestFit="1" customWidth="1"/>
    <col min="10" max="11" width="7.140625" bestFit="1" customWidth="1"/>
    <col min="12" max="12" width="7.5703125" bestFit="1" customWidth="1"/>
    <col min="13" max="13" width="6.7109375" bestFit="1" customWidth="1"/>
    <col min="14" max="14" width="6" bestFit="1" customWidth="1"/>
    <col min="15" max="16" width="7.140625" bestFit="1" customWidth="1"/>
    <col min="17" max="17" width="9.140625" customWidth="1"/>
    <col min="18" max="18" width="5.85546875" customWidth="1"/>
    <col min="19" max="19" width="6.7109375" bestFit="1" customWidth="1"/>
    <col min="20" max="20" width="6" bestFit="1" customWidth="1"/>
    <col min="21" max="21" width="23" bestFit="1" customWidth="1"/>
  </cols>
  <sheetData>
    <row r="1" spans="1:21" ht="13.5" thickBot="1" x14ac:dyDescent="0.25">
      <c r="A1" s="94"/>
      <c r="B1" s="88"/>
      <c r="C1" s="88"/>
      <c r="D1" s="88"/>
      <c r="E1" s="621" t="s">
        <v>791</v>
      </c>
      <c r="F1" s="622"/>
      <c r="G1" s="622"/>
      <c r="H1" s="622"/>
      <c r="I1" s="623"/>
      <c r="J1" s="621" t="s">
        <v>790</v>
      </c>
      <c r="K1" s="622"/>
      <c r="L1" s="622"/>
      <c r="M1" s="622"/>
      <c r="N1" s="623"/>
      <c r="O1" s="621" t="s">
        <v>792</v>
      </c>
      <c r="P1" s="622"/>
      <c r="Q1" s="622"/>
      <c r="R1" s="622"/>
      <c r="S1" s="622"/>
      <c r="T1" s="623"/>
      <c r="U1" s="553" t="s">
        <v>825</v>
      </c>
    </row>
    <row r="2" spans="1:21" ht="45.75" thickBot="1" x14ac:dyDescent="0.25">
      <c r="A2" s="149"/>
      <c r="B2" s="150" t="s">
        <v>732</v>
      </c>
      <c r="C2" s="150" t="s">
        <v>735</v>
      </c>
      <c r="D2" s="151" t="s">
        <v>733</v>
      </c>
      <c r="E2" s="140" t="s">
        <v>0</v>
      </c>
      <c r="F2" s="141" t="s">
        <v>1</v>
      </c>
      <c r="G2" s="141" t="s">
        <v>772</v>
      </c>
      <c r="H2" s="141" t="s">
        <v>793</v>
      </c>
      <c r="I2" s="143" t="s">
        <v>3</v>
      </c>
      <c r="J2" s="140" t="s">
        <v>0</v>
      </c>
      <c r="K2" s="141" t="s">
        <v>1</v>
      </c>
      <c r="L2" s="141" t="s">
        <v>772</v>
      </c>
      <c r="M2" s="142" t="s">
        <v>793</v>
      </c>
      <c r="N2" s="143" t="s">
        <v>3</v>
      </c>
      <c r="O2" s="140" t="s">
        <v>0</v>
      </c>
      <c r="P2" s="141" t="s">
        <v>1</v>
      </c>
      <c r="Q2" s="141" t="s">
        <v>772</v>
      </c>
      <c r="R2" s="166" t="s">
        <v>2</v>
      </c>
      <c r="S2" s="142" t="s">
        <v>793</v>
      </c>
      <c r="T2" s="143" t="s">
        <v>3</v>
      </c>
      <c r="U2" s="529" t="s">
        <v>826</v>
      </c>
    </row>
    <row r="3" spans="1:21" s="6" customFormat="1" outlineLevel="2" x14ac:dyDescent="0.2">
      <c r="A3" s="136" t="s">
        <v>739</v>
      </c>
      <c r="B3" s="122" t="s">
        <v>79</v>
      </c>
      <c r="C3" s="122" t="s">
        <v>75</v>
      </c>
      <c r="D3" s="138" t="s">
        <v>58</v>
      </c>
      <c r="E3" s="328">
        <v>0</v>
      </c>
      <c r="F3" s="125">
        <v>800</v>
      </c>
      <c r="G3" s="125">
        <v>364.23</v>
      </c>
      <c r="H3" s="126">
        <v>0</v>
      </c>
      <c r="I3" s="329">
        <v>435.77</v>
      </c>
      <c r="J3" s="334"/>
      <c r="K3" s="155"/>
      <c r="L3" s="155"/>
      <c r="M3" s="156"/>
      <c r="N3" s="335"/>
      <c r="O3" s="340"/>
      <c r="P3" s="157"/>
      <c r="Q3" s="157"/>
      <c r="R3" s="157"/>
      <c r="S3" s="126"/>
      <c r="T3" s="536"/>
      <c r="U3" s="532"/>
    </row>
    <row r="4" spans="1:21" s="6" customFormat="1" outlineLevel="2" x14ac:dyDescent="0.2">
      <c r="A4" s="135" t="s">
        <v>739</v>
      </c>
      <c r="B4" s="22" t="s">
        <v>80</v>
      </c>
      <c r="C4" s="22" t="s">
        <v>75</v>
      </c>
      <c r="D4" s="139" t="s">
        <v>7</v>
      </c>
      <c r="E4" s="330"/>
      <c r="F4" s="68"/>
      <c r="G4" s="68"/>
      <c r="H4" s="58"/>
      <c r="I4" s="164"/>
      <c r="J4" s="336">
        <v>0</v>
      </c>
      <c r="K4" s="154">
        <v>1720</v>
      </c>
      <c r="L4" s="154">
        <v>1720.31</v>
      </c>
      <c r="M4" s="153">
        <v>0</v>
      </c>
      <c r="N4" s="337">
        <v>-0.31</v>
      </c>
      <c r="O4" s="330"/>
      <c r="P4" s="68"/>
      <c r="Q4" s="68"/>
      <c r="R4" s="68"/>
      <c r="S4" s="58"/>
      <c r="T4" s="537"/>
      <c r="U4" s="533"/>
    </row>
    <row r="5" spans="1:21" s="6" customFormat="1" outlineLevel="2" x14ac:dyDescent="0.2">
      <c r="A5" s="135" t="s">
        <v>739</v>
      </c>
      <c r="B5" s="22" t="s">
        <v>81</v>
      </c>
      <c r="C5" s="22" t="s">
        <v>75</v>
      </c>
      <c r="D5" s="139" t="s">
        <v>52</v>
      </c>
      <c r="E5" s="330"/>
      <c r="F5" s="68"/>
      <c r="G5" s="68"/>
      <c r="H5" s="58"/>
      <c r="I5" s="164"/>
      <c r="J5" s="336">
        <v>0</v>
      </c>
      <c r="K5" s="154">
        <v>500</v>
      </c>
      <c r="L5" s="154">
        <v>138.15</v>
      </c>
      <c r="M5" s="153">
        <v>0</v>
      </c>
      <c r="N5" s="337">
        <v>361.85</v>
      </c>
      <c r="O5" s="330"/>
      <c r="P5" s="68"/>
      <c r="Q5" s="68"/>
      <c r="R5" s="68"/>
      <c r="S5" s="58"/>
      <c r="T5" s="537"/>
      <c r="U5" s="533"/>
    </row>
    <row r="6" spans="1:21" s="6" customFormat="1" outlineLevel="2" x14ac:dyDescent="0.2">
      <c r="A6" s="135" t="s">
        <v>739</v>
      </c>
      <c r="B6" s="22" t="s">
        <v>82</v>
      </c>
      <c r="C6" s="22" t="s">
        <v>75</v>
      </c>
      <c r="D6" s="139" t="s">
        <v>83</v>
      </c>
      <c r="E6" s="331">
        <v>0</v>
      </c>
      <c r="F6" s="57">
        <v>2257</v>
      </c>
      <c r="G6" s="57">
        <v>2256.34</v>
      </c>
      <c r="H6" s="58">
        <v>0</v>
      </c>
      <c r="I6" s="165">
        <v>0.66</v>
      </c>
      <c r="J6" s="338"/>
      <c r="K6" s="152"/>
      <c r="L6" s="152"/>
      <c r="M6" s="153"/>
      <c r="N6" s="339"/>
      <c r="O6" s="330"/>
      <c r="P6" s="68"/>
      <c r="Q6" s="68"/>
      <c r="R6" s="68"/>
      <c r="S6" s="58"/>
      <c r="T6" s="537"/>
      <c r="U6" s="533"/>
    </row>
    <row r="7" spans="1:21" s="6" customFormat="1" outlineLevel="2" x14ac:dyDescent="0.2">
      <c r="A7" s="135" t="s">
        <v>739</v>
      </c>
      <c r="B7" s="22" t="s">
        <v>84</v>
      </c>
      <c r="C7" s="22" t="s">
        <v>75</v>
      </c>
      <c r="D7" s="139" t="s">
        <v>9</v>
      </c>
      <c r="E7" s="331">
        <v>0</v>
      </c>
      <c r="F7" s="57">
        <v>0</v>
      </c>
      <c r="G7" s="57">
        <v>146.53</v>
      </c>
      <c r="H7" s="58">
        <v>0</v>
      </c>
      <c r="I7" s="165">
        <v>-146.53</v>
      </c>
      <c r="J7" s="336">
        <v>0</v>
      </c>
      <c r="K7" s="154">
        <v>0</v>
      </c>
      <c r="L7" s="154">
        <v>0</v>
      </c>
      <c r="M7" s="153"/>
      <c r="N7" s="337">
        <v>0</v>
      </c>
      <c r="O7" s="330"/>
      <c r="P7" s="68"/>
      <c r="Q7" s="68"/>
      <c r="R7" s="68"/>
      <c r="S7" s="58"/>
      <c r="T7" s="537"/>
      <c r="U7" s="533"/>
    </row>
    <row r="8" spans="1:21" s="6" customFormat="1" outlineLevel="2" x14ac:dyDescent="0.2">
      <c r="A8" s="135" t="s">
        <v>739</v>
      </c>
      <c r="B8" s="22" t="s">
        <v>85</v>
      </c>
      <c r="C8" s="22" t="s">
        <v>75</v>
      </c>
      <c r="D8" s="139" t="s">
        <v>12</v>
      </c>
      <c r="E8" s="331">
        <v>0</v>
      </c>
      <c r="F8" s="57">
        <v>0</v>
      </c>
      <c r="G8" s="57">
        <v>5.28</v>
      </c>
      <c r="H8" s="58">
        <v>0</v>
      </c>
      <c r="I8" s="165">
        <v>-5.28</v>
      </c>
      <c r="J8" s="338"/>
      <c r="K8" s="152"/>
      <c r="L8" s="152"/>
      <c r="M8" s="153"/>
      <c r="N8" s="339"/>
      <c r="O8" s="330"/>
      <c r="P8" s="68"/>
      <c r="Q8" s="68"/>
      <c r="R8" s="68"/>
      <c r="S8" s="58"/>
      <c r="T8" s="537"/>
      <c r="U8" s="533"/>
    </row>
    <row r="9" spans="1:21" s="6" customFormat="1" outlineLevel="2" x14ac:dyDescent="0.2">
      <c r="A9" s="135" t="s">
        <v>739</v>
      </c>
      <c r="B9" s="22" t="s">
        <v>86</v>
      </c>
      <c r="C9" s="22" t="s">
        <v>75</v>
      </c>
      <c r="D9" s="139" t="s">
        <v>87</v>
      </c>
      <c r="E9" s="331">
        <v>0</v>
      </c>
      <c r="F9" s="57">
        <v>0</v>
      </c>
      <c r="G9" s="57">
        <v>14.57</v>
      </c>
      <c r="H9" s="58">
        <v>0</v>
      </c>
      <c r="I9" s="165">
        <v>-14.57</v>
      </c>
      <c r="J9" s="338"/>
      <c r="K9" s="152"/>
      <c r="L9" s="152"/>
      <c r="M9" s="153"/>
      <c r="N9" s="339"/>
      <c r="O9" s="330"/>
      <c r="P9" s="68"/>
      <c r="Q9" s="68"/>
      <c r="R9" s="68"/>
      <c r="S9" s="58"/>
      <c r="T9" s="537"/>
      <c r="U9" s="533"/>
    </row>
    <row r="10" spans="1:21" s="6" customFormat="1" outlineLevel="2" x14ac:dyDescent="0.2">
      <c r="A10" s="135" t="s">
        <v>739</v>
      </c>
      <c r="B10" s="22" t="s">
        <v>88</v>
      </c>
      <c r="C10" s="22" t="s">
        <v>75</v>
      </c>
      <c r="D10" s="139" t="s">
        <v>14</v>
      </c>
      <c r="E10" s="331">
        <v>0</v>
      </c>
      <c r="F10" s="57">
        <v>0</v>
      </c>
      <c r="G10" s="57">
        <v>2.5299999999999998</v>
      </c>
      <c r="H10" s="58">
        <v>0</v>
      </c>
      <c r="I10" s="165">
        <v>-2.5299999999999998</v>
      </c>
      <c r="J10" s="338"/>
      <c r="K10" s="152"/>
      <c r="L10" s="152"/>
      <c r="M10" s="153"/>
      <c r="N10" s="339"/>
      <c r="O10" s="330"/>
      <c r="P10" s="68"/>
      <c r="Q10" s="68"/>
      <c r="R10" s="68"/>
      <c r="S10" s="58"/>
      <c r="T10" s="537"/>
      <c r="U10" s="533"/>
    </row>
    <row r="11" spans="1:21" s="6" customFormat="1" outlineLevel="2" x14ac:dyDescent="0.2">
      <c r="A11" s="135" t="s">
        <v>739</v>
      </c>
      <c r="B11" s="22" t="s">
        <v>89</v>
      </c>
      <c r="C11" s="22" t="s">
        <v>75</v>
      </c>
      <c r="D11" s="139" t="s">
        <v>15</v>
      </c>
      <c r="E11" s="331">
        <v>0</v>
      </c>
      <c r="F11" s="57">
        <v>0</v>
      </c>
      <c r="G11" s="57">
        <v>4.04</v>
      </c>
      <c r="H11" s="58">
        <v>0</v>
      </c>
      <c r="I11" s="165">
        <v>-4.04</v>
      </c>
      <c r="J11" s="338"/>
      <c r="K11" s="152"/>
      <c r="L11" s="152"/>
      <c r="M11" s="153"/>
      <c r="N11" s="339"/>
      <c r="O11" s="330"/>
      <c r="P11" s="68"/>
      <c r="Q11" s="68"/>
      <c r="R11" s="68"/>
      <c r="S11" s="58"/>
      <c r="T11" s="537"/>
      <c r="U11" s="533"/>
    </row>
    <row r="12" spans="1:21" s="6" customFormat="1" outlineLevel="2" x14ac:dyDescent="0.2">
      <c r="A12" s="135" t="s">
        <v>739</v>
      </c>
      <c r="B12" s="22" t="s">
        <v>90</v>
      </c>
      <c r="C12" s="22" t="s">
        <v>75</v>
      </c>
      <c r="D12" s="139" t="s">
        <v>19</v>
      </c>
      <c r="E12" s="331">
        <v>1450</v>
      </c>
      <c r="F12" s="57">
        <v>1434</v>
      </c>
      <c r="G12" s="57">
        <v>617.79</v>
      </c>
      <c r="H12" s="58">
        <f t="shared" ref="H12:H27" si="0">+G12/E12</f>
        <v>0.42606206896551724</v>
      </c>
      <c r="I12" s="165">
        <v>816.21</v>
      </c>
      <c r="J12" s="336">
        <v>1450</v>
      </c>
      <c r="K12" s="154">
        <v>1450</v>
      </c>
      <c r="L12" s="154">
        <v>1152.22</v>
      </c>
      <c r="M12" s="153">
        <f t="shared" ref="M12:M27" si="1">+L12/J12</f>
        <v>0.7946344827586207</v>
      </c>
      <c r="N12" s="337">
        <v>297.77999999999997</v>
      </c>
      <c r="O12" s="331">
        <v>1450</v>
      </c>
      <c r="P12" s="57">
        <v>1450</v>
      </c>
      <c r="Q12" s="57">
        <v>64.14</v>
      </c>
      <c r="R12" s="57">
        <v>436.53</v>
      </c>
      <c r="S12" s="58">
        <f t="shared" ref="S12:S27" si="2">+Q12/O12</f>
        <v>4.4234482758620693E-2</v>
      </c>
      <c r="T12" s="538">
        <v>949.33</v>
      </c>
      <c r="U12" s="533"/>
    </row>
    <row r="13" spans="1:21" s="6" customFormat="1" outlineLevel="2" x14ac:dyDescent="0.2">
      <c r="A13" s="135" t="s">
        <v>739</v>
      </c>
      <c r="B13" s="22" t="s">
        <v>91</v>
      </c>
      <c r="C13" s="22" t="s">
        <v>75</v>
      </c>
      <c r="D13" s="139" t="s">
        <v>25</v>
      </c>
      <c r="E13" s="331">
        <v>0</v>
      </c>
      <c r="F13" s="57">
        <v>0</v>
      </c>
      <c r="G13" s="57">
        <v>0</v>
      </c>
      <c r="H13" s="58"/>
      <c r="I13" s="165">
        <v>0</v>
      </c>
      <c r="J13" s="336">
        <v>0</v>
      </c>
      <c r="K13" s="154">
        <v>0</v>
      </c>
      <c r="L13" s="154">
        <v>0</v>
      </c>
      <c r="M13" s="153"/>
      <c r="N13" s="337">
        <v>0</v>
      </c>
      <c r="O13" s="331">
        <v>0</v>
      </c>
      <c r="P13" s="57">
        <v>0</v>
      </c>
      <c r="Q13" s="57">
        <v>418.28</v>
      </c>
      <c r="R13" s="57">
        <v>0</v>
      </c>
      <c r="S13" s="58">
        <v>0</v>
      </c>
      <c r="T13" s="538">
        <v>-418.28</v>
      </c>
      <c r="U13" s="533"/>
    </row>
    <row r="14" spans="1:21" s="6" customFormat="1" outlineLevel="2" x14ac:dyDescent="0.2">
      <c r="A14" s="135" t="s">
        <v>739</v>
      </c>
      <c r="B14" s="22" t="s">
        <v>92</v>
      </c>
      <c r="C14" s="22" t="s">
        <v>75</v>
      </c>
      <c r="D14" s="139" t="s">
        <v>93</v>
      </c>
      <c r="E14" s="331">
        <v>0</v>
      </c>
      <c r="F14" s="57">
        <v>0</v>
      </c>
      <c r="G14" s="57">
        <v>0</v>
      </c>
      <c r="H14" s="58"/>
      <c r="I14" s="165">
        <v>0</v>
      </c>
      <c r="J14" s="338"/>
      <c r="K14" s="152"/>
      <c r="L14" s="152"/>
      <c r="M14" s="153"/>
      <c r="N14" s="339"/>
      <c r="O14" s="330"/>
      <c r="P14" s="68"/>
      <c r="Q14" s="68"/>
      <c r="R14" s="68"/>
      <c r="S14" s="58"/>
      <c r="T14" s="537"/>
      <c r="U14" s="533"/>
    </row>
    <row r="15" spans="1:21" s="6" customFormat="1" outlineLevel="2" x14ac:dyDescent="0.2">
      <c r="A15" s="135" t="s">
        <v>739</v>
      </c>
      <c r="B15" s="22" t="s">
        <v>94</v>
      </c>
      <c r="C15" s="22" t="s">
        <v>75</v>
      </c>
      <c r="D15" s="139" t="s">
        <v>31</v>
      </c>
      <c r="E15" s="331">
        <v>1000</v>
      </c>
      <c r="F15" s="57">
        <v>1000</v>
      </c>
      <c r="G15" s="57">
        <v>1000</v>
      </c>
      <c r="H15" s="58">
        <f t="shared" si="0"/>
        <v>1</v>
      </c>
      <c r="I15" s="165">
        <v>0</v>
      </c>
      <c r="J15" s="336">
        <v>1000</v>
      </c>
      <c r="K15" s="154">
        <v>1000</v>
      </c>
      <c r="L15" s="154">
        <v>0</v>
      </c>
      <c r="M15" s="153">
        <f t="shared" si="1"/>
        <v>0</v>
      </c>
      <c r="N15" s="337">
        <v>1000</v>
      </c>
      <c r="O15" s="331">
        <v>1000</v>
      </c>
      <c r="P15" s="57">
        <v>1000</v>
      </c>
      <c r="Q15" s="57">
        <v>350</v>
      </c>
      <c r="R15" s="57">
        <v>0</v>
      </c>
      <c r="S15" s="58">
        <f t="shared" si="2"/>
        <v>0.35</v>
      </c>
      <c r="T15" s="538">
        <v>650</v>
      </c>
      <c r="U15" s="533"/>
    </row>
    <row r="16" spans="1:21" s="6" customFormat="1" outlineLevel="2" x14ac:dyDescent="0.2">
      <c r="A16" s="135" t="s">
        <v>739</v>
      </c>
      <c r="B16" s="22" t="s">
        <v>95</v>
      </c>
      <c r="C16" s="22" t="s">
        <v>75</v>
      </c>
      <c r="D16" s="139" t="s">
        <v>48</v>
      </c>
      <c r="E16" s="331">
        <v>550</v>
      </c>
      <c r="F16" s="57">
        <v>550</v>
      </c>
      <c r="G16" s="57">
        <v>267.39999999999998</v>
      </c>
      <c r="H16" s="58">
        <f t="shared" si="0"/>
        <v>0.48618181818181816</v>
      </c>
      <c r="I16" s="165">
        <v>282.60000000000002</v>
      </c>
      <c r="J16" s="336">
        <v>550</v>
      </c>
      <c r="K16" s="154">
        <v>550</v>
      </c>
      <c r="L16" s="154">
        <v>347.79</v>
      </c>
      <c r="M16" s="153">
        <f t="shared" si="1"/>
        <v>0.63234545454545454</v>
      </c>
      <c r="N16" s="337">
        <v>202.21</v>
      </c>
      <c r="O16" s="331">
        <v>550</v>
      </c>
      <c r="P16" s="57">
        <v>550</v>
      </c>
      <c r="Q16" s="57">
        <v>123.37</v>
      </c>
      <c r="R16" s="57">
        <v>0</v>
      </c>
      <c r="S16" s="58">
        <f t="shared" si="2"/>
        <v>0.22430909090909093</v>
      </c>
      <c r="T16" s="538">
        <v>426.63</v>
      </c>
      <c r="U16" s="533"/>
    </row>
    <row r="17" spans="1:21" s="6" customFormat="1" outlineLevel="2" x14ac:dyDescent="0.2">
      <c r="A17" s="135" t="s">
        <v>739</v>
      </c>
      <c r="B17" s="22" t="s">
        <v>96</v>
      </c>
      <c r="C17" s="22" t="s">
        <v>75</v>
      </c>
      <c r="D17" s="139" t="s">
        <v>97</v>
      </c>
      <c r="E17" s="331">
        <v>0</v>
      </c>
      <c r="F17" s="57">
        <v>18813</v>
      </c>
      <c r="G17" s="57">
        <v>0</v>
      </c>
      <c r="H17" s="58">
        <v>0</v>
      </c>
      <c r="I17" s="165">
        <v>18813</v>
      </c>
      <c r="J17" s="336">
        <v>0</v>
      </c>
      <c r="K17" s="154">
        <v>29065</v>
      </c>
      <c r="L17" s="154">
        <v>29065</v>
      </c>
      <c r="M17" s="153">
        <v>0</v>
      </c>
      <c r="N17" s="337">
        <v>0</v>
      </c>
      <c r="O17" s="331">
        <v>0</v>
      </c>
      <c r="P17" s="57">
        <v>6000</v>
      </c>
      <c r="Q17" s="57">
        <v>4128.1499999999996</v>
      </c>
      <c r="R17" s="57">
        <v>599.41</v>
      </c>
      <c r="S17" s="58"/>
      <c r="T17" s="538">
        <v>1272.44</v>
      </c>
      <c r="U17" s="533"/>
    </row>
    <row r="18" spans="1:21" s="6" customFormat="1" outlineLevel="2" x14ac:dyDescent="0.2">
      <c r="A18" s="135" t="s">
        <v>739</v>
      </c>
      <c r="B18" s="22" t="s">
        <v>98</v>
      </c>
      <c r="C18" s="22" t="s">
        <v>75</v>
      </c>
      <c r="D18" s="139" t="s">
        <v>97</v>
      </c>
      <c r="E18" s="331">
        <v>70000</v>
      </c>
      <c r="F18" s="57">
        <v>45919</v>
      </c>
      <c r="G18" s="57">
        <v>45918.59</v>
      </c>
      <c r="H18" s="58">
        <f t="shared" si="0"/>
        <v>0.65597985714285711</v>
      </c>
      <c r="I18" s="165">
        <v>0.41</v>
      </c>
      <c r="J18" s="338"/>
      <c r="K18" s="152"/>
      <c r="L18" s="152"/>
      <c r="M18" s="153"/>
      <c r="N18" s="339"/>
      <c r="O18" s="330"/>
      <c r="P18" s="68"/>
      <c r="Q18" s="68"/>
      <c r="R18" s="68"/>
      <c r="S18" s="58"/>
      <c r="T18" s="537"/>
      <c r="U18" s="533"/>
    </row>
    <row r="19" spans="1:21" s="6" customFormat="1" outlineLevel="2" x14ac:dyDescent="0.2">
      <c r="A19" s="135" t="s">
        <v>739</v>
      </c>
      <c r="B19" s="22" t="s">
        <v>77</v>
      </c>
      <c r="C19" s="22" t="s">
        <v>75</v>
      </c>
      <c r="D19" s="139" t="s">
        <v>33</v>
      </c>
      <c r="E19" s="330"/>
      <c r="F19" s="68"/>
      <c r="G19" s="68"/>
      <c r="H19" s="58"/>
      <c r="I19" s="164"/>
      <c r="J19" s="336">
        <v>0</v>
      </c>
      <c r="K19" s="154">
        <v>0</v>
      </c>
      <c r="L19" s="154">
        <v>0</v>
      </c>
      <c r="M19" s="153"/>
      <c r="N19" s="337">
        <v>0</v>
      </c>
      <c r="O19" s="330"/>
      <c r="P19" s="68"/>
      <c r="Q19" s="68"/>
      <c r="R19" s="68"/>
      <c r="S19" s="58"/>
      <c r="T19" s="537"/>
      <c r="U19" s="533"/>
    </row>
    <row r="20" spans="1:21" s="6" customFormat="1" outlineLevel="2" x14ac:dyDescent="0.2">
      <c r="A20" s="135" t="s">
        <v>739</v>
      </c>
      <c r="B20" s="22" t="s">
        <v>99</v>
      </c>
      <c r="C20" s="22" t="s">
        <v>75</v>
      </c>
      <c r="D20" s="139" t="s">
        <v>33</v>
      </c>
      <c r="E20" s="331">
        <v>15260</v>
      </c>
      <c r="F20" s="57">
        <v>14934</v>
      </c>
      <c r="G20" s="57">
        <v>1420.61</v>
      </c>
      <c r="H20" s="58">
        <f t="shared" si="0"/>
        <v>9.3093709043250317E-2</v>
      </c>
      <c r="I20" s="165">
        <v>13513.39</v>
      </c>
      <c r="J20" s="336">
        <v>15260</v>
      </c>
      <c r="K20" s="154">
        <v>43913</v>
      </c>
      <c r="L20" s="154">
        <v>42563.99</v>
      </c>
      <c r="M20" s="153">
        <f t="shared" si="1"/>
        <v>2.7892522935779813</v>
      </c>
      <c r="N20" s="337">
        <v>1349.01</v>
      </c>
      <c r="O20" s="331">
        <v>15260</v>
      </c>
      <c r="P20" s="57">
        <v>9260</v>
      </c>
      <c r="Q20" s="57">
        <v>3932.77</v>
      </c>
      <c r="R20" s="57">
        <v>2862</v>
      </c>
      <c r="S20" s="58">
        <f t="shared" si="2"/>
        <v>0.25771756225425951</v>
      </c>
      <c r="T20" s="538">
        <v>2465.23</v>
      </c>
      <c r="U20" s="533"/>
    </row>
    <row r="21" spans="1:21" s="6" customFormat="1" outlineLevel="2" x14ac:dyDescent="0.2">
      <c r="A21" s="135" t="s">
        <v>739</v>
      </c>
      <c r="B21" s="22" t="s">
        <v>100</v>
      </c>
      <c r="C21" s="22" t="s">
        <v>75</v>
      </c>
      <c r="D21" s="139" t="s">
        <v>33</v>
      </c>
      <c r="E21" s="331">
        <v>0</v>
      </c>
      <c r="F21" s="57">
        <v>12247</v>
      </c>
      <c r="G21" s="57">
        <v>12246.56</v>
      </c>
      <c r="H21" s="58">
        <v>0</v>
      </c>
      <c r="I21" s="165">
        <v>0.44</v>
      </c>
      <c r="J21" s="338"/>
      <c r="K21" s="152"/>
      <c r="L21" s="152"/>
      <c r="M21" s="153"/>
      <c r="N21" s="339"/>
      <c r="O21" s="330"/>
      <c r="P21" s="68"/>
      <c r="Q21" s="68"/>
      <c r="R21" s="68"/>
      <c r="S21" s="58"/>
      <c r="T21" s="537"/>
      <c r="U21" s="533"/>
    </row>
    <row r="22" spans="1:21" s="6" customFormat="1" outlineLevel="2" x14ac:dyDescent="0.2">
      <c r="A22" s="135" t="s">
        <v>739</v>
      </c>
      <c r="B22" s="22" t="s">
        <v>101</v>
      </c>
      <c r="C22" s="22" t="s">
        <v>75</v>
      </c>
      <c r="D22" s="139" t="s">
        <v>102</v>
      </c>
      <c r="E22" s="331">
        <v>0</v>
      </c>
      <c r="F22" s="57">
        <v>8392</v>
      </c>
      <c r="G22" s="57">
        <v>8391.94</v>
      </c>
      <c r="H22" s="58">
        <v>0</v>
      </c>
      <c r="I22" s="165">
        <v>0.06</v>
      </c>
      <c r="J22" s="338"/>
      <c r="K22" s="152"/>
      <c r="L22" s="152"/>
      <c r="M22" s="153"/>
      <c r="N22" s="339"/>
      <c r="O22" s="330"/>
      <c r="P22" s="68"/>
      <c r="Q22" s="68"/>
      <c r="R22" s="68"/>
      <c r="S22" s="58"/>
      <c r="T22" s="537"/>
      <c r="U22" s="533"/>
    </row>
    <row r="23" spans="1:21" s="6" customFormat="1" outlineLevel="2" x14ac:dyDescent="0.2">
      <c r="A23" s="135" t="s">
        <v>739</v>
      </c>
      <c r="B23" s="22" t="s">
        <v>103</v>
      </c>
      <c r="C23" s="22" t="s">
        <v>75</v>
      </c>
      <c r="D23" s="139" t="s">
        <v>104</v>
      </c>
      <c r="E23" s="331">
        <v>0</v>
      </c>
      <c r="F23" s="57">
        <v>2250</v>
      </c>
      <c r="G23" s="57">
        <v>2250</v>
      </c>
      <c r="H23" s="58">
        <v>0</v>
      </c>
      <c r="I23" s="165">
        <v>0</v>
      </c>
      <c r="J23" s="338"/>
      <c r="K23" s="152"/>
      <c r="L23" s="152"/>
      <c r="M23" s="153"/>
      <c r="N23" s="339"/>
      <c r="O23" s="330"/>
      <c r="P23" s="68"/>
      <c r="Q23" s="68"/>
      <c r="R23" s="68"/>
      <c r="S23" s="58"/>
      <c r="T23" s="537"/>
      <c r="U23" s="533"/>
    </row>
    <row r="24" spans="1:21" s="6" customFormat="1" outlineLevel="2" x14ac:dyDescent="0.2">
      <c r="A24" s="135" t="s">
        <v>739</v>
      </c>
      <c r="B24" s="22" t="s">
        <v>78</v>
      </c>
      <c r="C24" s="22" t="s">
        <v>75</v>
      </c>
      <c r="D24" s="139" t="s">
        <v>51</v>
      </c>
      <c r="E24" s="331">
        <v>0</v>
      </c>
      <c r="F24" s="57">
        <v>32</v>
      </c>
      <c r="G24" s="57">
        <v>32</v>
      </c>
      <c r="H24" s="58">
        <v>0</v>
      </c>
      <c r="I24" s="165">
        <v>0</v>
      </c>
      <c r="J24" s="338"/>
      <c r="K24" s="152"/>
      <c r="L24" s="152"/>
      <c r="M24" s="153"/>
      <c r="N24" s="339"/>
      <c r="O24" s="330"/>
      <c r="P24" s="68"/>
      <c r="Q24" s="68"/>
      <c r="R24" s="68"/>
      <c r="S24" s="58"/>
      <c r="T24" s="537"/>
      <c r="U24" s="533"/>
    </row>
    <row r="25" spans="1:21" s="6" customFormat="1" outlineLevel="2" x14ac:dyDescent="0.2">
      <c r="A25" s="135" t="s">
        <v>739</v>
      </c>
      <c r="B25" s="22" t="s">
        <v>105</v>
      </c>
      <c r="C25" s="22" t="s">
        <v>75</v>
      </c>
      <c r="D25" s="139" t="s">
        <v>51</v>
      </c>
      <c r="E25" s="331">
        <v>0</v>
      </c>
      <c r="F25" s="57">
        <v>310</v>
      </c>
      <c r="G25" s="57">
        <v>309.33999999999997</v>
      </c>
      <c r="H25" s="58">
        <v>0</v>
      </c>
      <c r="I25" s="165">
        <v>0.66</v>
      </c>
      <c r="J25" s="338"/>
      <c r="K25" s="152"/>
      <c r="L25" s="152"/>
      <c r="M25" s="153"/>
      <c r="N25" s="339"/>
      <c r="O25" s="330"/>
      <c r="P25" s="68"/>
      <c r="Q25" s="68"/>
      <c r="R25" s="68"/>
      <c r="S25" s="58"/>
      <c r="T25" s="537"/>
      <c r="U25" s="533"/>
    </row>
    <row r="26" spans="1:21" s="6" customFormat="1" outlineLevel="2" x14ac:dyDescent="0.2">
      <c r="A26" s="135" t="s">
        <v>739</v>
      </c>
      <c r="B26" s="22" t="s">
        <v>107</v>
      </c>
      <c r="C26" s="22" t="s">
        <v>106</v>
      </c>
      <c r="D26" s="139" t="s">
        <v>19</v>
      </c>
      <c r="E26" s="331">
        <v>0</v>
      </c>
      <c r="F26" s="57">
        <v>0</v>
      </c>
      <c r="G26" s="57">
        <v>0</v>
      </c>
      <c r="H26" s="58"/>
      <c r="I26" s="165">
        <v>0</v>
      </c>
      <c r="J26" s="338"/>
      <c r="K26" s="152"/>
      <c r="L26" s="152"/>
      <c r="M26" s="153"/>
      <c r="N26" s="339"/>
      <c r="O26" s="330"/>
      <c r="P26" s="68"/>
      <c r="Q26" s="68"/>
      <c r="R26" s="68"/>
      <c r="S26" s="58"/>
      <c r="T26" s="537"/>
      <c r="U26" s="533"/>
    </row>
    <row r="27" spans="1:21" s="6" customFormat="1" ht="13.5" outlineLevel="1" thickBot="1" x14ac:dyDescent="0.25">
      <c r="A27" s="98" t="s">
        <v>765</v>
      </c>
      <c r="B27" s="3"/>
      <c r="C27" s="3"/>
      <c r="D27" s="3"/>
      <c r="E27" s="148">
        <f>SUBTOTAL(9,E3:E26)</f>
        <v>88260</v>
      </c>
      <c r="F27" s="116">
        <f>SUBTOTAL(9,F3:F26)</f>
        <v>108938</v>
      </c>
      <c r="G27" s="116">
        <f>SUBTOTAL(9,G3:G26)</f>
        <v>75247.749999999985</v>
      </c>
      <c r="H27" s="117">
        <f t="shared" si="0"/>
        <v>0.85256911398141833</v>
      </c>
      <c r="I27" s="119">
        <f>SUBTOTAL(9,I3:I26)</f>
        <v>33690.25</v>
      </c>
      <c r="J27" s="148">
        <f>SUBTOTAL(9,J3:J26)</f>
        <v>18260</v>
      </c>
      <c r="K27" s="116">
        <f>SUBTOTAL(9,K3:K26)</f>
        <v>78198</v>
      </c>
      <c r="L27" s="116">
        <f>SUBTOTAL(9,L3:L26)</f>
        <v>74987.459999999992</v>
      </c>
      <c r="M27" s="117">
        <f t="shared" si="1"/>
        <v>4.1066516976998901</v>
      </c>
      <c r="N27" s="119">
        <f>SUBTOTAL(9,N3:N26)</f>
        <v>3210.54</v>
      </c>
      <c r="O27" s="148">
        <f>SUBTOTAL(9,O3:O26)</f>
        <v>18260</v>
      </c>
      <c r="P27" s="116">
        <f>SUBTOTAL(9,P3:P26)</f>
        <v>18260</v>
      </c>
      <c r="Q27" s="116">
        <f>SUBTOTAL(9,Q3:Q26)</f>
        <v>9016.7099999999991</v>
      </c>
      <c r="R27" s="116">
        <f>SUBTOTAL(9,R3:R26)</f>
        <v>3897.94</v>
      </c>
      <c r="S27" s="117">
        <f t="shared" si="2"/>
        <v>0.49379572836801749</v>
      </c>
      <c r="T27" s="118">
        <f>SUBTOTAL(9,T3:T26)</f>
        <v>5345.35</v>
      </c>
      <c r="U27" s="511"/>
    </row>
    <row r="28" spans="1:21" ht="14.25" thickTop="1" thickBot="1" x14ac:dyDescent="0.25">
      <c r="A28" s="100"/>
      <c r="B28" s="91"/>
      <c r="C28" s="91"/>
      <c r="D28" s="91"/>
      <c r="E28" s="27"/>
      <c r="F28" s="91"/>
      <c r="G28" s="91"/>
      <c r="H28" s="91"/>
      <c r="I28" s="38"/>
      <c r="J28" s="27"/>
      <c r="K28" s="91"/>
      <c r="L28" s="91"/>
      <c r="M28" s="91"/>
      <c r="N28" s="38"/>
      <c r="O28" s="27"/>
      <c r="P28" s="91"/>
      <c r="Q28" s="91"/>
      <c r="R28" s="91"/>
      <c r="S28" s="91"/>
      <c r="T28" s="91"/>
      <c r="U28" s="516"/>
    </row>
  </sheetData>
  <mergeCells count="3">
    <mergeCell ref="E1:I1"/>
    <mergeCell ref="J1:N1"/>
    <mergeCell ref="O1:T1"/>
  </mergeCells>
  <printOptions horizontalCentered="1" gridLines="1"/>
  <pageMargins left="0" right="0" top="0.75" bottom="0.75" header="0.3" footer="0.3"/>
  <pageSetup paperSize="5" scale="85" orientation="landscape" r:id="rId1"/>
  <headerFooter>
    <oddHeader>&amp;CMISSION COLLEGE
Fund 100 - Operating Budget vs Actual Spending for FY10/11, FY11/12 &amp; FY12/13</oddHeader>
    <oddFooter>&amp;ROffice of Administrative Services
&amp;Z&amp;F &amp;A   March 20, 2013 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4"/>
  <sheetViews>
    <sheetView workbookViewId="0">
      <pane ySplit="4" topLeftCell="A74" activePane="bottomLeft" state="frozen"/>
      <selection pane="bottomLeft" activeCell="L97" sqref="L97"/>
    </sheetView>
  </sheetViews>
  <sheetFormatPr defaultRowHeight="12.75" outlineLevelRow="2" x14ac:dyDescent="0.2"/>
  <cols>
    <col min="1" max="1" width="9.42578125" style="168" customWidth="1"/>
    <col min="2" max="2" width="20.42578125" bestFit="1" customWidth="1"/>
    <col min="3" max="3" width="18.85546875" customWidth="1"/>
    <col min="4" max="4" width="20.140625" bestFit="1" customWidth="1"/>
    <col min="5" max="6" width="7.140625" customWidth="1"/>
    <col min="7" max="7" width="7.5703125" customWidth="1"/>
    <col min="8" max="8" width="6.7109375" customWidth="1"/>
    <col min="9" max="9" width="6.140625" customWidth="1"/>
    <col min="10" max="10" width="8.5703125" customWidth="1"/>
    <col min="11" max="11" width="7.140625" customWidth="1"/>
    <col min="12" max="12" width="7.5703125" customWidth="1"/>
    <col min="13" max="13" width="9.140625" customWidth="1"/>
    <col min="14" max="14" width="6.7109375" customWidth="1"/>
    <col min="15" max="15" width="11.42578125" bestFit="1" customWidth="1"/>
    <col min="16" max="16" width="8.28515625" customWidth="1"/>
    <col min="17" max="17" width="8.7109375" customWidth="1"/>
    <col min="18" max="18" width="6.28515625" customWidth="1"/>
    <col min="19" max="19" width="7.28515625" customWidth="1"/>
    <col min="20" max="20" width="7" bestFit="1" customWidth="1"/>
    <col min="21" max="21" width="23" bestFit="1" customWidth="1"/>
    <col min="22" max="22" width="1.140625" customWidth="1"/>
    <col min="23" max="23" width="12.7109375" style="611" bestFit="1" customWidth="1"/>
  </cols>
  <sheetData>
    <row r="1" spans="1:23" ht="13.5" thickBot="1" x14ac:dyDescent="0.25">
      <c r="A1" s="182"/>
      <c r="B1" s="88"/>
      <c r="C1" s="88"/>
      <c r="D1" s="88"/>
      <c r="E1" s="621" t="s">
        <v>791</v>
      </c>
      <c r="F1" s="622"/>
      <c r="G1" s="622"/>
      <c r="H1" s="622"/>
      <c r="I1" s="623"/>
      <c r="J1" s="621" t="s">
        <v>790</v>
      </c>
      <c r="K1" s="622"/>
      <c r="L1" s="622"/>
      <c r="M1" s="622"/>
      <c r="N1" s="623"/>
      <c r="O1" s="621" t="s">
        <v>792</v>
      </c>
      <c r="P1" s="622"/>
      <c r="Q1" s="622"/>
      <c r="R1" s="622"/>
      <c r="S1" s="622"/>
      <c r="T1" s="623"/>
      <c r="U1" s="553" t="s">
        <v>825</v>
      </c>
    </row>
    <row r="2" spans="1:23" ht="45.75" thickBot="1" x14ac:dyDescent="0.25">
      <c r="A2" s="127"/>
      <c r="B2" s="128" t="s">
        <v>732</v>
      </c>
      <c r="C2" s="128" t="s">
        <v>735</v>
      </c>
      <c r="D2" s="128" t="s">
        <v>733</v>
      </c>
      <c r="E2" s="194" t="s">
        <v>0</v>
      </c>
      <c r="F2" s="129" t="s">
        <v>1</v>
      </c>
      <c r="G2" s="129" t="s">
        <v>772</v>
      </c>
      <c r="H2" s="129" t="s">
        <v>793</v>
      </c>
      <c r="I2" s="131" t="s">
        <v>3</v>
      </c>
      <c r="J2" s="194" t="s">
        <v>0</v>
      </c>
      <c r="K2" s="129" t="s">
        <v>1</v>
      </c>
      <c r="L2" s="129" t="s">
        <v>772</v>
      </c>
      <c r="M2" s="130" t="s">
        <v>793</v>
      </c>
      <c r="N2" s="131" t="s">
        <v>3</v>
      </c>
      <c r="O2" s="194" t="s">
        <v>0</v>
      </c>
      <c r="P2" s="129" t="s">
        <v>1</v>
      </c>
      <c r="Q2" s="129" t="s">
        <v>772</v>
      </c>
      <c r="R2" s="183" t="s">
        <v>2</v>
      </c>
      <c r="S2" s="130" t="s">
        <v>793</v>
      </c>
      <c r="T2" s="131" t="s">
        <v>3</v>
      </c>
      <c r="U2" s="529" t="s">
        <v>826</v>
      </c>
    </row>
    <row r="3" spans="1:23" s="6" customFormat="1" hidden="1" outlineLevel="2" x14ac:dyDescent="0.2">
      <c r="A3" s="322" t="s">
        <v>743</v>
      </c>
      <c r="B3" s="122" t="s">
        <v>143</v>
      </c>
      <c r="C3" s="122" t="s">
        <v>140</v>
      </c>
      <c r="D3" s="138" t="s">
        <v>7</v>
      </c>
      <c r="E3" s="297">
        <v>0</v>
      </c>
      <c r="F3" s="177">
        <v>0</v>
      </c>
      <c r="G3" s="177">
        <v>0</v>
      </c>
      <c r="H3" s="178"/>
      <c r="I3" s="298">
        <v>0</v>
      </c>
      <c r="J3" s="313"/>
      <c r="K3" s="179"/>
      <c r="L3" s="179"/>
      <c r="M3" s="180"/>
      <c r="N3" s="314"/>
      <c r="O3" s="320"/>
      <c r="P3" s="181"/>
      <c r="Q3" s="181"/>
      <c r="R3" s="181"/>
      <c r="S3" s="178"/>
      <c r="T3" s="321"/>
      <c r="U3" s="532"/>
      <c r="W3" s="612"/>
    </row>
    <row r="4" spans="1:23" s="6" customFormat="1" hidden="1" outlineLevel="2" x14ac:dyDescent="0.2">
      <c r="A4" s="323" t="s">
        <v>743</v>
      </c>
      <c r="B4" s="22" t="s">
        <v>144</v>
      </c>
      <c r="C4" s="22" t="s">
        <v>140</v>
      </c>
      <c r="D4" s="139" t="s">
        <v>17</v>
      </c>
      <c r="E4" s="299">
        <v>0</v>
      </c>
      <c r="F4" s="47">
        <v>0</v>
      </c>
      <c r="G4" s="47">
        <v>0</v>
      </c>
      <c r="H4" s="48"/>
      <c r="I4" s="300">
        <v>0</v>
      </c>
      <c r="J4" s="315"/>
      <c r="K4" s="169"/>
      <c r="L4" s="169"/>
      <c r="M4" s="170"/>
      <c r="N4" s="316"/>
      <c r="O4" s="301"/>
      <c r="P4" s="49"/>
      <c r="Q4" s="49"/>
      <c r="R4" s="49"/>
      <c r="S4" s="48"/>
      <c r="T4" s="302"/>
      <c r="U4" s="533"/>
      <c r="W4" s="612"/>
    </row>
    <row r="5" spans="1:23" s="6" customFormat="1" outlineLevel="2" x14ac:dyDescent="0.2">
      <c r="A5" s="323" t="s">
        <v>743</v>
      </c>
      <c r="B5" s="22" t="s">
        <v>145</v>
      </c>
      <c r="C5" s="22" t="s">
        <v>146</v>
      </c>
      <c r="D5" s="139" t="s">
        <v>17</v>
      </c>
      <c r="E5" s="299">
        <v>10000</v>
      </c>
      <c r="F5" s="47">
        <v>8960</v>
      </c>
      <c r="G5" s="47">
        <v>8959.56</v>
      </c>
      <c r="H5" s="48">
        <f>+G5/E5</f>
        <v>0.89595599999999997</v>
      </c>
      <c r="I5" s="300">
        <v>0.44</v>
      </c>
      <c r="J5" s="317">
        <v>10000</v>
      </c>
      <c r="K5" s="171">
        <v>587</v>
      </c>
      <c r="L5" s="171">
        <v>586.72</v>
      </c>
      <c r="M5" s="170">
        <f>+L5/J5</f>
        <v>5.8672000000000002E-2</v>
      </c>
      <c r="N5" s="318">
        <f>587-586.72</f>
        <v>0.27999999999997272</v>
      </c>
      <c r="O5" s="299">
        <v>10000</v>
      </c>
      <c r="P5" s="47">
        <v>10000</v>
      </c>
      <c r="Q5" s="47">
        <v>0</v>
      </c>
      <c r="R5" s="47">
        <v>0</v>
      </c>
      <c r="S5" s="48">
        <f>+Q5/O5</f>
        <v>0</v>
      </c>
      <c r="T5" s="300">
        <v>10000</v>
      </c>
      <c r="U5" s="533"/>
      <c r="W5" s="612">
        <v>10000</v>
      </c>
    </row>
    <row r="6" spans="1:23" s="6" customFormat="1" hidden="1" outlineLevel="2" x14ac:dyDescent="0.2">
      <c r="A6" s="323" t="s">
        <v>743</v>
      </c>
      <c r="B6" s="22" t="s">
        <v>148</v>
      </c>
      <c r="C6" s="22" t="s">
        <v>146</v>
      </c>
      <c r="D6" s="139" t="s">
        <v>19</v>
      </c>
      <c r="E6" s="299">
        <v>0</v>
      </c>
      <c r="F6" s="47">
        <v>18528</v>
      </c>
      <c r="G6" s="47">
        <v>6072.57</v>
      </c>
      <c r="H6" s="48">
        <v>0</v>
      </c>
      <c r="I6" s="300">
        <v>12455.43</v>
      </c>
      <c r="J6" s="315"/>
      <c r="K6" s="169"/>
      <c r="L6" s="169"/>
      <c r="M6" s="170"/>
      <c r="N6" s="316"/>
      <c r="O6" s="301"/>
      <c r="P6" s="49"/>
      <c r="Q6" s="49"/>
      <c r="R6" s="49"/>
      <c r="S6" s="48"/>
      <c r="T6" s="302"/>
      <c r="U6" s="533"/>
      <c r="W6" s="612"/>
    </row>
    <row r="7" spans="1:23" s="6" customFormat="1" outlineLevel="2" x14ac:dyDescent="0.2">
      <c r="A7" s="323" t="s">
        <v>743</v>
      </c>
      <c r="B7" s="22" t="s">
        <v>149</v>
      </c>
      <c r="C7" s="22" t="s">
        <v>146</v>
      </c>
      <c r="D7" s="139" t="s">
        <v>29</v>
      </c>
      <c r="E7" s="299">
        <v>10000</v>
      </c>
      <c r="F7" s="47">
        <v>0</v>
      </c>
      <c r="G7" s="47">
        <v>0</v>
      </c>
      <c r="H7" s="48">
        <f>+G7/E7</f>
        <v>0</v>
      </c>
      <c r="I7" s="300">
        <v>0</v>
      </c>
      <c r="J7" s="317">
        <v>10000</v>
      </c>
      <c r="K7" s="171">
        <v>0</v>
      </c>
      <c r="L7" s="171">
        <v>0</v>
      </c>
      <c r="M7" s="170">
        <f>+L7/J7</f>
        <v>0</v>
      </c>
      <c r="N7" s="318">
        <v>0</v>
      </c>
      <c r="O7" s="299">
        <v>10000</v>
      </c>
      <c r="P7" s="47">
        <v>10000</v>
      </c>
      <c r="Q7" s="47">
        <v>0</v>
      </c>
      <c r="R7" s="47">
        <v>0</v>
      </c>
      <c r="S7" s="48">
        <f>+Q7/O7</f>
        <v>0</v>
      </c>
      <c r="T7" s="300">
        <v>10000</v>
      </c>
      <c r="U7" s="533"/>
      <c r="W7" s="612">
        <v>10000</v>
      </c>
    </row>
    <row r="8" spans="1:23" s="6" customFormat="1" hidden="1" outlineLevel="2" x14ac:dyDescent="0.2">
      <c r="A8" s="323" t="s">
        <v>743</v>
      </c>
      <c r="B8" s="22" t="s">
        <v>150</v>
      </c>
      <c r="C8" s="22" t="s">
        <v>146</v>
      </c>
      <c r="D8" s="139" t="s">
        <v>31</v>
      </c>
      <c r="E8" s="301"/>
      <c r="F8" s="49"/>
      <c r="G8" s="49"/>
      <c r="H8" s="48"/>
      <c r="I8" s="302"/>
      <c r="J8" s="317">
        <v>0</v>
      </c>
      <c r="K8" s="171">
        <v>574</v>
      </c>
      <c r="L8" s="171">
        <v>573.52</v>
      </c>
      <c r="M8" s="170">
        <v>0</v>
      </c>
      <c r="N8" s="318">
        <v>0.48</v>
      </c>
      <c r="O8" s="301"/>
      <c r="P8" s="49"/>
      <c r="Q8" s="49"/>
      <c r="R8" s="49"/>
      <c r="S8" s="48"/>
      <c r="T8" s="302"/>
      <c r="U8" s="533"/>
      <c r="W8" s="612"/>
    </row>
    <row r="9" spans="1:23" s="6" customFormat="1" outlineLevel="2" x14ac:dyDescent="0.2">
      <c r="A9" s="323" t="s">
        <v>743</v>
      </c>
      <c r="B9" s="22" t="s">
        <v>151</v>
      </c>
      <c r="C9" s="22" t="s">
        <v>146</v>
      </c>
      <c r="D9" s="139" t="s">
        <v>51</v>
      </c>
      <c r="E9" s="299">
        <v>10000</v>
      </c>
      <c r="F9" s="47">
        <v>0</v>
      </c>
      <c r="G9" s="47">
        <v>0</v>
      </c>
      <c r="H9" s="48">
        <f>+G9/E9</f>
        <v>0</v>
      </c>
      <c r="I9" s="300">
        <v>0</v>
      </c>
      <c r="J9" s="317">
        <v>10000</v>
      </c>
      <c r="K9" s="171">
        <v>2481</v>
      </c>
      <c r="L9" s="171">
        <v>2480.02</v>
      </c>
      <c r="M9" s="170">
        <f>+L9/J9</f>
        <v>0.248002</v>
      </c>
      <c r="N9" s="318">
        <f>2481-2480.02</f>
        <v>0.98000000000001819</v>
      </c>
      <c r="O9" s="299">
        <v>10000</v>
      </c>
      <c r="P9" s="47">
        <v>10000</v>
      </c>
      <c r="Q9" s="47">
        <v>0</v>
      </c>
      <c r="R9" s="47">
        <v>0</v>
      </c>
      <c r="S9" s="48">
        <f>+Q9/O9</f>
        <v>0</v>
      </c>
      <c r="T9" s="300">
        <v>10000</v>
      </c>
      <c r="U9" s="533"/>
      <c r="W9" s="612">
        <v>10000</v>
      </c>
    </row>
    <row r="10" spans="1:23" s="6" customFormat="1" outlineLevel="2" x14ac:dyDescent="0.2">
      <c r="A10" s="323" t="s">
        <v>743</v>
      </c>
      <c r="B10" s="22" t="s">
        <v>152</v>
      </c>
      <c r="C10" s="22" t="s">
        <v>153</v>
      </c>
      <c r="D10" s="139" t="s">
        <v>19</v>
      </c>
      <c r="E10" s="299">
        <v>2400</v>
      </c>
      <c r="F10" s="47">
        <v>2453</v>
      </c>
      <c r="G10" s="47">
        <v>0</v>
      </c>
      <c r="H10" s="48">
        <f>+G10/E10</f>
        <v>0</v>
      </c>
      <c r="I10" s="300">
        <v>2453</v>
      </c>
      <c r="J10" s="317">
        <v>2400</v>
      </c>
      <c r="K10" s="171">
        <v>2438</v>
      </c>
      <c r="L10" s="171">
        <v>2433.4299999999998</v>
      </c>
      <c r="M10" s="170">
        <f>+L10/J10</f>
        <v>1.0139291666666665</v>
      </c>
      <c r="N10" s="318">
        <v>4.57</v>
      </c>
      <c r="O10" s="299">
        <v>2400</v>
      </c>
      <c r="P10" s="47">
        <v>2400</v>
      </c>
      <c r="Q10" s="47">
        <v>0</v>
      </c>
      <c r="R10" s="47">
        <v>0</v>
      </c>
      <c r="S10" s="48">
        <f>+Q10/O10</f>
        <v>0</v>
      </c>
      <c r="T10" s="300">
        <v>2400</v>
      </c>
      <c r="U10" s="533"/>
      <c r="W10" s="612">
        <v>2400</v>
      </c>
    </row>
    <row r="11" spans="1:23" s="6" customFormat="1" hidden="1" outlineLevel="2" x14ac:dyDescent="0.2">
      <c r="A11" s="323" t="s">
        <v>743</v>
      </c>
      <c r="B11" s="22" t="s">
        <v>155</v>
      </c>
      <c r="C11" s="22" t="s">
        <v>156</v>
      </c>
      <c r="D11" s="139" t="s">
        <v>157</v>
      </c>
      <c r="E11" s="301"/>
      <c r="F11" s="49"/>
      <c r="G11" s="49"/>
      <c r="H11" s="48"/>
      <c r="I11" s="302"/>
      <c r="J11" s="315"/>
      <c r="K11" s="169"/>
      <c r="L11" s="169"/>
      <c r="M11" s="170"/>
      <c r="N11" s="316"/>
      <c r="O11" s="299">
        <v>26000</v>
      </c>
      <c r="P11" s="47">
        <v>26000</v>
      </c>
      <c r="Q11" s="47">
        <v>0</v>
      </c>
      <c r="R11" s="47">
        <v>0</v>
      </c>
      <c r="S11" s="48">
        <f>+Q11/O11</f>
        <v>0</v>
      </c>
      <c r="T11" s="300">
        <v>26000</v>
      </c>
      <c r="U11" s="533"/>
      <c r="W11" s="612"/>
    </row>
    <row r="12" spans="1:23" s="6" customFormat="1" hidden="1" outlineLevel="2" x14ac:dyDescent="0.2">
      <c r="A12" s="323" t="s">
        <v>743</v>
      </c>
      <c r="B12" s="22" t="s">
        <v>170</v>
      </c>
      <c r="C12" s="22" t="s">
        <v>156</v>
      </c>
      <c r="D12" s="139" t="s">
        <v>58</v>
      </c>
      <c r="E12" s="299">
        <v>15000</v>
      </c>
      <c r="F12" s="47">
        <v>15000</v>
      </c>
      <c r="G12" s="47">
        <v>15000</v>
      </c>
      <c r="H12" s="48">
        <f>+G12/E12</f>
        <v>1</v>
      </c>
      <c r="I12" s="300">
        <v>0</v>
      </c>
      <c r="J12" s="317">
        <v>15000</v>
      </c>
      <c r="K12" s="171">
        <v>15000</v>
      </c>
      <c r="L12" s="171">
        <v>14750</v>
      </c>
      <c r="M12" s="170">
        <f>+L12/J12</f>
        <v>0.98333333333333328</v>
      </c>
      <c r="N12" s="318">
        <v>250</v>
      </c>
      <c r="O12" s="299">
        <v>15000</v>
      </c>
      <c r="P12" s="47">
        <v>15000</v>
      </c>
      <c r="Q12" s="47">
        <v>4375</v>
      </c>
      <c r="R12" s="47">
        <v>0</v>
      </c>
      <c r="S12" s="48">
        <f>+Q12/O12</f>
        <v>0.29166666666666669</v>
      </c>
      <c r="T12" s="300">
        <v>10625</v>
      </c>
      <c r="U12" s="533"/>
      <c r="W12" s="612"/>
    </row>
    <row r="13" spans="1:23" s="6" customFormat="1" hidden="1" outlineLevel="2" x14ac:dyDescent="0.2">
      <c r="A13" s="323" t="s">
        <v>743</v>
      </c>
      <c r="B13" s="22" t="s">
        <v>158</v>
      </c>
      <c r="C13" s="22" t="s">
        <v>156</v>
      </c>
      <c r="D13" s="139" t="s">
        <v>52</v>
      </c>
      <c r="E13" s="299">
        <v>0</v>
      </c>
      <c r="F13" s="47">
        <v>35</v>
      </c>
      <c r="G13" s="47">
        <v>34.42</v>
      </c>
      <c r="H13" s="48">
        <v>0</v>
      </c>
      <c r="I13" s="300">
        <v>0.57999999999999996</v>
      </c>
      <c r="J13" s="315"/>
      <c r="K13" s="169"/>
      <c r="L13" s="169"/>
      <c r="M13" s="170"/>
      <c r="N13" s="316"/>
      <c r="O13" s="301"/>
      <c r="P13" s="49"/>
      <c r="Q13" s="49"/>
      <c r="R13" s="49"/>
      <c r="S13" s="48"/>
      <c r="T13" s="302"/>
      <c r="U13" s="533"/>
      <c r="W13" s="612"/>
    </row>
    <row r="14" spans="1:23" s="6" customFormat="1" hidden="1" outlineLevel="2" x14ac:dyDescent="0.2">
      <c r="A14" s="323" t="s">
        <v>743</v>
      </c>
      <c r="B14" s="22" t="s">
        <v>168</v>
      </c>
      <c r="C14" s="22" t="s">
        <v>156</v>
      </c>
      <c r="D14" s="139" t="s">
        <v>52</v>
      </c>
      <c r="E14" s="301"/>
      <c r="F14" s="49"/>
      <c r="G14" s="49"/>
      <c r="H14" s="48"/>
      <c r="I14" s="302"/>
      <c r="J14" s="317">
        <v>0</v>
      </c>
      <c r="K14" s="171">
        <v>32</v>
      </c>
      <c r="L14" s="171">
        <v>31.2</v>
      </c>
      <c r="M14" s="170">
        <v>0</v>
      </c>
      <c r="N14" s="318">
        <v>0.8</v>
      </c>
      <c r="O14" s="301"/>
      <c r="P14" s="49"/>
      <c r="Q14" s="49"/>
      <c r="R14" s="49"/>
      <c r="S14" s="48"/>
      <c r="T14" s="302"/>
      <c r="U14" s="533"/>
      <c r="W14" s="612"/>
    </row>
    <row r="15" spans="1:23" s="6" customFormat="1" hidden="1" outlineLevel="2" x14ac:dyDescent="0.2">
      <c r="A15" s="323" t="s">
        <v>743</v>
      </c>
      <c r="B15" s="22" t="s">
        <v>169</v>
      </c>
      <c r="C15" s="22" t="s">
        <v>156</v>
      </c>
      <c r="D15" s="139" t="s">
        <v>52</v>
      </c>
      <c r="E15" s="301"/>
      <c r="F15" s="49"/>
      <c r="G15" s="49"/>
      <c r="H15" s="48"/>
      <c r="I15" s="302"/>
      <c r="J15" s="317">
        <v>0</v>
      </c>
      <c r="K15" s="171">
        <v>2752</v>
      </c>
      <c r="L15" s="171">
        <v>2751.11</v>
      </c>
      <c r="M15" s="170">
        <v>0</v>
      </c>
      <c r="N15" s="318">
        <v>0.89</v>
      </c>
      <c r="O15" s="299">
        <v>0</v>
      </c>
      <c r="P15" s="47">
        <v>0</v>
      </c>
      <c r="Q15" s="47">
        <v>545.29999999999995</v>
      </c>
      <c r="R15" s="47">
        <v>0</v>
      </c>
      <c r="S15" s="48">
        <v>0</v>
      </c>
      <c r="T15" s="300">
        <v>-545.29999999999995</v>
      </c>
      <c r="U15" s="533"/>
      <c r="W15" s="612"/>
    </row>
    <row r="16" spans="1:23" s="6" customFormat="1" hidden="1" outlineLevel="2" x14ac:dyDescent="0.2">
      <c r="A16" s="323" t="s">
        <v>743</v>
      </c>
      <c r="B16" s="22" t="s">
        <v>171</v>
      </c>
      <c r="C16" s="22" t="s">
        <v>156</v>
      </c>
      <c r="D16" s="139" t="s">
        <v>10</v>
      </c>
      <c r="E16" s="299">
        <v>0</v>
      </c>
      <c r="F16" s="47">
        <v>0</v>
      </c>
      <c r="G16" s="47">
        <v>928.14</v>
      </c>
      <c r="H16" s="48">
        <v>0</v>
      </c>
      <c r="I16" s="300">
        <v>-928.14</v>
      </c>
      <c r="J16" s="317">
        <v>0</v>
      </c>
      <c r="K16" s="171">
        <v>0</v>
      </c>
      <c r="L16" s="171">
        <v>773.45</v>
      </c>
      <c r="M16" s="170">
        <v>0</v>
      </c>
      <c r="N16" s="318">
        <v>-773.45</v>
      </c>
      <c r="O16" s="299">
        <v>0</v>
      </c>
      <c r="P16" s="47">
        <v>0</v>
      </c>
      <c r="Q16" s="47">
        <v>51.56</v>
      </c>
      <c r="R16" s="47">
        <v>0</v>
      </c>
      <c r="S16" s="48">
        <v>0</v>
      </c>
      <c r="T16" s="300">
        <v>-51.56</v>
      </c>
      <c r="U16" s="533"/>
      <c r="W16" s="612"/>
    </row>
    <row r="17" spans="1:23" s="6" customFormat="1" hidden="1" outlineLevel="2" x14ac:dyDescent="0.2">
      <c r="A17" s="323" t="s">
        <v>743</v>
      </c>
      <c r="B17" s="22" t="s">
        <v>172</v>
      </c>
      <c r="C17" s="22" t="s">
        <v>156</v>
      </c>
      <c r="D17" s="139" t="s">
        <v>173</v>
      </c>
      <c r="E17" s="301"/>
      <c r="F17" s="49"/>
      <c r="G17" s="49"/>
      <c r="H17" s="48"/>
      <c r="I17" s="302"/>
      <c r="J17" s="315"/>
      <c r="K17" s="169"/>
      <c r="L17" s="169"/>
      <c r="M17" s="170"/>
      <c r="N17" s="316"/>
      <c r="O17" s="299">
        <v>0</v>
      </c>
      <c r="P17" s="47">
        <v>0</v>
      </c>
      <c r="Q17" s="47">
        <v>150</v>
      </c>
      <c r="R17" s="47">
        <v>0</v>
      </c>
      <c r="S17" s="48">
        <v>0</v>
      </c>
      <c r="T17" s="300">
        <v>-150</v>
      </c>
      <c r="U17" s="533"/>
      <c r="W17" s="612"/>
    </row>
    <row r="18" spans="1:23" s="6" customFormat="1" hidden="1" outlineLevel="2" x14ac:dyDescent="0.2">
      <c r="A18" s="323" t="s">
        <v>743</v>
      </c>
      <c r="B18" s="22" t="s">
        <v>174</v>
      </c>
      <c r="C18" s="22" t="s">
        <v>156</v>
      </c>
      <c r="D18" s="139" t="s">
        <v>11</v>
      </c>
      <c r="E18" s="301"/>
      <c r="F18" s="49"/>
      <c r="G18" s="49"/>
      <c r="H18" s="48"/>
      <c r="I18" s="302"/>
      <c r="J18" s="315"/>
      <c r="K18" s="169"/>
      <c r="L18" s="169"/>
      <c r="M18" s="170"/>
      <c r="N18" s="316"/>
      <c r="O18" s="299">
        <v>0</v>
      </c>
      <c r="P18" s="47">
        <v>0</v>
      </c>
      <c r="Q18" s="47">
        <v>63.05</v>
      </c>
      <c r="R18" s="47">
        <v>0</v>
      </c>
      <c r="S18" s="48">
        <v>0</v>
      </c>
      <c r="T18" s="300">
        <v>-63.05</v>
      </c>
      <c r="U18" s="533"/>
      <c r="W18" s="612"/>
    </row>
    <row r="19" spans="1:23" s="6" customFormat="1" hidden="1" outlineLevel="2" x14ac:dyDescent="0.2">
      <c r="A19" s="323" t="s">
        <v>743</v>
      </c>
      <c r="B19" s="22" t="s">
        <v>175</v>
      </c>
      <c r="C19" s="22" t="s">
        <v>156</v>
      </c>
      <c r="D19" s="139" t="s">
        <v>12</v>
      </c>
      <c r="E19" s="299">
        <v>0</v>
      </c>
      <c r="F19" s="47">
        <v>0</v>
      </c>
      <c r="G19" s="47">
        <v>217.5</v>
      </c>
      <c r="H19" s="48">
        <v>0</v>
      </c>
      <c r="I19" s="300">
        <v>-217.5</v>
      </c>
      <c r="J19" s="317">
        <v>0</v>
      </c>
      <c r="K19" s="171">
        <v>0</v>
      </c>
      <c r="L19" s="171">
        <v>213.87</v>
      </c>
      <c r="M19" s="170">
        <v>0</v>
      </c>
      <c r="N19" s="318">
        <v>-213.87</v>
      </c>
      <c r="O19" s="301"/>
      <c r="P19" s="49"/>
      <c r="Q19" s="49"/>
      <c r="R19" s="49"/>
      <c r="S19" s="48"/>
      <c r="T19" s="302"/>
      <c r="U19" s="533"/>
      <c r="W19" s="612"/>
    </row>
    <row r="20" spans="1:23" s="6" customFormat="1" hidden="1" outlineLevel="2" x14ac:dyDescent="0.2">
      <c r="A20" s="323" t="s">
        <v>743</v>
      </c>
      <c r="B20" s="22" t="s">
        <v>176</v>
      </c>
      <c r="C20" s="22" t="s">
        <v>156</v>
      </c>
      <c r="D20" s="139" t="s">
        <v>87</v>
      </c>
      <c r="E20" s="299">
        <v>0</v>
      </c>
      <c r="F20" s="47">
        <v>0</v>
      </c>
      <c r="G20" s="47">
        <v>75</v>
      </c>
      <c r="H20" s="48">
        <v>0</v>
      </c>
      <c r="I20" s="300">
        <v>-75</v>
      </c>
      <c r="J20" s="317">
        <v>0</v>
      </c>
      <c r="K20" s="171">
        <v>0</v>
      </c>
      <c r="L20" s="171">
        <v>150</v>
      </c>
      <c r="M20" s="170">
        <v>0</v>
      </c>
      <c r="N20" s="318">
        <v>-150</v>
      </c>
      <c r="O20" s="301"/>
      <c r="P20" s="49"/>
      <c r="Q20" s="49"/>
      <c r="R20" s="49"/>
      <c r="S20" s="48"/>
      <c r="T20" s="302"/>
      <c r="U20" s="533"/>
      <c r="W20" s="612"/>
    </row>
    <row r="21" spans="1:23" s="6" customFormat="1" hidden="1" outlineLevel="2" x14ac:dyDescent="0.2">
      <c r="A21" s="323" t="s">
        <v>743</v>
      </c>
      <c r="B21" s="22" t="s">
        <v>177</v>
      </c>
      <c r="C21" s="22" t="s">
        <v>156</v>
      </c>
      <c r="D21" s="139" t="s">
        <v>13</v>
      </c>
      <c r="E21" s="301"/>
      <c r="F21" s="49"/>
      <c r="G21" s="49"/>
      <c r="H21" s="48"/>
      <c r="I21" s="302"/>
      <c r="J21" s="315"/>
      <c r="K21" s="169"/>
      <c r="L21" s="169"/>
      <c r="M21" s="170"/>
      <c r="N21" s="316"/>
      <c r="O21" s="299">
        <v>0</v>
      </c>
      <c r="P21" s="47">
        <v>0</v>
      </c>
      <c r="Q21" s="47">
        <v>46.37</v>
      </c>
      <c r="R21" s="47">
        <v>0</v>
      </c>
      <c r="S21" s="48">
        <v>0</v>
      </c>
      <c r="T21" s="300">
        <v>-46.37</v>
      </c>
      <c r="U21" s="533"/>
      <c r="W21" s="612"/>
    </row>
    <row r="22" spans="1:23" s="6" customFormat="1" hidden="1" outlineLevel="2" x14ac:dyDescent="0.2">
      <c r="A22" s="323" t="s">
        <v>743</v>
      </c>
      <c r="B22" s="22" t="s">
        <v>178</v>
      </c>
      <c r="C22" s="22" t="s">
        <v>156</v>
      </c>
      <c r="D22" s="139" t="s">
        <v>14</v>
      </c>
      <c r="E22" s="299">
        <v>0</v>
      </c>
      <c r="F22" s="47">
        <v>0</v>
      </c>
      <c r="G22" s="47">
        <v>107.52</v>
      </c>
      <c r="H22" s="48">
        <v>0</v>
      </c>
      <c r="I22" s="300">
        <v>-107.52</v>
      </c>
      <c r="J22" s="317">
        <v>0</v>
      </c>
      <c r="K22" s="171">
        <v>0</v>
      </c>
      <c r="L22" s="171">
        <v>235.37</v>
      </c>
      <c r="M22" s="170">
        <v>0</v>
      </c>
      <c r="N22" s="318">
        <v>-235.37</v>
      </c>
      <c r="O22" s="301"/>
      <c r="P22" s="49"/>
      <c r="Q22" s="49"/>
      <c r="R22" s="49"/>
      <c r="S22" s="48"/>
      <c r="T22" s="302"/>
      <c r="U22" s="533"/>
      <c r="W22" s="612"/>
    </row>
    <row r="23" spans="1:23" s="6" customFormat="1" hidden="1" outlineLevel="2" x14ac:dyDescent="0.2">
      <c r="A23" s="323" t="s">
        <v>743</v>
      </c>
      <c r="B23" s="22" t="s">
        <v>179</v>
      </c>
      <c r="C23" s="22" t="s">
        <v>156</v>
      </c>
      <c r="D23" s="139" t="s">
        <v>15</v>
      </c>
      <c r="E23" s="299">
        <v>0</v>
      </c>
      <c r="F23" s="47">
        <v>0</v>
      </c>
      <c r="G23" s="47">
        <v>171.76</v>
      </c>
      <c r="H23" s="48">
        <v>0</v>
      </c>
      <c r="I23" s="300">
        <v>-171.76</v>
      </c>
      <c r="J23" s="317">
        <v>0</v>
      </c>
      <c r="K23" s="171">
        <v>0</v>
      </c>
      <c r="L23" s="171">
        <v>342</v>
      </c>
      <c r="M23" s="170">
        <v>0</v>
      </c>
      <c r="N23" s="318">
        <v>-342</v>
      </c>
      <c r="O23" s="299">
        <v>0</v>
      </c>
      <c r="P23" s="47">
        <v>0</v>
      </c>
      <c r="Q23" s="47">
        <v>62.29</v>
      </c>
      <c r="R23" s="47">
        <v>0</v>
      </c>
      <c r="S23" s="48">
        <v>0</v>
      </c>
      <c r="T23" s="300">
        <v>-62.29</v>
      </c>
      <c r="U23" s="533"/>
      <c r="W23" s="612"/>
    </row>
    <row r="24" spans="1:23" s="6" customFormat="1" outlineLevel="2" x14ac:dyDescent="0.2">
      <c r="A24" s="323" t="s">
        <v>743</v>
      </c>
      <c r="B24" s="22" t="s">
        <v>159</v>
      </c>
      <c r="C24" s="22" t="s">
        <v>156</v>
      </c>
      <c r="D24" s="139" t="s">
        <v>19</v>
      </c>
      <c r="E24" s="299">
        <v>1395</v>
      </c>
      <c r="F24" s="47">
        <v>1395</v>
      </c>
      <c r="G24" s="47">
        <v>1346.62</v>
      </c>
      <c r="H24" s="48">
        <f>+G24/E24</f>
        <v>0.96531899641577057</v>
      </c>
      <c r="I24" s="300">
        <v>48.38</v>
      </c>
      <c r="J24" s="317">
        <v>1395</v>
      </c>
      <c r="K24" s="171">
        <v>2132</v>
      </c>
      <c r="L24" s="171">
        <f>1721.82+200.04</f>
        <v>1921.86</v>
      </c>
      <c r="M24" s="170">
        <f>+L24/J24</f>
        <v>1.3776774193548387</v>
      </c>
      <c r="N24" s="318">
        <f>1931.96-1721.82</f>
        <v>210.1400000000001</v>
      </c>
      <c r="O24" s="299">
        <v>1395</v>
      </c>
      <c r="P24" s="47">
        <v>2345</v>
      </c>
      <c r="Q24" s="47">
        <v>1333.72</v>
      </c>
      <c r="R24" s="47">
        <v>501.67</v>
      </c>
      <c r="S24" s="48">
        <f>+Q24/O24</f>
        <v>0.95607168458781366</v>
      </c>
      <c r="T24" s="300">
        <v>509.61</v>
      </c>
      <c r="U24" s="533"/>
      <c r="W24" s="612">
        <v>1395</v>
      </c>
    </row>
    <row r="25" spans="1:23" s="6" customFormat="1" outlineLevel="2" x14ac:dyDescent="0.2">
      <c r="A25" s="323" t="s">
        <v>743</v>
      </c>
      <c r="B25" s="22" t="s">
        <v>160</v>
      </c>
      <c r="C25" s="22" t="s">
        <v>156</v>
      </c>
      <c r="D25" s="139" t="s">
        <v>23</v>
      </c>
      <c r="E25" s="299">
        <v>120</v>
      </c>
      <c r="F25" s="47">
        <v>67</v>
      </c>
      <c r="G25" s="47">
        <v>29</v>
      </c>
      <c r="H25" s="48">
        <f>+G25/E25</f>
        <v>0.24166666666666667</v>
      </c>
      <c r="I25" s="300">
        <v>38</v>
      </c>
      <c r="J25" s="317">
        <v>120</v>
      </c>
      <c r="K25" s="171">
        <v>120</v>
      </c>
      <c r="L25" s="171">
        <v>120</v>
      </c>
      <c r="M25" s="170">
        <f>+L25/J25</f>
        <v>1</v>
      </c>
      <c r="N25" s="318">
        <v>0</v>
      </c>
      <c r="O25" s="299">
        <v>120</v>
      </c>
      <c r="P25" s="47">
        <v>320</v>
      </c>
      <c r="Q25" s="47">
        <v>246.2</v>
      </c>
      <c r="R25" s="47">
        <v>0</v>
      </c>
      <c r="S25" s="48">
        <f>+Q25/O25</f>
        <v>2.0516666666666667</v>
      </c>
      <c r="T25" s="300">
        <v>73.8</v>
      </c>
      <c r="U25" s="533"/>
      <c r="W25" s="612">
        <v>120</v>
      </c>
    </row>
    <row r="26" spans="1:23" s="6" customFormat="1" hidden="1" outlineLevel="2" x14ac:dyDescent="0.2">
      <c r="A26" s="323" t="s">
        <v>743</v>
      </c>
      <c r="B26" s="22" t="s">
        <v>161</v>
      </c>
      <c r="C26" s="22" t="s">
        <v>156</v>
      </c>
      <c r="D26" s="139" t="s">
        <v>25</v>
      </c>
      <c r="E26" s="299">
        <v>0</v>
      </c>
      <c r="F26" s="47">
        <v>0</v>
      </c>
      <c r="G26" s="47">
        <v>0</v>
      </c>
      <c r="H26" s="48"/>
      <c r="I26" s="300">
        <v>0</v>
      </c>
      <c r="J26" s="317">
        <v>0</v>
      </c>
      <c r="K26" s="171">
        <v>0</v>
      </c>
      <c r="L26" s="171">
        <v>0</v>
      </c>
      <c r="M26" s="170"/>
      <c r="N26" s="318">
        <v>0</v>
      </c>
      <c r="O26" s="299">
        <v>0</v>
      </c>
      <c r="P26" s="47">
        <v>0</v>
      </c>
      <c r="Q26" s="47">
        <v>995</v>
      </c>
      <c r="R26" s="47">
        <v>0</v>
      </c>
      <c r="S26" s="48">
        <v>0</v>
      </c>
      <c r="T26" s="300">
        <v>-995</v>
      </c>
      <c r="U26" s="533"/>
      <c r="W26" s="612"/>
    </row>
    <row r="27" spans="1:23" s="6" customFormat="1" hidden="1" outlineLevel="2" x14ac:dyDescent="0.2">
      <c r="A27" s="323" t="s">
        <v>743</v>
      </c>
      <c r="B27" s="22" t="s">
        <v>180</v>
      </c>
      <c r="C27" s="22" t="s">
        <v>156</v>
      </c>
      <c r="D27" s="139" t="s">
        <v>181</v>
      </c>
      <c r="E27" s="301"/>
      <c r="F27" s="49"/>
      <c r="G27" s="49"/>
      <c r="H27" s="48"/>
      <c r="I27" s="302"/>
      <c r="J27" s="315"/>
      <c r="K27" s="169"/>
      <c r="L27" s="169"/>
      <c r="M27" s="170"/>
      <c r="N27" s="316"/>
      <c r="O27" s="299">
        <v>-224413</v>
      </c>
      <c r="P27" s="47">
        <v>0</v>
      </c>
      <c r="Q27" s="47">
        <v>0</v>
      </c>
      <c r="R27" s="47">
        <v>0</v>
      </c>
      <c r="S27" s="48">
        <f>+Q27/O27</f>
        <v>0</v>
      </c>
      <c r="T27" s="300">
        <v>0</v>
      </c>
      <c r="U27" s="533"/>
      <c r="W27" s="612"/>
    </row>
    <row r="28" spans="1:23" s="6" customFormat="1" hidden="1" outlineLevel="2" x14ac:dyDescent="0.2">
      <c r="A28" s="323" t="s">
        <v>743</v>
      </c>
      <c r="B28" s="22" t="s">
        <v>162</v>
      </c>
      <c r="C28" s="22" t="s">
        <v>156</v>
      </c>
      <c r="D28" s="139" t="s">
        <v>29</v>
      </c>
      <c r="E28" s="299">
        <v>7500</v>
      </c>
      <c r="F28" s="47">
        <v>7500</v>
      </c>
      <c r="G28" s="47">
        <v>7500</v>
      </c>
      <c r="H28" s="48">
        <f>+G28/E28</f>
        <v>1</v>
      </c>
      <c r="I28" s="300">
        <v>0</v>
      </c>
      <c r="J28" s="317">
        <v>7500</v>
      </c>
      <c r="K28" s="171">
        <v>7800</v>
      </c>
      <c r="L28" s="171">
        <v>7800</v>
      </c>
      <c r="M28" s="170">
        <f t="shared" ref="M28:M33" si="0">+L28/J28</f>
        <v>1.04</v>
      </c>
      <c r="N28" s="318">
        <v>0</v>
      </c>
      <c r="O28" s="299">
        <v>7479</v>
      </c>
      <c r="P28" s="47">
        <v>7479</v>
      </c>
      <c r="Q28" s="47">
        <v>7479</v>
      </c>
      <c r="R28" s="47">
        <v>0</v>
      </c>
      <c r="S28" s="48">
        <f>+Q28/O28</f>
        <v>1</v>
      </c>
      <c r="T28" s="300">
        <v>0</v>
      </c>
      <c r="U28" s="533"/>
      <c r="W28" s="612"/>
    </row>
    <row r="29" spans="1:23" s="6" customFormat="1" outlineLevel="2" x14ac:dyDescent="0.2">
      <c r="A29" s="323" t="s">
        <v>743</v>
      </c>
      <c r="B29" s="22" t="s">
        <v>163</v>
      </c>
      <c r="C29" s="22" t="s">
        <v>156</v>
      </c>
      <c r="D29" s="139" t="s">
        <v>31</v>
      </c>
      <c r="E29" s="299">
        <v>3000</v>
      </c>
      <c r="F29" s="47">
        <v>3000</v>
      </c>
      <c r="G29" s="47">
        <v>2214.5100000000002</v>
      </c>
      <c r="H29" s="48">
        <f>+G29/E29</f>
        <v>0.7381700000000001</v>
      </c>
      <c r="I29" s="300">
        <v>785.49</v>
      </c>
      <c r="J29" s="317">
        <v>3000</v>
      </c>
      <c r="K29" s="171">
        <v>3000</v>
      </c>
      <c r="L29" s="171">
        <v>2163.7600000000002</v>
      </c>
      <c r="M29" s="170">
        <f t="shared" si="0"/>
        <v>0.72125333333333341</v>
      </c>
      <c r="N29" s="318">
        <v>836.24</v>
      </c>
      <c r="O29" s="299">
        <v>3000</v>
      </c>
      <c r="P29" s="47">
        <v>3000</v>
      </c>
      <c r="Q29" s="47">
        <v>2892.36</v>
      </c>
      <c r="R29" s="47">
        <v>0</v>
      </c>
      <c r="S29" s="48">
        <f>+Q29/O29</f>
        <v>0.96412000000000009</v>
      </c>
      <c r="T29" s="300">
        <v>107.64</v>
      </c>
      <c r="U29" s="609" t="s">
        <v>864</v>
      </c>
      <c r="W29" s="612">
        <v>3000</v>
      </c>
    </row>
    <row r="30" spans="1:23" s="6" customFormat="1" outlineLevel="2" x14ac:dyDescent="0.2">
      <c r="A30" s="323" t="s">
        <v>743</v>
      </c>
      <c r="B30" s="22" t="s">
        <v>164</v>
      </c>
      <c r="C30" s="22" t="s">
        <v>156</v>
      </c>
      <c r="D30" s="139" t="s">
        <v>48</v>
      </c>
      <c r="E30" s="299">
        <v>1536</v>
      </c>
      <c r="F30" s="47">
        <v>1536</v>
      </c>
      <c r="G30" s="47">
        <v>986.41</v>
      </c>
      <c r="H30" s="48">
        <f>+G30/E30</f>
        <v>0.64219401041666668</v>
      </c>
      <c r="I30" s="300">
        <v>549.59</v>
      </c>
      <c r="J30" s="317">
        <v>1536</v>
      </c>
      <c r="K30" s="171">
        <v>1536</v>
      </c>
      <c r="L30" s="171">
        <v>1432.69</v>
      </c>
      <c r="M30" s="170">
        <f t="shared" si="0"/>
        <v>0.93274088541666667</v>
      </c>
      <c r="N30" s="318">
        <v>103.31</v>
      </c>
      <c r="O30" s="299">
        <v>1536</v>
      </c>
      <c r="P30" s="47">
        <v>1536</v>
      </c>
      <c r="Q30" s="47">
        <v>736.37</v>
      </c>
      <c r="R30" s="47">
        <v>0</v>
      </c>
      <c r="S30" s="48">
        <f>+Q30/O30</f>
        <v>0.47940755208333335</v>
      </c>
      <c r="T30" s="300">
        <v>800</v>
      </c>
      <c r="U30" s="533"/>
      <c r="W30" s="612">
        <v>1536</v>
      </c>
    </row>
    <row r="31" spans="1:23" s="6" customFormat="1" hidden="1" outlineLevel="2" x14ac:dyDescent="0.2">
      <c r="A31" s="323" t="s">
        <v>743</v>
      </c>
      <c r="B31" s="22" t="s">
        <v>165</v>
      </c>
      <c r="C31" s="22" t="s">
        <v>156</v>
      </c>
      <c r="D31" s="139" t="s">
        <v>35</v>
      </c>
      <c r="E31" s="301"/>
      <c r="F31" s="49"/>
      <c r="G31" s="49"/>
      <c r="H31" s="48"/>
      <c r="I31" s="302"/>
      <c r="J31" s="317">
        <v>33700</v>
      </c>
      <c r="K31" s="171">
        <v>33700</v>
      </c>
      <c r="L31" s="171">
        <v>32592.83</v>
      </c>
      <c r="M31" s="170">
        <f t="shared" si="0"/>
        <v>0.96714629080118697</v>
      </c>
      <c r="N31" s="318">
        <v>1107.17</v>
      </c>
      <c r="O31" s="299">
        <v>0</v>
      </c>
      <c r="P31" s="47">
        <v>0</v>
      </c>
      <c r="Q31" s="47">
        <v>0</v>
      </c>
      <c r="R31" s="47">
        <v>0</v>
      </c>
      <c r="S31" s="48"/>
      <c r="T31" s="300">
        <v>0</v>
      </c>
      <c r="U31" s="533"/>
      <c r="W31" s="612"/>
    </row>
    <row r="32" spans="1:23" s="6" customFormat="1" hidden="1" outlineLevel="2" x14ac:dyDescent="0.2">
      <c r="A32" s="323" t="s">
        <v>743</v>
      </c>
      <c r="B32" s="22" t="s">
        <v>166</v>
      </c>
      <c r="C32" s="22" t="s">
        <v>156</v>
      </c>
      <c r="D32" s="139" t="s">
        <v>167</v>
      </c>
      <c r="E32" s="299">
        <v>28038</v>
      </c>
      <c r="F32" s="47">
        <v>28336</v>
      </c>
      <c r="G32" s="47">
        <v>28336</v>
      </c>
      <c r="H32" s="48">
        <f>+G32/E32</f>
        <v>1.0106284328411441</v>
      </c>
      <c r="I32" s="300">
        <v>0</v>
      </c>
      <c r="J32" s="317">
        <v>73711</v>
      </c>
      <c r="K32" s="171">
        <v>72074</v>
      </c>
      <c r="L32" s="171">
        <v>73712</v>
      </c>
      <c r="M32" s="170">
        <f t="shared" si="0"/>
        <v>1.0000135664961811</v>
      </c>
      <c r="N32" s="318">
        <v>-1638</v>
      </c>
      <c r="O32" s="299">
        <v>73711</v>
      </c>
      <c r="P32" s="47">
        <v>73711</v>
      </c>
      <c r="Q32" s="47">
        <v>72921.119999999995</v>
      </c>
      <c r="R32" s="47">
        <v>0</v>
      </c>
      <c r="S32" s="48">
        <f>+Q32/O32</f>
        <v>0.98928409599652689</v>
      </c>
      <c r="T32" s="300">
        <v>789.88</v>
      </c>
      <c r="U32" s="533"/>
      <c r="W32" s="612"/>
    </row>
    <row r="33" spans="1:23" s="6" customFormat="1" hidden="1" outlineLevel="2" x14ac:dyDescent="0.2">
      <c r="A33" s="323" t="s">
        <v>743</v>
      </c>
      <c r="B33" s="22" t="s">
        <v>182</v>
      </c>
      <c r="C33" s="22" t="s">
        <v>183</v>
      </c>
      <c r="D33" s="139" t="s">
        <v>184</v>
      </c>
      <c r="E33" s="301"/>
      <c r="F33" s="49"/>
      <c r="G33" s="49"/>
      <c r="H33" s="48"/>
      <c r="I33" s="302"/>
      <c r="J33" s="317">
        <v>370397</v>
      </c>
      <c r="K33" s="171">
        <v>0</v>
      </c>
      <c r="L33" s="171">
        <v>0</v>
      </c>
      <c r="M33" s="170">
        <f t="shared" si="0"/>
        <v>0</v>
      </c>
      <c r="N33" s="318">
        <v>0</v>
      </c>
      <c r="O33" s="301"/>
      <c r="P33" s="49"/>
      <c r="Q33" s="49"/>
      <c r="R33" s="49"/>
      <c r="S33" s="48"/>
      <c r="T33" s="302"/>
      <c r="U33" s="533"/>
      <c r="W33" s="612"/>
    </row>
    <row r="34" spans="1:23" s="6" customFormat="1" hidden="1" outlineLevel="2" x14ac:dyDescent="0.2">
      <c r="A34" s="323" t="s">
        <v>743</v>
      </c>
      <c r="B34" s="22" t="s">
        <v>185</v>
      </c>
      <c r="C34" s="22" t="s">
        <v>183</v>
      </c>
      <c r="D34" s="139" t="s">
        <v>184</v>
      </c>
      <c r="E34" s="301"/>
      <c r="F34" s="49"/>
      <c r="G34" s="49"/>
      <c r="H34" s="48"/>
      <c r="I34" s="302"/>
      <c r="J34" s="317">
        <v>0</v>
      </c>
      <c r="K34" s="171">
        <v>370397</v>
      </c>
      <c r="L34" s="171">
        <f>1948.06+332322.45</f>
        <v>334270.51</v>
      </c>
      <c r="M34" s="170">
        <v>0</v>
      </c>
      <c r="N34" s="318">
        <f>38074.55-1948.06</f>
        <v>36126.490000000005</v>
      </c>
      <c r="O34" s="299">
        <v>340397</v>
      </c>
      <c r="P34" s="47">
        <v>340397</v>
      </c>
      <c r="Q34" s="47">
        <v>242743.92</v>
      </c>
      <c r="R34" s="47">
        <v>0</v>
      </c>
      <c r="S34" s="48">
        <f>+Q34/O34</f>
        <v>0.71312003337279706</v>
      </c>
      <c r="T34" s="300">
        <v>97653.08</v>
      </c>
      <c r="U34" s="533"/>
      <c r="W34" s="612"/>
    </row>
    <row r="35" spans="1:23" s="6" customFormat="1" hidden="1" outlineLevel="2" x14ac:dyDescent="0.2">
      <c r="A35" s="323" t="s">
        <v>743</v>
      </c>
      <c r="B35" s="22" t="s">
        <v>186</v>
      </c>
      <c r="C35" s="22" t="s">
        <v>187</v>
      </c>
      <c r="D35" s="139" t="s">
        <v>184</v>
      </c>
      <c r="E35" s="301"/>
      <c r="F35" s="49"/>
      <c r="G35" s="49"/>
      <c r="H35" s="48"/>
      <c r="I35" s="302"/>
      <c r="J35" s="317">
        <v>82111</v>
      </c>
      <c r="K35" s="171">
        <v>82111</v>
      </c>
      <c r="L35" s="171">
        <v>0</v>
      </c>
      <c r="M35" s="170">
        <f>+L35/J35</f>
        <v>0</v>
      </c>
      <c r="N35" s="318">
        <v>82111</v>
      </c>
      <c r="O35" s="301"/>
      <c r="P35" s="49"/>
      <c r="Q35" s="49"/>
      <c r="R35" s="49"/>
      <c r="S35" s="48"/>
      <c r="T35" s="302"/>
      <c r="U35" s="533"/>
      <c r="W35" s="612"/>
    </row>
    <row r="36" spans="1:23" s="6" customFormat="1" hidden="1" outlineLevel="2" x14ac:dyDescent="0.2">
      <c r="A36" s="323" t="s">
        <v>743</v>
      </c>
      <c r="B36" s="22" t="s">
        <v>188</v>
      </c>
      <c r="C36" s="22" t="s">
        <v>187</v>
      </c>
      <c r="D36" s="139" t="s">
        <v>184</v>
      </c>
      <c r="E36" s="301"/>
      <c r="F36" s="49"/>
      <c r="G36" s="49"/>
      <c r="H36" s="48"/>
      <c r="I36" s="302"/>
      <c r="J36" s="317">
        <v>0</v>
      </c>
      <c r="K36" s="171">
        <v>0</v>
      </c>
      <c r="L36" s="171">
        <v>79869</v>
      </c>
      <c r="M36" s="170">
        <v>0</v>
      </c>
      <c r="N36" s="318">
        <v>-79869</v>
      </c>
      <c r="O36" s="299">
        <v>88013</v>
      </c>
      <c r="P36" s="47">
        <v>88013</v>
      </c>
      <c r="Q36" s="47">
        <v>0</v>
      </c>
      <c r="R36" s="47">
        <v>0</v>
      </c>
      <c r="S36" s="48">
        <f>+Q36/O36</f>
        <v>0</v>
      </c>
      <c r="T36" s="300">
        <v>88013</v>
      </c>
      <c r="U36" s="533"/>
      <c r="W36" s="612"/>
    </row>
    <row r="37" spans="1:23" s="6" customFormat="1" hidden="1" outlineLevel="2" x14ac:dyDescent="0.2">
      <c r="A37" s="323" t="s">
        <v>743</v>
      </c>
      <c r="B37" s="22" t="s">
        <v>189</v>
      </c>
      <c r="C37" s="22" t="s">
        <v>190</v>
      </c>
      <c r="D37" s="139" t="s">
        <v>191</v>
      </c>
      <c r="E37" s="301"/>
      <c r="F37" s="49"/>
      <c r="G37" s="49"/>
      <c r="H37" s="48"/>
      <c r="I37" s="302"/>
      <c r="J37" s="317">
        <v>2343</v>
      </c>
      <c r="K37" s="171">
        <v>2343</v>
      </c>
      <c r="L37" s="171">
        <v>0</v>
      </c>
      <c r="M37" s="170">
        <f>+L37/J37</f>
        <v>0</v>
      </c>
      <c r="N37" s="318">
        <v>2343</v>
      </c>
      <c r="O37" s="301"/>
      <c r="P37" s="49"/>
      <c r="Q37" s="49"/>
      <c r="R37" s="49"/>
      <c r="S37" s="48"/>
      <c r="T37" s="302"/>
      <c r="U37" s="533"/>
      <c r="W37" s="612"/>
    </row>
    <row r="38" spans="1:23" s="6" customFormat="1" hidden="1" outlineLevel="2" x14ac:dyDescent="0.2">
      <c r="A38" s="323" t="s">
        <v>743</v>
      </c>
      <c r="B38" s="22" t="s">
        <v>192</v>
      </c>
      <c r="C38" s="22" t="s">
        <v>193</v>
      </c>
      <c r="D38" s="139" t="s">
        <v>191</v>
      </c>
      <c r="E38" s="301"/>
      <c r="F38" s="49"/>
      <c r="G38" s="49"/>
      <c r="H38" s="48"/>
      <c r="I38" s="302"/>
      <c r="J38" s="315"/>
      <c r="K38" s="169"/>
      <c r="L38" s="169"/>
      <c r="M38" s="170"/>
      <c r="N38" s="316"/>
      <c r="O38" s="299">
        <v>6500</v>
      </c>
      <c r="P38" s="47">
        <v>6500</v>
      </c>
      <c r="Q38" s="47">
        <v>6255</v>
      </c>
      <c r="R38" s="47">
        <v>0</v>
      </c>
      <c r="S38" s="48">
        <f>+Q38/O38</f>
        <v>0.96230769230769231</v>
      </c>
      <c r="T38" s="300">
        <v>245</v>
      </c>
      <c r="U38" s="533"/>
      <c r="W38" s="612"/>
    </row>
    <row r="39" spans="1:23" s="6" customFormat="1" hidden="1" outlineLevel="2" x14ac:dyDescent="0.2">
      <c r="A39" s="323" t="s">
        <v>743</v>
      </c>
      <c r="B39" s="22" t="s">
        <v>194</v>
      </c>
      <c r="C39" s="22" t="s">
        <v>193</v>
      </c>
      <c r="D39" s="139" t="s">
        <v>191</v>
      </c>
      <c r="E39" s="301"/>
      <c r="F39" s="49"/>
      <c r="G39" s="49"/>
      <c r="H39" s="48"/>
      <c r="I39" s="302"/>
      <c r="J39" s="317">
        <v>5670</v>
      </c>
      <c r="K39" s="171">
        <v>5670</v>
      </c>
      <c r="L39" s="171">
        <v>6204.45</v>
      </c>
      <c r="M39" s="170">
        <f>+L39/J39</f>
        <v>1.0942592592592593</v>
      </c>
      <c r="N39" s="318">
        <v>-534.45000000000005</v>
      </c>
      <c r="O39" s="301"/>
      <c r="P39" s="49"/>
      <c r="Q39" s="49"/>
      <c r="R39" s="49"/>
      <c r="S39" s="48"/>
      <c r="T39" s="302"/>
      <c r="U39" s="533"/>
      <c r="W39" s="612"/>
    </row>
    <row r="40" spans="1:23" s="6" customFormat="1" hidden="1" outlineLevel="2" x14ac:dyDescent="0.2">
      <c r="A40" s="323" t="s">
        <v>743</v>
      </c>
      <c r="B40" s="22" t="s">
        <v>195</v>
      </c>
      <c r="C40" s="22" t="s">
        <v>196</v>
      </c>
      <c r="D40" s="139" t="s">
        <v>191</v>
      </c>
      <c r="E40" s="301"/>
      <c r="F40" s="49"/>
      <c r="G40" s="49"/>
      <c r="H40" s="48"/>
      <c r="I40" s="302"/>
      <c r="J40" s="317">
        <v>75190</v>
      </c>
      <c r="K40" s="171">
        <v>76527</v>
      </c>
      <c r="L40" s="171">
        <v>57394.87</v>
      </c>
      <c r="M40" s="170">
        <f>+L40/J40</f>
        <v>0.7633311610586514</v>
      </c>
      <c r="N40" s="318">
        <v>19132.13</v>
      </c>
      <c r="O40" s="299">
        <v>78691</v>
      </c>
      <c r="P40" s="47">
        <v>97822</v>
      </c>
      <c r="Q40" s="47">
        <v>97822.63</v>
      </c>
      <c r="R40" s="47">
        <v>0</v>
      </c>
      <c r="S40" s="48">
        <f>+Q40/O40</f>
        <v>1.243123482990431</v>
      </c>
      <c r="T40" s="300">
        <v>-0.63</v>
      </c>
      <c r="U40" s="533"/>
      <c r="W40" s="612"/>
    </row>
    <row r="41" spans="1:23" s="6" customFormat="1" hidden="1" outlineLevel="2" x14ac:dyDescent="0.2">
      <c r="A41" s="323" t="s">
        <v>743</v>
      </c>
      <c r="B41" s="22" t="s">
        <v>197</v>
      </c>
      <c r="C41" s="22" t="s">
        <v>198</v>
      </c>
      <c r="D41" s="139" t="s">
        <v>191</v>
      </c>
      <c r="E41" s="301"/>
      <c r="F41" s="49"/>
      <c r="G41" s="49"/>
      <c r="H41" s="48"/>
      <c r="I41" s="302"/>
      <c r="J41" s="317">
        <v>11259</v>
      </c>
      <c r="K41" s="171">
        <v>11259</v>
      </c>
      <c r="L41" s="171">
        <v>15384</v>
      </c>
      <c r="M41" s="170">
        <f>+L41/J41</f>
        <v>1.3663735678124167</v>
      </c>
      <c r="N41" s="318">
        <v>-4125</v>
      </c>
      <c r="O41" s="299">
        <v>15609</v>
      </c>
      <c r="P41" s="47">
        <v>15609</v>
      </c>
      <c r="Q41" s="47">
        <v>11514.1</v>
      </c>
      <c r="R41" s="47">
        <v>4099.8999999999996</v>
      </c>
      <c r="S41" s="48">
        <f>+Q41/O41</f>
        <v>0.73765776154782503</v>
      </c>
      <c r="T41" s="300">
        <v>-5</v>
      </c>
      <c r="U41" s="533"/>
      <c r="W41" s="612"/>
    </row>
    <row r="42" spans="1:23" s="6" customFormat="1" hidden="1" outlineLevel="2" x14ac:dyDescent="0.2">
      <c r="A42" s="323" t="s">
        <v>743</v>
      </c>
      <c r="B42" s="22" t="s">
        <v>199</v>
      </c>
      <c r="C42" s="22" t="s">
        <v>200</v>
      </c>
      <c r="D42" s="139" t="s">
        <v>191</v>
      </c>
      <c r="E42" s="301"/>
      <c r="F42" s="49"/>
      <c r="G42" s="49"/>
      <c r="H42" s="48"/>
      <c r="I42" s="302"/>
      <c r="J42" s="315"/>
      <c r="K42" s="169"/>
      <c r="L42" s="169"/>
      <c r="M42" s="170"/>
      <c r="N42" s="316"/>
      <c r="O42" s="299">
        <v>19057</v>
      </c>
      <c r="P42" s="47">
        <v>19057</v>
      </c>
      <c r="Q42" s="47">
        <v>8160</v>
      </c>
      <c r="R42" s="47">
        <v>0</v>
      </c>
      <c r="S42" s="48">
        <f>+Q42/O42</f>
        <v>0.42818911685994648</v>
      </c>
      <c r="T42" s="300">
        <v>10897</v>
      </c>
      <c r="U42" s="533"/>
      <c r="W42" s="612"/>
    </row>
    <row r="43" spans="1:23" s="6" customFormat="1" hidden="1" outlineLevel="2" x14ac:dyDescent="0.2">
      <c r="A43" s="323" t="s">
        <v>743</v>
      </c>
      <c r="B43" s="22" t="s">
        <v>202</v>
      </c>
      <c r="C43" s="22" t="s">
        <v>201</v>
      </c>
      <c r="D43" s="139" t="s">
        <v>83</v>
      </c>
      <c r="E43" s="301"/>
      <c r="F43" s="49"/>
      <c r="G43" s="49"/>
      <c r="H43" s="48"/>
      <c r="I43" s="302"/>
      <c r="J43" s="317">
        <v>0</v>
      </c>
      <c r="K43" s="171">
        <v>0</v>
      </c>
      <c r="L43" s="171">
        <v>4560</v>
      </c>
      <c r="M43" s="170">
        <v>0</v>
      </c>
      <c r="N43" s="318">
        <v>-4560</v>
      </c>
      <c r="O43" s="301"/>
      <c r="P43" s="49"/>
      <c r="Q43" s="49"/>
      <c r="R43" s="49"/>
      <c r="S43" s="48"/>
      <c r="T43" s="302"/>
      <c r="U43" s="533"/>
      <c r="W43" s="612"/>
    </row>
    <row r="44" spans="1:23" s="6" customFormat="1" outlineLevel="2" x14ac:dyDescent="0.2">
      <c r="A44" s="323" t="s">
        <v>743</v>
      </c>
      <c r="B44" s="22" t="s">
        <v>203</v>
      </c>
      <c r="C44" s="22" t="s">
        <v>201</v>
      </c>
      <c r="D44" s="139" t="s">
        <v>35</v>
      </c>
      <c r="E44" s="299">
        <v>9000</v>
      </c>
      <c r="F44" s="47">
        <v>14439</v>
      </c>
      <c r="G44" s="47">
        <v>8822.4</v>
      </c>
      <c r="H44" s="48">
        <f>+G44/E44</f>
        <v>0.98026666666666662</v>
      </c>
      <c r="I44" s="300">
        <v>5616.6</v>
      </c>
      <c r="J44" s="317">
        <v>9000</v>
      </c>
      <c r="K44" s="171">
        <v>9000</v>
      </c>
      <c r="L44" s="171">
        <v>4903.2299999999996</v>
      </c>
      <c r="M44" s="170">
        <f>+L44/J44</f>
        <v>0.54480333333333331</v>
      </c>
      <c r="N44" s="318">
        <v>4096.7700000000004</v>
      </c>
      <c r="O44" s="299">
        <v>9000</v>
      </c>
      <c r="P44" s="47">
        <v>9000</v>
      </c>
      <c r="Q44" s="47">
        <v>1937.86</v>
      </c>
      <c r="R44" s="47">
        <v>4654.7700000000004</v>
      </c>
      <c r="S44" s="48">
        <f>+Q44/O44</f>
        <v>0.21531777777777777</v>
      </c>
      <c r="T44" s="300">
        <v>2407.37</v>
      </c>
      <c r="U44" s="533"/>
      <c r="W44" s="612">
        <v>9000</v>
      </c>
    </row>
    <row r="45" spans="1:23" s="6" customFormat="1" outlineLevel="2" x14ac:dyDescent="0.2">
      <c r="A45" s="323" t="s">
        <v>743</v>
      </c>
      <c r="B45" s="22" t="s">
        <v>204</v>
      </c>
      <c r="C45" s="22" t="s">
        <v>201</v>
      </c>
      <c r="D45" s="139" t="s">
        <v>53</v>
      </c>
      <c r="E45" s="299">
        <v>0</v>
      </c>
      <c r="F45" s="47">
        <v>35569</v>
      </c>
      <c r="G45" s="47">
        <v>27834.12</v>
      </c>
      <c r="H45" s="48">
        <v>0</v>
      </c>
      <c r="I45" s="300">
        <v>7734.88</v>
      </c>
      <c r="J45" s="317">
        <v>10000</v>
      </c>
      <c r="K45" s="171">
        <v>10000</v>
      </c>
      <c r="L45" s="171">
        <v>5640.61</v>
      </c>
      <c r="M45" s="170">
        <f>+L45/J45</f>
        <v>0.56406099999999992</v>
      </c>
      <c r="N45" s="318">
        <v>4359.3900000000003</v>
      </c>
      <c r="O45" s="299">
        <v>10000</v>
      </c>
      <c r="P45" s="47">
        <v>10000</v>
      </c>
      <c r="Q45" s="47">
        <v>7535.76</v>
      </c>
      <c r="R45" s="47">
        <v>0</v>
      </c>
      <c r="S45" s="48">
        <f>+Q45/O45</f>
        <v>0.75357600000000002</v>
      </c>
      <c r="T45" s="300">
        <v>2464</v>
      </c>
      <c r="U45" s="533"/>
      <c r="W45" s="612">
        <v>10000</v>
      </c>
    </row>
    <row r="46" spans="1:23" s="6" customFormat="1" hidden="1" outlineLevel="2" x14ac:dyDescent="0.2">
      <c r="A46" s="323" t="s">
        <v>743</v>
      </c>
      <c r="B46" s="22" t="s">
        <v>205</v>
      </c>
      <c r="C46" s="22" t="s">
        <v>201</v>
      </c>
      <c r="D46" s="139" t="s">
        <v>51</v>
      </c>
      <c r="E46" s="299">
        <v>10000</v>
      </c>
      <c r="F46" s="47">
        <v>3639</v>
      </c>
      <c r="G46" s="47">
        <v>0</v>
      </c>
      <c r="H46" s="48">
        <f>+G46/E46</f>
        <v>0</v>
      </c>
      <c r="I46" s="300">
        <v>3639</v>
      </c>
      <c r="J46" s="315"/>
      <c r="K46" s="169"/>
      <c r="L46" s="169"/>
      <c r="M46" s="170"/>
      <c r="N46" s="316"/>
      <c r="O46" s="301"/>
      <c r="P46" s="49"/>
      <c r="Q46" s="49"/>
      <c r="R46" s="49"/>
      <c r="S46" s="48"/>
      <c r="T46" s="302"/>
      <c r="U46" s="533"/>
      <c r="W46" s="612"/>
    </row>
    <row r="47" spans="1:23" s="6" customFormat="1" outlineLevel="2" x14ac:dyDescent="0.2">
      <c r="A47" s="323" t="s">
        <v>743</v>
      </c>
      <c r="B47" s="22" t="s">
        <v>207</v>
      </c>
      <c r="C47" s="22" t="s">
        <v>208</v>
      </c>
      <c r="D47" s="139" t="s">
        <v>19</v>
      </c>
      <c r="E47" s="301"/>
      <c r="F47" s="49"/>
      <c r="G47" s="49"/>
      <c r="H47" s="48"/>
      <c r="I47" s="302"/>
      <c r="J47" s="317">
        <v>2000</v>
      </c>
      <c r="K47" s="171">
        <v>0</v>
      </c>
      <c r="L47" s="171">
        <v>0</v>
      </c>
      <c r="M47" s="170">
        <f>+L47/J47</f>
        <v>0</v>
      </c>
      <c r="N47" s="318">
        <v>0</v>
      </c>
      <c r="O47" s="299">
        <v>2000</v>
      </c>
      <c r="P47" s="47">
        <v>2000</v>
      </c>
      <c r="Q47" s="47">
        <v>1847.04</v>
      </c>
      <c r="R47" s="47">
        <v>128.07</v>
      </c>
      <c r="S47" s="48">
        <f>+Q47/O47</f>
        <v>0.92352000000000001</v>
      </c>
      <c r="T47" s="300">
        <v>24.89</v>
      </c>
      <c r="U47" s="533"/>
      <c r="W47" s="612">
        <v>2000</v>
      </c>
    </row>
    <row r="48" spans="1:23" s="6" customFormat="1" outlineLevel="2" x14ac:dyDescent="0.2">
      <c r="A48" s="323" t="s">
        <v>743</v>
      </c>
      <c r="B48" s="22" t="s">
        <v>209</v>
      </c>
      <c r="C48" s="22" t="s">
        <v>208</v>
      </c>
      <c r="D48" s="139" t="s">
        <v>29</v>
      </c>
      <c r="E48" s="301"/>
      <c r="F48" s="49"/>
      <c r="G48" s="49"/>
      <c r="H48" s="48"/>
      <c r="I48" s="302"/>
      <c r="J48" s="317">
        <v>4000</v>
      </c>
      <c r="K48" s="171">
        <v>4000</v>
      </c>
      <c r="L48" s="171">
        <v>1967.37</v>
      </c>
      <c r="M48" s="170">
        <f>+L48/J48</f>
        <v>0.49184249999999996</v>
      </c>
      <c r="N48" s="318">
        <v>2032.63</v>
      </c>
      <c r="O48" s="299">
        <v>4000</v>
      </c>
      <c r="P48" s="47">
        <v>13000</v>
      </c>
      <c r="Q48" s="47">
        <v>9986.06</v>
      </c>
      <c r="R48" s="47">
        <v>0</v>
      </c>
      <c r="S48" s="48">
        <f>+Q48/O48</f>
        <v>2.496515</v>
      </c>
      <c r="T48" s="300">
        <v>3013.94</v>
      </c>
      <c r="U48" s="533"/>
      <c r="W48" s="612">
        <v>4000</v>
      </c>
    </row>
    <row r="49" spans="1:23" s="6" customFormat="1" outlineLevel="2" x14ac:dyDescent="0.2">
      <c r="A49" s="323" t="s">
        <v>743</v>
      </c>
      <c r="B49" s="604" t="s">
        <v>865</v>
      </c>
      <c r="C49" s="604" t="s">
        <v>208</v>
      </c>
      <c r="D49" s="139" t="s">
        <v>866</v>
      </c>
      <c r="E49" s="301"/>
      <c r="F49" s="49"/>
      <c r="G49" s="49"/>
      <c r="H49" s="48"/>
      <c r="I49" s="302"/>
      <c r="J49" s="317"/>
      <c r="K49" s="171"/>
      <c r="L49" s="171"/>
      <c r="M49" s="170"/>
      <c r="N49" s="318"/>
      <c r="O49" s="299"/>
      <c r="P49" s="47"/>
      <c r="Q49" s="47"/>
      <c r="R49" s="47"/>
      <c r="S49" s="48"/>
      <c r="T49" s="300"/>
      <c r="U49" s="533" t="s">
        <v>867</v>
      </c>
      <c r="W49" s="612">
        <v>2000</v>
      </c>
    </row>
    <row r="50" spans="1:23" s="6" customFormat="1" outlineLevel="2" x14ac:dyDescent="0.2">
      <c r="A50" s="323"/>
      <c r="B50" s="604"/>
      <c r="C50" s="604" t="s">
        <v>875</v>
      </c>
      <c r="D50" s="139" t="s">
        <v>29</v>
      </c>
      <c r="E50" s="301"/>
      <c r="F50" s="49"/>
      <c r="G50" s="49"/>
      <c r="H50" s="48"/>
      <c r="I50" s="302"/>
      <c r="J50" s="317"/>
      <c r="K50" s="171"/>
      <c r="L50" s="171"/>
      <c r="M50" s="170"/>
      <c r="N50" s="318"/>
      <c r="O50" s="299"/>
      <c r="P50" s="47"/>
      <c r="Q50" s="47"/>
      <c r="R50" s="47"/>
      <c r="S50" s="48"/>
      <c r="T50" s="300"/>
      <c r="U50" s="533" t="s">
        <v>876</v>
      </c>
      <c r="W50" s="612">
        <v>30000</v>
      </c>
    </row>
    <row r="51" spans="1:23" s="6" customFormat="1" outlineLevel="2" x14ac:dyDescent="0.2">
      <c r="A51" s="323"/>
      <c r="B51" s="604"/>
      <c r="C51" s="604" t="s">
        <v>878</v>
      </c>
      <c r="D51" s="139" t="s">
        <v>879</v>
      </c>
      <c r="E51" s="301"/>
      <c r="F51" s="49"/>
      <c r="G51" s="49"/>
      <c r="H51" s="48"/>
      <c r="I51" s="302"/>
      <c r="J51" s="317"/>
      <c r="K51" s="171"/>
      <c r="L51" s="171"/>
      <c r="M51" s="170"/>
      <c r="N51" s="318"/>
      <c r="O51" s="299"/>
      <c r="P51" s="47"/>
      <c r="Q51" s="47"/>
      <c r="R51" s="47"/>
      <c r="S51" s="48"/>
      <c r="T51" s="300"/>
      <c r="U51" s="533" t="s">
        <v>877</v>
      </c>
      <c r="W51" s="612">
        <v>100000</v>
      </c>
    </row>
    <row r="52" spans="1:23" s="6" customFormat="1" outlineLevel="2" x14ac:dyDescent="0.2">
      <c r="A52" s="323" t="s">
        <v>743</v>
      </c>
      <c r="B52" s="22" t="s">
        <v>211</v>
      </c>
      <c r="C52" s="22" t="s">
        <v>210</v>
      </c>
      <c r="D52" s="139" t="s">
        <v>7</v>
      </c>
      <c r="E52" s="299">
        <v>57298</v>
      </c>
      <c r="F52" s="47">
        <v>0</v>
      </c>
      <c r="G52" s="47">
        <v>0</v>
      </c>
      <c r="H52" s="48">
        <f>+G52/E52</f>
        <v>0</v>
      </c>
      <c r="I52" s="300">
        <v>0</v>
      </c>
      <c r="J52" s="317">
        <v>27298</v>
      </c>
      <c r="K52" s="171">
        <v>0</v>
      </c>
      <c r="L52" s="171">
        <v>0</v>
      </c>
      <c r="M52" s="170">
        <f>+L52/J52</f>
        <v>0</v>
      </c>
      <c r="N52" s="318">
        <v>0</v>
      </c>
      <c r="O52" s="299">
        <v>10346</v>
      </c>
      <c r="P52" s="47">
        <v>31757</v>
      </c>
      <c r="Q52" s="47">
        <v>0</v>
      </c>
      <c r="R52" s="47">
        <v>0</v>
      </c>
      <c r="S52" s="48">
        <f>+Q52/O52</f>
        <v>0</v>
      </c>
      <c r="T52" s="300">
        <v>31757</v>
      </c>
      <c r="U52" s="533" t="s">
        <v>868</v>
      </c>
      <c r="W52" s="612">
        <v>0</v>
      </c>
    </row>
    <row r="53" spans="1:23" s="6" customFormat="1" hidden="1" outlineLevel="2" x14ac:dyDescent="0.2">
      <c r="A53" s="323" t="s">
        <v>743</v>
      </c>
      <c r="B53" s="22" t="s">
        <v>227</v>
      </c>
      <c r="C53" s="22" t="s">
        <v>210</v>
      </c>
      <c r="D53" s="139" t="s">
        <v>7</v>
      </c>
      <c r="E53" s="299">
        <v>0</v>
      </c>
      <c r="F53" s="47">
        <v>53746</v>
      </c>
      <c r="G53" s="47">
        <v>53745.98</v>
      </c>
      <c r="H53" s="48">
        <v>0</v>
      </c>
      <c r="I53" s="300">
        <v>0.02</v>
      </c>
      <c r="J53" s="315"/>
      <c r="K53" s="169"/>
      <c r="L53" s="169"/>
      <c r="M53" s="170"/>
      <c r="N53" s="316"/>
      <c r="O53" s="301"/>
      <c r="P53" s="49"/>
      <c r="Q53" s="49"/>
      <c r="R53" s="49"/>
      <c r="S53" s="48"/>
      <c r="T53" s="302"/>
      <c r="U53" s="533"/>
      <c r="W53" s="612"/>
    </row>
    <row r="54" spans="1:23" s="6" customFormat="1" outlineLevel="2" x14ac:dyDescent="0.2">
      <c r="A54" s="323" t="s">
        <v>743</v>
      </c>
      <c r="B54" s="22" t="s">
        <v>238</v>
      </c>
      <c r="C54" s="22" t="s">
        <v>210</v>
      </c>
      <c r="D54" s="139" t="s">
        <v>239</v>
      </c>
      <c r="E54" s="301"/>
      <c r="F54" s="49"/>
      <c r="G54" s="49"/>
      <c r="H54" s="48"/>
      <c r="I54" s="302"/>
      <c r="J54" s="315"/>
      <c r="K54" s="169"/>
      <c r="L54" s="169"/>
      <c r="M54" s="170"/>
      <c r="N54" s="316"/>
      <c r="O54" s="299">
        <v>0</v>
      </c>
      <c r="P54" s="47">
        <v>119978</v>
      </c>
      <c r="Q54" s="47">
        <v>9932</v>
      </c>
      <c r="R54" s="47">
        <v>0</v>
      </c>
      <c r="S54" s="48">
        <v>0</v>
      </c>
      <c r="T54" s="300">
        <v>110046</v>
      </c>
      <c r="U54" s="533" t="s">
        <v>874</v>
      </c>
      <c r="W54" s="612">
        <v>0</v>
      </c>
    </row>
    <row r="55" spans="1:23" s="6" customFormat="1" hidden="1" outlineLevel="2" x14ac:dyDescent="0.2">
      <c r="A55" s="323" t="s">
        <v>743</v>
      </c>
      <c r="B55" s="22" t="s">
        <v>212</v>
      </c>
      <c r="C55" s="22" t="s">
        <v>210</v>
      </c>
      <c r="D55" s="139" t="s">
        <v>213</v>
      </c>
      <c r="E55" s="299">
        <v>30000</v>
      </c>
      <c r="F55" s="47">
        <v>21285</v>
      </c>
      <c r="G55" s="47">
        <v>19107.05</v>
      </c>
      <c r="H55" s="48">
        <f>+G55/E55</f>
        <v>0.63690166666666659</v>
      </c>
      <c r="I55" s="300">
        <v>2177.9499999999998</v>
      </c>
      <c r="J55" s="317">
        <v>40000</v>
      </c>
      <c r="K55" s="171">
        <v>0</v>
      </c>
      <c r="L55" s="171">
        <v>0</v>
      </c>
      <c r="M55" s="170">
        <f>+L55/J55</f>
        <v>0</v>
      </c>
      <c r="N55" s="318">
        <v>0</v>
      </c>
      <c r="O55" s="301"/>
      <c r="P55" s="49"/>
      <c r="Q55" s="49"/>
      <c r="R55" s="49"/>
      <c r="S55" s="48">
        <v>0</v>
      </c>
      <c r="T55" s="302"/>
      <c r="U55" s="533"/>
      <c r="W55" s="612"/>
    </row>
    <row r="56" spans="1:23" s="6" customFormat="1" outlineLevel="2" x14ac:dyDescent="0.2">
      <c r="A56" s="323" t="s">
        <v>743</v>
      </c>
      <c r="B56" s="22" t="s">
        <v>240</v>
      </c>
      <c r="C56" s="22" t="s">
        <v>210</v>
      </c>
      <c r="D56" s="139" t="s">
        <v>19</v>
      </c>
      <c r="E56" s="301"/>
      <c r="F56" s="49"/>
      <c r="G56" s="49"/>
      <c r="H56" s="48"/>
      <c r="I56" s="302"/>
      <c r="J56" s="315"/>
      <c r="K56" s="169"/>
      <c r="L56" s="169"/>
      <c r="M56" s="170"/>
      <c r="N56" s="316"/>
      <c r="O56" s="299">
        <v>40000</v>
      </c>
      <c r="P56" s="47">
        <v>40000</v>
      </c>
      <c r="Q56" s="47">
        <v>0</v>
      </c>
      <c r="R56" s="47">
        <v>0</v>
      </c>
      <c r="S56" s="48">
        <f>+Q56/O56</f>
        <v>0</v>
      </c>
      <c r="T56" s="300">
        <v>40000</v>
      </c>
      <c r="U56" s="533" t="s">
        <v>868</v>
      </c>
      <c r="W56" s="612"/>
    </row>
    <row r="57" spans="1:23" s="6" customFormat="1" outlineLevel="2" x14ac:dyDescent="0.2">
      <c r="A57" s="323" t="s">
        <v>743</v>
      </c>
      <c r="B57" s="22" t="s">
        <v>222</v>
      </c>
      <c r="C57" s="22" t="s">
        <v>210</v>
      </c>
      <c r="D57" s="139" t="s">
        <v>23</v>
      </c>
      <c r="E57" s="299">
        <v>15329</v>
      </c>
      <c r="F57" s="47">
        <v>11904</v>
      </c>
      <c r="G57" s="47">
        <v>4944.58</v>
      </c>
      <c r="H57" s="48">
        <f>+G57/E57</f>
        <v>0.32256376802139736</v>
      </c>
      <c r="I57" s="300">
        <v>6959.42</v>
      </c>
      <c r="J57" s="317">
        <v>15844</v>
      </c>
      <c r="K57" s="171">
        <v>2784</v>
      </c>
      <c r="L57" s="171">
        <v>1639.25</v>
      </c>
      <c r="M57" s="170">
        <f>+L57/J57</f>
        <v>0.10346187831355719</v>
      </c>
      <c r="N57" s="318">
        <v>1144.75</v>
      </c>
      <c r="O57" s="299">
        <v>15844</v>
      </c>
      <c r="P57" s="47">
        <v>15344</v>
      </c>
      <c r="Q57" s="47">
        <v>0</v>
      </c>
      <c r="R57" s="47">
        <v>0</v>
      </c>
      <c r="S57" s="48">
        <f>+Q57/O57</f>
        <v>0</v>
      </c>
      <c r="T57" s="300">
        <v>15344</v>
      </c>
      <c r="U57" s="533" t="s">
        <v>868</v>
      </c>
      <c r="W57" s="612">
        <v>10000</v>
      </c>
    </row>
    <row r="58" spans="1:23" s="6" customFormat="1" hidden="1" outlineLevel="2" x14ac:dyDescent="0.2">
      <c r="A58" s="323" t="s">
        <v>743</v>
      </c>
      <c r="B58" s="22" t="s">
        <v>214</v>
      </c>
      <c r="C58" s="22" t="s">
        <v>210</v>
      </c>
      <c r="D58" s="139" t="s">
        <v>25</v>
      </c>
      <c r="E58" s="299">
        <v>0</v>
      </c>
      <c r="F58" s="47">
        <v>0</v>
      </c>
      <c r="G58" s="47">
        <v>0</v>
      </c>
      <c r="H58" s="48"/>
      <c r="I58" s="300">
        <v>0</v>
      </c>
      <c r="J58" s="317">
        <v>0</v>
      </c>
      <c r="K58" s="171">
        <v>0</v>
      </c>
      <c r="L58" s="171">
        <v>0</v>
      </c>
      <c r="M58" s="170"/>
      <c r="N58" s="318">
        <v>0</v>
      </c>
      <c r="O58" s="299">
        <v>0</v>
      </c>
      <c r="P58" s="47">
        <v>0</v>
      </c>
      <c r="Q58" s="47">
        <v>1071.7</v>
      </c>
      <c r="R58" s="47">
        <v>0</v>
      </c>
      <c r="S58" s="48">
        <v>0</v>
      </c>
      <c r="T58" s="300">
        <v>-1071.7</v>
      </c>
      <c r="U58" s="533"/>
      <c r="W58" s="612"/>
    </row>
    <row r="59" spans="1:23" s="6" customFormat="1" outlineLevel="2" x14ac:dyDescent="0.2">
      <c r="A59" s="323" t="s">
        <v>743</v>
      </c>
      <c r="B59" s="22" t="s">
        <v>223</v>
      </c>
      <c r="C59" s="22" t="s">
        <v>210</v>
      </c>
      <c r="D59" s="139" t="s">
        <v>224</v>
      </c>
      <c r="E59" s="299">
        <v>45236</v>
      </c>
      <c r="F59" s="47">
        <v>38094</v>
      </c>
      <c r="G59" s="47">
        <v>27108.94</v>
      </c>
      <c r="H59" s="48">
        <f>+G59/E59</f>
        <v>0.5992780086656645</v>
      </c>
      <c r="I59" s="300">
        <v>10985.06</v>
      </c>
      <c r="J59" s="317">
        <v>35721</v>
      </c>
      <c r="K59" s="171">
        <v>35763</v>
      </c>
      <c r="L59" s="171">
        <f>28075.15+35257.18</f>
        <v>63332.33</v>
      </c>
      <c r="M59" s="170">
        <f>+L59/J59</f>
        <v>1.7729719212787995</v>
      </c>
      <c r="N59" s="318">
        <f>505.82-28075.15</f>
        <v>-27569.33</v>
      </c>
      <c r="O59" s="299">
        <v>29841</v>
      </c>
      <c r="P59" s="47">
        <v>29191</v>
      </c>
      <c r="Q59" s="47">
        <v>582.70000000000005</v>
      </c>
      <c r="R59" s="47">
        <v>0</v>
      </c>
      <c r="S59" s="48">
        <f>+Q59/O59</f>
        <v>1.9526825508528536E-2</v>
      </c>
      <c r="T59" s="300">
        <v>28608.3</v>
      </c>
      <c r="U59" s="533" t="s">
        <v>868</v>
      </c>
      <c r="W59" s="612">
        <v>0</v>
      </c>
    </row>
    <row r="60" spans="1:23" s="6" customFormat="1" hidden="1" outlineLevel="2" x14ac:dyDescent="0.2">
      <c r="A60" s="323" t="s">
        <v>743</v>
      </c>
      <c r="B60" s="22" t="s">
        <v>228</v>
      </c>
      <c r="C60" s="22" t="s">
        <v>210</v>
      </c>
      <c r="D60" s="139" t="s">
        <v>27</v>
      </c>
      <c r="E60" s="299">
        <v>0</v>
      </c>
      <c r="F60" s="47">
        <v>4861</v>
      </c>
      <c r="G60" s="47">
        <v>4860.9399999999996</v>
      </c>
      <c r="H60" s="48">
        <v>0</v>
      </c>
      <c r="I60" s="300">
        <v>0.06</v>
      </c>
      <c r="J60" s="317">
        <v>0</v>
      </c>
      <c r="K60" s="171">
        <v>160</v>
      </c>
      <c r="L60" s="171">
        <v>159.15</v>
      </c>
      <c r="M60" s="170">
        <v>0</v>
      </c>
      <c r="N60" s="318">
        <v>0.85</v>
      </c>
      <c r="O60" s="301"/>
      <c r="P60" s="49"/>
      <c r="Q60" s="49"/>
      <c r="R60" s="49"/>
      <c r="S60" s="48"/>
      <c r="T60" s="302"/>
      <c r="U60" s="533"/>
      <c r="W60" s="612"/>
    </row>
    <row r="61" spans="1:23" s="6" customFormat="1" hidden="1" outlineLevel="2" x14ac:dyDescent="0.2">
      <c r="A61" s="323" t="s">
        <v>743</v>
      </c>
      <c r="B61" s="22" t="s">
        <v>225</v>
      </c>
      <c r="C61" s="22" t="s">
        <v>210</v>
      </c>
      <c r="D61" s="139" t="s">
        <v>29</v>
      </c>
      <c r="E61" s="301"/>
      <c r="F61" s="49"/>
      <c r="G61" s="49"/>
      <c r="H61" s="48"/>
      <c r="I61" s="302"/>
      <c r="J61" s="317">
        <v>0</v>
      </c>
      <c r="K61" s="171">
        <v>10123</v>
      </c>
      <c r="L61" s="171">
        <v>10122.299999999999</v>
      </c>
      <c r="M61" s="170">
        <v>0</v>
      </c>
      <c r="N61" s="318">
        <v>0.7</v>
      </c>
      <c r="O61" s="301"/>
      <c r="P61" s="49"/>
      <c r="Q61" s="49"/>
      <c r="R61" s="49"/>
      <c r="S61" s="48"/>
      <c r="T61" s="302"/>
      <c r="U61" s="533"/>
      <c r="W61" s="612"/>
    </row>
    <row r="62" spans="1:23" s="6" customFormat="1" outlineLevel="2" x14ac:dyDescent="0.2">
      <c r="A62" s="323" t="s">
        <v>743</v>
      </c>
      <c r="B62" s="22" t="s">
        <v>229</v>
      </c>
      <c r="C62" s="22" t="s">
        <v>210</v>
      </c>
      <c r="D62" s="139" t="s">
        <v>29</v>
      </c>
      <c r="E62" s="299">
        <v>0</v>
      </c>
      <c r="F62" s="47">
        <v>60522</v>
      </c>
      <c r="G62" s="47">
        <v>53338.27</v>
      </c>
      <c r="H62" s="48">
        <v>0</v>
      </c>
      <c r="I62" s="300">
        <v>7183.73</v>
      </c>
      <c r="J62" s="317">
        <v>0</v>
      </c>
      <c r="K62" s="171">
        <v>10815</v>
      </c>
      <c r="L62" s="171">
        <f>22925.85+2271.44</f>
        <v>25197.289999999997</v>
      </c>
      <c r="M62" s="170">
        <v>0</v>
      </c>
      <c r="N62" s="318">
        <f>-22925.85+8543.56</f>
        <v>-14382.289999999999</v>
      </c>
      <c r="O62" s="299">
        <v>0</v>
      </c>
      <c r="P62" s="47">
        <v>90</v>
      </c>
      <c r="Q62" s="47">
        <v>0</v>
      </c>
      <c r="R62" s="47">
        <v>0</v>
      </c>
      <c r="S62" s="48">
        <v>0</v>
      </c>
      <c r="T62" s="300">
        <v>90</v>
      </c>
      <c r="U62" s="533"/>
      <c r="W62" s="612">
        <v>0</v>
      </c>
    </row>
    <row r="63" spans="1:23" s="6" customFormat="1" hidden="1" outlineLevel="2" x14ac:dyDescent="0.2">
      <c r="A63" s="323" t="s">
        <v>743</v>
      </c>
      <c r="B63" s="22" t="s">
        <v>237</v>
      </c>
      <c r="C63" s="22" t="s">
        <v>210</v>
      </c>
      <c r="D63" s="139" t="s">
        <v>29</v>
      </c>
      <c r="E63" s="301"/>
      <c r="F63" s="49"/>
      <c r="G63" s="49"/>
      <c r="H63" s="48"/>
      <c r="I63" s="302"/>
      <c r="J63" s="317">
        <v>0</v>
      </c>
      <c r="K63" s="171">
        <v>2580</v>
      </c>
      <c r="L63" s="171">
        <v>2580</v>
      </c>
      <c r="M63" s="170">
        <v>0</v>
      </c>
      <c r="N63" s="318">
        <v>0</v>
      </c>
      <c r="O63" s="301"/>
      <c r="P63" s="49"/>
      <c r="Q63" s="49"/>
      <c r="R63" s="49"/>
      <c r="S63" s="48"/>
      <c r="T63" s="302"/>
      <c r="U63" s="533"/>
      <c r="W63" s="612"/>
    </row>
    <row r="64" spans="1:23" s="6" customFormat="1" outlineLevel="2" x14ac:dyDescent="0.2">
      <c r="A64" s="323" t="s">
        <v>743</v>
      </c>
      <c r="B64" s="22" t="s">
        <v>241</v>
      </c>
      <c r="C64" s="22" t="s">
        <v>210</v>
      </c>
      <c r="D64" s="139" t="s">
        <v>29</v>
      </c>
      <c r="E64" s="301"/>
      <c r="F64" s="49"/>
      <c r="G64" s="49"/>
      <c r="H64" s="48"/>
      <c r="I64" s="302"/>
      <c r="J64" s="315"/>
      <c r="K64" s="169"/>
      <c r="L64" s="169"/>
      <c r="M64" s="170"/>
      <c r="N64" s="316"/>
      <c r="O64" s="299">
        <v>30000</v>
      </c>
      <c r="P64" s="47">
        <v>20910</v>
      </c>
      <c r="Q64" s="47">
        <v>0</v>
      </c>
      <c r="R64" s="47">
        <v>0</v>
      </c>
      <c r="S64" s="48">
        <f>+Q64/O64</f>
        <v>0</v>
      </c>
      <c r="T64" s="300">
        <v>20910</v>
      </c>
      <c r="U64" s="533" t="s">
        <v>868</v>
      </c>
      <c r="W64" s="612"/>
    </row>
    <row r="65" spans="1:23" s="6" customFormat="1" hidden="1" outlineLevel="2" x14ac:dyDescent="0.2">
      <c r="A65" s="323" t="s">
        <v>743</v>
      </c>
      <c r="B65" s="22" t="s">
        <v>226</v>
      </c>
      <c r="C65" s="22" t="s">
        <v>210</v>
      </c>
      <c r="D65" s="139" t="s">
        <v>29</v>
      </c>
      <c r="E65" s="301"/>
      <c r="F65" s="49"/>
      <c r="G65" s="49"/>
      <c r="H65" s="48"/>
      <c r="I65" s="302"/>
      <c r="J65" s="315"/>
      <c r="K65" s="169"/>
      <c r="L65" s="169"/>
      <c r="M65" s="170"/>
      <c r="N65" s="316"/>
      <c r="O65" s="299">
        <v>2500</v>
      </c>
      <c r="P65" s="47">
        <v>2500</v>
      </c>
      <c r="Q65" s="47">
        <v>2500</v>
      </c>
      <c r="R65" s="47">
        <v>0</v>
      </c>
      <c r="S65" s="48">
        <f>+Q65/O65</f>
        <v>1</v>
      </c>
      <c r="T65" s="300">
        <v>0</v>
      </c>
      <c r="U65" s="533"/>
      <c r="W65" s="612"/>
    </row>
    <row r="66" spans="1:23" s="6" customFormat="1" hidden="1" outlineLevel="2" x14ac:dyDescent="0.2">
      <c r="A66" s="323" t="s">
        <v>743</v>
      </c>
      <c r="B66" s="22" t="s">
        <v>215</v>
      </c>
      <c r="C66" s="22" t="s">
        <v>210</v>
      </c>
      <c r="D66" s="139" t="s">
        <v>35</v>
      </c>
      <c r="E66" s="299">
        <v>0</v>
      </c>
      <c r="F66" s="47">
        <v>-660</v>
      </c>
      <c r="G66" s="47">
        <v>-660.74</v>
      </c>
      <c r="H66" s="48">
        <v>0</v>
      </c>
      <c r="I66" s="300">
        <v>0.74</v>
      </c>
      <c r="J66" s="315"/>
      <c r="K66" s="169"/>
      <c r="L66" s="169"/>
      <c r="M66" s="170"/>
      <c r="N66" s="316"/>
      <c r="O66" s="299">
        <v>0</v>
      </c>
      <c r="P66" s="47">
        <v>0</v>
      </c>
      <c r="Q66" s="47">
        <v>0</v>
      </c>
      <c r="R66" s="47">
        <v>500</v>
      </c>
      <c r="S66" s="48">
        <v>0</v>
      </c>
      <c r="T66" s="300">
        <v>-500</v>
      </c>
      <c r="U66" s="533"/>
      <c r="W66" s="612"/>
    </row>
    <row r="67" spans="1:23" s="6" customFormat="1" outlineLevel="2" x14ac:dyDescent="0.2">
      <c r="A67" s="323" t="s">
        <v>743</v>
      </c>
      <c r="B67" s="22" t="s">
        <v>230</v>
      </c>
      <c r="C67" s="22" t="s">
        <v>210</v>
      </c>
      <c r="D67" s="139" t="s">
        <v>35</v>
      </c>
      <c r="E67" s="299">
        <v>27000</v>
      </c>
      <c r="F67" s="47">
        <v>30388</v>
      </c>
      <c r="G67" s="47">
        <v>22411.31</v>
      </c>
      <c r="H67" s="48">
        <f>+G67/E67</f>
        <v>0.83004851851851857</v>
      </c>
      <c r="I67" s="300">
        <v>7976.69</v>
      </c>
      <c r="J67" s="317">
        <v>30000</v>
      </c>
      <c r="K67" s="171">
        <v>34429</v>
      </c>
      <c r="L67" s="171">
        <v>28607.48</v>
      </c>
      <c r="M67" s="170">
        <f>+L67/J67</f>
        <v>0.95358266666666669</v>
      </c>
      <c r="N67" s="318">
        <f>34429-28607.48</f>
        <v>5821.52</v>
      </c>
      <c r="O67" s="299">
        <v>30000</v>
      </c>
      <c r="P67" s="47">
        <v>30000</v>
      </c>
      <c r="Q67" s="47">
        <v>15704.31</v>
      </c>
      <c r="R67" s="47">
        <v>3403.41</v>
      </c>
      <c r="S67" s="48">
        <f>+Q67/O67</f>
        <v>0.52347699999999997</v>
      </c>
      <c r="T67" s="300">
        <v>10892.28</v>
      </c>
      <c r="U67" s="533" t="s">
        <v>869</v>
      </c>
      <c r="W67" s="612">
        <v>30000</v>
      </c>
    </row>
    <row r="68" spans="1:23" s="6" customFormat="1" outlineLevel="2" x14ac:dyDescent="0.2">
      <c r="A68" s="323" t="s">
        <v>743</v>
      </c>
      <c r="B68" s="22" t="s">
        <v>231</v>
      </c>
      <c r="C68" s="22" t="s">
        <v>210</v>
      </c>
      <c r="D68" s="139" t="s">
        <v>232</v>
      </c>
      <c r="E68" s="299">
        <v>4000</v>
      </c>
      <c r="F68" s="47">
        <v>8856</v>
      </c>
      <c r="G68" s="47">
        <v>8855.2199999999993</v>
      </c>
      <c r="H68" s="48">
        <f>+G68/E68</f>
        <v>2.2138049999999998</v>
      </c>
      <c r="I68" s="300">
        <v>0.78</v>
      </c>
      <c r="J68" s="317">
        <v>4000</v>
      </c>
      <c r="K68" s="171">
        <v>9955</v>
      </c>
      <c r="L68" s="171">
        <v>9954.9699999999993</v>
      </c>
      <c r="M68" s="170">
        <f>+L68/J68</f>
        <v>2.4887424999999999</v>
      </c>
      <c r="N68" s="318">
        <v>0.03</v>
      </c>
      <c r="O68" s="299">
        <v>4000</v>
      </c>
      <c r="P68" s="47">
        <v>4500</v>
      </c>
      <c r="Q68" s="47">
        <v>4267.2</v>
      </c>
      <c r="R68" s="47">
        <v>0</v>
      </c>
      <c r="S68" s="48">
        <f>+Q68/O68</f>
        <v>1.0668</v>
      </c>
      <c r="T68" s="300">
        <v>232.8</v>
      </c>
      <c r="U68" s="533" t="s">
        <v>870</v>
      </c>
      <c r="W68" s="612">
        <v>10000</v>
      </c>
    </row>
    <row r="69" spans="1:23" s="6" customFormat="1" hidden="1" outlineLevel="2" x14ac:dyDescent="0.2">
      <c r="A69" s="323" t="s">
        <v>743</v>
      </c>
      <c r="B69" s="22" t="s">
        <v>216</v>
      </c>
      <c r="C69" s="22" t="s">
        <v>210</v>
      </c>
      <c r="D69" s="139" t="s">
        <v>217</v>
      </c>
      <c r="E69" s="299">
        <v>30000</v>
      </c>
      <c r="F69" s="47">
        <v>4756</v>
      </c>
      <c r="G69" s="47">
        <v>4576</v>
      </c>
      <c r="H69" s="48">
        <f>+G69/E69</f>
        <v>0.15253333333333333</v>
      </c>
      <c r="I69" s="300">
        <v>180</v>
      </c>
      <c r="J69" s="317">
        <v>40000</v>
      </c>
      <c r="K69" s="171">
        <v>0</v>
      </c>
      <c r="L69" s="171">
        <v>0</v>
      </c>
      <c r="M69" s="170">
        <f>+L69/J69</f>
        <v>0</v>
      </c>
      <c r="N69" s="318">
        <v>0</v>
      </c>
      <c r="O69" s="301"/>
      <c r="P69" s="49"/>
      <c r="Q69" s="49"/>
      <c r="R69" s="49"/>
      <c r="S69" s="48">
        <v>0</v>
      </c>
      <c r="T69" s="302"/>
      <c r="U69" s="533"/>
      <c r="W69" s="612"/>
    </row>
    <row r="70" spans="1:23" s="6" customFormat="1" hidden="1" outlineLevel="2" x14ac:dyDescent="0.2">
      <c r="A70" s="323" t="s">
        <v>743</v>
      </c>
      <c r="B70" s="22" t="s">
        <v>218</v>
      </c>
      <c r="C70" s="22" t="s">
        <v>210</v>
      </c>
      <c r="D70" s="139" t="s">
        <v>37</v>
      </c>
      <c r="E70" s="299">
        <v>0</v>
      </c>
      <c r="F70" s="47">
        <v>2980</v>
      </c>
      <c r="G70" s="47">
        <v>0</v>
      </c>
      <c r="H70" s="48">
        <v>0</v>
      </c>
      <c r="I70" s="300">
        <v>2980</v>
      </c>
      <c r="J70" s="317">
        <v>0</v>
      </c>
      <c r="K70" s="171">
        <v>2365</v>
      </c>
      <c r="L70" s="171">
        <v>2365</v>
      </c>
      <c r="M70" s="170">
        <v>0</v>
      </c>
      <c r="N70" s="318">
        <v>0</v>
      </c>
      <c r="O70" s="301"/>
      <c r="P70" s="49"/>
      <c r="Q70" s="49"/>
      <c r="R70" s="49"/>
      <c r="S70" s="48">
        <v>0</v>
      </c>
      <c r="T70" s="302"/>
      <c r="U70" s="533"/>
      <c r="W70" s="612"/>
    </row>
    <row r="71" spans="1:23" s="6" customFormat="1" hidden="1" outlineLevel="2" x14ac:dyDescent="0.2">
      <c r="A71" s="323" t="s">
        <v>743</v>
      </c>
      <c r="B71" s="22" t="s">
        <v>233</v>
      </c>
      <c r="C71" s="22" t="s">
        <v>210</v>
      </c>
      <c r="D71" s="139" t="s">
        <v>37</v>
      </c>
      <c r="E71" s="301"/>
      <c r="F71" s="49"/>
      <c r="G71" s="49"/>
      <c r="H71" s="48"/>
      <c r="I71" s="302"/>
      <c r="J71" s="317">
        <v>0</v>
      </c>
      <c r="K71" s="171">
        <v>996</v>
      </c>
      <c r="L71" s="171">
        <v>995.8</v>
      </c>
      <c r="M71" s="170">
        <v>0</v>
      </c>
      <c r="N71" s="318">
        <v>0.2</v>
      </c>
      <c r="O71" s="301"/>
      <c r="P71" s="49"/>
      <c r="Q71" s="49"/>
      <c r="R71" s="49"/>
      <c r="S71" s="48">
        <v>0</v>
      </c>
      <c r="T71" s="302"/>
      <c r="U71" s="533"/>
      <c r="W71" s="612"/>
    </row>
    <row r="72" spans="1:23" s="6" customFormat="1" outlineLevel="2" x14ac:dyDescent="0.2">
      <c r="A72" s="323" t="s">
        <v>743</v>
      </c>
      <c r="B72" s="22" t="s">
        <v>234</v>
      </c>
      <c r="C72" s="22" t="s">
        <v>210</v>
      </c>
      <c r="D72" s="139" t="s">
        <v>102</v>
      </c>
      <c r="E72" s="299">
        <v>45000</v>
      </c>
      <c r="F72" s="47">
        <v>22343</v>
      </c>
      <c r="G72" s="47">
        <v>14894.07</v>
      </c>
      <c r="H72" s="48">
        <f>+G72/E72</f>
        <v>0.33097933333333335</v>
      </c>
      <c r="I72" s="300">
        <v>7448.93</v>
      </c>
      <c r="J72" s="317">
        <v>45000</v>
      </c>
      <c r="K72" s="171">
        <v>33949</v>
      </c>
      <c r="L72" s="171">
        <v>29117.88</v>
      </c>
      <c r="M72" s="170">
        <f>+L72/J72</f>
        <v>0.64706399999999997</v>
      </c>
      <c r="N72" s="318">
        <v>4831.12</v>
      </c>
      <c r="O72" s="299">
        <v>45000</v>
      </c>
      <c r="P72" s="47">
        <v>44500</v>
      </c>
      <c r="Q72" s="47">
        <v>10669.26</v>
      </c>
      <c r="R72" s="47">
        <v>0</v>
      </c>
      <c r="S72" s="48">
        <f>+Q72/O72</f>
        <v>0.23709466666666668</v>
      </c>
      <c r="T72" s="300">
        <v>33830.74</v>
      </c>
      <c r="U72" s="533" t="s">
        <v>871</v>
      </c>
      <c r="W72" s="612">
        <v>30000</v>
      </c>
    </row>
    <row r="73" spans="1:23" s="6" customFormat="1" hidden="1" outlineLevel="2" x14ac:dyDescent="0.2">
      <c r="A73" s="323" t="s">
        <v>743</v>
      </c>
      <c r="B73" s="22" t="s">
        <v>235</v>
      </c>
      <c r="C73" s="22" t="s">
        <v>210</v>
      </c>
      <c r="D73" s="139" t="s">
        <v>206</v>
      </c>
      <c r="E73" s="299">
        <v>0</v>
      </c>
      <c r="F73" s="47">
        <v>12427</v>
      </c>
      <c r="G73" s="47">
        <v>12427</v>
      </c>
      <c r="H73" s="48">
        <v>0</v>
      </c>
      <c r="I73" s="300">
        <v>0</v>
      </c>
      <c r="J73" s="315"/>
      <c r="K73" s="169"/>
      <c r="L73" s="169"/>
      <c r="M73" s="170"/>
      <c r="N73" s="316"/>
      <c r="O73" s="301"/>
      <c r="P73" s="49"/>
      <c r="Q73" s="49"/>
      <c r="R73" s="49"/>
      <c r="S73" s="48">
        <v>0</v>
      </c>
      <c r="T73" s="302"/>
      <c r="U73" s="533"/>
      <c r="W73" s="612"/>
    </row>
    <row r="74" spans="1:23" s="6" customFormat="1" outlineLevel="2" x14ac:dyDescent="0.2">
      <c r="A74" s="323" t="s">
        <v>743</v>
      </c>
      <c r="B74" s="22" t="s">
        <v>236</v>
      </c>
      <c r="C74" s="22" t="s">
        <v>210</v>
      </c>
      <c r="D74" s="139" t="s">
        <v>51</v>
      </c>
      <c r="E74" s="299">
        <v>20000</v>
      </c>
      <c r="F74" s="47">
        <v>26168</v>
      </c>
      <c r="G74" s="47">
        <f>419.42+9302+16333.98</f>
        <v>26055.4</v>
      </c>
      <c r="H74" s="48">
        <f>+G74/E74</f>
        <v>1.30277</v>
      </c>
      <c r="I74" s="300">
        <f>9834.02-419.42-9302</f>
        <v>112.60000000000036</v>
      </c>
      <c r="J74" s="317">
        <v>20000</v>
      </c>
      <c r="K74" s="171">
        <v>1306</v>
      </c>
      <c r="L74" s="171">
        <f>24932.8+1305.84</f>
        <v>26238.639999999999</v>
      </c>
      <c r="M74" s="170">
        <f>+L74/J74</f>
        <v>1.3119319999999999</v>
      </c>
      <c r="N74" s="318">
        <f>1306-1305.84-24932.8</f>
        <v>-24932.639999999999</v>
      </c>
      <c r="O74" s="299">
        <v>20000</v>
      </c>
      <c r="P74" s="47">
        <v>20000</v>
      </c>
      <c r="Q74" s="47">
        <v>0</v>
      </c>
      <c r="R74" s="47">
        <v>0</v>
      </c>
      <c r="S74" s="48">
        <f>+Q74/O74</f>
        <v>0</v>
      </c>
      <c r="T74" s="300">
        <v>20000</v>
      </c>
      <c r="U74" s="533" t="s">
        <v>868</v>
      </c>
      <c r="W74" s="612">
        <v>20000</v>
      </c>
    </row>
    <row r="75" spans="1:23" s="6" customFormat="1" hidden="1" outlineLevel="2" x14ac:dyDescent="0.2">
      <c r="A75" s="323" t="s">
        <v>743</v>
      </c>
      <c r="B75" s="22" t="s">
        <v>219</v>
      </c>
      <c r="C75" s="22" t="s">
        <v>210</v>
      </c>
      <c r="D75" s="139" t="s">
        <v>220</v>
      </c>
      <c r="E75" s="299">
        <v>30000</v>
      </c>
      <c r="F75" s="47">
        <v>20413</v>
      </c>
      <c r="G75" s="47">
        <v>20393.46</v>
      </c>
      <c r="H75" s="48">
        <f>+G75/E75</f>
        <v>0.679782</v>
      </c>
      <c r="I75" s="300">
        <v>19.54</v>
      </c>
      <c r="J75" s="317">
        <v>40000</v>
      </c>
      <c r="K75" s="171">
        <v>0</v>
      </c>
      <c r="L75" s="171">
        <v>0</v>
      </c>
      <c r="M75" s="170">
        <f>+L75/J75</f>
        <v>0</v>
      </c>
      <c r="N75" s="318">
        <v>0</v>
      </c>
      <c r="O75" s="301"/>
      <c r="P75" s="49"/>
      <c r="Q75" s="49"/>
      <c r="R75" s="49"/>
      <c r="S75" s="48">
        <v>0</v>
      </c>
      <c r="T75" s="302"/>
      <c r="U75" s="533"/>
      <c r="W75" s="612"/>
    </row>
    <row r="76" spans="1:23" s="6" customFormat="1" hidden="1" outlineLevel="2" x14ac:dyDescent="0.2">
      <c r="A76" s="323" t="s">
        <v>743</v>
      </c>
      <c r="B76" s="22" t="s">
        <v>242</v>
      </c>
      <c r="C76" s="22" t="s">
        <v>243</v>
      </c>
      <c r="D76" s="139" t="s">
        <v>221</v>
      </c>
      <c r="E76" s="299">
        <v>25000</v>
      </c>
      <c r="F76" s="47">
        <v>25000</v>
      </c>
      <c r="G76" s="47">
        <v>27500</v>
      </c>
      <c r="H76" s="48">
        <f>+G76/E76</f>
        <v>1.1000000000000001</v>
      </c>
      <c r="I76" s="300">
        <v>-2500</v>
      </c>
      <c r="J76" s="317">
        <v>11000</v>
      </c>
      <c r="K76" s="171">
        <v>11000</v>
      </c>
      <c r="L76" s="171">
        <v>11000</v>
      </c>
      <c r="M76" s="170">
        <f>+L76/J76</f>
        <v>1</v>
      </c>
      <c r="N76" s="318">
        <v>0</v>
      </c>
      <c r="O76" s="299">
        <v>16500</v>
      </c>
      <c r="P76" s="47">
        <v>16500</v>
      </c>
      <c r="Q76" s="47">
        <v>16500</v>
      </c>
      <c r="R76" s="47">
        <v>0</v>
      </c>
      <c r="S76" s="48">
        <f>+Q76/O76</f>
        <v>1</v>
      </c>
      <c r="T76" s="300">
        <v>0</v>
      </c>
      <c r="U76" s="533"/>
      <c r="W76" s="612"/>
    </row>
    <row r="77" spans="1:23" s="6" customFormat="1" hidden="1" outlineLevel="2" x14ac:dyDescent="0.2">
      <c r="A77" s="323" t="s">
        <v>743</v>
      </c>
      <c r="B77" s="22" t="s">
        <v>265</v>
      </c>
      <c r="C77" s="22" t="s">
        <v>264</v>
      </c>
      <c r="D77" s="139" t="s">
        <v>58</v>
      </c>
      <c r="E77" s="303"/>
      <c r="F77" s="61"/>
      <c r="G77" s="61"/>
      <c r="H77" s="48"/>
      <c r="I77" s="304"/>
      <c r="J77" s="319">
        <v>0</v>
      </c>
      <c r="K77" s="172">
        <v>11911</v>
      </c>
      <c r="L77" s="172">
        <f>8026.5+12061</f>
        <v>20087.5</v>
      </c>
      <c r="M77" s="170">
        <v>0</v>
      </c>
      <c r="N77" s="318">
        <f>-150-8026.5</f>
        <v>-8176.5</v>
      </c>
      <c r="O77" s="305">
        <v>0</v>
      </c>
      <c r="P77" s="59">
        <v>0</v>
      </c>
      <c r="Q77" s="59">
        <v>0</v>
      </c>
      <c r="R77" s="59">
        <v>0</v>
      </c>
      <c r="S77" s="48">
        <v>0</v>
      </c>
      <c r="T77" s="300">
        <v>0</v>
      </c>
      <c r="U77" s="533"/>
      <c r="W77" s="612"/>
    </row>
    <row r="78" spans="1:23" s="6" customFormat="1" hidden="1" outlineLevel="2" x14ac:dyDescent="0.2">
      <c r="A78" s="323" t="s">
        <v>743</v>
      </c>
      <c r="B78" s="22" t="s">
        <v>263</v>
      </c>
      <c r="C78" s="22" t="s">
        <v>264</v>
      </c>
      <c r="D78" s="139" t="s">
        <v>7</v>
      </c>
      <c r="E78" s="301"/>
      <c r="F78" s="49"/>
      <c r="G78" s="49"/>
      <c r="H78" s="48"/>
      <c r="I78" s="302"/>
      <c r="J78" s="317">
        <v>0</v>
      </c>
      <c r="K78" s="171">
        <v>0</v>
      </c>
      <c r="L78" s="171">
        <v>0</v>
      </c>
      <c r="M78" s="170"/>
      <c r="N78" s="318">
        <v>0</v>
      </c>
      <c r="O78" s="301"/>
      <c r="P78" s="49"/>
      <c r="Q78" s="49"/>
      <c r="R78" s="49"/>
      <c r="S78" s="48"/>
      <c r="T78" s="302"/>
      <c r="U78" s="533"/>
      <c r="W78" s="612"/>
    </row>
    <row r="79" spans="1:23" s="6" customFormat="1" hidden="1" outlineLevel="2" x14ac:dyDescent="0.2">
      <c r="A79" s="323" t="s">
        <v>743</v>
      </c>
      <c r="B79" s="22" t="s">
        <v>266</v>
      </c>
      <c r="C79" s="22" t="s">
        <v>264</v>
      </c>
      <c r="D79" s="139" t="s">
        <v>19</v>
      </c>
      <c r="E79" s="301"/>
      <c r="F79" s="49"/>
      <c r="G79" s="49"/>
      <c r="H79" s="48"/>
      <c r="I79" s="302"/>
      <c r="J79" s="317">
        <v>0</v>
      </c>
      <c r="K79" s="171">
        <v>3000</v>
      </c>
      <c r="L79" s="171">
        <f>2013.06+727.28</f>
        <v>2740.34</v>
      </c>
      <c r="M79" s="170">
        <v>0</v>
      </c>
      <c r="N79" s="318">
        <f>2272.72-2013.06</f>
        <v>259.65999999999985</v>
      </c>
      <c r="O79" s="299">
        <v>0</v>
      </c>
      <c r="P79" s="47">
        <v>0</v>
      </c>
      <c r="Q79" s="47">
        <v>153.41999999999999</v>
      </c>
      <c r="R79" s="47">
        <v>0</v>
      </c>
      <c r="S79" s="48">
        <v>0</v>
      </c>
      <c r="T79" s="300">
        <v>-153.41999999999999</v>
      </c>
      <c r="U79" s="533"/>
      <c r="W79" s="612"/>
    </row>
    <row r="80" spans="1:23" s="6" customFormat="1" hidden="1" outlineLevel="2" x14ac:dyDescent="0.2">
      <c r="A80" s="323" t="s">
        <v>743</v>
      </c>
      <c r="B80" s="22" t="s">
        <v>267</v>
      </c>
      <c r="C80" s="22" t="s">
        <v>264</v>
      </c>
      <c r="D80" s="139" t="s">
        <v>29</v>
      </c>
      <c r="E80" s="301"/>
      <c r="F80" s="49"/>
      <c r="G80" s="49"/>
      <c r="H80" s="48"/>
      <c r="I80" s="302"/>
      <c r="J80" s="317">
        <v>0</v>
      </c>
      <c r="K80" s="171">
        <v>15000</v>
      </c>
      <c r="L80" s="171">
        <v>14855.45</v>
      </c>
      <c r="M80" s="170">
        <v>0</v>
      </c>
      <c r="N80" s="318">
        <f>15000-14855.45</f>
        <v>144.54999999999927</v>
      </c>
      <c r="O80" s="301"/>
      <c r="P80" s="49"/>
      <c r="Q80" s="49"/>
      <c r="R80" s="49"/>
      <c r="S80" s="48"/>
      <c r="T80" s="302"/>
      <c r="U80" s="533"/>
      <c r="W80" s="612"/>
    </row>
    <row r="81" spans="1:25" s="6" customFormat="1" outlineLevel="2" x14ac:dyDescent="0.2">
      <c r="A81" s="323" t="s">
        <v>743</v>
      </c>
      <c r="B81" s="22" t="s">
        <v>268</v>
      </c>
      <c r="C81" s="22" t="s">
        <v>269</v>
      </c>
      <c r="D81" s="139" t="s">
        <v>58</v>
      </c>
      <c r="E81" s="305">
        <v>15068</v>
      </c>
      <c r="F81" s="59">
        <v>15068</v>
      </c>
      <c r="G81" s="59">
        <v>11367.89</v>
      </c>
      <c r="H81" s="48">
        <f>+G81/E81</f>
        <v>0.75443920891956462</v>
      </c>
      <c r="I81" s="300">
        <v>3700.11</v>
      </c>
      <c r="J81" s="319">
        <v>15068</v>
      </c>
      <c r="K81" s="172">
        <v>9406</v>
      </c>
      <c r="L81" s="172">
        <v>10587.5</v>
      </c>
      <c r="M81" s="170">
        <f>+L81/J81</f>
        <v>0.70264799575258829</v>
      </c>
      <c r="N81" s="318">
        <v>-1181.5</v>
      </c>
      <c r="O81" s="305">
        <v>15068</v>
      </c>
      <c r="P81" s="59">
        <v>15068</v>
      </c>
      <c r="Q81" s="59">
        <v>3443.75</v>
      </c>
      <c r="R81" s="59">
        <v>0</v>
      </c>
      <c r="S81" s="48">
        <f>+Q81/O81</f>
        <v>0.22854725245553492</v>
      </c>
      <c r="T81" s="300">
        <v>11624.25</v>
      </c>
      <c r="U81" s="533" t="s">
        <v>872</v>
      </c>
      <c r="W81" s="612">
        <v>8000</v>
      </c>
    </row>
    <row r="82" spans="1:25" s="6" customFormat="1" outlineLevel="2" x14ac:dyDescent="0.2">
      <c r="A82" s="323" t="s">
        <v>743</v>
      </c>
      <c r="B82" s="22" t="s">
        <v>270</v>
      </c>
      <c r="C82" s="22" t="s">
        <v>269</v>
      </c>
      <c r="D82" s="139" t="s">
        <v>7</v>
      </c>
      <c r="E82" s="299">
        <v>4360</v>
      </c>
      <c r="F82" s="47">
        <v>0</v>
      </c>
      <c r="G82" s="47">
        <v>0</v>
      </c>
      <c r="H82" s="48">
        <f>+G82/E82</f>
        <v>0</v>
      </c>
      <c r="I82" s="300">
        <v>0</v>
      </c>
      <c r="J82" s="317">
        <v>4360</v>
      </c>
      <c r="K82" s="171">
        <v>0</v>
      </c>
      <c r="L82" s="171">
        <v>0</v>
      </c>
      <c r="M82" s="170">
        <f>+L82/J82</f>
        <v>0</v>
      </c>
      <c r="N82" s="318">
        <v>0</v>
      </c>
      <c r="O82" s="299">
        <v>4360</v>
      </c>
      <c r="P82" s="47">
        <v>4360</v>
      </c>
      <c r="Q82" s="47">
        <v>0</v>
      </c>
      <c r="R82" s="47">
        <v>0</v>
      </c>
      <c r="S82" s="48">
        <f>+Q82/O82</f>
        <v>0</v>
      </c>
      <c r="T82" s="300">
        <v>4360</v>
      </c>
      <c r="U82" s="533" t="s">
        <v>873</v>
      </c>
      <c r="W82" s="612">
        <v>0</v>
      </c>
    </row>
    <row r="83" spans="1:25" s="6" customFormat="1" hidden="1" outlineLevel="2" x14ac:dyDescent="0.2">
      <c r="A83" s="323" t="s">
        <v>743</v>
      </c>
      <c r="B83" s="22" t="s">
        <v>271</v>
      </c>
      <c r="C83" s="22" t="s">
        <v>269</v>
      </c>
      <c r="D83" s="139" t="s">
        <v>52</v>
      </c>
      <c r="E83" s="299">
        <v>0</v>
      </c>
      <c r="F83" s="47">
        <v>1107</v>
      </c>
      <c r="G83" s="47">
        <v>1106.82</v>
      </c>
      <c r="H83" s="48">
        <v>0</v>
      </c>
      <c r="I83" s="300">
        <v>0.18</v>
      </c>
      <c r="J83" s="315"/>
      <c r="K83" s="169"/>
      <c r="L83" s="169"/>
      <c r="M83" s="170"/>
      <c r="N83" s="316"/>
      <c r="O83" s="301"/>
      <c r="P83" s="49"/>
      <c r="Q83" s="49"/>
      <c r="R83" s="49"/>
      <c r="S83" s="48"/>
      <c r="T83" s="302"/>
      <c r="U83" s="533"/>
      <c r="W83" s="612"/>
    </row>
    <row r="84" spans="1:25" s="6" customFormat="1" ht="13.5" outlineLevel="1" collapsed="1" thickBot="1" x14ac:dyDescent="0.25">
      <c r="A84" s="324" t="s">
        <v>766</v>
      </c>
      <c r="B84" s="22"/>
      <c r="C84" s="22"/>
      <c r="D84" s="139"/>
      <c r="E84" s="306">
        <f>SUBTOTAL(9,E3:E83)</f>
        <v>456280</v>
      </c>
      <c r="F84" s="175">
        <f>SUBTOTAL(9,F3:F83)</f>
        <v>499715</v>
      </c>
      <c r="G84" s="175">
        <f>SUBTOTAL(9,G3:G83)</f>
        <v>420667.72000000003</v>
      </c>
      <c r="H84" s="176">
        <f>+G84/E84</f>
        <v>0.92195081967213122</v>
      </c>
      <c r="I84" s="307">
        <f>SUBTOTAL(9,I3:I83)</f>
        <v>79047.27999999997</v>
      </c>
      <c r="J84" s="306">
        <f>SUBTOTAL(9,J3:J83)</f>
        <v>1068623</v>
      </c>
      <c r="K84" s="175">
        <f>SUBTOTAL(9,K3:K83)</f>
        <v>911075</v>
      </c>
      <c r="L84" s="175">
        <f>SUBTOTAL(9,L3:L83)</f>
        <v>914838.75</v>
      </c>
      <c r="M84" s="176">
        <f>+L84/J84</f>
        <v>0.85609120335235156</v>
      </c>
      <c r="N84" s="307">
        <f>SUBTOTAL(9,N3:N83)</f>
        <v>-3763.7499999999964</v>
      </c>
      <c r="O84" s="306">
        <f>+O5+O7+O9+O10+O24+O25+O29+O30+O44+O45+O47+O48+O52+O56+O57+O59+O64+O67+O68+O72+O74+O81+O82</f>
        <v>307910</v>
      </c>
      <c r="P84" s="306">
        <f>+P5+P7+P9+P10+P24+P25+P29+P30+P44+P45+P47+P48+P52+P56+P57+P59+P64+P67+P68+P72+P74+P81+P82</f>
        <v>329231</v>
      </c>
      <c r="Q84" s="306">
        <f>+Q5+Q7+Q9+Q10+Q24+Q25+Q29+Q30+Q44+Q45+Q47+Q48+Q52+Q56+Q57+Q59+Q64+Q67+Q68+Q72+Q74+Q81+Q82</f>
        <v>61182.590000000004</v>
      </c>
      <c r="R84" s="306">
        <f>+R5+R7+R9+R10+R24+R25+R29+R30+R44+R45+R47+R48+R52+R56+R57+R59+R64+R67+R68+R72+R74+R81+R82</f>
        <v>8687.92</v>
      </c>
      <c r="S84" s="176"/>
      <c r="T84" s="307"/>
      <c r="U84" s="511"/>
      <c r="W84" s="612">
        <f>SUM(W5:W83)</f>
        <v>303451</v>
      </c>
    </row>
    <row r="85" spans="1:25" s="6" customFormat="1" ht="13.5" outlineLevel="1" thickTop="1" x14ac:dyDescent="0.2">
      <c r="A85" s="324"/>
      <c r="B85" s="22"/>
      <c r="C85" s="22"/>
      <c r="D85" s="139"/>
      <c r="E85" s="308"/>
      <c r="F85" s="173"/>
      <c r="G85" s="173"/>
      <c r="H85" s="174"/>
      <c r="I85" s="309"/>
      <c r="J85" s="308"/>
      <c r="K85" s="173"/>
      <c r="L85" s="173"/>
      <c r="M85" s="174"/>
      <c r="N85" s="309"/>
      <c r="O85" s="308"/>
      <c r="P85" s="173"/>
      <c r="Q85" s="173"/>
      <c r="R85" s="173"/>
      <c r="S85" s="174"/>
      <c r="T85" s="309"/>
      <c r="U85" s="511"/>
      <c r="W85" s="612"/>
    </row>
    <row r="86" spans="1:25" x14ac:dyDescent="0.2">
      <c r="U86" s="615" t="s">
        <v>880</v>
      </c>
      <c r="V86" s="615"/>
      <c r="W86" s="617">
        <f>+O84-W84</f>
        <v>4459</v>
      </c>
    </row>
    <row r="87" spans="1:25" ht="13.5" thickBot="1" x14ac:dyDescent="0.25">
      <c r="U87" s="615" t="s">
        <v>884</v>
      </c>
      <c r="V87" s="615"/>
      <c r="W87" s="616">
        <v>134550</v>
      </c>
    </row>
    <row r="88" spans="1:25" ht="13.5" thickTop="1" x14ac:dyDescent="0.2"/>
    <row r="90" spans="1:25" s="6" customFormat="1" outlineLevel="2" x14ac:dyDescent="0.2">
      <c r="A90" s="577" t="s">
        <v>752</v>
      </c>
      <c r="B90" s="35" t="s">
        <v>657</v>
      </c>
      <c r="C90" s="35" t="s">
        <v>656</v>
      </c>
      <c r="D90" s="574" t="s">
        <v>19</v>
      </c>
      <c r="E90" s="582">
        <v>4000</v>
      </c>
      <c r="F90" s="583">
        <v>4009</v>
      </c>
      <c r="G90" s="583">
        <v>4008.33</v>
      </c>
      <c r="H90" s="580">
        <f>+G90/E90</f>
        <v>1.0020825</v>
      </c>
      <c r="I90" s="584">
        <v>0.67</v>
      </c>
      <c r="J90" s="582">
        <v>4000</v>
      </c>
      <c r="K90" s="583">
        <v>3950</v>
      </c>
      <c r="L90" s="583">
        <v>3949.93</v>
      </c>
      <c r="M90" s="580">
        <f>+L90/J90</f>
        <v>0.98748249999999993</v>
      </c>
      <c r="N90" s="584">
        <v>7.0000000000000007E-2</v>
      </c>
      <c r="O90" s="582">
        <v>4000</v>
      </c>
      <c r="P90" s="583">
        <v>4000</v>
      </c>
      <c r="Q90" s="583">
        <v>3309.67</v>
      </c>
      <c r="R90" s="583">
        <v>1446.57</v>
      </c>
      <c r="S90" s="580">
        <f>+Q90/O90</f>
        <v>0.82741750000000003</v>
      </c>
      <c r="T90" s="584">
        <v>-756.24</v>
      </c>
      <c r="U90" s="533"/>
      <c r="V90" s="619" t="s">
        <v>834</v>
      </c>
      <c r="W90" s="620"/>
      <c r="X90" s="619"/>
      <c r="Y90" s="619"/>
    </row>
    <row r="91" spans="1:25" s="6" customFormat="1" outlineLevel="2" x14ac:dyDescent="0.2">
      <c r="A91" s="577" t="s">
        <v>752</v>
      </c>
      <c r="B91" s="35" t="s">
        <v>658</v>
      </c>
      <c r="C91" s="35" t="s">
        <v>656</v>
      </c>
      <c r="D91" s="574" t="s">
        <v>93</v>
      </c>
      <c r="E91" s="582">
        <v>3000</v>
      </c>
      <c r="F91" s="583">
        <v>3000</v>
      </c>
      <c r="G91" s="583">
        <v>2990.74</v>
      </c>
      <c r="H91" s="580">
        <f>+G91/E91</f>
        <v>0.99691333333333321</v>
      </c>
      <c r="I91" s="584">
        <v>9.26</v>
      </c>
      <c r="J91" s="582">
        <v>3000</v>
      </c>
      <c r="K91" s="583">
        <v>3050</v>
      </c>
      <c r="L91" s="583">
        <v>3050.01</v>
      </c>
      <c r="M91" s="580">
        <f>+L91/J91</f>
        <v>1.01667</v>
      </c>
      <c r="N91" s="584">
        <v>-0.01</v>
      </c>
      <c r="O91" s="582">
        <v>3000</v>
      </c>
      <c r="P91" s="583">
        <v>3000</v>
      </c>
      <c r="Q91" s="583">
        <v>2935.12</v>
      </c>
      <c r="R91" s="583">
        <v>0</v>
      </c>
      <c r="S91" s="580">
        <f>+Q91/O91</f>
        <v>0.97837333333333332</v>
      </c>
      <c r="T91" s="584">
        <v>64.88</v>
      </c>
      <c r="U91" s="533"/>
      <c r="V91" s="619" t="s">
        <v>833</v>
      </c>
      <c r="W91" s="620"/>
      <c r="X91" s="619"/>
      <c r="Y91" s="619"/>
    </row>
    <row r="92" spans="1:25" s="6" customFormat="1" outlineLevel="2" x14ac:dyDescent="0.2">
      <c r="A92" s="586" t="s">
        <v>752</v>
      </c>
      <c r="B92" s="587" t="s">
        <v>660</v>
      </c>
      <c r="C92" s="587"/>
      <c r="D92" s="588" t="s">
        <v>389</v>
      </c>
      <c r="E92" s="589">
        <v>4040</v>
      </c>
      <c r="F92" s="590">
        <v>4040</v>
      </c>
      <c r="G92" s="590">
        <v>0</v>
      </c>
      <c r="H92" s="591">
        <f>+G92/E92</f>
        <v>0</v>
      </c>
      <c r="I92" s="592">
        <v>0</v>
      </c>
      <c r="J92" s="589">
        <v>4040</v>
      </c>
      <c r="K92" s="590">
        <v>4040</v>
      </c>
      <c r="L92" s="590">
        <v>0</v>
      </c>
      <c r="M92" s="591">
        <f>+L92/J92</f>
        <v>0</v>
      </c>
      <c r="N92" s="592">
        <v>0</v>
      </c>
      <c r="O92" s="589">
        <v>4040</v>
      </c>
      <c r="P92" s="590">
        <v>4040</v>
      </c>
      <c r="Q92" s="590">
        <v>0</v>
      </c>
      <c r="R92" s="590">
        <v>0</v>
      </c>
      <c r="S92" s="591">
        <f>+Q92/O92</f>
        <v>0</v>
      </c>
      <c r="T92" s="592">
        <v>0</v>
      </c>
      <c r="U92" s="533"/>
      <c r="V92" s="619" t="s">
        <v>835</v>
      </c>
      <c r="W92" s="620"/>
      <c r="X92" s="619"/>
      <c r="Y92" s="619"/>
    </row>
    <row r="93" spans="1:25" s="6" customFormat="1" outlineLevel="2" x14ac:dyDescent="0.2">
      <c r="A93" s="586" t="s">
        <v>752</v>
      </c>
      <c r="B93" s="587" t="s">
        <v>661</v>
      </c>
      <c r="C93" s="587"/>
      <c r="D93" s="588" t="s">
        <v>58</v>
      </c>
      <c r="E93" s="589">
        <v>1015</v>
      </c>
      <c r="F93" s="590">
        <v>606</v>
      </c>
      <c r="G93" s="590">
        <v>605.88</v>
      </c>
      <c r="H93" s="591">
        <f>+G93/E93</f>
        <v>0.5969261083743842</v>
      </c>
      <c r="I93" s="592">
        <v>0.12</v>
      </c>
      <c r="J93" s="589">
        <v>1015</v>
      </c>
      <c r="K93" s="590">
        <v>0</v>
      </c>
      <c r="L93" s="590">
        <v>0</v>
      </c>
      <c r="M93" s="591">
        <f>+L93/J93</f>
        <v>0</v>
      </c>
      <c r="N93" s="592">
        <v>0</v>
      </c>
      <c r="O93" s="589">
        <v>1015</v>
      </c>
      <c r="P93" s="590">
        <v>6470</v>
      </c>
      <c r="Q93" s="590">
        <v>3332.34</v>
      </c>
      <c r="R93" s="590">
        <v>0</v>
      </c>
      <c r="S93" s="591">
        <f>+Q93/O93</f>
        <v>3.2830935960591137</v>
      </c>
      <c r="T93" s="592">
        <v>3137.66</v>
      </c>
      <c r="U93" s="533"/>
      <c r="V93" s="619" t="s">
        <v>835</v>
      </c>
      <c r="W93" s="620"/>
      <c r="X93" s="619"/>
      <c r="Y93" s="619"/>
    </row>
    <row r="94" spans="1:25" s="6" customFormat="1" outlineLevel="2" x14ac:dyDescent="0.2">
      <c r="A94" s="586" t="s">
        <v>752</v>
      </c>
      <c r="B94" s="587" t="s">
        <v>662</v>
      </c>
      <c r="C94" s="587"/>
      <c r="D94" s="588" t="s">
        <v>7</v>
      </c>
      <c r="E94" s="593">
        <v>0</v>
      </c>
      <c r="F94" s="594">
        <v>0</v>
      </c>
      <c r="G94" s="594">
        <v>0</v>
      </c>
      <c r="H94" s="591"/>
      <c r="I94" s="592">
        <v>0</v>
      </c>
      <c r="J94" s="595"/>
      <c r="K94" s="596"/>
      <c r="L94" s="596"/>
      <c r="M94" s="591"/>
      <c r="N94" s="597"/>
      <c r="O94" s="595"/>
      <c r="P94" s="596"/>
      <c r="Q94" s="596"/>
      <c r="R94" s="596"/>
      <c r="S94" s="591"/>
      <c r="T94" s="597"/>
      <c r="U94" s="533"/>
      <c r="V94" s="619" t="s">
        <v>835</v>
      </c>
      <c r="W94" s="620"/>
      <c r="X94" s="619"/>
      <c r="Y94" s="619"/>
    </row>
    <row r="95" spans="1:25" s="6" customFormat="1" outlineLevel="2" x14ac:dyDescent="0.2">
      <c r="A95" s="586" t="s">
        <v>752</v>
      </c>
      <c r="B95" s="587" t="s">
        <v>672</v>
      </c>
      <c r="C95" s="587"/>
      <c r="D95" s="588" t="s">
        <v>83</v>
      </c>
      <c r="E95" s="595"/>
      <c r="F95" s="596"/>
      <c r="G95" s="596"/>
      <c r="H95" s="591"/>
      <c r="I95" s="597"/>
      <c r="J95" s="593">
        <v>0</v>
      </c>
      <c r="K95" s="594">
        <v>0</v>
      </c>
      <c r="L95" s="594">
        <v>1601.46</v>
      </c>
      <c r="M95" s="591">
        <v>0</v>
      </c>
      <c r="N95" s="592">
        <v>-1601.46</v>
      </c>
      <c r="O95" s="595"/>
      <c r="P95" s="596"/>
      <c r="Q95" s="596"/>
      <c r="R95" s="596"/>
      <c r="S95" s="591"/>
      <c r="T95" s="597"/>
      <c r="U95" s="533"/>
      <c r="V95" s="619" t="s">
        <v>835</v>
      </c>
      <c r="W95" s="620"/>
      <c r="X95" s="619"/>
      <c r="Y95" s="619"/>
    </row>
    <row r="96" spans="1:25" s="6" customFormat="1" outlineLevel="2" x14ac:dyDescent="0.2">
      <c r="A96" s="586" t="s">
        <v>752</v>
      </c>
      <c r="B96" s="587" t="s">
        <v>673</v>
      </c>
      <c r="C96" s="587"/>
      <c r="D96" s="588" t="s">
        <v>9</v>
      </c>
      <c r="E96" s="595"/>
      <c r="F96" s="596"/>
      <c r="G96" s="596"/>
      <c r="H96" s="591"/>
      <c r="I96" s="597"/>
      <c r="J96" s="595"/>
      <c r="K96" s="596"/>
      <c r="L96" s="596"/>
      <c r="M96" s="591"/>
      <c r="N96" s="597"/>
      <c r="O96" s="593">
        <v>0</v>
      </c>
      <c r="P96" s="594">
        <v>0</v>
      </c>
      <c r="Q96" s="594">
        <v>4704</v>
      </c>
      <c r="R96" s="594">
        <v>0</v>
      </c>
      <c r="S96" s="591">
        <v>0</v>
      </c>
      <c r="T96" s="592">
        <v>-4704</v>
      </c>
      <c r="U96" s="533"/>
      <c r="V96" s="619" t="s">
        <v>835</v>
      </c>
      <c r="W96" s="620"/>
      <c r="X96" s="619"/>
      <c r="Y96" s="619"/>
    </row>
    <row r="97" spans="1:25" s="6" customFormat="1" outlineLevel="2" x14ac:dyDescent="0.2">
      <c r="A97" s="586" t="s">
        <v>752</v>
      </c>
      <c r="B97" s="587" t="s">
        <v>663</v>
      </c>
      <c r="C97" s="587"/>
      <c r="D97" s="588" t="s">
        <v>313</v>
      </c>
      <c r="E97" s="593">
        <v>22411</v>
      </c>
      <c r="F97" s="594">
        <v>22414</v>
      </c>
      <c r="G97" s="594">
        <v>22413.54</v>
      </c>
      <c r="H97" s="591">
        <f>+G97/E97</f>
        <v>1.000113337200482</v>
      </c>
      <c r="I97" s="592">
        <v>0.46</v>
      </c>
      <c r="J97" s="593">
        <v>22411</v>
      </c>
      <c r="K97" s="594">
        <v>22411</v>
      </c>
      <c r="L97" s="594">
        <f>23161.75+5046.9</f>
        <v>28208.65</v>
      </c>
      <c r="M97" s="591">
        <f>+L97/J97</f>
        <v>1.2586966221944582</v>
      </c>
      <c r="N97" s="592">
        <f>-750.75-5046.9</f>
        <v>-5797.65</v>
      </c>
      <c r="O97" s="593">
        <v>22411</v>
      </c>
      <c r="P97" s="594">
        <v>48411</v>
      </c>
      <c r="Q97" s="594">
        <v>21148.35</v>
      </c>
      <c r="R97" s="594">
        <v>0</v>
      </c>
      <c r="S97" s="591">
        <f>+Q97/O97</f>
        <v>0.94365936370532322</v>
      </c>
      <c r="T97" s="592">
        <v>27262.65</v>
      </c>
      <c r="U97" s="533"/>
      <c r="V97" s="619" t="s">
        <v>835</v>
      </c>
      <c r="W97" s="620"/>
      <c r="X97" s="619"/>
      <c r="Y97" s="619"/>
    </row>
    <row r="98" spans="1:25" s="6" customFormat="1" outlineLevel="2" x14ac:dyDescent="0.2">
      <c r="A98" s="586" t="s">
        <v>752</v>
      </c>
      <c r="B98" s="587" t="s">
        <v>664</v>
      </c>
      <c r="C98" s="587"/>
      <c r="D98" s="588" t="s">
        <v>17</v>
      </c>
      <c r="E98" s="593">
        <v>9150</v>
      </c>
      <c r="F98" s="594">
        <v>8184</v>
      </c>
      <c r="G98" s="594">
        <v>8183.72</v>
      </c>
      <c r="H98" s="591">
        <f>+G98/E98</f>
        <v>0.89439562841530063</v>
      </c>
      <c r="I98" s="592">
        <v>0.28000000000000003</v>
      </c>
      <c r="J98" s="593">
        <v>9150</v>
      </c>
      <c r="K98" s="594">
        <v>3956</v>
      </c>
      <c r="L98" s="594">
        <v>3955.38</v>
      </c>
      <c r="M98" s="591">
        <f>+L98/J98</f>
        <v>0.43228196721311479</v>
      </c>
      <c r="N98" s="592">
        <f>3956-3955.38</f>
        <v>0.61999999999989086</v>
      </c>
      <c r="O98" s="593">
        <v>9150</v>
      </c>
      <c r="P98" s="594">
        <v>0</v>
      </c>
      <c r="Q98" s="594">
        <v>0</v>
      </c>
      <c r="R98" s="594">
        <v>0</v>
      </c>
      <c r="S98" s="591">
        <f>+Q98/O98</f>
        <v>0</v>
      </c>
      <c r="T98" s="592">
        <v>0</v>
      </c>
      <c r="U98" s="533"/>
      <c r="V98" s="619" t="s">
        <v>835</v>
      </c>
      <c r="W98" s="620"/>
      <c r="X98" s="619"/>
      <c r="Y98" s="619"/>
    </row>
    <row r="99" spans="1:25" s="6" customFormat="1" outlineLevel="2" x14ac:dyDescent="0.2">
      <c r="A99" s="586" t="s">
        <v>752</v>
      </c>
      <c r="B99" s="587" t="s">
        <v>665</v>
      </c>
      <c r="C99" s="587"/>
      <c r="D99" s="588" t="s">
        <v>666</v>
      </c>
      <c r="E99" s="593">
        <v>2574</v>
      </c>
      <c r="F99" s="594">
        <v>2365</v>
      </c>
      <c r="G99" s="594">
        <v>2360.21</v>
      </c>
      <c r="H99" s="591">
        <f>+G99/E99</f>
        <v>0.91694250194250193</v>
      </c>
      <c r="I99" s="592">
        <v>4.79</v>
      </c>
      <c r="J99" s="593">
        <v>2574</v>
      </c>
      <c r="K99" s="594">
        <v>0</v>
      </c>
      <c r="L99" s="594">
        <v>0</v>
      </c>
      <c r="M99" s="591">
        <f>+L99/J99</f>
        <v>0</v>
      </c>
      <c r="N99" s="592">
        <v>0</v>
      </c>
      <c r="O99" s="593">
        <v>2574</v>
      </c>
      <c r="P99" s="594">
        <v>0</v>
      </c>
      <c r="Q99" s="594">
        <v>0</v>
      </c>
      <c r="R99" s="594">
        <v>0</v>
      </c>
      <c r="S99" s="591">
        <f>+Q99/O99</f>
        <v>0</v>
      </c>
      <c r="T99" s="592">
        <v>0</v>
      </c>
      <c r="U99" s="533"/>
      <c r="V99" s="619" t="s">
        <v>835</v>
      </c>
      <c r="W99" s="620"/>
      <c r="X99" s="619"/>
      <c r="Y99" s="619"/>
    </row>
    <row r="100" spans="1:25" s="6" customFormat="1" outlineLevel="2" x14ac:dyDescent="0.2">
      <c r="A100" s="586" t="s">
        <v>752</v>
      </c>
      <c r="B100" s="587" t="s">
        <v>667</v>
      </c>
      <c r="C100" s="587"/>
      <c r="D100" s="588" t="s">
        <v>334</v>
      </c>
      <c r="E100" s="593">
        <v>3000</v>
      </c>
      <c r="F100" s="594">
        <v>2948</v>
      </c>
      <c r="G100" s="594">
        <v>2947.14</v>
      </c>
      <c r="H100" s="591">
        <f>+G100/E100</f>
        <v>0.98237999999999992</v>
      </c>
      <c r="I100" s="592">
        <v>0.86</v>
      </c>
      <c r="J100" s="593">
        <v>3000</v>
      </c>
      <c r="K100" s="594">
        <v>3000</v>
      </c>
      <c r="L100" s="594">
        <v>0</v>
      </c>
      <c r="M100" s="591">
        <f>+L100/J100</f>
        <v>0</v>
      </c>
      <c r="N100" s="592">
        <v>3000</v>
      </c>
      <c r="O100" s="593">
        <v>3000</v>
      </c>
      <c r="P100" s="594">
        <v>0</v>
      </c>
      <c r="Q100" s="594">
        <v>0</v>
      </c>
      <c r="R100" s="594">
        <v>0</v>
      </c>
      <c r="S100" s="591">
        <f>+Q100/O100</f>
        <v>0</v>
      </c>
      <c r="T100" s="592">
        <v>0</v>
      </c>
      <c r="U100" s="533"/>
      <c r="V100" s="619" t="s">
        <v>835</v>
      </c>
      <c r="W100" s="620"/>
      <c r="X100" s="619"/>
      <c r="Y100" s="619"/>
    </row>
    <row r="101" spans="1:25" s="6" customFormat="1" outlineLevel="2" x14ac:dyDescent="0.2">
      <c r="A101" s="586" t="s">
        <v>752</v>
      </c>
      <c r="B101" s="587" t="s">
        <v>668</v>
      </c>
      <c r="C101" s="587"/>
      <c r="D101" s="588" t="s">
        <v>405</v>
      </c>
      <c r="E101" s="593">
        <v>116</v>
      </c>
      <c r="F101" s="594">
        <v>0</v>
      </c>
      <c r="G101" s="594">
        <v>0</v>
      </c>
      <c r="H101" s="591">
        <f>+G101/E101</f>
        <v>0</v>
      </c>
      <c r="I101" s="592">
        <v>0</v>
      </c>
      <c r="J101" s="593">
        <v>116</v>
      </c>
      <c r="K101" s="594">
        <v>0</v>
      </c>
      <c r="L101" s="594">
        <v>0</v>
      </c>
      <c r="M101" s="591">
        <f>+L101/J101</f>
        <v>0</v>
      </c>
      <c r="N101" s="592">
        <v>0</v>
      </c>
      <c r="O101" s="593">
        <v>116</v>
      </c>
      <c r="P101" s="594">
        <v>0</v>
      </c>
      <c r="Q101" s="594">
        <v>0</v>
      </c>
      <c r="R101" s="594">
        <v>0</v>
      </c>
      <c r="S101" s="591">
        <f>+Q101/O101</f>
        <v>0</v>
      </c>
      <c r="T101" s="592">
        <v>0</v>
      </c>
      <c r="U101" s="533"/>
      <c r="V101" s="619" t="s">
        <v>835</v>
      </c>
      <c r="W101" s="620"/>
      <c r="X101" s="619"/>
      <c r="Y101" s="619"/>
    </row>
    <row r="102" spans="1:25" s="6" customFormat="1" outlineLevel="2" x14ac:dyDescent="0.2">
      <c r="A102" s="586" t="s">
        <v>752</v>
      </c>
      <c r="B102" s="587" t="s">
        <v>669</v>
      </c>
      <c r="C102" s="587"/>
      <c r="D102" s="588" t="s">
        <v>19</v>
      </c>
      <c r="E102" s="593">
        <v>0</v>
      </c>
      <c r="F102" s="594">
        <v>549</v>
      </c>
      <c r="G102" s="594">
        <v>547.73</v>
      </c>
      <c r="H102" s="591">
        <v>0</v>
      </c>
      <c r="I102" s="592">
        <v>1.27</v>
      </c>
      <c r="J102" s="595"/>
      <c r="K102" s="596"/>
      <c r="L102" s="596"/>
      <c r="M102" s="591"/>
      <c r="N102" s="597"/>
      <c r="O102" s="595"/>
      <c r="P102" s="596"/>
      <c r="Q102" s="596"/>
      <c r="R102" s="596"/>
      <c r="S102" s="591"/>
      <c r="T102" s="597"/>
      <c r="U102" s="533"/>
      <c r="V102" s="619" t="s">
        <v>835</v>
      </c>
      <c r="W102" s="620"/>
      <c r="X102" s="619"/>
      <c r="Y102" s="619"/>
    </row>
    <row r="103" spans="1:25" s="6" customFormat="1" outlineLevel="2" x14ac:dyDescent="0.2">
      <c r="A103" s="586" t="s">
        <v>752</v>
      </c>
      <c r="B103" s="587" t="s">
        <v>670</v>
      </c>
      <c r="C103" s="587"/>
      <c r="D103" s="588" t="s">
        <v>29</v>
      </c>
      <c r="E103" s="595"/>
      <c r="F103" s="596"/>
      <c r="G103" s="596"/>
      <c r="H103" s="591"/>
      <c r="I103" s="597"/>
      <c r="J103" s="595"/>
      <c r="K103" s="596"/>
      <c r="L103" s="596"/>
      <c r="M103" s="591"/>
      <c r="N103" s="597"/>
      <c r="O103" s="593">
        <v>0</v>
      </c>
      <c r="P103" s="594">
        <v>2500</v>
      </c>
      <c r="Q103" s="594">
        <v>2384.25</v>
      </c>
      <c r="R103" s="594">
        <v>0</v>
      </c>
      <c r="S103" s="591">
        <v>0</v>
      </c>
      <c r="T103" s="592">
        <v>115.75</v>
      </c>
      <c r="U103" s="533"/>
      <c r="V103" s="619" t="s">
        <v>835</v>
      </c>
      <c r="W103" s="620"/>
      <c r="X103" s="619"/>
      <c r="Y103" s="619"/>
    </row>
    <row r="104" spans="1:25" s="6" customFormat="1" outlineLevel="2" x14ac:dyDescent="0.2">
      <c r="A104" s="586" t="s">
        <v>752</v>
      </c>
      <c r="B104" s="587" t="s">
        <v>671</v>
      </c>
      <c r="C104" s="587"/>
      <c r="D104" s="588" t="s">
        <v>51</v>
      </c>
      <c r="E104" s="593">
        <v>11945</v>
      </c>
      <c r="F104" s="594">
        <v>13340</v>
      </c>
      <c r="G104" s="594">
        <v>13339.86</v>
      </c>
      <c r="H104" s="591">
        <f t="shared" ref="H104:H112" si="1">+G104/E104</f>
        <v>1.1167735454164922</v>
      </c>
      <c r="I104" s="592">
        <v>0.14000000000000001</v>
      </c>
      <c r="J104" s="593">
        <v>11945</v>
      </c>
      <c r="K104" s="594">
        <v>17139</v>
      </c>
      <c r="L104" s="594">
        <v>17117.89</v>
      </c>
      <c r="M104" s="591">
        <f t="shared" ref="M104:M112" si="2">+L104/J104</f>
        <v>1.4330590205106739</v>
      </c>
      <c r="N104" s="592">
        <f>17139-17117.89</f>
        <v>21.110000000000582</v>
      </c>
      <c r="O104" s="593">
        <v>11945</v>
      </c>
      <c r="P104" s="594">
        <v>9445</v>
      </c>
      <c r="Q104" s="594">
        <v>7855.77</v>
      </c>
      <c r="R104" s="594">
        <v>0</v>
      </c>
      <c r="S104" s="591">
        <f t="shared" ref="S104:S112" si="3">+Q104/O104</f>
        <v>0.65766178317287571</v>
      </c>
      <c r="T104" s="592">
        <v>1589.23</v>
      </c>
      <c r="U104" s="533"/>
      <c r="V104" s="619" t="s">
        <v>835</v>
      </c>
      <c r="W104" s="620"/>
      <c r="X104" s="619"/>
      <c r="Y104" s="619"/>
    </row>
    <row r="105" spans="1:25" s="6" customFormat="1" outlineLevel="2" x14ac:dyDescent="0.2">
      <c r="A105" s="577" t="s">
        <v>752</v>
      </c>
      <c r="B105" s="35" t="s">
        <v>676</v>
      </c>
      <c r="C105" s="35" t="s">
        <v>675</v>
      </c>
      <c r="D105" s="574" t="s">
        <v>313</v>
      </c>
      <c r="E105" s="582">
        <v>26000</v>
      </c>
      <c r="F105" s="583">
        <v>26000</v>
      </c>
      <c r="G105" s="583">
        <v>26000</v>
      </c>
      <c r="H105" s="580">
        <f t="shared" si="1"/>
        <v>1</v>
      </c>
      <c r="I105" s="584">
        <v>0</v>
      </c>
      <c r="J105" s="582">
        <v>26000</v>
      </c>
      <c r="K105" s="583">
        <v>26000</v>
      </c>
      <c r="L105" s="583">
        <v>26000</v>
      </c>
      <c r="M105" s="580">
        <f t="shared" si="2"/>
        <v>1</v>
      </c>
      <c r="N105" s="584">
        <v>0</v>
      </c>
      <c r="O105" s="582">
        <v>26000</v>
      </c>
      <c r="P105" s="583">
        <v>0</v>
      </c>
      <c r="Q105" s="583">
        <v>0</v>
      </c>
      <c r="R105" s="583">
        <v>0</v>
      </c>
      <c r="S105" s="580">
        <f t="shared" si="3"/>
        <v>0</v>
      </c>
      <c r="T105" s="584">
        <v>0</v>
      </c>
      <c r="U105" s="533"/>
      <c r="V105" s="619" t="s">
        <v>836</v>
      </c>
      <c r="W105" s="620"/>
      <c r="X105" s="619"/>
      <c r="Y105" s="619"/>
    </row>
    <row r="106" spans="1:25" s="6" customFormat="1" outlineLevel="2" x14ac:dyDescent="0.2">
      <c r="A106" s="577" t="s">
        <v>752</v>
      </c>
      <c r="B106" s="35" t="s">
        <v>677</v>
      </c>
      <c r="C106" s="35" t="s">
        <v>675</v>
      </c>
      <c r="D106" s="574" t="s">
        <v>17</v>
      </c>
      <c r="E106" s="582">
        <v>1000</v>
      </c>
      <c r="F106" s="583">
        <v>932</v>
      </c>
      <c r="G106" s="583">
        <v>931.13</v>
      </c>
      <c r="H106" s="580">
        <f t="shared" si="1"/>
        <v>0.93113000000000001</v>
      </c>
      <c r="I106" s="584">
        <v>0.87</v>
      </c>
      <c r="J106" s="582">
        <v>1000</v>
      </c>
      <c r="K106" s="583">
        <v>944</v>
      </c>
      <c r="L106" s="583">
        <v>944</v>
      </c>
      <c r="M106" s="580">
        <f t="shared" si="2"/>
        <v>0.94399999999999995</v>
      </c>
      <c r="N106" s="584">
        <f>944-944</f>
        <v>0</v>
      </c>
      <c r="O106" s="582">
        <v>1000</v>
      </c>
      <c r="P106" s="583">
        <v>0</v>
      </c>
      <c r="Q106" s="583">
        <v>0</v>
      </c>
      <c r="R106" s="583">
        <v>0</v>
      </c>
      <c r="S106" s="580">
        <f t="shared" si="3"/>
        <v>0</v>
      </c>
      <c r="T106" s="584">
        <v>0</v>
      </c>
      <c r="U106" s="533"/>
      <c r="V106" s="619" t="s">
        <v>836</v>
      </c>
      <c r="W106" s="620"/>
      <c r="X106" s="619"/>
      <c r="Y106" s="619"/>
    </row>
    <row r="107" spans="1:25" s="6" customFormat="1" outlineLevel="2" x14ac:dyDescent="0.2">
      <c r="A107" s="577" t="s">
        <v>752</v>
      </c>
      <c r="B107" s="35" t="s">
        <v>678</v>
      </c>
      <c r="C107" s="35" t="s">
        <v>675</v>
      </c>
      <c r="D107" s="574" t="s">
        <v>246</v>
      </c>
      <c r="E107" s="582">
        <v>100</v>
      </c>
      <c r="F107" s="583">
        <v>238</v>
      </c>
      <c r="G107" s="583">
        <v>237.54</v>
      </c>
      <c r="H107" s="580">
        <f t="shared" si="1"/>
        <v>2.3754</v>
      </c>
      <c r="I107" s="584">
        <v>0.46</v>
      </c>
      <c r="J107" s="582">
        <v>100</v>
      </c>
      <c r="K107" s="583">
        <v>0</v>
      </c>
      <c r="L107" s="583">
        <v>0</v>
      </c>
      <c r="M107" s="580">
        <f t="shared" si="2"/>
        <v>0</v>
      </c>
      <c r="N107" s="584">
        <v>0</v>
      </c>
      <c r="O107" s="582">
        <v>100</v>
      </c>
      <c r="P107" s="583">
        <v>100</v>
      </c>
      <c r="Q107" s="583">
        <v>37</v>
      </c>
      <c r="R107" s="583">
        <v>0</v>
      </c>
      <c r="S107" s="580">
        <f t="shared" si="3"/>
        <v>0.37</v>
      </c>
      <c r="T107" s="584">
        <v>63</v>
      </c>
      <c r="U107" s="533"/>
      <c r="V107" s="619" t="s">
        <v>836</v>
      </c>
      <c r="W107" s="620"/>
      <c r="X107" s="619"/>
      <c r="Y107" s="619"/>
    </row>
    <row r="108" spans="1:25" s="6" customFormat="1" outlineLevel="2" x14ac:dyDescent="0.2">
      <c r="A108" s="577" t="s">
        <v>752</v>
      </c>
      <c r="B108" s="35" t="s">
        <v>682</v>
      </c>
      <c r="C108" s="35" t="s">
        <v>675</v>
      </c>
      <c r="D108" s="574" t="s">
        <v>19</v>
      </c>
      <c r="E108" s="582">
        <v>1032</v>
      </c>
      <c r="F108" s="583">
        <v>1102</v>
      </c>
      <c r="G108" s="583">
        <v>1098.58</v>
      </c>
      <c r="H108" s="580">
        <f t="shared" si="1"/>
        <v>1.0645155038759688</v>
      </c>
      <c r="I108" s="584">
        <v>3.42</v>
      </c>
      <c r="J108" s="582">
        <v>1032</v>
      </c>
      <c r="K108" s="583">
        <v>1032</v>
      </c>
      <c r="L108" s="583">
        <v>1031.99</v>
      </c>
      <c r="M108" s="580">
        <f t="shared" si="2"/>
        <v>0.99999031007751937</v>
      </c>
      <c r="N108" s="584">
        <f>1032-1031.99</f>
        <v>9.9999999999909051E-3</v>
      </c>
      <c r="O108" s="582">
        <v>1032</v>
      </c>
      <c r="P108" s="583">
        <v>1032</v>
      </c>
      <c r="Q108" s="583">
        <v>1032.68</v>
      </c>
      <c r="R108" s="583">
        <v>0</v>
      </c>
      <c r="S108" s="580">
        <f t="shared" si="3"/>
        <v>1.0006589147286822</v>
      </c>
      <c r="T108" s="584">
        <v>-0.68</v>
      </c>
      <c r="U108" s="533"/>
      <c r="V108" s="619" t="s">
        <v>836</v>
      </c>
      <c r="W108" s="620"/>
      <c r="X108" s="619"/>
      <c r="Y108" s="619"/>
    </row>
    <row r="109" spans="1:25" s="6" customFormat="1" outlineLevel="2" x14ac:dyDescent="0.2">
      <c r="A109" s="577" t="s">
        <v>752</v>
      </c>
      <c r="B109" s="35" t="s">
        <v>683</v>
      </c>
      <c r="C109" s="35" t="s">
        <v>675</v>
      </c>
      <c r="D109" s="574" t="s">
        <v>586</v>
      </c>
      <c r="E109" s="582">
        <v>1196</v>
      </c>
      <c r="F109" s="583">
        <v>1196</v>
      </c>
      <c r="G109" s="583">
        <v>1196</v>
      </c>
      <c r="H109" s="580">
        <f t="shared" si="1"/>
        <v>1</v>
      </c>
      <c r="I109" s="584">
        <v>0</v>
      </c>
      <c r="J109" s="582">
        <v>1196</v>
      </c>
      <c r="K109" s="583">
        <v>1196</v>
      </c>
      <c r="L109" s="583">
        <v>1199.6099999999999</v>
      </c>
      <c r="M109" s="580">
        <f t="shared" si="2"/>
        <v>1.0030183946488294</v>
      </c>
      <c r="N109" s="584">
        <f>1196-1199.61</f>
        <v>-3.6099999999999</v>
      </c>
      <c r="O109" s="582">
        <v>1196</v>
      </c>
      <c r="P109" s="583">
        <v>1196</v>
      </c>
      <c r="Q109" s="583">
        <v>1201.83</v>
      </c>
      <c r="R109" s="583">
        <v>0</v>
      </c>
      <c r="S109" s="580">
        <f t="shared" si="3"/>
        <v>1.0048745819397993</v>
      </c>
      <c r="T109" s="584">
        <v>-5.83</v>
      </c>
      <c r="U109" s="533"/>
      <c r="V109" s="619" t="s">
        <v>836</v>
      </c>
      <c r="W109" s="620"/>
      <c r="X109" s="619"/>
      <c r="Y109" s="619"/>
    </row>
    <row r="110" spans="1:25" s="6" customFormat="1" outlineLevel="2" x14ac:dyDescent="0.2">
      <c r="A110" s="577" t="s">
        <v>752</v>
      </c>
      <c r="B110" s="35" t="s">
        <v>679</v>
      </c>
      <c r="C110" s="35" t="s">
        <v>675</v>
      </c>
      <c r="D110" s="574" t="s">
        <v>29</v>
      </c>
      <c r="E110" s="582">
        <v>3100</v>
      </c>
      <c r="F110" s="583">
        <v>6379</v>
      </c>
      <c r="G110" s="583">
        <v>6379</v>
      </c>
      <c r="H110" s="580">
        <f t="shared" si="1"/>
        <v>2.0577419354838709</v>
      </c>
      <c r="I110" s="584">
        <v>0</v>
      </c>
      <c r="J110" s="582">
        <v>3100</v>
      </c>
      <c r="K110" s="583">
        <v>3100</v>
      </c>
      <c r="L110" s="583">
        <v>2758.38</v>
      </c>
      <c r="M110" s="580">
        <f t="shared" si="2"/>
        <v>0.88980000000000004</v>
      </c>
      <c r="N110" s="584">
        <v>341.62</v>
      </c>
      <c r="O110" s="582">
        <v>3100</v>
      </c>
      <c r="P110" s="583">
        <v>3100</v>
      </c>
      <c r="Q110" s="583">
        <v>3100</v>
      </c>
      <c r="R110" s="583">
        <v>0</v>
      </c>
      <c r="S110" s="580">
        <f t="shared" si="3"/>
        <v>1</v>
      </c>
      <c r="T110" s="584">
        <v>0</v>
      </c>
      <c r="U110" s="533"/>
      <c r="V110" s="619" t="s">
        <v>836</v>
      </c>
      <c r="W110" s="620"/>
      <c r="X110" s="619"/>
      <c r="Y110" s="619"/>
    </row>
    <row r="111" spans="1:25" s="6" customFormat="1" outlineLevel="2" x14ac:dyDescent="0.2">
      <c r="A111" s="577" t="s">
        <v>752</v>
      </c>
      <c r="B111" s="35" t="s">
        <v>680</v>
      </c>
      <c r="C111" s="35" t="s">
        <v>675</v>
      </c>
      <c r="D111" s="574" t="s">
        <v>35</v>
      </c>
      <c r="E111" s="582">
        <v>1056</v>
      </c>
      <c r="F111" s="583">
        <v>0</v>
      </c>
      <c r="G111" s="583">
        <v>0</v>
      </c>
      <c r="H111" s="580">
        <f t="shared" si="1"/>
        <v>0</v>
      </c>
      <c r="I111" s="584">
        <v>0</v>
      </c>
      <c r="J111" s="582">
        <v>1056</v>
      </c>
      <c r="K111" s="583">
        <v>1056</v>
      </c>
      <c r="L111" s="583">
        <v>973.88</v>
      </c>
      <c r="M111" s="580">
        <f t="shared" si="2"/>
        <v>0.92223484848484849</v>
      </c>
      <c r="N111" s="584">
        <v>82.12</v>
      </c>
      <c r="O111" s="582">
        <v>1056</v>
      </c>
      <c r="P111" s="583">
        <v>1056</v>
      </c>
      <c r="Q111" s="583">
        <v>808</v>
      </c>
      <c r="R111" s="583">
        <v>185.71</v>
      </c>
      <c r="S111" s="580">
        <f t="shared" si="3"/>
        <v>0.76515151515151514</v>
      </c>
      <c r="T111" s="584">
        <v>62.29</v>
      </c>
      <c r="U111" s="533"/>
      <c r="V111" s="619" t="s">
        <v>836</v>
      </c>
      <c r="W111" s="620"/>
      <c r="X111" s="619"/>
      <c r="Y111" s="619"/>
    </row>
    <row r="112" spans="1:25" s="6" customFormat="1" ht="13.5" outlineLevel="1" thickBot="1" x14ac:dyDescent="0.25">
      <c r="A112" s="324" t="s">
        <v>767</v>
      </c>
      <c r="B112" s="22"/>
      <c r="C112" s="22"/>
      <c r="D112" s="139"/>
      <c r="E112" s="306">
        <f>SUBTOTAL(9,E90:E111)</f>
        <v>94735</v>
      </c>
      <c r="F112" s="175">
        <f>SUBTOTAL(9,F90:F111)</f>
        <v>97302</v>
      </c>
      <c r="G112" s="175">
        <f>SUBTOTAL(9,G90:G111)</f>
        <v>93239.4</v>
      </c>
      <c r="H112" s="176">
        <f t="shared" si="1"/>
        <v>0.98421280413785817</v>
      </c>
      <c r="I112" s="307">
        <f>SUBTOTAL(9,I90:I111)</f>
        <v>22.6</v>
      </c>
      <c r="J112" s="306">
        <f>SUBTOTAL(9,J90:J111)</f>
        <v>94735</v>
      </c>
      <c r="K112" s="175">
        <f>SUBTOTAL(9,K90:K111)</f>
        <v>90874</v>
      </c>
      <c r="L112" s="175">
        <f>SUBTOTAL(9,L90:L111)</f>
        <v>90791.180000000022</v>
      </c>
      <c r="M112" s="176">
        <f t="shared" si="2"/>
        <v>0.95836997941626667</v>
      </c>
      <c r="N112" s="307">
        <f>SUBTOTAL(9,N90:N111)</f>
        <v>-3957.1799999999985</v>
      </c>
      <c r="O112" s="306">
        <f>SUBTOTAL(9,O90:O111)</f>
        <v>94735</v>
      </c>
      <c r="P112" s="175">
        <f>SUBTOTAL(9,P90:P111)</f>
        <v>84350</v>
      </c>
      <c r="Q112" s="175">
        <f>SUBTOTAL(9,Q90:Q111)</f>
        <v>51849.01</v>
      </c>
      <c r="R112" s="175">
        <f>SUBTOTAL(9,R90:R111)</f>
        <v>1632.28</v>
      </c>
      <c r="S112" s="176">
        <f t="shared" si="3"/>
        <v>0.5473057476117591</v>
      </c>
      <c r="T112" s="307">
        <f>SUBTOTAL(9,T90:T111)</f>
        <v>26828.71</v>
      </c>
      <c r="U112" s="511"/>
      <c r="V112" s="619"/>
      <c r="W112" s="620"/>
      <c r="X112" s="619"/>
      <c r="Y112" s="619"/>
    </row>
    <row r="113" spans="1:23" ht="14.25" thickTop="1" thickBot="1" x14ac:dyDescent="0.25">
      <c r="A113" s="325"/>
      <c r="B113" s="326"/>
      <c r="C113" s="326"/>
      <c r="D113" s="327"/>
      <c r="E113" s="310"/>
      <c r="F113" s="311"/>
      <c r="G113" s="311"/>
      <c r="H113" s="311"/>
      <c r="I113" s="312"/>
      <c r="J113" s="310"/>
      <c r="K113" s="311"/>
      <c r="L113" s="311"/>
      <c r="M113" s="311"/>
      <c r="N113" s="312"/>
      <c r="O113" s="310"/>
      <c r="P113" s="311"/>
      <c r="Q113" s="311"/>
      <c r="R113" s="311"/>
      <c r="S113" s="311"/>
      <c r="T113" s="312"/>
      <c r="U113" s="516"/>
    </row>
    <row r="115" spans="1:23" s="20" customFormat="1" x14ac:dyDescent="0.2">
      <c r="A115" s="168"/>
      <c r="D115" s="20" t="s">
        <v>883</v>
      </c>
      <c r="O115" s="610">
        <f>572+1600+200</f>
        <v>2372</v>
      </c>
      <c r="W115" s="611"/>
    </row>
    <row r="116" spans="1:23" x14ac:dyDescent="0.2">
      <c r="D116" t="s">
        <v>839</v>
      </c>
      <c r="O116" s="585">
        <f>+O90+O91</f>
        <v>7000</v>
      </c>
    </row>
    <row r="117" spans="1:23" x14ac:dyDescent="0.2">
      <c r="D117" t="s">
        <v>840</v>
      </c>
      <c r="O117" s="585">
        <f>SUM(O92:O104)</f>
        <v>54251</v>
      </c>
    </row>
    <row r="118" spans="1:23" x14ac:dyDescent="0.2">
      <c r="D118" t="s">
        <v>841</v>
      </c>
      <c r="O118" s="585">
        <f>SUM(O105:O111)</f>
        <v>33484</v>
      </c>
    </row>
    <row r="119" spans="1:23" ht="13.5" thickBot="1" x14ac:dyDescent="0.25">
      <c r="O119" s="598">
        <f>SUM(O115:O118)</f>
        <v>97107</v>
      </c>
    </row>
    <row r="120" spans="1:23" ht="13.5" thickTop="1" x14ac:dyDescent="0.2"/>
    <row r="121" spans="1:23" x14ac:dyDescent="0.2">
      <c r="D121" s="613" t="s">
        <v>881</v>
      </c>
      <c r="O121" s="605">
        <v>-15840</v>
      </c>
    </row>
    <row r="123" spans="1:23" ht="13.5" thickBot="1" x14ac:dyDescent="0.25">
      <c r="C123" s="614" t="s">
        <v>885</v>
      </c>
      <c r="D123" s="614" t="s">
        <v>3</v>
      </c>
      <c r="E123" s="614"/>
      <c r="F123" s="614"/>
      <c r="G123" s="614"/>
      <c r="H123" s="614"/>
      <c r="I123" s="614"/>
      <c r="J123" s="614"/>
      <c r="K123" s="614"/>
      <c r="L123" s="614"/>
      <c r="M123" s="614"/>
      <c r="N123" s="614"/>
      <c r="O123" s="618">
        <f>+O119+O121</f>
        <v>81267</v>
      </c>
      <c r="P123" s="614"/>
      <c r="Q123" s="614" t="s">
        <v>882</v>
      </c>
      <c r="R123" s="614"/>
      <c r="S123" s="614"/>
      <c r="T123" s="614"/>
      <c r="U123" s="614"/>
    </row>
    <row r="124" spans="1:23" ht="13.5" thickTop="1" x14ac:dyDescent="0.2"/>
  </sheetData>
  <mergeCells count="3">
    <mergeCell ref="E1:I1"/>
    <mergeCell ref="J1:N1"/>
    <mergeCell ref="O1:T1"/>
  </mergeCells>
  <printOptions horizontalCentered="1" gridLines="1"/>
  <pageMargins left="0" right="0" top="0.75" bottom="0.5" header="0.3" footer="0.3"/>
  <pageSetup paperSize="5" scale="105" orientation="landscape" r:id="rId1"/>
  <headerFooter>
    <oddHeader>&amp;CMISSION COLLEGE
Fund 100 - Operating Budget vs Actual Spending for FY10/11, FY11/12 &amp; FY12/13</oddHeader>
    <oddFooter>&amp;ROffice of Administrative Services
&amp;Z&amp;F &amp;A   March 20, 2013 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"/>
  <sheetViews>
    <sheetView topLeftCell="C1" workbookViewId="0">
      <selection activeCell="P12" sqref="P12"/>
    </sheetView>
  </sheetViews>
  <sheetFormatPr defaultRowHeight="12.75" outlineLevelRow="2" x14ac:dyDescent="0.2"/>
  <cols>
    <col min="1" max="1" width="8.7109375" style="19" customWidth="1"/>
    <col min="2" max="2" width="20.42578125" bestFit="1" customWidth="1"/>
    <col min="3" max="3" width="14.7109375" bestFit="1" customWidth="1"/>
    <col min="4" max="4" width="20.140625" bestFit="1" customWidth="1"/>
    <col min="5" max="6" width="7.140625" bestFit="1" customWidth="1"/>
    <col min="7" max="7" width="7.5703125" bestFit="1" customWidth="1"/>
    <col min="8" max="8" width="6.7109375" bestFit="1" customWidth="1"/>
    <col min="9" max="9" width="6" bestFit="1" customWidth="1"/>
    <col min="10" max="11" width="7.140625" bestFit="1" customWidth="1"/>
    <col min="12" max="12" width="7.5703125" bestFit="1" customWidth="1"/>
    <col min="13" max="13" width="6.7109375" bestFit="1" customWidth="1"/>
    <col min="14" max="14" width="6" bestFit="1" customWidth="1"/>
    <col min="15" max="15" width="9.42578125" customWidth="1"/>
    <col min="16" max="16" width="7.140625" bestFit="1" customWidth="1"/>
    <col min="17" max="17" width="7.5703125" bestFit="1" customWidth="1"/>
    <col min="18" max="18" width="6.7109375" bestFit="1" customWidth="1"/>
    <col min="19" max="19" width="6" bestFit="1" customWidth="1"/>
    <col min="20" max="20" width="23" bestFit="1" customWidth="1"/>
  </cols>
  <sheetData>
    <row r="1" spans="1:20" ht="13.5" thickBot="1" x14ac:dyDescent="0.25">
      <c r="A1" s="94"/>
      <c r="B1" s="88"/>
      <c r="C1" s="88"/>
      <c r="D1" s="88"/>
      <c r="E1" s="621" t="s">
        <v>791</v>
      </c>
      <c r="F1" s="622"/>
      <c r="G1" s="622"/>
      <c r="H1" s="622"/>
      <c r="I1" s="623"/>
      <c r="J1" s="621" t="s">
        <v>790</v>
      </c>
      <c r="K1" s="622"/>
      <c r="L1" s="622"/>
      <c r="M1" s="622"/>
      <c r="N1" s="623"/>
      <c r="O1" s="621" t="s">
        <v>792</v>
      </c>
      <c r="P1" s="622"/>
      <c r="Q1" s="622"/>
      <c r="R1" s="622"/>
      <c r="S1" s="623"/>
      <c r="T1" s="553" t="s">
        <v>825</v>
      </c>
    </row>
    <row r="2" spans="1:20" ht="45.75" thickBot="1" x14ac:dyDescent="0.25">
      <c r="A2" s="127"/>
      <c r="B2" s="128" t="s">
        <v>732</v>
      </c>
      <c r="C2" s="128" t="s">
        <v>735</v>
      </c>
      <c r="D2" s="128" t="s">
        <v>733</v>
      </c>
      <c r="E2" s="194" t="s">
        <v>0</v>
      </c>
      <c r="F2" s="129" t="s">
        <v>1</v>
      </c>
      <c r="G2" s="129" t="s">
        <v>772</v>
      </c>
      <c r="H2" s="129" t="s">
        <v>793</v>
      </c>
      <c r="I2" s="131" t="s">
        <v>3</v>
      </c>
      <c r="J2" s="194" t="s">
        <v>0</v>
      </c>
      <c r="K2" s="129" t="s">
        <v>1</v>
      </c>
      <c r="L2" s="129" t="s">
        <v>772</v>
      </c>
      <c r="M2" s="130" t="s">
        <v>793</v>
      </c>
      <c r="N2" s="131" t="s">
        <v>3</v>
      </c>
      <c r="O2" s="129" t="s">
        <v>0</v>
      </c>
      <c r="P2" s="129" t="s">
        <v>1</v>
      </c>
      <c r="Q2" s="129" t="s">
        <v>772</v>
      </c>
      <c r="R2" s="130" t="s">
        <v>793</v>
      </c>
      <c r="S2" s="558" t="s">
        <v>3</v>
      </c>
      <c r="T2" s="529" t="s">
        <v>826</v>
      </c>
    </row>
    <row r="3" spans="1:20" s="6" customFormat="1" outlineLevel="2" x14ac:dyDescent="0.2">
      <c r="A3" s="132" t="s">
        <v>749</v>
      </c>
      <c r="B3" s="110" t="s">
        <v>571</v>
      </c>
      <c r="C3" s="110" t="s">
        <v>572</v>
      </c>
      <c r="D3" s="195" t="s">
        <v>19</v>
      </c>
      <c r="E3" s="196">
        <v>1235</v>
      </c>
      <c r="F3" s="187">
        <v>837</v>
      </c>
      <c r="G3" s="187">
        <v>836.62</v>
      </c>
      <c r="H3" s="188">
        <f t="shared" ref="H3:H18" si="0">+G3/E3</f>
        <v>0.67742510121457489</v>
      </c>
      <c r="I3" s="191">
        <v>0.38</v>
      </c>
      <c r="J3" s="202">
        <v>1235</v>
      </c>
      <c r="K3" s="189">
        <v>328</v>
      </c>
      <c r="L3" s="189">
        <v>430.23</v>
      </c>
      <c r="M3" s="190">
        <f t="shared" ref="M3:M18" si="1">+L3/J3</f>
        <v>0.34836437246963564</v>
      </c>
      <c r="N3" s="203">
        <v>-102.23</v>
      </c>
      <c r="O3" s="199">
        <v>1235</v>
      </c>
      <c r="P3" s="187">
        <v>1235</v>
      </c>
      <c r="Q3" s="187">
        <v>26</v>
      </c>
      <c r="R3" s="188">
        <f t="shared" ref="R3:R18" si="2">+Q3/O3</f>
        <v>2.1052631578947368E-2</v>
      </c>
      <c r="S3" s="555">
        <v>1209</v>
      </c>
      <c r="T3" s="554"/>
    </row>
    <row r="4" spans="1:20" s="6" customFormat="1" outlineLevel="2" x14ac:dyDescent="0.2">
      <c r="A4" s="135" t="s">
        <v>749</v>
      </c>
      <c r="B4" s="22" t="s">
        <v>573</v>
      </c>
      <c r="C4" s="22" t="s">
        <v>572</v>
      </c>
      <c r="D4" s="139" t="s">
        <v>23</v>
      </c>
      <c r="E4" s="197">
        <v>403</v>
      </c>
      <c r="F4" s="74">
        <v>403</v>
      </c>
      <c r="G4" s="74">
        <v>403</v>
      </c>
      <c r="H4" s="73">
        <f t="shared" si="0"/>
        <v>1</v>
      </c>
      <c r="I4" s="192">
        <v>0</v>
      </c>
      <c r="J4" s="204">
        <v>403</v>
      </c>
      <c r="K4" s="184">
        <v>2</v>
      </c>
      <c r="L4" s="184">
        <v>1.34</v>
      </c>
      <c r="M4" s="185">
        <f t="shared" si="1"/>
        <v>3.3250620347394541E-3</v>
      </c>
      <c r="N4" s="205">
        <v>0.66</v>
      </c>
      <c r="O4" s="200">
        <v>403</v>
      </c>
      <c r="P4" s="74">
        <v>403</v>
      </c>
      <c r="Q4" s="74">
        <v>0</v>
      </c>
      <c r="R4" s="73">
        <f t="shared" si="2"/>
        <v>0</v>
      </c>
      <c r="S4" s="556">
        <v>403</v>
      </c>
      <c r="T4" s="554"/>
    </row>
    <row r="5" spans="1:20" s="6" customFormat="1" outlineLevel="2" x14ac:dyDescent="0.2">
      <c r="A5" s="135" t="s">
        <v>749</v>
      </c>
      <c r="B5" s="22" t="s">
        <v>574</v>
      </c>
      <c r="C5" s="22" t="s">
        <v>572</v>
      </c>
      <c r="D5" s="139" t="s">
        <v>27</v>
      </c>
      <c r="E5" s="197">
        <v>691</v>
      </c>
      <c r="F5" s="74">
        <v>1026</v>
      </c>
      <c r="G5" s="74">
        <v>1025.3699999999999</v>
      </c>
      <c r="H5" s="73">
        <f t="shared" si="0"/>
        <v>1.4838929088277857</v>
      </c>
      <c r="I5" s="192">
        <v>0.63</v>
      </c>
      <c r="J5" s="204">
        <v>691</v>
      </c>
      <c r="K5" s="184">
        <v>0</v>
      </c>
      <c r="L5" s="184">
        <v>0</v>
      </c>
      <c r="M5" s="185">
        <f t="shared" si="1"/>
        <v>0</v>
      </c>
      <c r="N5" s="205">
        <v>0</v>
      </c>
      <c r="O5" s="200">
        <v>691</v>
      </c>
      <c r="P5" s="74">
        <v>691</v>
      </c>
      <c r="Q5" s="74">
        <v>0</v>
      </c>
      <c r="R5" s="73">
        <f t="shared" si="2"/>
        <v>0</v>
      </c>
      <c r="S5" s="556">
        <v>691</v>
      </c>
      <c r="T5" s="554"/>
    </row>
    <row r="6" spans="1:20" s="6" customFormat="1" outlineLevel="2" x14ac:dyDescent="0.2">
      <c r="A6" s="135" t="s">
        <v>749</v>
      </c>
      <c r="B6" s="22" t="s">
        <v>575</v>
      </c>
      <c r="C6" s="22" t="s">
        <v>572</v>
      </c>
      <c r="D6" s="139" t="s">
        <v>115</v>
      </c>
      <c r="E6" s="197">
        <v>248</v>
      </c>
      <c r="F6" s="74">
        <v>311</v>
      </c>
      <c r="G6" s="74">
        <v>284.31</v>
      </c>
      <c r="H6" s="73">
        <f t="shared" si="0"/>
        <v>1.1464112903225807</v>
      </c>
      <c r="I6" s="192">
        <v>26.69</v>
      </c>
      <c r="J6" s="204">
        <v>248</v>
      </c>
      <c r="K6" s="184">
        <v>2247</v>
      </c>
      <c r="L6" s="184">
        <v>1999</v>
      </c>
      <c r="M6" s="185">
        <f t="shared" si="1"/>
        <v>8.060483870967742</v>
      </c>
      <c r="N6" s="205">
        <v>248</v>
      </c>
      <c r="O6" s="200">
        <v>248</v>
      </c>
      <c r="P6" s="74">
        <v>248</v>
      </c>
      <c r="Q6" s="74">
        <v>0</v>
      </c>
      <c r="R6" s="73">
        <f t="shared" si="2"/>
        <v>0</v>
      </c>
      <c r="S6" s="556">
        <v>248</v>
      </c>
      <c r="T6" s="554"/>
    </row>
    <row r="7" spans="1:20" s="6" customFormat="1" outlineLevel="2" x14ac:dyDescent="0.2">
      <c r="A7" s="135" t="s">
        <v>749</v>
      </c>
      <c r="B7" s="22" t="s">
        <v>576</v>
      </c>
      <c r="C7" s="22" t="s">
        <v>572</v>
      </c>
      <c r="D7" s="139" t="s">
        <v>577</v>
      </c>
      <c r="E7" s="198"/>
      <c r="F7" s="72"/>
      <c r="G7" s="72"/>
      <c r="H7" s="73"/>
      <c r="I7" s="193"/>
      <c r="J7" s="206"/>
      <c r="K7" s="186"/>
      <c r="L7" s="186"/>
      <c r="M7" s="185"/>
      <c r="N7" s="207"/>
      <c r="O7" s="200">
        <v>0</v>
      </c>
      <c r="P7" s="74">
        <v>0</v>
      </c>
      <c r="Q7" s="74">
        <v>2792.82</v>
      </c>
      <c r="R7" s="73"/>
      <c r="S7" s="556">
        <v>-2792.82</v>
      </c>
      <c r="T7" s="554"/>
    </row>
    <row r="8" spans="1:20" s="6" customFormat="1" outlineLevel="2" x14ac:dyDescent="0.2">
      <c r="A8" s="135" t="s">
        <v>749</v>
      </c>
      <c r="B8" s="22" t="s">
        <v>580</v>
      </c>
      <c r="C8" s="22" t="s">
        <v>578</v>
      </c>
      <c r="D8" s="139" t="s">
        <v>7</v>
      </c>
      <c r="E8" s="197">
        <v>5796</v>
      </c>
      <c r="F8" s="74">
        <v>2524</v>
      </c>
      <c r="G8" s="74">
        <v>0</v>
      </c>
      <c r="H8" s="73">
        <f t="shared" si="0"/>
        <v>0</v>
      </c>
      <c r="I8" s="192">
        <v>2524</v>
      </c>
      <c r="J8" s="204">
        <v>5796</v>
      </c>
      <c r="K8" s="184">
        <v>0</v>
      </c>
      <c r="L8" s="184">
        <v>0</v>
      </c>
      <c r="M8" s="185">
        <f t="shared" si="1"/>
        <v>0</v>
      </c>
      <c r="N8" s="205">
        <v>0</v>
      </c>
      <c r="O8" s="200">
        <v>9007</v>
      </c>
      <c r="P8" s="74">
        <v>9007</v>
      </c>
      <c r="Q8" s="74">
        <v>5854.38</v>
      </c>
      <c r="R8" s="73">
        <f t="shared" si="2"/>
        <v>0.64998112579105138</v>
      </c>
      <c r="S8" s="556">
        <v>3152.62</v>
      </c>
      <c r="T8" s="554"/>
    </row>
    <row r="9" spans="1:20" s="6" customFormat="1" outlineLevel="2" x14ac:dyDescent="0.2">
      <c r="A9" s="135" t="s">
        <v>749</v>
      </c>
      <c r="B9" s="22" t="s">
        <v>581</v>
      </c>
      <c r="C9" s="22" t="s">
        <v>578</v>
      </c>
      <c r="D9" s="139" t="s">
        <v>52</v>
      </c>
      <c r="E9" s="197">
        <v>0</v>
      </c>
      <c r="F9" s="74">
        <v>3272</v>
      </c>
      <c r="G9" s="74">
        <v>3271.91</v>
      </c>
      <c r="H9" s="73">
        <v>0</v>
      </c>
      <c r="I9" s="192">
        <v>0.09</v>
      </c>
      <c r="J9" s="206"/>
      <c r="K9" s="186"/>
      <c r="L9" s="186"/>
      <c r="M9" s="185"/>
      <c r="N9" s="207"/>
      <c r="O9" s="201"/>
      <c r="P9" s="72"/>
      <c r="Q9" s="72"/>
      <c r="R9" s="73"/>
      <c r="S9" s="557"/>
      <c r="T9" s="554"/>
    </row>
    <row r="10" spans="1:20" s="6" customFormat="1" outlineLevel="2" x14ac:dyDescent="0.2">
      <c r="A10" s="135" t="s">
        <v>749</v>
      </c>
      <c r="B10" s="22" t="s">
        <v>582</v>
      </c>
      <c r="C10" s="22" t="s">
        <v>578</v>
      </c>
      <c r="D10" s="139" t="s">
        <v>9</v>
      </c>
      <c r="E10" s="198"/>
      <c r="F10" s="72"/>
      <c r="G10" s="72"/>
      <c r="H10" s="73"/>
      <c r="I10" s="193"/>
      <c r="J10" s="206"/>
      <c r="K10" s="186"/>
      <c r="L10" s="186"/>
      <c r="M10" s="185"/>
      <c r="N10" s="207"/>
      <c r="O10" s="200">
        <v>0</v>
      </c>
      <c r="P10" s="74">
        <v>0</v>
      </c>
      <c r="Q10" s="74">
        <v>367.5</v>
      </c>
      <c r="R10" s="73">
        <v>0</v>
      </c>
      <c r="S10" s="556">
        <v>-367.5</v>
      </c>
      <c r="T10" s="554"/>
    </row>
    <row r="11" spans="1:20" s="6" customFormat="1" outlineLevel="2" x14ac:dyDescent="0.2">
      <c r="A11" s="135" t="s">
        <v>749</v>
      </c>
      <c r="B11" s="22" t="s">
        <v>583</v>
      </c>
      <c r="C11" s="22" t="s">
        <v>578</v>
      </c>
      <c r="D11" s="139" t="s">
        <v>19</v>
      </c>
      <c r="E11" s="197">
        <v>1327</v>
      </c>
      <c r="F11" s="74">
        <v>1327</v>
      </c>
      <c r="G11" s="74">
        <v>1327</v>
      </c>
      <c r="H11" s="73">
        <f t="shared" si="0"/>
        <v>1</v>
      </c>
      <c r="I11" s="192">
        <v>0</v>
      </c>
      <c r="J11" s="204">
        <v>1327</v>
      </c>
      <c r="K11" s="184">
        <v>424</v>
      </c>
      <c r="L11" s="184">
        <v>423.8</v>
      </c>
      <c r="M11" s="185">
        <f t="shared" si="1"/>
        <v>0.3193669932177845</v>
      </c>
      <c r="N11" s="205">
        <v>0.2</v>
      </c>
      <c r="O11" s="201"/>
      <c r="P11" s="72"/>
      <c r="Q11" s="72"/>
      <c r="R11" s="73"/>
      <c r="S11" s="557"/>
      <c r="T11" s="554"/>
    </row>
    <row r="12" spans="1:20" s="6" customFormat="1" outlineLevel="2" x14ac:dyDescent="0.2">
      <c r="A12" s="135" t="s">
        <v>749</v>
      </c>
      <c r="B12" s="22" t="s">
        <v>584</v>
      </c>
      <c r="C12" s="22" t="s">
        <v>578</v>
      </c>
      <c r="D12" s="139" t="s">
        <v>23</v>
      </c>
      <c r="E12" s="197">
        <v>809</v>
      </c>
      <c r="F12" s="74">
        <v>809</v>
      </c>
      <c r="G12" s="74">
        <v>809</v>
      </c>
      <c r="H12" s="73">
        <f t="shared" si="0"/>
        <v>1</v>
      </c>
      <c r="I12" s="192">
        <v>0</v>
      </c>
      <c r="J12" s="204">
        <v>809</v>
      </c>
      <c r="K12" s="184">
        <v>457</v>
      </c>
      <c r="L12" s="184">
        <v>456.7</v>
      </c>
      <c r="M12" s="185">
        <f t="shared" si="1"/>
        <v>0.56452410383189122</v>
      </c>
      <c r="N12" s="205">
        <v>0.3</v>
      </c>
      <c r="O12" s="201"/>
      <c r="P12" s="72"/>
      <c r="Q12" s="72"/>
      <c r="R12" s="73"/>
      <c r="S12" s="557"/>
      <c r="T12" s="554"/>
    </row>
    <row r="13" spans="1:20" s="6" customFormat="1" outlineLevel="2" x14ac:dyDescent="0.2">
      <c r="A13" s="135" t="s">
        <v>749</v>
      </c>
      <c r="B13" s="22" t="s">
        <v>585</v>
      </c>
      <c r="C13" s="22" t="s">
        <v>578</v>
      </c>
      <c r="D13" s="139" t="s">
        <v>586</v>
      </c>
      <c r="E13" s="197">
        <v>29</v>
      </c>
      <c r="F13" s="74">
        <v>29</v>
      </c>
      <c r="G13" s="74">
        <v>22.77</v>
      </c>
      <c r="H13" s="73">
        <f t="shared" si="0"/>
        <v>0.78517241379310343</v>
      </c>
      <c r="I13" s="192">
        <v>6.23</v>
      </c>
      <c r="J13" s="204">
        <v>29</v>
      </c>
      <c r="K13" s="184">
        <v>0</v>
      </c>
      <c r="L13" s="184">
        <v>0</v>
      </c>
      <c r="M13" s="185">
        <f t="shared" si="1"/>
        <v>0</v>
      </c>
      <c r="N13" s="205">
        <v>0</v>
      </c>
      <c r="O13" s="201"/>
      <c r="P13" s="72"/>
      <c r="Q13" s="72"/>
      <c r="R13" s="73"/>
      <c r="S13" s="557"/>
      <c r="T13" s="554"/>
    </row>
    <row r="14" spans="1:20" s="6" customFormat="1" outlineLevel="2" x14ac:dyDescent="0.2">
      <c r="A14" s="135" t="s">
        <v>749</v>
      </c>
      <c r="B14" s="22" t="s">
        <v>587</v>
      </c>
      <c r="C14" s="22" t="s">
        <v>578</v>
      </c>
      <c r="D14" s="139" t="s">
        <v>29</v>
      </c>
      <c r="E14" s="198"/>
      <c r="F14" s="72"/>
      <c r="G14" s="72"/>
      <c r="H14" s="73"/>
      <c r="I14" s="193"/>
      <c r="J14" s="204">
        <v>0</v>
      </c>
      <c r="K14" s="184">
        <v>8382</v>
      </c>
      <c r="L14" s="184">
        <v>8382</v>
      </c>
      <c r="M14" s="185">
        <v>0</v>
      </c>
      <c r="N14" s="205">
        <v>0</v>
      </c>
      <c r="O14" s="201"/>
      <c r="P14" s="72"/>
      <c r="Q14" s="72"/>
      <c r="R14" s="73"/>
      <c r="S14" s="557"/>
      <c r="T14" s="554"/>
    </row>
    <row r="15" spans="1:20" s="6" customFormat="1" outlineLevel="2" x14ac:dyDescent="0.2">
      <c r="A15" s="135" t="s">
        <v>749</v>
      </c>
      <c r="B15" s="22" t="s">
        <v>588</v>
      </c>
      <c r="C15" s="22" t="s">
        <v>578</v>
      </c>
      <c r="D15" s="139" t="s">
        <v>31</v>
      </c>
      <c r="E15" s="197">
        <v>0</v>
      </c>
      <c r="F15" s="74">
        <v>868</v>
      </c>
      <c r="G15" s="74">
        <v>868</v>
      </c>
      <c r="H15" s="73">
        <v>0</v>
      </c>
      <c r="I15" s="192">
        <v>0</v>
      </c>
      <c r="J15" s="206"/>
      <c r="K15" s="186"/>
      <c r="L15" s="186"/>
      <c r="M15" s="185"/>
      <c r="N15" s="207"/>
      <c r="O15" s="201"/>
      <c r="P15" s="72"/>
      <c r="Q15" s="72"/>
      <c r="R15" s="73"/>
      <c r="S15" s="557"/>
      <c r="T15" s="554"/>
    </row>
    <row r="16" spans="1:20" s="6" customFormat="1" outlineLevel="2" x14ac:dyDescent="0.2">
      <c r="A16" s="135" t="s">
        <v>749</v>
      </c>
      <c r="B16" s="22" t="s">
        <v>589</v>
      </c>
      <c r="C16" s="22" t="s">
        <v>578</v>
      </c>
      <c r="D16" s="139" t="s">
        <v>97</v>
      </c>
      <c r="E16" s="197">
        <v>693</v>
      </c>
      <c r="F16" s="74">
        <v>0</v>
      </c>
      <c r="G16" s="74">
        <v>0</v>
      </c>
      <c r="H16" s="73">
        <f t="shared" si="0"/>
        <v>0</v>
      </c>
      <c r="I16" s="192">
        <v>0</v>
      </c>
      <c r="J16" s="204">
        <v>693</v>
      </c>
      <c r="K16" s="184">
        <v>0</v>
      </c>
      <c r="L16" s="184">
        <v>0</v>
      </c>
      <c r="M16" s="185">
        <f t="shared" si="1"/>
        <v>0</v>
      </c>
      <c r="N16" s="205">
        <v>0</v>
      </c>
      <c r="O16" s="201"/>
      <c r="P16" s="72"/>
      <c r="Q16" s="72"/>
      <c r="R16" s="73"/>
      <c r="S16" s="557"/>
      <c r="T16" s="554"/>
    </row>
    <row r="17" spans="1:20" s="6" customFormat="1" outlineLevel="2" x14ac:dyDescent="0.2">
      <c r="A17" s="135" t="s">
        <v>749</v>
      </c>
      <c r="B17" s="22" t="s">
        <v>590</v>
      </c>
      <c r="C17" s="22" t="s">
        <v>578</v>
      </c>
      <c r="D17" s="139" t="s">
        <v>35</v>
      </c>
      <c r="E17" s="197">
        <v>353</v>
      </c>
      <c r="F17" s="74">
        <v>178</v>
      </c>
      <c r="G17" s="74">
        <v>177.63</v>
      </c>
      <c r="H17" s="73">
        <f t="shared" si="0"/>
        <v>0.5032011331444759</v>
      </c>
      <c r="I17" s="192">
        <v>0.37</v>
      </c>
      <c r="J17" s="204">
        <v>353</v>
      </c>
      <c r="K17" s="184">
        <v>0</v>
      </c>
      <c r="L17" s="184">
        <v>0</v>
      </c>
      <c r="M17" s="185">
        <f t="shared" si="1"/>
        <v>0</v>
      </c>
      <c r="N17" s="205">
        <v>0</v>
      </c>
      <c r="O17" s="201"/>
      <c r="P17" s="72"/>
      <c r="Q17" s="72"/>
      <c r="R17" s="73"/>
      <c r="S17" s="557"/>
      <c r="T17" s="554"/>
    </row>
    <row r="18" spans="1:20" s="6" customFormat="1" ht="13.5" outlineLevel="1" thickBot="1" x14ac:dyDescent="0.25">
      <c r="A18" s="98" t="s">
        <v>768</v>
      </c>
      <c r="B18" s="3"/>
      <c r="C18" s="3"/>
      <c r="D18" s="3"/>
      <c r="E18" s="148">
        <f>SUBTOTAL(9,E3:E17)</f>
        <v>11584</v>
      </c>
      <c r="F18" s="116">
        <f>SUBTOTAL(9,F3:F17)</f>
        <v>11584</v>
      </c>
      <c r="G18" s="116">
        <f>SUBTOTAL(9,G3:G17)</f>
        <v>9025.6099999999988</v>
      </c>
      <c r="H18" s="117">
        <f t="shared" si="0"/>
        <v>0.77914450966850823</v>
      </c>
      <c r="I18" s="119">
        <f>SUBTOTAL(9,I3:I17)</f>
        <v>2558.39</v>
      </c>
      <c r="J18" s="148">
        <f>SUBTOTAL(9,J3:J17)</f>
        <v>11584</v>
      </c>
      <c r="K18" s="116">
        <f>SUBTOTAL(9,K3:K17)</f>
        <v>11840</v>
      </c>
      <c r="L18" s="116">
        <f>SUBTOTAL(9,L3:L17)</f>
        <v>11693.07</v>
      </c>
      <c r="M18" s="117">
        <f t="shared" si="1"/>
        <v>1.0094155732044199</v>
      </c>
      <c r="N18" s="119">
        <f>SUBTOTAL(9,N3:N17)</f>
        <v>146.93</v>
      </c>
      <c r="O18" s="116">
        <f>SUBTOTAL(9,O3:O17)</f>
        <v>11584</v>
      </c>
      <c r="P18" s="116">
        <f>SUBTOTAL(9,P3:P17)</f>
        <v>11584</v>
      </c>
      <c r="Q18" s="116">
        <f>SUBTOTAL(9,Q3:Q17)</f>
        <v>9040.7000000000007</v>
      </c>
      <c r="R18" s="117">
        <f t="shared" si="2"/>
        <v>0.78044716850828733</v>
      </c>
      <c r="S18" s="118">
        <f>SUBTOTAL(9,S3:S17)</f>
        <v>2543.2999999999997</v>
      </c>
      <c r="T18" s="511"/>
    </row>
    <row r="19" spans="1:20" ht="14.25" thickTop="1" thickBot="1" x14ac:dyDescent="0.25">
      <c r="A19" s="100"/>
      <c r="B19" s="91"/>
      <c r="C19" s="91"/>
      <c r="D19" s="91"/>
      <c r="E19" s="27"/>
      <c r="F19" s="91"/>
      <c r="G19" s="91"/>
      <c r="H19" s="91"/>
      <c r="I19" s="38"/>
      <c r="J19" s="27"/>
      <c r="K19" s="91"/>
      <c r="L19" s="91"/>
      <c r="M19" s="91"/>
      <c r="N19" s="38"/>
      <c r="O19" s="91"/>
      <c r="P19" s="91"/>
      <c r="Q19" s="91"/>
      <c r="R19" s="91"/>
      <c r="S19" s="91"/>
      <c r="T19" s="516"/>
    </row>
  </sheetData>
  <mergeCells count="3">
    <mergeCell ref="E1:I1"/>
    <mergeCell ref="J1:N1"/>
    <mergeCell ref="O1:S1"/>
  </mergeCells>
  <printOptions horizontalCentered="1" gridLines="1"/>
  <pageMargins left="0" right="0" top="0.75" bottom="0.75" header="0.3" footer="0.3"/>
  <pageSetup paperSize="5" scale="90" orientation="landscape" r:id="rId1"/>
  <headerFooter>
    <oddHeader>&amp;CMISSION COLLEGE
Fund 100 - Operating Budget vs Actual Spending for FY10/11, FY11/12 &amp; FY12/13</oddHeader>
    <oddFooter>&amp;ROffice of Administrative Services
&amp;Z&amp;F &amp;A   March 20, 2013 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12"/>
  <sheetViews>
    <sheetView topLeftCell="H1" workbookViewId="0">
      <selection activeCell="T2" sqref="T2"/>
    </sheetView>
  </sheetViews>
  <sheetFormatPr defaultRowHeight="12.75" outlineLevelRow="2" x14ac:dyDescent="0.2"/>
  <cols>
    <col min="1" max="1" width="9.85546875" style="19" customWidth="1"/>
    <col min="2" max="2" width="20.42578125" bestFit="1" customWidth="1"/>
    <col min="3" max="3" width="14.28515625" bestFit="1" customWidth="1"/>
    <col min="4" max="4" width="20.140625" bestFit="1" customWidth="1"/>
    <col min="5" max="6" width="7.140625" bestFit="1" customWidth="1"/>
    <col min="7" max="7" width="7.5703125" bestFit="1" customWidth="1"/>
    <col min="8" max="8" width="6.7109375" bestFit="1" customWidth="1"/>
    <col min="9" max="9" width="6" bestFit="1" customWidth="1"/>
    <col min="10" max="11" width="7.140625" bestFit="1" customWidth="1"/>
    <col min="12" max="12" width="7.5703125" bestFit="1" customWidth="1"/>
    <col min="13" max="13" width="6.7109375" bestFit="1" customWidth="1"/>
    <col min="14" max="14" width="6" bestFit="1" customWidth="1"/>
    <col min="15" max="16" width="7.140625" bestFit="1" customWidth="1"/>
    <col min="17" max="17" width="7.5703125" bestFit="1" customWidth="1"/>
    <col min="18" max="18" width="6.7109375" bestFit="1" customWidth="1"/>
    <col min="19" max="19" width="6" bestFit="1" customWidth="1"/>
    <col min="20" max="20" width="23" bestFit="1" customWidth="1"/>
  </cols>
  <sheetData>
    <row r="1" spans="1:20" ht="13.5" thickBot="1" x14ac:dyDescent="0.25">
      <c r="A1" s="216"/>
      <c r="B1" s="217"/>
      <c r="C1" s="217"/>
      <c r="D1" s="217"/>
      <c r="E1" s="665" t="s">
        <v>791</v>
      </c>
      <c r="F1" s="666"/>
      <c r="G1" s="666"/>
      <c r="H1" s="666"/>
      <c r="I1" s="667"/>
      <c r="J1" s="665" t="s">
        <v>790</v>
      </c>
      <c r="K1" s="666"/>
      <c r="L1" s="666"/>
      <c r="M1" s="666"/>
      <c r="N1" s="667"/>
      <c r="O1" s="665" t="s">
        <v>792</v>
      </c>
      <c r="P1" s="666"/>
      <c r="Q1" s="666"/>
      <c r="R1" s="666"/>
      <c r="S1" s="667"/>
      <c r="T1" s="553" t="s">
        <v>825</v>
      </c>
    </row>
    <row r="2" spans="1:20" ht="45.75" thickBot="1" x14ac:dyDescent="0.25">
      <c r="A2" s="211"/>
      <c r="B2" s="212" t="s">
        <v>732</v>
      </c>
      <c r="C2" s="212" t="s">
        <v>735</v>
      </c>
      <c r="D2" s="221" t="s">
        <v>733</v>
      </c>
      <c r="E2" s="224" t="s">
        <v>0</v>
      </c>
      <c r="F2" s="213" t="s">
        <v>1</v>
      </c>
      <c r="G2" s="141" t="s">
        <v>772</v>
      </c>
      <c r="H2" s="141" t="s">
        <v>793</v>
      </c>
      <c r="I2" s="215" t="s">
        <v>3</v>
      </c>
      <c r="J2" s="224" t="s">
        <v>0</v>
      </c>
      <c r="K2" s="213" t="s">
        <v>1</v>
      </c>
      <c r="L2" s="213" t="s">
        <v>772</v>
      </c>
      <c r="M2" s="142" t="s">
        <v>793</v>
      </c>
      <c r="N2" s="215" t="s">
        <v>3</v>
      </c>
      <c r="O2" s="224" t="s">
        <v>0</v>
      </c>
      <c r="P2" s="213" t="s">
        <v>1</v>
      </c>
      <c r="Q2" s="213" t="s">
        <v>772</v>
      </c>
      <c r="R2" s="214" t="s">
        <v>793</v>
      </c>
      <c r="S2" s="215" t="s">
        <v>3</v>
      </c>
      <c r="T2" s="529" t="s">
        <v>826</v>
      </c>
    </row>
    <row r="3" spans="1:20" s="6" customFormat="1" ht="19.899999999999999" customHeight="1" outlineLevel="2" x14ac:dyDescent="0.2">
      <c r="A3" s="132" t="s">
        <v>741</v>
      </c>
      <c r="B3" s="110" t="s">
        <v>119</v>
      </c>
      <c r="C3" s="110" t="s">
        <v>120</v>
      </c>
      <c r="D3" s="195" t="s">
        <v>19</v>
      </c>
      <c r="E3" s="202">
        <v>100</v>
      </c>
      <c r="F3" s="189">
        <v>100</v>
      </c>
      <c r="G3" s="189">
        <v>98.31</v>
      </c>
      <c r="H3" s="190">
        <f t="shared" ref="H3:H11" si="0">+G3/E3</f>
        <v>0.98309999999999997</v>
      </c>
      <c r="I3" s="203">
        <v>1.69</v>
      </c>
      <c r="J3" s="226">
        <v>100</v>
      </c>
      <c r="K3" s="218">
        <v>43</v>
      </c>
      <c r="L3" s="218">
        <v>11.37</v>
      </c>
      <c r="M3" s="219">
        <f t="shared" ref="M3:M11" si="1">+L3/J3</f>
        <v>0.1137</v>
      </c>
      <c r="N3" s="227">
        <v>31.63</v>
      </c>
      <c r="O3" s="202">
        <v>100</v>
      </c>
      <c r="P3" s="189">
        <v>100</v>
      </c>
      <c r="Q3" s="189">
        <v>0</v>
      </c>
      <c r="R3" s="190">
        <f t="shared" ref="R3:R11" si="2">+Q3/O3</f>
        <v>0</v>
      </c>
      <c r="S3" s="561">
        <v>100</v>
      </c>
      <c r="T3" s="559"/>
    </row>
    <row r="4" spans="1:20" s="6" customFormat="1" ht="19.899999999999999" customHeight="1" outlineLevel="2" x14ac:dyDescent="0.2">
      <c r="A4" s="135" t="s">
        <v>741</v>
      </c>
      <c r="B4" s="22" t="s">
        <v>121</v>
      </c>
      <c r="C4" s="22" t="s">
        <v>120</v>
      </c>
      <c r="D4" s="139" t="s">
        <v>27</v>
      </c>
      <c r="E4" s="204">
        <v>0</v>
      </c>
      <c r="F4" s="184">
        <v>230</v>
      </c>
      <c r="G4" s="184">
        <v>230</v>
      </c>
      <c r="H4" s="185">
        <v>0</v>
      </c>
      <c r="I4" s="205">
        <v>0</v>
      </c>
      <c r="J4" s="228"/>
      <c r="K4" s="87"/>
      <c r="L4" s="87"/>
      <c r="M4" s="85"/>
      <c r="N4" s="229"/>
      <c r="O4" s="206"/>
      <c r="P4" s="186"/>
      <c r="Q4" s="186"/>
      <c r="R4" s="185"/>
      <c r="S4" s="562"/>
      <c r="T4" s="560"/>
    </row>
    <row r="5" spans="1:20" s="6" customFormat="1" ht="19.899999999999999" customHeight="1" outlineLevel="2" x14ac:dyDescent="0.2">
      <c r="A5" s="135" t="s">
        <v>741</v>
      </c>
      <c r="B5" s="22" t="s">
        <v>122</v>
      </c>
      <c r="C5" s="22" t="s">
        <v>120</v>
      </c>
      <c r="D5" s="139" t="s">
        <v>31</v>
      </c>
      <c r="E5" s="204">
        <v>271</v>
      </c>
      <c r="F5" s="184">
        <v>178</v>
      </c>
      <c r="G5" s="184">
        <v>177.9</v>
      </c>
      <c r="H5" s="185">
        <f t="shared" si="0"/>
        <v>0.65645756457564575</v>
      </c>
      <c r="I5" s="205">
        <v>0.1</v>
      </c>
      <c r="J5" s="230">
        <v>271</v>
      </c>
      <c r="K5" s="86">
        <v>592</v>
      </c>
      <c r="L5" s="86">
        <v>591.95000000000005</v>
      </c>
      <c r="M5" s="85">
        <f t="shared" si="1"/>
        <v>2.184317343173432</v>
      </c>
      <c r="N5" s="231">
        <v>0.05</v>
      </c>
      <c r="O5" s="204">
        <v>271</v>
      </c>
      <c r="P5" s="184">
        <v>271</v>
      </c>
      <c r="Q5" s="184">
        <v>0</v>
      </c>
      <c r="R5" s="185">
        <f t="shared" si="2"/>
        <v>0</v>
      </c>
      <c r="S5" s="563">
        <v>271</v>
      </c>
      <c r="T5" s="560"/>
    </row>
    <row r="6" spans="1:20" s="6" customFormat="1" ht="19.899999999999999" customHeight="1" outlineLevel="2" x14ac:dyDescent="0.2">
      <c r="A6" s="135" t="s">
        <v>741</v>
      </c>
      <c r="B6" s="22" t="s">
        <v>123</v>
      </c>
      <c r="C6" s="22" t="s">
        <v>120</v>
      </c>
      <c r="D6" s="139" t="s">
        <v>48</v>
      </c>
      <c r="E6" s="204">
        <v>200</v>
      </c>
      <c r="F6" s="184">
        <v>572</v>
      </c>
      <c r="G6" s="184">
        <v>571.20000000000005</v>
      </c>
      <c r="H6" s="185">
        <f t="shared" si="0"/>
        <v>2.8560000000000003</v>
      </c>
      <c r="I6" s="205">
        <v>0.8</v>
      </c>
      <c r="J6" s="230">
        <v>200</v>
      </c>
      <c r="K6" s="86">
        <v>0</v>
      </c>
      <c r="L6" s="86">
        <v>0</v>
      </c>
      <c r="M6" s="85">
        <f t="shared" si="1"/>
        <v>0</v>
      </c>
      <c r="N6" s="231">
        <v>0</v>
      </c>
      <c r="O6" s="204">
        <v>200</v>
      </c>
      <c r="P6" s="184">
        <v>200</v>
      </c>
      <c r="Q6" s="184">
        <v>0</v>
      </c>
      <c r="R6" s="185">
        <f t="shared" si="2"/>
        <v>0</v>
      </c>
      <c r="S6" s="563">
        <v>200</v>
      </c>
      <c r="T6" s="560"/>
    </row>
    <row r="7" spans="1:20" s="6" customFormat="1" ht="19.899999999999999" customHeight="1" outlineLevel="2" x14ac:dyDescent="0.2">
      <c r="A7" s="135" t="s">
        <v>741</v>
      </c>
      <c r="B7" s="22" t="s">
        <v>135</v>
      </c>
      <c r="C7" s="22" t="s">
        <v>136</v>
      </c>
      <c r="D7" s="139" t="s">
        <v>7</v>
      </c>
      <c r="E7" s="204">
        <v>1000</v>
      </c>
      <c r="F7" s="184">
        <v>0</v>
      </c>
      <c r="G7" s="184">
        <v>0</v>
      </c>
      <c r="H7" s="185">
        <f t="shared" si="0"/>
        <v>0</v>
      </c>
      <c r="I7" s="205">
        <v>0</v>
      </c>
      <c r="J7" s="230">
        <v>1000</v>
      </c>
      <c r="K7" s="86">
        <v>0</v>
      </c>
      <c r="L7" s="86">
        <v>0</v>
      </c>
      <c r="M7" s="85">
        <f t="shared" si="1"/>
        <v>0</v>
      </c>
      <c r="N7" s="231">
        <v>0</v>
      </c>
      <c r="O7" s="204">
        <v>1000</v>
      </c>
      <c r="P7" s="184">
        <v>1000</v>
      </c>
      <c r="Q7" s="184">
        <v>0</v>
      </c>
      <c r="R7" s="185">
        <f t="shared" si="2"/>
        <v>0</v>
      </c>
      <c r="S7" s="563">
        <v>1000</v>
      </c>
      <c r="T7" s="560"/>
    </row>
    <row r="8" spans="1:20" s="6" customFormat="1" ht="19.899999999999999" customHeight="1" outlineLevel="2" x14ac:dyDescent="0.2">
      <c r="A8" s="135" t="s">
        <v>741</v>
      </c>
      <c r="B8" s="22" t="s">
        <v>137</v>
      </c>
      <c r="C8" s="22" t="s">
        <v>136</v>
      </c>
      <c r="D8" s="139" t="s">
        <v>19</v>
      </c>
      <c r="E8" s="204">
        <v>500</v>
      </c>
      <c r="F8" s="184">
        <v>500</v>
      </c>
      <c r="G8" s="184">
        <v>488.48</v>
      </c>
      <c r="H8" s="185">
        <f t="shared" si="0"/>
        <v>0.97696000000000005</v>
      </c>
      <c r="I8" s="205">
        <v>11.52</v>
      </c>
      <c r="J8" s="230">
        <v>500</v>
      </c>
      <c r="K8" s="86">
        <v>375</v>
      </c>
      <c r="L8" s="86">
        <v>374.5</v>
      </c>
      <c r="M8" s="85">
        <f t="shared" si="1"/>
        <v>0.749</v>
      </c>
      <c r="N8" s="231">
        <v>0.5</v>
      </c>
      <c r="O8" s="204">
        <v>500</v>
      </c>
      <c r="P8" s="184">
        <v>500</v>
      </c>
      <c r="Q8" s="184">
        <v>0</v>
      </c>
      <c r="R8" s="185">
        <f t="shared" si="2"/>
        <v>0</v>
      </c>
      <c r="S8" s="563">
        <v>500</v>
      </c>
      <c r="T8" s="560"/>
    </row>
    <row r="9" spans="1:20" s="6" customFormat="1" ht="19.899999999999999" customHeight="1" outlineLevel="2" x14ac:dyDescent="0.2">
      <c r="A9" s="135" t="s">
        <v>741</v>
      </c>
      <c r="B9" s="22" t="s">
        <v>138</v>
      </c>
      <c r="C9" s="22" t="s">
        <v>136</v>
      </c>
      <c r="D9" s="139" t="s">
        <v>27</v>
      </c>
      <c r="E9" s="204">
        <v>1500</v>
      </c>
      <c r="F9" s="184">
        <v>2500</v>
      </c>
      <c r="G9" s="184">
        <v>2499.7399999999998</v>
      </c>
      <c r="H9" s="185">
        <f t="shared" si="0"/>
        <v>1.6664933333333332</v>
      </c>
      <c r="I9" s="205">
        <v>0.26</v>
      </c>
      <c r="J9" s="230">
        <v>1500</v>
      </c>
      <c r="K9" s="86">
        <v>483</v>
      </c>
      <c r="L9" s="86">
        <v>482.44</v>
      </c>
      <c r="M9" s="85">
        <f t="shared" si="1"/>
        <v>0.32162666666666667</v>
      </c>
      <c r="N9" s="231">
        <v>0.56000000000000005</v>
      </c>
      <c r="O9" s="204">
        <v>1500</v>
      </c>
      <c r="P9" s="184">
        <v>1500</v>
      </c>
      <c r="Q9" s="184">
        <v>0</v>
      </c>
      <c r="R9" s="185">
        <f t="shared" si="2"/>
        <v>0</v>
      </c>
      <c r="S9" s="563">
        <v>1500</v>
      </c>
      <c r="T9" s="560"/>
    </row>
    <row r="10" spans="1:20" s="6" customFormat="1" ht="19.899999999999999" customHeight="1" outlineLevel="2" x14ac:dyDescent="0.2">
      <c r="A10" s="135" t="s">
        <v>741</v>
      </c>
      <c r="B10" s="22" t="s">
        <v>139</v>
      </c>
      <c r="C10" s="22" t="s">
        <v>136</v>
      </c>
      <c r="D10" s="139" t="s">
        <v>31</v>
      </c>
      <c r="E10" s="204">
        <v>1500</v>
      </c>
      <c r="F10" s="184">
        <v>1500</v>
      </c>
      <c r="G10" s="184">
        <v>1500</v>
      </c>
      <c r="H10" s="185">
        <f t="shared" si="0"/>
        <v>1</v>
      </c>
      <c r="I10" s="205">
        <v>0</v>
      </c>
      <c r="J10" s="230">
        <v>1500</v>
      </c>
      <c r="K10" s="86">
        <v>3642</v>
      </c>
      <c r="L10" s="86">
        <v>3642</v>
      </c>
      <c r="M10" s="85">
        <f t="shared" si="1"/>
        <v>2.4279999999999999</v>
      </c>
      <c r="N10" s="231">
        <v>0</v>
      </c>
      <c r="O10" s="204">
        <v>1500</v>
      </c>
      <c r="P10" s="184">
        <v>1500</v>
      </c>
      <c r="Q10" s="184">
        <v>197.05</v>
      </c>
      <c r="R10" s="185">
        <f t="shared" si="2"/>
        <v>0.13136666666666669</v>
      </c>
      <c r="S10" s="563">
        <v>1302.95</v>
      </c>
      <c r="T10" s="560"/>
    </row>
    <row r="11" spans="1:20" s="6" customFormat="1" ht="19.899999999999999" customHeight="1" outlineLevel="1" thickBot="1" x14ac:dyDescent="0.25">
      <c r="A11" s="98" t="s">
        <v>769</v>
      </c>
      <c r="B11" s="3"/>
      <c r="C11" s="3"/>
      <c r="D11" s="3"/>
      <c r="E11" s="225">
        <f>SUBTOTAL(9,E3:E10)</f>
        <v>5071</v>
      </c>
      <c r="F11" s="209">
        <f>SUBTOTAL(9,F3:F10)</f>
        <v>5580</v>
      </c>
      <c r="G11" s="209">
        <f>SUBTOTAL(9,G3:G10)</f>
        <v>5565.63</v>
      </c>
      <c r="H11" s="210">
        <f t="shared" si="0"/>
        <v>1.0975409189508973</v>
      </c>
      <c r="I11" s="220">
        <f>SUBTOTAL(9,I3:I10)</f>
        <v>14.37</v>
      </c>
      <c r="J11" s="225">
        <f>SUBTOTAL(9,J3:J10)</f>
        <v>5071</v>
      </c>
      <c r="K11" s="209">
        <f>SUBTOTAL(9,K3:K10)</f>
        <v>5135</v>
      </c>
      <c r="L11" s="209">
        <f>SUBTOTAL(9,L3:L10)</f>
        <v>5102.26</v>
      </c>
      <c r="M11" s="210">
        <f t="shared" si="1"/>
        <v>1.0061644646026424</v>
      </c>
      <c r="N11" s="220">
        <f>SUBTOTAL(9,N3:N10)</f>
        <v>32.74</v>
      </c>
      <c r="O11" s="225">
        <f>SUBTOTAL(9,O3:O10)</f>
        <v>5071</v>
      </c>
      <c r="P11" s="209">
        <f>SUBTOTAL(9,P3:P10)</f>
        <v>5071</v>
      </c>
      <c r="Q11" s="209">
        <f>SUBTOTAL(9,Q3:Q10)</f>
        <v>197.05</v>
      </c>
      <c r="R11" s="210">
        <f t="shared" si="2"/>
        <v>3.885821337014396E-2</v>
      </c>
      <c r="S11" s="502">
        <f>SUBTOTAL(9,S3:S10)</f>
        <v>4873.95</v>
      </c>
      <c r="T11" s="509"/>
    </row>
    <row r="12" spans="1:20" ht="19.899999999999999" customHeight="1" thickTop="1" thickBot="1" x14ac:dyDescent="0.25">
      <c r="A12" s="100"/>
      <c r="B12" s="91"/>
      <c r="C12" s="91"/>
      <c r="D12" s="91"/>
      <c r="E12" s="27"/>
      <c r="F12" s="91"/>
      <c r="G12" s="91"/>
      <c r="H12" s="91"/>
      <c r="I12" s="38"/>
      <c r="J12" s="27"/>
      <c r="K12" s="91"/>
      <c r="L12" s="91"/>
      <c r="M12" s="91"/>
      <c r="N12" s="38"/>
      <c r="O12" s="27"/>
      <c r="P12" s="91"/>
      <c r="Q12" s="91"/>
      <c r="R12" s="91"/>
      <c r="S12" s="91"/>
      <c r="T12" s="510"/>
    </row>
  </sheetData>
  <mergeCells count="3">
    <mergeCell ref="E1:I1"/>
    <mergeCell ref="J1:N1"/>
    <mergeCell ref="O1:S1"/>
  </mergeCells>
  <printOptions horizontalCentered="1" gridLines="1"/>
  <pageMargins left="0" right="0" top="0.75" bottom="0.75" header="0.3" footer="0.3"/>
  <pageSetup paperSize="5" scale="95" orientation="landscape" r:id="rId1"/>
  <headerFooter>
    <oddHeader>&amp;CMISSION COLLEGE
Fund 100 - Operating Budget vs Actual Spending for FY10/11, FY11/12 &amp; FY12/13</oddHeader>
    <oddFooter>&amp;ROffice of Administrative Services
&amp;Z&amp;F &amp;A   March 20, 2013 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1"/>
  <sheetViews>
    <sheetView zoomScale="167" zoomScaleNormal="167" workbookViewId="0">
      <pane ySplit="2" topLeftCell="A69" activePane="bottomLeft" state="frozen"/>
      <selection pane="bottomLeft" activeCell="B114" sqref="B114"/>
    </sheetView>
  </sheetViews>
  <sheetFormatPr defaultRowHeight="12.75" outlineLevelRow="2" x14ac:dyDescent="0.2"/>
  <cols>
    <col min="1" max="1" width="8.28515625" style="19" customWidth="1"/>
    <col min="2" max="2" width="20.42578125" bestFit="1" customWidth="1"/>
    <col min="3" max="3" width="18.42578125" hidden="1" customWidth="1"/>
    <col min="4" max="4" width="20.140625" bestFit="1" customWidth="1"/>
    <col min="5" max="6" width="7.7109375" hidden="1" customWidth="1"/>
    <col min="7" max="7" width="7.5703125" hidden="1" customWidth="1"/>
    <col min="8" max="8" width="6.7109375" hidden="1" customWidth="1"/>
    <col min="9" max="9" width="7.5703125" hidden="1" customWidth="1"/>
    <col min="10" max="11" width="7.140625" hidden="1" customWidth="1"/>
    <col min="12" max="12" width="7.5703125" hidden="1" customWidth="1"/>
    <col min="13" max="13" width="6.7109375" hidden="1" customWidth="1"/>
    <col min="14" max="14" width="6" hidden="1" customWidth="1"/>
    <col min="15" max="15" width="10.7109375" bestFit="1" customWidth="1"/>
    <col min="16" max="16" width="11.42578125" hidden="1" customWidth="1"/>
    <col min="17" max="17" width="10.7109375" hidden="1" customWidth="1"/>
    <col min="18" max="18" width="7.42578125" hidden="1" customWidth="1"/>
    <col min="19" max="19" width="6.7109375" bestFit="1" customWidth="1"/>
    <col min="20" max="20" width="7" bestFit="1" customWidth="1"/>
    <col min="21" max="21" width="27" bestFit="1" customWidth="1"/>
  </cols>
  <sheetData>
    <row r="1" spans="1:21" ht="13.5" thickBot="1" x14ac:dyDescent="0.25">
      <c r="A1" s="94"/>
      <c r="B1" s="88"/>
      <c r="C1" s="88"/>
      <c r="D1" s="88"/>
      <c r="E1" s="668" t="s">
        <v>791</v>
      </c>
      <c r="F1" s="669"/>
      <c r="G1" s="669"/>
      <c r="H1" s="669"/>
      <c r="I1" s="670"/>
      <c r="J1" s="668" t="s">
        <v>790</v>
      </c>
      <c r="K1" s="669"/>
      <c r="L1" s="669"/>
      <c r="M1" s="669"/>
      <c r="N1" s="670"/>
      <c r="O1" s="669" t="s">
        <v>792</v>
      </c>
      <c r="P1" s="669"/>
      <c r="Q1" s="669"/>
      <c r="R1" s="669"/>
      <c r="S1" s="669"/>
      <c r="T1" s="669"/>
      <c r="U1" s="503" t="s">
        <v>825</v>
      </c>
    </row>
    <row r="2" spans="1:21" ht="45.75" thickBot="1" x14ac:dyDescent="0.25">
      <c r="A2" s="158"/>
      <c r="B2" s="159" t="s">
        <v>732</v>
      </c>
      <c r="C2" s="159" t="s">
        <v>735</v>
      </c>
      <c r="D2" s="159" t="s">
        <v>733</v>
      </c>
      <c r="E2" s="241" t="s">
        <v>0</v>
      </c>
      <c r="F2" s="160" t="s">
        <v>1</v>
      </c>
      <c r="G2" s="160" t="s">
        <v>772</v>
      </c>
      <c r="H2" s="160" t="s">
        <v>793</v>
      </c>
      <c r="I2" s="163" t="s">
        <v>3</v>
      </c>
      <c r="J2" s="241" t="s">
        <v>0</v>
      </c>
      <c r="K2" s="160" t="s">
        <v>1</v>
      </c>
      <c r="L2" s="160" t="s">
        <v>772</v>
      </c>
      <c r="M2" s="161" t="s">
        <v>793</v>
      </c>
      <c r="N2" s="163" t="s">
        <v>3</v>
      </c>
      <c r="O2" s="160" t="s">
        <v>0</v>
      </c>
      <c r="P2" s="160" t="s">
        <v>1</v>
      </c>
      <c r="Q2" s="160" t="s">
        <v>772</v>
      </c>
      <c r="R2" s="162" t="s">
        <v>2</v>
      </c>
      <c r="S2" s="161" t="s">
        <v>793</v>
      </c>
      <c r="T2" s="497" t="s">
        <v>3</v>
      </c>
      <c r="U2" s="529" t="s">
        <v>826</v>
      </c>
    </row>
    <row r="3" spans="1:21" s="6" customFormat="1" outlineLevel="2" x14ac:dyDescent="0.2">
      <c r="A3" s="132" t="s">
        <v>742</v>
      </c>
      <c r="B3" s="110" t="s">
        <v>124</v>
      </c>
      <c r="C3" s="110" t="s">
        <v>125</v>
      </c>
      <c r="D3" s="195" t="s">
        <v>58</v>
      </c>
      <c r="E3" s="242">
        <v>2085</v>
      </c>
      <c r="F3" s="237">
        <v>2400</v>
      </c>
      <c r="G3" s="237">
        <v>2400</v>
      </c>
      <c r="H3" s="219">
        <f t="shared" ref="H3:H66" si="0">+G3/E3</f>
        <v>1.1510791366906474</v>
      </c>
      <c r="I3" s="227">
        <v>0</v>
      </c>
      <c r="J3" s="248">
        <v>2085</v>
      </c>
      <c r="K3" s="238">
        <v>0</v>
      </c>
      <c r="L3" s="238">
        <v>0</v>
      </c>
      <c r="M3" s="239">
        <f t="shared" ref="M3:M5" si="1">+L3/J3</f>
        <v>0</v>
      </c>
      <c r="N3" s="249">
        <v>0</v>
      </c>
      <c r="O3" s="245">
        <v>2085</v>
      </c>
      <c r="P3" s="237">
        <v>585</v>
      </c>
      <c r="Q3" s="237">
        <v>0</v>
      </c>
      <c r="R3" s="237">
        <v>0</v>
      </c>
      <c r="S3" s="219">
        <f t="shared" ref="S3:S5" si="2">+Q3/O3</f>
        <v>0</v>
      </c>
      <c r="T3" s="498">
        <v>585</v>
      </c>
      <c r="U3" s="517" t="s">
        <v>850</v>
      </c>
    </row>
    <row r="4" spans="1:21" s="6" customFormat="1" outlineLevel="2" x14ac:dyDescent="0.2">
      <c r="A4" s="135" t="s">
        <v>742</v>
      </c>
      <c r="B4" s="22" t="s">
        <v>127</v>
      </c>
      <c r="C4" s="22" t="s">
        <v>125</v>
      </c>
      <c r="D4" s="139" t="s">
        <v>19</v>
      </c>
      <c r="E4" s="230">
        <v>100</v>
      </c>
      <c r="F4" s="86">
        <v>100</v>
      </c>
      <c r="G4" s="86">
        <v>52.35</v>
      </c>
      <c r="H4" s="85">
        <f t="shared" si="0"/>
        <v>0.52349999999999997</v>
      </c>
      <c r="I4" s="231">
        <v>47.65</v>
      </c>
      <c r="J4" s="250">
        <v>100</v>
      </c>
      <c r="K4" s="234">
        <v>292</v>
      </c>
      <c r="L4" s="234">
        <v>291.85000000000002</v>
      </c>
      <c r="M4" s="233">
        <f t="shared" si="1"/>
        <v>2.9185000000000003</v>
      </c>
      <c r="N4" s="251">
        <v>0.15</v>
      </c>
      <c r="O4" s="223">
        <v>100</v>
      </c>
      <c r="P4" s="86">
        <v>100</v>
      </c>
      <c r="Q4" s="86">
        <v>12.5</v>
      </c>
      <c r="R4" s="86">
        <v>0</v>
      </c>
      <c r="S4" s="85">
        <f t="shared" si="2"/>
        <v>0.125</v>
      </c>
      <c r="T4" s="499">
        <v>87.5</v>
      </c>
      <c r="U4" s="517" t="s">
        <v>850</v>
      </c>
    </row>
    <row r="5" spans="1:21" s="6" customFormat="1" outlineLevel="2" x14ac:dyDescent="0.2">
      <c r="A5" s="135" t="s">
        <v>742</v>
      </c>
      <c r="B5" s="22" t="s">
        <v>128</v>
      </c>
      <c r="C5" s="22" t="s">
        <v>125</v>
      </c>
      <c r="D5" s="139" t="s">
        <v>23</v>
      </c>
      <c r="E5" s="230">
        <v>100</v>
      </c>
      <c r="F5" s="86">
        <v>100</v>
      </c>
      <c r="G5" s="86">
        <v>0</v>
      </c>
      <c r="H5" s="85">
        <f t="shared" si="0"/>
        <v>0</v>
      </c>
      <c r="I5" s="231">
        <v>100</v>
      </c>
      <c r="J5" s="250">
        <v>100</v>
      </c>
      <c r="K5" s="234">
        <v>0</v>
      </c>
      <c r="L5" s="234">
        <v>0</v>
      </c>
      <c r="M5" s="233">
        <f t="shared" si="1"/>
        <v>0</v>
      </c>
      <c r="N5" s="251">
        <v>0</v>
      </c>
      <c r="O5" s="223">
        <v>100</v>
      </c>
      <c r="P5" s="86">
        <v>100</v>
      </c>
      <c r="Q5" s="86">
        <v>43.29</v>
      </c>
      <c r="R5" s="86">
        <v>0</v>
      </c>
      <c r="S5" s="85">
        <f t="shared" si="2"/>
        <v>0.43290000000000001</v>
      </c>
      <c r="T5" s="499">
        <v>56.71</v>
      </c>
      <c r="U5" s="517" t="s">
        <v>850</v>
      </c>
    </row>
    <row r="6" spans="1:21" s="6" customFormat="1" outlineLevel="2" x14ac:dyDescent="0.2">
      <c r="A6" s="135" t="s">
        <v>742</v>
      </c>
      <c r="B6" s="22" t="s">
        <v>129</v>
      </c>
      <c r="C6" s="22" t="s">
        <v>125</v>
      </c>
      <c r="D6" s="139" t="s">
        <v>27</v>
      </c>
      <c r="E6" s="228"/>
      <c r="F6" s="87"/>
      <c r="G6" s="87"/>
      <c r="H6" s="85"/>
      <c r="I6" s="229"/>
      <c r="J6" s="250">
        <v>0</v>
      </c>
      <c r="K6" s="234">
        <v>1948</v>
      </c>
      <c r="L6" s="234">
        <v>1517</v>
      </c>
      <c r="M6" s="233">
        <v>0</v>
      </c>
      <c r="N6" s="251">
        <v>431</v>
      </c>
      <c r="O6" s="223">
        <v>0</v>
      </c>
      <c r="P6" s="86">
        <v>1500</v>
      </c>
      <c r="Q6" s="86">
        <v>989.06</v>
      </c>
      <c r="R6" s="86">
        <v>0</v>
      </c>
      <c r="S6" s="85">
        <v>0</v>
      </c>
      <c r="T6" s="499">
        <v>510.94</v>
      </c>
      <c r="U6" s="517"/>
    </row>
    <row r="7" spans="1:21" s="6" customFormat="1" outlineLevel="2" x14ac:dyDescent="0.2">
      <c r="A7" s="135" t="s">
        <v>742</v>
      </c>
      <c r="B7" s="22" t="s">
        <v>130</v>
      </c>
      <c r="C7" s="22" t="s">
        <v>125</v>
      </c>
      <c r="D7" s="139" t="s">
        <v>29</v>
      </c>
      <c r="E7" s="230">
        <v>0</v>
      </c>
      <c r="F7" s="86">
        <v>0</v>
      </c>
      <c r="G7" s="86">
        <v>0</v>
      </c>
      <c r="H7" s="85"/>
      <c r="I7" s="231">
        <v>0</v>
      </c>
      <c r="J7" s="250">
        <v>0</v>
      </c>
      <c r="K7" s="234">
        <v>0</v>
      </c>
      <c r="L7" s="234">
        <v>0</v>
      </c>
      <c r="M7" s="233"/>
      <c r="N7" s="251">
        <v>0</v>
      </c>
      <c r="O7" s="222"/>
      <c r="P7" s="87"/>
      <c r="Q7" s="87"/>
      <c r="R7" s="87"/>
      <c r="S7" s="85"/>
      <c r="T7" s="500"/>
      <c r="U7" s="517"/>
    </row>
    <row r="8" spans="1:21" s="6" customFormat="1" outlineLevel="2" x14ac:dyDescent="0.2">
      <c r="A8" s="135" t="s">
        <v>742</v>
      </c>
      <c r="B8" s="22" t="s">
        <v>131</v>
      </c>
      <c r="C8" s="22" t="s">
        <v>125</v>
      </c>
      <c r="D8" s="139" t="s">
        <v>31</v>
      </c>
      <c r="E8" s="230">
        <v>0</v>
      </c>
      <c r="F8" s="86">
        <v>0</v>
      </c>
      <c r="G8" s="86">
        <v>0</v>
      </c>
      <c r="H8" s="85"/>
      <c r="I8" s="231">
        <v>0</v>
      </c>
      <c r="J8" s="252"/>
      <c r="K8" s="235"/>
      <c r="L8" s="235"/>
      <c r="M8" s="233"/>
      <c r="N8" s="253"/>
      <c r="O8" s="222"/>
      <c r="P8" s="87"/>
      <c r="Q8" s="87"/>
      <c r="R8" s="87"/>
      <c r="S8" s="85"/>
      <c r="T8" s="500"/>
      <c r="U8" s="517"/>
    </row>
    <row r="9" spans="1:21" s="6" customFormat="1" outlineLevel="2" x14ac:dyDescent="0.2">
      <c r="A9" s="135" t="s">
        <v>742</v>
      </c>
      <c r="B9" s="22" t="s">
        <v>375</v>
      </c>
      <c r="C9" s="22" t="s">
        <v>376</v>
      </c>
      <c r="D9" s="139" t="s">
        <v>19</v>
      </c>
      <c r="E9" s="230">
        <v>60</v>
      </c>
      <c r="F9" s="86">
        <v>60</v>
      </c>
      <c r="G9" s="86">
        <v>0</v>
      </c>
      <c r="H9" s="85">
        <f t="shared" si="0"/>
        <v>0</v>
      </c>
      <c r="I9" s="231">
        <v>60</v>
      </c>
      <c r="J9" s="250">
        <v>0</v>
      </c>
      <c r="K9" s="234">
        <v>0</v>
      </c>
      <c r="L9" s="234">
        <v>0</v>
      </c>
      <c r="M9" s="233"/>
      <c r="N9" s="251">
        <v>0</v>
      </c>
      <c r="O9" s="222"/>
      <c r="P9" s="87"/>
      <c r="Q9" s="87"/>
      <c r="R9" s="87"/>
      <c r="S9" s="85"/>
      <c r="T9" s="500"/>
      <c r="U9" s="575" t="s">
        <v>854</v>
      </c>
    </row>
    <row r="10" spans="1:21" s="6" customFormat="1" outlineLevel="2" x14ac:dyDescent="0.2">
      <c r="A10" s="135" t="s">
        <v>742</v>
      </c>
      <c r="B10" s="22" t="s">
        <v>378</v>
      </c>
      <c r="C10" s="22" t="s">
        <v>377</v>
      </c>
      <c r="D10" s="139" t="s">
        <v>17</v>
      </c>
      <c r="E10" s="230">
        <v>500</v>
      </c>
      <c r="F10" s="86">
        <v>500</v>
      </c>
      <c r="G10" s="86">
        <v>499.06</v>
      </c>
      <c r="H10" s="85">
        <f t="shared" si="0"/>
        <v>0.99812000000000001</v>
      </c>
      <c r="I10" s="231">
        <v>0.94</v>
      </c>
      <c r="J10" s="250">
        <v>500</v>
      </c>
      <c r="K10" s="234">
        <v>500</v>
      </c>
      <c r="L10" s="234">
        <v>499.3</v>
      </c>
      <c r="M10" s="233">
        <f t="shared" ref="M10:M73" si="3">+L10/J10</f>
        <v>0.99860000000000004</v>
      </c>
      <c r="N10" s="251">
        <f>500-499.3</f>
        <v>0.69999999999998863</v>
      </c>
      <c r="O10" s="222"/>
      <c r="P10" s="87"/>
      <c r="Q10" s="87"/>
      <c r="R10" s="87"/>
      <c r="S10" s="85"/>
      <c r="T10" s="500"/>
      <c r="U10" s="517"/>
    </row>
    <row r="11" spans="1:21" s="6" customFormat="1" outlineLevel="2" x14ac:dyDescent="0.2">
      <c r="A11" s="135" t="s">
        <v>742</v>
      </c>
      <c r="B11" s="22" t="s">
        <v>379</v>
      </c>
      <c r="C11" s="22" t="s">
        <v>377</v>
      </c>
      <c r="D11" s="139" t="s">
        <v>246</v>
      </c>
      <c r="E11" s="230">
        <v>2950</v>
      </c>
      <c r="F11" s="86">
        <v>2962</v>
      </c>
      <c r="G11" s="86">
        <v>2961.72</v>
      </c>
      <c r="H11" s="85">
        <f t="shared" si="0"/>
        <v>1.0039728813559321</v>
      </c>
      <c r="I11" s="231">
        <v>0.28000000000000003</v>
      </c>
      <c r="J11" s="250">
        <v>3450</v>
      </c>
      <c r="K11" s="234">
        <v>0</v>
      </c>
      <c r="L11" s="234">
        <v>0</v>
      </c>
      <c r="M11" s="233">
        <f t="shared" si="3"/>
        <v>0</v>
      </c>
      <c r="N11" s="251">
        <v>0</v>
      </c>
      <c r="O11" s="222"/>
      <c r="P11" s="87"/>
      <c r="Q11" s="87"/>
      <c r="R11" s="87"/>
      <c r="S11" s="85"/>
      <c r="T11" s="500"/>
      <c r="U11" s="517"/>
    </row>
    <row r="12" spans="1:21" s="6" customFormat="1" outlineLevel="2" x14ac:dyDescent="0.2">
      <c r="A12" s="135" t="s">
        <v>742</v>
      </c>
      <c r="B12" s="22" t="s">
        <v>381</v>
      </c>
      <c r="C12" s="22" t="s">
        <v>380</v>
      </c>
      <c r="D12" s="139" t="s">
        <v>17</v>
      </c>
      <c r="E12" s="230">
        <v>250</v>
      </c>
      <c r="F12" s="86">
        <v>250</v>
      </c>
      <c r="G12" s="86">
        <v>249.23</v>
      </c>
      <c r="H12" s="85">
        <f t="shared" si="0"/>
        <v>0.99691999999999992</v>
      </c>
      <c r="I12" s="231">
        <v>0.77</v>
      </c>
      <c r="J12" s="250">
        <v>500</v>
      </c>
      <c r="K12" s="234">
        <v>500</v>
      </c>
      <c r="L12" s="234">
        <v>498.15</v>
      </c>
      <c r="M12" s="233">
        <f t="shared" si="3"/>
        <v>0.99629999999999996</v>
      </c>
      <c r="N12" s="251">
        <f>500-498.15</f>
        <v>1.8500000000000227</v>
      </c>
      <c r="O12" s="222"/>
      <c r="P12" s="87"/>
      <c r="Q12" s="87"/>
      <c r="R12" s="87"/>
      <c r="S12" s="85"/>
      <c r="T12" s="500"/>
      <c r="U12" s="517"/>
    </row>
    <row r="13" spans="1:21" s="6" customFormat="1" outlineLevel="2" x14ac:dyDescent="0.2">
      <c r="A13" s="135" t="s">
        <v>742</v>
      </c>
      <c r="B13" s="22" t="s">
        <v>382</v>
      </c>
      <c r="C13" s="22" t="s">
        <v>380</v>
      </c>
      <c r="D13" s="139" t="s">
        <v>246</v>
      </c>
      <c r="E13" s="230">
        <v>1050</v>
      </c>
      <c r="F13" s="86">
        <v>1050</v>
      </c>
      <c r="G13" s="86">
        <v>719.08</v>
      </c>
      <c r="H13" s="85">
        <f t="shared" si="0"/>
        <v>0.68483809523809525</v>
      </c>
      <c r="I13" s="231">
        <v>330.92</v>
      </c>
      <c r="J13" s="250">
        <v>2000</v>
      </c>
      <c r="K13" s="234">
        <v>0</v>
      </c>
      <c r="L13" s="234">
        <v>0</v>
      </c>
      <c r="M13" s="233">
        <f t="shared" si="3"/>
        <v>0</v>
      </c>
      <c r="N13" s="251">
        <v>0</v>
      </c>
      <c r="O13" s="222"/>
      <c r="P13" s="87"/>
      <c r="Q13" s="87"/>
      <c r="R13" s="87"/>
      <c r="S13" s="85"/>
      <c r="T13" s="500"/>
      <c r="U13" s="517"/>
    </row>
    <row r="14" spans="1:21" s="6" customFormat="1" outlineLevel="2" x14ac:dyDescent="0.2">
      <c r="A14" s="135" t="s">
        <v>742</v>
      </c>
      <c r="B14" s="22" t="s">
        <v>384</v>
      </c>
      <c r="C14" s="22" t="s">
        <v>383</v>
      </c>
      <c r="D14" s="139" t="s">
        <v>17</v>
      </c>
      <c r="E14" s="230">
        <v>570</v>
      </c>
      <c r="F14" s="86">
        <v>570</v>
      </c>
      <c r="G14" s="86">
        <v>474.73</v>
      </c>
      <c r="H14" s="85">
        <f t="shared" si="0"/>
        <v>0.83285964912280708</v>
      </c>
      <c r="I14" s="231">
        <v>95.27</v>
      </c>
      <c r="J14" s="250">
        <v>670</v>
      </c>
      <c r="K14" s="234">
        <v>670</v>
      </c>
      <c r="L14" s="234">
        <v>498.64</v>
      </c>
      <c r="M14" s="233">
        <f t="shared" si="3"/>
        <v>0.74423880597014924</v>
      </c>
      <c r="N14" s="251">
        <f>670-498.64</f>
        <v>171.36</v>
      </c>
      <c r="O14" s="222"/>
      <c r="P14" s="87"/>
      <c r="Q14" s="87"/>
      <c r="R14" s="87"/>
      <c r="S14" s="85"/>
      <c r="T14" s="500"/>
      <c r="U14" s="517"/>
    </row>
    <row r="15" spans="1:21" s="6" customFormat="1" outlineLevel="2" x14ac:dyDescent="0.2">
      <c r="A15" s="135" t="s">
        <v>742</v>
      </c>
      <c r="B15" s="22" t="s">
        <v>385</v>
      </c>
      <c r="C15" s="22" t="s">
        <v>383</v>
      </c>
      <c r="D15" s="139" t="s">
        <v>246</v>
      </c>
      <c r="E15" s="230">
        <v>1050</v>
      </c>
      <c r="F15" s="86">
        <v>1050</v>
      </c>
      <c r="G15" s="86">
        <v>499.24</v>
      </c>
      <c r="H15" s="85">
        <f t="shared" si="0"/>
        <v>0.47546666666666665</v>
      </c>
      <c r="I15" s="231">
        <v>550.76</v>
      </c>
      <c r="J15" s="250">
        <v>1050</v>
      </c>
      <c r="K15" s="234">
        <v>0</v>
      </c>
      <c r="L15" s="234">
        <v>0</v>
      </c>
      <c r="M15" s="233">
        <f t="shared" si="3"/>
        <v>0</v>
      </c>
      <c r="N15" s="251">
        <v>0</v>
      </c>
      <c r="O15" s="222"/>
      <c r="P15" s="87"/>
      <c r="Q15" s="87"/>
      <c r="R15" s="87"/>
      <c r="S15" s="85"/>
      <c r="T15" s="500"/>
      <c r="U15" s="517"/>
    </row>
    <row r="16" spans="1:21" s="6" customFormat="1" outlineLevel="2" x14ac:dyDescent="0.2">
      <c r="A16" s="135" t="s">
        <v>742</v>
      </c>
      <c r="B16" s="22" t="s">
        <v>386</v>
      </c>
      <c r="C16" s="22" t="s">
        <v>383</v>
      </c>
      <c r="D16" s="139" t="s">
        <v>27</v>
      </c>
      <c r="E16" s="230">
        <v>150</v>
      </c>
      <c r="F16" s="86">
        <v>150</v>
      </c>
      <c r="G16" s="86">
        <v>150</v>
      </c>
      <c r="H16" s="85">
        <f t="shared" si="0"/>
        <v>1</v>
      </c>
      <c r="I16" s="231">
        <v>0</v>
      </c>
      <c r="J16" s="250">
        <v>150</v>
      </c>
      <c r="K16" s="234">
        <v>150</v>
      </c>
      <c r="L16" s="234">
        <v>0</v>
      </c>
      <c r="M16" s="233">
        <f t="shared" si="3"/>
        <v>0</v>
      </c>
      <c r="N16" s="251">
        <v>150</v>
      </c>
      <c r="O16" s="223">
        <v>150</v>
      </c>
      <c r="P16" s="86">
        <v>150</v>
      </c>
      <c r="Q16" s="86">
        <v>0</v>
      </c>
      <c r="R16" s="86">
        <v>0</v>
      </c>
      <c r="S16" s="85">
        <f t="shared" ref="S16:S73" si="4">+Q16/O16</f>
        <v>0</v>
      </c>
      <c r="T16" s="499">
        <v>150</v>
      </c>
      <c r="U16" s="575" t="s">
        <v>852</v>
      </c>
    </row>
    <row r="17" spans="1:21" s="6" customFormat="1" outlineLevel="2" x14ac:dyDescent="0.2">
      <c r="A17" s="135" t="s">
        <v>742</v>
      </c>
      <c r="B17" s="22" t="s">
        <v>387</v>
      </c>
      <c r="C17" s="22" t="s">
        <v>383</v>
      </c>
      <c r="D17" s="139" t="s">
        <v>48</v>
      </c>
      <c r="E17" s="230">
        <v>100</v>
      </c>
      <c r="F17" s="86">
        <v>100</v>
      </c>
      <c r="G17" s="86">
        <v>100</v>
      </c>
      <c r="H17" s="85">
        <f t="shared" si="0"/>
        <v>1</v>
      </c>
      <c r="I17" s="231">
        <v>0</v>
      </c>
      <c r="J17" s="250">
        <v>100</v>
      </c>
      <c r="K17" s="234">
        <v>100</v>
      </c>
      <c r="L17" s="234">
        <v>0</v>
      </c>
      <c r="M17" s="233">
        <f t="shared" si="3"/>
        <v>0</v>
      </c>
      <c r="N17" s="251">
        <v>100</v>
      </c>
      <c r="O17" s="223">
        <v>100</v>
      </c>
      <c r="P17" s="86">
        <v>100</v>
      </c>
      <c r="Q17" s="86">
        <v>0</v>
      </c>
      <c r="R17" s="86">
        <v>0</v>
      </c>
      <c r="S17" s="85">
        <f t="shared" si="4"/>
        <v>0</v>
      </c>
      <c r="T17" s="499">
        <v>100</v>
      </c>
      <c r="U17" s="575" t="s">
        <v>852</v>
      </c>
    </row>
    <row r="18" spans="1:21" s="6" customFormat="1" outlineLevel="2" x14ac:dyDescent="0.2">
      <c r="A18" s="135" t="s">
        <v>742</v>
      </c>
      <c r="B18" s="22" t="s">
        <v>400</v>
      </c>
      <c r="C18" s="22" t="s">
        <v>398</v>
      </c>
      <c r="D18" s="139" t="s">
        <v>313</v>
      </c>
      <c r="E18" s="228"/>
      <c r="F18" s="87"/>
      <c r="G18" s="87"/>
      <c r="H18" s="85"/>
      <c r="I18" s="229"/>
      <c r="J18" s="250">
        <v>0</v>
      </c>
      <c r="K18" s="234">
        <v>0</v>
      </c>
      <c r="L18" s="234">
        <v>178.5</v>
      </c>
      <c r="M18" s="233">
        <v>0</v>
      </c>
      <c r="N18" s="251">
        <v>-178.5</v>
      </c>
      <c r="O18" s="222"/>
      <c r="P18" s="87"/>
      <c r="Q18" s="87"/>
      <c r="R18" s="87"/>
      <c r="S18" s="85"/>
      <c r="T18" s="500"/>
      <c r="U18" s="517"/>
    </row>
    <row r="19" spans="1:21" s="6" customFormat="1" outlineLevel="2" x14ac:dyDescent="0.2">
      <c r="A19" s="135" t="s">
        <v>742</v>
      </c>
      <c r="B19" s="22" t="s">
        <v>401</v>
      </c>
      <c r="C19" s="22" t="s">
        <v>398</v>
      </c>
      <c r="D19" s="139" t="s">
        <v>17</v>
      </c>
      <c r="E19" s="230">
        <v>2500</v>
      </c>
      <c r="F19" s="86">
        <v>2664</v>
      </c>
      <c r="G19" s="86">
        <v>2286.67</v>
      </c>
      <c r="H19" s="85">
        <f t="shared" si="0"/>
        <v>0.91466800000000004</v>
      </c>
      <c r="I19" s="231">
        <v>377.33</v>
      </c>
      <c r="J19" s="250">
        <v>2500</v>
      </c>
      <c r="K19" s="234">
        <v>2500</v>
      </c>
      <c r="L19" s="234">
        <v>2490.66</v>
      </c>
      <c r="M19" s="233">
        <f t="shared" si="3"/>
        <v>0.99626399999999993</v>
      </c>
      <c r="N19" s="251">
        <f>2500-2490.66</f>
        <v>9.3400000000001455</v>
      </c>
      <c r="O19" s="223">
        <v>2500</v>
      </c>
      <c r="P19" s="86">
        <v>0</v>
      </c>
      <c r="Q19" s="86">
        <v>0</v>
      </c>
      <c r="R19" s="86">
        <v>0</v>
      </c>
      <c r="S19" s="85">
        <f t="shared" si="4"/>
        <v>0</v>
      </c>
      <c r="T19" s="499">
        <v>0</v>
      </c>
      <c r="U19" s="517" t="s">
        <v>848</v>
      </c>
    </row>
    <row r="20" spans="1:21" s="6" customFormat="1" outlineLevel="2" x14ac:dyDescent="0.2">
      <c r="A20" s="135" t="s">
        <v>742</v>
      </c>
      <c r="B20" s="22" t="s">
        <v>402</v>
      </c>
      <c r="C20" s="22" t="s">
        <v>398</v>
      </c>
      <c r="D20" s="139" t="s">
        <v>246</v>
      </c>
      <c r="E20" s="230">
        <v>410</v>
      </c>
      <c r="F20" s="86">
        <v>393</v>
      </c>
      <c r="G20" s="86">
        <v>392.24</v>
      </c>
      <c r="H20" s="85">
        <f t="shared" si="0"/>
        <v>0.95668292682926837</v>
      </c>
      <c r="I20" s="231">
        <v>0.76</v>
      </c>
      <c r="J20" s="250">
        <v>410</v>
      </c>
      <c r="K20" s="234">
        <v>0</v>
      </c>
      <c r="L20" s="234">
        <v>0</v>
      </c>
      <c r="M20" s="233">
        <f t="shared" si="3"/>
        <v>0</v>
      </c>
      <c r="N20" s="251">
        <v>0</v>
      </c>
      <c r="O20" s="223">
        <v>410</v>
      </c>
      <c r="P20" s="86">
        <v>410</v>
      </c>
      <c r="Q20" s="86">
        <v>121.28</v>
      </c>
      <c r="R20" s="86">
        <v>0</v>
      </c>
      <c r="S20" s="85">
        <f t="shared" si="4"/>
        <v>0.29580487804878047</v>
      </c>
      <c r="T20" s="499">
        <v>288.72000000000003</v>
      </c>
      <c r="U20" s="517" t="s">
        <v>850</v>
      </c>
    </row>
    <row r="21" spans="1:21" s="6" customFormat="1" outlineLevel="2" x14ac:dyDescent="0.2">
      <c r="A21" s="135" t="s">
        <v>742</v>
      </c>
      <c r="B21" s="22" t="s">
        <v>403</v>
      </c>
      <c r="C21" s="22" t="s">
        <v>398</v>
      </c>
      <c r="D21" s="139" t="s">
        <v>334</v>
      </c>
      <c r="E21" s="230">
        <v>700</v>
      </c>
      <c r="F21" s="86">
        <v>624</v>
      </c>
      <c r="G21" s="86">
        <v>575.29999999999995</v>
      </c>
      <c r="H21" s="85">
        <f t="shared" si="0"/>
        <v>0.82185714285714284</v>
      </c>
      <c r="I21" s="231">
        <v>48.7</v>
      </c>
      <c r="J21" s="250">
        <v>700</v>
      </c>
      <c r="K21" s="234">
        <v>700</v>
      </c>
      <c r="L21" s="234">
        <v>0</v>
      </c>
      <c r="M21" s="233">
        <f t="shared" si="3"/>
        <v>0</v>
      </c>
      <c r="N21" s="251">
        <v>700</v>
      </c>
      <c r="O21" s="223">
        <v>700</v>
      </c>
      <c r="P21" s="86">
        <v>0</v>
      </c>
      <c r="Q21" s="86">
        <v>0</v>
      </c>
      <c r="R21" s="86">
        <v>0</v>
      </c>
      <c r="S21" s="85">
        <f t="shared" si="4"/>
        <v>0</v>
      </c>
      <c r="T21" s="499">
        <v>0</v>
      </c>
      <c r="U21" s="517" t="s">
        <v>848</v>
      </c>
    </row>
    <row r="22" spans="1:21" s="6" customFormat="1" outlineLevel="2" x14ac:dyDescent="0.2">
      <c r="A22" s="135" t="s">
        <v>742</v>
      </c>
      <c r="B22" s="22" t="s">
        <v>404</v>
      </c>
      <c r="C22" s="22" t="s">
        <v>398</v>
      </c>
      <c r="D22" s="139" t="s">
        <v>405</v>
      </c>
      <c r="E22" s="230">
        <v>300</v>
      </c>
      <c r="F22" s="86">
        <v>300</v>
      </c>
      <c r="G22" s="86">
        <v>277.39</v>
      </c>
      <c r="H22" s="85">
        <f t="shared" si="0"/>
        <v>0.92463333333333331</v>
      </c>
      <c r="I22" s="231">
        <v>22.61</v>
      </c>
      <c r="J22" s="250">
        <v>400</v>
      </c>
      <c r="K22" s="234">
        <v>0</v>
      </c>
      <c r="L22" s="234">
        <v>0</v>
      </c>
      <c r="M22" s="233">
        <f t="shared" si="3"/>
        <v>0</v>
      </c>
      <c r="N22" s="251">
        <v>0</v>
      </c>
      <c r="O22" s="223">
        <v>400</v>
      </c>
      <c r="P22" s="86">
        <v>0</v>
      </c>
      <c r="Q22" s="86">
        <v>0</v>
      </c>
      <c r="R22" s="86">
        <v>0</v>
      </c>
      <c r="S22" s="85">
        <f t="shared" si="4"/>
        <v>0</v>
      </c>
      <c r="T22" s="499">
        <v>0</v>
      </c>
      <c r="U22" s="517" t="s">
        <v>848</v>
      </c>
    </row>
    <row r="23" spans="1:21" s="6" customFormat="1" outlineLevel="2" x14ac:dyDescent="0.2">
      <c r="A23" s="135" t="s">
        <v>742</v>
      </c>
      <c r="B23" s="22" t="s">
        <v>406</v>
      </c>
      <c r="C23" s="22" t="s">
        <v>398</v>
      </c>
      <c r="D23" s="139" t="s">
        <v>407</v>
      </c>
      <c r="E23" s="230">
        <v>150</v>
      </c>
      <c r="F23" s="86">
        <v>243</v>
      </c>
      <c r="G23" s="86">
        <v>242.04</v>
      </c>
      <c r="H23" s="85">
        <f t="shared" si="0"/>
        <v>1.6135999999999999</v>
      </c>
      <c r="I23" s="231">
        <v>0.96</v>
      </c>
      <c r="J23" s="250">
        <v>150</v>
      </c>
      <c r="K23" s="234">
        <v>290</v>
      </c>
      <c r="L23" s="234">
        <v>289.64</v>
      </c>
      <c r="M23" s="233">
        <f t="shared" si="3"/>
        <v>1.9309333333333332</v>
      </c>
      <c r="N23" s="251">
        <v>0.36</v>
      </c>
      <c r="O23" s="223">
        <v>150</v>
      </c>
      <c r="P23" s="86">
        <v>0</v>
      </c>
      <c r="Q23" s="86">
        <v>0</v>
      </c>
      <c r="R23" s="86">
        <v>0</v>
      </c>
      <c r="S23" s="85">
        <f t="shared" si="4"/>
        <v>0</v>
      </c>
      <c r="T23" s="499">
        <v>0</v>
      </c>
      <c r="U23" s="517" t="s">
        <v>848</v>
      </c>
    </row>
    <row r="24" spans="1:21" s="6" customFormat="1" outlineLevel="2" x14ac:dyDescent="0.2">
      <c r="A24" s="135" t="s">
        <v>742</v>
      </c>
      <c r="B24" s="22" t="s">
        <v>408</v>
      </c>
      <c r="C24" s="22" t="s">
        <v>398</v>
      </c>
      <c r="D24" s="139" t="s">
        <v>409</v>
      </c>
      <c r="E24" s="230">
        <v>2500</v>
      </c>
      <c r="F24" s="86">
        <v>2500</v>
      </c>
      <c r="G24" s="86">
        <v>2436</v>
      </c>
      <c r="H24" s="85">
        <f t="shared" si="0"/>
        <v>0.97440000000000004</v>
      </c>
      <c r="I24" s="231">
        <v>64</v>
      </c>
      <c r="J24" s="250">
        <v>5000</v>
      </c>
      <c r="K24" s="234">
        <v>5000</v>
      </c>
      <c r="L24" s="234">
        <v>4620</v>
      </c>
      <c r="M24" s="233">
        <f t="shared" si="3"/>
        <v>0.92400000000000004</v>
      </c>
      <c r="N24" s="251">
        <v>380</v>
      </c>
      <c r="O24" s="223">
        <v>5000</v>
      </c>
      <c r="P24" s="86">
        <v>5000</v>
      </c>
      <c r="Q24" s="86">
        <v>2856</v>
      </c>
      <c r="R24" s="86">
        <v>0</v>
      </c>
      <c r="S24" s="85">
        <f t="shared" si="4"/>
        <v>0.57120000000000004</v>
      </c>
      <c r="T24" s="499">
        <v>2144</v>
      </c>
      <c r="U24" s="517" t="s">
        <v>850</v>
      </c>
    </row>
    <row r="25" spans="1:21" s="6" customFormat="1" outlineLevel="2" x14ac:dyDescent="0.2">
      <c r="A25" s="135" t="s">
        <v>742</v>
      </c>
      <c r="B25" s="22" t="s">
        <v>411</v>
      </c>
      <c r="C25" s="22" t="s">
        <v>410</v>
      </c>
      <c r="D25" s="139" t="s">
        <v>17</v>
      </c>
      <c r="E25" s="230">
        <v>0</v>
      </c>
      <c r="F25" s="86">
        <v>0</v>
      </c>
      <c r="G25" s="86">
        <v>0</v>
      </c>
      <c r="H25" s="85"/>
      <c r="I25" s="231">
        <v>0</v>
      </c>
      <c r="J25" s="252"/>
      <c r="K25" s="235"/>
      <c r="L25" s="235"/>
      <c r="M25" s="233"/>
      <c r="N25" s="253"/>
      <c r="O25" s="222"/>
      <c r="P25" s="87"/>
      <c r="Q25" s="87"/>
      <c r="R25" s="87"/>
      <c r="S25" s="85"/>
      <c r="T25" s="500"/>
      <c r="U25" s="517"/>
    </row>
    <row r="26" spans="1:21" s="6" customFormat="1" outlineLevel="2" x14ac:dyDescent="0.2">
      <c r="A26" s="135" t="s">
        <v>742</v>
      </c>
      <c r="B26" s="22" t="s">
        <v>413</v>
      </c>
      <c r="C26" s="22" t="s">
        <v>412</v>
      </c>
      <c r="D26" s="139" t="s">
        <v>9</v>
      </c>
      <c r="E26" s="230">
        <v>0</v>
      </c>
      <c r="F26" s="86">
        <v>199</v>
      </c>
      <c r="G26" s="86">
        <v>198.75</v>
      </c>
      <c r="H26" s="85">
        <v>0</v>
      </c>
      <c r="I26" s="231">
        <v>0.25</v>
      </c>
      <c r="J26" s="252"/>
      <c r="K26" s="235"/>
      <c r="L26" s="235"/>
      <c r="M26" s="233"/>
      <c r="N26" s="253"/>
      <c r="O26" s="222"/>
      <c r="P26" s="87"/>
      <c r="Q26" s="87"/>
      <c r="R26" s="87"/>
      <c r="S26" s="85"/>
      <c r="T26" s="500"/>
      <c r="U26" s="517"/>
    </row>
    <row r="27" spans="1:21" s="6" customFormat="1" outlineLevel="2" x14ac:dyDescent="0.2">
      <c r="A27" s="135" t="s">
        <v>742</v>
      </c>
      <c r="B27" s="22" t="s">
        <v>414</v>
      </c>
      <c r="C27" s="22" t="s">
        <v>412</v>
      </c>
      <c r="D27" s="139" t="s">
        <v>313</v>
      </c>
      <c r="E27" s="230">
        <v>0</v>
      </c>
      <c r="F27" s="86">
        <v>0</v>
      </c>
      <c r="G27" s="86">
        <v>75</v>
      </c>
      <c r="H27" s="85">
        <v>0</v>
      </c>
      <c r="I27" s="231">
        <v>-75</v>
      </c>
      <c r="J27" s="252"/>
      <c r="K27" s="235"/>
      <c r="L27" s="235"/>
      <c r="M27" s="233"/>
      <c r="N27" s="253"/>
      <c r="O27" s="222"/>
      <c r="P27" s="87"/>
      <c r="Q27" s="87"/>
      <c r="R27" s="87"/>
      <c r="S27" s="85"/>
      <c r="T27" s="500"/>
      <c r="U27" s="517"/>
    </row>
    <row r="28" spans="1:21" s="6" customFormat="1" outlineLevel="2" x14ac:dyDescent="0.2">
      <c r="A28" s="135" t="s">
        <v>742</v>
      </c>
      <c r="B28" s="22" t="s">
        <v>415</v>
      </c>
      <c r="C28" s="22" t="s">
        <v>412</v>
      </c>
      <c r="D28" s="139" t="s">
        <v>17</v>
      </c>
      <c r="E28" s="230">
        <v>100</v>
      </c>
      <c r="F28" s="86">
        <v>100</v>
      </c>
      <c r="G28" s="86">
        <v>98.55</v>
      </c>
      <c r="H28" s="85">
        <f t="shared" si="0"/>
        <v>0.98549999999999993</v>
      </c>
      <c r="I28" s="231">
        <v>1.45</v>
      </c>
      <c r="J28" s="250">
        <v>100</v>
      </c>
      <c r="K28" s="234">
        <v>0</v>
      </c>
      <c r="L28" s="234">
        <v>0</v>
      </c>
      <c r="M28" s="233">
        <f t="shared" si="3"/>
        <v>0</v>
      </c>
      <c r="N28" s="251">
        <v>0</v>
      </c>
      <c r="O28" s="222"/>
      <c r="P28" s="87"/>
      <c r="Q28" s="87"/>
      <c r="R28" s="87"/>
      <c r="S28" s="85"/>
      <c r="T28" s="500"/>
      <c r="U28" s="517"/>
    </row>
    <row r="29" spans="1:21" s="6" customFormat="1" outlineLevel="2" x14ac:dyDescent="0.2">
      <c r="A29" s="135" t="s">
        <v>742</v>
      </c>
      <c r="B29" s="22" t="s">
        <v>416</v>
      </c>
      <c r="C29" s="22" t="s">
        <v>412</v>
      </c>
      <c r="D29" s="139" t="s">
        <v>246</v>
      </c>
      <c r="E29" s="230">
        <v>250</v>
      </c>
      <c r="F29" s="86">
        <v>311</v>
      </c>
      <c r="G29" s="86">
        <v>309.92</v>
      </c>
      <c r="H29" s="85">
        <f t="shared" si="0"/>
        <v>1.2396800000000001</v>
      </c>
      <c r="I29" s="231">
        <v>1.08</v>
      </c>
      <c r="J29" s="250">
        <v>250</v>
      </c>
      <c r="K29" s="234">
        <v>0</v>
      </c>
      <c r="L29" s="234">
        <v>0</v>
      </c>
      <c r="M29" s="233">
        <f t="shared" si="3"/>
        <v>0</v>
      </c>
      <c r="N29" s="251">
        <v>0</v>
      </c>
      <c r="O29" s="222"/>
      <c r="P29" s="87"/>
      <c r="Q29" s="87"/>
      <c r="R29" s="87"/>
      <c r="S29" s="85"/>
      <c r="T29" s="500"/>
      <c r="U29" s="517"/>
    </row>
    <row r="30" spans="1:21" s="6" customFormat="1" outlineLevel="2" x14ac:dyDescent="0.2">
      <c r="A30" s="135" t="s">
        <v>742</v>
      </c>
      <c r="B30" s="22" t="s">
        <v>417</v>
      </c>
      <c r="C30" s="22" t="s">
        <v>412</v>
      </c>
      <c r="D30" s="139" t="s">
        <v>409</v>
      </c>
      <c r="E30" s="230">
        <v>200</v>
      </c>
      <c r="F30" s="86">
        <v>200</v>
      </c>
      <c r="G30" s="86">
        <v>23.8</v>
      </c>
      <c r="H30" s="85">
        <f t="shared" si="0"/>
        <v>0.11900000000000001</v>
      </c>
      <c r="I30" s="231">
        <v>176.2</v>
      </c>
      <c r="J30" s="250">
        <v>200</v>
      </c>
      <c r="K30" s="234">
        <v>200</v>
      </c>
      <c r="L30" s="234">
        <v>0</v>
      </c>
      <c r="M30" s="233">
        <f t="shared" si="3"/>
        <v>0</v>
      </c>
      <c r="N30" s="251">
        <v>200</v>
      </c>
      <c r="O30" s="223">
        <v>200</v>
      </c>
      <c r="P30" s="86">
        <v>200</v>
      </c>
      <c r="Q30" s="86">
        <v>110</v>
      </c>
      <c r="R30" s="86">
        <v>0</v>
      </c>
      <c r="S30" s="85">
        <f t="shared" si="4"/>
        <v>0.55000000000000004</v>
      </c>
      <c r="T30" s="499">
        <v>90</v>
      </c>
      <c r="U30" s="517" t="s">
        <v>850</v>
      </c>
    </row>
    <row r="31" spans="1:21" s="6" customFormat="1" outlineLevel="2" x14ac:dyDescent="0.2">
      <c r="A31" s="135" t="s">
        <v>742</v>
      </c>
      <c r="B31" s="22" t="s">
        <v>419</v>
      </c>
      <c r="C31" s="22" t="s">
        <v>418</v>
      </c>
      <c r="D31" s="139" t="s">
        <v>17</v>
      </c>
      <c r="E31" s="230">
        <v>296</v>
      </c>
      <c r="F31" s="86">
        <v>296</v>
      </c>
      <c r="G31" s="86">
        <v>292.29000000000002</v>
      </c>
      <c r="H31" s="85">
        <f t="shared" si="0"/>
        <v>0.98746621621621633</v>
      </c>
      <c r="I31" s="231">
        <v>3.71</v>
      </c>
      <c r="J31" s="250">
        <v>350</v>
      </c>
      <c r="K31" s="234">
        <v>0</v>
      </c>
      <c r="L31" s="234">
        <v>0</v>
      </c>
      <c r="M31" s="233">
        <f t="shared" si="3"/>
        <v>0</v>
      </c>
      <c r="N31" s="251">
        <v>0</v>
      </c>
      <c r="O31" s="222"/>
      <c r="P31" s="87"/>
      <c r="Q31" s="87"/>
      <c r="R31" s="87"/>
      <c r="S31" s="85"/>
      <c r="T31" s="500"/>
      <c r="U31" s="517"/>
    </row>
    <row r="32" spans="1:21" s="6" customFormat="1" outlineLevel="2" x14ac:dyDescent="0.2">
      <c r="A32" s="135" t="s">
        <v>742</v>
      </c>
      <c r="B32" s="22" t="s">
        <v>420</v>
      </c>
      <c r="C32" s="22" t="s">
        <v>418</v>
      </c>
      <c r="D32" s="139" t="s">
        <v>246</v>
      </c>
      <c r="E32" s="230">
        <v>682</v>
      </c>
      <c r="F32" s="86">
        <v>1293</v>
      </c>
      <c r="G32" s="86">
        <v>1291.71</v>
      </c>
      <c r="H32" s="85">
        <f t="shared" si="0"/>
        <v>1.8940029325513197</v>
      </c>
      <c r="I32" s="231">
        <v>1.29</v>
      </c>
      <c r="J32" s="250">
        <v>682</v>
      </c>
      <c r="K32" s="234">
        <v>0</v>
      </c>
      <c r="L32" s="234">
        <v>0</v>
      </c>
      <c r="M32" s="233">
        <f t="shared" si="3"/>
        <v>0</v>
      </c>
      <c r="N32" s="251">
        <v>0</v>
      </c>
      <c r="O32" s="222"/>
      <c r="P32" s="87"/>
      <c r="Q32" s="87"/>
      <c r="R32" s="87"/>
      <c r="S32" s="85"/>
      <c r="T32" s="500"/>
      <c r="U32" s="517"/>
    </row>
    <row r="33" spans="1:21" s="6" customFormat="1" outlineLevel="2" x14ac:dyDescent="0.2">
      <c r="A33" s="135" t="s">
        <v>742</v>
      </c>
      <c r="B33" s="22" t="s">
        <v>428</v>
      </c>
      <c r="C33" s="22" t="s">
        <v>427</v>
      </c>
      <c r="D33" s="139" t="s">
        <v>17</v>
      </c>
      <c r="E33" s="230">
        <v>111</v>
      </c>
      <c r="F33" s="86">
        <v>111</v>
      </c>
      <c r="G33" s="86">
        <v>111</v>
      </c>
      <c r="H33" s="85">
        <f t="shared" si="0"/>
        <v>1</v>
      </c>
      <c r="I33" s="231">
        <v>0</v>
      </c>
      <c r="J33" s="250">
        <v>300</v>
      </c>
      <c r="K33" s="234">
        <v>0</v>
      </c>
      <c r="L33" s="234">
        <v>0</v>
      </c>
      <c r="M33" s="233">
        <f t="shared" si="3"/>
        <v>0</v>
      </c>
      <c r="N33" s="251">
        <v>0</v>
      </c>
      <c r="O33" s="222"/>
      <c r="P33" s="87"/>
      <c r="Q33" s="87"/>
      <c r="R33" s="87"/>
      <c r="S33" s="85"/>
      <c r="T33" s="500"/>
      <c r="U33" s="517"/>
    </row>
    <row r="34" spans="1:21" s="6" customFormat="1" outlineLevel="2" x14ac:dyDescent="0.2">
      <c r="A34" s="135" t="s">
        <v>742</v>
      </c>
      <c r="B34" s="22" t="s">
        <v>429</v>
      </c>
      <c r="C34" s="22" t="s">
        <v>427</v>
      </c>
      <c r="D34" s="139" t="s">
        <v>246</v>
      </c>
      <c r="E34" s="230">
        <v>230</v>
      </c>
      <c r="F34" s="86">
        <v>413</v>
      </c>
      <c r="G34" s="86">
        <v>412.82</v>
      </c>
      <c r="H34" s="85">
        <f t="shared" si="0"/>
        <v>1.7948695652173914</v>
      </c>
      <c r="I34" s="231">
        <v>0.18</v>
      </c>
      <c r="J34" s="250">
        <v>400</v>
      </c>
      <c r="K34" s="234">
        <v>0</v>
      </c>
      <c r="L34" s="234">
        <v>0</v>
      </c>
      <c r="M34" s="233">
        <f t="shared" si="3"/>
        <v>0</v>
      </c>
      <c r="N34" s="251">
        <v>0</v>
      </c>
      <c r="O34" s="222"/>
      <c r="P34" s="87"/>
      <c r="Q34" s="87"/>
      <c r="R34" s="87"/>
      <c r="S34" s="85"/>
      <c r="T34" s="500"/>
      <c r="U34" s="517"/>
    </row>
    <row r="35" spans="1:21" s="6" customFormat="1" outlineLevel="2" x14ac:dyDescent="0.2">
      <c r="A35" s="135" t="s">
        <v>742</v>
      </c>
      <c r="B35" s="22" t="s">
        <v>430</v>
      </c>
      <c r="C35" s="22" t="s">
        <v>427</v>
      </c>
      <c r="D35" s="139" t="s">
        <v>409</v>
      </c>
      <c r="E35" s="230">
        <v>465</v>
      </c>
      <c r="F35" s="86">
        <v>465</v>
      </c>
      <c r="G35" s="86">
        <v>125.74</v>
      </c>
      <c r="H35" s="85">
        <f t="shared" si="0"/>
        <v>0.27040860215053764</v>
      </c>
      <c r="I35" s="231">
        <v>339.26</v>
      </c>
      <c r="J35" s="250">
        <v>600</v>
      </c>
      <c r="K35" s="234">
        <v>600</v>
      </c>
      <c r="L35" s="234">
        <v>0</v>
      </c>
      <c r="M35" s="233">
        <f t="shared" si="3"/>
        <v>0</v>
      </c>
      <c r="N35" s="251">
        <v>600</v>
      </c>
      <c r="O35" s="223">
        <v>600</v>
      </c>
      <c r="P35" s="86">
        <v>600</v>
      </c>
      <c r="Q35" s="86">
        <v>600</v>
      </c>
      <c r="R35" s="86">
        <v>0</v>
      </c>
      <c r="S35" s="85">
        <f t="shared" si="4"/>
        <v>1</v>
      </c>
      <c r="T35" s="499">
        <v>0</v>
      </c>
      <c r="U35" s="575" t="s">
        <v>851</v>
      </c>
    </row>
    <row r="36" spans="1:21" s="6" customFormat="1" outlineLevel="2" x14ac:dyDescent="0.2">
      <c r="A36" s="135" t="s">
        <v>742</v>
      </c>
      <c r="B36" s="22" t="s">
        <v>441</v>
      </c>
      <c r="C36" s="22" t="s">
        <v>440</v>
      </c>
      <c r="D36" s="139" t="s">
        <v>246</v>
      </c>
      <c r="E36" s="230">
        <v>70</v>
      </c>
      <c r="F36" s="86">
        <v>183</v>
      </c>
      <c r="G36" s="86">
        <v>182.11</v>
      </c>
      <c r="H36" s="85">
        <f t="shared" si="0"/>
        <v>2.6015714285714289</v>
      </c>
      <c r="I36" s="231">
        <v>0.89</v>
      </c>
      <c r="J36" s="250">
        <v>70</v>
      </c>
      <c r="K36" s="234">
        <v>0</v>
      </c>
      <c r="L36" s="234">
        <v>0</v>
      </c>
      <c r="M36" s="233">
        <f t="shared" si="3"/>
        <v>0</v>
      </c>
      <c r="N36" s="251">
        <v>0</v>
      </c>
      <c r="O36" s="222"/>
      <c r="P36" s="87"/>
      <c r="Q36" s="87"/>
      <c r="R36" s="87"/>
      <c r="S36" s="85"/>
      <c r="T36" s="500"/>
      <c r="U36" s="517"/>
    </row>
    <row r="37" spans="1:21" s="6" customFormat="1" outlineLevel="2" x14ac:dyDescent="0.2">
      <c r="A37" s="135" t="s">
        <v>742</v>
      </c>
      <c r="B37" s="22" t="s">
        <v>442</v>
      </c>
      <c r="C37" s="22" t="s">
        <v>443</v>
      </c>
      <c r="D37" s="139" t="s">
        <v>17</v>
      </c>
      <c r="E37" s="228"/>
      <c r="F37" s="87"/>
      <c r="G37" s="87"/>
      <c r="H37" s="85"/>
      <c r="I37" s="229"/>
      <c r="J37" s="252"/>
      <c r="K37" s="235"/>
      <c r="L37" s="235"/>
      <c r="M37" s="233"/>
      <c r="N37" s="253"/>
      <c r="O37" s="223">
        <v>0</v>
      </c>
      <c r="P37" s="86">
        <v>1845</v>
      </c>
      <c r="Q37" s="86">
        <v>506.92</v>
      </c>
      <c r="R37" s="86">
        <v>1338.08</v>
      </c>
      <c r="S37" s="85">
        <v>0</v>
      </c>
      <c r="T37" s="499">
        <v>0</v>
      </c>
      <c r="U37" s="517"/>
    </row>
    <row r="38" spans="1:21" s="6" customFormat="1" outlineLevel="2" x14ac:dyDescent="0.2">
      <c r="A38" s="135" t="s">
        <v>742</v>
      </c>
      <c r="B38" s="22" t="s">
        <v>446</v>
      </c>
      <c r="C38" s="22" t="s">
        <v>443</v>
      </c>
      <c r="D38" s="139" t="s">
        <v>17</v>
      </c>
      <c r="E38" s="228"/>
      <c r="F38" s="87"/>
      <c r="G38" s="87"/>
      <c r="H38" s="85"/>
      <c r="I38" s="229"/>
      <c r="J38" s="252"/>
      <c r="K38" s="235"/>
      <c r="L38" s="235"/>
      <c r="M38" s="233"/>
      <c r="N38" s="253"/>
      <c r="O38" s="223">
        <v>2845</v>
      </c>
      <c r="P38" s="86">
        <v>0</v>
      </c>
      <c r="Q38" s="86">
        <v>28.26</v>
      </c>
      <c r="R38" s="86">
        <v>0</v>
      </c>
      <c r="S38" s="85">
        <f t="shared" si="4"/>
        <v>9.9332161687170472E-3</v>
      </c>
      <c r="T38" s="499">
        <v>-28.26</v>
      </c>
      <c r="U38" s="575" t="s">
        <v>855</v>
      </c>
    </row>
    <row r="39" spans="1:21" s="6" customFormat="1" outlineLevel="2" x14ac:dyDescent="0.2">
      <c r="A39" s="135" t="s">
        <v>742</v>
      </c>
      <c r="B39" s="22" t="s">
        <v>445</v>
      </c>
      <c r="C39" s="22" t="s">
        <v>443</v>
      </c>
      <c r="D39" s="139" t="s">
        <v>246</v>
      </c>
      <c r="E39" s="228"/>
      <c r="F39" s="87"/>
      <c r="G39" s="87"/>
      <c r="H39" s="85"/>
      <c r="I39" s="229"/>
      <c r="J39" s="252"/>
      <c r="K39" s="235"/>
      <c r="L39" s="235"/>
      <c r="M39" s="233"/>
      <c r="N39" s="253"/>
      <c r="O39" s="223">
        <v>0</v>
      </c>
      <c r="P39" s="86">
        <v>0</v>
      </c>
      <c r="Q39" s="86">
        <v>0</v>
      </c>
      <c r="R39" s="86">
        <v>0</v>
      </c>
      <c r="S39" s="85"/>
      <c r="T39" s="499">
        <v>0</v>
      </c>
      <c r="U39" s="517"/>
    </row>
    <row r="40" spans="1:21" s="6" customFormat="1" outlineLevel="2" x14ac:dyDescent="0.2">
      <c r="A40" s="135" t="s">
        <v>742</v>
      </c>
      <c r="B40" s="22" t="s">
        <v>449</v>
      </c>
      <c r="C40" s="22" t="s">
        <v>443</v>
      </c>
      <c r="D40" s="139" t="s">
        <v>23</v>
      </c>
      <c r="E40" s="228"/>
      <c r="F40" s="87"/>
      <c r="G40" s="87"/>
      <c r="H40" s="85"/>
      <c r="I40" s="229"/>
      <c r="J40" s="252"/>
      <c r="K40" s="235"/>
      <c r="L40" s="235"/>
      <c r="M40" s="233"/>
      <c r="N40" s="253"/>
      <c r="O40" s="223">
        <v>8415</v>
      </c>
      <c r="P40" s="86">
        <v>0</v>
      </c>
      <c r="Q40" s="86">
        <v>0</v>
      </c>
      <c r="R40" s="86">
        <v>0</v>
      </c>
      <c r="S40" s="85">
        <f>+Q40/O40</f>
        <v>0</v>
      </c>
      <c r="T40" s="499">
        <v>0</v>
      </c>
      <c r="U40" s="517">
        <v>-8415</v>
      </c>
    </row>
    <row r="41" spans="1:21" s="6" customFormat="1" outlineLevel="2" x14ac:dyDescent="0.2">
      <c r="A41" s="135" t="s">
        <v>742</v>
      </c>
      <c r="B41" s="22" t="s">
        <v>447</v>
      </c>
      <c r="C41" s="22" t="s">
        <v>443</v>
      </c>
      <c r="D41" s="139" t="s">
        <v>246</v>
      </c>
      <c r="E41" s="228"/>
      <c r="F41" s="87"/>
      <c r="G41" s="87"/>
      <c r="H41" s="85"/>
      <c r="I41" s="229"/>
      <c r="J41" s="252"/>
      <c r="K41" s="235"/>
      <c r="L41" s="235"/>
      <c r="M41" s="233"/>
      <c r="N41" s="253"/>
      <c r="O41" s="223">
        <v>0</v>
      </c>
      <c r="P41" s="86">
        <v>8415</v>
      </c>
      <c r="Q41" s="86">
        <v>5743.46</v>
      </c>
      <c r="R41" s="86">
        <v>0</v>
      </c>
      <c r="S41" s="85">
        <v>0</v>
      </c>
      <c r="T41" s="499">
        <v>2671.54</v>
      </c>
      <c r="U41" s="517">
        <v>8415</v>
      </c>
    </row>
    <row r="42" spans="1:21" s="6" customFormat="1" outlineLevel="2" x14ac:dyDescent="0.2">
      <c r="A42" s="135" t="s">
        <v>742</v>
      </c>
      <c r="B42" s="22" t="s">
        <v>448</v>
      </c>
      <c r="C42" s="22" t="s">
        <v>443</v>
      </c>
      <c r="D42" s="139" t="s">
        <v>19</v>
      </c>
      <c r="E42" s="230">
        <v>300</v>
      </c>
      <c r="F42" s="86">
        <v>300</v>
      </c>
      <c r="G42" s="86">
        <v>226.01</v>
      </c>
      <c r="H42" s="85">
        <f t="shared" si="0"/>
        <v>0.75336666666666663</v>
      </c>
      <c r="I42" s="231">
        <v>73.989999999999995</v>
      </c>
      <c r="J42" s="250">
        <v>300</v>
      </c>
      <c r="K42" s="234">
        <v>300</v>
      </c>
      <c r="L42" s="234">
        <v>504.78</v>
      </c>
      <c r="M42" s="233">
        <f t="shared" si="3"/>
        <v>1.6825999999999999</v>
      </c>
      <c r="N42" s="251">
        <v>-204.78</v>
      </c>
      <c r="O42" s="223">
        <v>0</v>
      </c>
      <c r="P42" s="86">
        <v>1000</v>
      </c>
      <c r="Q42" s="86">
        <v>36.409999999999997</v>
      </c>
      <c r="R42" s="86">
        <v>957.59</v>
      </c>
      <c r="S42" s="85">
        <v>0</v>
      </c>
      <c r="T42" s="499">
        <v>6</v>
      </c>
      <c r="U42" s="575" t="s">
        <v>853</v>
      </c>
    </row>
    <row r="43" spans="1:21" s="6" customFormat="1" outlineLevel="2" x14ac:dyDescent="0.2">
      <c r="A43" s="135" t="s">
        <v>742</v>
      </c>
      <c r="B43" s="22" t="s">
        <v>451</v>
      </c>
      <c r="C43" s="22" t="s">
        <v>450</v>
      </c>
      <c r="D43" s="139" t="s">
        <v>17</v>
      </c>
      <c r="E43" s="230">
        <v>450</v>
      </c>
      <c r="F43" s="86">
        <v>1779</v>
      </c>
      <c r="G43" s="86">
        <v>1775.49</v>
      </c>
      <c r="H43" s="85">
        <f t="shared" si="0"/>
        <v>3.9455333333333336</v>
      </c>
      <c r="I43" s="231">
        <v>3.51</v>
      </c>
      <c r="J43" s="250">
        <v>450</v>
      </c>
      <c r="K43" s="234">
        <v>450</v>
      </c>
      <c r="L43" s="234">
        <v>448.77</v>
      </c>
      <c r="M43" s="233">
        <f t="shared" si="3"/>
        <v>0.99726666666666663</v>
      </c>
      <c r="N43" s="251">
        <f>450-448.77</f>
        <v>1.2300000000000182</v>
      </c>
      <c r="O43" s="222"/>
      <c r="P43" s="87"/>
      <c r="Q43" s="87"/>
      <c r="R43" s="87"/>
      <c r="S43" s="85"/>
      <c r="T43" s="500"/>
      <c r="U43" s="517"/>
    </row>
    <row r="44" spans="1:21" s="6" customFormat="1" outlineLevel="2" x14ac:dyDescent="0.2">
      <c r="A44" s="135" t="s">
        <v>742</v>
      </c>
      <c r="B44" s="22" t="s">
        <v>452</v>
      </c>
      <c r="C44" s="22" t="s">
        <v>450</v>
      </c>
      <c r="D44" s="139" t="s">
        <v>246</v>
      </c>
      <c r="E44" s="230">
        <v>3800</v>
      </c>
      <c r="F44" s="86">
        <v>5249</v>
      </c>
      <c r="G44" s="86">
        <v>5248.14</v>
      </c>
      <c r="H44" s="85">
        <f t="shared" si="0"/>
        <v>1.3810894736842105</v>
      </c>
      <c r="I44" s="231">
        <v>0.86</v>
      </c>
      <c r="J44" s="250">
        <v>3800</v>
      </c>
      <c r="K44" s="234">
        <v>0</v>
      </c>
      <c r="L44" s="234">
        <v>0</v>
      </c>
      <c r="M44" s="233">
        <f t="shared" si="3"/>
        <v>0</v>
      </c>
      <c r="N44" s="251">
        <v>0</v>
      </c>
      <c r="O44" s="222"/>
      <c r="P44" s="87"/>
      <c r="Q44" s="87"/>
      <c r="R44" s="87"/>
      <c r="S44" s="85"/>
      <c r="T44" s="500"/>
      <c r="U44" s="517"/>
    </row>
    <row r="45" spans="1:21" s="6" customFormat="1" outlineLevel="2" x14ac:dyDescent="0.2">
      <c r="A45" s="135" t="s">
        <v>742</v>
      </c>
      <c r="B45" s="22" t="s">
        <v>453</v>
      </c>
      <c r="C45" s="22" t="s">
        <v>450</v>
      </c>
      <c r="D45" s="139" t="s">
        <v>334</v>
      </c>
      <c r="E45" s="230">
        <v>625</v>
      </c>
      <c r="F45" s="86">
        <v>0</v>
      </c>
      <c r="G45" s="86">
        <v>0</v>
      </c>
      <c r="H45" s="85">
        <f t="shared" si="0"/>
        <v>0</v>
      </c>
      <c r="I45" s="231">
        <v>0</v>
      </c>
      <c r="J45" s="252"/>
      <c r="K45" s="235"/>
      <c r="L45" s="235"/>
      <c r="M45" s="233"/>
      <c r="N45" s="253"/>
      <c r="O45" s="222"/>
      <c r="P45" s="87"/>
      <c r="Q45" s="87"/>
      <c r="R45" s="87"/>
      <c r="S45" s="85"/>
      <c r="T45" s="500"/>
      <c r="U45" s="517"/>
    </row>
    <row r="46" spans="1:21" s="6" customFormat="1" outlineLevel="2" x14ac:dyDescent="0.2">
      <c r="A46" s="135" t="s">
        <v>742</v>
      </c>
      <c r="B46" s="22" t="s">
        <v>454</v>
      </c>
      <c r="C46" s="22" t="s">
        <v>450</v>
      </c>
      <c r="D46" s="139" t="s">
        <v>405</v>
      </c>
      <c r="E46" s="230">
        <v>725</v>
      </c>
      <c r="F46" s="86">
        <v>91</v>
      </c>
      <c r="G46" s="86">
        <v>90.27</v>
      </c>
      <c r="H46" s="85">
        <f t="shared" si="0"/>
        <v>0.1245103448275862</v>
      </c>
      <c r="I46" s="231">
        <v>0.73</v>
      </c>
      <c r="J46" s="250">
        <v>725</v>
      </c>
      <c r="K46" s="234">
        <v>0</v>
      </c>
      <c r="L46" s="234">
        <v>0</v>
      </c>
      <c r="M46" s="233">
        <f t="shared" si="3"/>
        <v>0</v>
      </c>
      <c r="N46" s="251">
        <v>0</v>
      </c>
      <c r="O46" s="222"/>
      <c r="P46" s="87"/>
      <c r="Q46" s="87"/>
      <c r="R46" s="87"/>
      <c r="S46" s="85"/>
      <c r="T46" s="500"/>
      <c r="U46" s="517"/>
    </row>
    <row r="47" spans="1:21" s="6" customFormat="1" outlineLevel="2" x14ac:dyDescent="0.2">
      <c r="A47" s="135" t="s">
        <v>742</v>
      </c>
      <c r="B47" s="22" t="s">
        <v>493</v>
      </c>
      <c r="C47" s="22" t="s">
        <v>491</v>
      </c>
      <c r="D47" s="139" t="s">
        <v>17</v>
      </c>
      <c r="E47" s="230">
        <v>278</v>
      </c>
      <c r="F47" s="86">
        <v>694</v>
      </c>
      <c r="G47" s="86">
        <v>690.69</v>
      </c>
      <c r="H47" s="85">
        <f t="shared" si="0"/>
        <v>2.4844964028776979</v>
      </c>
      <c r="I47" s="231">
        <v>3.31</v>
      </c>
      <c r="J47" s="250">
        <v>0</v>
      </c>
      <c r="K47" s="234">
        <v>777</v>
      </c>
      <c r="L47" s="234">
        <v>1463.87</v>
      </c>
      <c r="M47" s="233">
        <v>0</v>
      </c>
      <c r="N47" s="251">
        <f>777-1463.87</f>
        <v>-686.86999999999989</v>
      </c>
      <c r="O47" s="223">
        <v>1741</v>
      </c>
      <c r="P47" s="86">
        <v>0</v>
      </c>
      <c r="Q47" s="86">
        <v>0</v>
      </c>
      <c r="R47" s="86">
        <v>0</v>
      </c>
      <c r="S47" s="85">
        <f t="shared" si="4"/>
        <v>0</v>
      </c>
      <c r="T47" s="499">
        <v>0</v>
      </c>
      <c r="U47" s="517" t="s">
        <v>848</v>
      </c>
    </row>
    <row r="48" spans="1:21" s="6" customFormat="1" outlineLevel="2" x14ac:dyDescent="0.2">
      <c r="A48" s="135" t="s">
        <v>742</v>
      </c>
      <c r="B48" s="22" t="s">
        <v>490</v>
      </c>
      <c r="C48" s="22" t="s">
        <v>491</v>
      </c>
      <c r="D48" s="139" t="s">
        <v>246</v>
      </c>
      <c r="E48" s="228"/>
      <c r="F48" s="87"/>
      <c r="G48" s="87"/>
      <c r="H48" s="85"/>
      <c r="I48" s="229"/>
      <c r="J48" s="252"/>
      <c r="K48" s="235"/>
      <c r="L48" s="235"/>
      <c r="M48" s="233"/>
      <c r="N48" s="253"/>
      <c r="O48" s="223">
        <v>0</v>
      </c>
      <c r="P48" s="86">
        <v>0</v>
      </c>
      <c r="Q48" s="86">
        <v>132.91999999999999</v>
      </c>
      <c r="R48" s="86">
        <v>0</v>
      </c>
      <c r="S48" s="85">
        <v>0</v>
      </c>
      <c r="T48" s="499">
        <v>-132.91999999999999</v>
      </c>
      <c r="U48" s="517"/>
    </row>
    <row r="49" spans="1:21" s="6" customFormat="1" outlineLevel="2" x14ac:dyDescent="0.2">
      <c r="A49" s="135" t="s">
        <v>742</v>
      </c>
      <c r="B49" s="22" t="s">
        <v>494</v>
      </c>
      <c r="C49" s="22" t="s">
        <v>491</v>
      </c>
      <c r="D49" s="139" t="s">
        <v>246</v>
      </c>
      <c r="E49" s="228"/>
      <c r="F49" s="87"/>
      <c r="G49" s="87"/>
      <c r="H49" s="85"/>
      <c r="I49" s="229"/>
      <c r="J49" s="250">
        <v>0</v>
      </c>
      <c r="K49" s="234">
        <v>0</v>
      </c>
      <c r="L49" s="234">
        <v>0</v>
      </c>
      <c r="M49" s="233"/>
      <c r="N49" s="251">
        <v>0</v>
      </c>
      <c r="O49" s="223">
        <v>4503</v>
      </c>
      <c r="P49" s="86">
        <v>4503</v>
      </c>
      <c r="Q49" s="86">
        <v>4435.12</v>
      </c>
      <c r="R49" s="86">
        <v>0</v>
      </c>
      <c r="S49" s="85">
        <f t="shared" si="4"/>
        <v>0.9849256051521208</v>
      </c>
      <c r="T49" s="499">
        <v>67.88</v>
      </c>
      <c r="U49" s="517" t="s">
        <v>850</v>
      </c>
    </row>
    <row r="50" spans="1:21" s="6" customFormat="1" outlineLevel="2" x14ac:dyDescent="0.2">
      <c r="A50" s="135" t="s">
        <v>742</v>
      </c>
      <c r="B50" s="22" t="s">
        <v>496</v>
      </c>
      <c r="C50" s="22" t="s">
        <v>495</v>
      </c>
      <c r="D50" s="139" t="s">
        <v>17</v>
      </c>
      <c r="E50" s="228"/>
      <c r="F50" s="87"/>
      <c r="G50" s="87"/>
      <c r="H50" s="85"/>
      <c r="I50" s="229"/>
      <c r="J50" s="250">
        <v>50</v>
      </c>
      <c r="K50" s="234">
        <v>0</v>
      </c>
      <c r="L50" s="234">
        <v>0</v>
      </c>
      <c r="M50" s="233">
        <f t="shared" si="3"/>
        <v>0</v>
      </c>
      <c r="N50" s="251">
        <v>0</v>
      </c>
      <c r="O50" s="222"/>
      <c r="P50" s="87"/>
      <c r="Q50" s="87"/>
      <c r="R50" s="87"/>
      <c r="S50" s="85"/>
      <c r="T50" s="500"/>
      <c r="U50" s="517"/>
    </row>
    <row r="51" spans="1:21" s="6" customFormat="1" outlineLevel="2" x14ac:dyDescent="0.2">
      <c r="A51" s="135" t="s">
        <v>742</v>
      </c>
      <c r="B51" s="22" t="s">
        <v>497</v>
      </c>
      <c r="C51" s="22" t="s">
        <v>495</v>
      </c>
      <c r="D51" s="139" t="s">
        <v>246</v>
      </c>
      <c r="E51" s="230">
        <v>50</v>
      </c>
      <c r="F51" s="86">
        <v>286</v>
      </c>
      <c r="G51" s="86">
        <v>285</v>
      </c>
      <c r="H51" s="85">
        <f t="shared" si="0"/>
        <v>5.7</v>
      </c>
      <c r="I51" s="231">
        <v>1</v>
      </c>
      <c r="J51" s="250">
        <v>50</v>
      </c>
      <c r="K51" s="234">
        <v>0</v>
      </c>
      <c r="L51" s="234">
        <v>0</v>
      </c>
      <c r="M51" s="233">
        <f t="shared" si="3"/>
        <v>0</v>
      </c>
      <c r="N51" s="251">
        <v>0</v>
      </c>
      <c r="O51" s="222"/>
      <c r="P51" s="87"/>
      <c r="Q51" s="87"/>
      <c r="R51" s="87"/>
      <c r="S51" s="85"/>
      <c r="T51" s="500"/>
      <c r="U51" s="517"/>
    </row>
    <row r="52" spans="1:21" s="6" customFormat="1" outlineLevel="2" x14ac:dyDescent="0.2">
      <c r="A52" s="135" t="s">
        <v>742</v>
      </c>
      <c r="B52" s="22" t="s">
        <v>499</v>
      </c>
      <c r="C52" s="22" t="s">
        <v>498</v>
      </c>
      <c r="D52" s="139" t="s">
        <v>17</v>
      </c>
      <c r="E52" s="230">
        <v>32</v>
      </c>
      <c r="F52" s="86">
        <v>0</v>
      </c>
      <c r="G52" s="86">
        <v>0</v>
      </c>
      <c r="H52" s="85">
        <f t="shared" si="0"/>
        <v>0</v>
      </c>
      <c r="I52" s="231">
        <v>0</v>
      </c>
      <c r="J52" s="250">
        <v>32</v>
      </c>
      <c r="K52" s="234">
        <v>0</v>
      </c>
      <c r="L52" s="234">
        <v>0</v>
      </c>
      <c r="M52" s="233">
        <f t="shared" si="3"/>
        <v>0</v>
      </c>
      <c r="N52" s="251">
        <v>0</v>
      </c>
      <c r="O52" s="222"/>
      <c r="P52" s="87"/>
      <c r="Q52" s="87"/>
      <c r="R52" s="87"/>
      <c r="S52" s="85"/>
      <c r="T52" s="500"/>
      <c r="U52" s="517"/>
    </row>
    <row r="53" spans="1:21" s="6" customFormat="1" outlineLevel="2" x14ac:dyDescent="0.2">
      <c r="A53" s="135" t="s">
        <v>742</v>
      </c>
      <c r="B53" s="22" t="s">
        <v>500</v>
      </c>
      <c r="C53" s="22" t="s">
        <v>498</v>
      </c>
      <c r="D53" s="139" t="s">
        <v>246</v>
      </c>
      <c r="E53" s="230">
        <v>276</v>
      </c>
      <c r="F53" s="86">
        <v>393</v>
      </c>
      <c r="G53" s="86">
        <v>392.76</v>
      </c>
      <c r="H53" s="85">
        <f t="shared" si="0"/>
        <v>1.4230434782608696</v>
      </c>
      <c r="I53" s="231">
        <v>0.24</v>
      </c>
      <c r="J53" s="250">
        <v>276</v>
      </c>
      <c r="K53" s="234">
        <v>0</v>
      </c>
      <c r="L53" s="234">
        <v>0</v>
      </c>
      <c r="M53" s="233">
        <f t="shared" si="3"/>
        <v>0</v>
      </c>
      <c r="N53" s="251">
        <v>0</v>
      </c>
      <c r="O53" s="222"/>
      <c r="P53" s="87"/>
      <c r="Q53" s="87"/>
      <c r="R53" s="87"/>
      <c r="S53" s="85"/>
      <c r="T53" s="500"/>
      <c r="U53" s="517"/>
    </row>
    <row r="54" spans="1:21" s="6" customFormat="1" outlineLevel="2" x14ac:dyDescent="0.2">
      <c r="A54" s="135" t="s">
        <v>742</v>
      </c>
      <c r="B54" s="22" t="s">
        <v>502</v>
      </c>
      <c r="C54" s="22" t="s">
        <v>501</v>
      </c>
      <c r="D54" s="139" t="s">
        <v>17</v>
      </c>
      <c r="E54" s="230">
        <v>60</v>
      </c>
      <c r="F54" s="86">
        <v>0</v>
      </c>
      <c r="G54" s="86">
        <v>0</v>
      </c>
      <c r="H54" s="85">
        <f t="shared" si="0"/>
        <v>0</v>
      </c>
      <c r="I54" s="231">
        <v>0</v>
      </c>
      <c r="J54" s="250">
        <v>60</v>
      </c>
      <c r="K54" s="234">
        <v>0</v>
      </c>
      <c r="L54" s="234">
        <v>0</v>
      </c>
      <c r="M54" s="233">
        <f t="shared" si="3"/>
        <v>0</v>
      </c>
      <c r="N54" s="251">
        <v>0</v>
      </c>
      <c r="O54" s="222"/>
      <c r="P54" s="87"/>
      <c r="Q54" s="87"/>
      <c r="R54" s="87"/>
      <c r="S54" s="85"/>
      <c r="T54" s="500"/>
      <c r="U54" s="517"/>
    </row>
    <row r="55" spans="1:21" s="6" customFormat="1" outlineLevel="2" x14ac:dyDescent="0.2">
      <c r="A55" s="135" t="s">
        <v>742</v>
      </c>
      <c r="B55" s="22" t="s">
        <v>503</v>
      </c>
      <c r="C55" s="22" t="s">
        <v>501</v>
      </c>
      <c r="D55" s="139" t="s">
        <v>246</v>
      </c>
      <c r="E55" s="230">
        <v>518</v>
      </c>
      <c r="F55" s="86">
        <v>1024</v>
      </c>
      <c r="G55" s="86">
        <v>1023.44</v>
      </c>
      <c r="H55" s="85">
        <f t="shared" si="0"/>
        <v>1.9757528957528958</v>
      </c>
      <c r="I55" s="231">
        <v>0.56000000000000005</v>
      </c>
      <c r="J55" s="250">
        <v>518</v>
      </c>
      <c r="K55" s="234">
        <v>0</v>
      </c>
      <c r="L55" s="234">
        <v>0</v>
      </c>
      <c r="M55" s="233">
        <f t="shared" si="3"/>
        <v>0</v>
      </c>
      <c r="N55" s="251">
        <v>0</v>
      </c>
      <c r="O55" s="222"/>
      <c r="P55" s="87"/>
      <c r="Q55" s="87"/>
      <c r="R55" s="87"/>
      <c r="S55" s="85"/>
      <c r="T55" s="500"/>
      <c r="U55" s="517"/>
    </row>
    <row r="56" spans="1:21" s="6" customFormat="1" outlineLevel="2" x14ac:dyDescent="0.2">
      <c r="A56" s="135" t="s">
        <v>742</v>
      </c>
      <c r="B56" s="22" t="s">
        <v>505</v>
      </c>
      <c r="C56" s="22" t="s">
        <v>504</v>
      </c>
      <c r="D56" s="139" t="s">
        <v>17</v>
      </c>
      <c r="E56" s="230">
        <v>113</v>
      </c>
      <c r="F56" s="86">
        <v>113</v>
      </c>
      <c r="G56" s="86">
        <v>110.04</v>
      </c>
      <c r="H56" s="85">
        <f t="shared" si="0"/>
        <v>0.97380530973451329</v>
      </c>
      <c r="I56" s="231">
        <v>2.96</v>
      </c>
      <c r="J56" s="250">
        <v>113</v>
      </c>
      <c r="K56" s="234">
        <v>0</v>
      </c>
      <c r="L56" s="234">
        <v>0</v>
      </c>
      <c r="M56" s="233">
        <f t="shared" si="3"/>
        <v>0</v>
      </c>
      <c r="N56" s="251">
        <v>0</v>
      </c>
      <c r="O56" s="222"/>
      <c r="P56" s="87"/>
      <c r="Q56" s="87"/>
      <c r="R56" s="87"/>
      <c r="S56" s="85"/>
      <c r="T56" s="500"/>
      <c r="U56" s="517"/>
    </row>
    <row r="57" spans="1:21" s="6" customFormat="1" outlineLevel="2" x14ac:dyDescent="0.2">
      <c r="A57" s="135" t="s">
        <v>742</v>
      </c>
      <c r="B57" s="22" t="s">
        <v>506</v>
      </c>
      <c r="C57" s="22" t="s">
        <v>504</v>
      </c>
      <c r="D57" s="139" t="s">
        <v>246</v>
      </c>
      <c r="E57" s="230">
        <v>138</v>
      </c>
      <c r="F57" s="86">
        <v>305</v>
      </c>
      <c r="G57" s="86">
        <v>303.8</v>
      </c>
      <c r="H57" s="85">
        <f t="shared" si="0"/>
        <v>2.2014492753623189</v>
      </c>
      <c r="I57" s="231">
        <v>1.2</v>
      </c>
      <c r="J57" s="250">
        <v>138</v>
      </c>
      <c r="K57" s="234">
        <v>0</v>
      </c>
      <c r="L57" s="234">
        <v>0</v>
      </c>
      <c r="M57" s="233">
        <f t="shared" si="3"/>
        <v>0</v>
      </c>
      <c r="N57" s="251">
        <v>0</v>
      </c>
      <c r="O57" s="222"/>
      <c r="P57" s="87"/>
      <c r="Q57" s="87"/>
      <c r="R57" s="87"/>
      <c r="S57" s="85"/>
      <c r="T57" s="500"/>
      <c r="U57" s="517"/>
    </row>
    <row r="58" spans="1:21" s="6" customFormat="1" outlineLevel="2" x14ac:dyDescent="0.2">
      <c r="A58" s="135" t="s">
        <v>742</v>
      </c>
      <c r="B58" s="22" t="s">
        <v>508</v>
      </c>
      <c r="C58" s="22" t="s">
        <v>507</v>
      </c>
      <c r="D58" s="139" t="s">
        <v>17</v>
      </c>
      <c r="E58" s="230">
        <v>59</v>
      </c>
      <c r="F58" s="86">
        <v>18</v>
      </c>
      <c r="G58" s="86">
        <v>17.8</v>
      </c>
      <c r="H58" s="85">
        <f t="shared" si="0"/>
        <v>0.30169491525423731</v>
      </c>
      <c r="I58" s="231">
        <v>0.2</v>
      </c>
      <c r="J58" s="250">
        <v>59</v>
      </c>
      <c r="K58" s="234">
        <v>5</v>
      </c>
      <c r="L58" s="234">
        <v>4.51</v>
      </c>
      <c r="M58" s="233">
        <f t="shared" si="3"/>
        <v>7.6440677966101697E-2</v>
      </c>
      <c r="N58" s="251">
        <f>5-4.51</f>
        <v>0.49000000000000021</v>
      </c>
      <c r="O58" s="222"/>
      <c r="P58" s="87"/>
      <c r="Q58" s="87"/>
      <c r="R58" s="87"/>
      <c r="S58" s="85"/>
      <c r="T58" s="500"/>
      <c r="U58" s="517"/>
    </row>
    <row r="59" spans="1:21" s="6" customFormat="1" outlineLevel="2" x14ac:dyDescent="0.2">
      <c r="A59" s="135" t="s">
        <v>742</v>
      </c>
      <c r="B59" s="22" t="s">
        <v>509</v>
      </c>
      <c r="C59" s="22" t="s">
        <v>507</v>
      </c>
      <c r="D59" s="139" t="s">
        <v>246</v>
      </c>
      <c r="E59" s="230">
        <v>345</v>
      </c>
      <c r="F59" s="86">
        <v>517</v>
      </c>
      <c r="G59" s="86">
        <v>516.4</v>
      </c>
      <c r="H59" s="85">
        <f t="shared" si="0"/>
        <v>1.4968115942028986</v>
      </c>
      <c r="I59" s="231">
        <v>0.6</v>
      </c>
      <c r="J59" s="250">
        <v>345</v>
      </c>
      <c r="K59" s="234">
        <v>0</v>
      </c>
      <c r="L59" s="234">
        <v>0</v>
      </c>
      <c r="M59" s="233">
        <f t="shared" si="3"/>
        <v>0</v>
      </c>
      <c r="N59" s="251">
        <v>0</v>
      </c>
      <c r="O59" s="222"/>
      <c r="P59" s="87"/>
      <c r="Q59" s="87"/>
      <c r="R59" s="87"/>
      <c r="S59" s="85"/>
      <c r="T59" s="500"/>
      <c r="U59" s="517"/>
    </row>
    <row r="60" spans="1:21" s="6" customFormat="1" outlineLevel="2" x14ac:dyDescent="0.2">
      <c r="A60" s="135" t="s">
        <v>742</v>
      </c>
      <c r="B60" s="22" t="s">
        <v>511</v>
      </c>
      <c r="C60" s="22" t="s">
        <v>510</v>
      </c>
      <c r="D60" s="139" t="s">
        <v>17</v>
      </c>
      <c r="E60" s="228"/>
      <c r="F60" s="87"/>
      <c r="G60" s="87"/>
      <c r="H60" s="85"/>
      <c r="I60" s="229"/>
      <c r="J60" s="250">
        <v>59</v>
      </c>
      <c r="K60" s="234">
        <v>0</v>
      </c>
      <c r="L60" s="234">
        <v>0</v>
      </c>
      <c r="M60" s="233">
        <f t="shared" si="3"/>
        <v>0</v>
      </c>
      <c r="N60" s="251">
        <v>0</v>
      </c>
      <c r="O60" s="222"/>
      <c r="P60" s="87"/>
      <c r="Q60" s="87"/>
      <c r="R60" s="87"/>
      <c r="S60" s="85"/>
      <c r="T60" s="500"/>
      <c r="U60" s="517"/>
    </row>
    <row r="61" spans="1:21" s="6" customFormat="1" outlineLevel="2" x14ac:dyDescent="0.2">
      <c r="A61" s="135" t="s">
        <v>742</v>
      </c>
      <c r="B61" s="22" t="s">
        <v>513</v>
      </c>
      <c r="C61" s="22" t="s">
        <v>510</v>
      </c>
      <c r="D61" s="139" t="s">
        <v>17</v>
      </c>
      <c r="E61" s="230">
        <v>59</v>
      </c>
      <c r="F61" s="86">
        <v>59</v>
      </c>
      <c r="G61" s="86">
        <v>33.24</v>
      </c>
      <c r="H61" s="85">
        <f t="shared" si="0"/>
        <v>0.56338983050847458</v>
      </c>
      <c r="I61" s="231">
        <v>25.76</v>
      </c>
      <c r="J61" s="252"/>
      <c r="K61" s="235"/>
      <c r="L61" s="235"/>
      <c r="M61" s="233"/>
      <c r="N61" s="253"/>
      <c r="O61" s="222"/>
      <c r="P61" s="87"/>
      <c r="Q61" s="87"/>
      <c r="R61" s="87"/>
      <c r="S61" s="85"/>
      <c r="T61" s="500"/>
      <c r="U61" s="517"/>
    </row>
    <row r="62" spans="1:21" s="6" customFormat="1" outlineLevel="2" x14ac:dyDescent="0.2">
      <c r="A62" s="135" t="s">
        <v>742</v>
      </c>
      <c r="B62" s="22" t="s">
        <v>512</v>
      </c>
      <c r="C62" s="22" t="s">
        <v>510</v>
      </c>
      <c r="D62" s="139" t="s">
        <v>246</v>
      </c>
      <c r="E62" s="230">
        <v>415</v>
      </c>
      <c r="F62" s="86">
        <v>758</v>
      </c>
      <c r="G62" s="86">
        <v>757.92</v>
      </c>
      <c r="H62" s="85">
        <f t="shared" si="0"/>
        <v>1.8263132530120481</v>
      </c>
      <c r="I62" s="231">
        <v>0.08</v>
      </c>
      <c r="J62" s="250">
        <v>415</v>
      </c>
      <c r="K62" s="234">
        <v>0</v>
      </c>
      <c r="L62" s="234">
        <v>0</v>
      </c>
      <c r="M62" s="233">
        <f t="shared" si="3"/>
        <v>0</v>
      </c>
      <c r="N62" s="251">
        <v>0</v>
      </c>
      <c r="O62" s="222"/>
      <c r="P62" s="87"/>
      <c r="Q62" s="87"/>
      <c r="R62" s="87"/>
      <c r="S62" s="85"/>
      <c r="T62" s="500"/>
      <c r="U62" s="517"/>
    </row>
    <row r="63" spans="1:21" s="6" customFormat="1" outlineLevel="2" x14ac:dyDescent="0.2">
      <c r="A63" s="135" t="s">
        <v>742</v>
      </c>
      <c r="B63" s="22" t="s">
        <v>515</v>
      </c>
      <c r="C63" s="22" t="s">
        <v>514</v>
      </c>
      <c r="D63" s="139" t="s">
        <v>17</v>
      </c>
      <c r="E63" s="230">
        <v>59</v>
      </c>
      <c r="F63" s="86">
        <v>59</v>
      </c>
      <c r="G63" s="86">
        <v>55.19</v>
      </c>
      <c r="H63" s="85">
        <f t="shared" si="0"/>
        <v>0.93542372881355929</v>
      </c>
      <c r="I63" s="231">
        <v>3.81</v>
      </c>
      <c r="J63" s="250">
        <v>170</v>
      </c>
      <c r="K63" s="234">
        <v>0</v>
      </c>
      <c r="L63" s="234">
        <v>0</v>
      </c>
      <c r="M63" s="233">
        <f t="shared" si="3"/>
        <v>0</v>
      </c>
      <c r="N63" s="251">
        <v>0</v>
      </c>
      <c r="O63" s="222"/>
      <c r="P63" s="87"/>
      <c r="Q63" s="87"/>
      <c r="R63" s="87"/>
      <c r="S63" s="85"/>
      <c r="T63" s="500"/>
      <c r="U63" s="517"/>
    </row>
    <row r="64" spans="1:21" s="6" customFormat="1" outlineLevel="2" x14ac:dyDescent="0.2">
      <c r="A64" s="135" t="s">
        <v>742</v>
      </c>
      <c r="B64" s="22" t="s">
        <v>516</v>
      </c>
      <c r="C64" s="22" t="s">
        <v>514</v>
      </c>
      <c r="D64" s="139" t="s">
        <v>246</v>
      </c>
      <c r="E64" s="230">
        <v>400</v>
      </c>
      <c r="F64" s="86">
        <v>657</v>
      </c>
      <c r="G64" s="86">
        <v>656.44</v>
      </c>
      <c r="H64" s="85">
        <f t="shared" si="0"/>
        <v>1.6411000000000002</v>
      </c>
      <c r="I64" s="231">
        <v>0.56000000000000005</v>
      </c>
      <c r="J64" s="250">
        <v>400</v>
      </c>
      <c r="K64" s="234">
        <v>0</v>
      </c>
      <c r="L64" s="234">
        <v>0</v>
      </c>
      <c r="M64" s="233">
        <f t="shared" si="3"/>
        <v>0</v>
      </c>
      <c r="N64" s="251">
        <v>0</v>
      </c>
      <c r="O64" s="222"/>
      <c r="P64" s="87"/>
      <c r="Q64" s="87"/>
      <c r="R64" s="87"/>
      <c r="S64" s="85"/>
      <c r="T64" s="500"/>
      <c r="U64" s="517"/>
    </row>
    <row r="65" spans="1:21" s="6" customFormat="1" outlineLevel="2" x14ac:dyDescent="0.2">
      <c r="A65" s="135" t="s">
        <v>753</v>
      </c>
      <c r="B65" s="22" t="s">
        <v>692</v>
      </c>
      <c r="C65" s="22" t="s">
        <v>690</v>
      </c>
      <c r="D65" s="139" t="s">
        <v>674</v>
      </c>
      <c r="E65" s="243"/>
      <c r="F65" s="236"/>
      <c r="G65" s="236"/>
      <c r="H65" s="85"/>
      <c r="I65" s="240"/>
      <c r="J65" s="254">
        <v>0</v>
      </c>
      <c r="K65" s="232">
        <v>12077</v>
      </c>
      <c r="L65" s="232">
        <v>12076.75</v>
      </c>
      <c r="M65" s="233">
        <v>0</v>
      </c>
      <c r="N65" s="251">
        <v>0.25</v>
      </c>
      <c r="O65" s="246"/>
      <c r="P65" s="236"/>
      <c r="Q65" s="236"/>
      <c r="R65" s="236"/>
      <c r="S65" s="85"/>
      <c r="T65" s="501"/>
      <c r="U65" s="517"/>
    </row>
    <row r="66" spans="1:21" s="6" customFormat="1" outlineLevel="2" x14ac:dyDescent="0.2">
      <c r="A66" s="135" t="s">
        <v>753</v>
      </c>
      <c r="B66" s="22" t="s">
        <v>694</v>
      </c>
      <c r="C66" s="22" t="s">
        <v>690</v>
      </c>
      <c r="D66" s="139" t="s">
        <v>674</v>
      </c>
      <c r="E66" s="244">
        <v>30000</v>
      </c>
      <c r="F66" s="84">
        <v>30000</v>
      </c>
      <c r="G66" s="84">
        <v>50980.52</v>
      </c>
      <c r="H66" s="85">
        <f t="shared" si="0"/>
        <v>1.6993506666666665</v>
      </c>
      <c r="I66" s="231">
        <v>-20980.52</v>
      </c>
      <c r="J66" s="254">
        <v>27737</v>
      </c>
      <c r="K66" s="232">
        <v>23794</v>
      </c>
      <c r="L66" s="232">
        <v>24020.83</v>
      </c>
      <c r="M66" s="233">
        <f t="shared" si="3"/>
        <v>0.86602119912030873</v>
      </c>
      <c r="N66" s="251">
        <v>-226.83</v>
      </c>
      <c r="O66" s="247">
        <v>27737</v>
      </c>
      <c r="P66" s="84">
        <v>27737</v>
      </c>
      <c r="Q66" s="84">
        <v>15414.49</v>
      </c>
      <c r="R66" s="84">
        <v>0</v>
      </c>
      <c r="S66" s="85">
        <f t="shared" si="4"/>
        <v>0.5557374625950896</v>
      </c>
      <c r="T66" s="499">
        <v>12322.51</v>
      </c>
      <c r="U66" s="517" t="s">
        <v>850</v>
      </c>
    </row>
    <row r="67" spans="1:21" s="6" customFormat="1" outlineLevel="2" x14ac:dyDescent="0.2">
      <c r="A67" s="135" t="s">
        <v>753</v>
      </c>
      <c r="B67" s="22" t="s">
        <v>695</v>
      </c>
      <c r="C67" s="22" t="s">
        <v>690</v>
      </c>
      <c r="D67" s="139" t="s">
        <v>7</v>
      </c>
      <c r="E67" s="230">
        <v>5034</v>
      </c>
      <c r="F67" s="86">
        <v>5034</v>
      </c>
      <c r="G67" s="86">
        <v>3380.15</v>
      </c>
      <c r="H67" s="85">
        <f t="shared" ref="H67:H82" si="5">+G67/E67</f>
        <v>0.67146404449741759</v>
      </c>
      <c r="I67" s="231">
        <v>1653.85</v>
      </c>
      <c r="J67" s="250">
        <v>5034</v>
      </c>
      <c r="K67" s="234">
        <v>5034</v>
      </c>
      <c r="L67" s="234">
        <v>4277.83</v>
      </c>
      <c r="M67" s="233">
        <f t="shared" si="3"/>
        <v>0.84978744537147399</v>
      </c>
      <c r="N67" s="251">
        <v>756.17</v>
      </c>
      <c r="O67" s="223">
        <v>5034</v>
      </c>
      <c r="P67" s="86">
        <v>5034</v>
      </c>
      <c r="Q67" s="86">
        <v>1528.5</v>
      </c>
      <c r="R67" s="86">
        <v>0</v>
      </c>
      <c r="S67" s="85">
        <f t="shared" si="4"/>
        <v>0.30363528009535162</v>
      </c>
      <c r="T67" s="499">
        <v>3505.5</v>
      </c>
      <c r="U67" s="517" t="s">
        <v>850</v>
      </c>
    </row>
    <row r="68" spans="1:21" s="6" customFormat="1" outlineLevel="2" x14ac:dyDescent="0.2">
      <c r="A68" s="135" t="s">
        <v>753</v>
      </c>
      <c r="B68" s="22" t="s">
        <v>696</v>
      </c>
      <c r="C68" s="22" t="s">
        <v>690</v>
      </c>
      <c r="D68" s="139" t="s">
        <v>17</v>
      </c>
      <c r="E68" s="230">
        <v>2772</v>
      </c>
      <c r="F68" s="86">
        <v>2772</v>
      </c>
      <c r="G68" s="86">
        <v>2723.8</v>
      </c>
      <c r="H68" s="85">
        <f t="shared" si="5"/>
        <v>0.98261183261183271</v>
      </c>
      <c r="I68" s="231">
        <v>48.2</v>
      </c>
      <c r="J68" s="250">
        <v>2772</v>
      </c>
      <c r="K68" s="234">
        <v>2772</v>
      </c>
      <c r="L68" s="234">
        <v>2779.73</v>
      </c>
      <c r="M68" s="233">
        <f t="shared" si="3"/>
        <v>1.0027886002886004</v>
      </c>
      <c r="N68" s="251">
        <f>2772-2779.73</f>
        <v>-7.7300000000000182</v>
      </c>
      <c r="O68" s="223">
        <v>2772</v>
      </c>
      <c r="P68" s="86">
        <v>0</v>
      </c>
      <c r="Q68" s="86">
        <v>0</v>
      </c>
      <c r="R68" s="86">
        <v>0</v>
      </c>
      <c r="S68" s="85">
        <f t="shared" si="4"/>
        <v>0</v>
      </c>
      <c r="T68" s="499">
        <v>0</v>
      </c>
      <c r="U68" s="517" t="s">
        <v>849</v>
      </c>
    </row>
    <row r="69" spans="1:21" s="6" customFormat="1" outlineLevel="2" x14ac:dyDescent="0.2">
      <c r="A69" s="135" t="s">
        <v>753</v>
      </c>
      <c r="B69" s="22" t="s">
        <v>697</v>
      </c>
      <c r="C69" s="22" t="s">
        <v>690</v>
      </c>
      <c r="D69" s="139" t="s">
        <v>334</v>
      </c>
      <c r="E69" s="230">
        <v>8718</v>
      </c>
      <c r="F69" s="86">
        <v>8718</v>
      </c>
      <c r="G69" s="86">
        <v>8718</v>
      </c>
      <c r="H69" s="85">
        <f t="shared" si="5"/>
        <v>1</v>
      </c>
      <c r="I69" s="231">
        <v>0</v>
      </c>
      <c r="J69" s="250">
        <v>8718</v>
      </c>
      <c r="K69" s="234">
        <v>5713</v>
      </c>
      <c r="L69" s="234">
        <v>0</v>
      </c>
      <c r="M69" s="233">
        <f t="shared" si="3"/>
        <v>0</v>
      </c>
      <c r="N69" s="251">
        <v>5713</v>
      </c>
      <c r="O69" s="223">
        <v>7158</v>
      </c>
      <c r="P69" s="86">
        <v>0</v>
      </c>
      <c r="Q69" s="86">
        <v>0</v>
      </c>
      <c r="R69" s="86">
        <v>0</v>
      </c>
      <c r="S69" s="85">
        <f t="shared" si="4"/>
        <v>0</v>
      </c>
      <c r="T69" s="499">
        <v>0</v>
      </c>
      <c r="U69" s="517" t="s">
        <v>849</v>
      </c>
    </row>
    <row r="70" spans="1:21" s="6" customFormat="1" outlineLevel="2" x14ac:dyDescent="0.2">
      <c r="A70" s="135" t="s">
        <v>753</v>
      </c>
      <c r="B70" s="22" t="s">
        <v>698</v>
      </c>
      <c r="C70" s="22" t="s">
        <v>690</v>
      </c>
      <c r="D70" s="139" t="s">
        <v>19</v>
      </c>
      <c r="E70" s="230">
        <v>2813</v>
      </c>
      <c r="F70" s="86">
        <v>2814</v>
      </c>
      <c r="G70" s="86">
        <v>2809.65</v>
      </c>
      <c r="H70" s="85">
        <f t="shared" si="5"/>
        <v>0.99880910060433703</v>
      </c>
      <c r="I70" s="231">
        <v>4.3499999999999996</v>
      </c>
      <c r="J70" s="250">
        <v>2813</v>
      </c>
      <c r="K70" s="234">
        <v>5818</v>
      </c>
      <c r="L70" s="234">
        <v>5776.81</v>
      </c>
      <c r="M70" s="233">
        <f t="shared" si="3"/>
        <v>2.0536118023462495</v>
      </c>
      <c r="N70" s="251">
        <f>5818-5776.81</f>
        <v>41.1899999999996</v>
      </c>
      <c r="O70" s="223">
        <v>5818</v>
      </c>
      <c r="P70" s="86">
        <v>5537</v>
      </c>
      <c r="Q70" s="86">
        <v>5542.29</v>
      </c>
      <c r="R70" s="86">
        <v>91.09</v>
      </c>
      <c r="S70" s="85">
        <f t="shared" si="4"/>
        <v>0.95261086283946372</v>
      </c>
      <c r="T70" s="499">
        <v>-96.38</v>
      </c>
      <c r="U70" s="517" t="s">
        <v>850</v>
      </c>
    </row>
    <row r="71" spans="1:21" s="6" customFormat="1" outlineLevel="2" x14ac:dyDescent="0.2">
      <c r="A71" s="135" t="s">
        <v>753</v>
      </c>
      <c r="B71" s="22" t="s">
        <v>699</v>
      </c>
      <c r="C71" s="22" t="s">
        <v>690</v>
      </c>
      <c r="D71" s="139" t="s">
        <v>23</v>
      </c>
      <c r="E71" s="230">
        <v>439</v>
      </c>
      <c r="F71" s="86">
        <v>439</v>
      </c>
      <c r="G71" s="86">
        <v>297.10000000000002</v>
      </c>
      <c r="H71" s="85">
        <f t="shared" si="5"/>
        <v>0.67676537585421415</v>
      </c>
      <c r="I71" s="231">
        <v>141.9</v>
      </c>
      <c r="J71" s="250">
        <v>439</v>
      </c>
      <c r="K71" s="234">
        <v>314</v>
      </c>
      <c r="L71" s="234">
        <v>268.86</v>
      </c>
      <c r="M71" s="233">
        <f t="shared" si="3"/>
        <v>0.61243735763097951</v>
      </c>
      <c r="N71" s="251">
        <v>45.14</v>
      </c>
      <c r="O71" s="223">
        <v>539</v>
      </c>
      <c r="P71" s="86">
        <v>820</v>
      </c>
      <c r="Q71" s="86">
        <v>819.05</v>
      </c>
      <c r="R71" s="86">
        <v>0</v>
      </c>
      <c r="S71" s="85">
        <f t="shared" si="4"/>
        <v>1.5195732838589981</v>
      </c>
      <c r="T71" s="499">
        <v>0.95</v>
      </c>
      <c r="U71" s="517" t="s">
        <v>850</v>
      </c>
    </row>
    <row r="72" spans="1:21" s="6" customFormat="1" outlineLevel="2" x14ac:dyDescent="0.2">
      <c r="A72" s="135" t="s">
        <v>753</v>
      </c>
      <c r="B72" s="22" t="s">
        <v>693</v>
      </c>
      <c r="C72" s="22" t="s">
        <v>690</v>
      </c>
      <c r="D72" s="139" t="s">
        <v>25</v>
      </c>
      <c r="E72" s="230">
        <v>0</v>
      </c>
      <c r="F72" s="86">
        <v>0</v>
      </c>
      <c r="G72" s="86">
        <v>0</v>
      </c>
      <c r="H72" s="85"/>
      <c r="I72" s="231">
        <v>0</v>
      </c>
      <c r="J72" s="250">
        <v>0</v>
      </c>
      <c r="K72" s="234">
        <v>0</v>
      </c>
      <c r="L72" s="234">
        <v>0</v>
      </c>
      <c r="M72" s="233"/>
      <c r="N72" s="251">
        <v>0</v>
      </c>
      <c r="O72" s="223">
        <v>0</v>
      </c>
      <c r="P72" s="86">
        <v>0</v>
      </c>
      <c r="Q72" s="86">
        <v>1914.61</v>
      </c>
      <c r="R72" s="86">
        <v>0</v>
      </c>
      <c r="S72" s="85">
        <v>0</v>
      </c>
      <c r="T72" s="499">
        <v>-1914.61</v>
      </c>
      <c r="U72" s="517"/>
    </row>
    <row r="73" spans="1:21" s="6" customFormat="1" outlineLevel="2" x14ac:dyDescent="0.2">
      <c r="A73" s="135" t="s">
        <v>753</v>
      </c>
      <c r="B73" s="22" t="s">
        <v>700</v>
      </c>
      <c r="C73" s="22" t="s">
        <v>690</v>
      </c>
      <c r="D73" s="139" t="s">
        <v>586</v>
      </c>
      <c r="E73" s="230">
        <v>6763</v>
      </c>
      <c r="F73" s="86">
        <v>6763</v>
      </c>
      <c r="G73" s="86">
        <v>6763</v>
      </c>
      <c r="H73" s="85">
        <f t="shared" si="5"/>
        <v>1</v>
      </c>
      <c r="I73" s="231">
        <v>0</v>
      </c>
      <c r="J73" s="250">
        <v>6763</v>
      </c>
      <c r="K73" s="234">
        <v>6763</v>
      </c>
      <c r="L73" s="234">
        <v>6763</v>
      </c>
      <c r="M73" s="233">
        <f t="shared" si="3"/>
        <v>1</v>
      </c>
      <c r="N73" s="251">
        <f>6763-6763</f>
        <v>0</v>
      </c>
      <c r="O73" s="223">
        <v>6763</v>
      </c>
      <c r="P73" s="86">
        <v>6763</v>
      </c>
      <c r="Q73" s="86">
        <v>6400</v>
      </c>
      <c r="R73" s="86">
        <v>0</v>
      </c>
      <c r="S73" s="85">
        <f t="shared" si="4"/>
        <v>0.9463255951500813</v>
      </c>
      <c r="T73" s="499">
        <v>363</v>
      </c>
      <c r="U73" s="517" t="s">
        <v>849</v>
      </c>
    </row>
    <row r="74" spans="1:21" s="6" customFormat="1" outlineLevel="2" x14ac:dyDescent="0.2">
      <c r="A74" s="135" t="s">
        <v>753</v>
      </c>
      <c r="B74" s="22" t="s">
        <v>701</v>
      </c>
      <c r="C74" s="22" t="s">
        <v>690</v>
      </c>
      <c r="D74" s="139" t="s">
        <v>29</v>
      </c>
      <c r="E74" s="230">
        <v>150</v>
      </c>
      <c r="F74" s="86">
        <v>150</v>
      </c>
      <c r="G74" s="86">
        <v>150</v>
      </c>
      <c r="H74" s="85">
        <f t="shared" si="5"/>
        <v>1</v>
      </c>
      <c r="I74" s="231">
        <v>0</v>
      </c>
      <c r="J74" s="250">
        <v>150</v>
      </c>
      <c r="K74" s="234">
        <v>0</v>
      </c>
      <c r="L74" s="234">
        <v>0</v>
      </c>
      <c r="M74" s="233">
        <f t="shared" ref="M74:M82" si="6">+L74/J74</f>
        <v>0</v>
      </c>
      <c r="N74" s="251">
        <v>0</v>
      </c>
      <c r="O74" s="222"/>
      <c r="P74" s="87"/>
      <c r="Q74" s="87"/>
      <c r="R74" s="87"/>
      <c r="S74" s="85"/>
      <c r="T74" s="500"/>
      <c r="U74" s="517"/>
    </row>
    <row r="75" spans="1:21" s="6" customFormat="1" outlineLevel="2" x14ac:dyDescent="0.2">
      <c r="A75" s="135" t="s">
        <v>753</v>
      </c>
      <c r="B75" s="22" t="s">
        <v>702</v>
      </c>
      <c r="C75" s="22" t="s">
        <v>690</v>
      </c>
      <c r="D75" s="139" t="s">
        <v>31</v>
      </c>
      <c r="E75" s="230">
        <v>533</v>
      </c>
      <c r="F75" s="86">
        <v>233</v>
      </c>
      <c r="G75" s="86">
        <v>94</v>
      </c>
      <c r="H75" s="85">
        <f t="shared" si="5"/>
        <v>0.17636022514071295</v>
      </c>
      <c r="I75" s="231">
        <v>139</v>
      </c>
      <c r="J75" s="250">
        <v>533</v>
      </c>
      <c r="K75" s="234">
        <v>733</v>
      </c>
      <c r="L75" s="234">
        <v>733</v>
      </c>
      <c r="M75" s="233">
        <f t="shared" si="6"/>
        <v>1.3752345215759849</v>
      </c>
      <c r="N75" s="251">
        <v>0</v>
      </c>
      <c r="O75" s="223">
        <v>508</v>
      </c>
      <c r="P75" s="86">
        <v>508</v>
      </c>
      <c r="Q75" s="86">
        <v>0</v>
      </c>
      <c r="R75" s="86">
        <v>0</v>
      </c>
      <c r="S75" s="85">
        <f t="shared" ref="S75:S82" si="7">+Q75/O75</f>
        <v>0</v>
      </c>
      <c r="T75" s="499">
        <v>508</v>
      </c>
      <c r="U75" s="517" t="s">
        <v>850</v>
      </c>
    </row>
    <row r="76" spans="1:21" s="6" customFormat="1" outlineLevel="2" x14ac:dyDescent="0.2">
      <c r="A76" s="135" t="s">
        <v>753</v>
      </c>
      <c r="B76" s="22" t="s">
        <v>703</v>
      </c>
      <c r="C76" s="22" t="s">
        <v>690</v>
      </c>
      <c r="D76" s="139" t="s">
        <v>704</v>
      </c>
      <c r="E76" s="230">
        <v>2208</v>
      </c>
      <c r="F76" s="86">
        <v>2208</v>
      </c>
      <c r="G76" s="86">
        <v>2208</v>
      </c>
      <c r="H76" s="85">
        <f t="shared" si="5"/>
        <v>1</v>
      </c>
      <c r="I76" s="231">
        <v>0</v>
      </c>
      <c r="J76" s="250">
        <v>2208</v>
      </c>
      <c r="K76" s="234">
        <v>2208</v>
      </c>
      <c r="L76" s="234">
        <v>2208</v>
      </c>
      <c r="M76" s="233">
        <f t="shared" si="6"/>
        <v>1</v>
      </c>
      <c r="N76" s="251">
        <f>2208-2208</f>
        <v>0</v>
      </c>
      <c r="O76" s="223">
        <v>2208</v>
      </c>
      <c r="P76" s="86">
        <v>2208</v>
      </c>
      <c r="Q76" s="86">
        <v>2208</v>
      </c>
      <c r="R76" s="86">
        <v>0</v>
      </c>
      <c r="S76" s="85">
        <f t="shared" si="7"/>
        <v>1</v>
      </c>
      <c r="T76" s="499">
        <v>0</v>
      </c>
      <c r="U76" s="517" t="s">
        <v>850</v>
      </c>
    </row>
    <row r="77" spans="1:21" s="6" customFormat="1" outlineLevel="2" x14ac:dyDescent="0.2">
      <c r="A77" s="135" t="s">
        <v>753</v>
      </c>
      <c r="B77" s="22" t="s">
        <v>705</v>
      </c>
      <c r="C77" s="22" t="s">
        <v>690</v>
      </c>
      <c r="D77" s="139" t="s">
        <v>37</v>
      </c>
      <c r="E77" s="230">
        <v>430</v>
      </c>
      <c r="F77" s="86">
        <v>730</v>
      </c>
      <c r="G77" s="86">
        <v>725</v>
      </c>
      <c r="H77" s="85">
        <f t="shared" si="5"/>
        <v>1.6860465116279071</v>
      </c>
      <c r="I77" s="231">
        <v>5</v>
      </c>
      <c r="J77" s="250">
        <v>430</v>
      </c>
      <c r="K77" s="234">
        <v>650</v>
      </c>
      <c r="L77" s="234">
        <v>650</v>
      </c>
      <c r="M77" s="233">
        <f t="shared" si="6"/>
        <v>1.5116279069767442</v>
      </c>
      <c r="N77" s="251">
        <v>0</v>
      </c>
      <c r="O77" s="223">
        <v>650</v>
      </c>
      <c r="P77" s="86">
        <v>650</v>
      </c>
      <c r="Q77" s="86">
        <v>412</v>
      </c>
      <c r="R77" s="86">
        <v>0</v>
      </c>
      <c r="S77" s="85">
        <f t="shared" si="7"/>
        <v>0.63384615384615384</v>
      </c>
      <c r="T77" s="499">
        <v>238</v>
      </c>
      <c r="U77" s="517" t="s">
        <v>850</v>
      </c>
    </row>
    <row r="78" spans="1:21" s="6" customFormat="1" outlineLevel="2" x14ac:dyDescent="0.2">
      <c r="A78" s="135" t="s">
        <v>753</v>
      </c>
      <c r="B78" s="22" t="s">
        <v>706</v>
      </c>
      <c r="C78" s="22" t="s">
        <v>690</v>
      </c>
      <c r="D78" s="139" t="s">
        <v>707</v>
      </c>
      <c r="E78" s="230">
        <v>7809</v>
      </c>
      <c r="F78" s="86">
        <v>7809</v>
      </c>
      <c r="G78" s="86">
        <v>7142.9</v>
      </c>
      <c r="H78" s="85">
        <f t="shared" si="5"/>
        <v>0.91470098604174666</v>
      </c>
      <c r="I78" s="231">
        <v>666.1</v>
      </c>
      <c r="J78" s="250">
        <v>7809</v>
      </c>
      <c r="K78" s="234"/>
      <c r="L78" s="234">
        <v>7809</v>
      </c>
      <c r="M78" s="233">
        <f t="shared" si="6"/>
        <v>1</v>
      </c>
      <c r="N78" s="251">
        <v>-7809</v>
      </c>
      <c r="O78" s="223">
        <v>7809</v>
      </c>
      <c r="P78" s="86">
        <v>7809</v>
      </c>
      <c r="Q78" s="86">
        <v>140.04</v>
      </c>
      <c r="R78" s="86">
        <v>3780.49</v>
      </c>
      <c r="S78" s="85">
        <f t="shared" si="7"/>
        <v>1.7933154053015751E-2</v>
      </c>
      <c r="T78" s="499">
        <v>3888.47</v>
      </c>
      <c r="U78" s="517" t="s">
        <v>848</v>
      </c>
    </row>
    <row r="79" spans="1:21" s="6" customFormat="1" outlineLevel="2" x14ac:dyDescent="0.2">
      <c r="A79" s="135" t="s">
        <v>753</v>
      </c>
      <c r="B79" s="22" t="s">
        <v>716</v>
      </c>
      <c r="C79" s="22" t="s">
        <v>715</v>
      </c>
      <c r="D79" s="139" t="s">
        <v>17</v>
      </c>
      <c r="E79" s="230">
        <v>448</v>
      </c>
      <c r="F79" s="86">
        <v>759</v>
      </c>
      <c r="G79" s="86">
        <v>757.45</v>
      </c>
      <c r="H79" s="85">
        <f t="shared" si="5"/>
        <v>1.6907366071428573</v>
      </c>
      <c r="I79" s="231">
        <v>1.55</v>
      </c>
      <c r="J79" s="250">
        <v>448</v>
      </c>
      <c r="K79" s="234">
        <v>148</v>
      </c>
      <c r="L79" s="234">
        <v>147.80000000000001</v>
      </c>
      <c r="M79" s="233">
        <f t="shared" si="6"/>
        <v>0.32991071428571433</v>
      </c>
      <c r="N79" s="251">
        <f>148-147.8</f>
        <v>0.19999999999998863</v>
      </c>
      <c r="O79" s="222"/>
      <c r="P79" s="87"/>
      <c r="Q79" s="87"/>
      <c r="R79" s="87"/>
      <c r="S79" s="85"/>
      <c r="T79" s="500"/>
      <c r="U79" s="517"/>
    </row>
    <row r="80" spans="1:21" s="6" customFormat="1" outlineLevel="2" x14ac:dyDescent="0.2">
      <c r="A80" s="135" t="s">
        <v>753</v>
      </c>
      <c r="B80" s="22" t="s">
        <v>717</v>
      </c>
      <c r="C80" s="22" t="s">
        <v>715</v>
      </c>
      <c r="D80" s="139" t="s">
        <v>246</v>
      </c>
      <c r="E80" s="230">
        <v>364</v>
      </c>
      <c r="F80" s="86">
        <v>267</v>
      </c>
      <c r="G80" s="86">
        <v>266.48</v>
      </c>
      <c r="H80" s="85">
        <f t="shared" si="5"/>
        <v>0.73208791208791213</v>
      </c>
      <c r="I80" s="231">
        <v>0.52</v>
      </c>
      <c r="J80" s="250">
        <v>364</v>
      </c>
      <c r="K80" s="234">
        <v>0</v>
      </c>
      <c r="L80" s="234">
        <v>0</v>
      </c>
      <c r="M80" s="233">
        <f t="shared" si="6"/>
        <v>0</v>
      </c>
      <c r="N80" s="251">
        <v>0</v>
      </c>
      <c r="O80" s="222"/>
      <c r="P80" s="87"/>
      <c r="Q80" s="87"/>
      <c r="R80" s="87"/>
      <c r="S80" s="85"/>
      <c r="T80" s="500"/>
      <c r="U80" s="517"/>
    </row>
    <row r="81" spans="1:21" s="6" customFormat="1" outlineLevel="2" x14ac:dyDescent="0.2">
      <c r="A81" s="135" t="s">
        <v>753</v>
      </c>
      <c r="B81" s="22" t="s">
        <v>730</v>
      </c>
      <c r="C81" s="22" t="s">
        <v>731</v>
      </c>
      <c r="D81" s="139" t="s">
        <v>35</v>
      </c>
      <c r="E81" s="230">
        <v>33700</v>
      </c>
      <c r="F81" s="86">
        <v>34005</v>
      </c>
      <c r="G81" s="86">
        <v>34005</v>
      </c>
      <c r="H81" s="85">
        <f t="shared" si="5"/>
        <v>1.0090504451038576</v>
      </c>
      <c r="I81" s="231">
        <v>0</v>
      </c>
      <c r="J81" s="250">
        <v>0</v>
      </c>
      <c r="K81" s="234">
        <v>0</v>
      </c>
      <c r="L81" s="234">
        <v>378.87</v>
      </c>
      <c r="M81" s="233">
        <v>0</v>
      </c>
      <c r="N81" s="251">
        <v>-378.87</v>
      </c>
      <c r="O81" s="223">
        <v>0</v>
      </c>
      <c r="P81" s="86">
        <v>37971</v>
      </c>
      <c r="Q81" s="86">
        <v>36427.35</v>
      </c>
      <c r="R81" s="86">
        <v>1438.65</v>
      </c>
      <c r="S81" s="85">
        <v>0</v>
      </c>
      <c r="T81" s="499">
        <v>105</v>
      </c>
      <c r="U81" s="517" t="s">
        <v>850</v>
      </c>
    </row>
    <row r="82" spans="1:21" s="6" customFormat="1" ht="13.5" outlineLevel="1" thickBot="1" x14ac:dyDescent="0.25">
      <c r="A82" s="98" t="s">
        <v>770</v>
      </c>
      <c r="B82" s="3"/>
      <c r="C82" s="3"/>
      <c r="D82" s="3"/>
      <c r="E82" s="225">
        <f>SUBTOTAL(9,E3:E81)</f>
        <v>128812</v>
      </c>
      <c r="F82" s="209">
        <f>SUBTOTAL(9,F3:F81)</f>
        <v>134590</v>
      </c>
      <c r="G82" s="209">
        <f>SUBTOTAL(9,G3:G81)</f>
        <v>150640.41999999998</v>
      </c>
      <c r="H82" s="210">
        <f t="shared" si="5"/>
        <v>1.1694595224047448</v>
      </c>
      <c r="I82" s="220">
        <f>SUBTOTAL(9,I3:I81)</f>
        <v>-16050.42</v>
      </c>
      <c r="J82" s="225">
        <f>SUBTOTAL(9,J3:J81)</f>
        <v>96995</v>
      </c>
      <c r="K82" s="209">
        <f>SUBTOTAL(9,K3:K81)</f>
        <v>81006</v>
      </c>
      <c r="L82" s="209">
        <f>SUBTOTAL(9,L3:L81)</f>
        <v>81196.150000000009</v>
      </c>
      <c r="M82" s="210">
        <f t="shared" si="6"/>
        <v>0.83711686169390187</v>
      </c>
      <c r="N82" s="220">
        <f>SUBTOTAL(9,N3:N81)</f>
        <v>-190.14999999999958</v>
      </c>
      <c r="O82" s="209">
        <f>SUBTOTAL(9,O3:O81)</f>
        <v>96995</v>
      </c>
      <c r="P82" s="209">
        <f>SUBTOTAL(9,P3:P81)</f>
        <v>119545</v>
      </c>
      <c r="Q82" s="209">
        <f>SUBTOTAL(9,Q3:Q81)</f>
        <v>86421.55</v>
      </c>
      <c r="R82" s="209">
        <f>SUBTOTAL(9,R3:R81)</f>
        <v>7605.9</v>
      </c>
      <c r="S82" s="210">
        <f t="shared" si="7"/>
        <v>0.89098974173926493</v>
      </c>
      <c r="T82" s="502">
        <f>SUBTOTAL(9,T3:T81)</f>
        <v>25517.55</v>
      </c>
      <c r="U82" s="509"/>
    </row>
    <row r="83" spans="1:21" ht="14.25" thickTop="1" thickBot="1" x14ac:dyDescent="0.25">
      <c r="A83" s="100"/>
      <c r="B83" s="91"/>
      <c r="C83" s="91"/>
      <c r="D83" s="91"/>
      <c r="E83" s="27"/>
      <c r="F83" s="91"/>
      <c r="G83" s="91"/>
      <c r="H83" s="91"/>
      <c r="I83" s="38"/>
      <c r="J83" s="27"/>
      <c r="K83" s="91"/>
      <c r="L83" s="91"/>
      <c r="M83" s="91"/>
      <c r="N83" s="38"/>
      <c r="O83" s="91"/>
      <c r="P83" s="91"/>
      <c r="Q83" s="91"/>
      <c r="R83" s="91"/>
      <c r="S83" s="91"/>
      <c r="T83" s="91"/>
      <c r="U83" s="510"/>
    </row>
    <row r="85" spans="1:21" x14ac:dyDescent="0.2">
      <c r="U85" t="s">
        <v>856</v>
      </c>
    </row>
    <row r="87" spans="1:21" x14ac:dyDescent="0.2">
      <c r="C87" t="s">
        <v>859</v>
      </c>
      <c r="D87" t="s">
        <v>857</v>
      </c>
      <c r="O87" s="605">
        <f>SUM(O65:O81)</f>
        <v>66996</v>
      </c>
      <c r="P87" s="605">
        <f>-2772-7158-6763-7809</f>
        <v>-24502</v>
      </c>
      <c r="Q87" s="607">
        <f>+O87+P87</f>
        <v>42494</v>
      </c>
    </row>
    <row r="88" spans="1:21" x14ac:dyDescent="0.2">
      <c r="C88" t="s">
        <v>860</v>
      </c>
      <c r="D88" t="s">
        <v>858</v>
      </c>
      <c r="O88" s="605"/>
      <c r="P88" s="605"/>
      <c r="Q88" s="607">
        <f>-P87+40000</f>
        <v>64502</v>
      </c>
    </row>
    <row r="90" spans="1:21" x14ac:dyDescent="0.2">
      <c r="C90" t="s">
        <v>859</v>
      </c>
      <c r="D90" t="s">
        <v>861</v>
      </c>
    </row>
    <row r="91" spans="1:21" x14ac:dyDescent="0.2">
      <c r="C91" t="s">
        <v>859</v>
      </c>
      <c r="D91" t="s">
        <v>126</v>
      </c>
      <c r="Q91" s="606">
        <f>+O3+O4+O5</f>
        <v>2285</v>
      </c>
    </row>
  </sheetData>
  <mergeCells count="3">
    <mergeCell ref="E1:I1"/>
    <mergeCell ref="J1:N1"/>
    <mergeCell ref="O1:T1"/>
  </mergeCells>
  <printOptions horizontalCentered="1" gridLines="1"/>
  <pageMargins left="0" right="0" top="0.75" bottom="0.75" header="0.3" footer="0.3"/>
  <pageSetup paperSize="5" scale="85" orientation="landscape" r:id="rId1"/>
  <headerFooter>
    <oddHeader>&amp;CMISSION COLLEGE
Fund 100 - Operating Budget vs Actual Spending for FY10/11, FY11/12 &amp; FY12/13</oddHeader>
    <oddFooter>&amp;ROffice of Administrative Services
&amp;Z&amp;F &amp;A   March 20, 2013 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opLeftCell="A23" workbookViewId="0">
      <selection activeCell="G36" sqref="G36"/>
    </sheetView>
  </sheetViews>
  <sheetFormatPr defaultRowHeight="12.75" x14ac:dyDescent="0.2"/>
  <cols>
    <col min="1" max="1" width="12.85546875" style="20" bestFit="1" customWidth="1"/>
    <col min="2" max="2" width="20.42578125" bestFit="1" customWidth="1"/>
    <col min="3" max="3" width="18.42578125" bestFit="1" customWidth="1"/>
    <col min="4" max="4" width="12" bestFit="1" customWidth="1"/>
    <col min="5" max="5" width="19.5703125" hidden="1" customWidth="1"/>
    <col min="6" max="6" width="11.7109375" bestFit="1" customWidth="1"/>
    <col min="7" max="7" width="10.7109375" bestFit="1" customWidth="1"/>
    <col min="8" max="8" width="9.140625" bestFit="1" customWidth="1"/>
    <col min="9" max="9" width="9.28515625" bestFit="1" customWidth="1"/>
    <col min="10" max="10" width="10.140625" bestFit="1" customWidth="1"/>
    <col min="11" max="11" width="8.85546875" style="37"/>
    <col min="12" max="12" width="25.7109375" customWidth="1"/>
  </cols>
  <sheetData>
    <row r="1" spans="1:12" ht="13.5" thickBot="1" x14ac:dyDescent="0.25">
      <c r="A1" s="293"/>
      <c r="B1" s="294"/>
      <c r="C1" s="295"/>
      <c r="D1" s="296"/>
      <c r="E1" s="295"/>
      <c r="F1" s="269" t="s">
        <v>0</v>
      </c>
      <c r="G1" s="269" t="s">
        <v>1</v>
      </c>
      <c r="H1" s="269" t="s">
        <v>795</v>
      </c>
      <c r="I1" s="269" t="s">
        <v>2</v>
      </c>
      <c r="J1" s="270" t="s">
        <v>3</v>
      </c>
      <c r="K1" s="271"/>
      <c r="L1" s="272" t="s">
        <v>824</v>
      </c>
    </row>
    <row r="2" spans="1:12" x14ac:dyDescent="0.2">
      <c r="A2" s="290" t="s">
        <v>747</v>
      </c>
      <c r="B2" s="122" t="s">
        <v>814</v>
      </c>
      <c r="C2" s="122" t="s">
        <v>517</v>
      </c>
      <c r="D2" s="291" t="s">
        <v>17</v>
      </c>
      <c r="E2" s="292" t="s">
        <v>518</v>
      </c>
      <c r="F2" s="264">
        <v>436</v>
      </c>
      <c r="G2" s="265">
        <v>436</v>
      </c>
      <c r="H2" s="265">
        <v>0</v>
      </c>
      <c r="I2" s="265">
        <v>0</v>
      </c>
      <c r="J2" s="266">
        <v>436</v>
      </c>
      <c r="K2" s="267">
        <f>J2/F2</f>
        <v>1</v>
      </c>
      <c r="L2" s="268"/>
    </row>
    <row r="3" spans="1:12" x14ac:dyDescent="0.2">
      <c r="A3" s="31" t="s">
        <v>745</v>
      </c>
      <c r="B3" s="32" t="s">
        <v>796</v>
      </c>
      <c r="C3" s="32" t="s">
        <v>325</v>
      </c>
      <c r="D3" s="277" t="s">
        <v>17</v>
      </c>
      <c r="E3" s="274" t="s">
        <v>319</v>
      </c>
      <c r="F3" s="257">
        <v>6615</v>
      </c>
      <c r="G3" s="33">
        <v>6615</v>
      </c>
      <c r="H3" s="33">
        <v>1495.45</v>
      </c>
      <c r="I3" s="33">
        <v>785.51</v>
      </c>
      <c r="J3" s="40">
        <v>4334.04</v>
      </c>
      <c r="K3" s="258">
        <f t="shared" ref="K3:K29" si="0">J3/F3</f>
        <v>0.65518367346938777</v>
      </c>
      <c r="L3" s="44"/>
    </row>
    <row r="4" spans="1:12" x14ac:dyDescent="0.2">
      <c r="A4" s="31" t="s">
        <v>745</v>
      </c>
      <c r="B4" s="32" t="s">
        <v>801</v>
      </c>
      <c r="C4" s="32" t="s">
        <v>370</v>
      </c>
      <c r="D4" s="277" t="s">
        <v>17</v>
      </c>
      <c r="E4" s="274" t="s">
        <v>347</v>
      </c>
      <c r="F4" s="257">
        <v>50</v>
      </c>
      <c r="G4" s="33">
        <v>50</v>
      </c>
      <c r="H4" s="33">
        <v>17.329999999999998</v>
      </c>
      <c r="I4" s="33">
        <v>32.67</v>
      </c>
      <c r="J4" s="40">
        <v>0</v>
      </c>
      <c r="K4" s="258">
        <f t="shared" si="0"/>
        <v>0</v>
      </c>
      <c r="L4" s="44"/>
    </row>
    <row r="5" spans="1:12" x14ac:dyDescent="0.2">
      <c r="A5" s="31" t="s">
        <v>745</v>
      </c>
      <c r="B5" s="32" t="s">
        <v>807</v>
      </c>
      <c r="C5" s="32" t="s">
        <v>431</v>
      </c>
      <c r="D5" s="277" t="s">
        <v>17</v>
      </c>
      <c r="E5" s="274" t="s">
        <v>399</v>
      </c>
      <c r="F5" s="257">
        <v>2160</v>
      </c>
      <c r="G5" s="33">
        <v>2160</v>
      </c>
      <c r="H5" s="33">
        <v>459.44</v>
      </c>
      <c r="I5" s="33">
        <v>531.04</v>
      </c>
      <c r="J5" s="40">
        <v>1169.52</v>
      </c>
      <c r="K5" s="258">
        <f t="shared" si="0"/>
        <v>0.54144444444444439</v>
      </c>
      <c r="L5" s="44"/>
    </row>
    <row r="6" spans="1:12" x14ac:dyDescent="0.2">
      <c r="A6" s="31" t="s">
        <v>745</v>
      </c>
      <c r="B6" s="32" t="s">
        <v>808</v>
      </c>
      <c r="C6" s="32" t="s">
        <v>459</v>
      </c>
      <c r="D6" s="277" t="s">
        <v>17</v>
      </c>
      <c r="E6" s="274" t="s">
        <v>457</v>
      </c>
      <c r="F6" s="257">
        <v>2800</v>
      </c>
      <c r="G6" s="33">
        <v>2800</v>
      </c>
      <c r="H6" s="33">
        <v>300.02999999999997</v>
      </c>
      <c r="I6" s="33">
        <v>2399.9699999999998</v>
      </c>
      <c r="J6" s="40">
        <v>100</v>
      </c>
      <c r="K6" s="258">
        <f t="shared" si="0"/>
        <v>3.5714285714285712E-2</v>
      </c>
      <c r="L6" s="44"/>
    </row>
    <row r="7" spans="1:12" x14ac:dyDescent="0.2">
      <c r="A7" s="31" t="s">
        <v>745</v>
      </c>
      <c r="B7" s="32" t="s">
        <v>809</v>
      </c>
      <c r="C7" s="32" t="s">
        <v>471</v>
      </c>
      <c r="D7" s="277" t="s">
        <v>17</v>
      </c>
      <c r="E7" s="274" t="s">
        <v>470</v>
      </c>
      <c r="F7" s="257">
        <v>24000</v>
      </c>
      <c r="G7" s="33">
        <v>24000</v>
      </c>
      <c r="H7" s="33">
        <v>15766.05</v>
      </c>
      <c r="I7" s="33">
        <v>502.54</v>
      </c>
      <c r="J7" s="40">
        <v>7731.41</v>
      </c>
      <c r="K7" s="258">
        <f t="shared" si="0"/>
        <v>0.32214208333333333</v>
      </c>
      <c r="L7" s="44"/>
    </row>
    <row r="8" spans="1:12" x14ac:dyDescent="0.2">
      <c r="A8" s="31" t="s">
        <v>745</v>
      </c>
      <c r="B8" s="32" t="s">
        <v>810</v>
      </c>
      <c r="C8" s="32" t="s">
        <v>478</v>
      </c>
      <c r="D8" s="277" t="s">
        <v>17</v>
      </c>
      <c r="E8" s="274" t="s">
        <v>470</v>
      </c>
      <c r="F8" s="257">
        <v>19275</v>
      </c>
      <c r="G8" s="33">
        <v>22525</v>
      </c>
      <c r="H8" s="33">
        <v>4911.38</v>
      </c>
      <c r="I8" s="33">
        <v>2140.1</v>
      </c>
      <c r="J8" s="40">
        <v>15473.52</v>
      </c>
      <c r="K8" s="258">
        <f t="shared" si="0"/>
        <v>0.80277665369649809</v>
      </c>
      <c r="L8" s="44"/>
    </row>
    <row r="9" spans="1:12" x14ac:dyDescent="0.2">
      <c r="A9" s="31" t="s">
        <v>745</v>
      </c>
      <c r="B9" s="32" t="s">
        <v>811</v>
      </c>
      <c r="C9" s="32" t="s">
        <v>483</v>
      </c>
      <c r="D9" s="277" t="s">
        <v>17</v>
      </c>
      <c r="E9" s="274" t="s">
        <v>470</v>
      </c>
      <c r="F9" s="257">
        <v>7000</v>
      </c>
      <c r="G9" s="33">
        <v>7000</v>
      </c>
      <c r="H9" s="33">
        <v>4994.8</v>
      </c>
      <c r="I9" s="33">
        <v>870.06</v>
      </c>
      <c r="J9" s="40">
        <v>1135.1400000000001</v>
      </c>
      <c r="K9" s="258">
        <f t="shared" si="0"/>
        <v>0.16216285714285716</v>
      </c>
      <c r="L9" s="44"/>
    </row>
    <row r="10" spans="1:12" x14ac:dyDescent="0.2">
      <c r="A10" s="31" t="s">
        <v>745</v>
      </c>
      <c r="B10" s="32" t="s">
        <v>812</v>
      </c>
      <c r="C10" s="32" t="s">
        <v>487</v>
      </c>
      <c r="D10" s="277" t="s">
        <v>17</v>
      </c>
      <c r="E10" s="274" t="s">
        <v>470</v>
      </c>
      <c r="F10" s="257">
        <v>500</v>
      </c>
      <c r="G10" s="33">
        <v>500</v>
      </c>
      <c r="H10" s="33">
        <v>302.74</v>
      </c>
      <c r="I10" s="33">
        <v>65.16</v>
      </c>
      <c r="J10" s="40">
        <v>132.1</v>
      </c>
      <c r="K10" s="258">
        <f t="shared" si="0"/>
        <v>0.26419999999999999</v>
      </c>
      <c r="L10" s="44"/>
    </row>
    <row r="11" spans="1:12" x14ac:dyDescent="0.2">
      <c r="A11" s="25" t="s">
        <v>823</v>
      </c>
      <c r="B11" s="22" t="s">
        <v>818</v>
      </c>
      <c r="C11" s="22" t="s">
        <v>637</v>
      </c>
      <c r="D11" s="276" t="s">
        <v>17</v>
      </c>
      <c r="E11" s="273" t="s">
        <v>638</v>
      </c>
      <c r="F11" s="255">
        <v>1400</v>
      </c>
      <c r="G11" s="23">
        <v>1400</v>
      </c>
      <c r="H11" s="23">
        <v>75.510000000000005</v>
      </c>
      <c r="I11" s="23">
        <v>0</v>
      </c>
      <c r="J11" s="39">
        <v>1324.49</v>
      </c>
      <c r="K11" s="256">
        <f t="shared" si="0"/>
        <v>0.94606428571428569</v>
      </c>
      <c r="L11" s="42"/>
    </row>
    <row r="12" spans="1:12" x14ac:dyDescent="0.2">
      <c r="A12" s="34" t="s">
        <v>746</v>
      </c>
      <c r="B12" s="35" t="s">
        <v>797</v>
      </c>
      <c r="C12" s="35" t="s">
        <v>340</v>
      </c>
      <c r="D12" s="278" t="s">
        <v>17</v>
      </c>
      <c r="E12" s="275" t="s">
        <v>319</v>
      </c>
      <c r="F12" s="259">
        <v>4500</v>
      </c>
      <c r="G12" s="36">
        <v>4500</v>
      </c>
      <c r="H12" s="36">
        <v>846.49</v>
      </c>
      <c r="I12" s="36">
        <v>929.7</v>
      </c>
      <c r="J12" s="41">
        <v>2723.81</v>
      </c>
      <c r="K12" s="260">
        <f t="shared" si="0"/>
        <v>0.60529111111111111</v>
      </c>
      <c r="L12" s="43"/>
    </row>
    <row r="13" spans="1:12" x14ac:dyDescent="0.2">
      <c r="A13" s="34" t="s">
        <v>746</v>
      </c>
      <c r="B13" s="35" t="s">
        <v>798</v>
      </c>
      <c r="C13" s="35" t="s">
        <v>351</v>
      </c>
      <c r="D13" s="278" t="s">
        <v>17</v>
      </c>
      <c r="E13" s="275" t="s">
        <v>347</v>
      </c>
      <c r="F13" s="259">
        <v>1225</v>
      </c>
      <c r="G13" s="36">
        <v>1225</v>
      </c>
      <c r="H13" s="36">
        <v>286.01</v>
      </c>
      <c r="I13" s="36">
        <v>393.99</v>
      </c>
      <c r="J13" s="41">
        <v>545</v>
      </c>
      <c r="K13" s="260">
        <f t="shared" si="0"/>
        <v>0.44489795918367347</v>
      </c>
      <c r="L13" s="43"/>
    </row>
    <row r="14" spans="1:12" s="20" customFormat="1" x14ac:dyDescent="0.2">
      <c r="A14" s="34" t="s">
        <v>746</v>
      </c>
      <c r="B14" s="35" t="s">
        <v>845</v>
      </c>
      <c r="C14" s="35" t="s">
        <v>541</v>
      </c>
      <c r="D14" s="278" t="s">
        <v>17</v>
      </c>
      <c r="E14" s="275"/>
      <c r="F14" s="259"/>
      <c r="G14" s="36"/>
      <c r="H14" s="36"/>
      <c r="I14" s="36"/>
      <c r="J14" s="41"/>
      <c r="K14" s="260"/>
      <c r="L14" s="601" t="s">
        <v>846</v>
      </c>
    </row>
    <row r="15" spans="1:12" x14ac:dyDescent="0.2">
      <c r="A15" s="34" t="s">
        <v>746</v>
      </c>
      <c r="B15" s="35" t="s">
        <v>799</v>
      </c>
      <c r="C15" s="35" t="s">
        <v>355</v>
      </c>
      <c r="D15" s="278" t="s">
        <v>17</v>
      </c>
      <c r="E15" s="275" t="s">
        <v>347</v>
      </c>
      <c r="F15" s="259">
        <v>150</v>
      </c>
      <c r="G15" s="36">
        <v>150</v>
      </c>
      <c r="H15" s="36">
        <v>0</v>
      </c>
      <c r="I15" s="36">
        <v>150</v>
      </c>
      <c r="J15" s="41">
        <v>0</v>
      </c>
      <c r="K15" s="260">
        <f t="shared" si="0"/>
        <v>0</v>
      </c>
      <c r="L15" s="43" t="s">
        <v>844</v>
      </c>
    </row>
    <row r="16" spans="1:12" x14ac:dyDescent="0.2">
      <c r="A16" s="34" t="s">
        <v>746</v>
      </c>
      <c r="B16" s="35" t="s">
        <v>800</v>
      </c>
      <c r="C16" s="35" t="s">
        <v>358</v>
      </c>
      <c r="D16" s="278" t="s">
        <v>17</v>
      </c>
      <c r="E16" s="275" t="s">
        <v>347</v>
      </c>
      <c r="F16" s="259">
        <v>450</v>
      </c>
      <c r="G16" s="36">
        <v>450</v>
      </c>
      <c r="H16" s="36">
        <v>0</v>
      </c>
      <c r="I16" s="36">
        <v>450</v>
      </c>
      <c r="J16" s="41">
        <v>0</v>
      </c>
      <c r="K16" s="260">
        <f t="shared" si="0"/>
        <v>0</v>
      </c>
      <c r="L16" s="43" t="s">
        <v>844</v>
      </c>
    </row>
    <row r="17" spans="1:12" x14ac:dyDescent="0.2">
      <c r="A17" s="34" t="s">
        <v>746</v>
      </c>
      <c r="B17" s="35" t="s">
        <v>802</v>
      </c>
      <c r="C17" s="35" t="s">
        <v>373</v>
      </c>
      <c r="D17" s="278" t="s">
        <v>17</v>
      </c>
      <c r="E17" s="275" t="s">
        <v>347</v>
      </c>
      <c r="F17" s="259">
        <v>2000</v>
      </c>
      <c r="G17" s="36">
        <v>2000</v>
      </c>
      <c r="H17" s="36">
        <v>2000</v>
      </c>
      <c r="I17" s="36">
        <v>0</v>
      </c>
      <c r="J17" s="41">
        <v>0</v>
      </c>
      <c r="K17" s="260">
        <f t="shared" si="0"/>
        <v>0</v>
      </c>
      <c r="L17" s="43"/>
    </row>
    <row r="18" spans="1:12" x14ac:dyDescent="0.2">
      <c r="A18" s="34" t="s">
        <v>746</v>
      </c>
      <c r="B18" s="35" t="s">
        <v>803</v>
      </c>
      <c r="C18" s="35" t="s">
        <v>388</v>
      </c>
      <c r="D18" s="278" t="s">
        <v>17</v>
      </c>
      <c r="E18" s="275" t="s">
        <v>376</v>
      </c>
      <c r="F18" s="259">
        <v>1590</v>
      </c>
      <c r="G18" s="36">
        <v>1590</v>
      </c>
      <c r="H18" s="36">
        <v>119.42</v>
      </c>
      <c r="I18" s="36">
        <v>0</v>
      </c>
      <c r="J18" s="41">
        <v>1470.58</v>
      </c>
      <c r="K18" s="260">
        <f t="shared" si="0"/>
        <v>0.92489308176100626</v>
      </c>
      <c r="L18" s="43"/>
    </row>
    <row r="19" spans="1:12" x14ac:dyDescent="0.2">
      <c r="A19" s="34" t="s">
        <v>746</v>
      </c>
      <c r="B19" s="35" t="s">
        <v>805</v>
      </c>
      <c r="C19" s="35" t="s">
        <v>421</v>
      </c>
      <c r="D19" s="278" t="s">
        <v>17</v>
      </c>
      <c r="E19" s="275" t="s">
        <v>399</v>
      </c>
      <c r="F19" s="259">
        <v>1900</v>
      </c>
      <c r="G19" s="36">
        <v>1900</v>
      </c>
      <c r="H19" s="36">
        <v>525.5</v>
      </c>
      <c r="I19" s="36">
        <v>1374.5</v>
      </c>
      <c r="J19" s="41">
        <v>0</v>
      </c>
      <c r="K19" s="260">
        <f t="shared" si="0"/>
        <v>0</v>
      </c>
      <c r="L19" s="43"/>
    </row>
    <row r="20" spans="1:12" x14ac:dyDescent="0.2">
      <c r="A20" s="34" t="s">
        <v>746</v>
      </c>
      <c r="B20" s="35" t="s">
        <v>806</v>
      </c>
      <c r="C20" s="35" t="s">
        <v>424</v>
      </c>
      <c r="D20" s="278" t="s">
        <v>17</v>
      </c>
      <c r="E20" s="275" t="s">
        <v>399</v>
      </c>
      <c r="F20" s="259">
        <v>1116</v>
      </c>
      <c r="G20" s="36">
        <v>1116</v>
      </c>
      <c r="H20" s="36">
        <v>1063.6400000000001</v>
      </c>
      <c r="I20" s="36">
        <v>52.36</v>
      </c>
      <c r="J20" s="41">
        <v>0</v>
      </c>
      <c r="K20" s="260">
        <f t="shared" si="0"/>
        <v>0</v>
      </c>
      <c r="L20" s="43"/>
    </row>
    <row r="21" spans="1:12" x14ac:dyDescent="0.2">
      <c r="A21" s="34" t="s">
        <v>746</v>
      </c>
      <c r="B21" s="35" t="s">
        <v>815</v>
      </c>
      <c r="C21" s="35" t="s">
        <v>526</v>
      </c>
      <c r="D21" s="278" t="s">
        <v>17</v>
      </c>
      <c r="E21" s="275" t="s">
        <v>523</v>
      </c>
      <c r="F21" s="259">
        <v>1000</v>
      </c>
      <c r="G21" s="36">
        <v>1000</v>
      </c>
      <c r="H21" s="36">
        <v>0</v>
      </c>
      <c r="I21" s="36">
        <v>0</v>
      </c>
      <c r="J21" s="41">
        <v>1000</v>
      </c>
      <c r="K21" s="260">
        <f t="shared" si="0"/>
        <v>1</v>
      </c>
      <c r="L21" s="43"/>
    </row>
    <row r="22" spans="1:12" x14ac:dyDescent="0.2">
      <c r="A22" s="34" t="s">
        <v>746</v>
      </c>
      <c r="B22" s="35" t="s">
        <v>816</v>
      </c>
      <c r="C22" s="35" t="s">
        <v>529</v>
      </c>
      <c r="D22" s="278" t="s">
        <v>17</v>
      </c>
      <c r="E22" s="275" t="s">
        <v>523</v>
      </c>
      <c r="F22" s="259">
        <v>400</v>
      </c>
      <c r="G22" s="36">
        <v>400</v>
      </c>
      <c r="H22" s="36">
        <v>326.56</v>
      </c>
      <c r="I22" s="36">
        <v>0</v>
      </c>
      <c r="J22" s="41">
        <v>73.44</v>
      </c>
      <c r="K22" s="260">
        <f t="shared" si="0"/>
        <v>0.18359999999999999</v>
      </c>
      <c r="L22" s="43"/>
    </row>
    <row r="23" spans="1:12" x14ac:dyDescent="0.2">
      <c r="A23" s="34" t="s">
        <v>746</v>
      </c>
      <c r="B23" s="35" t="s">
        <v>817</v>
      </c>
      <c r="C23" s="35" t="s">
        <v>538</v>
      </c>
      <c r="D23" s="278" t="s">
        <v>17</v>
      </c>
      <c r="E23" s="275" t="s">
        <v>523</v>
      </c>
      <c r="F23" s="259">
        <v>150</v>
      </c>
      <c r="G23" s="36">
        <v>150</v>
      </c>
      <c r="H23" s="36">
        <v>0</v>
      </c>
      <c r="I23" s="36">
        <v>150</v>
      </c>
      <c r="J23" s="41">
        <v>0</v>
      </c>
      <c r="K23" s="260">
        <f t="shared" si="0"/>
        <v>0</v>
      </c>
      <c r="L23" s="43"/>
    </row>
    <row r="24" spans="1:12" x14ac:dyDescent="0.2">
      <c r="A24" s="25" t="s">
        <v>743</v>
      </c>
      <c r="B24" s="22" t="s">
        <v>819</v>
      </c>
      <c r="C24" s="22" t="s">
        <v>659</v>
      </c>
      <c r="D24" s="276" t="s">
        <v>17</v>
      </c>
      <c r="E24" s="273" t="s">
        <v>651</v>
      </c>
      <c r="F24" s="255">
        <v>14840</v>
      </c>
      <c r="G24" s="23">
        <v>14840</v>
      </c>
      <c r="H24" s="23">
        <v>6769.33</v>
      </c>
      <c r="I24" s="23">
        <v>182.62</v>
      </c>
      <c r="J24" s="39">
        <v>7888.05</v>
      </c>
      <c r="K24" s="256">
        <f t="shared" si="0"/>
        <v>0.53153975741239889</v>
      </c>
      <c r="L24" s="42"/>
    </row>
    <row r="25" spans="1:12" x14ac:dyDescent="0.2">
      <c r="A25" s="25" t="s">
        <v>743</v>
      </c>
      <c r="B25" s="22" t="s">
        <v>820</v>
      </c>
      <c r="C25" s="22" t="s">
        <v>675</v>
      </c>
      <c r="D25" s="276" t="s">
        <v>17</v>
      </c>
      <c r="E25" s="273" t="s">
        <v>651</v>
      </c>
      <c r="F25" s="255">
        <v>1000</v>
      </c>
      <c r="G25" s="23">
        <v>1000</v>
      </c>
      <c r="H25" s="23">
        <v>985.31</v>
      </c>
      <c r="I25" s="23">
        <v>0</v>
      </c>
      <c r="J25" s="39">
        <v>14.69</v>
      </c>
      <c r="K25" s="256">
        <f t="shared" si="0"/>
        <v>1.469E-2</v>
      </c>
      <c r="L25" s="42"/>
    </row>
    <row r="26" spans="1:12" x14ac:dyDescent="0.2">
      <c r="A26" s="25" t="s">
        <v>746</v>
      </c>
      <c r="B26" s="587" t="s">
        <v>821</v>
      </c>
      <c r="C26" s="22" t="s">
        <v>687</v>
      </c>
      <c r="D26" s="276" t="s">
        <v>17</v>
      </c>
      <c r="E26" s="273" t="s">
        <v>651</v>
      </c>
      <c r="F26" s="255">
        <v>10000</v>
      </c>
      <c r="G26" s="23">
        <v>10000</v>
      </c>
      <c r="H26" s="23">
        <v>3954.05</v>
      </c>
      <c r="I26" s="23">
        <v>1350</v>
      </c>
      <c r="J26" s="39">
        <v>4695.95</v>
      </c>
      <c r="K26" s="256">
        <f t="shared" si="0"/>
        <v>0.46959499999999998</v>
      </c>
      <c r="L26" s="42" t="s">
        <v>842</v>
      </c>
    </row>
    <row r="27" spans="1:12" x14ac:dyDescent="0.2">
      <c r="A27" s="281" t="s">
        <v>742</v>
      </c>
      <c r="B27" s="282" t="s">
        <v>804</v>
      </c>
      <c r="C27" s="282" t="s">
        <v>398</v>
      </c>
      <c r="D27" s="283" t="s">
        <v>17</v>
      </c>
      <c r="E27" s="284" t="s">
        <v>399</v>
      </c>
      <c r="F27" s="285">
        <v>3750</v>
      </c>
      <c r="G27" s="286">
        <v>3750</v>
      </c>
      <c r="H27" s="286">
        <v>3305.43</v>
      </c>
      <c r="I27" s="286">
        <v>299.49</v>
      </c>
      <c r="J27" s="287">
        <v>145.08000000000001</v>
      </c>
      <c r="K27" s="288">
        <f t="shared" si="0"/>
        <v>3.8688E-2</v>
      </c>
      <c r="L27" s="289"/>
    </row>
    <row r="28" spans="1:12" x14ac:dyDescent="0.2">
      <c r="A28" s="281" t="s">
        <v>742</v>
      </c>
      <c r="B28" s="282" t="s">
        <v>813</v>
      </c>
      <c r="C28" s="282" t="s">
        <v>491</v>
      </c>
      <c r="D28" s="283" t="s">
        <v>17</v>
      </c>
      <c r="E28" s="284" t="s">
        <v>492</v>
      </c>
      <c r="F28" s="285">
        <v>1741</v>
      </c>
      <c r="G28" s="286">
        <v>1741</v>
      </c>
      <c r="H28" s="286">
        <v>1737.44</v>
      </c>
      <c r="I28" s="286">
        <v>3.56</v>
      </c>
      <c r="J28" s="287">
        <v>0</v>
      </c>
      <c r="K28" s="288">
        <f t="shared" si="0"/>
        <v>0</v>
      </c>
      <c r="L28" s="289"/>
    </row>
    <row r="29" spans="1:12" x14ac:dyDescent="0.2">
      <c r="A29" s="281" t="s">
        <v>742</v>
      </c>
      <c r="B29" s="282" t="s">
        <v>822</v>
      </c>
      <c r="C29" s="282" t="s">
        <v>690</v>
      </c>
      <c r="D29" s="283" t="s">
        <v>17</v>
      </c>
      <c r="E29" s="284" t="s">
        <v>691</v>
      </c>
      <c r="F29" s="285">
        <v>9930</v>
      </c>
      <c r="G29" s="286">
        <v>9930</v>
      </c>
      <c r="H29" s="286">
        <v>8605.59</v>
      </c>
      <c r="I29" s="286">
        <v>776.38</v>
      </c>
      <c r="J29" s="287">
        <v>548.03</v>
      </c>
      <c r="K29" s="288">
        <f t="shared" si="0"/>
        <v>5.5189325276938567E-2</v>
      </c>
      <c r="L29" s="289"/>
    </row>
    <row r="30" spans="1:12" s="20" customFormat="1" ht="13.5" thickBot="1" x14ac:dyDescent="0.25">
      <c r="A30" s="26"/>
      <c r="B30" s="3"/>
      <c r="C30" s="3"/>
      <c r="D30" s="279"/>
      <c r="E30" s="3"/>
      <c r="F30" s="261">
        <f>SUM(F2:F29)</f>
        <v>119978</v>
      </c>
      <c r="G30" s="21">
        <f t="shared" ref="G30:J30" si="1">SUM(G2:G29)</f>
        <v>123228</v>
      </c>
      <c r="H30" s="21">
        <f t="shared" si="1"/>
        <v>58847.5</v>
      </c>
      <c r="I30" s="21">
        <f t="shared" si="1"/>
        <v>13439.65</v>
      </c>
      <c r="J30" s="21">
        <f t="shared" si="1"/>
        <v>50940.850000000006</v>
      </c>
      <c r="K30" s="256"/>
      <c r="L30" s="42"/>
    </row>
    <row r="31" spans="1:12" s="20" customFormat="1" ht="14.25" thickTop="1" thickBot="1" x14ac:dyDescent="0.25">
      <c r="A31" s="27"/>
      <c r="B31" s="28"/>
      <c r="C31" s="28"/>
      <c r="D31" s="280"/>
      <c r="E31" s="28"/>
      <c r="F31" s="262"/>
      <c r="G31" s="29"/>
      <c r="H31" s="29"/>
      <c r="I31" s="29"/>
      <c r="J31" s="30"/>
      <c r="K31" s="263"/>
      <c r="L31" s="38"/>
    </row>
    <row r="33" spans="2:7" x14ac:dyDescent="0.2">
      <c r="B33" s="603" t="s">
        <v>700</v>
      </c>
      <c r="F33" s="605">
        <v>6763</v>
      </c>
      <c r="G33" s="608"/>
    </row>
    <row r="34" spans="2:7" x14ac:dyDescent="0.2">
      <c r="B34" s="604" t="s">
        <v>706</v>
      </c>
      <c r="F34" s="605">
        <v>7809</v>
      </c>
    </row>
    <row r="36" spans="2:7" x14ac:dyDescent="0.2">
      <c r="F36" s="602">
        <f>+F30+F33+F34</f>
        <v>134550</v>
      </c>
    </row>
  </sheetData>
  <sortState ref="A2:J28">
    <sortCondition ref="A2:A28"/>
    <sortCondition ref="B2:B28"/>
  </sortState>
  <printOptions horizontalCentered="1" gridLines="1"/>
  <pageMargins left="0" right="0" top="1" bottom="0.75" header="0.3" footer="0.3"/>
  <pageSetup paperSize="5" scale="120" orientation="landscape" r:id="rId1"/>
  <headerFooter>
    <oddHeader>&amp;CMISSION COLLEGE
FY12/13 Lottery Supplies Budget
Balance as of March 20, 2013</oddHeader>
    <oddFooter>&amp;ROffice of Administratives Services
&amp;Z&amp;F &amp;A  March 20, 2013  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All</vt:lpstr>
      <vt:lpstr>Carolyn</vt:lpstr>
      <vt:lpstr>Dan</vt:lpstr>
      <vt:lpstr>Daniel</vt:lpstr>
      <vt:lpstr>Danny</vt:lpstr>
      <vt:lpstr>Dianne</vt:lpstr>
      <vt:lpstr>Laurel</vt:lpstr>
      <vt:lpstr>Mike Perez</vt:lpstr>
      <vt:lpstr>Mina</vt:lpstr>
      <vt:lpstr>Penny</vt:lpstr>
      <vt:lpstr>Peter</vt:lpstr>
      <vt:lpstr>Rick</vt:lpstr>
      <vt:lpstr>Rita</vt:lpstr>
      <vt:lpstr>Sarah</vt:lpstr>
      <vt:lpstr>Tim</vt:lpstr>
      <vt:lpstr>Lottery Supplies</vt:lpstr>
      <vt:lpstr>All!Print_Titles</vt:lpstr>
      <vt:lpstr>Dan!Print_Titles</vt:lpstr>
      <vt:lpstr>Daniel!Print_Titles</vt:lpstr>
      <vt:lpstr>Danny!Print_Titles</vt:lpstr>
      <vt:lpstr>Laurel!Print_Titles</vt:lpstr>
      <vt:lpstr>Mina!Print_Titles</vt:lpstr>
      <vt:lpstr>Penny!Print_Titles</vt:lpstr>
      <vt:lpstr>Peter!Print_Titles</vt:lpstr>
      <vt:lpstr>Rick!Print_Titles</vt:lpstr>
      <vt:lpstr>Rita!Print_Titles</vt:lpstr>
      <vt:lpstr>Sarah!Print_Titles</vt:lpstr>
      <vt:lpstr>Tim!Print_Titles</vt:lpstr>
    </vt:vector>
  </TitlesOfParts>
  <Company>IBM Incorporated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Queenie Chan</dc:creator>
  <cp:lastModifiedBy>%username%</cp:lastModifiedBy>
  <cp:lastPrinted>2013-04-10T17:06:13Z</cp:lastPrinted>
  <dcterms:created xsi:type="dcterms:W3CDTF">2013-03-19T17:02:30Z</dcterms:created>
  <dcterms:modified xsi:type="dcterms:W3CDTF">2013-04-10T17:06:34Z</dcterms:modified>
</cp:coreProperties>
</file>