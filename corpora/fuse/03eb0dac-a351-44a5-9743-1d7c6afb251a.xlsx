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075" windowHeight="3090" firstSheet="2" activeTab="2"/>
  </bookViews>
  <sheets>
    <sheet name="FastFacts-data" sheetId="7" state="hidden" r:id="rId1"/>
    <sheet name="NewFastFacts - img for web" sheetId="5" state="hidden" r:id="rId2"/>
    <sheet name="FastFactsSplash" sheetId="8" r:id="rId3"/>
  </sheets>
  <calcPr calcId="145621"/>
</workbook>
</file>

<file path=xl/calcChain.xml><?xml version="1.0" encoding="utf-8"?>
<calcChain xmlns="http://schemas.openxmlformats.org/spreadsheetml/2006/main">
  <c r="AU9" i="7" l="1"/>
  <c r="AU10" i="7"/>
  <c r="AU11" i="7"/>
  <c r="AU12" i="7"/>
  <c r="AU13" i="7"/>
  <c r="AU14" i="7"/>
  <c r="AU15" i="7"/>
  <c r="AU16" i="7"/>
  <c r="AU8" i="7"/>
  <c r="AQ15" i="7" l="1"/>
  <c r="G36" i="8" l="1"/>
  <c r="G34" i="8"/>
  <c r="O21" i="8"/>
  <c r="O19" i="8"/>
  <c r="G22" i="8"/>
  <c r="G21" i="8"/>
  <c r="G20" i="8"/>
  <c r="O9" i="8"/>
  <c r="O8" i="8"/>
  <c r="O7" i="8"/>
  <c r="O6" i="8"/>
  <c r="G9" i="8"/>
  <c r="G8" i="8"/>
  <c r="G7" i="8"/>
  <c r="G6" i="8"/>
  <c r="G10" i="8" s="1"/>
  <c r="AQ16" i="7"/>
  <c r="G11" i="8" s="1"/>
  <c r="AR16" i="7"/>
  <c r="AS16" i="7"/>
  <c r="AT16" i="7"/>
  <c r="AQ9" i="7"/>
  <c r="AR9" i="7"/>
  <c r="AS9" i="7"/>
  <c r="AT9" i="7"/>
  <c r="AQ10" i="7"/>
  <c r="AR10" i="7"/>
  <c r="AS10" i="7"/>
  <c r="AT10" i="7"/>
  <c r="AQ11" i="7"/>
  <c r="AR11" i="7"/>
  <c r="AS11" i="7"/>
  <c r="AT11" i="7"/>
  <c r="AQ12" i="7"/>
  <c r="AR12" i="7"/>
  <c r="AS12" i="7"/>
  <c r="AT12" i="7"/>
  <c r="AQ13" i="7"/>
  <c r="AR13" i="7"/>
  <c r="AS13" i="7"/>
  <c r="AT13" i="7"/>
  <c r="AQ14" i="7"/>
  <c r="AR14" i="7"/>
  <c r="AS14" i="7"/>
  <c r="AT14" i="7"/>
  <c r="AR15" i="7"/>
  <c r="AS15" i="7"/>
  <c r="AT15" i="7"/>
  <c r="AR8" i="7"/>
  <c r="AS8" i="7"/>
  <c r="AT8" i="7"/>
  <c r="AQ8" i="7"/>
  <c r="N21" i="8"/>
  <c r="N19" i="8"/>
  <c r="O36" i="8"/>
  <c r="O35" i="8"/>
  <c r="O33" i="8"/>
  <c r="G12" i="8" l="1"/>
</calcChain>
</file>

<file path=xl/sharedStrings.xml><?xml version="1.0" encoding="utf-8"?>
<sst xmlns="http://schemas.openxmlformats.org/spreadsheetml/2006/main" count="100" uniqueCount="60">
  <si>
    <t>fy</t>
  </si>
  <si>
    <t>FY</t>
  </si>
  <si>
    <t>term_desc</t>
  </si>
  <si>
    <t xml:space="preserve">Fall 2009  </t>
  </si>
  <si>
    <t xml:space="preserve">Fall 2010  </t>
  </si>
  <si>
    <t>Certificates</t>
  </si>
  <si>
    <t xml:space="preserve">Fall 2008  </t>
  </si>
  <si>
    <t xml:space="preserve">Fall 2007  </t>
  </si>
  <si>
    <t>Fall to Spring Retention</t>
  </si>
  <si>
    <t>Fall to Fall Retention</t>
  </si>
  <si>
    <t>CTE Degrees</t>
  </si>
  <si>
    <t>Transfer Degrees</t>
  </si>
  <si>
    <t>Fall 2010</t>
  </si>
  <si>
    <t>Male</t>
  </si>
  <si>
    <t>Female</t>
  </si>
  <si>
    <t>One or Both Parents</t>
  </si>
  <si>
    <t>1st Generation</t>
  </si>
  <si>
    <t>Unknown</t>
  </si>
  <si>
    <t>White</t>
  </si>
  <si>
    <t>Minority</t>
  </si>
  <si>
    <t>Unknown/Not Reported</t>
  </si>
  <si>
    <t>International</t>
  </si>
  <si>
    <t>New Students</t>
  </si>
  <si>
    <t>Continuing Students</t>
  </si>
  <si>
    <t xml:space="preserve">Fall 2006  </t>
  </si>
  <si>
    <t xml:space="preserve">Fall 2011  </t>
  </si>
  <si>
    <t>Degrees, Certificates and Transfers Go Below</t>
  </si>
  <si>
    <t>Term</t>
  </si>
  <si>
    <t>Retention Rates below - Run for new year and paste below</t>
  </si>
  <si>
    <t>Enrollment - New vs. Continuing</t>
  </si>
  <si>
    <t>Gender - Replace Each Semester</t>
  </si>
  <si>
    <t>First Generation - Replace each Semester</t>
  </si>
  <si>
    <t>Race/Ethnicity</t>
  </si>
  <si>
    <t>New, First-Time Students</t>
  </si>
  <si>
    <t>No longer used!  RL 01/05/12</t>
  </si>
  <si>
    <t>Graduated (FRCC)</t>
  </si>
  <si>
    <t>Transferred</t>
  </si>
  <si>
    <t>Enrolled</t>
  </si>
  <si>
    <t>Stop Out/Drop Out</t>
  </si>
  <si>
    <t xml:space="preserve">Fall 2001  </t>
  </si>
  <si>
    <t xml:space="preserve">Fall 2002  </t>
  </si>
  <si>
    <t xml:space="preserve">Fall 2003  </t>
  </si>
  <si>
    <t xml:space="preserve">Fall 2004  </t>
  </si>
  <si>
    <t xml:space="preserve">Fall 2005  </t>
  </si>
  <si>
    <t>3 Year Success Rates - First-Time Students</t>
  </si>
  <si>
    <t>Still Enrolled</t>
  </si>
  <si>
    <t>3-Year Success</t>
  </si>
  <si>
    <t>First-Time Students</t>
  </si>
  <si>
    <t>Stop-out/Drop-out</t>
  </si>
  <si>
    <t>Graduated or Transferred</t>
  </si>
  <si>
    <t>Graduated, Transferred, or Still Enrolled</t>
  </si>
  <si>
    <t xml:space="preserve">Fall 2012  </t>
  </si>
  <si>
    <t>Fall 2012</t>
  </si>
  <si>
    <t>Fall 2009 Students</t>
  </si>
  <si>
    <t>AY2012:  Race/Ethnicity</t>
  </si>
  <si>
    <t>AY 2012 Awards:</t>
  </si>
  <si>
    <t>Fall 2011:  Retention</t>
  </si>
  <si>
    <t>Fall 2012:  Enrollment</t>
  </si>
  <si>
    <t>Fall 2012:  First Generation</t>
  </si>
  <si>
    <t>Total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</si>
</sst>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9" fontId="0" fillId="0" borderId="1" xfId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3" fontId="0" fillId="6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3" borderId="0" xfId="0" applyFill="1"/>
    <xf numFmtId="0" fontId="2" fillId="3" borderId="0" xfId="0" applyFont="1" applyFill="1"/>
    <xf numFmtId="0" fontId="0" fillId="0" borderId="0" xfId="0" applyProtection="1">
      <protection hidden="1"/>
    </xf>
    <xf numFmtId="0" fontId="6" fillId="4" borderId="9" xfId="0" applyFont="1" applyFill="1" applyBorder="1" applyProtection="1">
      <protection hidden="1"/>
    </xf>
    <xf numFmtId="3" fontId="0" fillId="0" borderId="1" xfId="0" applyNumberFormat="1" applyBorder="1" applyAlignment="1" applyProtection="1">
      <alignment horizontal="center"/>
      <protection hidden="1"/>
    </xf>
    <xf numFmtId="0" fontId="0" fillId="4" borderId="1" xfId="0" applyFill="1" applyBorder="1" applyProtection="1">
      <protection hidden="1"/>
    </xf>
    <xf numFmtId="0" fontId="6" fillId="4" borderId="1" xfId="0" applyFont="1" applyFill="1" applyBorder="1" applyProtection="1">
      <protection hidden="1"/>
    </xf>
    <xf numFmtId="0" fontId="7" fillId="4" borderId="1" xfId="0" applyFont="1" applyFill="1" applyBorder="1" applyAlignment="1" applyProtection="1">
      <alignment vertical="center" wrapText="1"/>
      <protection hidden="1"/>
    </xf>
    <xf numFmtId="9" fontId="8" fillId="4" borderId="1" xfId="1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4" borderId="4" xfId="0" applyFont="1" applyFill="1" applyBorder="1" applyAlignment="1" applyProtection="1">
      <alignment horizontal="center"/>
      <protection hidden="1"/>
    </xf>
    <xf numFmtId="0" fontId="2" fillId="4" borderId="7" xfId="0" applyFont="1" applyFill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2" fillId="4" borderId="2" xfId="0" applyFont="1" applyFill="1" applyBorder="1" applyAlignment="1" applyProtection="1">
      <alignment horizontal="center"/>
      <protection hidden="1"/>
    </xf>
    <xf numFmtId="0" fontId="0" fillId="4" borderId="4" xfId="0" applyFill="1" applyBorder="1" applyAlignment="1" applyProtection="1">
      <alignment horizontal="left" vertical="center" wrapText="1"/>
      <protection hidden="1"/>
    </xf>
    <xf numFmtId="0" fontId="0" fillId="4" borderId="5" xfId="0" applyFill="1" applyBorder="1" applyAlignment="1" applyProtection="1">
      <alignment horizontal="left" vertical="center" wrapText="1"/>
      <protection hidden="1"/>
    </xf>
    <xf numFmtId="9" fontId="0" fillId="0" borderId="2" xfId="1" applyFont="1" applyBorder="1" applyAlignment="1" applyProtection="1">
      <alignment horizontal="center" vertical="center"/>
      <protection hidden="1"/>
    </xf>
    <xf numFmtId="9" fontId="0" fillId="0" borderId="3" xfId="1" applyFont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left" vertical="center" wrapText="1"/>
      <protection hidden="1"/>
    </xf>
    <xf numFmtId="0" fontId="0" fillId="4" borderId="3" xfId="0" applyFill="1" applyBorder="1" applyAlignment="1" applyProtection="1">
      <alignment horizontal="left" vertical="center" wrapText="1"/>
      <protection hidden="1"/>
    </xf>
    <xf numFmtId="0" fontId="0" fillId="4" borderId="1" xfId="0" applyFill="1" applyBorder="1" applyAlignment="1" applyProtection="1">
      <alignment horizontal="left" vertical="center" wrapText="1"/>
      <protection hidden="1"/>
    </xf>
    <xf numFmtId="3" fontId="0" fillId="0" borderId="1" xfId="0" applyNumberFormat="1" applyBorder="1" applyAlignment="1" applyProtection="1">
      <alignment horizontal="center" vertical="center"/>
      <protection hidden="1"/>
    </xf>
    <xf numFmtId="0" fontId="5" fillId="4" borderId="5" xfId="0" applyFont="1" applyFill="1" applyBorder="1" applyAlignment="1" applyProtection="1">
      <alignment horizontal="center"/>
      <protection hidden="1"/>
    </xf>
    <xf numFmtId="0" fontId="5" fillId="4" borderId="8" xfId="0" applyFont="1" applyFill="1" applyBorder="1" applyAlignment="1" applyProtection="1">
      <alignment horizontal="center"/>
      <protection hidden="1"/>
    </xf>
    <xf numFmtId="3" fontId="0" fillId="0" borderId="2" xfId="0" applyNumberFormat="1" applyBorder="1" applyAlignment="1" applyProtection="1">
      <alignment horizontal="center" vertical="center"/>
      <protection hidden="1"/>
    </xf>
    <xf numFmtId="3" fontId="0" fillId="0" borderId="3" xfId="0" applyNumberFormat="1" applyBorder="1" applyAlignment="1" applyProtection="1">
      <alignment horizontal="center" vertical="center"/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EAF5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Retention Rates</a:t>
            </a:r>
          </a:p>
        </c:rich>
      </c:tx>
      <c:layout>
        <c:manualLayout>
          <c:xMode val="edge"/>
          <c:yMode val="edge"/>
          <c:x val="0.22978163932228521"/>
          <c:y val="1.5564202334630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33"/>
          <c:y val="0.10796627694265555"/>
          <c:w val="0.5596485199469089"/>
          <c:h val="0.78613491613851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'FastFacts-data'!$K$7</c:f>
              <c:strCache>
                <c:ptCount val="1"/>
                <c:pt idx="0">
                  <c:v>Fall to Spring Retention</c:v>
                </c:pt>
              </c:strCache>
            </c:strRef>
          </c:tx>
          <c:invertIfNegative val="0"/>
          <c:cat>
            <c:strRef>
              <c:f>'FastFacts-data'!$J$10:$J$12</c:f>
              <c:strCache>
                <c:ptCount val="3"/>
                <c:pt idx="0">
                  <c:v>Fall 2009  </c:v>
                </c:pt>
                <c:pt idx="1">
                  <c:v>Fall 2010</c:v>
                </c:pt>
                <c:pt idx="2">
                  <c:v>Fall 2011  </c:v>
                </c:pt>
              </c:strCache>
            </c:strRef>
          </c:cat>
          <c:val>
            <c:numRef>
              <c:f>'FastFacts-data'!$K$10:$K$12</c:f>
              <c:numCache>
                <c:formatCode>0%</c:formatCode>
                <c:ptCount val="3"/>
                <c:pt idx="0">
                  <c:v>0.67289567760805902</c:v>
                </c:pt>
                <c:pt idx="1">
                  <c:v>0.68935217091660905</c:v>
                </c:pt>
                <c:pt idx="2">
                  <c:v>0.66766731414444602</c:v>
                </c:pt>
              </c:numCache>
            </c:numRef>
          </c:val>
        </c:ser>
        <c:ser>
          <c:idx val="1"/>
          <c:order val="1"/>
          <c:tx>
            <c:strRef>
              <c:f>'FastFacts-data'!$L$7</c:f>
              <c:strCache>
                <c:ptCount val="1"/>
                <c:pt idx="0">
                  <c:v>Fall to Fall Retention</c:v>
                </c:pt>
              </c:strCache>
            </c:strRef>
          </c:tx>
          <c:invertIfNegative val="0"/>
          <c:cat>
            <c:strRef>
              <c:f>'FastFacts-data'!$J$10:$J$12</c:f>
              <c:strCache>
                <c:ptCount val="3"/>
                <c:pt idx="0">
                  <c:v>Fall 2009  </c:v>
                </c:pt>
                <c:pt idx="1">
                  <c:v>Fall 2010</c:v>
                </c:pt>
                <c:pt idx="2">
                  <c:v>Fall 2011  </c:v>
                </c:pt>
              </c:strCache>
            </c:strRef>
          </c:cat>
          <c:val>
            <c:numRef>
              <c:f>'FastFacts-data'!$L$10:$L$12</c:f>
              <c:numCache>
                <c:formatCode>0%</c:formatCode>
                <c:ptCount val="3"/>
                <c:pt idx="0">
                  <c:v>0.403477413064673</c:v>
                </c:pt>
                <c:pt idx="1">
                  <c:v>0.406271536871123</c:v>
                </c:pt>
                <c:pt idx="2">
                  <c:v>0.38972276178703802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75424"/>
        <c:axId val="113576960"/>
      </c:barChart>
      <c:catAx>
        <c:axId val="1135754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3576960"/>
        <c:crosses val="autoZero"/>
        <c:auto val="1"/>
        <c:lblAlgn val="ctr"/>
        <c:lblOffset val="100"/>
        <c:noMultiLvlLbl val="0"/>
      </c:catAx>
      <c:valAx>
        <c:axId val="11357696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357542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69357790978312517"/>
          <c:y val="0.42835235833198448"/>
          <c:w val="0.30642209021687605"/>
          <c:h val="0.41202987448792838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Degrees</a:t>
            </a:r>
            <a:r>
              <a:rPr lang="en-US" sz="1400" baseline="0"/>
              <a:t>/Certificates Awarded</a:t>
            </a:r>
            <a:endParaRPr lang="en-US" sz="1400"/>
          </a:p>
        </c:rich>
      </c:tx>
      <c:layout>
        <c:manualLayout>
          <c:xMode val="edge"/>
          <c:yMode val="edge"/>
          <c:x val="0.21076645907066538"/>
          <c:y val="5.188069564251190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3"/>
          <c:y val="0.10796627694265562"/>
          <c:w val="0.56477690288713911"/>
          <c:h val="0.802497215523336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'FastFacts-data'!$G$7</c:f>
              <c:strCache>
                <c:ptCount val="1"/>
                <c:pt idx="0">
                  <c:v>Transfer Degrees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'FastFacts-data'!$G$10:$G$12</c:f>
              <c:numCache>
                <c:formatCode>#,##0</c:formatCode>
                <c:ptCount val="3"/>
                <c:pt idx="0">
                  <c:v>721</c:v>
                </c:pt>
                <c:pt idx="1">
                  <c:v>839</c:v>
                </c:pt>
                <c:pt idx="2">
                  <c:v>931</c:v>
                </c:pt>
              </c:numCache>
            </c:numRef>
          </c:val>
        </c:ser>
        <c:ser>
          <c:idx val="0"/>
          <c:order val="1"/>
          <c:tx>
            <c:strRef>
              <c:f>'FastFacts-data'!$F$7</c:f>
              <c:strCache>
                <c:ptCount val="1"/>
                <c:pt idx="0">
                  <c:v>CTE Degrees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'FastFacts-data'!$F$10:$F$12</c:f>
              <c:numCache>
                <c:formatCode>#,##0</c:formatCode>
                <c:ptCount val="3"/>
                <c:pt idx="0">
                  <c:v>399</c:v>
                </c:pt>
                <c:pt idx="1">
                  <c:v>472</c:v>
                </c:pt>
                <c:pt idx="2">
                  <c:v>535</c:v>
                </c:pt>
              </c:numCache>
            </c:numRef>
          </c:val>
        </c:ser>
        <c:ser>
          <c:idx val="2"/>
          <c:order val="2"/>
          <c:tx>
            <c:strRef>
              <c:f>'FastFacts-data'!$H$7</c:f>
              <c:strCache>
                <c:ptCount val="1"/>
                <c:pt idx="0">
                  <c:v>Certificates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'FastFacts-data'!$H$10:$H$12</c:f>
              <c:numCache>
                <c:formatCode>#,##0</c:formatCode>
                <c:ptCount val="3"/>
                <c:pt idx="0">
                  <c:v>1755</c:v>
                </c:pt>
                <c:pt idx="1">
                  <c:v>1776</c:v>
                </c:pt>
                <c:pt idx="2">
                  <c:v>1722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623808"/>
        <c:axId val="113625344"/>
      </c:barChart>
      <c:catAx>
        <c:axId val="1136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3625344"/>
        <c:crosses val="autoZero"/>
        <c:auto val="1"/>
        <c:lblAlgn val="ctr"/>
        <c:lblOffset val="100"/>
        <c:noMultiLvlLbl val="0"/>
      </c:catAx>
      <c:valAx>
        <c:axId val="11362534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36238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0284951582417599"/>
          <c:y val="0.29507951105678581"/>
          <c:w val="0.29293094335904379"/>
          <c:h val="0.39801040722806719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Fall Enrollment</a:t>
            </a:r>
          </a:p>
        </c:rich>
      </c:tx>
      <c:layout>
        <c:manualLayout>
          <c:xMode val="edge"/>
          <c:yMode val="edge"/>
          <c:x val="0.24623066675980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3"/>
          <c:y val="0.10796627694265562"/>
          <c:w val="0.54034829006593588"/>
          <c:h val="0.781193189600428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'FastFacts-data'!$O$7</c:f>
              <c:strCache>
                <c:ptCount val="1"/>
                <c:pt idx="0">
                  <c:v>New Students</c:v>
                </c:pt>
              </c:strCache>
            </c:strRef>
          </c:tx>
          <c:invertIfNegative val="0"/>
          <c:cat>
            <c:strRef>
              <c:f>'FastFacts-data'!$N$12:$N$14</c:f>
              <c:strCache>
                <c:ptCount val="3"/>
                <c:pt idx="0">
                  <c:v>Fall 2010  </c:v>
                </c:pt>
                <c:pt idx="1">
                  <c:v>Fall 2011  </c:v>
                </c:pt>
                <c:pt idx="2">
                  <c:v>Fall 2012</c:v>
                </c:pt>
              </c:strCache>
            </c:strRef>
          </c:cat>
          <c:val>
            <c:numRef>
              <c:f>'FastFacts-data'!$O$12:$O$14</c:f>
              <c:numCache>
                <c:formatCode>#,##0</c:formatCode>
                <c:ptCount val="3"/>
                <c:pt idx="0">
                  <c:v>5754</c:v>
                </c:pt>
                <c:pt idx="1">
                  <c:v>5663</c:v>
                </c:pt>
                <c:pt idx="2">
                  <c:v>5816</c:v>
                </c:pt>
              </c:numCache>
            </c:numRef>
          </c:val>
        </c:ser>
        <c:ser>
          <c:idx val="1"/>
          <c:order val="1"/>
          <c:tx>
            <c:strRef>
              <c:f>'FastFacts-data'!$P$7</c:f>
              <c:strCache>
                <c:ptCount val="1"/>
                <c:pt idx="0">
                  <c:v>Continuing Students</c:v>
                </c:pt>
              </c:strCache>
            </c:strRef>
          </c:tx>
          <c:invertIfNegative val="0"/>
          <c:cat>
            <c:strRef>
              <c:f>'FastFacts-data'!$N$12:$N$14</c:f>
              <c:strCache>
                <c:ptCount val="3"/>
                <c:pt idx="0">
                  <c:v>Fall 2010  </c:v>
                </c:pt>
                <c:pt idx="1">
                  <c:v>Fall 2011  </c:v>
                </c:pt>
                <c:pt idx="2">
                  <c:v>Fall 2012</c:v>
                </c:pt>
              </c:strCache>
            </c:strRef>
          </c:cat>
          <c:val>
            <c:numRef>
              <c:f>'FastFacts-data'!$P$12:$P$14</c:f>
              <c:numCache>
                <c:formatCode>#,##0</c:formatCode>
                <c:ptCount val="3"/>
                <c:pt idx="0">
                  <c:v>14338</c:v>
                </c:pt>
                <c:pt idx="1">
                  <c:v>14905</c:v>
                </c:pt>
                <c:pt idx="2">
                  <c:v>14405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43904"/>
        <c:axId val="114070272"/>
      </c:barChart>
      <c:catAx>
        <c:axId val="1140439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4070272"/>
        <c:crosses val="autoZero"/>
        <c:auto val="1"/>
        <c:lblAlgn val="ctr"/>
        <c:lblOffset val="100"/>
        <c:noMultiLvlLbl val="0"/>
      </c:catAx>
      <c:valAx>
        <c:axId val="114070272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404390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68587429270110889"/>
          <c:y val="0.41045163489434838"/>
          <c:w val="0.30899750009993948"/>
          <c:h val="0.2981425334014020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Race/Ethnicity</a:t>
            </a:r>
          </a:p>
        </c:rich>
      </c:tx>
      <c:layout>
        <c:manualLayout>
          <c:xMode val="edge"/>
          <c:yMode val="edge"/>
          <c:x val="0.27054794520547948"/>
          <c:y val="1.562499359211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883184122532641"/>
          <c:y val="0.17708326071060501"/>
          <c:w val="0.56893071585229926"/>
          <c:h val="0.7378035852183459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'FastFacts-data'!$AC$7</c:f>
              <c:strCache>
                <c:ptCount val="1"/>
                <c:pt idx="0">
                  <c:v>Minority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'FastFacts-data'!$AC$9:$AC$11</c:f>
              <c:numCache>
                <c:formatCode>#,##0</c:formatCode>
                <c:ptCount val="3"/>
                <c:pt idx="0">
                  <c:v>5421</c:v>
                </c:pt>
                <c:pt idx="1">
                  <c:v>6151</c:v>
                </c:pt>
                <c:pt idx="2">
                  <c:v>6564</c:v>
                </c:pt>
              </c:numCache>
            </c:numRef>
          </c:val>
        </c:ser>
        <c:ser>
          <c:idx val="0"/>
          <c:order val="1"/>
          <c:tx>
            <c:strRef>
              <c:f>'FastFacts-data'!$AB$7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'FastFacts-data'!$AB$9:$AB$11</c:f>
              <c:numCache>
                <c:formatCode>#,##0</c:formatCode>
                <c:ptCount val="3"/>
                <c:pt idx="0">
                  <c:v>21005</c:v>
                </c:pt>
                <c:pt idx="1">
                  <c:v>21919</c:v>
                </c:pt>
                <c:pt idx="2">
                  <c:v>22223</c:v>
                </c:pt>
              </c:numCache>
            </c:numRef>
          </c:val>
        </c:ser>
        <c:ser>
          <c:idx val="2"/>
          <c:order val="2"/>
          <c:tx>
            <c:strRef>
              <c:f>'FastFacts-data'!$AD$7</c:f>
              <c:strCache>
                <c:ptCount val="1"/>
                <c:pt idx="0">
                  <c:v>International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'FastFacts-data'!$AD$9:$AD$11</c:f>
              <c:numCache>
                <c:formatCode>#,##0</c:formatCode>
                <c:ptCount val="3"/>
                <c:pt idx="0">
                  <c:v>175</c:v>
                </c:pt>
                <c:pt idx="1">
                  <c:v>369</c:v>
                </c:pt>
                <c:pt idx="2">
                  <c:v>364</c:v>
                </c:pt>
              </c:numCache>
            </c:numRef>
          </c:val>
        </c:ser>
        <c:ser>
          <c:idx val="3"/>
          <c:order val="3"/>
          <c:tx>
            <c:strRef>
              <c:f>'FastFacts-data'!$AE$7</c:f>
              <c:strCache>
                <c:ptCount val="1"/>
                <c:pt idx="0">
                  <c:v>Unknown/Not Reported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'FastFacts-data'!$AE$9:$AE$11</c:f>
              <c:numCache>
                <c:formatCode>#,##0</c:formatCode>
                <c:ptCount val="3"/>
                <c:pt idx="0">
                  <c:v>1810</c:v>
                </c:pt>
                <c:pt idx="1">
                  <c:v>2198</c:v>
                </c:pt>
                <c:pt idx="2">
                  <c:v>2265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88960"/>
        <c:axId val="114090752"/>
      </c:barChart>
      <c:catAx>
        <c:axId val="11408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4090752"/>
        <c:crosses val="autoZero"/>
        <c:auto val="1"/>
        <c:lblAlgn val="ctr"/>
        <c:lblOffset val="100"/>
        <c:noMultiLvlLbl val="0"/>
      </c:catAx>
      <c:valAx>
        <c:axId val="11409075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4088960"/>
        <c:crosses val="autoZero"/>
        <c:crossBetween val="between"/>
        <c:majorUnit val="0.2"/>
      </c:valAx>
      <c:spPr>
        <a:noFill/>
      </c:spPr>
    </c:plotArea>
    <c:legend>
      <c:legendPos val="r"/>
      <c:layout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First</a:t>
            </a:r>
            <a:r>
              <a:rPr lang="en-US" sz="1600" baseline="0"/>
              <a:t> Generation</a:t>
            </a:r>
            <a:endParaRPr lang="en-US" sz="1600"/>
          </a:p>
        </c:rich>
      </c:tx>
      <c:layout>
        <c:manualLayout>
          <c:xMode val="edge"/>
          <c:yMode val="edge"/>
          <c:x val="0.70853896255001769"/>
          <c:y val="4.5412664974177133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/>
          </c:spPr>
          <c:dLbls>
            <c:dLbl>
              <c:idx val="2"/>
              <c:layout>
                <c:manualLayout>
                  <c:x val="5.0428299246295834E-2"/>
                  <c:y val="0.1406600061532798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600" b="1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'FastFacts-data'!$W$7:$Y$7</c:f>
              <c:strCache>
                <c:ptCount val="3"/>
                <c:pt idx="0">
                  <c:v>One or Both Parents</c:v>
                </c:pt>
                <c:pt idx="1">
                  <c:v>1st Generation</c:v>
                </c:pt>
                <c:pt idx="2">
                  <c:v>Unknown</c:v>
                </c:pt>
              </c:strCache>
            </c:strRef>
          </c:cat>
          <c:val>
            <c:numRef>
              <c:f>'FastFacts-data'!$W$8:$Y$8</c:f>
              <c:numCache>
                <c:formatCode>#,##0</c:formatCode>
                <c:ptCount val="3"/>
                <c:pt idx="0">
                  <c:v>9056</c:v>
                </c:pt>
                <c:pt idx="1">
                  <c:v>6731</c:v>
                </c:pt>
                <c:pt idx="2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4840425474343844"/>
          <c:y val="0.42620016319568566"/>
          <c:w val="0.31494055979250934"/>
          <c:h val="0.53109777675268155"/>
        </c:manualLayout>
      </c:layout>
      <c:overlay val="0"/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400"/>
            </a:pPr>
            <a:r>
              <a:rPr lang="en-US" sz="1400"/>
              <a:t>3-Year</a:t>
            </a:r>
            <a:r>
              <a:rPr lang="en-US" sz="1400" baseline="0"/>
              <a:t> Success</a:t>
            </a:r>
          </a:p>
          <a:p>
            <a:pPr algn="r">
              <a:defRPr sz="1400"/>
            </a:pPr>
            <a:r>
              <a:rPr lang="en-US" sz="1050" b="0" baseline="0"/>
              <a:t>First-Time </a:t>
            </a:r>
          </a:p>
          <a:p>
            <a:pPr algn="r">
              <a:defRPr sz="1400"/>
            </a:pPr>
            <a:r>
              <a:rPr lang="en-US" sz="1050" b="0" baseline="0"/>
              <a:t>Students</a:t>
            </a:r>
            <a:endParaRPr lang="en-US" sz="1050" b="0"/>
          </a:p>
        </c:rich>
      </c:tx>
      <c:layout>
        <c:manualLayout>
          <c:xMode val="edge"/>
          <c:yMode val="edge"/>
          <c:x val="0.582427318536402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20601388241127"/>
          <c:y val="0.10796627694265569"/>
          <c:w val="0.60286610515149019"/>
          <c:h val="0.80249721552333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'FastFacts-data'!$AQ$7</c:f>
              <c:strCache>
                <c:ptCount val="1"/>
                <c:pt idx="0">
                  <c:v>Graduated (FRCC)</c:v>
                </c:pt>
              </c:strCache>
            </c:strRef>
          </c:tx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1050"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'FastFacts-data'!$AQ$14:$AQ$16</c:f>
              <c:numCache>
                <c:formatCode>0%</c:formatCode>
                <c:ptCount val="3"/>
                <c:pt idx="0">
                  <c:v>0.13598025097716518</c:v>
                </c:pt>
                <c:pt idx="1">
                  <c:v>0.14162206669411281</c:v>
                </c:pt>
                <c:pt idx="2">
                  <c:v>0.13377156943303203</c:v>
                </c:pt>
              </c:numCache>
            </c:numRef>
          </c:val>
        </c:ser>
        <c:ser>
          <c:idx val="1"/>
          <c:order val="1"/>
          <c:tx>
            <c:strRef>
              <c:f>'FastFacts-data'!$AR$7</c:f>
              <c:strCache>
                <c:ptCount val="1"/>
                <c:pt idx="0">
                  <c:v>Transferred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050"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'FastFacts-data'!$AR$14:$AR$16</c:f>
              <c:numCache>
                <c:formatCode>0%</c:formatCode>
                <c:ptCount val="3"/>
                <c:pt idx="0">
                  <c:v>0.31989302612631149</c:v>
                </c:pt>
                <c:pt idx="1">
                  <c:v>0.31782626595306712</c:v>
                </c:pt>
                <c:pt idx="2">
                  <c:v>0.30336894001643383</c:v>
                </c:pt>
              </c:numCache>
            </c:numRef>
          </c:val>
        </c:ser>
        <c:ser>
          <c:idx val="2"/>
          <c:order val="2"/>
          <c:tx>
            <c:strRef>
              <c:f>'FastFacts-data'!$AS$7</c:f>
              <c:strCache>
                <c:ptCount val="1"/>
                <c:pt idx="0">
                  <c:v>Enrolled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050"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'FastFacts-data'!$AS$14:$AS$16</c:f>
              <c:numCache>
                <c:formatCode>0%</c:formatCode>
                <c:ptCount val="3"/>
                <c:pt idx="0">
                  <c:v>0.14482616745525612</c:v>
                </c:pt>
                <c:pt idx="1">
                  <c:v>0.15026759983532317</c:v>
                </c:pt>
                <c:pt idx="2">
                  <c:v>0.15053410024650782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5947776"/>
        <c:axId val="115974144"/>
      </c:barChart>
      <c:catAx>
        <c:axId val="1159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974144"/>
        <c:crosses val="autoZero"/>
        <c:auto val="1"/>
        <c:lblAlgn val="ctr"/>
        <c:lblOffset val="100"/>
        <c:noMultiLvlLbl val="0"/>
      </c:catAx>
      <c:valAx>
        <c:axId val="115974144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947776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446613075804549"/>
          <c:y val="0.36771239629988511"/>
          <c:w val="0.25533869241954532"/>
          <c:h val="0.41680215562247841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EAF5F0"/>
    </a:solidFill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Retention Rates</a:t>
            </a:r>
          </a:p>
        </c:rich>
      </c:tx>
      <c:layout>
        <c:manualLayout>
          <c:xMode val="edge"/>
          <c:yMode val="edge"/>
          <c:x val="0.22978163932228521"/>
          <c:y val="1.5564202334630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3"/>
          <c:y val="0.10796627694265562"/>
          <c:w val="0.5596485199469089"/>
          <c:h val="0.78613491613851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'FastFacts-data'!$K$7</c:f>
              <c:strCache>
                <c:ptCount val="1"/>
                <c:pt idx="0">
                  <c:v>Fall to Spring Retention</c:v>
                </c:pt>
              </c:strCache>
            </c:strRef>
          </c:tx>
          <c:invertIfNegative val="0"/>
          <c:cat>
            <c:strRef>
              <c:f>'FastFacts-data'!$J$10:$J$12</c:f>
              <c:strCache>
                <c:ptCount val="3"/>
                <c:pt idx="0">
                  <c:v>Fall 2009  </c:v>
                </c:pt>
                <c:pt idx="1">
                  <c:v>Fall 2010</c:v>
                </c:pt>
                <c:pt idx="2">
                  <c:v>Fall 2011  </c:v>
                </c:pt>
              </c:strCache>
            </c:strRef>
          </c:cat>
          <c:val>
            <c:numRef>
              <c:f>'FastFacts-data'!$K$10:$K$12</c:f>
              <c:numCache>
                <c:formatCode>0%</c:formatCode>
                <c:ptCount val="3"/>
                <c:pt idx="0">
                  <c:v>0.67289567760805902</c:v>
                </c:pt>
                <c:pt idx="1">
                  <c:v>0.68935217091660905</c:v>
                </c:pt>
                <c:pt idx="2">
                  <c:v>0.66766731414444602</c:v>
                </c:pt>
              </c:numCache>
            </c:numRef>
          </c:val>
        </c:ser>
        <c:ser>
          <c:idx val="1"/>
          <c:order val="1"/>
          <c:tx>
            <c:strRef>
              <c:f>'FastFacts-data'!$L$7</c:f>
              <c:strCache>
                <c:ptCount val="1"/>
                <c:pt idx="0">
                  <c:v>Fall to Fall Retention</c:v>
                </c:pt>
              </c:strCache>
            </c:strRef>
          </c:tx>
          <c:invertIfNegative val="0"/>
          <c:cat>
            <c:strRef>
              <c:f>'FastFacts-data'!$J$10:$J$12</c:f>
              <c:strCache>
                <c:ptCount val="3"/>
                <c:pt idx="0">
                  <c:v>Fall 2009  </c:v>
                </c:pt>
                <c:pt idx="1">
                  <c:v>Fall 2010</c:v>
                </c:pt>
                <c:pt idx="2">
                  <c:v>Fall 2011  </c:v>
                </c:pt>
              </c:strCache>
            </c:strRef>
          </c:cat>
          <c:val>
            <c:numRef>
              <c:f>'FastFacts-data'!$L$10:$L$12</c:f>
              <c:numCache>
                <c:formatCode>0%</c:formatCode>
                <c:ptCount val="3"/>
                <c:pt idx="0">
                  <c:v>0.403477413064673</c:v>
                </c:pt>
                <c:pt idx="1">
                  <c:v>0.406271536871123</c:v>
                </c:pt>
                <c:pt idx="2">
                  <c:v>0.38972276178703802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17920"/>
        <c:axId val="115219456"/>
      </c:barChart>
      <c:catAx>
        <c:axId val="1152179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219456"/>
        <c:crosses val="autoZero"/>
        <c:auto val="1"/>
        <c:lblAlgn val="ctr"/>
        <c:lblOffset val="100"/>
        <c:noMultiLvlLbl val="0"/>
      </c:catAx>
      <c:valAx>
        <c:axId val="11521945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217920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69357790978312517"/>
          <c:y val="0.42835235833198448"/>
          <c:w val="0.30642209021687628"/>
          <c:h val="0.41202987448792838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Degrees</a:t>
            </a:r>
            <a:r>
              <a:rPr lang="en-US" sz="1400" baseline="0"/>
              <a:t>/Certificates Awarded</a:t>
            </a:r>
            <a:endParaRPr lang="en-US" sz="1400"/>
          </a:p>
        </c:rich>
      </c:tx>
      <c:layout>
        <c:manualLayout>
          <c:xMode val="edge"/>
          <c:yMode val="edge"/>
          <c:x val="0.21076645907066546"/>
          <c:y val="5.188069564251192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26"/>
          <c:y val="0.10796627694265569"/>
          <c:w val="0.56477690288713911"/>
          <c:h val="0.802497215523336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'FastFacts-data'!$G$7</c:f>
              <c:strCache>
                <c:ptCount val="1"/>
                <c:pt idx="0">
                  <c:v>Transfer Degrees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'FastFacts-data'!$G$10:$G$12</c:f>
              <c:numCache>
                <c:formatCode>#,##0</c:formatCode>
                <c:ptCount val="3"/>
                <c:pt idx="0">
                  <c:v>721</c:v>
                </c:pt>
                <c:pt idx="1">
                  <c:v>839</c:v>
                </c:pt>
                <c:pt idx="2">
                  <c:v>931</c:v>
                </c:pt>
              </c:numCache>
            </c:numRef>
          </c:val>
        </c:ser>
        <c:ser>
          <c:idx val="0"/>
          <c:order val="1"/>
          <c:tx>
            <c:strRef>
              <c:f>'FastFacts-data'!$F$7</c:f>
              <c:strCache>
                <c:ptCount val="1"/>
                <c:pt idx="0">
                  <c:v>CTE Degrees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'FastFacts-data'!$F$10:$F$12</c:f>
              <c:numCache>
                <c:formatCode>#,##0</c:formatCode>
                <c:ptCount val="3"/>
                <c:pt idx="0">
                  <c:v>399</c:v>
                </c:pt>
                <c:pt idx="1">
                  <c:v>472</c:v>
                </c:pt>
                <c:pt idx="2">
                  <c:v>535</c:v>
                </c:pt>
              </c:numCache>
            </c:numRef>
          </c:val>
        </c:ser>
        <c:ser>
          <c:idx val="2"/>
          <c:order val="2"/>
          <c:tx>
            <c:strRef>
              <c:f>'FastFacts-data'!$H$7</c:f>
              <c:strCache>
                <c:ptCount val="1"/>
                <c:pt idx="0">
                  <c:v>Certificates</c:v>
                </c:pt>
              </c:strCache>
            </c:strRef>
          </c:tx>
          <c:invertIfNegative val="0"/>
          <c:cat>
            <c:numRef>
              <c:f>'FastFacts-data'!$E$10:$E$12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'FastFacts-data'!$H$10:$H$12</c:f>
              <c:numCache>
                <c:formatCode>#,##0</c:formatCode>
                <c:ptCount val="3"/>
                <c:pt idx="0">
                  <c:v>1755</c:v>
                </c:pt>
                <c:pt idx="1">
                  <c:v>1776</c:v>
                </c:pt>
                <c:pt idx="2">
                  <c:v>1722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243648"/>
        <c:axId val="115249536"/>
      </c:barChart>
      <c:catAx>
        <c:axId val="11524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249536"/>
        <c:crosses val="autoZero"/>
        <c:auto val="1"/>
        <c:lblAlgn val="ctr"/>
        <c:lblOffset val="100"/>
        <c:noMultiLvlLbl val="0"/>
      </c:catAx>
      <c:valAx>
        <c:axId val="11524953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24364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0284951582417643"/>
          <c:y val="0.29507951105678581"/>
          <c:w val="0.29293094335904407"/>
          <c:h val="0.39801040722806746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Fall Enrollment</a:t>
            </a:r>
          </a:p>
        </c:rich>
      </c:tx>
      <c:layout>
        <c:manualLayout>
          <c:xMode val="edge"/>
          <c:yMode val="edge"/>
          <c:x val="0.24623066675980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34951881014826"/>
          <c:y val="0.10796627694265569"/>
          <c:w val="0.54034829006593588"/>
          <c:h val="0.781193189600428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'FastFacts-data'!$O$7</c:f>
              <c:strCache>
                <c:ptCount val="1"/>
                <c:pt idx="0">
                  <c:v>New Students</c:v>
                </c:pt>
              </c:strCache>
            </c:strRef>
          </c:tx>
          <c:invertIfNegative val="0"/>
          <c:cat>
            <c:strRef>
              <c:f>'FastFacts-data'!$N$12:$N$14</c:f>
              <c:strCache>
                <c:ptCount val="3"/>
                <c:pt idx="0">
                  <c:v>Fall 2010  </c:v>
                </c:pt>
                <c:pt idx="1">
                  <c:v>Fall 2011  </c:v>
                </c:pt>
                <c:pt idx="2">
                  <c:v>Fall 2012</c:v>
                </c:pt>
              </c:strCache>
            </c:strRef>
          </c:cat>
          <c:val>
            <c:numRef>
              <c:f>'FastFacts-data'!$O$12:$O$14</c:f>
              <c:numCache>
                <c:formatCode>#,##0</c:formatCode>
                <c:ptCount val="3"/>
                <c:pt idx="0">
                  <c:v>5754</c:v>
                </c:pt>
                <c:pt idx="1">
                  <c:v>5663</c:v>
                </c:pt>
                <c:pt idx="2">
                  <c:v>5816</c:v>
                </c:pt>
              </c:numCache>
            </c:numRef>
          </c:val>
        </c:ser>
        <c:ser>
          <c:idx val="1"/>
          <c:order val="1"/>
          <c:tx>
            <c:strRef>
              <c:f>'FastFacts-data'!$P$7</c:f>
              <c:strCache>
                <c:ptCount val="1"/>
                <c:pt idx="0">
                  <c:v>Continuing Students</c:v>
                </c:pt>
              </c:strCache>
            </c:strRef>
          </c:tx>
          <c:invertIfNegative val="0"/>
          <c:cat>
            <c:strRef>
              <c:f>'FastFacts-data'!$N$12:$N$14</c:f>
              <c:strCache>
                <c:ptCount val="3"/>
                <c:pt idx="0">
                  <c:v>Fall 2010  </c:v>
                </c:pt>
                <c:pt idx="1">
                  <c:v>Fall 2011  </c:v>
                </c:pt>
                <c:pt idx="2">
                  <c:v>Fall 2012</c:v>
                </c:pt>
              </c:strCache>
            </c:strRef>
          </c:cat>
          <c:val>
            <c:numRef>
              <c:f>'FastFacts-data'!$P$12:$P$14</c:f>
              <c:numCache>
                <c:formatCode>#,##0</c:formatCode>
                <c:ptCount val="3"/>
                <c:pt idx="0">
                  <c:v>14338</c:v>
                </c:pt>
                <c:pt idx="1">
                  <c:v>14905</c:v>
                </c:pt>
                <c:pt idx="2">
                  <c:v>14405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274880"/>
        <c:axId val="115276416"/>
      </c:barChart>
      <c:catAx>
        <c:axId val="1152748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276416"/>
        <c:crosses val="autoZero"/>
        <c:auto val="1"/>
        <c:lblAlgn val="ctr"/>
        <c:lblOffset val="100"/>
        <c:noMultiLvlLbl val="0"/>
      </c:catAx>
      <c:valAx>
        <c:axId val="11527641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5274880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68587429270110911"/>
          <c:y val="0.41045163489434838"/>
          <c:w val="0.30899750009993948"/>
          <c:h val="0.2981425334014020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Race/Ethnicity</a:t>
            </a:r>
          </a:p>
        </c:rich>
      </c:tx>
      <c:layout>
        <c:manualLayout>
          <c:xMode val="edge"/>
          <c:yMode val="edge"/>
          <c:x val="0.27054794520547948"/>
          <c:y val="1.562499359211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883184122532641"/>
          <c:y val="0.17708326071060501"/>
          <c:w val="0.56893071585229926"/>
          <c:h val="0.7378035852183459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'FastFacts-data'!$AC$7</c:f>
              <c:strCache>
                <c:ptCount val="1"/>
                <c:pt idx="0">
                  <c:v>Minority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'FastFacts-data'!$AC$9:$AC$11</c:f>
              <c:numCache>
                <c:formatCode>#,##0</c:formatCode>
                <c:ptCount val="3"/>
                <c:pt idx="0">
                  <c:v>5421</c:v>
                </c:pt>
                <c:pt idx="1">
                  <c:v>6151</c:v>
                </c:pt>
                <c:pt idx="2">
                  <c:v>6564</c:v>
                </c:pt>
              </c:numCache>
            </c:numRef>
          </c:val>
        </c:ser>
        <c:ser>
          <c:idx val="0"/>
          <c:order val="1"/>
          <c:tx>
            <c:strRef>
              <c:f>'FastFacts-data'!$AB$7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'FastFacts-data'!$AB$9:$AB$11</c:f>
              <c:numCache>
                <c:formatCode>#,##0</c:formatCode>
                <c:ptCount val="3"/>
                <c:pt idx="0">
                  <c:v>21005</c:v>
                </c:pt>
                <c:pt idx="1">
                  <c:v>21919</c:v>
                </c:pt>
                <c:pt idx="2">
                  <c:v>22223</c:v>
                </c:pt>
              </c:numCache>
            </c:numRef>
          </c:val>
        </c:ser>
        <c:ser>
          <c:idx val="2"/>
          <c:order val="2"/>
          <c:tx>
            <c:strRef>
              <c:f>'FastFacts-data'!$AD$7</c:f>
              <c:strCache>
                <c:ptCount val="1"/>
                <c:pt idx="0">
                  <c:v>International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'FastFacts-data'!$AD$9:$AD$11</c:f>
              <c:numCache>
                <c:formatCode>#,##0</c:formatCode>
                <c:ptCount val="3"/>
                <c:pt idx="0">
                  <c:v>175</c:v>
                </c:pt>
                <c:pt idx="1">
                  <c:v>369</c:v>
                </c:pt>
                <c:pt idx="2">
                  <c:v>364</c:v>
                </c:pt>
              </c:numCache>
            </c:numRef>
          </c:val>
        </c:ser>
        <c:ser>
          <c:idx val="3"/>
          <c:order val="3"/>
          <c:tx>
            <c:strRef>
              <c:f>'FastFacts-data'!$AE$7</c:f>
              <c:strCache>
                <c:ptCount val="1"/>
                <c:pt idx="0">
                  <c:v>Unknown/Not Reported</c:v>
                </c:pt>
              </c:strCache>
            </c:strRef>
          </c:tx>
          <c:invertIfNegative val="0"/>
          <c:cat>
            <c:numRef>
              <c:f>'FastFacts-data'!$AA$9:$AA$11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'FastFacts-data'!$AE$9:$AE$11</c:f>
              <c:numCache>
                <c:formatCode>#,##0</c:formatCode>
                <c:ptCount val="3"/>
                <c:pt idx="0">
                  <c:v>1810</c:v>
                </c:pt>
                <c:pt idx="1">
                  <c:v>2198</c:v>
                </c:pt>
                <c:pt idx="2">
                  <c:v>2265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323648"/>
        <c:axId val="115325184"/>
      </c:barChart>
      <c:catAx>
        <c:axId val="1153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5325184"/>
        <c:crosses val="autoZero"/>
        <c:auto val="1"/>
        <c:lblAlgn val="ctr"/>
        <c:lblOffset val="100"/>
        <c:noMultiLvlLbl val="0"/>
      </c:catAx>
      <c:valAx>
        <c:axId val="11532518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5323648"/>
        <c:crosses val="autoZero"/>
        <c:crossBetween val="between"/>
        <c:majorUnit val="0.2"/>
      </c:valAx>
      <c:spPr>
        <a:noFill/>
      </c:spPr>
    </c:plotArea>
    <c:legend>
      <c:legendPos val="r"/>
      <c:layout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First</a:t>
            </a:r>
            <a:r>
              <a:rPr lang="en-US" sz="1600" baseline="0"/>
              <a:t> Generation</a:t>
            </a:r>
            <a:endParaRPr lang="en-US" sz="1600"/>
          </a:p>
        </c:rich>
      </c:tx>
      <c:layout>
        <c:manualLayout>
          <c:xMode val="edge"/>
          <c:yMode val="edge"/>
          <c:x val="0.70853896255001769"/>
          <c:y val="4.541266497417716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/>
          </c:spPr>
          <c:dLbls>
            <c:dLbl>
              <c:idx val="2"/>
              <c:layout>
                <c:manualLayout>
                  <c:x val="5.0428299246295834E-2"/>
                  <c:y val="0.1406600061532798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600" b="1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'FastFacts-data'!$W$7:$Y$7</c:f>
              <c:strCache>
                <c:ptCount val="3"/>
                <c:pt idx="0">
                  <c:v>One or Both Parents</c:v>
                </c:pt>
                <c:pt idx="1">
                  <c:v>1st Generation</c:v>
                </c:pt>
                <c:pt idx="2">
                  <c:v>Unknown</c:v>
                </c:pt>
              </c:strCache>
            </c:strRef>
          </c:cat>
          <c:val>
            <c:numRef>
              <c:f>'FastFacts-data'!$W$8:$Y$8</c:f>
              <c:numCache>
                <c:formatCode>#,##0</c:formatCode>
                <c:ptCount val="3"/>
                <c:pt idx="0">
                  <c:v>9056</c:v>
                </c:pt>
                <c:pt idx="1">
                  <c:v>6731</c:v>
                </c:pt>
                <c:pt idx="2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4840425474343866"/>
          <c:y val="0.42620016319568588"/>
          <c:w val="0.31494055979250946"/>
          <c:h val="0.5310977767526815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>
              <a:defRPr sz="1400"/>
            </a:pPr>
            <a:r>
              <a:rPr lang="en-US" sz="1400"/>
              <a:t>3-Year</a:t>
            </a:r>
            <a:r>
              <a:rPr lang="en-US" sz="1400" baseline="0"/>
              <a:t> Success</a:t>
            </a:r>
          </a:p>
          <a:p>
            <a:pPr algn="r">
              <a:defRPr sz="1400"/>
            </a:pPr>
            <a:r>
              <a:rPr lang="en-US" sz="1050" b="0" baseline="0"/>
              <a:t>First-Time </a:t>
            </a:r>
          </a:p>
          <a:p>
            <a:pPr algn="r">
              <a:defRPr sz="1400"/>
            </a:pPr>
            <a:r>
              <a:rPr lang="en-US" sz="1050" b="0" baseline="0"/>
              <a:t>Students</a:t>
            </a:r>
            <a:endParaRPr lang="en-US" sz="1050" b="0"/>
          </a:p>
        </c:rich>
      </c:tx>
      <c:layout>
        <c:manualLayout>
          <c:xMode val="edge"/>
          <c:yMode val="edge"/>
          <c:x val="0.582427318536402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20601388241138"/>
          <c:y val="0.10796627694265575"/>
          <c:w val="0.60286610515149019"/>
          <c:h val="0.80249721552333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'FastFacts-data'!$AQ$7</c:f>
              <c:strCache>
                <c:ptCount val="1"/>
                <c:pt idx="0">
                  <c:v>Graduated (FRCC)</c:v>
                </c:pt>
              </c:strCache>
            </c:strRef>
          </c:tx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'FastFacts-data'!$AQ$14:$AQ$16</c:f>
              <c:numCache>
                <c:formatCode>0%</c:formatCode>
                <c:ptCount val="3"/>
                <c:pt idx="0">
                  <c:v>0.13598025097716518</c:v>
                </c:pt>
                <c:pt idx="1">
                  <c:v>0.14162206669411281</c:v>
                </c:pt>
                <c:pt idx="2">
                  <c:v>0.13377156943303203</c:v>
                </c:pt>
              </c:numCache>
            </c:numRef>
          </c:val>
        </c:ser>
        <c:ser>
          <c:idx val="1"/>
          <c:order val="1"/>
          <c:tx>
            <c:strRef>
              <c:f>'FastFacts-data'!$AR$7</c:f>
              <c:strCache>
                <c:ptCount val="1"/>
                <c:pt idx="0">
                  <c:v>Transferred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'FastFacts-data'!$AR$14:$AR$16</c:f>
              <c:numCache>
                <c:formatCode>0%</c:formatCode>
                <c:ptCount val="3"/>
                <c:pt idx="0">
                  <c:v>0.31989302612631149</c:v>
                </c:pt>
                <c:pt idx="1">
                  <c:v>0.31782626595306712</c:v>
                </c:pt>
                <c:pt idx="2">
                  <c:v>0.30336894001643383</c:v>
                </c:pt>
              </c:numCache>
            </c:numRef>
          </c:val>
        </c:ser>
        <c:ser>
          <c:idx val="2"/>
          <c:order val="2"/>
          <c:tx>
            <c:strRef>
              <c:f>'FastFacts-data'!$AS$7</c:f>
              <c:strCache>
                <c:ptCount val="1"/>
                <c:pt idx="0">
                  <c:v>Enrolled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'FastFacts-data'!$AO$14:$AO$16</c:f>
              <c:strCache>
                <c:ptCount val="3"/>
                <c:pt idx="0">
                  <c:v>Fall 2007  </c:v>
                </c:pt>
                <c:pt idx="1">
                  <c:v>Fall 2008  </c:v>
                </c:pt>
                <c:pt idx="2">
                  <c:v>Fall 2009  </c:v>
                </c:pt>
              </c:strCache>
            </c:strRef>
          </c:cat>
          <c:val>
            <c:numRef>
              <c:f>'FastFacts-data'!$AS$14:$AS$16</c:f>
              <c:numCache>
                <c:formatCode>0%</c:formatCode>
                <c:ptCount val="3"/>
                <c:pt idx="0">
                  <c:v>0.14482616745525612</c:v>
                </c:pt>
                <c:pt idx="1">
                  <c:v>0.15026759983532317</c:v>
                </c:pt>
                <c:pt idx="2">
                  <c:v>0.15053410024650782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057216"/>
        <c:axId val="116058752"/>
      </c:barChart>
      <c:catAx>
        <c:axId val="11605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58752"/>
        <c:crosses val="autoZero"/>
        <c:auto val="1"/>
        <c:lblAlgn val="ctr"/>
        <c:lblOffset val="100"/>
        <c:noMultiLvlLbl val="0"/>
      </c:catAx>
      <c:valAx>
        <c:axId val="11605875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  <a:alpha val="50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57216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446613075804549"/>
          <c:y val="0.40490497467625269"/>
          <c:w val="0.25533869241954532"/>
          <c:h val="0.42355336203207383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278" l="0.70000000000000062" r="0.70000000000000062" t="0.750000000000002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466726</xdr:colOff>
      <xdr:row>13</xdr:row>
      <xdr:rowOff>47625</xdr:rowOff>
    </xdr:from>
    <xdr:to>
      <xdr:col>8</xdr:col>
      <xdr:colOff>504825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95251</xdr:rowOff>
    </xdr:from>
    <xdr:to>
      <xdr:col>4</xdr:col>
      <xdr:colOff>295275</xdr:colOff>
      <xdr:row>26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171450</xdr:rowOff>
    </xdr:from>
    <xdr:to>
      <xdr:col>4</xdr:col>
      <xdr:colOff>238125</xdr:colOff>
      <xdr:row>40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381001</xdr:colOff>
      <xdr:row>0</xdr:row>
      <xdr:rowOff>0</xdr:rowOff>
    </xdr:from>
    <xdr:to>
      <xdr:col>9</xdr:col>
      <xdr:colOff>76201</xdr:colOff>
      <xdr:row>12</xdr:row>
      <xdr:rowOff>152401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600076</xdr:colOff>
      <xdr:row>27</xdr:row>
      <xdr:rowOff>123825</xdr:rowOff>
    </xdr:from>
    <xdr:to>
      <xdr:col>9</xdr:col>
      <xdr:colOff>295276</xdr:colOff>
      <xdr:row>40</xdr:row>
      <xdr:rowOff>95250</xdr:rowOff>
    </xdr:to>
    <xdr:grpSp>
      <xdr:nvGrpSpPr>
        <xdr:cNvPr id="18" name="Group 17"/>
        <xdr:cNvGrpSpPr/>
      </xdr:nvGrpSpPr>
      <xdr:grpSpPr>
        <a:xfrm>
          <a:off x="3038476" y="5267325"/>
          <a:ext cx="2743200" cy="2447925"/>
          <a:chOff x="3038476" y="5267325"/>
          <a:chExt cx="2743200" cy="2447925"/>
        </a:xfrm>
      </xdr:grpSpPr>
      <xdr:graphicFrame macro="">
        <xdr:nvGraphicFramePr>
          <xdr:cNvPr id="11" name="Chart 10"/>
          <xdr:cNvGraphicFramePr/>
        </xdr:nvGraphicFramePr>
        <xdr:xfrm>
          <a:off x="3038476" y="5267325"/>
          <a:ext cx="2743200" cy="2447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FastFacts-data'!V8">
        <xdr:nvSpPr>
          <xdr:cNvPr id="15" name="TextBox 14"/>
          <xdr:cNvSpPr txBox="1"/>
        </xdr:nvSpPr>
        <xdr:spPr>
          <a:xfrm>
            <a:off x="4638676" y="5657850"/>
            <a:ext cx="10477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r"/>
            <a:fld id="{54D12AB3-FF0D-454F-9D07-B1116653D79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r"/>
              <a:t>Fall 2012  </a:t>
            </a:fld>
            <a:endParaRPr lang="en-US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295275</xdr:colOff>
      <xdr:row>12</xdr:row>
      <xdr:rowOff>161924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0</xdr:colOff>
      <xdr:row>1</xdr:row>
      <xdr:rowOff>9525</xdr:rowOff>
    </xdr:from>
    <xdr:ext cx="571500" cy="342900"/>
    <xdr:sp macro="" textlink="">
      <xdr:nvSpPr>
        <xdr:cNvPr id="4" name="TextBox 3"/>
        <xdr:cNvSpPr txBox="1"/>
      </xdr:nvSpPr>
      <xdr:spPr>
        <a:xfrm>
          <a:off x="0" y="200025"/>
          <a:ext cx="571500" cy="342900"/>
        </a:xfrm>
        <a:prstGeom prst="rect">
          <a:avLst/>
        </a:prstGeom>
        <a:gradFill flip="none" rotWithShape="1">
          <a:gsLst>
            <a:gs pos="0">
              <a:schemeClr val="accent3">
                <a:tint val="66000"/>
                <a:satMod val="160000"/>
              </a:schemeClr>
            </a:gs>
            <a:gs pos="50000">
              <a:schemeClr val="accent3">
                <a:tint val="44500"/>
                <a:satMod val="160000"/>
              </a:schemeClr>
            </a:gs>
            <a:gs pos="100000">
              <a:schemeClr val="accent3">
                <a:tint val="23500"/>
                <a:satMod val="160000"/>
              </a:schemeClr>
            </a:gs>
          </a:gsLst>
          <a:lin ang="2700000" scaled="1"/>
          <a:tileRect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 b="1"/>
            <a:t>Total Success:</a:t>
          </a:r>
          <a:endParaRPr lang="en-US" sz="1100" b="1"/>
        </a:p>
      </xdr:txBody>
    </xdr:sp>
    <xdr:clientData/>
  </xdr:oneCellAnchor>
  <xdr:oneCellAnchor>
    <xdr:from>
      <xdr:col>0</xdr:col>
      <xdr:colOff>495300</xdr:colOff>
      <xdr:row>1</xdr:row>
      <xdr:rowOff>76200</xdr:rowOff>
    </xdr:from>
    <xdr:ext cx="385747" cy="233205"/>
    <xdr:sp macro="" textlink="'FastFacts-data'!AU14">
      <xdr:nvSpPr>
        <xdr:cNvPr id="5" name="TextBox 4"/>
        <xdr:cNvSpPr txBox="1"/>
      </xdr:nvSpPr>
      <xdr:spPr>
        <a:xfrm>
          <a:off x="495300" y="266700"/>
          <a:ext cx="38574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2EA01BF-11DC-4A58-9F45-957E696E870F}" type="TxLink">
            <a:rPr lang="en-US" sz="900" b="1"/>
            <a:t>60%</a:t>
          </a:fld>
          <a:endParaRPr lang="en-US" sz="900" b="1"/>
        </a:p>
      </xdr:txBody>
    </xdr:sp>
    <xdr:clientData/>
  </xdr:oneCellAnchor>
  <xdr:oneCellAnchor>
    <xdr:from>
      <xdr:col>1</xdr:col>
      <xdr:colOff>438150</xdr:colOff>
      <xdr:row>1</xdr:row>
      <xdr:rowOff>76200</xdr:rowOff>
    </xdr:from>
    <xdr:ext cx="385747" cy="233205"/>
    <xdr:sp macro="" textlink="'FastFacts-data'!AU15">
      <xdr:nvSpPr>
        <xdr:cNvPr id="12" name="TextBox 11"/>
        <xdr:cNvSpPr txBox="1"/>
      </xdr:nvSpPr>
      <xdr:spPr>
        <a:xfrm>
          <a:off x="1047750" y="266700"/>
          <a:ext cx="38574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1B5A41A-9E9D-4CDA-8A7E-9B60212EF69A}" type="TxLink">
            <a:rPr lang="en-US" sz="900" b="1"/>
            <a:t>61%</a:t>
          </a:fld>
          <a:endParaRPr lang="en-US" sz="900" b="1"/>
        </a:p>
      </xdr:txBody>
    </xdr:sp>
    <xdr:clientData/>
  </xdr:oneCellAnchor>
  <xdr:oneCellAnchor>
    <xdr:from>
      <xdr:col>2</xdr:col>
      <xdr:colOff>361950</xdr:colOff>
      <xdr:row>1</xdr:row>
      <xdr:rowOff>76200</xdr:rowOff>
    </xdr:from>
    <xdr:ext cx="385747" cy="233205"/>
    <xdr:sp macro="" textlink="'FastFacts-data'!AU16">
      <xdr:nvSpPr>
        <xdr:cNvPr id="14" name="TextBox 13"/>
        <xdr:cNvSpPr txBox="1"/>
      </xdr:nvSpPr>
      <xdr:spPr>
        <a:xfrm>
          <a:off x="1581150" y="266700"/>
          <a:ext cx="38574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9382FF-0370-404D-AFA7-987EDC19445A}" type="TxLink">
            <a:rPr lang="en-US" sz="900" b="1"/>
            <a:t>59%</a:t>
          </a:fld>
          <a:endParaRPr lang="en-US" sz="900" b="1"/>
        </a:p>
      </xdr:txBody>
    </xdr:sp>
    <xdr:clientData/>
  </xdr:oneCellAnchor>
  <xdr:twoCellAnchor>
    <xdr:from>
      <xdr:col>0</xdr:col>
      <xdr:colOff>0</xdr:colOff>
      <xdr:row>1</xdr:row>
      <xdr:rowOff>38100</xdr:rowOff>
    </xdr:from>
    <xdr:to>
      <xdr:col>3</xdr:col>
      <xdr:colOff>247650</xdr:colOff>
      <xdr:row>2</xdr:row>
      <xdr:rowOff>123825</xdr:rowOff>
    </xdr:to>
    <xdr:sp macro="" textlink="">
      <xdr:nvSpPr>
        <xdr:cNvPr id="6" name="Rectangle 5"/>
        <xdr:cNvSpPr/>
      </xdr:nvSpPr>
      <xdr:spPr>
        <a:xfrm>
          <a:off x="0" y="228600"/>
          <a:ext cx="2076450" cy="2762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85725</xdr:colOff>
      <xdr:row>13</xdr:row>
      <xdr:rowOff>19050</xdr:rowOff>
    </xdr:to>
    <xdr:sp macro="" textlink="">
      <xdr:nvSpPr>
        <xdr:cNvPr id="12" name="Rectangle 11"/>
        <xdr:cNvSpPr/>
      </xdr:nvSpPr>
      <xdr:spPr>
        <a:xfrm>
          <a:off x="0" y="0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447676</xdr:colOff>
      <xdr:row>13</xdr:row>
      <xdr:rowOff>95250</xdr:rowOff>
    </xdr:from>
    <xdr:to>
      <xdr:col>11</xdr:col>
      <xdr:colOff>485775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123826</xdr:rowOff>
    </xdr:from>
    <xdr:to>
      <xdr:col>4</xdr:col>
      <xdr:colOff>295275</xdr:colOff>
      <xdr:row>26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27</xdr:row>
      <xdr:rowOff>0</xdr:rowOff>
    </xdr:from>
    <xdr:to>
      <xdr:col>4</xdr:col>
      <xdr:colOff>276225</xdr:colOff>
      <xdr:row>39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409576</xdr:colOff>
      <xdr:row>0</xdr:row>
      <xdr:rowOff>0</xdr:rowOff>
    </xdr:from>
    <xdr:to>
      <xdr:col>12</xdr:col>
      <xdr:colOff>104776</xdr:colOff>
      <xdr:row>13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409575</xdr:colOff>
      <xdr:row>26</xdr:row>
      <xdr:rowOff>161925</xdr:rowOff>
    </xdr:from>
    <xdr:to>
      <xdr:col>12</xdr:col>
      <xdr:colOff>104775</xdr:colOff>
      <xdr:row>39</xdr:row>
      <xdr:rowOff>133350</xdr:rowOff>
    </xdr:to>
    <xdr:grpSp>
      <xdr:nvGrpSpPr>
        <xdr:cNvPr id="9" name="Group 8"/>
        <xdr:cNvGrpSpPr/>
      </xdr:nvGrpSpPr>
      <xdr:grpSpPr>
        <a:xfrm>
          <a:off x="5019675" y="5543550"/>
          <a:ext cx="2743200" cy="2447925"/>
          <a:chOff x="5019675" y="5114925"/>
          <a:chExt cx="2743200" cy="2447925"/>
        </a:xfrm>
      </xdr:grpSpPr>
      <xdr:graphicFrame macro="">
        <xdr:nvGraphicFramePr>
          <xdr:cNvPr id="10" name="Chart 9"/>
          <xdr:cNvGraphicFramePr/>
        </xdr:nvGraphicFramePr>
        <xdr:xfrm>
          <a:off x="5019675" y="5114925"/>
          <a:ext cx="2743200" cy="2447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FastFacts-data'!V8">
        <xdr:nvSpPr>
          <xdr:cNvPr id="11" name="TextBox 10"/>
          <xdr:cNvSpPr txBox="1"/>
        </xdr:nvSpPr>
        <xdr:spPr>
          <a:xfrm>
            <a:off x="6696076" y="5467350"/>
            <a:ext cx="10477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r"/>
            <a:fld id="{54D12AB3-FF0D-454F-9D07-B1116653D79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r"/>
              <a:t>Fall 2012  </a:t>
            </a:fld>
            <a:endParaRPr lang="en-US" sz="1100"/>
          </a:p>
        </xdr:txBody>
      </xdr:sp>
    </xdr:grpSp>
    <xdr:clientData/>
  </xdr:twoCellAnchor>
  <xdr:twoCellAnchor>
    <xdr:from>
      <xdr:col>0</xdr:col>
      <xdr:colOff>0</xdr:colOff>
      <xdr:row>13</xdr:row>
      <xdr:rowOff>104775</xdr:rowOff>
    </xdr:from>
    <xdr:to>
      <xdr:col>7</xdr:col>
      <xdr:colOff>85725</xdr:colOff>
      <xdr:row>26</xdr:row>
      <xdr:rowOff>123825</xdr:rowOff>
    </xdr:to>
    <xdr:sp macro="" textlink="">
      <xdr:nvSpPr>
        <xdr:cNvPr id="13" name="Rectangle 12"/>
        <xdr:cNvSpPr/>
      </xdr:nvSpPr>
      <xdr:spPr>
        <a:xfrm>
          <a:off x="0" y="2581275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7</xdr:col>
      <xdr:colOff>85725</xdr:colOff>
      <xdr:row>40</xdr:row>
      <xdr:rowOff>19050</xdr:rowOff>
    </xdr:to>
    <xdr:sp macro="" textlink="">
      <xdr:nvSpPr>
        <xdr:cNvPr id="14" name="Rectangle 13"/>
        <xdr:cNvSpPr/>
      </xdr:nvSpPr>
      <xdr:spPr>
        <a:xfrm>
          <a:off x="0" y="5143500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400050</xdr:colOff>
      <xdr:row>0</xdr:row>
      <xdr:rowOff>0</xdr:rowOff>
    </xdr:from>
    <xdr:to>
      <xdr:col>15</xdr:col>
      <xdr:colOff>85725</xdr:colOff>
      <xdr:row>13</xdr:row>
      <xdr:rowOff>19050</xdr:rowOff>
    </xdr:to>
    <xdr:sp macro="" textlink="">
      <xdr:nvSpPr>
        <xdr:cNvPr id="21" name="Rectangle 20"/>
        <xdr:cNvSpPr/>
      </xdr:nvSpPr>
      <xdr:spPr>
        <a:xfrm>
          <a:off x="5010150" y="0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390525</xdr:colOff>
      <xdr:row>13</xdr:row>
      <xdr:rowOff>95250</xdr:rowOff>
    </xdr:from>
    <xdr:to>
      <xdr:col>15</xdr:col>
      <xdr:colOff>76200</xdr:colOff>
      <xdr:row>26</xdr:row>
      <xdr:rowOff>114300</xdr:rowOff>
    </xdr:to>
    <xdr:sp macro="" textlink="">
      <xdr:nvSpPr>
        <xdr:cNvPr id="22" name="Rectangle 21"/>
        <xdr:cNvSpPr/>
      </xdr:nvSpPr>
      <xdr:spPr>
        <a:xfrm>
          <a:off x="5000625" y="2571750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381000</xdr:colOff>
      <xdr:row>26</xdr:row>
      <xdr:rowOff>180975</xdr:rowOff>
    </xdr:from>
    <xdr:to>
      <xdr:col>15</xdr:col>
      <xdr:colOff>66675</xdr:colOff>
      <xdr:row>40</xdr:row>
      <xdr:rowOff>9525</xdr:rowOff>
    </xdr:to>
    <xdr:sp macro="" textlink="">
      <xdr:nvSpPr>
        <xdr:cNvPr id="23" name="Rectangle 22"/>
        <xdr:cNvSpPr/>
      </xdr:nvSpPr>
      <xdr:spPr>
        <a:xfrm>
          <a:off x="4991100" y="5133975"/>
          <a:ext cx="4695825" cy="2495550"/>
        </a:xfrm>
        <a:prstGeom prst="rect">
          <a:avLst/>
        </a:prstGeom>
        <a:noFill/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295275</xdr:colOff>
      <xdr:row>12</xdr:row>
      <xdr:rowOff>161924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476250</xdr:colOff>
      <xdr:row>3</xdr:row>
      <xdr:rowOff>85725</xdr:rowOff>
    </xdr:from>
    <xdr:ext cx="384144" cy="233205"/>
    <xdr:sp macro="" textlink="'FastFacts-data'!AU14">
      <xdr:nvSpPr>
        <xdr:cNvPr id="6" name="TextBox 5"/>
        <xdr:cNvSpPr txBox="1"/>
      </xdr:nvSpPr>
      <xdr:spPr>
        <a:xfrm>
          <a:off x="476250" y="657225"/>
          <a:ext cx="38414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10E1829-AE74-43A1-B958-96D92CCB3841}" type="TxLink">
            <a:rPr lang="en-US" sz="900" b="1"/>
            <a:t>60%</a:t>
          </a:fld>
          <a:endParaRPr lang="en-US" sz="900" b="1"/>
        </a:p>
      </xdr:txBody>
    </xdr:sp>
    <xdr:clientData/>
  </xdr:oneCellAnchor>
  <xdr:oneCellAnchor>
    <xdr:from>
      <xdr:col>1</xdr:col>
      <xdr:colOff>390525</xdr:colOff>
      <xdr:row>3</xdr:row>
      <xdr:rowOff>85725</xdr:rowOff>
    </xdr:from>
    <xdr:ext cx="384144" cy="233205"/>
    <xdr:sp macro="" textlink="'FastFacts-data'!AU15">
      <xdr:nvSpPr>
        <xdr:cNvPr id="17" name="TextBox 16"/>
        <xdr:cNvSpPr txBox="1"/>
      </xdr:nvSpPr>
      <xdr:spPr>
        <a:xfrm>
          <a:off x="1000125" y="657225"/>
          <a:ext cx="38414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B14BCF4-5158-4826-8A8B-29A199036EAD}" type="TxLink">
            <a:rPr lang="en-US" sz="900" b="1"/>
            <a:t>61%</a:t>
          </a:fld>
          <a:endParaRPr lang="en-US" sz="900" b="1"/>
        </a:p>
      </xdr:txBody>
    </xdr:sp>
    <xdr:clientData/>
  </xdr:oneCellAnchor>
  <xdr:oneCellAnchor>
    <xdr:from>
      <xdr:col>2</xdr:col>
      <xdr:colOff>381000</xdr:colOff>
      <xdr:row>3</xdr:row>
      <xdr:rowOff>85725</xdr:rowOff>
    </xdr:from>
    <xdr:ext cx="384144" cy="233205"/>
    <xdr:sp macro="" textlink="'FastFacts-data'!AU16">
      <xdr:nvSpPr>
        <xdr:cNvPr id="19" name="TextBox 18"/>
        <xdr:cNvSpPr txBox="1"/>
      </xdr:nvSpPr>
      <xdr:spPr>
        <a:xfrm>
          <a:off x="1600200" y="657225"/>
          <a:ext cx="38414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705F82-6E21-486E-B3B4-4A95F791A253}" type="TxLink">
            <a:rPr lang="en-US" sz="900" b="1"/>
            <a:t>59%</a:t>
          </a:fld>
          <a:endParaRPr lang="en-US" sz="900" b="1"/>
        </a:p>
      </xdr:txBody>
    </xdr:sp>
    <xdr:clientData/>
  </xdr:oneCellAnchor>
  <xdr:twoCellAnchor>
    <xdr:from>
      <xdr:col>0</xdr:col>
      <xdr:colOff>57150</xdr:colOff>
      <xdr:row>3</xdr:row>
      <xdr:rowOff>38100</xdr:rowOff>
    </xdr:from>
    <xdr:to>
      <xdr:col>3</xdr:col>
      <xdr:colOff>219075</xdr:colOff>
      <xdr:row>4</xdr:row>
      <xdr:rowOff>142875</xdr:rowOff>
    </xdr:to>
    <xdr:sp macro="" textlink="">
      <xdr:nvSpPr>
        <xdr:cNvPr id="7" name="Rectangle 6"/>
        <xdr:cNvSpPr/>
      </xdr:nvSpPr>
      <xdr:spPr>
        <a:xfrm>
          <a:off x="57150" y="609600"/>
          <a:ext cx="1990725" cy="2952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0.2053</cdr:y>
    </cdr:from>
    <cdr:to>
      <cdr:x>0.16028</cdr:x>
      <cdr:y>0.35099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90550"/>
          <a:ext cx="438149" cy="41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b="1"/>
            <a:t>Total </a:t>
          </a:r>
        </a:p>
        <a:p xmlns:a="http://schemas.openxmlformats.org/drawingml/2006/main">
          <a:r>
            <a:rPr lang="en-US" sz="800" b="1"/>
            <a:t>Success: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AU32"/>
  <sheetViews>
    <sheetView topLeftCell="T1" workbookViewId="0">
      <selection activeCell="Q9" sqref="Q9"/>
    </sheetView>
  </sheetViews>
  <sheetFormatPr defaultRowHeight="15" x14ac:dyDescent="0.25"/>
  <cols>
    <col min="5" max="5" width="7.140625" customWidth="1"/>
    <col min="6" max="6" width="11.85546875" bestFit="1" customWidth="1"/>
    <col min="7" max="7" width="16.140625" bestFit="1" customWidth="1"/>
    <col min="8" max="8" width="11.140625" bestFit="1" customWidth="1"/>
    <col min="9" max="9" width="3.140625" customWidth="1"/>
    <col min="11" max="12" width="22.85546875" customWidth="1"/>
    <col min="13" max="13" width="2.42578125" customWidth="1"/>
    <col min="15" max="15" width="13.5703125" bestFit="1" customWidth="1"/>
    <col min="16" max="16" width="19.28515625" bestFit="1" customWidth="1"/>
    <col min="17" max="17" width="2.42578125" customWidth="1"/>
    <col min="21" max="21" width="2.42578125" customWidth="1"/>
    <col min="26" max="26" width="2.140625" customWidth="1"/>
    <col min="40" max="40" width="3" customWidth="1"/>
    <col min="41" max="41" width="8.85546875" customWidth="1"/>
    <col min="42" max="42" width="1.140625" hidden="1" customWidth="1"/>
  </cols>
  <sheetData>
    <row r="5" spans="5:47" x14ac:dyDescent="0.25">
      <c r="R5" s="20" t="s">
        <v>34</v>
      </c>
      <c r="S5" s="20"/>
      <c r="T5" s="20"/>
    </row>
    <row r="6" spans="5:47" ht="34.5" customHeight="1" x14ac:dyDescent="0.3">
      <c r="E6" s="23" t="s">
        <v>26</v>
      </c>
      <c r="F6" s="23"/>
      <c r="G6" s="23"/>
      <c r="H6" s="23"/>
      <c r="J6" s="24" t="s">
        <v>28</v>
      </c>
      <c r="K6" s="24"/>
      <c r="L6" s="24"/>
      <c r="N6" s="24" t="s">
        <v>29</v>
      </c>
      <c r="O6" s="24"/>
      <c r="P6" s="24"/>
      <c r="R6" s="25" t="s">
        <v>30</v>
      </c>
      <c r="S6" s="25"/>
      <c r="T6" s="25"/>
      <c r="V6" s="26" t="s">
        <v>31</v>
      </c>
      <c r="W6" s="26"/>
      <c r="X6" s="26"/>
      <c r="Y6" s="26"/>
      <c r="AA6" s="22" t="s">
        <v>32</v>
      </c>
      <c r="AB6" s="22"/>
      <c r="AC6" s="22"/>
      <c r="AD6" s="22"/>
      <c r="AE6" s="22"/>
      <c r="AH6" s="21" t="s">
        <v>44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</row>
    <row r="7" spans="5:47" x14ac:dyDescent="0.25">
      <c r="E7" s="6" t="s">
        <v>1</v>
      </c>
      <c r="F7" s="6" t="s">
        <v>10</v>
      </c>
      <c r="G7" s="6" t="s">
        <v>11</v>
      </c>
      <c r="H7" s="6" t="s">
        <v>5</v>
      </c>
      <c r="J7" s="6" t="s">
        <v>27</v>
      </c>
      <c r="K7" s="10" t="s">
        <v>8</v>
      </c>
      <c r="L7" s="10" t="s">
        <v>9</v>
      </c>
      <c r="N7" s="6" t="s">
        <v>2</v>
      </c>
      <c r="O7" s="6" t="s">
        <v>22</v>
      </c>
      <c r="P7" s="6" t="s">
        <v>23</v>
      </c>
      <c r="R7" s="7" t="s">
        <v>2</v>
      </c>
      <c r="S7" s="7" t="s">
        <v>13</v>
      </c>
      <c r="T7" s="7" t="s">
        <v>14</v>
      </c>
      <c r="V7" s="6" t="s">
        <v>2</v>
      </c>
      <c r="W7" s="6" t="s">
        <v>15</v>
      </c>
      <c r="X7" s="6" t="s">
        <v>16</v>
      </c>
      <c r="Y7" s="6" t="s">
        <v>17</v>
      </c>
      <c r="AA7" s="6" t="s">
        <v>0</v>
      </c>
      <c r="AB7" s="6" t="s">
        <v>18</v>
      </c>
      <c r="AC7" s="6" t="s">
        <v>19</v>
      </c>
      <c r="AD7" s="6" t="s">
        <v>21</v>
      </c>
      <c r="AE7" s="6" t="s">
        <v>20</v>
      </c>
      <c r="AH7" s="6" t="s">
        <v>27</v>
      </c>
      <c r="AI7" s="6" t="s">
        <v>22</v>
      </c>
      <c r="AJ7" s="6" t="s">
        <v>35</v>
      </c>
      <c r="AK7" s="6" t="s">
        <v>36</v>
      </c>
      <c r="AL7" s="6" t="s">
        <v>37</v>
      </c>
      <c r="AM7" s="6" t="s">
        <v>38</v>
      </c>
      <c r="AN7" s="12"/>
      <c r="AO7" s="6" t="s">
        <v>27</v>
      </c>
      <c r="AP7" s="12"/>
      <c r="AQ7" s="6" t="s">
        <v>35</v>
      </c>
      <c r="AR7" s="6" t="s">
        <v>36</v>
      </c>
      <c r="AS7" s="6" t="s">
        <v>37</v>
      </c>
      <c r="AT7" s="6" t="s">
        <v>38</v>
      </c>
      <c r="AU7" s="6" t="s">
        <v>59</v>
      </c>
    </row>
    <row r="8" spans="5:47" x14ac:dyDescent="0.25">
      <c r="E8" s="4">
        <v>2008</v>
      </c>
      <c r="F8" s="3">
        <v>445</v>
      </c>
      <c r="G8" s="3">
        <v>593</v>
      </c>
      <c r="H8" s="3">
        <v>1328</v>
      </c>
      <c r="J8" s="2" t="s">
        <v>7</v>
      </c>
      <c r="K8" s="1">
        <v>0.59006338172152895</v>
      </c>
      <c r="L8" s="1">
        <v>0.367613984870169</v>
      </c>
      <c r="N8" s="2" t="s">
        <v>24</v>
      </c>
      <c r="O8" s="3">
        <v>4906</v>
      </c>
      <c r="P8" s="3">
        <v>9866</v>
      </c>
      <c r="R8" s="8" t="s">
        <v>4</v>
      </c>
      <c r="S8" s="9">
        <v>8690</v>
      </c>
      <c r="T8" s="9">
        <v>11402</v>
      </c>
      <c r="V8" s="2" t="s">
        <v>51</v>
      </c>
      <c r="W8" s="3">
        <v>9056</v>
      </c>
      <c r="X8" s="3">
        <v>6731</v>
      </c>
      <c r="Y8" s="3">
        <v>650</v>
      </c>
      <c r="AA8" s="4">
        <v>2009</v>
      </c>
      <c r="AB8" s="3">
        <v>18955</v>
      </c>
      <c r="AC8" s="3">
        <v>4728</v>
      </c>
      <c r="AD8" s="3">
        <v>91</v>
      </c>
      <c r="AE8" s="3">
        <v>998</v>
      </c>
      <c r="AH8" s="2" t="s">
        <v>39</v>
      </c>
      <c r="AI8" s="3">
        <v>4691</v>
      </c>
      <c r="AJ8" s="3">
        <v>340</v>
      </c>
      <c r="AK8" s="3">
        <v>1346</v>
      </c>
      <c r="AL8" s="3">
        <v>528</v>
      </c>
      <c r="AM8" s="3">
        <v>2477</v>
      </c>
      <c r="AN8" s="11"/>
      <c r="AO8" s="2" t="s">
        <v>39</v>
      </c>
      <c r="AQ8" s="1">
        <f>AJ8/$AI8</f>
        <v>7.2479215519079085E-2</v>
      </c>
      <c r="AR8" s="1">
        <f t="shared" ref="AR8:AT8" si="0">AK8/$AI8</f>
        <v>0.28693242379023665</v>
      </c>
      <c r="AS8" s="1">
        <f t="shared" si="0"/>
        <v>0.11255595821786399</v>
      </c>
      <c r="AT8" s="1">
        <f t="shared" si="0"/>
        <v>0.52803240247282024</v>
      </c>
      <c r="AU8" s="1">
        <f>SUM(AQ8:AS8)</f>
        <v>0.47196759752717976</v>
      </c>
    </row>
    <row r="9" spans="5:47" x14ac:dyDescent="0.25">
      <c r="E9" s="4">
        <v>2009</v>
      </c>
      <c r="F9" s="3">
        <v>404</v>
      </c>
      <c r="G9" s="3">
        <v>606</v>
      </c>
      <c r="H9" s="3">
        <v>1519</v>
      </c>
      <c r="J9" s="2" t="s">
        <v>6</v>
      </c>
      <c r="K9" s="1">
        <v>0.62671023075352195</v>
      </c>
      <c r="L9" s="1">
        <v>0.40065346130283802</v>
      </c>
      <c r="N9" s="2" t="s">
        <v>7</v>
      </c>
      <c r="O9" s="3">
        <v>4861</v>
      </c>
      <c r="P9" s="3">
        <v>10401</v>
      </c>
      <c r="AA9" s="4">
        <v>2010</v>
      </c>
      <c r="AB9" s="3">
        <v>21005</v>
      </c>
      <c r="AC9" s="3">
        <v>5421</v>
      </c>
      <c r="AD9" s="3">
        <v>175</v>
      </c>
      <c r="AE9" s="3">
        <v>1810</v>
      </c>
      <c r="AH9" s="2" t="s">
        <v>40</v>
      </c>
      <c r="AI9" s="3">
        <v>5008</v>
      </c>
      <c r="AJ9" s="3">
        <v>366</v>
      </c>
      <c r="AK9" s="3">
        <v>1347</v>
      </c>
      <c r="AL9" s="3">
        <v>543</v>
      </c>
      <c r="AM9" s="3">
        <v>2752</v>
      </c>
      <c r="AN9" s="11"/>
      <c r="AO9" s="2" t="s">
        <v>40</v>
      </c>
      <c r="AQ9" s="1">
        <f t="shared" ref="AQ9:AQ14" si="1">AJ9/$AI9</f>
        <v>7.3083067092651763E-2</v>
      </c>
      <c r="AR9" s="1">
        <f t="shared" ref="AR9:AR15" si="2">AK9/$AI9</f>
        <v>0.26896964856230032</v>
      </c>
      <c r="AS9" s="1">
        <f t="shared" ref="AS9:AS15" si="3">AL9/$AI9</f>
        <v>0.10842651757188498</v>
      </c>
      <c r="AT9" s="1">
        <f t="shared" ref="AT9:AT15" si="4">AM9/$AI9</f>
        <v>0.54952076677316297</v>
      </c>
      <c r="AU9" s="1">
        <f t="shared" ref="AU9:AU16" si="5">SUM(AQ9:AS9)</f>
        <v>0.45047923322683708</v>
      </c>
    </row>
    <row r="10" spans="5:47" x14ac:dyDescent="0.25">
      <c r="E10" s="4">
        <v>2010</v>
      </c>
      <c r="F10" s="3">
        <v>399</v>
      </c>
      <c r="G10" s="3">
        <v>721</v>
      </c>
      <c r="H10" s="3">
        <v>1755</v>
      </c>
      <c r="J10" s="2" t="s">
        <v>3</v>
      </c>
      <c r="K10" s="1">
        <v>0.67289567760805902</v>
      </c>
      <c r="L10" s="1">
        <v>0.403477413064673</v>
      </c>
      <c r="N10" s="2" t="s">
        <v>6</v>
      </c>
      <c r="O10" s="3">
        <v>4858</v>
      </c>
      <c r="P10" s="3">
        <v>10837</v>
      </c>
      <c r="AA10" s="4">
        <v>2011</v>
      </c>
      <c r="AB10" s="3">
        <v>21919</v>
      </c>
      <c r="AC10" s="3">
        <v>6151</v>
      </c>
      <c r="AD10" s="3">
        <v>369</v>
      </c>
      <c r="AE10" s="3">
        <v>2198</v>
      </c>
      <c r="AH10" s="2" t="s">
        <v>41</v>
      </c>
      <c r="AI10" s="3">
        <v>4687</v>
      </c>
      <c r="AJ10" s="3">
        <v>346</v>
      </c>
      <c r="AK10" s="3">
        <v>1340</v>
      </c>
      <c r="AL10" s="3">
        <v>538</v>
      </c>
      <c r="AM10" s="3">
        <v>2463</v>
      </c>
      <c r="AN10" s="11"/>
      <c r="AO10" s="2" t="s">
        <v>41</v>
      </c>
      <c r="AQ10" s="1">
        <f t="shared" si="1"/>
        <v>7.3821207595476848E-2</v>
      </c>
      <c r="AR10" s="1">
        <f t="shared" si="2"/>
        <v>0.28589716236398549</v>
      </c>
      <c r="AS10" s="1">
        <f t="shared" si="3"/>
        <v>0.11478557712822701</v>
      </c>
      <c r="AT10" s="1">
        <f t="shared" si="4"/>
        <v>0.52549605291231061</v>
      </c>
      <c r="AU10" s="1">
        <f t="shared" si="5"/>
        <v>0.47450394708768934</v>
      </c>
    </row>
    <row r="11" spans="5:47" x14ac:dyDescent="0.25">
      <c r="E11" s="4">
        <v>2011</v>
      </c>
      <c r="F11" s="3">
        <v>472</v>
      </c>
      <c r="G11" s="3">
        <v>839</v>
      </c>
      <c r="H11" s="3">
        <v>1776</v>
      </c>
      <c r="J11" s="5" t="s">
        <v>12</v>
      </c>
      <c r="K11" s="1">
        <v>0.68935217091660905</v>
      </c>
      <c r="L11" s="1">
        <v>0.406271536871123</v>
      </c>
      <c r="N11" s="2" t="s">
        <v>3</v>
      </c>
      <c r="O11" s="3">
        <v>6085</v>
      </c>
      <c r="P11" s="3">
        <v>12628</v>
      </c>
      <c r="AA11" s="4">
        <v>2012</v>
      </c>
      <c r="AB11" s="3">
        <v>22223</v>
      </c>
      <c r="AC11" s="3">
        <v>6564</v>
      </c>
      <c r="AD11" s="3">
        <v>364</v>
      </c>
      <c r="AE11" s="3">
        <v>2265</v>
      </c>
      <c r="AH11" s="2" t="s">
        <v>42</v>
      </c>
      <c r="AI11" s="3">
        <v>4801</v>
      </c>
      <c r="AJ11" s="3">
        <v>388</v>
      </c>
      <c r="AK11" s="3">
        <v>1430</v>
      </c>
      <c r="AL11" s="3">
        <v>543</v>
      </c>
      <c r="AM11" s="3">
        <v>2440</v>
      </c>
      <c r="AN11" s="11"/>
      <c r="AO11" s="2" t="s">
        <v>42</v>
      </c>
      <c r="AQ11" s="1">
        <f t="shared" si="1"/>
        <v>8.0816496563216003E-2</v>
      </c>
      <c r="AR11" s="1">
        <f t="shared" si="2"/>
        <v>0.29785461362216203</v>
      </c>
      <c r="AS11" s="1">
        <f t="shared" si="3"/>
        <v>0.11310143720058322</v>
      </c>
      <c r="AT11" s="1">
        <f t="shared" si="4"/>
        <v>0.50822745261403879</v>
      </c>
      <c r="AU11" s="1">
        <f t="shared" si="5"/>
        <v>0.49177254738596121</v>
      </c>
    </row>
    <row r="12" spans="5:47" x14ac:dyDescent="0.25">
      <c r="E12" s="4">
        <v>2012</v>
      </c>
      <c r="F12" s="3">
        <v>535</v>
      </c>
      <c r="G12" s="3">
        <v>931</v>
      </c>
      <c r="H12" s="3">
        <v>1722</v>
      </c>
      <c r="J12" s="5" t="s">
        <v>25</v>
      </c>
      <c r="K12" s="1">
        <v>0.66766731414444602</v>
      </c>
      <c r="L12" s="1">
        <v>0.38972276178703802</v>
      </c>
      <c r="N12" s="2" t="s">
        <v>4</v>
      </c>
      <c r="O12" s="3">
        <v>5754</v>
      </c>
      <c r="P12" s="3">
        <v>14338</v>
      </c>
      <c r="AH12" s="2" t="s">
        <v>43</v>
      </c>
      <c r="AI12" s="3">
        <v>4336</v>
      </c>
      <c r="AJ12" s="3">
        <v>459</v>
      </c>
      <c r="AK12" s="3">
        <v>1300</v>
      </c>
      <c r="AL12" s="3">
        <v>530</v>
      </c>
      <c r="AM12" s="3">
        <v>2047</v>
      </c>
      <c r="AN12" s="11"/>
      <c r="AO12" s="2" t="s">
        <v>43</v>
      </c>
      <c r="AQ12" s="1">
        <f t="shared" si="1"/>
        <v>0.10585793357933579</v>
      </c>
      <c r="AR12" s="1">
        <f t="shared" si="2"/>
        <v>0.29981549815498154</v>
      </c>
      <c r="AS12" s="1">
        <f t="shared" si="3"/>
        <v>0.12223247232472324</v>
      </c>
      <c r="AT12" s="1">
        <f t="shared" si="4"/>
        <v>0.47209409594095941</v>
      </c>
      <c r="AU12" s="1">
        <f t="shared" si="5"/>
        <v>0.52790590405904059</v>
      </c>
    </row>
    <row r="13" spans="5:47" x14ac:dyDescent="0.25">
      <c r="N13" s="2" t="s">
        <v>25</v>
      </c>
      <c r="O13" s="3">
        <v>5663</v>
      </c>
      <c r="P13" s="3">
        <v>14905</v>
      </c>
      <c r="AH13" s="2" t="s">
        <v>24</v>
      </c>
      <c r="AI13" s="3">
        <v>4909</v>
      </c>
      <c r="AJ13" s="3">
        <v>672</v>
      </c>
      <c r="AK13" s="3">
        <v>1463</v>
      </c>
      <c r="AL13" s="3">
        <v>695</v>
      </c>
      <c r="AM13" s="3">
        <v>2079</v>
      </c>
      <c r="AN13" s="11"/>
      <c r="AO13" s="2" t="s">
        <v>24</v>
      </c>
      <c r="AQ13" s="1">
        <f t="shared" si="1"/>
        <v>0.13689142391525769</v>
      </c>
      <c r="AR13" s="1">
        <f t="shared" si="2"/>
        <v>0.2980240374821756</v>
      </c>
      <c r="AS13" s="1">
        <f t="shared" si="3"/>
        <v>0.14157669586473823</v>
      </c>
      <c r="AT13" s="1">
        <f t="shared" si="4"/>
        <v>0.42350784273782849</v>
      </c>
      <c r="AU13" s="1">
        <f t="shared" si="5"/>
        <v>0.57649215726217151</v>
      </c>
    </row>
    <row r="14" spans="5:47" x14ac:dyDescent="0.25">
      <c r="N14" s="2" t="s">
        <v>52</v>
      </c>
      <c r="O14" s="3">
        <v>5816</v>
      </c>
      <c r="P14" s="3">
        <v>14405</v>
      </c>
      <c r="AH14" s="2" t="s">
        <v>7</v>
      </c>
      <c r="AI14" s="3">
        <v>4861</v>
      </c>
      <c r="AJ14" s="3">
        <v>661</v>
      </c>
      <c r="AK14" s="3">
        <v>1555</v>
      </c>
      <c r="AL14" s="3">
        <v>704</v>
      </c>
      <c r="AM14" s="3">
        <v>1941</v>
      </c>
      <c r="AN14" s="11"/>
      <c r="AO14" s="2" t="s">
        <v>7</v>
      </c>
      <c r="AQ14" s="1">
        <f t="shared" si="1"/>
        <v>0.13598025097716518</v>
      </c>
      <c r="AR14" s="1">
        <f t="shared" si="2"/>
        <v>0.31989302612631149</v>
      </c>
      <c r="AS14" s="1">
        <f t="shared" si="3"/>
        <v>0.14482616745525612</v>
      </c>
      <c r="AT14" s="1">
        <f t="shared" si="4"/>
        <v>0.39930055544126725</v>
      </c>
      <c r="AU14" s="1">
        <f t="shared" si="5"/>
        <v>0.60069944455873281</v>
      </c>
    </row>
    <row r="15" spans="5:47" x14ac:dyDescent="0.25">
      <c r="AH15" s="2" t="s">
        <v>6</v>
      </c>
      <c r="AI15" s="3">
        <v>4858</v>
      </c>
      <c r="AJ15" s="3">
        <v>688</v>
      </c>
      <c r="AK15" s="3">
        <v>1544</v>
      </c>
      <c r="AL15" s="3">
        <v>730</v>
      </c>
      <c r="AM15" s="3">
        <v>1896</v>
      </c>
      <c r="AN15" s="11"/>
      <c r="AO15" s="2" t="s">
        <v>6</v>
      </c>
      <c r="AQ15" s="1">
        <f>AJ15/$AI15</f>
        <v>0.14162206669411281</v>
      </c>
      <c r="AR15" s="1">
        <f t="shared" si="2"/>
        <v>0.31782626595306712</v>
      </c>
      <c r="AS15" s="1">
        <f t="shared" si="3"/>
        <v>0.15026759983532317</v>
      </c>
      <c r="AT15" s="1">
        <f t="shared" si="4"/>
        <v>0.39028406751749689</v>
      </c>
      <c r="AU15" s="1">
        <f t="shared" si="5"/>
        <v>0.60971593248250311</v>
      </c>
    </row>
    <row r="16" spans="5:47" x14ac:dyDescent="0.25">
      <c r="AH16" s="2" t="s">
        <v>3</v>
      </c>
      <c r="AI16" s="3">
        <v>6085</v>
      </c>
      <c r="AJ16" s="3">
        <v>814</v>
      </c>
      <c r="AK16" s="3">
        <v>1846</v>
      </c>
      <c r="AL16" s="3">
        <v>916</v>
      </c>
      <c r="AM16" s="3">
        <v>2509</v>
      </c>
      <c r="AN16" s="11"/>
      <c r="AO16" s="2" t="s">
        <v>3</v>
      </c>
      <c r="AQ16" s="1">
        <f>AJ16/$AI16</f>
        <v>0.13377156943303203</v>
      </c>
      <c r="AR16" s="1">
        <f t="shared" ref="AR16" si="6">AK16/$AI16</f>
        <v>0.30336894001643383</v>
      </c>
      <c r="AS16" s="1">
        <f t="shared" ref="AS16" si="7">AL16/$AI16</f>
        <v>0.15053410024650782</v>
      </c>
      <c r="AT16" s="1">
        <f t="shared" ref="AT16" si="8">AM16/$AI16</f>
        <v>0.41232539030402632</v>
      </c>
      <c r="AU16" s="1">
        <f t="shared" si="5"/>
        <v>0.58767460969597374</v>
      </c>
    </row>
    <row r="17" spans="40:40" x14ac:dyDescent="0.25">
      <c r="AN17" s="11"/>
    </row>
    <row r="18" spans="40:40" x14ac:dyDescent="0.25">
      <c r="AN18" s="11"/>
    </row>
    <row r="19" spans="40:40" x14ac:dyDescent="0.25">
      <c r="AN19" s="11"/>
    </row>
    <row r="20" spans="40:40" x14ac:dyDescent="0.25">
      <c r="AN20" s="11"/>
    </row>
    <row r="21" spans="40:40" x14ac:dyDescent="0.25">
      <c r="AN21" s="11"/>
    </row>
    <row r="22" spans="40:40" x14ac:dyDescent="0.25">
      <c r="AN22" s="11"/>
    </row>
    <row r="23" spans="40:40" x14ac:dyDescent="0.25">
      <c r="AN23" s="11"/>
    </row>
    <row r="24" spans="40:40" x14ac:dyDescent="0.25">
      <c r="AN24" s="11"/>
    </row>
    <row r="25" spans="40:40" x14ac:dyDescent="0.25">
      <c r="AN25" s="11"/>
    </row>
    <row r="26" spans="40:40" x14ac:dyDescent="0.25">
      <c r="AN26" s="11"/>
    </row>
    <row r="27" spans="40:40" x14ac:dyDescent="0.25">
      <c r="AN27" s="11"/>
    </row>
    <row r="28" spans="40:40" x14ac:dyDescent="0.25">
      <c r="AN28" s="11"/>
    </row>
    <row r="29" spans="40:40" x14ac:dyDescent="0.25">
      <c r="AN29" s="11"/>
    </row>
    <row r="30" spans="40:40" x14ac:dyDescent="0.25">
      <c r="AN30" s="11"/>
    </row>
    <row r="31" spans="40:40" x14ac:dyDescent="0.25">
      <c r="AN31" s="11"/>
    </row>
    <row r="32" spans="40:40" x14ac:dyDescent="0.25">
      <c r="AN32" s="11"/>
    </row>
  </sheetData>
  <mergeCells count="8">
    <mergeCell ref="R5:T5"/>
    <mergeCell ref="AH6:AU6"/>
    <mergeCell ref="AA6:AE6"/>
    <mergeCell ref="E6:H6"/>
    <mergeCell ref="J6:L6"/>
    <mergeCell ref="N6:P6"/>
    <mergeCell ref="R6:T6"/>
    <mergeCell ref="V6:Y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9" sqref="Q9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O37"/>
  <sheetViews>
    <sheetView showGridLines="0" showRowColHeaders="0" tabSelected="1" workbookViewId="0">
      <selection activeCell="S12" sqref="S12"/>
    </sheetView>
  </sheetViews>
  <sheetFormatPr defaultRowHeight="15" x14ac:dyDescent="0.25"/>
  <cols>
    <col min="1" max="4" width="9.140625" style="13"/>
    <col min="5" max="5" width="6.140625" style="13" customWidth="1"/>
    <col min="6" max="6" width="17.28515625" style="13" customWidth="1"/>
    <col min="7" max="12" width="9.140625" style="13"/>
    <col min="13" max="13" width="3" style="13" customWidth="1"/>
    <col min="14" max="14" width="17.28515625" style="13" customWidth="1"/>
    <col min="15" max="32" width="9.140625" style="13"/>
    <col min="33" max="33" width="9.140625" style="13" customWidth="1"/>
    <col min="34" max="16384" width="9.140625" style="13"/>
  </cols>
  <sheetData>
    <row r="4" spans="6:15" x14ac:dyDescent="0.25">
      <c r="F4" s="27" t="s">
        <v>46</v>
      </c>
      <c r="G4" s="28"/>
    </row>
    <row r="5" spans="6:15" x14ac:dyDescent="0.25">
      <c r="F5" s="39" t="s">
        <v>53</v>
      </c>
      <c r="G5" s="40"/>
      <c r="N5" s="29" t="s">
        <v>54</v>
      </c>
      <c r="O5" s="29"/>
    </row>
    <row r="6" spans="6:15" x14ac:dyDescent="0.25">
      <c r="F6" s="14" t="s">
        <v>47</v>
      </c>
      <c r="G6" s="15">
        <f>'FastFacts-data'!AI16</f>
        <v>6085</v>
      </c>
      <c r="N6" s="16" t="s">
        <v>18</v>
      </c>
      <c r="O6" s="15">
        <f>'FastFacts-data'!AB11</f>
        <v>22223</v>
      </c>
    </row>
    <row r="7" spans="6:15" x14ac:dyDescent="0.25">
      <c r="F7" s="17" t="s">
        <v>35</v>
      </c>
      <c r="G7" s="15">
        <f>'FastFacts-data'!AJ16</f>
        <v>814</v>
      </c>
      <c r="N7" s="16" t="s">
        <v>19</v>
      </c>
      <c r="O7" s="15">
        <f>'FastFacts-data'!AC11</f>
        <v>6564</v>
      </c>
    </row>
    <row r="8" spans="6:15" x14ac:dyDescent="0.25">
      <c r="F8" s="17" t="s">
        <v>36</v>
      </c>
      <c r="G8" s="15">
        <f>'FastFacts-data'!AK16</f>
        <v>1846</v>
      </c>
      <c r="N8" s="16" t="s">
        <v>21</v>
      </c>
      <c r="O8" s="15">
        <f>'FastFacts-data'!AD11</f>
        <v>364</v>
      </c>
    </row>
    <row r="9" spans="6:15" x14ac:dyDescent="0.25">
      <c r="F9" s="17" t="s">
        <v>45</v>
      </c>
      <c r="G9" s="15">
        <f>'FastFacts-data'!AL16</f>
        <v>916</v>
      </c>
      <c r="N9" s="37" t="s">
        <v>20</v>
      </c>
      <c r="O9" s="38">
        <f>'FastFacts-data'!AE11</f>
        <v>2265</v>
      </c>
    </row>
    <row r="10" spans="6:15" x14ac:dyDescent="0.25">
      <c r="F10" s="17" t="s">
        <v>48</v>
      </c>
      <c r="G10" s="15">
        <f>G6-SUM(G7:G9)</f>
        <v>2509</v>
      </c>
      <c r="N10" s="37"/>
      <c r="O10" s="38"/>
    </row>
    <row r="11" spans="6:15" ht="25.5" x14ac:dyDescent="0.25">
      <c r="F11" s="18" t="s">
        <v>49</v>
      </c>
      <c r="G11" s="19">
        <f>SUM('FastFacts-data'!AQ16:AR16)</f>
        <v>0.43714050944946586</v>
      </c>
    </row>
    <row r="12" spans="6:15" ht="38.25" x14ac:dyDescent="0.25">
      <c r="F12" s="18" t="s">
        <v>50</v>
      </c>
      <c r="G12" s="19">
        <f>SUM('FastFacts-data'!AQ16:AS16)</f>
        <v>0.58767460969597374</v>
      </c>
    </row>
    <row r="18" spans="6:15" x14ac:dyDescent="0.25">
      <c r="N18" s="29" t="s">
        <v>56</v>
      </c>
      <c r="O18" s="30"/>
    </row>
    <row r="19" spans="6:15" x14ac:dyDescent="0.25">
      <c r="F19" s="29" t="s">
        <v>55</v>
      </c>
      <c r="G19" s="29"/>
      <c r="N19" s="31" t="str">
        <f>'FastFacts-data'!K7</f>
        <v>Fall to Spring Retention</v>
      </c>
      <c r="O19" s="33">
        <f>'FastFacts-data'!K12</f>
        <v>0.66766731414444602</v>
      </c>
    </row>
    <row r="20" spans="6:15" ht="15" customHeight="1" x14ac:dyDescent="0.25">
      <c r="F20" s="16" t="s">
        <v>5</v>
      </c>
      <c r="G20" s="15">
        <f>'FastFacts-data'!H12</f>
        <v>1722</v>
      </c>
      <c r="N20" s="32"/>
      <c r="O20" s="34"/>
    </row>
    <row r="21" spans="6:15" x14ac:dyDescent="0.25">
      <c r="F21" s="16" t="s">
        <v>10</v>
      </c>
      <c r="G21" s="15">
        <f>'FastFacts-data'!F12</f>
        <v>535</v>
      </c>
      <c r="N21" s="35" t="str">
        <f>'FastFacts-data'!L7</f>
        <v>Fall to Fall Retention</v>
      </c>
      <c r="O21" s="33">
        <f>'FastFacts-data'!L12</f>
        <v>0.38972276178703802</v>
      </c>
    </row>
    <row r="22" spans="6:15" ht="15" customHeight="1" x14ac:dyDescent="0.25">
      <c r="F22" s="16" t="s">
        <v>11</v>
      </c>
      <c r="G22" s="15">
        <f>'FastFacts-data'!G12</f>
        <v>931</v>
      </c>
      <c r="N22" s="36"/>
      <c r="O22" s="34"/>
    </row>
    <row r="32" spans="6:15" x14ac:dyDescent="0.25">
      <c r="N32" s="29" t="s">
        <v>58</v>
      </c>
      <c r="O32" s="29"/>
    </row>
    <row r="33" spans="6:15" x14ac:dyDescent="0.25">
      <c r="F33" s="29" t="s">
        <v>57</v>
      </c>
      <c r="G33" s="30"/>
      <c r="N33" s="35" t="s">
        <v>15</v>
      </c>
      <c r="O33" s="41">
        <f>'FastFacts-data'!W8</f>
        <v>9056</v>
      </c>
    </row>
    <row r="34" spans="6:15" x14ac:dyDescent="0.25">
      <c r="F34" s="31" t="s">
        <v>23</v>
      </c>
      <c r="G34" s="41">
        <f>'FastFacts-data'!P14</f>
        <v>14405</v>
      </c>
      <c r="N34" s="36"/>
      <c r="O34" s="42"/>
    </row>
    <row r="35" spans="6:15" x14ac:dyDescent="0.25">
      <c r="F35" s="32"/>
      <c r="G35" s="42"/>
      <c r="N35" s="16" t="s">
        <v>16</v>
      </c>
      <c r="O35" s="15">
        <f>'FastFacts-data'!X8</f>
        <v>6731</v>
      </c>
    </row>
    <row r="36" spans="6:15" x14ac:dyDescent="0.25">
      <c r="F36" s="35" t="s">
        <v>33</v>
      </c>
      <c r="G36" s="41">
        <f>'FastFacts-data'!O14</f>
        <v>5816</v>
      </c>
      <c r="N36" s="16" t="s">
        <v>17</v>
      </c>
      <c r="O36" s="15">
        <f>'FastFacts-data'!Y8</f>
        <v>650</v>
      </c>
    </row>
    <row r="37" spans="6:15" x14ac:dyDescent="0.25">
      <c r="F37" s="36"/>
      <c r="G37" s="42"/>
    </row>
  </sheetData>
  <sheetProtection password="CECF" sheet="1" objects="1" scenarios="1" selectLockedCells="1"/>
  <mergeCells count="19">
    <mergeCell ref="F36:F37"/>
    <mergeCell ref="G34:G35"/>
    <mergeCell ref="G36:G37"/>
    <mergeCell ref="N32:O32"/>
    <mergeCell ref="N33:N34"/>
    <mergeCell ref="O33:O34"/>
    <mergeCell ref="F33:G33"/>
    <mergeCell ref="F34:F35"/>
    <mergeCell ref="F4:G4"/>
    <mergeCell ref="N18:O18"/>
    <mergeCell ref="N19:N20"/>
    <mergeCell ref="O19:O20"/>
    <mergeCell ref="N21:N22"/>
    <mergeCell ref="O21:O22"/>
    <mergeCell ref="N9:N10"/>
    <mergeCell ref="O9:O10"/>
    <mergeCell ref="N5:O5"/>
    <mergeCell ref="F19:G19"/>
    <mergeCell ref="F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FastFacts-data</vt:lpstr>
      <vt:lpstr>NewFastFacts - img for web</vt:lpstr>
      <vt:lpstr>FastFactsSplash</vt:lpstr>
    </vt:vector>
  </TitlesOfParts>
  <Company>Front Range Community College, Westminster Campus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ryan.lambert</dc:creator>
  <cp:lastModifiedBy>Lambert, Ryan</cp:lastModifiedBy>
  <cp:lastPrinted>2011-11-14T22:31:04Z</cp:lastPrinted>
  <dcterms:created xsi:type="dcterms:W3CDTF">2011-08-12T14:05:44Z</dcterms:created>
  <dcterms:modified xsi:type="dcterms:W3CDTF">2013-03-04T15:32:22Z</dcterms:modified>
</cp:coreProperties>
</file>