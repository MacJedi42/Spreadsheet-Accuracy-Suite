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270" windowWidth="20730" windowHeight="11700"/>
  </bookViews>
  <sheets>
    <sheet name="Version 3.0" sheetId="6" r:id="rId1"/>
    <sheet name="Notes" sheetId="4" r:id="rId2"/>
    <sheet name="Data Notes" sheetId="5" r:id="rId3"/>
  </sheets>
  <definedNames>
    <definedName name="_xlnm._FilterDatabase" localSheetId="0">'Version 3.0'!$A$1:$R$613</definedName>
  </definedNames>
  <calcPr calcId="145621"/>
</workbook>
</file>

<file path=xl/calcChain.xml><?xml version="1.0" encoding="utf-8"?>
<calcChain xmlns="http://schemas.openxmlformats.org/spreadsheetml/2006/main">
  <c r="B580" i="6" l="1"/>
  <c r="B45" i="6"/>
  <c r="B229" i="6"/>
  <c r="B413" i="6"/>
  <c r="B577" i="6"/>
  <c r="B560" i="6"/>
  <c r="B184" i="6" l="1"/>
  <c r="B102" i="6"/>
  <c r="B66" i="6"/>
  <c r="B99" i="6"/>
  <c r="B543" i="6"/>
  <c r="B417" i="6"/>
  <c r="B386" i="6"/>
  <c r="B437" i="6"/>
  <c r="B211" i="6"/>
  <c r="B333" i="6"/>
  <c r="B419" i="6"/>
  <c r="B133" i="6"/>
  <c r="B17" i="6"/>
  <c r="B547" i="6"/>
  <c r="B530" i="6"/>
  <c r="B512" i="6"/>
  <c r="B523" i="6"/>
  <c r="B505" i="6"/>
  <c r="B275" i="6"/>
  <c r="B255" i="6"/>
  <c r="B162" i="6"/>
  <c r="B233" i="6"/>
  <c r="B208" i="6"/>
  <c r="B440" i="6"/>
  <c r="B214" i="6"/>
  <c r="B243" i="6"/>
  <c r="B163" i="6"/>
  <c r="B85" i="6"/>
  <c r="B67" i="6"/>
  <c r="B11" i="6"/>
  <c r="B575" i="6"/>
  <c r="B548" i="6"/>
  <c r="B551" i="6"/>
  <c r="B586" i="6"/>
  <c r="B540" i="6"/>
  <c r="B266" i="6"/>
  <c r="B504" i="6"/>
  <c r="B538" i="6"/>
  <c r="B483" i="6"/>
  <c r="B493" i="6"/>
  <c r="B476" i="6"/>
  <c r="B304" i="6"/>
  <c r="B334" i="6"/>
  <c r="B490" i="6"/>
  <c r="B368" i="6"/>
  <c r="B203" i="6"/>
  <c r="B269" i="6"/>
  <c r="B474" i="6"/>
  <c r="B274" i="6"/>
  <c r="B129" i="6"/>
  <c r="B326" i="6"/>
  <c r="B178" i="6"/>
  <c r="B374" i="6"/>
  <c r="B198" i="6"/>
  <c r="B148" i="6"/>
  <c r="B108" i="6"/>
  <c r="B202" i="6"/>
  <c r="B372" i="6"/>
  <c r="B186" i="6"/>
  <c r="B290" i="6"/>
  <c r="B59" i="6"/>
  <c r="B204" i="6"/>
  <c r="B278" i="6"/>
  <c r="B30" i="6"/>
  <c r="B33" i="6"/>
  <c r="B77" i="6"/>
  <c r="B94" i="6"/>
  <c r="B48" i="6"/>
  <c r="B159" i="6"/>
  <c r="B75" i="6"/>
  <c r="B73" i="6"/>
  <c r="B10" i="6"/>
  <c r="B28" i="6"/>
  <c r="B69" i="6"/>
  <c r="B49" i="6"/>
  <c r="B63" i="6"/>
  <c r="B18" i="6"/>
  <c r="B216" i="6"/>
  <c r="B103" i="6"/>
  <c r="B44" i="6"/>
  <c r="B62" i="6"/>
  <c r="B92" i="6"/>
  <c r="B187" i="6"/>
  <c r="B156" i="6"/>
  <c r="B97" i="6"/>
  <c r="B194" i="6"/>
  <c r="B308" i="6"/>
  <c r="B120" i="6"/>
  <c r="B256" i="6"/>
  <c r="B348" i="6"/>
  <c r="B341" i="6"/>
  <c r="B125" i="6"/>
  <c r="B135" i="6"/>
  <c r="B235" i="6"/>
  <c r="B136" i="6"/>
  <c r="B122" i="6"/>
  <c r="B152" i="6"/>
  <c r="B105" i="6"/>
  <c r="B264" i="6"/>
  <c r="B106" i="6"/>
  <c r="B342" i="6"/>
  <c r="B176" i="6"/>
  <c r="B371" i="6"/>
  <c r="B293" i="6"/>
  <c r="B362" i="6"/>
  <c r="B310" i="6"/>
  <c r="B415" i="6"/>
  <c r="B306" i="6"/>
  <c r="B470" i="6"/>
  <c r="B613" i="6"/>
  <c r="B457" i="6"/>
  <c r="B191" i="6"/>
  <c r="B393" i="6"/>
  <c r="B423" i="6"/>
  <c r="B377" i="6"/>
  <c r="B236" i="6"/>
  <c r="B365" i="6"/>
  <c r="B565" i="6"/>
  <c r="B220" i="6"/>
  <c r="B279" i="6"/>
  <c r="B458" i="6"/>
  <c r="B441" i="6"/>
  <c r="B420" i="6"/>
  <c r="B238" i="6"/>
  <c r="B475" i="6"/>
  <c r="B510" i="6"/>
  <c r="B296" i="6"/>
  <c r="B444" i="6"/>
  <c r="B554" i="6"/>
  <c r="B511" i="6"/>
  <c r="B566" i="6"/>
  <c r="B412" i="6"/>
  <c r="B488" i="6"/>
  <c r="B561" i="6"/>
  <c r="B272" i="6"/>
  <c r="B453" i="6"/>
  <c r="B314" i="6"/>
  <c r="B587" i="6"/>
  <c r="B564" i="6"/>
  <c r="B604" i="6"/>
  <c r="B442" i="6"/>
  <c r="B527" i="6"/>
  <c r="B516" i="6"/>
  <c r="B545" i="6"/>
  <c r="B526" i="6"/>
  <c r="B593" i="6"/>
  <c r="B590" i="6"/>
  <c r="B2" i="6"/>
  <c r="B583" i="6"/>
  <c r="B584" i="6"/>
  <c r="B596" i="6"/>
  <c r="B501" i="6"/>
  <c r="B520" i="6"/>
  <c r="B553" i="6"/>
  <c r="B446" i="6"/>
  <c r="B555" i="6"/>
  <c r="B550" i="6"/>
  <c r="B541" i="6"/>
  <c r="B425" i="6"/>
  <c r="B519" i="6"/>
  <c r="B592" i="6"/>
  <c r="B588" i="6"/>
  <c r="B559" i="6"/>
  <c r="B522" i="6"/>
  <c r="B578" i="6"/>
  <c r="B572" i="6"/>
  <c r="B462" i="6"/>
  <c r="B610" i="6"/>
  <c r="B528" i="6"/>
  <c r="B602" i="6"/>
  <c r="B452" i="6"/>
  <c r="B517" i="6"/>
  <c r="B582" i="6"/>
  <c r="B494" i="6"/>
  <c r="B468" i="6"/>
  <c r="B330" i="6"/>
  <c r="B335" i="6"/>
  <c r="B391" i="6"/>
  <c r="B515" i="6"/>
  <c r="B422" i="6"/>
  <c r="B497" i="6"/>
  <c r="B529" i="6"/>
  <c r="B466" i="6"/>
  <c r="B280" i="6"/>
  <c r="B390" i="6"/>
  <c r="B424" i="6"/>
  <c r="B611" i="6"/>
  <c r="B487" i="6"/>
  <c r="B544" i="6"/>
  <c r="B263" i="6"/>
  <c r="B382" i="6"/>
  <c r="B221" i="6"/>
  <c r="B454" i="6"/>
  <c r="B477" i="6"/>
  <c r="B410" i="6"/>
  <c r="B381" i="6"/>
  <c r="B227" i="6"/>
  <c r="B403" i="6"/>
  <c r="B495" i="6"/>
  <c r="B356" i="6"/>
  <c r="B409" i="6"/>
  <c r="B447" i="6"/>
  <c r="B500" i="6"/>
  <c r="B197" i="6"/>
  <c r="B558" i="6"/>
  <c r="B589" i="6"/>
  <c r="B282" i="6"/>
  <c r="B428" i="6"/>
  <c r="B427" i="6"/>
  <c r="B215" i="6"/>
  <c r="B570" i="6"/>
  <c r="B179" i="6"/>
  <c r="B451" i="6"/>
  <c r="B219" i="6"/>
  <c r="B395" i="6"/>
  <c r="B242" i="6"/>
  <c r="B286" i="6"/>
  <c r="B389" i="6"/>
  <c r="B144" i="6"/>
  <c r="B347" i="6"/>
  <c r="B324" i="6"/>
  <c r="B357" i="6"/>
  <c r="B150" i="6"/>
  <c r="B594" i="6"/>
  <c r="B281" i="6"/>
  <c r="B433" i="6"/>
  <c r="B402" i="6"/>
  <c r="B370" i="6"/>
  <c r="B149" i="6"/>
  <c r="B398" i="6"/>
  <c r="B375" i="6"/>
  <c r="B206" i="6"/>
  <c r="B195" i="6"/>
  <c r="B299" i="6"/>
  <c r="B387" i="6"/>
  <c r="B429" i="6"/>
  <c r="B339" i="6"/>
  <c r="B430" i="6"/>
  <c r="B153" i="6"/>
  <c r="B328" i="6"/>
  <c r="B327" i="6"/>
  <c r="B128" i="6"/>
  <c r="B373" i="6"/>
  <c r="B237" i="6"/>
  <c r="B331" i="6"/>
  <c r="B408" i="6"/>
  <c r="B325" i="6"/>
  <c r="B276" i="6"/>
  <c r="B90" i="6"/>
  <c r="B134" i="6"/>
  <c r="B376" i="6"/>
  <c r="B167" i="6"/>
  <c r="B76" i="6"/>
  <c r="B217" i="6"/>
  <c r="B244" i="6"/>
  <c r="B366" i="6"/>
  <c r="B110" i="6"/>
  <c r="B116" i="6"/>
  <c r="B226" i="6"/>
  <c r="B210" i="6"/>
  <c r="B228" i="6"/>
  <c r="B188" i="6"/>
  <c r="B247" i="6"/>
  <c r="B155" i="6"/>
  <c r="B81" i="6"/>
  <c r="B140" i="6"/>
  <c r="B142" i="6"/>
  <c r="B268" i="6"/>
  <c r="B114" i="6"/>
  <c r="B170" i="6"/>
  <c r="B175" i="6"/>
  <c r="B273" i="6"/>
  <c r="B100" i="6"/>
  <c r="B239" i="6"/>
  <c r="B234" i="6"/>
  <c r="B107" i="6"/>
  <c r="B261" i="6"/>
  <c r="B78" i="6"/>
  <c r="B70" i="6"/>
  <c r="B271" i="6"/>
  <c r="B43" i="6"/>
  <c r="B83" i="6"/>
  <c r="B84" i="6"/>
  <c r="B267" i="6"/>
  <c r="B25" i="6"/>
  <c r="B96" i="6"/>
  <c r="B121" i="6"/>
  <c r="B157" i="6"/>
  <c r="B27" i="6"/>
  <c r="B42" i="6"/>
  <c r="B26" i="6"/>
  <c r="B16" i="6"/>
  <c r="B37" i="6"/>
  <c r="B41" i="6"/>
  <c r="B79" i="6"/>
  <c r="B68" i="6"/>
  <c r="B20" i="6"/>
  <c r="B50" i="6"/>
  <c r="B46" i="6"/>
  <c r="B579" i="6"/>
  <c r="B13" i="6"/>
  <c r="B612" i="6"/>
  <c r="B581" i="6"/>
  <c r="B599" i="6"/>
  <c r="B591" i="6"/>
  <c r="B605" i="6"/>
  <c r="B601" i="6"/>
  <c r="B455" i="6"/>
  <c r="B556" i="6"/>
  <c r="B521" i="6"/>
  <c r="B479" i="6"/>
  <c r="B503" i="6"/>
  <c r="B482" i="6"/>
  <c r="B399" i="6"/>
  <c r="B416" i="6"/>
  <c r="B450" i="6"/>
  <c r="B536" i="6"/>
  <c r="B549" i="6"/>
  <c r="B552" i="6"/>
  <c r="B385" i="6"/>
  <c r="B585" i="6"/>
  <c r="B542" i="6"/>
  <c r="B562" i="6"/>
  <c r="B509" i="6"/>
  <c r="B508" i="6"/>
  <c r="B557" i="6"/>
  <c r="B598" i="6"/>
  <c r="B378" i="6"/>
  <c r="B525" i="6"/>
  <c r="B574" i="6"/>
  <c r="B481" i="6"/>
  <c r="B456" i="6"/>
  <c r="B606" i="6"/>
  <c r="B531" i="6"/>
  <c r="B343" i="6"/>
  <c r="B486" i="6"/>
  <c r="B546" i="6"/>
  <c r="B507" i="6"/>
  <c r="B607" i="6"/>
  <c r="B459" i="6"/>
  <c r="B597" i="6"/>
  <c r="B600" i="6"/>
  <c r="B539" i="6"/>
  <c r="B533" i="6"/>
  <c r="B534" i="6"/>
  <c r="B284" i="6"/>
  <c r="B367" i="6"/>
  <c r="B352" i="6"/>
  <c r="B436" i="6"/>
  <c r="B537" i="6"/>
  <c r="B397" i="6"/>
  <c r="B480" i="6"/>
  <c r="B418" i="6"/>
  <c r="B300" i="6"/>
  <c r="B369" i="6"/>
  <c r="B484" i="6"/>
  <c r="B496" i="6"/>
  <c r="B576" i="6"/>
  <c r="B535" i="6"/>
  <c r="B573" i="6"/>
  <c r="B532" i="6"/>
  <c r="B405" i="6"/>
  <c r="B472" i="6"/>
  <c r="B448" i="6"/>
  <c r="B485" i="6"/>
  <c r="B265" i="6"/>
  <c r="B379" i="6"/>
  <c r="B322" i="6"/>
  <c r="B406" i="6"/>
  <c r="B502" i="6"/>
  <c r="B595" i="6"/>
  <c r="B421" i="6"/>
  <c r="B524" i="6"/>
  <c r="B355" i="6"/>
  <c r="B353" i="6"/>
  <c r="B513" i="6"/>
  <c r="B438" i="6"/>
  <c r="B518" i="6"/>
  <c r="B469" i="6"/>
  <c r="B498" i="6"/>
  <c r="B609" i="6"/>
  <c r="B315" i="6"/>
  <c r="B464" i="6"/>
  <c r="B358" i="6"/>
  <c r="B514" i="6"/>
  <c r="B431" i="6"/>
  <c r="B499" i="6"/>
  <c r="B439" i="6"/>
  <c r="B292" i="6"/>
  <c r="B363" i="6"/>
  <c r="B251" i="6"/>
  <c r="B313" i="6"/>
  <c r="B491" i="6"/>
  <c r="B467" i="6"/>
  <c r="B506" i="6"/>
  <c r="B492" i="6"/>
  <c r="B241" i="6"/>
  <c r="B445" i="6"/>
  <c r="B332" i="6"/>
  <c r="B359" i="6"/>
  <c r="B465" i="6"/>
  <c r="B569" i="6"/>
  <c r="B199" i="6"/>
  <c r="B380" i="6"/>
  <c r="B608" i="6"/>
  <c r="B434" i="6"/>
  <c r="B567" i="6"/>
  <c r="B478" i="6"/>
  <c r="B414" i="6"/>
  <c r="B473" i="6"/>
  <c r="B354" i="6"/>
  <c r="B297" i="6"/>
  <c r="B396" i="6"/>
  <c r="B285" i="6"/>
  <c r="B400" i="6"/>
  <c r="B463" i="6"/>
  <c r="B432" i="6"/>
  <c r="B426" i="6"/>
  <c r="B245" i="6"/>
  <c r="B320" i="6"/>
  <c r="B449" i="6"/>
  <c r="B213" i="6"/>
  <c r="B177" i="6"/>
  <c r="B471" i="6"/>
  <c r="B461" i="6"/>
  <c r="B388" i="6"/>
  <c r="B383" i="6"/>
  <c r="B346" i="6"/>
  <c r="B360" i="6"/>
  <c r="B329" i="6"/>
  <c r="B164" i="6"/>
  <c r="B350" i="6"/>
  <c r="B270" i="6"/>
  <c r="B321" i="6"/>
  <c r="B200" i="6"/>
  <c r="B192" i="6"/>
  <c r="B189" i="6"/>
  <c r="B318" i="6"/>
  <c r="B319" i="6"/>
  <c r="B394" i="6"/>
  <c r="B435" i="6"/>
  <c r="B174" i="6"/>
  <c r="B404" i="6"/>
  <c r="B145" i="6"/>
  <c r="B443" i="6"/>
  <c r="B309" i="6"/>
  <c r="B603" i="6"/>
  <c r="B307" i="6"/>
  <c r="B305" i="6"/>
  <c r="B345" i="6"/>
  <c r="B138" i="6"/>
  <c r="B323" i="6"/>
  <c r="B407" i="6"/>
  <c r="B224" i="6"/>
  <c r="B301" i="6"/>
  <c r="B338" i="6"/>
  <c r="B168" i="6"/>
  <c r="B123" i="6"/>
  <c r="B384" i="6"/>
  <c r="B460" i="6"/>
  <c r="B117" i="6"/>
  <c r="B181" i="6"/>
  <c r="B182" i="6"/>
  <c r="B340" i="6"/>
  <c r="B401" i="6"/>
  <c r="B139" i="6"/>
  <c r="B209" i="6"/>
  <c r="B257" i="6"/>
  <c r="B298" i="6"/>
  <c r="B246" i="6"/>
  <c r="B351" i="6"/>
  <c r="B295" i="6"/>
  <c r="B180" i="6"/>
  <c r="B222" i="6"/>
  <c r="B196" i="6"/>
  <c r="B392" i="6"/>
  <c r="B253" i="6"/>
  <c r="B337" i="6"/>
  <c r="B349" i="6"/>
  <c r="B218" i="6"/>
  <c r="B258" i="6"/>
  <c r="B212" i="6"/>
  <c r="B344" i="6"/>
  <c r="B231" i="6"/>
  <c r="B277" i="6"/>
  <c r="B317" i="6"/>
  <c r="B411" i="6"/>
  <c r="B201" i="6"/>
  <c r="B312" i="6"/>
  <c r="B223" i="6"/>
  <c r="B254" i="6"/>
  <c r="B571" i="6"/>
  <c r="B193" i="6"/>
  <c r="B249" i="6"/>
  <c r="B119" i="6"/>
  <c r="B291" i="6"/>
  <c r="B205" i="6"/>
  <c r="B336" i="6"/>
  <c r="B232" i="6"/>
  <c r="B98" i="6"/>
  <c r="B361" i="6"/>
  <c r="B124" i="6"/>
  <c r="B225" i="6"/>
  <c r="B287" i="6"/>
  <c r="B166" i="6"/>
  <c r="B160" i="6"/>
  <c r="B288" i="6"/>
  <c r="B248" i="6"/>
  <c r="B115" i="6"/>
  <c r="B230" i="6"/>
  <c r="B111" i="6"/>
  <c r="B311" i="6"/>
  <c r="B172" i="6"/>
  <c r="B127" i="6"/>
  <c r="B185" i="6"/>
  <c r="B289" i="6"/>
  <c r="B250" i="6"/>
  <c r="B87" i="6"/>
  <c r="B190" i="6"/>
  <c r="B143" i="6"/>
  <c r="B302" i="6"/>
  <c r="B113" i="6"/>
  <c r="B489" i="6"/>
  <c r="B171" i="6"/>
  <c r="B283" i="6"/>
  <c r="B74" i="6"/>
  <c r="B364" i="6"/>
  <c r="B158" i="6"/>
  <c r="B303" i="6"/>
  <c r="B207" i="6"/>
  <c r="B165" i="6"/>
  <c r="B101" i="6"/>
  <c r="B130" i="6"/>
  <c r="B71" i="6"/>
  <c r="B173" i="6"/>
  <c r="B65" i="6"/>
  <c r="B132" i="6"/>
  <c r="B294" i="6"/>
  <c r="B104" i="6"/>
  <c r="B262" i="6"/>
  <c r="B141" i="6"/>
  <c r="B316" i="6"/>
  <c r="B86" i="6"/>
  <c r="B161" i="6"/>
  <c r="B131" i="6"/>
  <c r="B57" i="6"/>
  <c r="B118" i="6"/>
  <c r="B147" i="6"/>
  <c r="B154" i="6"/>
  <c r="B259" i="6"/>
  <c r="B109" i="6"/>
  <c r="B52" i="6"/>
  <c r="B64" i="6"/>
  <c r="B240" i="6"/>
  <c r="B568" i="6"/>
  <c r="B72" i="6"/>
  <c r="B88" i="6"/>
  <c r="B89" i="6"/>
  <c r="B146" i="6"/>
  <c r="B183" i="6"/>
  <c r="B40" i="6"/>
  <c r="B260" i="6"/>
  <c r="B252" i="6"/>
  <c r="B95" i="6"/>
  <c r="B151" i="6"/>
  <c r="B80" i="6"/>
  <c r="B56" i="6"/>
  <c r="B60" i="6"/>
  <c r="B58" i="6"/>
  <c r="B61" i="6"/>
  <c r="B51" i="6"/>
  <c r="B93" i="6"/>
  <c r="B47" i="6"/>
  <c r="B38" i="6"/>
  <c r="B31" i="6"/>
  <c r="B91" i="6"/>
  <c r="B54" i="6"/>
  <c r="B19" i="6"/>
  <c r="B82" i="6"/>
  <c r="B126" i="6"/>
  <c r="B563" i="6"/>
  <c r="B22" i="6"/>
  <c r="B32" i="6"/>
  <c r="B112" i="6"/>
  <c r="B29" i="6"/>
  <c r="B21" i="6"/>
  <c r="B36" i="6"/>
  <c r="B169" i="6"/>
  <c r="B14" i="6"/>
  <c r="B137" i="6"/>
  <c r="B34" i="6"/>
  <c r="B35" i="6"/>
  <c r="B5" i="6"/>
  <c r="B53" i="6"/>
  <c r="B24" i="6"/>
  <c r="B7" i="6"/>
  <c r="B6" i="6"/>
  <c r="B15" i="6"/>
  <c r="B39" i="6"/>
  <c r="B8" i="6"/>
  <c r="B9" i="6"/>
  <c r="B23" i="6"/>
  <c r="B4" i="6"/>
  <c r="B3" i="6"/>
  <c r="B55" i="6"/>
  <c r="B12" i="6"/>
  <c r="A229" i="6" l="1"/>
  <c r="A55" i="6"/>
  <c r="A563" i="6"/>
  <c r="A82" i="6"/>
  <c r="A54" i="6"/>
  <c r="A31" i="6"/>
  <c r="A47" i="6"/>
  <c r="A51" i="6"/>
  <c r="A58" i="6"/>
  <c r="A56" i="6"/>
  <c r="A151" i="6"/>
  <c r="A252" i="6"/>
  <c r="A40" i="6"/>
  <c r="A146" i="6"/>
  <c r="A88" i="6"/>
  <c r="A568" i="6"/>
  <c r="A64" i="6"/>
  <c r="A109" i="6"/>
  <c r="A154" i="6"/>
  <c r="A118" i="6"/>
  <c r="A131" i="6"/>
  <c r="A86" i="6"/>
  <c r="A141" i="6"/>
  <c r="A104" i="6"/>
  <c r="A132" i="6"/>
  <c r="A173" i="6"/>
  <c r="A130" i="6"/>
  <c r="A165" i="6"/>
  <c r="A303" i="6"/>
  <c r="A364" i="6"/>
  <c r="A283" i="6"/>
  <c r="A489" i="6"/>
  <c r="A302" i="6"/>
  <c r="A190" i="6"/>
  <c r="A250" i="6"/>
  <c r="A185" i="6"/>
  <c r="A172" i="6"/>
  <c r="A111" i="6"/>
  <c r="A115" i="6"/>
  <c r="A288" i="6"/>
  <c r="A166" i="6"/>
  <c r="A225" i="6"/>
  <c r="A361" i="6"/>
  <c r="A232" i="6"/>
  <c r="A205" i="6"/>
  <c r="A119" i="6"/>
  <c r="A193" i="6"/>
  <c r="A254" i="6"/>
  <c r="A312" i="6"/>
  <c r="A411" i="6"/>
  <c r="A277" i="6"/>
  <c r="A344" i="6"/>
  <c r="A258" i="6"/>
  <c r="A349" i="6"/>
  <c r="A253" i="6"/>
  <c r="A196" i="6"/>
  <c r="A180" i="6"/>
  <c r="A351" i="6"/>
  <c r="A298" i="6"/>
  <c r="A209" i="6"/>
  <c r="A401" i="6"/>
  <c r="A182" i="6"/>
  <c r="A117" i="6"/>
  <c r="A384" i="6"/>
  <c r="A168" i="6"/>
  <c r="A301" i="6"/>
  <c r="A407" i="6"/>
  <c r="A138" i="6"/>
  <c r="A305" i="6"/>
  <c r="A603" i="6"/>
  <c r="A443" i="6"/>
  <c r="A404" i="6"/>
  <c r="A435" i="6"/>
  <c r="A319" i="6"/>
  <c r="A189" i="6"/>
  <c r="A200" i="6"/>
  <c r="A270" i="6"/>
  <c r="A164" i="6"/>
  <c r="A360" i="6"/>
  <c r="A383" i="6"/>
  <c r="A461" i="6"/>
  <c r="A177" i="6"/>
  <c r="A449" i="6"/>
  <c r="A245" i="6"/>
  <c r="A432" i="6"/>
  <c r="A400" i="6"/>
  <c r="A396" i="6"/>
  <c r="A354" i="6"/>
  <c r="A414" i="6"/>
  <c r="A567" i="6"/>
  <c r="A608" i="6"/>
  <c r="A199" i="6"/>
  <c r="A465" i="6"/>
  <c r="A332" i="6"/>
  <c r="A241" i="6"/>
  <c r="A506" i="6"/>
  <c r="A491" i="6"/>
  <c r="A251" i="6"/>
  <c r="A292" i="6"/>
  <c r="A499" i="6"/>
  <c r="A514" i="6"/>
  <c r="A464" i="6"/>
  <c r="A609" i="6"/>
  <c r="A469" i="6"/>
  <c r="A438" i="6"/>
  <c r="A353" i="6"/>
  <c r="A524" i="6"/>
  <c r="A595" i="6"/>
  <c r="A406" i="6"/>
  <c r="A379" i="6"/>
  <c r="A485" i="6"/>
  <c r="A472" i="6"/>
  <c r="A532" i="6"/>
  <c r="A535" i="6"/>
  <c r="A496" i="6"/>
  <c r="A369" i="6"/>
  <c r="A418" i="6"/>
  <c r="A397" i="6"/>
  <c r="A436" i="6"/>
  <c r="A367" i="6"/>
  <c r="A534" i="6"/>
  <c r="A539" i="6"/>
  <c r="A597" i="6"/>
  <c r="A607" i="6"/>
  <c r="A546" i="6"/>
  <c r="A343" i="6"/>
  <c r="A606" i="6"/>
  <c r="A481" i="6"/>
  <c r="A525" i="6"/>
  <c r="A598" i="6"/>
  <c r="A508" i="6"/>
  <c r="A562" i="6"/>
  <c r="A585" i="6"/>
  <c r="A552" i="6"/>
  <c r="A536" i="6"/>
  <c r="A416" i="6"/>
  <c r="A482" i="6"/>
  <c r="A479" i="6"/>
  <c r="A556" i="6"/>
  <c r="A601" i="6"/>
  <c r="A591" i="6"/>
  <c r="A581" i="6"/>
  <c r="A13" i="6"/>
  <c r="A46" i="6"/>
  <c r="A20" i="6"/>
  <c r="A79" i="6"/>
  <c r="A37" i="6"/>
  <c r="A26" i="6"/>
  <c r="A27" i="6"/>
  <c r="A121" i="6"/>
  <c r="A25" i="6"/>
  <c r="A84" i="6"/>
  <c r="A43" i="6"/>
  <c r="A70" i="6"/>
  <c r="A261" i="6"/>
  <c r="A234" i="6"/>
  <c r="A100" i="6"/>
  <c r="A175" i="6"/>
  <c r="A114" i="6"/>
  <c r="A142" i="6"/>
  <c r="A81" i="6"/>
  <c r="A247" i="6"/>
  <c r="A228" i="6"/>
  <c r="A226" i="6"/>
  <c r="A110" i="6"/>
  <c r="A244" i="6"/>
  <c r="A76" i="6"/>
  <c r="A376" i="6"/>
  <c r="A90" i="6"/>
  <c r="A325" i="6"/>
  <c r="A331" i="6"/>
  <c r="A373" i="6"/>
  <c r="A327" i="6"/>
  <c r="A153" i="6"/>
  <c r="A339" i="6"/>
  <c r="A387" i="6"/>
  <c r="A195" i="6"/>
  <c r="A375" i="6"/>
  <c r="A149" i="6"/>
  <c r="A402" i="6"/>
  <c r="A281" i="6"/>
  <c r="A150" i="6"/>
  <c r="A324" i="6"/>
  <c r="A144" i="6"/>
  <c r="A286" i="6"/>
  <c r="A395" i="6"/>
  <c r="A451" i="6"/>
  <c r="A570" i="6"/>
  <c r="A427" i="6"/>
  <c r="A282" i="6"/>
  <c r="A558" i="6"/>
  <c r="A500" i="6"/>
  <c r="A409" i="6"/>
  <c r="A495" i="6"/>
  <c r="A227" i="6"/>
  <c r="A410" i="6"/>
  <c r="A454" i="6"/>
  <c r="A382" i="6"/>
  <c r="A544" i="6"/>
  <c r="A611" i="6"/>
  <c r="A390" i="6"/>
  <c r="A466" i="6"/>
  <c r="A497" i="6"/>
  <c r="A515" i="6"/>
  <c r="A335" i="6"/>
  <c r="A468" i="6"/>
  <c r="A582" i="6"/>
  <c r="A452" i="6"/>
  <c r="A528" i="6"/>
  <c r="A462" i="6"/>
  <c r="A578" i="6"/>
  <c r="A559" i="6"/>
  <c r="A592" i="6"/>
  <c r="A425" i="6"/>
  <c r="A550" i="6"/>
  <c r="A446" i="6"/>
  <c r="A520" i="6"/>
  <c r="A596" i="6"/>
  <c r="A583" i="6"/>
  <c r="A590" i="6"/>
  <c r="A526" i="6"/>
  <c r="A516" i="6"/>
  <c r="A442" i="6"/>
  <c r="A564" i="6"/>
  <c r="A314" i="6"/>
  <c r="A272" i="6"/>
  <c r="A488" i="6"/>
  <c r="A566" i="6"/>
  <c r="A554" i="6"/>
  <c r="A296" i="6"/>
  <c r="A475" i="6"/>
  <c r="A420" i="6"/>
  <c r="A458" i="6"/>
  <c r="A220" i="6"/>
  <c r="A365" i="6"/>
  <c r="A377" i="6"/>
  <c r="A393" i="6"/>
  <c r="A457" i="6"/>
  <c r="A470" i="6"/>
  <c r="A415" i="6"/>
  <c r="A362" i="6"/>
  <c r="A371" i="6"/>
  <c r="A342" i="6"/>
  <c r="A264" i="6"/>
  <c r="A152" i="6"/>
  <c r="A136" i="6"/>
  <c r="A135" i="6"/>
  <c r="A341" i="6"/>
  <c r="A256" i="6"/>
  <c r="A308" i="6"/>
  <c r="A97" i="6"/>
  <c r="A187" i="6"/>
  <c r="A62" i="6"/>
  <c r="A103" i="6"/>
  <c r="A18" i="6"/>
  <c r="A49" i="6"/>
  <c r="A28" i="6"/>
  <c r="A73" i="6"/>
  <c r="A159" i="6"/>
  <c r="A94" i="6"/>
  <c r="A33" i="6"/>
  <c r="A278" i="6"/>
  <c r="A59" i="6"/>
  <c r="A186" i="6"/>
  <c r="A202" i="6"/>
  <c r="A148" i="6"/>
  <c r="A374" i="6"/>
  <c r="A326" i="6"/>
  <c r="A274" i="6"/>
  <c r="A269" i="6"/>
  <c r="A368" i="6"/>
  <c r="A334" i="6"/>
  <c r="A476" i="6"/>
  <c r="A483" i="6"/>
  <c r="A504" i="6"/>
  <c r="A540" i="6"/>
  <c r="A551" i="6"/>
  <c r="A575" i="6"/>
  <c r="A67" i="6"/>
  <c r="A163" i="6"/>
  <c r="A214" i="6"/>
  <c r="A208" i="6"/>
  <c r="A162" i="6"/>
  <c r="A275" i="6"/>
  <c r="A523" i="6"/>
  <c r="A530" i="6"/>
  <c r="A17" i="6"/>
  <c r="A419" i="6"/>
  <c r="A211" i="6"/>
  <c r="A386" i="6"/>
  <c r="A543" i="6"/>
  <c r="A102" i="6"/>
  <c r="A580" i="6"/>
  <c r="A413" i="6"/>
  <c r="A4" i="6"/>
  <c r="A9" i="6"/>
  <c r="A39" i="6"/>
  <c r="A6" i="6"/>
  <c r="A24" i="6"/>
  <c r="A5" i="6"/>
  <c r="A34" i="6"/>
  <c r="A14" i="6"/>
  <c r="A36" i="6"/>
  <c r="A29" i="6"/>
  <c r="A32" i="6"/>
  <c r="A12" i="6"/>
  <c r="A3" i="6"/>
  <c r="A23" i="6"/>
  <c r="A8" i="6"/>
  <c r="A15" i="6"/>
  <c r="A7" i="6"/>
  <c r="A53" i="6"/>
  <c r="A35" i="6"/>
  <c r="A137" i="6"/>
  <c r="A169" i="6"/>
  <c r="A21" i="6"/>
  <c r="A112" i="6"/>
  <c r="A22" i="6"/>
  <c r="A126" i="6"/>
  <c r="A19" i="6"/>
  <c r="A91" i="6"/>
  <c r="A38" i="6"/>
  <c r="A93" i="6"/>
  <c r="A61" i="6"/>
  <c r="A60" i="6"/>
  <c r="A80" i="6"/>
  <c r="A95" i="6"/>
  <c r="A260" i="6"/>
  <c r="A183" i="6"/>
  <c r="A89" i="6"/>
  <c r="A72" i="6"/>
  <c r="A240" i="6"/>
  <c r="A52" i="6"/>
  <c r="A259" i="6"/>
  <c r="A147" i="6"/>
  <c r="A57" i="6"/>
  <c r="A161" i="6"/>
  <c r="A316" i="6"/>
  <c r="A262" i="6"/>
  <c r="A294" i="6"/>
  <c r="A65" i="6"/>
  <c r="A71" i="6"/>
  <c r="A101" i="6"/>
  <c r="A207" i="6"/>
  <c r="A158" i="6"/>
  <c r="A74" i="6"/>
  <c r="A171" i="6"/>
  <c r="A113" i="6"/>
  <c r="A143" i="6"/>
  <c r="A87" i="6"/>
  <c r="A289" i="6"/>
  <c r="A127" i="6"/>
  <c r="A311" i="6"/>
  <c r="A230" i="6"/>
  <c r="A248" i="6"/>
  <c r="A160" i="6"/>
  <c r="A287" i="6"/>
  <c r="A124" i="6"/>
  <c r="A98" i="6"/>
  <c r="A336" i="6"/>
  <c r="A291" i="6"/>
  <c r="A249" i="6"/>
  <c r="A571" i="6"/>
  <c r="A223" i="6"/>
  <c r="A201" i="6"/>
  <c r="A317" i="6"/>
  <c r="A231" i="6"/>
  <c r="A212" i="6"/>
  <c r="A218" i="6"/>
  <c r="A337" i="6"/>
  <c r="A392" i="6"/>
  <c r="A222" i="6"/>
  <c r="A295" i="6"/>
  <c r="A246" i="6"/>
  <c r="A257" i="6"/>
  <c r="A139" i="6"/>
  <c r="A340" i="6"/>
  <c r="A181" i="6"/>
  <c r="A460" i="6"/>
  <c r="A123" i="6"/>
  <c r="A338" i="6"/>
  <c r="A224" i="6"/>
  <c r="A323" i="6"/>
  <c r="A345" i="6"/>
  <c r="A307" i="6"/>
  <c r="A309" i="6"/>
  <c r="A145" i="6"/>
  <c r="A174" i="6"/>
  <c r="A394" i="6"/>
  <c r="A318" i="6"/>
  <c r="A192" i="6"/>
  <c r="A321" i="6"/>
  <c r="A350" i="6"/>
  <c r="A329" i="6"/>
  <c r="A346" i="6"/>
  <c r="A388" i="6"/>
  <c r="A471" i="6"/>
  <c r="A213" i="6"/>
  <c r="A320" i="6"/>
  <c r="A426" i="6"/>
  <c r="A463" i="6"/>
  <c r="A285" i="6"/>
  <c r="A297" i="6"/>
  <c r="A473" i="6"/>
  <c r="A478" i="6"/>
  <c r="A434" i="6"/>
  <c r="A380" i="6"/>
  <c r="A569" i="6"/>
  <c r="A359" i="6"/>
  <c r="A445" i="6"/>
  <c r="A492" i="6"/>
  <c r="A467" i="6"/>
  <c r="A313" i="6"/>
  <c r="A363" i="6"/>
  <c r="A439" i="6"/>
  <c r="A431" i="6"/>
  <c r="A358" i="6"/>
  <c r="A315" i="6"/>
  <c r="A498" i="6"/>
  <c r="A518" i="6"/>
  <c r="A513" i="6"/>
  <c r="A355" i="6"/>
  <c r="A421" i="6"/>
  <c r="A502" i="6"/>
  <c r="A322" i="6"/>
  <c r="A265" i="6"/>
  <c r="A448" i="6"/>
  <c r="A405" i="6"/>
  <c r="A573" i="6"/>
  <c r="A576" i="6"/>
  <c r="A484" i="6"/>
  <c r="A300" i="6"/>
  <c r="A480" i="6"/>
  <c r="A537" i="6"/>
  <c r="A352" i="6"/>
  <c r="A284" i="6"/>
  <c r="A533" i="6"/>
  <c r="A600" i="6"/>
  <c r="A459" i="6"/>
  <c r="A507" i="6"/>
  <c r="A486" i="6"/>
  <c r="A531" i="6"/>
  <c r="A456" i="6"/>
  <c r="A574" i="6"/>
  <c r="A378" i="6"/>
  <c r="A557" i="6"/>
  <c r="A509" i="6"/>
  <c r="A542" i="6"/>
  <c r="A385" i="6"/>
  <c r="A549" i="6"/>
  <c r="A450" i="6"/>
  <c r="A399" i="6"/>
  <c r="A503" i="6"/>
  <c r="A521" i="6"/>
  <c r="A455" i="6"/>
  <c r="A605" i="6"/>
  <c r="A599" i="6"/>
  <c r="A612" i="6"/>
  <c r="A579" i="6"/>
  <c r="A50" i="6"/>
  <c r="A68" i="6"/>
  <c r="A41" i="6"/>
  <c r="A16" i="6"/>
  <c r="A42" i="6"/>
  <c r="A157" i="6"/>
  <c r="A96" i="6"/>
  <c r="A267" i="6"/>
  <c r="A83" i="6"/>
  <c r="A271" i="6"/>
  <c r="A78" i="6"/>
  <c r="A107" i="6"/>
  <c r="A239" i="6"/>
  <c r="A273" i="6"/>
  <c r="A170" i="6"/>
  <c r="A268" i="6"/>
  <c r="A140" i="6"/>
  <c r="A155" i="6"/>
  <c r="A188" i="6"/>
  <c r="A210" i="6"/>
  <c r="A116" i="6"/>
  <c r="A366" i="6"/>
  <c r="A217" i="6"/>
  <c r="A167" i="6"/>
  <c r="A134" i="6"/>
  <c r="A276" i="6"/>
  <c r="A408" i="6"/>
  <c r="A237" i="6"/>
  <c r="A128" i="6"/>
  <c r="A328" i="6"/>
  <c r="A430" i="6"/>
  <c r="A429" i="6"/>
  <c r="A299" i="6"/>
  <c r="A206" i="6"/>
  <c r="A398" i="6"/>
  <c r="A370" i="6"/>
  <c r="A433" i="6"/>
  <c r="A594" i="6"/>
  <c r="A357" i="6"/>
  <c r="A347" i="6"/>
  <c r="A389" i="6"/>
  <c r="A242" i="6"/>
  <c r="A219" i="6"/>
  <c r="A179" i="6"/>
  <c r="A215" i="6"/>
  <c r="A428" i="6"/>
  <c r="A589" i="6"/>
  <c r="A197" i="6"/>
  <c r="A447" i="6"/>
  <c r="A356" i="6"/>
  <c r="A403" i="6"/>
  <c r="A381" i="6"/>
  <c r="A477" i="6"/>
  <c r="A221" i="6"/>
  <c r="A263" i="6"/>
  <c r="A487" i="6"/>
  <c r="A424" i="6"/>
  <c r="A280" i="6"/>
  <c r="A529" i="6"/>
  <c r="A422" i="6"/>
  <c r="A391" i="6"/>
  <c r="A330" i="6"/>
  <c r="A494" i="6"/>
  <c r="A517" i="6"/>
  <c r="A602" i="6"/>
  <c r="A610" i="6"/>
  <c r="A572" i="6"/>
  <c r="A522" i="6"/>
  <c r="A588" i="6"/>
  <c r="A519" i="6"/>
  <c r="A541" i="6"/>
  <c r="A555" i="6"/>
  <c r="A553" i="6"/>
  <c r="A501" i="6"/>
  <c r="A584" i="6"/>
  <c r="A2" i="6"/>
  <c r="A593" i="6"/>
  <c r="A545" i="6"/>
  <c r="A527" i="6"/>
  <c r="A604" i="6"/>
  <c r="A587" i="6"/>
  <c r="A453" i="6"/>
  <c r="A561" i="6"/>
  <c r="A412" i="6"/>
  <c r="A511" i="6"/>
  <c r="A444" i="6"/>
  <c r="A510" i="6"/>
  <c r="A238" i="6"/>
  <c r="A441" i="6"/>
  <c r="A279" i="6"/>
  <c r="A565" i="6"/>
  <c r="A236" i="6"/>
  <c r="A423" i="6"/>
  <c r="A191" i="6"/>
  <c r="A613" i="6"/>
  <c r="A306" i="6"/>
  <c r="A310" i="6"/>
  <c r="A293" i="6"/>
  <c r="A176" i="6"/>
  <c r="A106" i="6"/>
  <c r="A105" i="6"/>
  <c r="A122" i="6"/>
  <c r="A235" i="6"/>
  <c r="A125" i="6"/>
  <c r="A348" i="6"/>
  <c r="A120" i="6"/>
  <c r="A194" i="6"/>
  <c r="A156" i="6"/>
  <c r="A92" i="6"/>
  <c r="A44" i="6"/>
  <c r="A216" i="6"/>
  <c r="A63" i="6"/>
  <c r="A69" i="6"/>
  <c r="A10" i="6"/>
  <c r="A75" i="6"/>
  <c r="A48" i="6"/>
  <c r="A77" i="6"/>
  <c r="A30" i="6"/>
  <c r="A204" i="6"/>
  <c r="A290" i="6"/>
  <c r="A372" i="6"/>
  <c r="A108" i="6"/>
  <c r="A198" i="6"/>
  <c r="A178" i="6"/>
  <c r="A129" i="6"/>
  <c r="A474" i="6"/>
  <c r="A203" i="6"/>
  <c r="A490" i="6"/>
  <c r="A304" i="6"/>
  <c r="A493" i="6"/>
  <c r="A538" i="6"/>
  <c r="A266" i="6"/>
  <c r="A586" i="6"/>
  <c r="A548" i="6"/>
  <c r="A11" i="6"/>
  <c r="A85" i="6"/>
  <c r="A243" i="6"/>
  <c r="A440" i="6"/>
  <c r="A233" i="6"/>
  <c r="A255" i="6"/>
  <c r="A505" i="6"/>
  <c r="A512" i="6"/>
  <c r="A547" i="6"/>
  <c r="A133" i="6"/>
  <c r="A333" i="6"/>
  <c r="A437" i="6"/>
  <c r="A417" i="6"/>
  <c r="A99" i="6"/>
  <c r="A66" i="6"/>
  <c r="A184" i="6"/>
  <c r="A45" i="6"/>
  <c r="A560" i="6"/>
  <c r="A577" i="6"/>
</calcChain>
</file>

<file path=xl/sharedStrings.xml><?xml version="1.0" encoding="utf-8"?>
<sst xmlns="http://schemas.openxmlformats.org/spreadsheetml/2006/main" count="4013" uniqueCount="1374">
  <si>
    <t>048074</t>
  </si>
  <si>
    <t>Benjamin Logan Local</t>
  </si>
  <si>
    <t>Logan</t>
  </si>
  <si>
    <t>Open</t>
  </si>
  <si>
    <t>Public District</t>
  </si>
  <si>
    <t>C</t>
  </si>
  <si>
    <t>048389</t>
  </si>
  <si>
    <t>West Branch Local</t>
  </si>
  <si>
    <t>Mahoning</t>
  </si>
  <si>
    <t>Lucas</t>
  </si>
  <si>
    <t>Hamilton</t>
  </si>
  <si>
    <t>050674</t>
  </si>
  <si>
    <t>Eastwood Local</t>
  </si>
  <si>
    <t>Wood</t>
  </si>
  <si>
    <t>044552</t>
  </si>
  <si>
    <t>Norton City</t>
  </si>
  <si>
    <t>Summit</t>
  </si>
  <si>
    <t>044206</t>
  </si>
  <si>
    <t>Lancaster City</t>
  </si>
  <si>
    <t>Fairfield</t>
  </si>
  <si>
    <t>D</t>
  </si>
  <si>
    <t>045278</t>
  </si>
  <si>
    <t>Carrollton Exempted Village</t>
  </si>
  <si>
    <t>Carroll</t>
  </si>
  <si>
    <t>047340</t>
  </si>
  <si>
    <t>Forest Hills Local</t>
  </si>
  <si>
    <t>B</t>
  </si>
  <si>
    <t>050302</t>
  </si>
  <si>
    <t>Tuscarawas Valley Local</t>
  </si>
  <si>
    <t>Tuscarawas</t>
  </si>
  <si>
    <t>050567</t>
  </si>
  <si>
    <t>Norwayne Local</t>
  </si>
  <si>
    <t>Wayne</t>
  </si>
  <si>
    <t>048843</t>
  </si>
  <si>
    <t>Franklin Local</t>
  </si>
  <si>
    <t>Muskingum</t>
  </si>
  <si>
    <t>046755</t>
  </si>
  <si>
    <t>Buckeye Valley Local</t>
  </si>
  <si>
    <t>Delaware</t>
  </si>
  <si>
    <t>F</t>
  </si>
  <si>
    <t>049098</t>
  </si>
  <si>
    <t>Teays Valley Local</t>
  </si>
  <si>
    <t>Pickaway</t>
  </si>
  <si>
    <t>048223</t>
  </si>
  <si>
    <t>Springfield Local</t>
  </si>
  <si>
    <t>044214</t>
  </si>
  <si>
    <t>Lebanon City</t>
  </si>
  <si>
    <t>Warren</t>
  </si>
  <si>
    <t>046896</t>
  </si>
  <si>
    <t>Pickerington Local</t>
  </si>
  <si>
    <t>045443</t>
  </si>
  <si>
    <t>Leetonia Exempted Village</t>
  </si>
  <si>
    <t>Columbiana</t>
  </si>
  <si>
    <t>044701</t>
  </si>
  <si>
    <t>Rocky River City</t>
  </si>
  <si>
    <t>Cuyahoga</t>
  </si>
  <si>
    <t>A</t>
  </si>
  <si>
    <t>Franklin</t>
  </si>
  <si>
    <t>046110</t>
  </si>
  <si>
    <t>Lakota Local</t>
  </si>
  <si>
    <t>Butler</t>
  </si>
  <si>
    <t>043760</t>
  </si>
  <si>
    <t>Circleville City</t>
  </si>
  <si>
    <t>045633</t>
  </si>
  <si>
    <t>Versailles Exempted Village</t>
  </si>
  <si>
    <t>Darke</t>
  </si>
  <si>
    <t>050328</t>
  </si>
  <si>
    <t>Fairbanks Local</t>
  </si>
  <si>
    <t>Union</t>
  </si>
  <si>
    <t>044164</t>
  </si>
  <si>
    <t>Kent City</t>
  </si>
  <si>
    <t>Portage</t>
  </si>
  <si>
    <t>044529</t>
  </si>
  <si>
    <t>North Olmsted City</t>
  </si>
  <si>
    <t>048629</t>
  </si>
  <si>
    <t>Miami East Local</t>
  </si>
  <si>
    <t>Miami</t>
  </si>
  <si>
    <t>045146</t>
  </si>
  <si>
    <t>Wyoming City</t>
  </si>
  <si>
    <t>043943</t>
  </si>
  <si>
    <t>Elyria City</t>
  </si>
  <si>
    <t>Lorain</t>
  </si>
  <si>
    <t>049452</t>
  </si>
  <si>
    <t>Madison Local</t>
  </si>
  <si>
    <t>Richland</t>
  </si>
  <si>
    <t>046318</t>
  </si>
  <si>
    <t>Bethel-Tate Local</t>
  </si>
  <si>
    <t>Clermont</t>
  </si>
  <si>
    <t>044578</t>
  </si>
  <si>
    <t>Norwood City</t>
  </si>
  <si>
    <t>045047</t>
  </si>
  <si>
    <t>Westerville City</t>
  </si>
  <si>
    <t>046243</t>
  </si>
  <si>
    <t>Tecumseh Local</t>
  </si>
  <si>
    <t>Clark</t>
  </si>
  <si>
    <t>043513</t>
  </si>
  <si>
    <t>Ashtabula Area City</t>
  </si>
  <si>
    <t>Ashtabula</t>
  </si>
  <si>
    <t>045138</t>
  </si>
  <si>
    <t>Worthington City</t>
  </si>
  <si>
    <t>043588</t>
  </si>
  <si>
    <t>Bellefontaine City</t>
  </si>
  <si>
    <t>046995</t>
  </si>
  <si>
    <t>New Albany-Plain Local</t>
  </si>
  <si>
    <t>049866</t>
  </si>
  <si>
    <t>Lake Local</t>
  </si>
  <si>
    <t>Stark</t>
  </si>
  <si>
    <t>043562</t>
  </si>
  <si>
    <t>Bedford City</t>
  </si>
  <si>
    <t>050062</t>
  </si>
  <si>
    <t>044974</t>
  </si>
  <si>
    <t>Wadsworth City</t>
  </si>
  <si>
    <t>Medina</t>
  </si>
  <si>
    <t>049460</t>
  </si>
  <si>
    <t>Plymouth-Shiloh Local</t>
  </si>
  <si>
    <t>Lawrence</t>
  </si>
  <si>
    <t>NR</t>
  </si>
  <si>
    <t>049932</t>
  </si>
  <si>
    <t>Plain Local</t>
  </si>
  <si>
    <t>049981</t>
  </si>
  <si>
    <t>Copley-Fairlawn City</t>
  </si>
  <si>
    <t>050591</t>
  </si>
  <si>
    <t>Triway Local</t>
  </si>
  <si>
    <t>047985</t>
  </si>
  <si>
    <t>Johnstown-Monroe Local</t>
  </si>
  <si>
    <t>Licking</t>
  </si>
  <si>
    <t>043893</t>
  </si>
  <si>
    <t>Dover City</t>
  </si>
  <si>
    <t>050468</t>
  </si>
  <si>
    <t>Wayne Local</t>
  </si>
  <si>
    <t>044768</t>
  </si>
  <si>
    <t>Sheffield-Sheffield Lake City</t>
  </si>
  <si>
    <t>044693</t>
  </si>
  <si>
    <t>Reading Community City</t>
  </si>
  <si>
    <t>047944</t>
  </si>
  <si>
    <t>Rock Hill Local</t>
  </si>
  <si>
    <t>048231</t>
  </si>
  <si>
    <t>Washington Local</t>
  </si>
  <si>
    <t>045567</t>
  </si>
  <si>
    <t>Newton Falls Exempted Village</t>
  </si>
  <si>
    <t>Trumbull</t>
  </si>
  <si>
    <t>049130</t>
  </si>
  <si>
    <t>Scioto Valley Local</t>
  </si>
  <si>
    <t>Pike</t>
  </si>
  <si>
    <t>047001</t>
  </si>
  <si>
    <t>Reynoldsburg City</t>
  </si>
  <si>
    <t>048140</t>
  </si>
  <si>
    <t>Columbia Local</t>
  </si>
  <si>
    <t>049494</t>
  </si>
  <si>
    <t>Adena Local</t>
  </si>
  <si>
    <t>Ross</t>
  </si>
  <si>
    <t>050195</t>
  </si>
  <si>
    <t>Liberty Local</t>
  </si>
  <si>
    <t>049528</t>
  </si>
  <si>
    <t>Southeastern Local</t>
  </si>
  <si>
    <t>048082</t>
  </si>
  <si>
    <t>Indian Lake Local</t>
  </si>
  <si>
    <t>044016</t>
  </si>
  <si>
    <t>Fremont City</t>
  </si>
  <si>
    <t>Sandusky</t>
  </si>
  <si>
    <t>048157</t>
  </si>
  <si>
    <t>Firelands Local</t>
  </si>
  <si>
    <t>046748</t>
  </si>
  <si>
    <t>Big Walnut Local</t>
  </si>
  <si>
    <t>047308</t>
  </si>
  <si>
    <t>Rolling Hills Local</t>
  </si>
  <si>
    <t>Guernsey</t>
  </si>
  <si>
    <t>044347</t>
  </si>
  <si>
    <t>Martins Ferry City</t>
  </si>
  <si>
    <t>Belmont</t>
  </si>
  <si>
    <t>044438</t>
  </si>
  <si>
    <t>Napoleon Area City</t>
  </si>
  <si>
    <t>Henry</t>
  </si>
  <si>
    <t>046763</t>
  </si>
  <si>
    <t>Olentangy Local</t>
  </si>
  <si>
    <t>050393</t>
  </si>
  <si>
    <t>Vinton County Local</t>
  </si>
  <si>
    <t>Vinton</t>
  </si>
  <si>
    <t>045476</t>
  </si>
  <si>
    <t>Marysville Exempted Village</t>
  </si>
  <si>
    <t>043885</t>
  </si>
  <si>
    <t>Delphos City</t>
  </si>
  <si>
    <t>Allen</t>
  </si>
  <si>
    <t>048637</t>
  </si>
  <si>
    <t>Newton Local</t>
  </si>
  <si>
    <t>046144</t>
  </si>
  <si>
    <t>Ross Local</t>
  </si>
  <si>
    <t>047019</t>
  </si>
  <si>
    <t>Hilliard City</t>
  </si>
  <si>
    <t>046920</t>
  </si>
  <si>
    <t>Miami Trace Local</t>
  </si>
  <si>
    <t>Fayette</t>
  </si>
  <si>
    <t>049858</t>
  </si>
  <si>
    <t>Jackson Local</t>
  </si>
  <si>
    <t>046607</t>
  </si>
  <si>
    <t>Solon City</t>
  </si>
  <si>
    <t>049999</t>
  </si>
  <si>
    <t>Coventry Local</t>
  </si>
  <si>
    <t>044180</t>
  </si>
  <si>
    <t>Kettering City</t>
  </si>
  <si>
    <t>Montgomery</t>
  </si>
  <si>
    <t>046953</t>
  </si>
  <si>
    <t>Hamilton Local</t>
  </si>
  <si>
    <t>046573</t>
  </si>
  <si>
    <t>Olmsted Falls City</t>
  </si>
  <si>
    <t>049890</t>
  </si>
  <si>
    <t>Minerva Local</t>
  </si>
  <si>
    <t>044800</t>
  </si>
  <si>
    <t>South-Western City</t>
  </si>
  <si>
    <t>047092</t>
  </si>
  <si>
    <t>Swanton Local</t>
  </si>
  <si>
    <t>Fulton</t>
  </si>
  <si>
    <t>044198</t>
  </si>
  <si>
    <t>Lakewood City</t>
  </si>
  <si>
    <t>048207</t>
  </si>
  <si>
    <t>Anthony Wayne Local</t>
  </si>
  <si>
    <t>046284</t>
  </si>
  <si>
    <t>Clark-Shawnee Local</t>
  </si>
  <si>
    <t>047027</t>
  </si>
  <si>
    <t>Dublin City</t>
  </si>
  <si>
    <t>049908</t>
  </si>
  <si>
    <t>Northwest Local</t>
  </si>
  <si>
    <t>048132</t>
  </si>
  <si>
    <t>Clearview Local</t>
  </si>
  <si>
    <t>044156</t>
  </si>
  <si>
    <t>Jackson City</t>
  </si>
  <si>
    <t>Jackson</t>
  </si>
  <si>
    <t>045062</t>
  </si>
  <si>
    <t>Westlake City</t>
  </si>
  <si>
    <t>048678</t>
  </si>
  <si>
    <t>Brookville Local</t>
  </si>
  <si>
    <t>048876</t>
  </si>
  <si>
    <t>Tri-Valley Local</t>
  </si>
  <si>
    <t>044933</t>
  </si>
  <si>
    <t>Upper Arlington City</t>
  </si>
  <si>
    <t>050427</t>
  </si>
  <si>
    <t>Springboro Community City</t>
  </si>
  <si>
    <t>045542</t>
  </si>
  <si>
    <t>Newcomerstown Exempted Village</t>
  </si>
  <si>
    <t>043620</t>
  </si>
  <si>
    <t>Bexley City</t>
  </si>
  <si>
    <t>049056</t>
  </si>
  <si>
    <t>Northern Local</t>
  </si>
  <si>
    <t>Perry</t>
  </si>
  <si>
    <t>044990</t>
  </si>
  <si>
    <t>Warren City</t>
  </si>
  <si>
    <t>043935</t>
  </si>
  <si>
    <t>Eaton Community City</t>
  </si>
  <si>
    <t>Preble</t>
  </si>
  <si>
    <t>047084</t>
  </si>
  <si>
    <t>Pike-Delta-York Local</t>
  </si>
  <si>
    <t>047381</t>
  </si>
  <si>
    <t>Southwest Local</t>
  </si>
  <si>
    <t>049288</t>
  </si>
  <si>
    <t>Preble Shawnee Local</t>
  </si>
  <si>
    <t>050252</t>
  </si>
  <si>
    <t>Weathersfield Local</t>
  </si>
  <si>
    <t>048496</t>
  </si>
  <si>
    <t>Highland Local</t>
  </si>
  <si>
    <t>044404</t>
  </si>
  <si>
    <t>Middletown City</t>
  </si>
  <si>
    <t>043729</t>
  </si>
  <si>
    <t>Celina City</t>
  </si>
  <si>
    <t>Mercer</t>
  </si>
  <si>
    <t>049841</t>
  </si>
  <si>
    <t>Fairless Local</t>
  </si>
  <si>
    <t>048777</t>
  </si>
  <si>
    <t>Morgan Local</t>
  </si>
  <si>
    <t>Morgan</t>
  </si>
  <si>
    <t>043877</t>
  </si>
  <si>
    <t>Delaware City</t>
  </si>
  <si>
    <t>047225</t>
  </si>
  <si>
    <t>West Geauga Local</t>
  </si>
  <si>
    <t>Geauga</t>
  </si>
  <si>
    <t>048009</t>
  </si>
  <si>
    <t>Licking Heights Local</t>
  </si>
  <si>
    <t>045963</t>
  </si>
  <si>
    <t>New Knoxville Local</t>
  </si>
  <si>
    <t>Auglaize</t>
  </si>
  <si>
    <t>050013</t>
  </si>
  <si>
    <t>Green Local</t>
  </si>
  <si>
    <t>044073</t>
  </si>
  <si>
    <t>Grandview Heights City</t>
  </si>
  <si>
    <t>048124</t>
  </si>
  <si>
    <t>Avon Lake City</t>
  </si>
  <si>
    <t>043737</t>
  </si>
  <si>
    <t>Centerville City</t>
  </si>
  <si>
    <t>047894</t>
  </si>
  <si>
    <t>Riverside Local</t>
  </si>
  <si>
    <t>Lake</t>
  </si>
  <si>
    <t>049544</t>
  </si>
  <si>
    <t>Zane Trace Local</t>
  </si>
  <si>
    <t>046979</t>
  </si>
  <si>
    <t>Groveport Madison Local</t>
  </si>
  <si>
    <t>044875</t>
  </si>
  <si>
    <t>Sylvania City</t>
  </si>
  <si>
    <t>046250</t>
  </si>
  <si>
    <t>Northeastern Local</t>
  </si>
  <si>
    <t>044354</t>
  </si>
  <si>
    <t>Massillon City</t>
  </si>
  <si>
    <t>044057</t>
  </si>
  <si>
    <t>Geneva Area City</t>
  </si>
  <si>
    <t>048025</t>
  </si>
  <si>
    <t>North Fork Local</t>
  </si>
  <si>
    <t>047399</t>
  </si>
  <si>
    <t>Three Rivers Local</t>
  </si>
  <si>
    <t>049106</t>
  </si>
  <si>
    <t>Westfall Local</t>
  </si>
  <si>
    <t>050245</t>
  </si>
  <si>
    <t>LaBrae Local</t>
  </si>
  <si>
    <t>043919</t>
  </si>
  <si>
    <t>East Liverpool City</t>
  </si>
  <si>
    <t>046516</t>
  </si>
  <si>
    <t>Colonel Crawford Local</t>
  </si>
  <si>
    <t>Crawford</t>
  </si>
  <si>
    <t>045583</t>
  </si>
  <si>
    <t>Perrysburg Exempted Village</t>
  </si>
  <si>
    <t>044842</t>
  </si>
  <si>
    <t>Strongsville City</t>
  </si>
  <si>
    <t>048348</t>
  </si>
  <si>
    <t>Poland Local</t>
  </si>
  <si>
    <t>045880</t>
  </si>
  <si>
    <t>Pymatuning Valley Local</t>
  </si>
  <si>
    <t>045492</t>
  </si>
  <si>
    <t>Mentor Exempted Village</t>
  </si>
  <si>
    <t>043570</t>
  </si>
  <si>
    <t>Bellaire Local</t>
  </si>
  <si>
    <t>046276</t>
  </si>
  <si>
    <t>049973</t>
  </si>
  <si>
    <t>Woodridge Local</t>
  </si>
  <si>
    <t>047787</t>
  </si>
  <si>
    <t>Buckeye Local</t>
  </si>
  <si>
    <t>Jefferson</t>
  </si>
  <si>
    <t>049940</t>
  </si>
  <si>
    <t>Sandy Valley Local</t>
  </si>
  <si>
    <t>049171</t>
  </si>
  <si>
    <t>Aurora City</t>
  </si>
  <si>
    <t>050617</t>
  </si>
  <si>
    <t>Edgerton Local</t>
  </si>
  <si>
    <t>Williams</t>
  </si>
  <si>
    <t>050187</t>
  </si>
  <si>
    <t>Lakeview Local</t>
  </si>
  <si>
    <t>044818</t>
  </si>
  <si>
    <t>Springfield City</t>
  </si>
  <si>
    <t>049916</t>
  </si>
  <si>
    <t>Osnaburg Local</t>
  </si>
  <si>
    <t>044396</t>
  </si>
  <si>
    <t>Miamisburg City</t>
  </si>
  <si>
    <t>044883</t>
  </si>
  <si>
    <t>Tallmadge City</t>
  </si>
  <si>
    <t>049205</t>
  </si>
  <si>
    <t>James A Garfield Local</t>
  </si>
  <si>
    <t>044636</t>
  </si>
  <si>
    <t>Parma City</t>
  </si>
  <si>
    <t>048264</t>
  </si>
  <si>
    <t>Jonathan Alder Local</t>
  </si>
  <si>
    <t>Madison</t>
  </si>
  <si>
    <t>045419</t>
  </si>
  <si>
    <t>Hicksville Exempted Village</t>
  </si>
  <si>
    <t>Defiance</t>
  </si>
  <si>
    <t>047050</t>
  </si>
  <si>
    <t>Evergreen Local</t>
  </si>
  <si>
    <t>045799</t>
  </si>
  <si>
    <t>Shawnee Local</t>
  </si>
  <si>
    <t>049080</t>
  </si>
  <si>
    <t>Logan Elm Local</t>
  </si>
  <si>
    <t>048298</t>
  </si>
  <si>
    <t>Austintown Local</t>
  </si>
  <si>
    <t>047621</t>
  </si>
  <si>
    <t>Fairfield Local</t>
  </si>
  <si>
    <t>Highland</t>
  </si>
  <si>
    <t>044370</t>
  </si>
  <si>
    <t>Mayfield City</t>
  </si>
  <si>
    <t>Hardin</t>
  </si>
  <si>
    <t>049882</t>
  </si>
  <si>
    <t>Marlington Local</t>
  </si>
  <si>
    <t>044032</t>
  </si>
  <si>
    <t>Gallipolis City</t>
  </si>
  <si>
    <t>Gallia</t>
  </si>
  <si>
    <t>047886</t>
  </si>
  <si>
    <t>047795</t>
  </si>
  <si>
    <t>Edison Local</t>
  </si>
  <si>
    <t>044172</t>
  </si>
  <si>
    <t>Kenton City</t>
  </si>
  <si>
    <t>044412</t>
  </si>
  <si>
    <t>Mt Healthy City</t>
  </si>
  <si>
    <t>048835</t>
  </si>
  <si>
    <t>East Muskingum Local</t>
  </si>
  <si>
    <t>044099</t>
  </si>
  <si>
    <t>Greenville City</t>
  </si>
  <si>
    <t>049627</t>
  </si>
  <si>
    <t>Minford Local</t>
  </si>
  <si>
    <t>Scioto</t>
  </si>
  <si>
    <t>044123</t>
  </si>
  <si>
    <t>Hillsboro City</t>
  </si>
  <si>
    <t>047043</t>
  </si>
  <si>
    <t>Archbold-Area Local</t>
  </si>
  <si>
    <t>044669</t>
  </si>
  <si>
    <t>Portsmouth City</t>
  </si>
  <si>
    <t>048488</t>
  </si>
  <si>
    <t>Cloverleaf Local</t>
  </si>
  <si>
    <t>045286</t>
  </si>
  <si>
    <t>Chagrin Falls Exempted Village</t>
  </si>
  <si>
    <t>046441</t>
  </si>
  <si>
    <t>Southern Local</t>
  </si>
  <si>
    <t>048744</t>
  </si>
  <si>
    <t>Valley View Local</t>
  </si>
  <si>
    <t>043695</t>
  </si>
  <si>
    <t>Cambridge City</t>
  </si>
  <si>
    <t>047597</t>
  </si>
  <si>
    <t>Patrick Henry Local</t>
  </si>
  <si>
    <t>048926</t>
  </si>
  <si>
    <t>Benton Carroll Salem Local</t>
  </si>
  <si>
    <t>Ottawa</t>
  </si>
  <si>
    <t>048439</t>
  </si>
  <si>
    <t>Ridgedale Local</t>
  </si>
  <si>
    <t>Marion</t>
  </si>
  <si>
    <t>049429</t>
  </si>
  <si>
    <t>Crestview Local</t>
  </si>
  <si>
    <t>046383</t>
  </si>
  <si>
    <t>Blanchester Local</t>
  </si>
  <si>
    <t>Clinton</t>
  </si>
  <si>
    <t>044867</t>
  </si>
  <si>
    <t>Sycamore Community City</t>
  </si>
  <si>
    <t>044917</t>
  </si>
  <si>
    <t>Toronto City</t>
  </si>
  <si>
    <t>046722</t>
  </si>
  <si>
    <t>050054</t>
  </si>
  <si>
    <t>Revere Local</t>
  </si>
  <si>
    <t>045120</t>
  </si>
  <si>
    <t>Wooster City</t>
  </si>
  <si>
    <t>049197</t>
  </si>
  <si>
    <t>Field Local</t>
  </si>
  <si>
    <t>048165</t>
  </si>
  <si>
    <t>Keystone Local</t>
  </si>
  <si>
    <t>044941</t>
  </si>
  <si>
    <t>Urbana City</t>
  </si>
  <si>
    <t>Champaign</t>
  </si>
  <si>
    <t>048041</t>
  </si>
  <si>
    <t>Southwest Licking Local</t>
  </si>
  <si>
    <t>050286</t>
  </si>
  <si>
    <t>Indian Valley Local</t>
  </si>
  <si>
    <t>050336</t>
  </si>
  <si>
    <t>North Union Local</t>
  </si>
  <si>
    <t>045013</t>
  </si>
  <si>
    <t>Washington Court House City</t>
  </si>
  <si>
    <t>044446</t>
  </si>
  <si>
    <t>Nelsonville-York City</t>
  </si>
  <si>
    <t>Athens</t>
  </si>
  <si>
    <t>043547</t>
  </si>
  <si>
    <t>Bay Village City</t>
  </si>
  <si>
    <t>049569</t>
  </si>
  <si>
    <t>043646</t>
  </si>
  <si>
    <t>Brecksville-Broadview Heights City</t>
  </si>
  <si>
    <t>043539</t>
  </si>
  <si>
    <t>Barberton City</t>
  </si>
  <si>
    <t>050179</t>
  </si>
  <si>
    <t>Joseph Badger Local</t>
  </si>
  <si>
    <t>046060</t>
  </si>
  <si>
    <t>Western Brown Local</t>
  </si>
  <si>
    <t>Brown</t>
  </si>
  <si>
    <t>044982</t>
  </si>
  <si>
    <t>Wapakoneta City</t>
  </si>
  <si>
    <t>049593</t>
  </si>
  <si>
    <t>Bloom-Vernon Local</t>
  </si>
  <si>
    <t>049064</t>
  </si>
  <si>
    <t>049668</t>
  </si>
  <si>
    <t>Wheelersburg Local</t>
  </si>
  <si>
    <t>045070</t>
  </si>
  <si>
    <t>Whitehall City</t>
  </si>
  <si>
    <t>045450</t>
  </si>
  <si>
    <t>Lisbon Exempted Village</t>
  </si>
  <si>
    <t>045575</t>
  </si>
  <si>
    <t>Paulding Exempted Village</t>
  </si>
  <si>
    <t>Paulding</t>
  </si>
  <si>
    <t>050682</t>
  </si>
  <si>
    <t>Elmwood Local</t>
  </si>
  <si>
    <t>048850</t>
  </si>
  <si>
    <t>Maysville Local</t>
  </si>
  <si>
    <t>049833</t>
  </si>
  <si>
    <t>Canton Local</t>
  </si>
  <si>
    <t>045856</t>
  </si>
  <si>
    <t>Harrison</t>
  </si>
  <si>
    <t>Northridge Local</t>
  </si>
  <si>
    <t>043505</t>
  </si>
  <si>
    <t>Ashland City</t>
  </si>
  <si>
    <t>Ashland</t>
  </si>
  <si>
    <t>044255</t>
  </si>
  <si>
    <t>London City</t>
  </si>
  <si>
    <t>046789</t>
  </si>
  <si>
    <t>Erie</t>
  </si>
  <si>
    <t>049437</t>
  </si>
  <si>
    <t>Lexington Local</t>
  </si>
  <si>
    <t>048215</t>
  </si>
  <si>
    <t>Ottawa Hills Local</t>
  </si>
  <si>
    <t>047902</t>
  </si>
  <si>
    <t>Perry Local</t>
  </si>
  <si>
    <t>048710</t>
  </si>
  <si>
    <t>New Lebanon Local</t>
  </si>
  <si>
    <t>048991</t>
  </si>
  <si>
    <t>Antwerp Local</t>
  </si>
  <si>
    <t>048371</t>
  </si>
  <si>
    <t>046557</t>
  </si>
  <si>
    <t>Cuyahoga Heights Local</t>
  </si>
  <si>
    <t>044859</t>
  </si>
  <si>
    <t>Struthers City</t>
  </si>
  <si>
    <t>050021</t>
  </si>
  <si>
    <t>Hudson City</t>
  </si>
  <si>
    <t>050278</t>
  </si>
  <si>
    <t>Garaway Local</t>
  </si>
  <si>
    <t>045617</t>
  </si>
  <si>
    <t>Tipp City Exempted Village</t>
  </si>
  <si>
    <t>045864</t>
  </si>
  <si>
    <t>Grand Valley Local</t>
  </si>
  <si>
    <t>044560</t>
  </si>
  <si>
    <t>Norwalk City</t>
  </si>
  <si>
    <t>Huron</t>
  </si>
  <si>
    <t>044511</t>
  </si>
  <si>
    <t>North College Hill City</t>
  </si>
  <si>
    <t>044065</t>
  </si>
  <si>
    <t>Girard City</t>
  </si>
  <si>
    <t>045112</t>
  </si>
  <si>
    <t>Wilmington City</t>
  </si>
  <si>
    <t>049353</t>
  </si>
  <si>
    <t>Leipsic Local</t>
  </si>
  <si>
    <t>Putnam</t>
  </si>
  <si>
    <t>045518</t>
  </si>
  <si>
    <t>Milton-Union Exempted Village</t>
  </si>
  <si>
    <t>048462</t>
  </si>
  <si>
    <t>Black River Local</t>
  </si>
  <si>
    <t>Western Reserve Local</t>
  </si>
  <si>
    <t>050112</t>
  </si>
  <si>
    <t>Bristol Local</t>
  </si>
  <si>
    <t>045773</t>
  </si>
  <si>
    <t>Elida Local</t>
  </si>
  <si>
    <t>043687</t>
  </si>
  <si>
    <t>Bucyrus City</t>
  </si>
  <si>
    <t>050419</t>
  </si>
  <si>
    <t>Carlisle Local</t>
  </si>
  <si>
    <t>045906</t>
  </si>
  <si>
    <t>Alexander Local</t>
  </si>
  <si>
    <t>045153</t>
  </si>
  <si>
    <t>Xenia Community City</t>
  </si>
  <si>
    <t>Greene</t>
  </si>
  <si>
    <t>046961</t>
  </si>
  <si>
    <t>Gahanna-Jefferson City</t>
  </si>
  <si>
    <t>044008</t>
  </si>
  <si>
    <t>Franklin City</t>
  </si>
  <si>
    <t>046565</t>
  </si>
  <si>
    <t>Independence Local</t>
  </si>
  <si>
    <t>046631</t>
  </si>
  <si>
    <t>Arcanum-Butler Local</t>
  </si>
  <si>
    <t>049395</t>
  </si>
  <si>
    <t>Pandora-Gilboa Local</t>
  </si>
  <si>
    <t>046391</t>
  </si>
  <si>
    <t>Clinton-Massie Local</t>
  </si>
  <si>
    <t>043679</t>
  </si>
  <si>
    <t>Bryan City</t>
  </si>
  <si>
    <t>046409</t>
  </si>
  <si>
    <t>East Clinton Local</t>
  </si>
  <si>
    <t>048413</t>
  </si>
  <si>
    <t>Elgin Local</t>
  </si>
  <si>
    <t>045211</t>
  </si>
  <si>
    <t>Bluffton Exempted Village</t>
  </si>
  <si>
    <t>045187</t>
  </si>
  <si>
    <t>Ada Exempted Village</t>
  </si>
  <si>
    <t>045245</t>
  </si>
  <si>
    <t>Harrison Hills City</t>
  </si>
  <si>
    <t>047449</t>
  </si>
  <si>
    <t>Liberty-Benton Local</t>
  </si>
  <si>
    <t>Hancock</t>
  </si>
  <si>
    <t>050690</t>
  </si>
  <si>
    <t>046235</t>
  </si>
  <si>
    <t>Greenon Local</t>
  </si>
  <si>
    <t>044420</t>
  </si>
  <si>
    <t>Mount Vernon City</t>
  </si>
  <si>
    <t>Knox</t>
  </si>
  <si>
    <t>044131</t>
  </si>
  <si>
    <t>Huron City</t>
  </si>
  <si>
    <t>050724</t>
  </si>
  <si>
    <t>Otsego Local</t>
  </si>
  <si>
    <t>046508</t>
  </si>
  <si>
    <t>Buckeye Central Local</t>
  </si>
  <si>
    <t>043596</t>
  </si>
  <si>
    <t>Bellevue City</t>
  </si>
  <si>
    <t>045088</t>
  </si>
  <si>
    <t>Wickliffe City</t>
  </si>
  <si>
    <t>045377</t>
  </si>
  <si>
    <t>Georgetown Exempted Village</t>
  </si>
  <si>
    <t>045658</t>
  </si>
  <si>
    <t>Wellington Exempted Village</t>
  </si>
  <si>
    <t>050583</t>
  </si>
  <si>
    <t>Southeast Local</t>
  </si>
  <si>
    <t>046342</t>
  </si>
  <si>
    <t>Goshen Local</t>
  </si>
  <si>
    <t>049445</t>
  </si>
  <si>
    <t>Lucas Local</t>
  </si>
  <si>
    <t>046714</t>
  </si>
  <si>
    <t>Central Local</t>
  </si>
  <si>
    <t>047761</t>
  </si>
  <si>
    <t>Oak Hill Union Local</t>
  </si>
  <si>
    <t>047332</t>
  </si>
  <si>
    <t>Finneytown Local</t>
  </si>
  <si>
    <t>046268</t>
  </si>
  <si>
    <t>Northwestern Local</t>
  </si>
  <si>
    <t>044958</t>
  </si>
  <si>
    <t>Vandalia-Butler City</t>
  </si>
  <si>
    <t>044727</t>
  </si>
  <si>
    <t>St Marys City</t>
  </si>
  <si>
    <t>045310</t>
  </si>
  <si>
    <t>Coldwater Exempted Village</t>
  </si>
  <si>
    <t>050211</t>
  </si>
  <si>
    <t>Maplewood Local</t>
  </si>
  <si>
    <t>045435</t>
  </si>
  <si>
    <t>Indian Hill Exempted Village</t>
  </si>
  <si>
    <t>043554</t>
  </si>
  <si>
    <t>Beachwood City</t>
  </si>
  <si>
    <t>044776</t>
  </si>
  <si>
    <t>Shelby City</t>
  </si>
  <si>
    <t>049031</t>
  </si>
  <si>
    <t>Wayne Trace Local</t>
  </si>
  <si>
    <t>049239</t>
  </si>
  <si>
    <t>Streetsboro City</t>
  </si>
  <si>
    <t>049189</t>
  </si>
  <si>
    <t>Crestwood Local</t>
  </si>
  <si>
    <t>048421</t>
  </si>
  <si>
    <t>Pleasant Local</t>
  </si>
  <si>
    <t>044487</t>
  </si>
  <si>
    <t>New Philadelphia City</t>
  </si>
  <si>
    <t>050047</t>
  </si>
  <si>
    <t>Nordonia Hills City</t>
  </si>
  <si>
    <t>050351</t>
  </si>
  <si>
    <t>Van Wert</t>
  </si>
  <si>
    <t>045096</t>
  </si>
  <si>
    <t>Willard City</t>
  </si>
  <si>
    <t>045427</t>
  </si>
  <si>
    <t>Hubbard Exempted Village</t>
  </si>
  <si>
    <t>048801</t>
  </si>
  <si>
    <t>Morrow</t>
  </si>
  <si>
    <t>046334</t>
  </si>
  <si>
    <t>Felicity-Franklin Local</t>
  </si>
  <si>
    <t>Seneca</t>
  </si>
  <si>
    <t>043661</t>
  </si>
  <si>
    <t>Brunswick City</t>
  </si>
  <si>
    <t>046904</t>
  </si>
  <si>
    <t>Walnut Township Local</t>
  </si>
  <si>
    <t>046037</t>
  </si>
  <si>
    <t>Eastern Local</t>
  </si>
  <si>
    <t>049817</t>
  </si>
  <si>
    <t>Russia Local</t>
  </si>
  <si>
    <t>Shelby</t>
  </si>
  <si>
    <t>044925</t>
  </si>
  <si>
    <t>Troy City</t>
  </si>
  <si>
    <t>049510</t>
  </si>
  <si>
    <t>Paint Valley Local</t>
  </si>
  <si>
    <t>047258</t>
  </si>
  <si>
    <t>Cedar Cliff Local</t>
  </si>
  <si>
    <t>050559</t>
  </si>
  <si>
    <t>049577</t>
  </si>
  <si>
    <t>Woodmore Local</t>
  </si>
  <si>
    <t>043984</t>
  </si>
  <si>
    <t>Findlay City</t>
  </si>
  <si>
    <t>049874</t>
  </si>
  <si>
    <t>Louisville City</t>
  </si>
  <si>
    <t>045328</t>
  </si>
  <si>
    <t>Columbiana Exempted Village</t>
  </si>
  <si>
    <t>044594</t>
  </si>
  <si>
    <t>Oberlin City</t>
  </si>
  <si>
    <t>043794</t>
  </si>
  <si>
    <t>Cleveland Heights-University Heights City</t>
  </si>
  <si>
    <t>049767</t>
  </si>
  <si>
    <t>Botkins Local</t>
  </si>
  <si>
    <t>046045</t>
  </si>
  <si>
    <t>Fayetteville-Perry Local</t>
  </si>
  <si>
    <t>047969</t>
  </si>
  <si>
    <t>Symmes Valley Local</t>
  </si>
  <si>
    <t>045484</t>
  </si>
  <si>
    <t>Mechanicsburg Exempted Village</t>
  </si>
  <si>
    <t>045526</t>
  </si>
  <si>
    <t>Montpelier Exempted Village</t>
  </si>
  <si>
    <t>049122</t>
  </si>
  <si>
    <t>046474</t>
  </si>
  <si>
    <t>Ridgewood Local</t>
  </si>
  <si>
    <t>Coshocton</t>
  </si>
  <si>
    <t>049650</t>
  </si>
  <si>
    <t>Washington-Nile Local</t>
  </si>
  <si>
    <t>044586</t>
  </si>
  <si>
    <t>Oakwood City</t>
  </si>
  <si>
    <t>046680</t>
  </si>
  <si>
    <t>Tri-Village Local</t>
  </si>
  <si>
    <t>045609</t>
  </si>
  <si>
    <t>Rossford Exempted Village</t>
  </si>
  <si>
    <t>045955</t>
  </si>
  <si>
    <t>New Bremen Local</t>
  </si>
  <si>
    <t>Wyandot</t>
  </si>
  <si>
    <t>044453</t>
  </si>
  <si>
    <t>Newark City</t>
  </si>
  <si>
    <t>045021</t>
  </si>
  <si>
    <t>Wellston City</t>
  </si>
  <si>
    <t>045500</t>
  </si>
  <si>
    <t>Milford Exempted Village</t>
  </si>
  <si>
    <t>044149</t>
  </si>
  <si>
    <t>Ironton City</t>
  </si>
  <si>
    <t>048116</t>
  </si>
  <si>
    <t>Avon Local</t>
  </si>
  <si>
    <t>045534</t>
  </si>
  <si>
    <t>Mount Gilead Exempted Village</t>
  </si>
  <si>
    <t>047266</t>
  </si>
  <si>
    <t>Greeneview Local</t>
  </si>
  <si>
    <t>050070</t>
  </si>
  <si>
    <t>Twinsburg City</t>
  </si>
  <si>
    <t>048611</t>
  </si>
  <si>
    <t>Bethel Local</t>
  </si>
  <si>
    <t>000442</t>
  </si>
  <si>
    <t>Manchester Local</t>
  </si>
  <si>
    <t>Adams</t>
  </si>
  <si>
    <t>048033</t>
  </si>
  <si>
    <t>043950</t>
  </si>
  <si>
    <t>Euclid City</t>
  </si>
  <si>
    <t>047274</t>
  </si>
  <si>
    <t>Bellbrook-Sugarcreek Local</t>
  </si>
  <si>
    <t>048090</t>
  </si>
  <si>
    <t>048942</t>
  </si>
  <si>
    <t>Genoa Area Local</t>
  </si>
  <si>
    <t>045195</t>
  </si>
  <si>
    <t>Amherst Exempted Village</t>
  </si>
  <si>
    <t>043778</t>
  </si>
  <si>
    <t>Claymont City</t>
  </si>
  <si>
    <t>050161</t>
  </si>
  <si>
    <t>Howland Local</t>
  </si>
  <si>
    <t>045294</t>
  </si>
  <si>
    <t>Chesapeake Union Exempted Village</t>
  </si>
  <si>
    <t>049361</t>
  </si>
  <si>
    <t>Miller City-New Cleveland Local</t>
  </si>
  <si>
    <t>050229</t>
  </si>
  <si>
    <t>McDonald Local</t>
  </si>
  <si>
    <t>045757</t>
  </si>
  <si>
    <t>Allen East Local</t>
  </si>
  <si>
    <t>139303</t>
  </si>
  <si>
    <t>Monroe Local</t>
  </si>
  <si>
    <t>047589</t>
  </si>
  <si>
    <t>Liberty Center Local</t>
  </si>
  <si>
    <t>049619</t>
  </si>
  <si>
    <t>048306</t>
  </si>
  <si>
    <t>Boardman Local</t>
  </si>
  <si>
    <t>048322</t>
  </si>
  <si>
    <t>Jackson-Milton Local</t>
  </si>
  <si>
    <t>043810</t>
  </si>
  <si>
    <t>Conneaut Area City</t>
  </si>
  <si>
    <t>049296</t>
  </si>
  <si>
    <t>Twin Valley Community Local</t>
  </si>
  <si>
    <t>047993</t>
  </si>
  <si>
    <t>Lakewood Local</t>
  </si>
  <si>
    <t>048470</t>
  </si>
  <si>
    <t>047845</t>
  </si>
  <si>
    <t>East Knox Local</t>
  </si>
  <si>
    <t>049387</t>
  </si>
  <si>
    <t>Ottoville Local</t>
  </si>
  <si>
    <t>046128</t>
  </si>
  <si>
    <t>046847</t>
  </si>
  <si>
    <t>Amanda-Clearcreek Local</t>
  </si>
  <si>
    <t>044503</t>
  </si>
  <si>
    <t>North Canton City</t>
  </si>
  <si>
    <t>046862</t>
  </si>
  <si>
    <t>Bloom-Carroll Local</t>
  </si>
  <si>
    <t>047514</t>
  </si>
  <si>
    <t>Riverdale Local</t>
  </si>
  <si>
    <t>045385</t>
  </si>
  <si>
    <t>Gibsonburg Exempted Village</t>
  </si>
  <si>
    <t>050450</t>
  </si>
  <si>
    <t>Mason City</t>
  </si>
  <si>
    <t>045104</t>
  </si>
  <si>
    <t>Willoughby-Eastlake City</t>
  </si>
  <si>
    <t>049643</t>
  </si>
  <si>
    <t>Valley Local</t>
  </si>
  <si>
    <t>048934</t>
  </si>
  <si>
    <t>Danbury Local</t>
  </si>
  <si>
    <t>045401</t>
  </si>
  <si>
    <t>Greenfield Exempted Village</t>
  </si>
  <si>
    <t>044834</t>
  </si>
  <si>
    <t>Stow-Munroe Falls City</t>
  </si>
  <si>
    <t>044289</t>
  </si>
  <si>
    <t>Madeira City</t>
  </si>
  <si>
    <t>045336</t>
  </si>
  <si>
    <t>Covington Exempted Village</t>
  </si>
  <si>
    <t>048702</t>
  </si>
  <si>
    <t>Mad River Local</t>
  </si>
  <si>
    <t>049346</t>
  </si>
  <si>
    <t>Kalida Local</t>
  </si>
  <si>
    <t>045997</t>
  </si>
  <si>
    <t>St Clairsville-Richland City</t>
  </si>
  <si>
    <t>044651</t>
  </si>
  <si>
    <t>Port Clinton City</t>
  </si>
  <si>
    <t>048314</t>
  </si>
  <si>
    <t>Canfield Local</t>
  </si>
  <si>
    <t>047191</t>
  </si>
  <si>
    <t>Kenston Local</t>
  </si>
  <si>
    <t>045914</t>
  </si>
  <si>
    <t>Federal Hocking Local</t>
  </si>
  <si>
    <t>044735</t>
  </si>
  <si>
    <t>Salem City</t>
  </si>
  <si>
    <t>048652</t>
  </si>
  <si>
    <t>Switzerland of Ohio Local</t>
  </si>
  <si>
    <t>Monroe</t>
  </si>
  <si>
    <t>050369</t>
  </si>
  <si>
    <t>Lincolnview Local</t>
  </si>
  <si>
    <t>046219</t>
  </si>
  <si>
    <t>West Liberty-Salem Local</t>
  </si>
  <si>
    <t>044388</t>
  </si>
  <si>
    <t>Medina City</t>
  </si>
  <si>
    <t>045674</t>
  </si>
  <si>
    <t>Yellow Springs Exempted Village</t>
  </si>
  <si>
    <t>050435</t>
  </si>
  <si>
    <t>Kings Local</t>
  </si>
  <si>
    <t>044271</t>
  </si>
  <si>
    <t>Loveland City</t>
  </si>
  <si>
    <t>046649</t>
  </si>
  <si>
    <t>Franklin Monroe Local</t>
  </si>
  <si>
    <t>049312</t>
  </si>
  <si>
    <t>Columbus Grove Local</t>
  </si>
  <si>
    <t>044024</t>
  </si>
  <si>
    <t>Galion City</t>
  </si>
  <si>
    <t>043612</t>
  </si>
  <si>
    <t>Berea City</t>
  </si>
  <si>
    <t>044784</t>
  </si>
  <si>
    <t>Sidney City</t>
  </si>
  <si>
    <t>049684</t>
  </si>
  <si>
    <t>Seneca East Local</t>
  </si>
  <si>
    <t>043638</t>
  </si>
  <si>
    <t>Bowling Green City</t>
  </si>
  <si>
    <t>050153</t>
  </si>
  <si>
    <t>Mathews Local</t>
  </si>
  <si>
    <t>046367</t>
  </si>
  <si>
    <t>Williamsburg Local</t>
  </si>
  <si>
    <t>050500</t>
  </si>
  <si>
    <t>Warren Local</t>
  </si>
  <si>
    <t>Washington</t>
  </si>
  <si>
    <t>049320</t>
  </si>
  <si>
    <t>Continental Local</t>
  </si>
  <si>
    <t>044545</t>
  </si>
  <si>
    <t>North Royalton City</t>
  </si>
  <si>
    <t>044966</t>
  </si>
  <si>
    <t>Van Wert City</t>
  </si>
  <si>
    <t>044248</t>
  </si>
  <si>
    <t>Logan-Hocking Local</t>
  </si>
  <si>
    <t>Hocking</t>
  </si>
  <si>
    <t>047829</t>
  </si>
  <si>
    <t>Centerburg Local</t>
  </si>
  <si>
    <t>045302</t>
  </si>
  <si>
    <t>Clyde-Green Springs Exempted Village</t>
  </si>
  <si>
    <t>044891</t>
  </si>
  <si>
    <t>Tiffin City</t>
  </si>
  <si>
    <t>048553</t>
  </si>
  <si>
    <t>Marion Local</t>
  </si>
  <si>
    <t>050138</t>
  </si>
  <si>
    <t>Champion Local</t>
  </si>
  <si>
    <t>049502</t>
  </si>
  <si>
    <t>Huntington Local</t>
  </si>
  <si>
    <t>048520</t>
  </si>
  <si>
    <t>Meigs Local</t>
  </si>
  <si>
    <t>Meigs</t>
  </si>
  <si>
    <t>044743</t>
  </si>
  <si>
    <t>Sandusky City</t>
  </si>
  <si>
    <t>048330</t>
  </si>
  <si>
    <t>Lowellville Local</t>
  </si>
  <si>
    <t>044792</t>
  </si>
  <si>
    <t>South Euclid-Lyndhurst City</t>
  </si>
  <si>
    <t>043901</t>
  </si>
  <si>
    <t>East Cleveland City</t>
  </si>
  <si>
    <t>045823</t>
  </si>
  <si>
    <t>Hillsdale Local</t>
  </si>
  <si>
    <t>045641</t>
  </si>
  <si>
    <t>Wauseon Exempted Village</t>
  </si>
  <si>
    <t>043828</t>
  </si>
  <si>
    <t>Coshocton City</t>
  </si>
  <si>
    <t>045203</t>
  </si>
  <si>
    <t>Barnesville Exempted Village</t>
  </si>
  <si>
    <t>049718</t>
  </si>
  <si>
    <t>New Riegel Local</t>
  </si>
  <si>
    <t>045948</t>
  </si>
  <si>
    <t>Minster Local</t>
  </si>
  <si>
    <t>091397</t>
  </si>
  <si>
    <t>Tri-County North Local</t>
  </si>
  <si>
    <t>045179</t>
  </si>
  <si>
    <t>Zanesville City</t>
  </si>
  <si>
    <t>049536</t>
  </si>
  <si>
    <t>Union-Scioto Local</t>
  </si>
  <si>
    <t>050484</t>
  </si>
  <si>
    <t>Fort Frye Local</t>
  </si>
  <si>
    <t>050716</t>
  </si>
  <si>
    <t>Northwood Local</t>
  </si>
  <si>
    <t>049924</t>
  </si>
  <si>
    <t>049601</t>
  </si>
  <si>
    <t>Clay Local</t>
  </si>
  <si>
    <t>043869</t>
  </si>
  <si>
    <t>Defiance City</t>
  </si>
  <si>
    <t>050237</t>
  </si>
  <si>
    <t>Southington Local</t>
  </si>
  <si>
    <t>046433</t>
  </si>
  <si>
    <t>050575</t>
  </si>
  <si>
    <t>044297</t>
  </si>
  <si>
    <t>Mansfield City</t>
  </si>
  <si>
    <t>065680</t>
  </si>
  <si>
    <t>Gallia County Local</t>
  </si>
  <si>
    <t>045393</t>
  </si>
  <si>
    <t>Granville Exempted Village</t>
  </si>
  <si>
    <t>046201</t>
  </si>
  <si>
    <t>Triad Local</t>
  </si>
  <si>
    <t>048587</t>
  </si>
  <si>
    <t>St Henry Consolidated Local</t>
  </si>
  <si>
    <t>044321</t>
  </si>
  <si>
    <t>Marietta City</t>
  </si>
  <si>
    <t>045559</t>
  </si>
  <si>
    <t>New Richmond Exempted Village</t>
  </si>
  <si>
    <t>049379</t>
  </si>
  <si>
    <t>Ottawa-Glandorf Local</t>
  </si>
  <si>
    <t>050518</t>
  </si>
  <si>
    <t>Wolf Creek Local</t>
  </si>
  <si>
    <t>043836</t>
  </si>
  <si>
    <t>Cuyahoga Falls City</t>
  </si>
  <si>
    <t>048017</t>
  </si>
  <si>
    <t>Licking Valley Local</t>
  </si>
  <si>
    <t>046805</t>
  </si>
  <si>
    <t>Margaretta Local</t>
  </si>
  <si>
    <t>044602</t>
  </si>
  <si>
    <t>Oregon City</t>
  </si>
  <si>
    <t>049783</t>
  </si>
  <si>
    <t>Fort Loramie Local</t>
  </si>
  <si>
    <t>048751</t>
  </si>
  <si>
    <t>Huber Heights City</t>
  </si>
  <si>
    <t>045252</t>
  </si>
  <si>
    <t>Caldwell Exempted Village</t>
  </si>
  <si>
    <t>Noble</t>
  </si>
  <si>
    <t>044537</t>
  </si>
  <si>
    <t>North Ridgeville City</t>
  </si>
  <si>
    <t>043968</t>
  </si>
  <si>
    <t>Fairborn City</t>
  </si>
  <si>
    <t>047688</t>
  </si>
  <si>
    <t>East Holmes Local</t>
  </si>
  <si>
    <t>Holmes</t>
  </si>
  <si>
    <t>050625</t>
  </si>
  <si>
    <t>Edon-Northwest Local</t>
  </si>
  <si>
    <t>044313</t>
  </si>
  <si>
    <t>Mariemont City</t>
  </si>
  <si>
    <t>047720</t>
  </si>
  <si>
    <t>New London Local</t>
  </si>
  <si>
    <t>049411</t>
  </si>
  <si>
    <t>Clear Fork Valley Local</t>
  </si>
  <si>
    <t>048256</t>
  </si>
  <si>
    <t>Jefferson Local</t>
  </si>
  <si>
    <t>043745</t>
  </si>
  <si>
    <t>Chillicothe City</t>
  </si>
  <si>
    <t>050534</t>
  </si>
  <si>
    <t>Chippewa Local</t>
  </si>
  <si>
    <t>047415</t>
  </si>
  <si>
    <t>Arcadia Local</t>
  </si>
  <si>
    <t>050005</t>
  </si>
  <si>
    <t>048595</t>
  </si>
  <si>
    <t>Fort Recovery Local</t>
  </si>
  <si>
    <t>043521</t>
  </si>
  <si>
    <t>Athens City</t>
  </si>
  <si>
    <t>045351</t>
  </si>
  <si>
    <t>Crooksville Exempted Village</t>
  </si>
  <si>
    <t>049957</t>
  </si>
  <si>
    <t>Tuslaw Local</t>
  </si>
  <si>
    <t>046011</t>
  </si>
  <si>
    <t>Union Local</t>
  </si>
  <si>
    <t>069682</t>
  </si>
  <si>
    <t>East Guernsey Local</t>
  </si>
  <si>
    <t>046524</t>
  </si>
  <si>
    <t>Wynford Local</t>
  </si>
  <si>
    <t>061903</t>
  </si>
  <si>
    <t>Adams County/Ohio Valley Local</t>
  </si>
  <si>
    <t>049338</t>
  </si>
  <si>
    <t>Jennings Local</t>
  </si>
  <si>
    <t>046581</t>
  </si>
  <si>
    <t>Orange City</t>
  </si>
  <si>
    <t>047712</t>
  </si>
  <si>
    <t>Monroeville Local</t>
  </si>
  <si>
    <t>047878</t>
  </si>
  <si>
    <t>Kirtland Local</t>
  </si>
  <si>
    <t>046177</t>
  </si>
  <si>
    <t>Brown Local</t>
  </si>
  <si>
    <t>044362</t>
  </si>
  <si>
    <t>Maumee City</t>
  </si>
  <si>
    <t>047639</t>
  </si>
  <si>
    <t>Lynchburg-Clay Local</t>
  </si>
  <si>
    <t>047431</t>
  </si>
  <si>
    <t>Cory-Rawson Local</t>
  </si>
  <si>
    <t>047746</t>
  </si>
  <si>
    <t>047571</t>
  </si>
  <si>
    <t>Holgate Local</t>
  </si>
  <si>
    <t>046102</t>
  </si>
  <si>
    <t>Fairfield City</t>
  </si>
  <si>
    <t>046821</t>
  </si>
  <si>
    <t>Vermilion Local</t>
  </si>
  <si>
    <t>043489</t>
  </si>
  <si>
    <t>Akron City</t>
  </si>
  <si>
    <t>048819</t>
  </si>
  <si>
    <t>Northmor Local</t>
  </si>
  <si>
    <t>050203</t>
  </si>
  <si>
    <t>Lordstown Local</t>
  </si>
  <si>
    <t>047464</t>
  </si>
  <si>
    <t>Van Buren Local</t>
  </si>
  <si>
    <t>047951</t>
  </si>
  <si>
    <t>South Point Local</t>
  </si>
  <si>
    <t>047241</t>
  </si>
  <si>
    <t>Beavercreek City</t>
  </si>
  <si>
    <t>049635</t>
  </si>
  <si>
    <t>043976</t>
  </si>
  <si>
    <t>Fairview Park City</t>
  </si>
  <si>
    <t>048173</t>
  </si>
  <si>
    <t>Midview Local</t>
  </si>
  <si>
    <t>049478</t>
  </si>
  <si>
    <t>Ontario Local</t>
  </si>
  <si>
    <t>048355</t>
  </si>
  <si>
    <t>Sebring Local</t>
  </si>
  <si>
    <t>050039</t>
  </si>
  <si>
    <t>Mogadore Local</t>
  </si>
  <si>
    <t>047373</t>
  </si>
  <si>
    <t>Oak Hills Local</t>
  </si>
  <si>
    <t>043851</t>
  </si>
  <si>
    <t>Deer Park Community City</t>
  </si>
  <si>
    <t>048579</t>
  </si>
  <si>
    <t>Parkway Local</t>
  </si>
  <si>
    <t>045591</t>
  </si>
  <si>
    <t>Rittman Exempted Village</t>
  </si>
  <si>
    <t>048728</t>
  </si>
  <si>
    <t>Northmont City</t>
  </si>
  <si>
    <t>047209</t>
  </si>
  <si>
    <t>Ledgemont Local</t>
  </si>
  <si>
    <t>049221</t>
  </si>
  <si>
    <t>049270</t>
  </si>
  <si>
    <t>National Trail Local</t>
  </si>
  <si>
    <t>047936</t>
  </si>
  <si>
    <t>Fairland Local</t>
  </si>
  <si>
    <t>047076</t>
  </si>
  <si>
    <t>Pettisville Local</t>
  </si>
  <si>
    <t>048363</t>
  </si>
  <si>
    <t>South Range Local</t>
  </si>
  <si>
    <t>046326</t>
  </si>
  <si>
    <t>Clermont Northeastern Local</t>
  </si>
  <si>
    <t>049759</t>
  </si>
  <si>
    <t>Anna Local</t>
  </si>
  <si>
    <t>046946</t>
  </si>
  <si>
    <t>Canal Winchester Local</t>
  </si>
  <si>
    <t>046425</t>
  </si>
  <si>
    <t>Beaver Local</t>
  </si>
  <si>
    <t>043927</t>
  </si>
  <si>
    <t>East Palestine City</t>
  </si>
  <si>
    <t>049213</t>
  </si>
  <si>
    <t>Rootstown Local</t>
  </si>
  <si>
    <t>047696</t>
  </si>
  <si>
    <t>West Holmes Local</t>
  </si>
  <si>
    <t>048272</t>
  </si>
  <si>
    <t>Madison-Plains Local</t>
  </si>
  <si>
    <t>049791</t>
  </si>
  <si>
    <t>Hardin-Houston Local</t>
  </si>
  <si>
    <t>046482</t>
  </si>
  <si>
    <t>River View Local</t>
  </si>
  <si>
    <t>046813</t>
  </si>
  <si>
    <t>Perkins Local</t>
  </si>
  <si>
    <t>045831</t>
  </si>
  <si>
    <t>Mapleton Local</t>
  </si>
  <si>
    <t>050492</t>
  </si>
  <si>
    <t>Frontier Local</t>
  </si>
  <si>
    <t>047837</t>
  </si>
  <si>
    <t>Danville Local</t>
  </si>
  <si>
    <t>043653</t>
  </si>
  <si>
    <t>Brooklyn City</t>
  </si>
  <si>
    <t>046458</t>
  </si>
  <si>
    <t>United Local</t>
  </si>
  <si>
    <t>046151</t>
  </si>
  <si>
    <t>Talawanda City</t>
  </si>
  <si>
    <t>044495</t>
  </si>
  <si>
    <t>Niles City</t>
  </si>
  <si>
    <t>045161</t>
  </si>
  <si>
    <t>Youngstown City</t>
  </si>
  <si>
    <t>045922</t>
  </si>
  <si>
    <t>Trimble Local</t>
  </si>
  <si>
    <t>044628</t>
  </si>
  <si>
    <t>Painesville City Local</t>
  </si>
  <si>
    <t>046300</t>
  </si>
  <si>
    <t>Batavia Local</t>
  </si>
  <si>
    <t>048884</t>
  </si>
  <si>
    <t>West Muskingum Local</t>
  </si>
  <si>
    <t>043992</t>
  </si>
  <si>
    <t>Fostoria City</t>
  </si>
  <si>
    <t>044115</t>
  </si>
  <si>
    <t>Heath City</t>
  </si>
  <si>
    <t>046870</t>
  </si>
  <si>
    <t>Fairfield Union Local</t>
  </si>
  <si>
    <t>048512</t>
  </si>
  <si>
    <t>046888</t>
  </si>
  <si>
    <t>Liberty Union-Thurston Local</t>
  </si>
  <si>
    <t>045237</t>
  </si>
  <si>
    <t>Bridgeport Exempted Village</t>
  </si>
  <si>
    <t>046003</t>
  </si>
  <si>
    <t>Shadyside Local</t>
  </si>
  <si>
    <t>049700</t>
  </si>
  <si>
    <t>Hopewell-Loudon Local</t>
  </si>
  <si>
    <t>044610</t>
  </si>
  <si>
    <t>Orrville City</t>
  </si>
  <si>
    <t>048447</t>
  </si>
  <si>
    <t>River Valley Local</t>
  </si>
  <si>
    <t>048900</t>
  </si>
  <si>
    <t>Noble Local</t>
  </si>
  <si>
    <t>049148</t>
  </si>
  <si>
    <t>Waverly City</t>
  </si>
  <si>
    <t>043497</t>
  </si>
  <si>
    <t>Alliance City</t>
  </si>
  <si>
    <t>047365</t>
  </si>
  <si>
    <t>050740</t>
  </si>
  <si>
    <t>Mohawk Local</t>
  </si>
  <si>
    <t>047423</t>
  </si>
  <si>
    <t>Arlington Local</t>
  </si>
  <si>
    <t>046094</t>
  </si>
  <si>
    <t>Edgewood City</t>
  </si>
  <si>
    <t>050120</t>
  </si>
  <si>
    <t>Brookfield Local</t>
  </si>
  <si>
    <t>044677</t>
  </si>
  <si>
    <t>Princeton City</t>
  </si>
  <si>
    <t>044644</t>
  </si>
  <si>
    <t>Piqua City</t>
  </si>
  <si>
    <t>043604</t>
  </si>
  <si>
    <t>Belpre City</t>
  </si>
  <si>
    <t>050443</t>
  </si>
  <si>
    <t>Little Miami Local</t>
  </si>
  <si>
    <t>047852</t>
  </si>
  <si>
    <t>Fredericktown Local</t>
  </si>
  <si>
    <t>044685</t>
  </si>
  <si>
    <t>Ravenna City</t>
  </si>
  <si>
    <t>045872</t>
  </si>
  <si>
    <t>Jefferson Area Local</t>
  </si>
  <si>
    <t>044305</t>
  </si>
  <si>
    <t>Maple Heights City</t>
  </si>
  <si>
    <t>046359</t>
  </si>
  <si>
    <t>West Clermont Local</t>
  </si>
  <si>
    <t>044222</t>
  </si>
  <si>
    <t>Lima City</t>
  </si>
  <si>
    <t>044750</t>
  </si>
  <si>
    <t>Shaker Heights City</t>
  </si>
  <si>
    <t>046193</t>
  </si>
  <si>
    <t>Graham Local</t>
  </si>
  <si>
    <t>044107</t>
  </si>
  <si>
    <t>Hamilton City</t>
  </si>
  <si>
    <t>044479</t>
  </si>
  <si>
    <t>New Lexington City</t>
  </si>
  <si>
    <t>047803</t>
  </si>
  <si>
    <t>Indian Creek Local</t>
  </si>
  <si>
    <t>045054</t>
  </si>
  <si>
    <t>West Carrollton City</t>
  </si>
  <si>
    <t>044040</t>
  </si>
  <si>
    <t>Garfield Heights City</t>
  </si>
  <si>
    <t>044263</t>
  </si>
  <si>
    <t>Lorain City</t>
  </si>
  <si>
    <t>047183</t>
  </si>
  <si>
    <t>Chardon Local</t>
  </si>
  <si>
    <t>048793</t>
  </si>
  <si>
    <t>Cardington-Lincoln Local</t>
  </si>
  <si>
    <t>048694</t>
  </si>
  <si>
    <t>Trotwood-Madison City</t>
  </si>
  <si>
    <t>043844</t>
  </si>
  <si>
    <t>Dayton City</t>
  </si>
  <si>
    <t>044826</t>
  </si>
  <si>
    <t>Steubenville City</t>
  </si>
  <si>
    <t>County</t>
  </si>
  <si>
    <t>District Name</t>
  </si>
  <si>
    <t>DIRN</t>
  </si>
  <si>
    <t>Gifted Performance Index 2013</t>
  </si>
  <si>
    <t>Menlo Park Academy</t>
  </si>
  <si>
    <t>000318</t>
  </si>
  <si>
    <t>Six-digit unique district identifier.</t>
  </si>
  <si>
    <t xml:space="preserve">Notes: </t>
  </si>
  <si>
    <t>ORC 3302.21</t>
  </si>
  <si>
    <t xml:space="preserve">What organizations are included in this file? </t>
  </si>
  <si>
    <t xml:space="preserve">What is the Performance Index? </t>
  </si>
  <si>
    <t>http://reportcard.education.ohio.gov/Pages/default.aspx</t>
  </si>
  <si>
    <t>http://education.ohio.gov/Topics/School-Improvement/Diagnostic-Review/Value-Added-Technical-Reports</t>
  </si>
  <si>
    <t>What do the data in each column mean?</t>
  </si>
  <si>
    <t>Below is a description of the contents of each column.</t>
  </si>
  <si>
    <t>Column</t>
  </si>
  <si>
    <t>Description</t>
  </si>
  <si>
    <t>What is the Gifted Opportunity Rank?</t>
  </si>
  <si>
    <t xml:space="preserve">Districts are ranked on the average of three separate components. This average is displayed in the column titled "Average of Gifted Component Ranks." </t>
  </si>
  <si>
    <t>Value-Added Gifted Gain Index 2013</t>
  </si>
  <si>
    <t>Value-Added Gain Index Rank 2013</t>
  </si>
  <si>
    <t>Value-Added  Gifted Classification 2013</t>
  </si>
  <si>
    <t>Canton City</t>
  </si>
  <si>
    <t>043711</t>
  </si>
  <si>
    <t>District results under review by the Ohio Department of Education based upon 2011 findings by the Auditor of State.</t>
  </si>
  <si>
    <t>Cincinnati City</t>
  </si>
  <si>
    <t>043752</t>
  </si>
  <si>
    <t>Campbell City</t>
  </si>
  <si>
    <t>043703</t>
  </si>
  <si>
    <t>Marion City</t>
  </si>
  <si>
    <t>044339</t>
  </si>
  <si>
    <t>Winton Woods City</t>
  </si>
  <si>
    <t>044081</t>
  </si>
  <si>
    <t>Columbus City</t>
  </si>
  <si>
    <t>043802</t>
  </si>
  <si>
    <t>048736</t>
  </si>
  <si>
    <t>Cleveland Municipal City</t>
  </si>
  <si>
    <t>043786</t>
  </si>
  <si>
    <t>Toledo City</t>
  </si>
  <si>
    <t>044909</t>
  </si>
  <si>
    <t>ODE Designated County</t>
  </si>
  <si>
    <t>District IRN</t>
  </si>
  <si>
    <t>District Org Type</t>
  </si>
  <si>
    <t>Community School</t>
  </si>
  <si>
    <t>This file includes the 2013 gifted rankings as of Aug. 26, 2013.</t>
  </si>
  <si>
    <t xml:space="preserve">This file was created in response to language in Ohio Revised Code (ORC 3302.21) that requires the Ohio Department of Education to rank traditional school districts, community schools and STEM schools based on the opportunities for, and performance of, students identified as gifted. </t>
  </si>
  <si>
    <t xml:space="preserve">The full text associated with this section of law is available here: </t>
  </si>
  <si>
    <t>This file does not include rankings based on any other district- or school-level measures.</t>
  </si>
  <si>
    <t xml:space="preserve">Only districts and community schools reporting at least one student identified as gifted are included in this report. To be ranked, a district or community school needed to have more than 10 students identified as gifted, and sufficient numbers of students identified in tested grade levels and subject areas for both Performance Index and Value-Added index scores to be calculated. Community schools are not required to identify or serve gifted students.  As a result, very few reported sufficient numbers of gifted students to be included. </t>
  </si>
  <si>
    <t xml:space="preserve">Schools that were closed in the Ohio Educational Directory System (OEDS) as of Aug. 26, 2013, are not included in this ranking file. </t>
  </si>
  <si>
    <t xml:space="preserve">The Gifted Opportunity rank uses a weighted average of the percent of all district students identified as gifted:  the percent of students identified as gifted who receive gifted services; and the percent of all district students who receive gifted services. Weights for the percentages are based on the relative size of each of the components at the district level. </t>
  </si>
  <si>
    <t xml:space="preserve">Using this approach avoids a high Opportunity rank resulting from a district identifying a very few students, yet serving all of them. At the same time, it avoids a high Opportunity rank resulting from a district identifying many students as gifted, but providing few services.  </t>
  </si>
  <si>
    <t xml:space="preserve">You can learn more about the role of the Performance Index in Ohio's current accountability system by visiting the Ohio Department of Education's website using the following link: </t>
  </si>
  <si>
    <t xml:space="preserve">What is Value-Added? </t>
  </si>
  <si>
    <t xml:space="preserve">Value-Added is a growth measurement that assesses a district’s impact on student progress from year to year.  </t>
  </si>
  <si>
    <t>In 2013, Ohio produced Value-Added growth analyses for reading and math, in grades 4-8.</t>
  </si>
  <si>
    <t xml:space="preserve">More information about the technical aspects of Ohio's Value-Added measures is available here: </t>
  </si>
  <si>
    <t>Gifted ranking</t>
  </si>
  <si>
    <t>District name</t>
  </si>
  <si>
    <t>District name.</t>
  </si>
  <si>
    <t>District's Ohio Department of Education designated county, assigned based on the district's primary mailing address in the Ohio Educational Directory System (OEDS).</t>
  </si>
  <si>
    <t>Status as of Aug. 24, 2013</t>
  </si>
  <si>
    <t>District organizational status, as listed in the Ohio Educational Directory System (OEDS) as of Aug. 24, 2013.</t>
  </si>
  <si>
    <t>District type</t>
  </si>
  <si>
    <t>Indicates whether the data represents a public district or a community school. For community schools, indicates whether school is a start-up or conversion school.</t>
  </si>
  <si>
    <t>Total identified as gifted 2013</t>
  </si>
  <si>
    <t xml:space="preserve">Year-end Average Daily Membership (ADM) for district during 2012-2013 school year for students reported in any of the gifted categories: superior cognitive ability; specific academic ability; creative thinking ability; and visual or performing arts ability. There are four fields included in specific academic ability: mathematics; science; social studies; and reading or writing, or a combination of these two skills. </t>
  </si>
  <si>
    <t>Total students receiving gifted services</t>
  </si>
  <si>
    <t xml:space="preserve">Year-end Average Daily Membership (ADM) for a district during the 2012-2013 school year for students reported as having received gifted services. </t>
  </si>
  <si>
    <t>Total enrollment 2013</t>
  </si>
  <si>
    <t xml:space="preserve">The sum of year-end Average Daily Membership (ADM) of students identified as gifted and those identified as not gifted for a district during 2012-2013 school year.  </t>
  </si>
  <si>
    <t>Average of gifted component ranks 2013</t>
  </si>
  <si>
    <t>Gifted Opportunity rank 2013</t>
  </si>
  <si>
    <t xml:space="preserve">The Gifted Opportunity rank used a weighted average of the percent of all district students identified as gifted: the percent of students identified as gifted who receive gifted services; and the percent of all district students who receive gifted services. The rank shows the relationship among identification rates, gifted services and the total number of students enrolled in the district. </t>
  </si>
  <si>
    <t>Based on results from all tested subjects, grades 3-8 and 10. Performance Index scores are only calculated in cases where there are at least 10 students contributing test data to a Performance Index score. The gifted Performance Index used for  ranking  is based on results of reading tests for students identified as gifted in reading or having superior cognitive abilities, results of math tests for students identified as gifted in math or having superior cognitive abilities, results of science tests for students identified as gifted in science or having superior cognitive abilities, and results of social studies tests for students identified as gifted in social studies or having superior cognitive abilities.</t>
  </si>
  <si>
    <t>Performance Index rank 2013</t>
  </si>
  <si>
    <t xml:space="preserve">Rank of gifted Performance Index. </t>
  </si>
  <si>
    <t>Value-Added gifted gain index 2013</t>
  </si>
  <si>
    <t>The Value-Added gain index is a standardized measure of a district's Value-Added gain score and is calculated by dividing the district's Value-Added gain score by the district's Value-Added standard error.  Beginning in 2013, Ohio uses an up-to-3-year-average composite gain index for use in assigning Value-  Added letter grades. The Value-Added gifted gain index rank  used the Value-Added index for  the subgroup of students identified as gifted.  The Value-Added calculations for the gifted subgroup are based on math and reading test results for students identified as gifted in reading, math, or superior cognitive abilities.</t>
  </si>
  <si>
    <t>Value-Added gain index Rank 2013</t>
  </si>
  <si>
    <t>Rank of Value-Added gifted gain index 2013.</t>
  </si>
  <si>
    <t>Value-Added gifted classification 2013</t>
  </si>
  <si>
    <t xml:space="preserve">Letter grade assigned to district's 2013 Value-Added gifted subgroup in Ohio's 2013 Accountability system. </t>
  </si>
  <si>
    <t>It should be noted that all organizations containing data were included when calculating each of the component ranks. Thus, although the report displays ranks for 548 districts, the Opportunity rank was based on the 628 districts reporting 10 or more students identified as gifted; the Performance Index rank was based on the 598 districts with a Performance Index calculated for the gifted subgroup, and the Value-Added ranking is based on the Value-Added subgroup data from 557 districts.</t>
  </si>
  <si>
    <t xml:space="preserve">This is the average of Gifted Opportunity rank, the gifted Performance Index rank, and the gifted Value-Added gain index rank. </t>
  </si>
  <si>
    <t xml:space="preserve">The Performance Index is a calculation that measures student performance on the Ohio Achievement Assessments/Ohio Graduation Tests in grades 3, 4, 5, 6, 7, 8 and 10 (OGT). </t>
  </si>
  <si>
    <t>Comments</t>
  </si>
  <si>
    <t>Community School Startup</t>
  </si>
  <si>
    <t>Not rated due to small number of students identified as gifted in tested grades and subjects</t>
  </si>
  <si>
    <t>Vanlue Local</t>
  </si>
  <si>
    <t>047472</t>
  </si>
  <si>
    <t>Jefferson Township Local</t>
  </si>
  <si>
    <t>048686</t>
  </si>
  <si>
    <t>Conotton Valley Union Local</t>
  </si>
  <si>
    <t>047548</t>
  </si>
  <si>
    <t>Bettsville Local</t>
  </si>
  <si>
    <t>049692</t>
  </si>
  <si>
    <t>Not rated due to small number of students identified as gifted</t>
  </si>
  <si>
    <t>Cardinal Local</t>
  </si>
  <si>
    <t>047175</t>
  </si>
  <si>
    <t>Newbury Local</t>
  </si>
  <si>
    <t>047217</t>
  </si>
  <si>
    <t>045781</t>
  </si>
  <si>
    <t>Dawson-Bryant Local</t>
  </si>
  <si>
    <t>047928</t>
  </si>
  <si>
    <t>Berkshire Local</t>
  </si>
  <si>
    <t>047167</t>
  </si>
  <si>
    <t>Upper Sandusky Exempted Village</t>
  </si>
  <si>
    <t>045625</t>
  </si>
  <si>
    <t>Bath Local</t>
  </si>
  <si>
    <t>045765</t>
  </si>
  <si>
    <t>Stryker Local</t>
  </si>
  <si>
    <t>050658</t>
  </si>
  <si>
    <t>Wellsville Local</t>
  </si>
  <si>
    <t>045039</t>
  </si>
  <si>
    <t>Fairport Harbor Exempted Village</t>
  </si>
  <si>
    <t>045369</t>
  </si>
  <si>
    <t>Berne Union Local</t>
  </si>
  <si>
    <t>046854</t>
  </si>
  <si>
    <t>Old Fort Local</t>
  </si>
  <si>
    <t>049726</t>
  </si>
  <si>
    <t>Jackson Center Local</t>
  </si>
  <si>
    <t>049809</t>
  </si>
  <si>
    <t>Waterloo Local</t>
  </si>
  <si>
    <t>049247</t>
  </si>
  <si>
    <t>McComb Local</t>
  </si>
  <si>
    <t>047456</t>
  </si>
  <si>
    <t>Waynesfield-Goshen Local</t>
  </si>
  <si>
    <t>045971</t>
  </si>
  <si>
    <t>North Central Local</t>
  </si>
  <si>
    <t>050641</t>
  </si>
  <si>
    <t>Bloomfield-Mespo Local</t>
  </si>
  <si>
    <t>050096</t>
  </si>
  <si>
    <t>Ripley-Union-Lewis-Huntington Local</t>
  </si>
  <si>
    <t>046078</t>
  </si>
  <si>
    <t>Ayersville Local</t>
  </si>
  <si>
    <t>046706</t>
  </si>
  <si>
    <t>Ansonia Local</t>
  </si>
  <si>
    <t>046623</t>
  </si>
  <si>
    <t>North Baltimore Local</t>
  </si>
  <si>
    <t>050708</t>
  </si>
  <si>
    <t>Spencerville Local</t>
  </si>
  <si>
    <t>045807</t>
  </si>
  <si>
    <t>Carey Exempted Village</t>
  </si>
  <si>
    <t>045260</t>
  </si>
  <si>
    <t>048397</t>
  </si>
  <si>
    <t>St Bernard-Elmwood Place City</t>
  </si>
  <si>
    <t>044719</t>
  </si>
  <si>
    <t>Bright Local</t>
  </si>
  <si>
    <t>047613</t>
  </si>
  <si>
    <t>Strasburg-Franklin Local</t>
  </si>
  <si>
    <t>050294</t>
  </si>
  <si>
    <t>Loudonville-Perrysville Exempted Village</t>
  </si>
  <si>
    <t>045468</t>
  </si>
  <si>
    <t>Windham Exempted Village</t>
  </si>
  <si>
    <t>045666</t>
  </si>
  <si>
    <t>Fairlawn Local</t>
  </si>
  <si>
    <t>049775</t>
  </si>
  <si>
    <t>Dalton Local</t>
  </si>
  <si>
    <t>050542</t>
  </si>
  <si>
    <t>Richmond Heights Local</t>
  </si>
  <si>
    <t>046599</t>
  </si>
  <si>
    <t>Bradford Exempted Village</t>
  </si>
  <si>
    <t>045229</t>
  </si>
  <si>
    <t>Hardin Northern Local</t>
  </si>
  <si>
    <t>047498</t>
  </si>
  <si>
    <t>Put-In-Bay Local</t>
  </si>
  <si>
    <t>048975</t>
  </si>
  <si>
    <t>Ridgemont Local</t>
  </si>
  <si>
    <t>047506</t>
  </si>
  <si>
    <t>South Central Local</t>
  </si>
  <si>
    <t>047738</t>
  </si>
  <si>
    <t>Mississinawa Valley Local</t>
  </si>
  <si>
    <t>046672</t>
  </si>
  <si>
    <t>Fayette Local</t>
  </si>
  <si>
    <t>047068</t>
  </si>
  <si>
    <t>048538</t>
  </si>
  <si>
    <t>Upper Scioto Valley Local</t>
  </si>
  <si>
    <t>047522</t>
  </si>
  <si>
    <t>New Boston Local</t>
  </si>
  <si>
    <t>044461</t>
  </si>
  <si>
    <t>Lockland Local</t>
  </si>
  <si>
    <t>044230</t>
  </si>
  <si>
    <t>New Miami Local</t>
  </si>
  <si>
    <t>046136</t>
  </si>
  <si>
    <t>Western Local</t>
  </si>
  <si>
    <t>049155</t>
  </si>
  <si>
    <t>Alternative Education Academy</t>
  </si>
  <si>
    <t>143396</t>
  </si>
  <si>
    <t>Warrensville Heights City</t>
  </si>
  <si>
    <t>045005</t>
  </si>
  <si>
    <t>Crestline Exempted Village</t>
  </si>
  <si>
    <t>045344</t>
  </si>
  <si>
    <t>Millcreek-West Unity Local</t>
  </si>
  <si>
    <t>050633</t>
  </si>
  <si>
    <t xml:space="preserve">The Gifted Opportunity rank uses a score based on the percent of all district students identified as gifted:  the percent of students identified as gifted who receive gifted services; and the percent of all district students who receive gifted services. The score takes into consideration the relative size of each of the components at the district level. The formula for the score is (the number of students identified + the number of students served +the number of students identifeid)/(the total enrollment +the number of students identified + the total enrollment). </t>
  </si>
  <si>
    <t xml:space="preserve">The Gifted Opportunity rank uses a score based on the percent of all district students identified as gifted: the percent of students identified as gifted who receive gifted services; and the percent of all district students who receive gifted services. The rank shows the relationship among identification rates, gifted services and the total number of students enrolled in the district. </t>
  </si>
  <si>
    <t>Total Identified as Gifted  January update</t>
  </si>
  <si>
    <t xml:space="preserve"> Total Enrollment 2013 January Update</t>
  </si>
  <si>
    <t>Total Students Receiving Gifted Services January Update</t>
  </si>
  <si>
    <t>January Gifted Ranking</t>
  </si>
  <si>
    <t>January Gifted Ranking Average</t>
  </si>
  <si>
    <t>District Org Status as of January 31, 2014</t>
  </si>
  <si>
    <t>Opportunity Rank 2013  January update</t>
  </si>
  <si>
    <t xml:space="preserve"> Gifted Performance Index 2013 JANUARY UPDATE</t>
  </si>
  <si>
    <t>Gifted Performance Index Rank 2013 JANUARY UPDATE</t>
  </si>
  <si>
    <t xml:space="preserve">"January update" refers to revisions based on district 2012-2013 data submitted as of January 15, 2014. </t>
  </si>
  <si>
    <t>This file includes the 2013 gifted rankings as of January 15, 2014.  "January update" refers to revisions based on district 2012-2013 data submitted as of January 15,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</si>
</sst>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0.0"/>
  </numFmts>
  <fonts count="15" x14ac:knownFonts="1">
    <font>
      <sz val="11"/>
      <color theme="1"/>
      <name val="Calibri"/>
      <family val="2"/>
      <scheme val="minor"/>
    </font>
    <font>
      <sz val="11"/>
      <color theme="1"/>
      <name val="Arial"/>
      <family val="2"/>
    </font>
    <font>
      <u/>
      <sz val="11"/>
      <color theme="10"/>
      <name val="Calibri"/>
      <family val="2"/>
      <scheme val="minor"/>
    </font>
    <font>
      <sz val="11"/>
      <color theme="1"/>
      <name val="Calibri"/>
      <family val="2"/>
      <scheme val="minor"/>
    </font>
    <font>
      <sz val="8"/>
      <color theme="1"/>
      <name val="Arial"/>
      <family val="2"/>
    </font>
    <font>
      <sz val="10"/>
      <color theme="1"/>
      <name val="Calibri"/>
      <family val="2"/>
      <scheme val="minor"/>
    </font>
    <font>
      <b/>
      <sz val="8"/>
      <color theme="1"/>
      <name val="Arial"/>
      <family val="2"/>
    </font>
    <font>
      <u/>
      <sz val="10"/>
      <color indexed="12"/>
      <name val="MS Sans Serif"/>
      <family val="2"/>
    </font>
    <font>
      <u/>
      <sz val="11"/>
      <color theme="10"/>
      <name val="Arial"/>
      <family val="2"/>
    </font>
    <font>
      <b/>
      <sz val="8"/>
      <color rgb="FF000000"/>
      <name val="Arial"/>
      <family val="2"/>
    </font>
    <font>
      <sz val="8"/>
      <color rgb="FF000000"/>
      <name val="Arial"/>
      <family val="2"/>
    </font>
    <font>
      <u/>
      <sz val="8"/>
      <color rgb="FF0000FF"/>
      <name val="Arial"/>
      <family val="2"/>
    </font>
    <font>
      <sz val="11"/>
      <color rgb="FF000000"/>
      <name val="Calibri"/>
      <family val="2"/>
      <scheme val="minor"/>
    </font>
    <font>
      <u/>
      <sz val="9"/>
      <color rgb="FF0000FF"/>
      <name val="Arial"/>
      <family val="2"/>
    </font>
    <font>
      <u/>
      <sz val="11"/>
      <color rgb="FF0000FF"/>
      <name val="Arial"/>
      <family val="2"/>
    </font>
  </fonts>
  <fills count="5">
    <fill>
      <patternFill patternType="none"/>
    </fill>
    <fill>
      <patternFill patternType="gray125"/>
    </fill>
    <fill>
      <patternFill patternType="none">
        <fgColor rgb="FF000000"/>
        <bgColor rgb="FFFFFFFF"/>
      </patternFill>
    </fill>
    <fill>
      <patternFill patternType="solid">
        <fgColor theme="0"/>
        <bgColor indexed="64"/>
      </patternFill>
    </fill>
    <fill>
      <patternFill patternType="solid">
        <fgColor theme="6"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s>
  <cellStyleXfs count="8">
    <xf numFmtId="0" fontId="0" fillId="0" borderId="0"/>
    <xf numFmtId="0" fontId="3" fillId="2" borderId="0"/>
    <xf numFmtId="0" fontId="3" fillId="2" borderId="0"/>
    <xf numFmtId="0" fontId="2" fillId="2" borderId="0" applyNumberFormat="0" applyFill="0" applyBorder="0" applyAlignment="0" applyProtection="0"/>
    <xf numFmtId="0" fontId="1" fillId="2" borderId="0"/>
    <xf numFmtId="0" fontId="7" fillId="2" borderId="0" applyNumberFormat="0" applyFill="0" applyBorder="0" applyAlignment="0" applyProtection="0"/>
    <xf numFmtId="0" fontId="8" fillId="2" borderId="0" applyNumberFormat="0" applyFill="0" applyBorder="0" applyAlignment="0" applyProtection="0">
      <alignment vertical="top"/>
      <protection locked="0"/>
    </xf>
    <xf numFmtId="0" fontId="2" fillId="0" borderId="0" applyNumberFormat="0" applyFill="0" applyBorder="0" applyAlignment="0" applyProtection="0"/>
  </cellStyleXfs>
  <cellXfs count="68">
    <xf numFmtId="0" fontId="0" fillId="0" borderId="0" xfId="0"/>
    <xf numFmtId="0" fontId="5" fillId="0" borderId="0" xfId="0" applyFont="1" applyAlignment="1">
      <alignment horizontal="left"/>
    </xf>
    <xf numFmtId="0" fontId="3" fillId="2" borderId="0" xfId="2"/>
    <xf numFmtId="0" fontId="4" fillId="2" borderId="0" xfId="4" applyFont="1" applyAlignment="1">
      <alignment horizontal="left" wrapText="1"/>
    </xf>
    <xf numFmtId="0" fontId="4" fillId="2" borderId="0" xfId="4" applyFont="1" applyAlignment="1">
      <alignment horizontal="left" vertical="top" wrapText="1"/>
    </xf>
    <xf numFmtId="0" fontId="4" fillId="2" borderId="0" xfId="4" applyFont="1"/>
    <xf numFmtId="0" fontId="4" fillId="2" borderId="0" xfId="4" applyFont="1" applyAlignment="1">
      <alignment wrapText="1"/>
    </xf>
    <xf numFmtId="0" fontId="4" fillId="2" borderId="0" xfId="4" applyFont="1" applyAlignment="1">
      <alignment horizontal="left" vertical="top" wrapText="1"/>
    </xf>
    <xf numFmtId="0" fontId="4" fillId="2" borderId="0" xfId="4" applyFont="1" applyAlignment="1">
      <alignment horizontal="left" wrapText="1"/>
    </xf>
    <xf numFmtId="0" fontId="0" fillId="0" borderId="0" xfId="0" applyAlignment="1">
      <alignment horizontal="left" vertical="center"/>
    </xf>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vertical="center" wrapText="1"/>
    </xf>
    <xf numFmtId="0" fontId="4" fillId="0" borderId="0" xfId="0" applyFont="1" applyAlignment="1">
      <alignment vertical="center"/>
    </xf>
    <xf numFmtId="0" fontId="12" fillId="0" borderId="0" xfId="0" applyFont="1" applyAlignment="1">
      <alignment vertical="center"/>
    </xf>
    <xf numFmtId="0" fontId="11" fillId="0" borderId="0" xfId="0" applyFont="1" applyAlignment="1">
      <alignment vertical="center"/>
    </xf>
    <xf numFmtId="0" fontId="14" fillId="0" borderId="0" xfId="0" applyFont="1" applyAlignment="1">
      <alignment vertical="center"/>
    </xf>
    <xf numFmtId="0" fontId="12" fillId="0" borderId="0" xfId="0" applyFont="1" applyAlignment="1">
      <alignment vertical="center" wrapText="1"/>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10" fillId="0" borderId="5" xfId="0" applyFont="1" applyBorder="1" applyAlignment="1">
      <alignment vertical="center" wrapText="1"/>
    </xf>
    <xf numFmtId="0" fontId="10" fillId="0" borderId="4" xfId="0" applyFont="1" applyBorder="1" applyAlignment="1">
      <alignment horizontal="center" vertical="center" wrapText="1"/>
    </xf>
    <xf numFmtId="0" fontId="9" fillId="0" borderId="3" xfId="0" applyFont="1" applyBorder="1" applyAlignment="1">
      <alignment horizontal="center" vertical="center" wrapText="1"/>
    </xf>
    <xf numFmtId="0" fontId="4" fillId="0" borderId="0" xfId="0" applyFont="1" applyAlignment="1">
      <alignment vertical="center"/>
    </xf>
    <xf numFmtId="0" fontId="10" fillId="0" borderId="0" xfId="0" applyFont="1" applyAlignment="1">
      <alignment vertical="center"/>
    </xf>
    <xf numFmtId="0" fontId="9" fillId="0" borderId="0" xfId="0" applyFont="1" applyAlignment="1">
      <alignment vertical="center"/>
    </xf>
    <xf numFmtId="0" fontId="4" fillId="2" borderId="0" xfId="4" applyFont="1" applyAlignment="1">
      <alignment horizontal="left" vertical="top" wrapText="1"/>
    </xf>
    <xf numFmtId="0" fontId="10" fillId="0" borderId="0" xfId="0" applyFont="1" applyAlignment="1">
      <alignment vertical="center" wrapText="1"/>
    </xf>
    <xf numFmtId="0" fontId="11" fillId="0" borderId="0" xfId="0" applyFont="1" applyAlignment="1">
      <alignment vertical="center"/>
    </xf>
    <xf numFmtId="0" fontId="4" fillId="3" borderId="0" xfId="0" applyFont="1" applyFill="1" applyAlignment="1">
      <alignment vertical="top" wrapText="1"/>
    </xf>
    <xf numFmtId="1" fontId="10" fillId="3" borderId="1" xfId="0" applyNumberFormat="1" applyFont="1" applyFill="1" applyBorder="1" applyAlignment="1" applyProtection="1">
      <alignment horizontal="center" vertical="center" wrapText="1"/>
    </xf>
    <xf numFmtId="0" fontId="10" fillId="3" borderId="1" xfId="0" applyFont="1" applyFill="1" applyBorder="1" applyAlignment="1" applyProtection="1">
      <alignment vertical="center" wrapText="1"/>
    </xf>
    <xf numFmtId="2" fontId="10" fillId="3" borderId="1" xfId="0" applyNumberFormat="1" applyFont="1" applyFill="1" applyBorder="1" applyAlignment="1" applyProtection="1">
      <alignment horizontal="right" vertical="center" wrapText="1"/>
    </xf>
    <xf numFmtId="1" fontId="10" fillId="3" borderId="1" xfId="0" applyNumberFormat="1" applyFont="1" applyFill="1" applyBorder="1" applyAlignment="1" applyProtection="1">
      <alignment horizontal="right" vertical="center" wrapText="1"/>
    </xf>
    <xf numFmtId="0" fontId="10" fillId="3" borderId="1" xfId="0" applyFont="1" applyFill="1" applyBorder="1" applyAlignment="1" applyProtection="1">
      <alignment horizontal="right" vertical="center" wrapText="1"/>
    </xf>
    <xf numFmtId="165" fontId="10" fillId="3" borderId="1" xfId="0" applyNumberFormat="1" applyFont="1" applyFill="1" applyBorder="1" applyAlignment="1" applyProtection="1">
      <alignment horizontal="right" vertical="center" wrapText="1"/>
    </xf>
    <xf numFmtId="0" fontId="4" fillId="3" borderId="1" xfId="0" applyFont="1" applyFill="1" applyBorder="1"/>
    <xf numFmtId="0" fontId="4" fillId="3" borderId="0" xfId="0" applyFont="1" applyFill="1"/>
    <xf numFmtId="0" fontId="4" fillId="3" borderId="1" xfId="0" applyFont="1" applyFill="1" applyBorder="1" applyAlignment="1">
      <alignment vertical="center"/>
    </xf>
    <xf numFmtId="0" fontId="10" fillId="3" borderId="6" xfId="0" applyFont="1" applyFill="1" applyBorder="1" applyAlignment="1" applyProtection="1">
      <alignment vertical="center" wrapText="1"/>
    </xf>
    <xf numFmtId="0" fontId="10" fillId="3" borderId="6" xfId="0" applyFont="1" applyFill="1" applyBorder="1" applyAlignment="1" applyProtection="1">
      <alignment horizontal="right" vertical="center" wrapText="1"/>
    </xf>
    <xf numFmtId="165" fontId="10" fillId="3" borderId="6" xfId="0" applyNumberFormat="1" applyFont="1" applyFill="1" applyBorder="1" applyAlignment="1" applyProtection="1">
      <alignment horizontal="right" vertical="center" wrapText="1"/>
    </xf>
    <xf numFmtId="0" fontId="4" fillId="3" borderId="6" xfId="0" applyFont="1" applyFill="1" applyBorder="1"/>
    <xf numFmtId="1" fontId="4" fillId="3" borderId="0" xfId="0" applyNumberFormat="1" applyFont="1" applyFill="1" applyAlignment="1">
      <alignment horizontal="center"/>
    </xf>
    <xf numFmtId="2" fontId="4" fillId="3" borderId="0" xfId="0" applyNumberFormat="1" applyFont="1" applyFill="1"/>
    <xf numFmtId="1" fontId="4" fillId="3" borderId="0" xfId="0" applyNumberFormat="1" applyFont="1" applyFill="1"/>
    <xf numFmtId="2" fontId="10" fillId="3" borderId="1" xfId="0" applyNumberFormat="1" applyFont="1" applyFill="1" applyBorder="1" applyAlignment="1" applyProtection="1">
      <alignment horizontal="center" vertical="center" wrapText="1"/>
    </xf>
    <xf numFmtId="2" fontId="4" fillId="3" borderId="0" xfId="0" applyNumberFormat="1" applyFont="1" applyFill="1" applyAlignment="1">
      <alignment horizontal="center"/>
    </xf>
    <xf numFmtId="2" fontId="9"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6" fillId="4" borderId="1" xfId="0" quotePrefix="1"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quotePrefix="1" applyNumberFormat="1" applyFont="1" applyFill="1" applyBorder="1" applyAlignment="1">
      <alignment horizontal="center" vertical="center"/>
    </xf>
    <xf numFmtId="0" fontId="13" fillId="0" borderId="0" xfId="0" applyFont="1" applyAlignment="1">
      <alignment vertical="center"/>
    </xf>
    <xf numFmtId="0" fontId="4" fillId="2" borderId="0" xfId="4" applyFont="1" applyAlignment="1">
      <alignment horizontal="left" vertical="top" wrapText="1"/>
    </xf>
    <xf numFmtId="0" fontId="3" fillId="2" borderId="0" xfId="2" applyAlignment="1">
      <alignment horizontal="left" vertical="top" wrapText="1"/>
    </xf>
    <xf numFmtId="0" fontId="10" fillId="0" borderId="0" xfId="0" applyFont="1" applyAlignment="1">
      <alignment vertical="center" wrapText="1"/>
    </xf>
    <xf numFmtId="0" fontId="2" fillId="0" borderId="0" xfId="7" applyAlignment="1">
      <alignment vertical="center" wrapText="1"/>
    </xf>
    <xf numFmtId="0" fontId="4" fillId="0" borderId="0" xfId="0" applyFont="1" applyAlignment="1">
      <alignment vertical="center"/>
    </xf>
    <xf numFmtId="0" fontId="10" fillId="0" borderId="0" xfId="0" applyFont="1" applyAlignment="1">
      <alignment vertical="center"/>
    </xf>
    <xf numFmtId="0" fontId="9" fillId="0" borderId="0" xfId="0" applyFont="1" applyAlignment="1">
      <alignment vertical="center"/>
    </xf>
    <xf numFmtId="0" fontId="6" fillId="0" borderId="0" xfId="0" applyFont="1" applyAlignment="1">
      <alignment vertical="center"/>
    </xf>
    <xf numFmtId="0" fontId="9" fillId="0" borderId="0" xfId="0" applyFont="1" applyAlignment="1">
      <alignment vertical="center" wrapText="1"/>
    </xf>
    <xf numFmtId="0" fontId="11" fillId="0" borderId="0" xfId="0" applyFont="1" applyAlignment="1">
      <alignment vertical="center"/>
    </xf>
    <xf numFmtId="0" fontId="2" fillId="2" borderId="0" xfId="3" applyAlignment="1">
      <alignment vertical="center" wrapText="1"/>
    </xf>
    <xf numFmtId="1" fontId="9" fillId="4" borderId="1" xfId="0" applyNumberFormat="1" applyFont="1" applyFill="1" applyBorder="1" applyAlignment="1">
      <alignment horizontal="center" vertical="center" wrapText="1"/>
    </xf>
    <xf numFmtId="1" fontId="10" fillId="3" borderId="1" xfId="0" applyNumberFormat="1" applyFont="1" applyFill="1" applyBorder="1" applyAlignment="1" applyProtection="1">
      <alignment vertical="center" wrapText="1"/>
    </xf>
    <xf numFmtId="1" fontId="10" fillId="3" borderId="6" xfId="0" applyNumberFormat="1" applyFont="1" applyFill="1" applyBorder="1" applyAlignment="1" applyProtection="1">
      <alignment vertical="center" wrapText="1"/>
    </xf>
  </cellXfs>
  <cellStyles count="8">
    <cellStyle name="Hyperlink" xfId="7" builtinId="8"/>
    <cellStyle name="Hyperlink 2" xfId="6"/>
    <cellStyle name="Hyperlink 3" xfId="5"/>
    <cellStyle name="Hyperlink 4" xfId="3"/>
    <cellStyle name="Normal" xfId="0" builtinId="0"/>
    <cellStyle name="Normal 2" xfId="1"/>
    <cellStyle name="Normal 2 2" xfId="4"/>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codes.ohio.gov/orc/3302.2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codes.ohio.gov/orc/330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3"/>
  <sheetViews>
    <sheetView tabSelected="1" workbookViewId="0">
      <pane xSplit="3" ySplit="1" topLeftCell="J2" activePane="bottomRight" state="frozen"/>
      <selection pane="topRight" activeCell="E1" sqref="E1"/>
      <selection pane="bottomLeft" activeCell="A2" sqref="A2"/>
      <selection pane="bottomRight" activeCell="L39" sqref="L39"/>
    </sheetView>
  </sheetViews>
  <sheetFormatPr defaultColWidth="9.140625" defaultRowHeight="11.25" x14ac:dyDescent="0.2"/>
  <cols>
    <col min="1" max="1" width="11.85546875" style="43" customWidth="1"/>
    <col min="2" max="2" width="11.85546875" style="47" customWidth="1"/>
    <col min="3" max="3" width="23.7109375" style="37" customWidth="1"/>
    <col min="4" max="4" width="10" style="45" customWidth="1"/>
    <col min="5" max="5" width="8.5703125" style="45" customWidth="1"/>
    <col min="6" max="6" width="12.7109375" style="45" customWidth="1"/>
    <col min="7" max="7" width="10.42578125" style="45" customWidth="1"/>
    <col min="8" max="8" width="15.85546875" style="44" customWidth="1"/>
    <col min="9" max="11" width="15.85546875" style="37" customWidth="1"/>
    <col min="12" max="12" width="12.7109375" style="37" customWidth="1"/>
    <col min="13" max="16" width="15.85546875" style="37" customWidth="1"/>
    <col min="17" max="17" width="83.28515625" style="37" bestFit="1" customWidth="1"/>
    <col min="18" max="16384" width="9.140625" style="37"/>
  </cols>
  <sheetData>
    <row r="1" spans="1:17" s="29" customFormat="1" ht="65.25" customHeight="1" x14ac:dyDescent="0.25">
      <c r="A1" s="49" t="s">
        <v>1366</v>
      </c>
      <c r="B1" s="48" t="s">
        <v>1367</v>
      </c>
      <c r="C1" s="49" t="s">
        <v>1167</v>
      </c>
      <c r="D1" s="65" t="s">
        <v>1363</v>
      </c>
      <c r="E1" s="65" t="s">
        <v>1365</v>
      </c>
      <c r="F1" s="65" t="s">
        <v>1364</v>
      </c>
      <c r="G1" s="49" t="s">
        <v>1369</v>
      </c>
      <c r="H1" s="48" t="s">
        <v>1370</v>
      </c>
      <c r="I1" s="49" t="s">
        <v>1371</v>
      </c>
      <c r="J1" s="49" t="s">
        <v>1186</v>
      </c>
      <c r="K1" s="49" t="s">
        <v>1185</v>
      </c>
      <c r="L1" s="49" t="s">
        <v>1187</v>
      </c>
      <c r="M1" s="50" t="s">
        <v>1207</v>
      </c>
      <c r="N1" s="51" t="s">
        <v>1206</v>
      </c>
      <c r="O1" s="52" t="s">
        <v>1208</v>
      </c>
      <c r="P1" s="50" t="s">
        <v>1368</v>
      </c>
      <c r="Q1" s="49" t="s">
        <v>1252</v>
      </c>
    </row>
    <row r="2" spans="1:17" x14ac:dyDescent="0.2">
      <c r="A2" s="30">
        <f>RANK(B2,$B$2:$B$551,1)</f>
        <v>1</v>
      </c>
      <c r="B2" s="46">
        <f>AVERAGE(G2,I2,J2)</f>
        <v>15.666666666666666</v>
      </c>
      <c r="C2" s="31" t="s">
        <v>54</v>
      </c>
      <c r="D2" s="66">
        <v>933.72294444444503</v>
      </c>
      <c r="E2" s="66">
        <v>156.611111111111</v>
      </c>
      <c r="F2" s="66">
        <v>2460.5629874552001</v>
      </c>
      <c r="G2" s="33">
        <v>24</v>
      </c>
      <c r="H2" s="32">
        <v>117.91</v>
      </c>
      <c r="I2" s="34">
        <v>22</v>
      </c>
      <c r="J2" s="34">
        <v>1</v>
      </c>
      <c r="K2" s="35">
        <v>6.2862362971985402</v>
      </c>
      <c r="L2" s="34" t="s">
        <v>56</v>
      </c>
      <c r="M2" s="31" t="s">
        <v>53</v>
      </c>
      <c r="N2" s="31" t="s">
        <v>55</v>
      </c>
      <c r="O2" s="31" t="s">
        <v>4</v>
      </c>
      <c r="P2" s="31" t="s">
        <v>3</v>
      </c>
      <c r="Q2" s="36"/>
    </row>
    <row r="3" spans="1:17" x14ac:dyDescent="0.2">
      <c r="A3" s="30">
        <f>RANK(B3,$B$2:$B$551,1)</f>
        <v>2</v>
      </c>
      <c r="B3" s="46">
        <f>AVERAGE(G3,I3,J3)</f>
        <v>24.333333333333332</v>
      </c>
      <c r="C3" s="31" t="s">
        <v>59</v>
      </c>
      <c r="D3" s="66">
        <v>5458.4324634551504</v>
      </c>
      <c r="E3" s="66">
        <v>1354.1842857142899</v>
      </c>
      <c r="F3" s="66">
        <v>16180.9981129997</v>
      </c>
      <c r="G3" s="33">
        <v>21</v>
      </c>
      <c r="H3" s="32">
        <v>117.5</v>
      </c>
      <c r="I3" s="34">
        <v>43</v>
      </c>
      <c r="J3" s="34">
        <v>9</v>
      </c>
      <c r="K3" s="35">
        <v>4.3802250803858502</v>
      </c>
      <c r="L3" s="34" t="s">
        <v>56</v>
      </c>
      <c r="M3" s="31" t="s">
        <v>58</v>
      </c>
      <c r="N3" s="31" t="s">
        <v>60</v>
      </c>
      <c r="O3" s="31" t="s">
        <v>4</v>
      </c>
      <c r="P3" s="31" t="s">
        <v>3</v>
      </c>
      <c r="Q3" s="36"/>
    </row>
    <row r="4" spans="1:17" x14ac:dyDescent="0.2">
      <c r="A4" s="30">
        <f>RANK(B4,$B$2:$B$551,1)</f>
        <v>3</v>
      </c>
      <c r="B4" s="46">
        <f>AVERAGE(G4,I4,J4)</f>
        <v>29</v>
      </c>
      <c r="C4" s="31" t="s">
        <v>770</v>
      </c>
      <c r="D4" s="66">
        <v>3671.6790530277599</v>
      </c>
      <c r="E4" s="66">
        <v>767.31909484652601</v>
      </c>
      <c r="F4" s="66">
        <v>10428.285108452699</v>
      </c>
      <c r="G4" s="33">
        <v>25</v>
      </c>
      <c r="H4" s="32">
        <v>117.46</v>
      </c>
      <c r="I4" s="34">
        <v>49</v>
      </c>
      <c r="J4" s="34">
        <v>13</v>
      </c>
      <c r="K4" s="35">
        <v>3.5861950549450499</v>
      </c>
      <c r="L4" s="34" t="s">
        <v>56</v>
      </c>
      <c r="M4" s="31" t="s">
        <v>769</v>
      </c>
      <c r="N4" s="31" t="s">
        <v>47</v>
      </c>
      <c r="O4" s="31" t="s">
        <v>4</v>
      </c>
      <c r="P4" s="31" t="s">
        <v>3</v>
      </c>
      <c r="Q4" s="36"/>
    </row>
    <row r="5" spans="1:17" x14ac:dyDescent="0.2">
      <c r="A5" s="30">
        <f>RANK(B5,$B$2:$B$551,1)</f>
        <v>4</v>
      </c>
      <c r="B5" s="46">
        <f>AVERAGE(G5,I5,J5)</f>
        <v>37</v>
      </c>
      <c r="C5" s="31" t="s">
        <v>219</v>
      </c>
      <c r="D5" s="66">
        <v>4406.4005426204603</v>
      </c>
      <c r="E5" s="66">
        <v>1131.4633620689699</v>
      </c>
      <c r="F5" s="66">
        <v>14055.5878504174</v>
      </c>
      <c r="G5" s="33">
        <v>31</v>
      </c>
      <c r="H5" s="32">
        <v>118.86</v>
      </c>
      <c r="I5" s="34">
        <v>7</v>
      </c>
      <c r="J5" s="34">
        <v>73</v>
      </c>
      <c r="K5" s="35">
        <v>1.73638869745003</v>
      </c>
      <c r="L5" s="34" t="s">
        <v>26</v>
      </c>
      <c r="M5" s="31" t="s">
        <v>218</v>
      </c>
      <c r="N5" s="31" t="s">
        <v>57</v>
      </c>
      <c r="O5" s="31" t="s">
        <v>4</v>
      </c>
      <c r="P5" s="31" t="s">
        <v>3</v>
      </c>
      <c r="Q5" s="36"/>
    </row>
    <row r="6" spans="1:17" x14ac:dyDescent="0.2">
      <c r="A6" s="30">
        <f>RANK(B6,$B$2:$B$551,1)</f>
        <v>5</v>
      </c>
      <c r="B6" s="46">
        <f>AVERAGE(G6,I6,J6)</f>
        <v>38.333333333333336</v>
      </c>
      <c r="C6" s="31" t="s">
        <v>616</v>
      </c>
      <c r="D6" s="66">
        <v>378.49720670391099</v>
      </c>
      <c r="E6" s="66">
        <v>157.49720670391099</v>
      </c>
      <c r="F6" s="66">
        <v>1481.0528221301099</v>
      </c>
      <c r="G6" s="33">
        <v>29</v>
      </c>
      <c r="H6" s="32">
        <v>117.83</v>
      </c>
      <c r="I6" s="34">
        <v>26</v>
      </c>
      <c r="J6" s="34">
        <v>60</v>
      </c>
      <c r="K6" s="35">
        <v>2.0165008493084202</v>
      </c>
      <c r="L6" s="34" t="s">
        <v>56</v>
      </c>
      <c r="M6" s="31" t="s">
        <v>615</v>
      </c>
      <c r="N6" s="31" t="s">
        <v>55</v>
      </c>
      <c r="O6" s="31" t="s">
        <v>4</v>
      </c>
      <c r="P6" s="31" t="s">
        <v>3</v>
      </c>
      <c r="Q6" s="36"/>
    </row>
    <row r="7" spans="1:17" x14ac:dyDescent="0.2">
      <c r="A7" s="30">
        <f>RANK(B7,$B$2:$B$551,1)</f>
        <v>6</v>
      </c>
      <c r="B7" s="46">
        <f>AVERAGE(G7,I7,J7)</f>
        <v>42</v>
      </c>
      <c r="C7" s="31" t="s">
        <v>336</v>
      </c>
      <c r="D7" s="66">
        <v>619.94897859408002</v>
      </c>
      <c r="E7" s="66">
        <v>166.60795454545499</v>
      </c>
      <c r="F7" s="66">
        <v>2818.8579649579601</v>
      </c>
      <c r="G7" s="33">
        <v>81</v>
      </c>
      <c r="H7" s="32">
        <v>117.75</v>
      </c>
      <c r="I7" s="34">
        <v>29</v>
      </c>
      <c r="J7" s="34">
        <v>16</v>
      </c>
      <c r="K7" s="35">
        <v>3.11188715420433</v>
      </c>
      <c r="L7" s="34" t="s">
        <v>56</v>
      </c>
      <c r="M7" s="31" t="s">
        <v>335</v>
      </c>
      <c r="N7" s="31" t="s">
        <v>71</v>
      </c>
      <c r="O7" s="31" t="s">
        <v>4</v>
      </c>
      <c r="P7" s="31" t="s">
        <v>3</v>
      </c>
      <c r="Q7" s="36"/>
    </row>
    <row r="8" spans="1:17" x14ac:dyDescent="0.2">
      <c r="A8" s="30">
        <f>RANK(B8,$B$2:$B$551,1)</f>
        <v>7</v>
      </c>
      <c r="B8" s="46">
        <f>AVERAGE(G8,I8,J8)</f>
        <v>43.333333333333336</v>
      </c>
      <c r="C8" s="31" t="s">
        <v>1007</v>
      </c>
      <c r="D8" s="66">
        <v>1509.63180541369</v>
      </c>
      <c r="E8" s="66">
        <v>543.03409090909099</v>
      </c>
      <c r="F8" s="66">
        <v>7244.45023821424</v>
      </c>
      <c r="G8" s="33">
        <v>70</v>
      </c>
      <c r="H8" s="32">
        <v>117.38</v>
      </c>
      <c r="I8" s="34">
        <v>57</v>
      </c>
      <c r="J8" s="34">
        <v>3</v>
      </c>
      <c r="K8" s="35">
        <v>6.0048129512141797</v>
      </c>
      <c r="L8" s="34" t="s">
        <v>56</v>
      </c>
      <c r="M8" s="31" t="s">
        <v>1006</v>
      </c>
      <c r="N8" s="31" t="s">
        <v>543</v>
      </c>
      <c r="O8" s="31" t="s">
        <v>4</v>
      </c>
      <c r="P8" s="31" t="s">
        <v>3</v>
      </c>
      <c r="Q8" s="36"/>
    </row>
    <row r="9" spans="1:17" x14ac:dyDescent="0.2">
      <c r="A9" s="30">
        <f>RANK(B9,$B$2:$B$551,1)</f>
        <v>8</v>
      </c>
      <c r="B9" s="46">
        <f>AVERAGE(G9,I9,J9)</f>
        <v>44</v>
      </c>
      <c r="C9" s="31" t="s">
        <v>423</v>
      </c>
      <c r="D9" s="66">
        <v>2071.7958176564998</v>
      </c>
      <c r="E9" s="66">
        <v>363.455056179775</v>
      </c>
      <c r="F9" s="66">
        <v>5149.0401680676496</v>
      </c>
      <c r="G9" s="33">
        <v>18</v>
      </c>
      <c r="H9" s="32">
        <v>117.26</v>
      </c>
      <c r="I9" s="34">
        <v>66</v>
      </c>
      <c r="J9" s="34">
        <v>48</v>
      </c>
      <c r="K9" s="35">
        <v>2.2491874322860199</v>
      </c>
      <c r="L9" s="34" t="s">
        <v>56</v>
      </c>
      <c r="M9" s="31" t="s">
        <v>422</v>
      </c>
      <c r="N9" s="31" t="s">
        <v>10</v>
      </c>
      <c r="O9" s="31" t="s">
        <v>4</v>
      </c>
      <c r="P9" s="31" t="s">
        <v>3</v>
      </c>
      <c r="Q9" s="36"/>
    </row>
    <row r="10" spans="1:17" x14ac:dyDescent="0.2">
      <c r="A10" s="30">
        <f>RANK(B10,$B$2:$B$551,1)</f>
        <v>9</v>
      </c>
      <c r="B10" s="46">
        <f>AVERAGE(G10,I10,J10)</f>
        <v>44.333333333333336</v>
      </c>
      <c r="C10" s="31" t="s">
        <v>507</v>
      </c>
      <c r="D10" s="66">
        <v>1878.2053273512799</v>
      </c>
      <c r="E10" s="66">
        <v>204.491525423729</v>
      </c>
      <c r="F10" s="66">
        <v>4490.1616589649402</v>
      </c>
      <c r="G10" s="33">
        <v>27</v>
      </c>
      <c r="H10" s="32">
        <v>116.98</v>
      </c>
      <c r="I10" s="34">
        <v>100</v>
      </c>
      <c r="J10" s="34">
        <v>6</v>
      </c>
      <c r="K10" s="35">
        <v>5.3647690655209503</v>
      </c>
      <c r="L10" s="34" t="s">
        <v>56</v>
      </c>
      <c r="M10" s="31" t="s">
        <v>506</v>
      </c>
      <c r="N10" s="31" t="s">
        <v>16</v>
      </c>
      <c r="O10" s="31" t="s">
        <v>4</v>
      </c>
      <c r="P10" s="31" t="s">
        <v>3</v>
      </c>
      <c r="Q10" s="36"/>
    </row>
    <row r="11" spans="1:17" x14ac:dyDescent="0.2">
      <c r="A11" s="30">
        <f>RANK(B11,$B$2:$B$551,1)</f>
        <v>10</v>
      </c>
      <c r="B11" s="46">
        <f>AVERAGE(G11,I11,J11)</f>
        <v>45.333333333333336</v>
      </c>
      <c r="C11" s="31" t="s">
        <v>720</v>
      </c>
      <c r="D11" s="66">
        <v>631.89780618837096</v>
      </c>
      <c r="E11" s="66">
        <v>244.26335260115599</v>
      </c>
      <c r="F11" s="66">
        <v>2597.9356796678799</v>
      </c>
      <c r="G11" s="33">
        <v>37</v>
      </c>
      <c r="H11" s="32">
        <v>117.46</v>
      </c>
      <c r="I11" s="34">
        <v>49</v>
      </c>
      <c r="J11" s="34">
        <v>50</v>
      </c>
      <c r="K11" s="35">
        <v>2.2166338433570698</v>
      </c>
      <c r="L11" s="34" t="s">
        <v>56</v>
      </c>
      <c r="M11" s="31" t="s">
        <v>719</v>
      </c>
      <c r="N11" s="31" t="s">
        <v>543</v>
      </c>
      <c r="O11" s="31" t="s">
        <v>4</v>
      </c>
      <c r="P11" s="31" t="s">
        <v>3</v>
      </c>
      <c r="Q11" s="36"/>
    </row>
    <row r="12" spans="1:17" x14ac:dyDescent="0.2">
      <c r="A12" s="30">
        <f>RANK(B12,$B$2:$B$551,1)</f>
        <v>11</v>
      </c>
      <c r="B12" s="46">
        <f>AVERAGE(G12,I12,J12)</f>
        <v>46.666666666666664</v>
      </c>
      <c r="C12" s="31" t="s">
        <v>687</v>
      </c>
      <c r="D12" s="66">
        <v>931.82458893434602</v>
      </c>
      <c r="E12" s="66">
        <v>165.36840054549</v>
      </c>
      <c r="F12" s="66">
        <v>2076.9527956360798</v>
      </c>
      <c r="G12" s="33">
        <v>10</v>
      </c>
      <c r="H12" s="32">
        <v>116.75</v>
      </c>
      <c r="I12" s="34">
        <v>125</v>
      </c>
      <c r="J12" s="34">
        <v>5</v>
      </c>
      <c r="K12" s="35">
        <v>5.50223015165031</v>
      </c>
      <c r="L12" s="34" t="s">
        <v>56</v>
      </c>
      <c r="M12" s="31" t="s">
        <v>686</v>
      </c>
      <c r="N12" s="31" t="s">
        <v>200</v>
      </c>
      <c r="O12" s="31" t="s">
        <v>4</v>
      </c>
      <c r="P12" s="31" t="s">
        <v>3</v>
      </c>
      <c r="Q12" s="36"/>
    </row>
    <row r="13" spans="1:17" x14ac:dyDescent="0.2">
      <c r="A13" s="30">
        <f>RANK(B13,$B$2:$B$551,1)</f>
        <v>12</v>
      </c>
      <c r="B13" s="46">
        <f>AVERAGE(G13,I13,J13)</f>
        <v>56.666666666666664</v>
      </c>
      <c r="C13" s="31" t="s">
        <v>614</v>
      </c>
      <c r="D13" s="66">
        <v>1005.85404494382</v>
      </c>
      <c r="E13" s="66">
        <v>166.74539325842699</v>
      </c>
      <c r="F13" s="66">
        <v>1951.59659840522</v>
      </c>
      <c r="G13" s="33">
        <v>9</v>
      </c>
      <c r="H13" s="32">
        <v>116.56</v>
      </c>
      <c r="I13" s="34">
        <v>157</v>
      </c>
      <c r="J13" s="34">
        <v>4</v>
      </c>
      <c r="K13" s="35">
        <v>5.6478976234003699</v>
      </c>
      <c r="L13" s="34" t="s">
        <v>56</v>
      </c>
      <c r="M13" s="31" t="s">
        <v>613</v>
      </c>
      <c r="N13" s="31" t="s">
        <v>10</v>
      </c>
      <c r="O13" s="31" t="s">
        <v>4</v>
      </c>
      <c r="P13" s="31" t="s">
        <v>3</v>
      </c>
      <c r="Q13" s="36"/>
    </row>
    <row r="14" spans="1:17" ht="22.5" x14ac:dyDescent="0.2">
      <c r="A14" s="30">
        <f>RANK(B14,$B$2:$B$551,1)</f>
        <v>12</v>
      </c>
      <c r="B14" s="46">
        <f>AVERAGE(G14,I14,J14)</f>
        <v>56.666666666666664</v>
      </c>
      <c r="C14" s="31" t="s">
        <v>453</v>
      </c>
      <c r="D14" s="66">
        <v>1298.4378882538399</v>
      </c>
      <c r="E14" s="66">
        <v>70.706214689265494</v>
      </c>
      <c r="F14" s="66">
        <v>4085.6981858918102</v>
      </c>
      <c r="G14" s="33">
        <v>82</v>
      </c>
      <c r="H14" s="32">
        <v>117.6</v>
      </c>
      <c r="I14" s="34">
        <v>37</v>
      </c>
      <c r="J14" s="34">
        <v>51</v>
      </c>
      <c r="K14" s="35">
        <v>2.1915940931465401</v>
      </c>
      <c r="L14" s="34" t="s">
        <v>56</v>
      </c>
      <c r="M14" s="31" t="s">
        <v>452</v>
      </c>
      <c r="N14" s="31" t="s">
        <v>55</v>
      </c>
      <c r="O14" s="31" t="s">
        <v>4</v>
      </c>
      <c r="P14" s="31" t="s">
        <v>3</v>
      </c>
      <c r="Q14" s="36"/>
    </row>
    <row r="15" spans="1:17" x14ac:dyDescent="0.2">
      <c r="A15" s="30">
        <f>RANK(B15,$B$2:$B$551,1)</f>
        <v>14</v>
      </c>
      <c r="B15" s="46">
        <f>AVERAGE(G15,I15,J15)</f>
        <v>63.333333333333336</v>
      </c>
      <c r="C15" s="31" t="s">
        <v>280</v>
      </c>
      <c r="D15" s="66">
        <v>989.55556179775294</v>
      </c>
      <c r="E15" s="66">
        <v>376.13483146067398</v>
      </c>
      <c r="F15" s="66">
        <v>4026.29829829648</v>
      </c>
      <c r="G15" s="33">
        <v>34</v>
      </c>
      <c r="H15" s="32">
        <v>116.96</v>
      </c>
      <c r="I15" s="34">
        <v>103</v>
      </c>
      <c r="J15" s="34">
        <v>53</v>
      </c>
      <c r="K15" s="35">
        <v>2.1396607722843699</v>
      </c>
      <c r="L15" s="34" t="s">
        <v>56</v>
      </c>
      <c r="M15" s="31" t="s">
        <v>279</v>
      </c>
      <c r="N15" s="31" t="s">
        <v>16</v>
      </c>
      <c r="O15" s="31" t="s">
        <v>4</v>
      </c>
      <c r="P15" s="31" t="s">
        <v>3</v>
      </c>
      <c r="Q15" s="36"/>
    </row>
    <row r="16" spans="1:17" x14ac:dyDescent="0.2">
      <c r="A16" s="30">
        <f>RANK(B16,$B$2:$B$551,1)</f>
        <v>15</v>
      </c>
      <c r="B16" s="46">
        <f>AVERAGE(G16,I16,J16)</f>
        <v>68</v>
      </c>
      <c r="C16" s="31" t="s">
        <v>1141</v>
      </c>
      <c r="D16" s="66">
        <v>1506.6545005136099</v>
      </c>
      <c r="E16" s="66">
        <v>180</v>
      </c>
      <c r="F16" s="66">
        <v>5285.9675406332299</v>
      </c>
      <c r="G16" s="33">
        <v>79</v>
      </c>
      <c r="H16" s="32">
        <v>117.31</v>
      </c>
      <c r="I16" s="34">
        <v>62</v>
      </c>
      <c r="J16" s="34">
        <v>63</v>
      </c>
      <c r="K16" s="35">
        <v>1.9207794958695199</v>
      </c>
      <c r="L16" s="34" t="s">
        <v>26</v>
      </c>
      <c r="M16" s="31" t="s">
        <v>1140</v>
      </c>
      <c r="N16" s="31" t="s">
        <v>55</v>
      </c>
      <c r="O16" s="31" t="s">
        <v>4</v>
      </c>
      <c r="P16" s="31" t="s">
        <v>3</v>
      </c>
      <c r="Q16" s="36"/>
    </row>
    <row r="17" spans="1:17" x14ac:dyDescent="0.2">
      <c r="A17" s="30">
        <f>RANK(B17,$B$2:$B$551,1)</f>
        <v>16</v>
      </c>
      <c r="B17" s="46">
        <f>AVERAGE(G17,I17,J17)</f>
        <v>68.333333333333329</v>
      </c>
      <c r="C17" s="31" t="s">
        <v>1157</v>
      </c>
      <c r="D17" s="66">
        <v>560.87074006856199</v>
      </c>
      <c r="E17" s="66">
        <v>514.87074006856199</v>
      </c>
      <c r="F17" s="66">
        <v>2936.5198936765401</v>
      </c>
      <c r="G17" s="33">
        <v>12</v>
      </c>
      <c r="H17" s="32">
        <v>117.19</v>
      </c>
      <c r="I17" s="34">
        <v>72</v>
      </c>
      <c r="J17" s="34">
        <v>121</v>
      </c>
      <c r="K17" s="35">
        <v>1.1753079346891999</v>
      </c>
      <c r="L17" s="34" t="s">
        <v>26</v>
      </c>
      <c r="M17" s="31" t="s">
        <v>1156</v>
      </c>
      <c r="N17" s="31" t="s">
        <v>273</v>
      </c>
      <c r="O17" s="31" t="s">
        <v>4</v>
      </c>
      <c r="P17" s="31" t="s">
        <v>3</v>
      </c>
      <c r="Q17" s="36"/>
    </row>
    <row r="18" spans="1:17" x14ac:dyDescent="0.2">
      <c r="A18" s="30">
        <f>RANK(B18,$B$2:$B$551,1)</f>
        <v>17</v>
      </c>
      <c r="B18" s="46">
        <f>AVERAGE(G18,I18,J18)</f>
        <v>71</v>
      </c>
      <c r="C18" s="31" t="s">
        <v>124</v>
      </c>
      <c r="D18" s="66">
        <v>329.66048027183803</v>
      </c>
      <c r="E18" s="66">
        <v>185.944317321108</v>
      </c>
      <c r="F18" s="66">
        <v>1606.28507804892</v>
      </c>
      <c r="G18" s="33">
        <v>33</v>
      </c>
      <c r="H18" s="32">
        <v>117.48</v>
      </c>
      <c r="I18" s="34">
        <v>46</v>
      </c>
      <c r="J18" s="34">
        <v>134</v>
      </c>
      <c r="K18" s="35">
        <v>1.07394002068252</v>
      </c>
      <c r="L18" s="34" t="s">
        <v>26</v>
      </c>
      <c r="M18" s="31" t="s">
        <v>123</v>
      </c>
      <c r="N18" s="31" t="s">
        <v>125</v>
      </c>
      <c r="O18" s="31" t="s">
        <v>4</v>
      </c>
      <c r="P18" s="31" t="s">
        <v>3</v>
      </c>
      <c r="Q18" s="36"/>
    </row>
    <row r="19" spans="1:17" x14ac:dyDescent="0.2">
      <c r="A19" s="30">
        <f>RANK(B19,$B$2:$B$551,1)</f>
        <v>17</v>
      </c>
      <c r="B19" s="46">
        <f>AVERAGE(G19,I19,J19)</f>
        <v>71</v>
      </c>
      <c r="C19" s="31" t="s">
        <v>25</v>
      </c>
      <c r="D19" s="66">
        <v>1951.4653702297701</v>
      </c>
      <c r="E19" s="66">
        <v>180</v>
      </c>
      <c r="F19" s="66">
        <v>7260.8576102741799</v>
      </c>
      <c r="G19" s="33">
        <v>101</v>
      </c>
      <c r="H19" s="32">
        <v>118.14</v>
      </c>
      <c r="I19" s="34">
        <v>14</v>
      </c>
      <c r="J19" s="34">
        <v>98</v>
      </c>
      <c r="K19" s="35">
        <v>1.44730839416058</v>
      </c>
      <c r="L19" s="34" t="s">
        <v>26</v>
      </c>
      <c r="M19" s="31" t="s">
        <v>24</v>
      </c>
      <c r="N19" s="31" t="s">
        <v>10</v>
      </c>
      <c r="O19" s="31" t="s">
        <v>4</v>
      </c>
      <c r="P19" s="31" t="s">
        <v>3</v>
      </c>
      <c r="Q19" s="36"/>
    </row>
    <row r="20" spans="1:17" x14ac:dyDescent="0.2">
      <c r="A20" s="30">
        <f>RANK(B20,$B$2:$B$551,1)</f>
        <v>19</v>
      </c>
      <c r="B20" s="46">
        <f>AVERAGE(G20,I20,J20)</f>
        <v>71.666666666666671</v>
      </c>
      <c r="C20" s="31" t="s">
        <v>286</v>
      </c>
      <c r="D20" s="66">
        <v>2447.1910439560402</v>
      </c>
      <c r="E20" s="66">
        <v>684.30219780219795</v>
      </c>
      <c r="F20" s="66">
        <v>7839.8918681318701</v>
      </c>
      <c r="G20" s="33">
        <v>28</v>
      </c>
      <c r="H20" s="32">
        <v>116.7</v>
      </c>
      <c r="I20" s="34">
        <v>133</v>
      </c>
      <c r="J20" s="34">
        <v>54</v>
      </c>
      <c r="K20" s="35">
        <v>2.11102382822728</v>
      </c>
      <c r="L20" s="34" t="s">
        <v>56</v>
      </c>
      <c r="M20" s="31" t="s">
        <v>285</v>
      </c>
      <c r="N20" s="31" t="s">
        <v>200</v>
      </c>
      <c r="O20" s="31" t="s">
        <v>4</v>
      </c>
      <c r="P20" s="31" t="s">
        <v>3</v>
      </c>
      <c r="Q20" s="36"/>
    </row>
    <row r="21" spans="1:17" x14ac:dyDescent="0.2">
      <c r="A21" s="30">
        <f>RANK(B21,$B$2:$B$551,1)</f>
        <v>19</v>
      </c>
      <c r="B21" s="46">
        <f>AVERAGE(G21,I21,J21)</f>
        <v>71.666666666666671</v>
      </c>
      <c r="C21" s="31" t="s">
        <v>710</v>
      </c>
      <c r="D21" s="66">
        <v>1034.3310697096999</v>
      </c>
      <c r="E21" s="66">
        <v>112.35428571428599</v>
      </c>
      <c r="F21" s="66">
        <v>4231.9000926825302</v>
      </c>
      <c r="G21" s="33">
        <v>124</v>
      </c>
      <c r="H21" s="32">
        <v>117.39</v>
      </c>
      <c r="I21" s="34">
        <v>55</v>
      </c>
      <c r="J21" s="34">
        <v>36</v>
      </c>
      <c r="K21" s="35">
        <v>2.3955007256893999</v>
      </c>
      <c r="L21" s="34" t="s">
        <v>56</v>
      </c>
      <c r="M21" s="31" t="s">
        <v>709</v>
      </c>
      <c r="N21" s="31" t="s">
        <v>16</v>
      </c>
      <c r="O21" s="31" t="s">
        <v>4</v>
      </c>
      <c r="P21" s="31" t="s">
        <v>3</v>
      </c>
      <c r="Q21" s="36"/>
    </row>
    <row r="22" spans="1:17" x14ac:dyDescent="0.2">
      <c r="A22" s="30">
        <f>RANK(B22,$B$2:$B$551,1)</f>
        <v>21</v>
      </c>
      <c r="B22" s="46">
        <f>AVERAGE(G22,I22,J22)</f>
        <v>73.666666666666671</v>
      </c>
      <c r="C22" s="31" t="s">
        <v>316</v>
      </c>
      <c r="D22" s="66">
        <v>945.07105256737498</v>
      </c>
      <c r="E22" s="66">
        <v>247.57961038961</v>
      </c>
      <c r="F22" s="66">
        <v>4668.8195641954799</v>
      </c>
      <c r="G22" s="33">
        <v>103</v>
      </c>
      <c r="H22" s="32">
        <v>117.48</v>
      </c>
      <c r="I22" s="34">
        <v>46</v>
      </c>
      <c r="J22" s="34">
        <v>72</v>
      </c>
      <c r="K22" s="35">
        <v>1.74600071098471</v>
      </c>
      <c r="L22" s="34" t="s">
        <v>26</v>
      </c>
      <c r="M22" s="31" t="s">
        <v>315</v>
      </c>
      <c r="N22" s="31" t="s">
        <v>13</v>
      </c>
      <c r="O22" s="31" t="s">
        <v>4</v>
      </c>
      <c r="P22" s="31" t="s">
        <v>3</v>
      </c>
      <c r="Q22" s="36"/>
    </row>
    <row r="23" spans="1:17" x14ac:dyDescent="0.2">
      <c r="A23" s="30">
        <f>RANK(B23,$B$2:$B$551,1)</f>
        <v>22</v>
      </c>
      <c r="B23" s="46">
        <f>AVERAGE(G23,I23,J23)</f>
        <v>76.333333333333329</v>
      </c>
      <c r="C23" s="31" t="s">
        <v>372</v>
      </c>
      <c r="D23" s="66">
        <v>918.29968577726697</v>
      </c>
      <c r="E23" s="66">
        <v>312.45590063029198</v>
      </c>
      <c r="F23" s="66">
        <v>4110.6938830548397</v>
      </c>
      <c r="G23" s="33">
        <v>55</v>
      </c>
      <c r="H23" s="32">
        <v>116.48</v>
      </c>
      <c r="I23" s="34">
        <v>172</v>
      </c>
      <c r="J23" s="34">
        <v>2</v>
      </c>
      <c r="K23" s="35">
        <v>6.0091772661407203</v>
      </c>
      <c r="L23" s="34" t="s">
        <v>56</v>
      </c>
      <c r="M23" s="31" t="s">
        <v>371</v>
      </c>
      <c r="N23" s="31" t="s">
        <v>55</v>
      </c>
      <c r="O23" s="31" t="s">
        <v>4</v>
      </c>
      <c r="P23" s="31" t="s">
        <v>3</v>
      </c>
      <c r="Q23" s="36"/>
    </row>
    <row r="24" spans="1:17" x14ac:dyDescent="0.2">
      <c r="A24" s="30">
        <f>RANK(B24,$B$2:$B$551,1)</f>
        <v>23</v>
      </c>
      <c r="B24" s="46">
        <f>AVERAGE(G24,I24,J24)</f>
        <v>77.666666666666671</v>
      </c>
      <c r="C24" s="31" t="s">
        <v>240</v>
      </c>
      <c r="D24" s="66">
        <v>794.94525618546595</v>
      </c>
      <c r="E24" s="66">
        <v>405.03136567309599</v>
      </c>
      <c r="F24" s="66">
        <v>2143.3408338203799</v>
      </c>
      <c r="G24" s="33">
        <v>3</v>
      </c>
      <c r="H24" s="32">
        <v>116.7</v>
      </c>
      <c r="I24" s="34">
        <v>133</v>
      </c>
      <c r="J24" s="34">
        <v>97</v>
      </c>
      <c r="K24" s="35">
        <v>1.4542576237293801</v>
      </c>
      <c r="L24" s="34" t="s">
        <v>26</v>
      </c>
      <c r="M24" s="31" t="s">
        <v>239</v>
      </c>
      <c r="N24" s="31" t="s">
        <v>57</v>
      </c>
      <c r="O24" s="31" t="s">
        <v>4</v>
      </c>
      <c r="P24" s="31" t="s">
        <v>3</v>
      </c>
      <c r="Q24" s="36"/>
    </row>
    <row r="25" spans="1:17" x14ac:dyDescent="0.2">
      <c r="A25" s="30">
        <f>RANK(B25,$B$2:$B$551,1)</f>
        <v>24</v>
      </c>
      <c r="B25" s="46">
        <f>AVERAGE(G25,I25,J25)</f>
        <v>78.666666666666671</v>
      </c>
      <c r="C25" s="31" t="s">
        <v>782</v>
      </c>
      <c r="D25" s="66">
        <v>400.407461523476</v>
      </c>
      <c r="E25" s="66">
        <v>36</v>
      </c>
      <c r="F25" s="66">
        <v>1371.64211961816</v>
      </c>
      <c r="G25" s="33">
        <v>85</v>
      </c>
      <c r="H25" s="32">
        <v>118.46</v>
      </c>
      <c r="I25" s="34">
        <v>11</v>
      </c>
      <c r="J25" s="34">
        <v>140</v>
      </c>
      <c r="K25" s="35">
        <v>0.97690706038235897</v>
      </c>
      <c r="L25" s="34" t="s">
        <v>5</v>
      </c>
      <c r="M25" s="31" t="s">
        <v>781</v>
      </c>
      <c r="N25" s="31" t="s">
        <v>10</v>
      </c>
      <c r="O25" s="31" t="s">
        <v>4</v>
      </c>
      <c r="P25" s="31" t="s">
        <v>3</v>
      </c>
      <c r="Q25" s="36"/>
    </row>
    <row r="26" spans="1:17" x14ac:dyDescent="0.2">
      <c r="A26" s="30">
        <f>RANK(B26,$B$2:$B$551,1)</f>
        <v>25</v>
      </c>
      <c r="B26" s="46">
        <f>AVERAGE(G26,I26,J26)</f>
        <v>79</v>
      </c>
      <c r="C26" s="31" t="s">
        <v>428</v>
      </c>
      <c r="D26" s="66">
        <v>903.21235955056204</v>
      </c>
      <c r="E26" s="66">
        <v>85.747191011235898</v>
      </c>
      <c r="F26" s="66">
        <v>2573.0469372961202</v>
      </c>
      <c r="G26" s="33">
        <v>44</v>
      </c>
      <c r="H26" s="32">
        <v>117.11</v>
      </c>
      <c r="I26" s="34">
        <v>79</v>
      </c>
      <c r="J26" s="34">
        <v>114</v>
      </c>
      <c r="K26" s="35">
        <v>1.2492139665728901</v>
      </c>
      <c r="L26" s="34" t="s">
        <v>26</v>
      </c>
      <c r="M26" s="31" t="s">
        <v>427</v>
      </c>
      <c r="N26" s="31" t="s">
        <v>16</v>
      </c>
      <c r="O26" s="31" t="s">
        <v>4</v>
      </c>
      <c r="P26" s="31" t="s">
        <v>3</v>
      </c>
      <c r="Q26" s="36"/>
    </row>
    <row r="27" spans="1:17" x14ac:dyDescent="0.2">
      <c r="A27" s="30">
        <f>RANK(B27,$B$2:$B$551,1)</f>
        <v>26</v>
      </c>
      <c r="B27" s="46">
        <f>AVERAGE(G27,I27,J27)</f>
        <v>81</v>
      </c>
      <c r="C27" s="31" t="s">
        <v>199</v>
      </c>
      <c r="D27" s="66">
        <v>1312.4832347676399</v>
      </c>
      <c r="E27" s="66">
        <v>313.16571428571399</v>
      </c>
      <c r="F27" s="66">
        <v>7123.7482684705601</v>
      </c>
      <c r="G27" s="33">
        <v>147</v>
      </c>
      <c r="H27" s="32">
        <v>117.18</v>
      </c>
      <c r="I27" s="34">
        <v>74</v>
      </c>
      <c r="J27" s="34">
        <v>22</v>
      </c>
      <c r="K27" s="35">
        <v>2.8381273556834001</v>
      </c>
      <c r="L27" s="34" t="s">
        <v>56</v>
      </c>
      <c r="M27" s="31" t="s">
        <v>198</v>
      </c>
      <c r="N27" s="31" t="s">
        <v>200</v>
      </c>
      <c r="O27" s="31" t="s">
        <v>4</v>
      </c>
      <c r="P27" s="31" t="s">
        <v>3</v>
      </c>
      <c r="Q27" s="36"/>
    </row>
    <row r="28" spans="1:17" x14ac:dyDescent="0.2">
      <c r="A28" s="30">
        <f>RANK(B28,$B$2:$B$551,1)</f>
        <v>27</v>
      </c>
      <c r="B28" s="46">
        <f>AVERAGE(G28,I28,J28)</f>
        <v>84</v>
      </c>
      <c r="C28" s="31" t="s">
        <v>762</v>
      </c>
      <c r="D28" s="66">
        <v>1101.7914367816099</v>
      </c>
      <c r="E28" s="66">
        <v>298.17816091954001</v>
      </c>
      <c r="F28" s="66">
        <v>4542.2216593224202</v>
      </c>
      <c r="G28" s="33">
        <v>59</v>
      </c>
      <c r="H28" s="32">
        <v>116.48</v>
      </c>
      <c r="I28" s="34">
        <v>172</v>
      </c>
      <c r="J28" s="34">
        <v>21</v>
      </c>
      <c r="K28" s="35">
        <v>2.9040352661919302</v>
      </c>
      <c r="L28" s="34" t="s">
        <v>56</v>
      </c>
      <c r="M28" s="31" t="s">
        <v>761</v>
      </c>
      <c r="N28" s="31" t="s">
        <v>106</v>
      </c>
      <c r="O28" s="31" t="s">
        <v>4</v>
      </c>
      <c r="P28" s="31" t="s">
        <v>3</v>
      </c>
      <c r="Q28" s="36"/>
    </row>
    <row r="29" spans="1:17" x14ac:dyDescent="0.2">
      <c r="A29" s="30">
        <f>RANK(B29,$B$2:$B$551,1)</f>
        <v>28</v>
      </c>
      <c r="B29" s="46">
        <f>AVERAGE(G29,I29,J29)</f>
        <v>86.666666666666671</v>
      </c>
      <c r="C29" s="31" t="s">
        <v>496</v>
      </c>
      <c r="D29" s="66">
        <v>611.66101694915301</v>
      </c>
      <c r="E29" s="66">
        <v>5</v>
      </c>
      <c r="F29" s="66">
        <v>1785.6904319300199</v>
      </c>
      <c r="G29" s="33">
        <v>88</v>
      </c>
      <c r="H29" s="32">
        <v>117</v>
      </c>
      <c r="I29" s="34">
        <v>96</v>
      </c>
      <c r="J29" s="34">
        <v>76</v>
      </c>
      <c r="K29" s="35">
        <v>1.6899742930591299</v>
      </c>
      <c r="L29" s="34" t="s">
        <v>26</v>
      </c>
      <c r="M29" s="31" t="s">
        <v>495</v>
      </c>
      <c r="N29" s="31" t="s">
        <v>289</v>
      </c>
      <c r="O29" s="31" t="s">
        <v>4</v>
      </c>
      <c r="P29" s="31" t="s">
        <v>3</v>
      </c>
      <c r="Q29" s="36"/>
    </row>
    <row r="30" spans="1:17" x14ac:dyDescent="0.2">
      <c r="A30" s="30">
        <f>RANK(B30,$B$2:$B$551,1)</f>
        <v>29</v>
      </c>
      <c r="B30" s="46">
        <f>AVERAGE(G30,I30,J30)</f>
        <v>87</v>
      </c>
      <c r="C30" s="31" t="s">
        <v>796</v>
      </c>
      <c r="D30" s="66">
        <v>499.59642857142899</v>
      </c>
      <c r="E30" s="66">
        <v>161.525396825397</v>
      </c>
      <c r="F30" s="66">
        <v>2980.23083051715</v>
      </c>
      <c r="G30" s="33">
        <v>137</v>
      </c>
      <c r="H30" s="32">
        <v>117.06</v>
      </c>
      <c r="I30" s="34">
        <v>85</v>
      </c>
      <c r="J30" s="34">
        <v>39</v>
      </c>
      <c r="K30" s="35">
        <v>2.3804235001038001</v>
      </c>
      <c r="L30" s="34" t="s">
        <v>56</v>
      </c>
      <c r="M30" s="31" t="s">
        <v>795</v>
      </c>
      <c r="N30" s="31" t="s">
        <v>273</v>
      </c>
      <c r="O30" s="31" t="s">
        <v>4</v>
      </c>
      <c r="P30" s="31" t="s">
        <v>3</v>
      </c>
      <c r="Q30" s="36"/>
    </row>
    <row r="31" spans="1:17" x14ac:dyDescent="0.2">
      <c r="A31" s="30">
        <f>RANK(B31,$B$2:$B$551,1)</f>
        <v>30</v>
      </c>
      <c r="B31" s="46">
        <f>AVERAGE(G31,I31,J31)</f>
        <v>91.666666666666671</v>
      </c>
      <c r="C31" s="31" t="s">
        <v>78</v>
      </c>
      <c r="D31" s="66">
        <v>938.43705360937395</v>
      </c>
      <c r="E31" s="66">
        <v>98.486187845303903</v>
      </c>
      <c r="F31" s="66">
        <v>1889.8987669186199</v>
      </c>
      <c r="G31" s="33">
        <v>14</v>
      </c>
      <c r="H31" s="32">
        <v>117.42</v>
      </c>
      <c r="I31" s="34">
        <v>53</v>
      </c>
      <c r="J31" s="34">
        <v>208</v>
      </c>
      <c r="K31" s="35">
        <v>0.3898756660746</v>
      </c>
      <c r="L31" s="34" t="s">
        <v>5</v>
      </c>
      <c r="M31" s="31" t="s">
        <v>77</v>
      </c>
      <c r="N31" s="31" t="s">
        <v>10</v>
      </c>
      <c r="O31" s="31" t="s">
        <v>4</v>
      </c>
      <c r="P31" s="31" t="s">
        <v>3</v>
      </c>
      <c r="Q31" s="36"/>
    </row>
    <row r="32" spans="1:17" x14ac:dyDescent="0.2">
      <c r="A32" s="30">
        <f>RANK(B32,$B$2:$B$551,1)</f>
        <v>31</v>
      </c>
      <c r="B32" s="46">
        <f>AVERAGE(G32,I32,J32)</f>
        <v>92.666666666666671</v>
      </c>
      <c r="C32" s="31" t="s">
        <v>663</v>
      </c>
      <c r="D32" s="66">
        <v>599.19573863636401</v>
      </c>
      <c r="E32" s="66">
        <v>200.32397727272701</v>
      </c>
      <c r="F32" s="66">
        <v>3111.7033522727302</v>
      </c>
      <c r="G32" s="33">
        <v>94</v>
      </c>
      <c r="H32" s="32">
        <v>116.89</v>
      </c>
      <c r="I32" s="34">
        <v>109</v>
      </c>
      <c r="J32" s="34">
        <v>75</v>
      </c>
      <c r="K32" s="35">
        <v>1.6955732122588001</v>
      </c>
      <c r="L32" s="34" t="s">
        <v>26</v>
      </c>
      <c r="M32" s="31" t="s">
        <v>662</v>
      </c>
      <c r="N32" s="31" t="s">
        <v>106</v>
      </c>
      <c r="O32" s="31" t="s">
        <v>4</v>
      </c>
      <c r="P32" s="31" t="s">
        <v>3</v>
      </c>
      <c r="Q32" s="36"/>
    </row>
    <row r="33" spans="1:17" x14ac:dyDescent="0.2">
      <c r="A33" s="30">
        <f>RANK(B33,$B$2:$B$551,1)</f>
        <v>32</v>
      </c>
      <c r="B33" s="46">
        <f>AVERAGE(G33,I33,J33)</f>
        <v>95.666666666666671</v>
      </c>
      <c r="C33" s="31" t="s">
        <v>626</v>
      </c>
      <c r="D33" s="66">
        <v>256.228571428571</v>
      </c>
      <c r="E33" s="66">
        <v>174.754285714286</v>
      </c>
      <c r="F33" s="66">
        <v>1286.5198377880199</v>
      </c>
      <c r="G33" s="33">
        <v>22</v>
      </c>
      <c r="H33" s="32">
        <v>116.14</v>
      </c>
      <c r="I33" s="34">
        <v>228</v>
      </c>
      <c r="J33" s="34">
        <v>37</v>
      </c>
      <c r="K33" s="35">
        <v>2.3900762538932399</v>
      </c>
      <c r="L33" s="34" t="s">
        <v>56</v>
      </c>
      <c r="M33" s="31" t="s">
        <v>625</v>
      </c>
      <c r="N33" s="31" t="s">
        <v>416</v>
      </c>
      <c r="O33" s="31" t="s">
        <v>4</v>
      </c>
      <c r="P33" s="31" t="s">
        <v>3</v>
      </c>
      <c r="Q33" s="36"/>
    </row>
    <row r="34" spans="1:17" x14ac:dyDescent="0.2">
      <c r="A34" s="30">
        <f>RANK(B34,$B$2:$B$551,1)</f>
        <v>33</v>
      </c>
      <c r="B34" s="46">
        <f>AVERAGE(G34,I34,J34)</f>
        <v>96</v>
      </c>
      <c r="C34" s="31" t="s">
        <v>111</v>
      </c>
      <c r="D34" s="66">
        <v>1545.45877074848</v>
      </c>
      <c r="E34" s="66">
        <v>262.16118400829902</v>
      </c>
      <c r="F34" s="66">
        <v>4726.5163050805004</v>
      </c>
      <c r="G34" s="33">
        <v>38</v>
      </c>
      <c r="H34" s="32">
        <v>116.49</v>
      </c>
      <c r="I34" s="34">
        <v>171</v>
      </c>
      <c r="J34" s="34">
        <v>79</v>
      </c>
      <c r="K34" s="35">
        <v>1.6543016759776501</v>
      </c>
      <c r="L34" s="34" t="s">
        <v>26</v>
      </c>
      <c r="M34" s="31" t="s">
        <v>110</v>
      </c>
      <c r="N34" s="31" t="s">
        <v>112</v>
      </c>
      <c r="O34" s="31" t="s">
        <v>4</v>
      </c>
      <c r="P34" s="31" t="s">
        <v>3</v>
      </c>
      <c r="Q34" s="36"/>
    </row>
    <row r="35" spans="1:17" x14ac:dyDescent="0.2">
      <c r="A35" s="30">
        <f>RANK(B35,$B$2:$B$551,1)</f>
        <v>34</v>
      </c>
      <c r="B35" s="46">
        <f>AVERAGE(G35,I35,J35)</f>
        <v>96.666666666666671</v>
      </c>
      <c r="C35" s="31" t="s">
        <v>406</v>
      </c>
      <c r="D35" s="66">
        <v>452.223166666667</v>
      </c>
      <c r="E35" s="66">
        <v>156.78888888888901</v>
      </c>
      <c r="F35" s="66">
        <v>1762.8640555555601</v>
      </c>
      <c r="G35" s="33">
        <v>35</v>
      </c>
      <c r="H35" s="32">
        <v>116.46</v>
      </c>
      <c r="I35" s="34">
        <v>177</v>
      </c>
      <c r="J35" s="34">
        <v>78</v>
      </c>
      <c r="K35" s="35">
        <v>1.6598854203203599</v>
      </c>
      <c r="L35" s="34" t="s">
        <v>26</v>
      </c>
      <c r="M35" s="31" t="s">
        <v>405</v>
      </c>
      <c r="N35" s="31" t="s">
        <v>200</v>
      </c>
      <c r="O35" s="31" t="s">
        <v>4</v>
      </c>
      <c r="P35" s="31" t="s">
        <v>3</v>
      </c>
      <c r="Q35" s="36"/>
    </row>
    <row r="36" spans="1:17" x14ac:dyDescent="0.2">
      <c r="A36" s="30">
        <f>RANK(B36,$B$2:$B$551,1)</f>
        <v>35</v>
      </c>
      <c r="B36" s="46">
        <f>AVERAGE(G36,I36,J36)</f>
        <v>100</v>
      </c>
      <c r="C36" s="31" t="s">
        <v>594</v>
      </c>
      <c r="D36" s="66">
        <v>478.82706985105301</v>
      </c>
      <c r="E36" s="66">
        <v>261.66666666666703</v>
      </c>
      <c r="F36" s="66">
        <v>2705.2197808042101</v>
      </c>
      <c r="G36" s="33">
        <v>52</v>
      </c>
      <c r="H36" s="32">
        <v>116.64</v>
      </c>
      <c r="I36" s="34">
        <v>145</v>
      </c>
      <c r="J36" s="34">
        <v>103</v>
      </c>
      <c r="K36" s="35">
        <v>1.3719018112488099</v>
      </c>
      <c r="L36" s="34" t="s">
        <v>26</v>
      </c>
      <c r="M36" s="31" t="s">
        <v>593</v>
      </c>
      <c r="N36" s="31" t="s">
        <v>87</v>
      </c>
      <c r="O36" s="31" t="s">
        <v>4</v>
      </c>
      <c r="P36" s="31" t="s">
        <v>3</v>
      </c>
      <c r="Q36" s="36"/>
    </row>
    <row r="37" spans="1:17" x14ac:dyDescent="0.2">
      <c r="A37" s="30">
        <f>RANK(B37,$B$2:$B$551,1)</f>
        <v>36</v>
      </c>
      <c r="B37" s="46">
        <f>AVERAGE(G37,I37,J37)</f>
        <v>100.66666666666667</v>
      </c>
      <c r="C37" s="31" t="s">
        <v>1003</v>
      </c>
      <c r="D37" s="66">
        <v>225.52456140350901</v>
      </c>
      <c r="E37" s="66">
        <v>82.8</v>
      </c>
      <c r="F37" s="66">
        <v>1036.9248755677399</v>
      </c>
      <c r="G37" s="33">
        <v>53</v>
      </c>
      <c r="H37" s="32">
        <v>116.42</v>
      </c>
      <c r="I37" s="34">
        <v>182</v>
      </c>
      <c r="J37" s="34">
        <v>67</v>
      </c>
      <c r="K37" s="35">
        <v>1.8385520941779401</v>
      </c>
      <c r="L37" s="34" t="s">
        <v>26</v>
      </c>
      <c r="M37" s="31" t="s">
        <v>1002</v>
      </c>
      <c r="N37" s="31" t="s">
        <v>570</v>
      </c>
      <c r="O37" s="31" t="s">
        <v>4</v>
      </c>
      <c r="P37" s="31" t="s">
        <v>3</v>
      </c>
      <c r="Q37" s="36"/>
    </row>
    <row r="38" spans="1:17" x14ac:dyDescent="0.2">
      <c r="A38" s="30">
        <f>RANK(B38,$B$2:$B$551,1)</f>
        <v>37</v>
      </c>
      <c r="B38" s="46">
        <f>AVERAGE(G38,I38,J38)</f>
        <v>101.33333333333333</v>
      </c>
      <c r="C38" s="31" t="s">
        <v>794</v>
      </c>
      <c r="D38" s="66">
        <v>593.48587570621498</v>
      </c>
      <c r="E38" s="66">
        <v>85</v>
      </c>
      <c r="F38" s="66">
        <v>2804.2254186094601</v>
      </c>
      <c r="G38" s="33">
        <v>150</v>
      </c>
      <c r="H38" s="32">
        <v>117.2</v>
      </c>
      <c r="I38" s="34">
        <v>70</v>
      </c>
      <c r="J38" s="34">
        <v>84</v>
      </c>
      <c r="K38" s="35">
        <v>1.55852183061547</v>
      </c>
      <c r="L38" s="34" t="s">
        <v>26</v>
      </c>
      <c r="M38" s="31" t="s">
        <v>793</v>
      </c>
      <c r="N38" s="31" t="s">
        <v>8</v>
      </c>
      <c r="O38" s="31" t="s">
        <v>4</v>
      </c>
      <c r="P38" s="31" t="s">
        <v>3</v>
      </c>
      <c r="Q38" s="36"/>
    </row>
    <row r="39" spans="1:17" x14ac:dyDescent="0.2">
      <c r="A39" s="30">
        <f>RANK(B39,$B$2:$B$551,1)</f>
        <v>38</v>
      </c>
      <c r="B39" s="46">
        <f>AVERAGE(G39,I39,J39)</f>
        <v>101.66666666666667</v>
      </c>
      <c r="C39" s="31" t="s">
        <v>174</v>
      </c>
      <c r="D39" s="66">
        <v>7441.2177586206899</v>
      </c>
      <c r="E39" s="66">
        <v>1143.4672413793101</v>
      </c>
      <c r="F39" s="66">
        <v>17250.8969447534</v>
      </c>
      <c r="G39" s="33">
        <v>16</v>
      </c>
      <c r="H39" s="32">
        <v>116.15</v>
      </c>
      <c r="I39" s="34">
        <v>224</v>
      </c>
      <c r="J39" s="34">
        <v>65</v>
      </c>
      <c r="K39" s="35">
        <v>1.9011099899091799</v>
      </c>
      <c r="L39" s="34" t="s">
        <v>26</v>
      </c>
      <c r="M39" s="31" t="s">
        <v>173</v>
      </c>
      <c r="N39" s="31" t="s">
        <v>38</v>
      </c>
      <c r="O39" s="31" t="s">
        <v>4</v>
      </c>
      <c r="P39" s="31" t="s">
        <v>3</v>
      </c>
      <c r="Q39" s="36"/>
    </row>
    <row r="40" spans="1:17" x14ac:dyDescent="0.2">
      <c r="A40" s="30">
        <f>RANK(B40,$B$2:$B$551,1)</f>
        <v>39</v>
      </c>
      <c r="B40" s="46">
        <f>AVERAGE(G40,I40,J40)</f>
        <v>104.66666666666667</v>
      </c>
      <c r="C40" s="31" t="s">
        <v>671</v>
      </c>
      <c r="D40" s="66">
        <v>76.3735632183908</v>
      </c>
      <c r="E40" s="66">
        <v>16</v>
      </c>
      <c r="F40" s="66">
        <v>583.68068034249904</v>
      </c>
      <c r="G40" s="33">
        <v>275</v>
      </c>
      <c r="H40" s="32">
        <v>118.36</v>
      </c>
      <c r="I40" s="34">
        <v>13</v>
      </c>
      <c r="J40" s="34">
        <v>26</v>
      </c>
      <c r="K40" s="35">
        <v>2.6953191812843298</v>
      </c>
      <c r="L40" s="34" t="s">
        <v>56</v>
      </c>
      <c r="M40" s="31" t="s">
        <v>670</v>
      </c>
      <c r="N40" s="31" t="s">
        <v>650</v>
      </c>
      <c r="O40" s="31" t="s">
        <v>4</v>
      </c>
      <c r="P40" s="31" t="s">
        <v>3</v>
      </c>
      <c r="Q40" s="36"/>
    </row>
    <row r="41" spans="1:17" x14ac:dyDescent="0.2">
      <c r="A41" s="30">
        <f>RANK(B41,$B$2:$B$551,1)</f>
        <v>40</v>
      </c>
      <c r="B41" s="46">
        <f>AVERAGE(G41,I41,J41)</f>
        <v>109.66666666666667</v>
      </c>
      <c r="C41" s="31" t="s">
        <v>494</v>
      </c>
      <c r="D41" s="66">
        <v>494.22051948052001</v>
      </c>
      <c r="E41" s="66">
        <v>86.329383116883093</v>
      </c>
      <c r="F41" s="66">
        <v>936.79003246753302</v>
      </c>
      <c r="G41" s="33">
        <v>7</v>
      </c>
      <c r="H41" s="32">
        <v>116.19</v>
      </c>
      <c r="I41" s="34">
        <v>217</v>
      </c>
      <c r="J41" s="34">
        <v>105</v>
      </c>
      <c r="K41" s="35">
        <v>1.3640913757700199</v>
      </c>
      <c r="L41" s="34" t="s">
        <v>26</v>
      </c>
      <c r="M41" s="31" t="s">
        <v>493</v>
      </c>
      <c r="N41" s="31" t="s">
        <v>9</v>
      </c>
      <c r="O41" s="31" t="s">
        <v>4</v>
      </c>
      <c r="P41" s="31" t="s">
        <v>3</v>
      </c>
      <c r="Q41" s="36"/>
    </row>
    <row r="42" spans="1:17" x14ac:dyDescent="0.2">
      <c r="A42" s="30">
        <f>RANK(B42,$B$2:$B$551,1)</f>
        <v>41</v>
      </c>
      <c r="B42" s="46">
        <f>AVERAGE(G42,I42,J42)</f>
        <v>110.66666666666667</v>
      </c>
      <c r="C42" s="31" t="s">
        <v>265</v>
      </c>
      <c r="D42" s="66">
        <v>264.95365168539303</v>
      </c>
      <c r="E42" s="66">
        <v>150.392865168539</v>
      </c>
      <c r="F42" s="66">
        <v>1629.71909309791</v>
      </c>
      <c r="G42" s="33">
        <v>72</v>
      </c>
      <c r="H42" s="32">
        <v>116.51</v>
      </c>
      <c r="I42" s="34">
        <v>167</v>
      </c>
      <c r="J42" s="34">
        <v>93</v>
      </c>
      <c r="K42" s="35">
        <v>1.48945292402675</v>
      </c>
      <c r="L42" s="34" t="s">
        <v>26</v>
      </c>
      <c r="M42" s="31" t="s">
        <v>264</v>
      </c>
      <c r="N42" s="31" t="s">
        <v>106</v>
      </c>
      <c r="O42" s="31" t="s">
        <v>4</v>
      </c>
      <c r="P42" s="31" t="s">
        <v>3</v>
      </c>
      <c r="Q42" s="36"/>
    </row>
    <row r="43" spans="1:17" x14ac:dyDescent="0.2">
      <c r="A43" s="30">
        <f>RANK(B43,$B$2:$B$551,1)</f>
        <v>42</v>
      </c>
      <c r="B43" s="46">
        <f>AVERAGE(G43,I43,J43)</f>
        <v>113.66666666666667</v>
      </c>
      <c r="C43" s="31" t="s">
        <v>610</v>
      </c>
      <c r="D43" s="66">
        <v>374.95330017475499</v>
      </c>
      <c r="E43" s="66">
        <v>31.1797956714612</v>
      </c>
      <c r="F43" s="66">
        <v>1399.9493368050701</v>
      </c>
      <c r="G43" s="33">
        <v>114</v>
      </c>
      <c r="H43" s="32">
        <v>117.37</v>
      </c>
      <c r="I43" s="34">
        <v>60</v>
      </c>
      <c r="J43" s="34">
        <v>167</v>
      </c>
      <c r="K43" s="35">
        <v>0.76836810423023005</v>
      </c>
      <c r="L43" s="34" t="s">
        <v>5</v>
      </c>
      <c r="M43" s="31" t="s">
        <v>609</v>
      </c>
      <c r="N43" s="31" t="s">
        <v>263</v>
      </c>
      <c r="O43" s="31" t="s">
        <v>4</v>
      </c>
      <c r="P43" s="31" t="s">
        <v>3</v>
      </c>
      <c r="Q43" s="36"/>
    </row>
    <row r="44" spans="1:17" x14ac:dyDescent="0.2">
      <c r="A44" s="30">
        <f>RANK(B44,$B$2:$B$551,1)</f>
        <v>43</v>
      </c>
      <c r="B44" s="46">
        <f>AVERAGE(G44,I44,J44)</f>
        <v>114.33333333333333</v>
      </c>
      <c r="C44" s="31" t="s">
        <v>295</v>
      </c>
      <c r="D44" s="66">
        <v>1022.22846058349</v>
      </c>
      <c r="E44" s="66">
        <v>265.06641837368102</v>
      </c>
      <c r="F44" s="66">
        <v>7351.8954932001598</v>
      </c>
      <c r="G44" s="33">
        <v>235</v>
      </c>
      <c r="H44" s="32">
        <v>117.09</v>
      </c>
      <c r="I44" s="34">
        <v>81</v>
      </c>
      <c r="J44" s="34">
        <v>27</v>
      </c>
      <c r="K44" s="35">
        <v>2.6834025854108998</v>
      </c>
      <c r="L44" s="34" t="s">
        <v>56</v>
      </c>
      <c r="M44" s="31" t="s">
        <v>294</v>
      </c>
      <c r="N44" s="31" t="s">
        <v>9</v>
      </c>
      <c r="O44" s="31" t="s">
        <v>4</v>
      </c>
      <c r="P44" s="31" t="s">
        <v>3</v>
      </c>
      <c r="Q44" s="36"/>
    </row>
    <row r="45" spans="1:17" x14ac:dyDescent="0.2">
      <c r="A45" s="30">
        <f>RANK(B45,$B$2:$B$551,1)</f>
        <v>44</v>
      </c>
      <c r="B45" s="46">
        <f>AVERAGE(G45,I45,J45)</f>
        <v>115</v>
      </c>
      <c r="C45" s="31" t="s">
        <v>99</v>
      </c>
      <c r="D45" s="66">
        <v>2930.8811363636401</v>
      </c>
      <c r="E45" s="66">
        <v>1161.76710227273</v>
      </c>
      <c r="F45" s="66">
        <v>9125.4517613636399</v>
      </c>
      <c r="G45" s="33">
        <v>11</v>
      </c>
      <c r="H45" s="32">
        <v>115.56</v>
      </c>
      <c r="I45" s="34">
        <v>324</v>
      </c>
      <c r="J45" s="34">
        <v>10</v>
      </c>
      <c r="K45" s="35">
        <v>4.0206398348813197</v>
      </c>
      <c r="L45" s="34" t="s">
        <v>56</v>
      </c>
      <c r="M45" s="31" t="s">
        <v>98</v>
      </c>
      <c r="N45" s="31" t="s">
        <v>57</v>
      </c>
      <c r="O45" s="31" t="s">
        <v>4</v>
      </c>
      <c r="P45" s="31" t="s">
        <v>3</v>
      </c>
      <c r="Q45" s="36"/>
    </row>
    <row r="46" spans="1:17" x14ac:dyDescent="0.2">
      <c r="A46" s="30">
        <f>RANK(B46,$B$2:$B$551,1)</f>
        <v>45</v>
      </c>
      <c r="B46" s="46">
        <f>AVERAGE(G46,I46,J46)</f>
        <v>115.66666666666667</v>
      </c>
      <c r="C46" s="31" t="s">
        <v>905</v>
      </c>
      <c r="D46" s="66">
        <v>1297.7517052023099</v>
      </c>
      <c r="E46" s="66">
        <v>54.630681818181799</v>
      </c>
      <c r="F46" s="66">
        <v>2509.2354192446601</v>
      </c>
      <c r="G46" s="33">
        <v>20</v>
      </c>
      <c r="H46" s="32">
        <v>115.66</v>
      </c>
      <c r="I46" s="34">
        <v>307</v>
      </c>
      <c r="J46" s="34">
        <v>20</v>
      </c>
      <c r="K46" s="35">
        <v>2.9066393899944201</v>
      </c>
      <c r="L46" s="34" t="s">
        <v>56</v>
      </c>
      <c r="M46" s="31" t="s">
        <v>904</v>
      </c>
      <c r="N46" s="31" t="s">
        <v>125</v>
      </c>
      <c r="O46" s="31" t="s">
        <v>4</v>
      </c>
      <c r="P46" s="31" t="s">
        <v>3</v>
      </c>
      <c r="Q46" s="36"/>
    </row>
    <row r="47" spans="1:17" x14ac:dyDescent="0.2">
      <c r="A47" s="30">
        <f>RANK(B47,$B$2:$B$551,1)</f>
        <v>46</v>
      </c>
      <c r="B47" s="46">
        <f>AVERAGE(G47,I47,J47)</f>
        <v>116</v>
      </c>
      <c r="C47" s="31" t="s">
        <v>73</v>
      </c>
      <c r="D47" s="66">
        <v>525.06377142857104</v>
      </c>
      <c r="E47" s="66">
        <v>412.56</v>
      </c>
      <c r="F47" s="66">
        <v>3887.2418333792102</v>
      </c>
      <c r="G47" s="33">
        <v>68</v>
      </c>
      <c r="H47" s="32">
        <v>117.02</v>
      </c>
      <c r="I47" s="34">
        <v>92</v>
      </c>
      <c r="J47" s="34">
        <v>188</v>
      </c>
      <c r="K47" s="35">
        <v>0.61202376791331703</v>
      </c>
      <c r="L47" s="34" t="s">
        <v>5</v>
      </c>
      <c r="M47" s="31" t="s">
        <v>72</v>
      </c>
      <c r="N47" s="31" t="s">
        <v>55</v>
      </c>
      <c r="O47" s="31" t="s">
        <v>4</v>
      </c>
      <c r="P47" s="31" t="s">
        <v>3</v>
      </c>
      <c r="Q47" s="36"/>
    </row>
    <row r="48" spans="1:17" x14ac:dyDescent="0.2">
      <c r="A48" s="30">
        <f>RANK(B48,$B$2:$B$551,1)</f>
        <v>47</v>
      </c>
      <c r="B48" s="46">
        <f>AVERAGE(G48,I48,J48)</f>
        <v>116.33333333333333</v>
      </c>
      <c r="C48" s="31" t="s">
        <v>1073</v>
      </c>
      <c r="D48" s="66">
        <v>644.18416731423895</v>
      </c>
      <c r="E48" s="66">
        <v>95.542857142857102</v>
      </c>
      <c r="F48" s="66">
        <v>3039.4273433970302</v>
      </c>
      <c r="G48" s="33">
        <v>148</v>
      </c>
      <c r="H48" s="32">
        <v>117.07</v>
      </c>
      <c r="I48" s="34">
        <v>83</v>
      </c>
      <c r="J48" s="34">
        <v>118</v>
      </c>
      <c r="K48" s="35">
        <v>1.2349847771934701</v>
      </c>
      <c r="L48" s="34" t="s">
        <v>26</v>
      </c>
      <c r="M48" s="31" t="s">
        <v>1072</v>
      </c>
      <c r="N48" s="31" t="s">
        <v>60</v>
      </c>
      <c r="O48" s="31" t="s">
        <v>4</v>
      </c>
      <c r="P48" s="31" t="s">
        <v>3</v>
      </c>
      <c r="Q48" s="36"/>
    </row>
    <row r="49" spans="1:17" x14ac:dyDescent="0.2">
      <c r="A49" s="30">
        <f>RANK(B49,$B$2:$B$551,1)</f>
        <v>48</v>
      </c>
      <c r="B49" s="46">
        <f>AVERAGE(G49,I49,J49)</f>
        <v>116.66666666666667</v>
      </c>
      <c r="C49" s="31" t="s">
        <v>1028</v>
      </c>
      <c r="D49" s="66">
        <v>820.52702278930997</v>
      </c>
      <c r="E49" s="66">
        <v>551.89240144734299</v>
      </c>
      <c r="F49" s="66">
        <v>5155.3097911532795</v>
      </c>
      <c r="G49" s="33">
        <v>48</v>
      </c>
      <c r="H49" s="32">
        <v>116.12</v>
      </c>
      <c r="I49" s="34">
        <v>234</v>
      </c>
      <c r="J49" s="34">
        <v>68</v>
      </c>
      <c r="K49" s="35">
        <v>1.8226464349812399</v>
      </c>
      <c r="L49" s="34" t="s">
        <v>26</v>
      </c>
      <c r="M49" s="31" t="s">
        <v>1027</v>
      </c>
      <c r="N49" s="31" t="s">
        <v>200</v>
      </c>
      <c r="O49" s="31" t="s">
        <v>4</v>
      </c>
      <c r="P49" s="31" t="s">
        <v>3</v>
      </c>
      <c r="Q49" s="36"/>
    </row>
    <row r="50" spans="1:17" x14ac:dyDescent="0.2">
      <c r="A50" s="30">
        <f>RANK(B50,$B$2:$B$551,1)</f>
        <v>49</v>
      </c>
      <c r="B50" s="46">
        <f>AVERAGE(G50,I50,J50)</f>
        <v>117.66666666666667</v>
      </c>
      <c r="C50" s="31" t="s">
        <v>103</v>
      </c>
      <c r="D50" s="66">
        <v>1388.2122727272699</v>
      </c>
      <c r="E50" s="66">
        <v>862.23863636363603</v>
      </c>
      <c r="F50" s="66">
        <v>4481.3249725073301</v>
      </c>
      <c r="G50" s="33">
        <v>4</v>
      </c>
      <c r="H50" s="32">
        <v>115.84</v>
      </c>
      <c r="I50" s="34">
        <v>280</v>
      </c>
      <c r="J50" s="34">
        <v>69</v>
      </c>
      <c r="K50" s="35">
        <v>1.8189415041782699</v>
      </c>
      <c r="L50" s="34" t="s">
        <v>26</v>
      </c>
      <c r="M50" s="31" t="s">
        <v>102</v>
      </c>
      <c r="N50" s="31" t="s">
        <v>57</v>
      </c>
      <c r="O50" s="31" t="s">
        <v>4</v>
      </c>
      <c r="P50" s="31" t="s">
        <v>3</v>
      </c>
      <c r="Q50" s="36"/>
    </row>
    <row r="51" spans="1:17" x14ac:dyDescent="0.2">
      <c r="A51" s="30">
        <f>RANK(B51,$B$2:$B$551,1)</f>
        <v>50</v>
      </c>
      <c r="B51" s="46">
        <f>AVERAGE(G51,I51,J51)</f>
        <v>118.33333333333333</v>
      </c>
      <c r="C51" s="31" t="s">
        <v>652</v>
      </c>
      <c r="D51" s="66">
        <v>939.85366738232904</v>
      </c>
      <c r="E51" s="66">
        <v>134.32</v>
      </c>
      <c r="F51" s="66">
        <v>4362.0585159062302</v>
      </c>
      <c r="G51" s="33">
        <v>144</v>
      </c>
      <c r="H51" s="32">
        <v>117.02</v>
      </c>
      <c r="I51" s="34">
        <v>92</v>
      </c>
      <c r="J51" s="34">
        <v>119</v>
      </c>
      <c r="K51" s="35">
        <v>1.2194961304133001</v>
      </c>
      <c r="L51" s="34" t="s">
        <v>26</v>
      </c>
      <c r="M51" s="31" t="s">
        <v>651</v>
      </c>
      <c r="N51" s="31" t="s">
        <v>76</v>
      </c>
      <c r="O51" s="31" t="s">
        <v>4</v>
      </c>
      <c r="P51" s="31" t="s">
        <v>3</v>
      </c>
      <c r="Q51" s="36"/>
    </row>
    <row r="52" spans="1:17" x14ac:dyDescent="0.2">
      <c r="A52" s="30">
        <f>RANK(B52,$B$2:$B$551,1)</f>
        <v>51</v>
      </c>
      <c r="B52" s="46">
        <f>AVERAGE(G52,I52,J52)</f>
        <v>118.66666666666667</v>
      </c>
      <c r="C52" s="31" t="s">
        <v>813</v>
      </c>
      <c r="D52" s="66">
        <v>580.55693161893601</v>
      </c>
      <c r="E52" s="66">
        <v>183.276836158192</v>
      </c>
      <c r="F52" s="66">
        <v>3981.3408288870901</v>
      </c>
      <c r="G52" s="33">
        <v>187</v>
      </c>
      <c r="H52" s="32">
        <v>117.84</v>
      </c>
      <c r="I52" s="34">
        <v>25</v>
      </c>
      <c r="J52" s="34">
        <v>144</v>
      </c>
      <c r="K52" s="35">
        <v>0.95291987324581295</v>
      </c>
      <c r="L52" s="34" t="s">
        <v>5</v>
      </c>
      <c r="M52" s="31" t="s">
        <v>812</v>
      </c>
      <c r="N52" s="31" t="s">
        <v>47</v>
      </c>
      <c r="O52" s="31" t="s">
        <v>4</v>
      </c>
      <c r="P52" s="31" t="s">
        <v>3</v>
      </c>
      <c r="Q52" s="36"/>
    </row>
    <row r="53" spans="1:17" x14ac:dyDescent="0.2">
      <c r="A53" s="30">
        <f>RANK(B53,$B$2:$B$551,1)</f>
        <v>52</v>
      </c>
      <c r="B53" s="46">
        <f>AVERAGE(G53,I53,J53)</f>
        <v>119</v>
      </c>
      <c r="C53" s="31" t="s">
        <v>282</v>
      </c>
      <c r="D53" s="66">
        <v>429.18360003787501</v>
      </c>
      <c r="E53" s="66">
        <v>0</v>
      </c>
      <c r="F53" s="66">
        <v>1055.3505251722499</v>
      </c>
      <c r="G53" s="33">
        <v>54</v>
      </c>
      <c r="H53" s="32">
        <v>116.02</v>
      </c>
      <c r="I53" s="34">
        <v>254</v>
      </c>
      <c r="J53" s="34">
        <v>49</v>
      </c>
      <c r="K53" s="35">
        <v>2.2201834862385299</v>
      </c>
      <c r="L53" s="34" t="s">
        <v>56</v>
      </c>
      <c r="M53" s="31" t="s">
        <v>281</v>
      </c>
      <c r="N53" s="31" t="s">
        <v>57</v>
      </c>
      <c r="O53" s="31" t="s">
        <v>4</v>
      </c>
      <c r="P53" s="31" t="s">
        <v>3</v>
      </c>
      <c r="Q53" s="36"/>
    </row>
    <row r="54" spans="1:17" x14ac:dyDescent="0.2">
      <c r="A54" s="30">
        <f>RANK(B54,$B$2:$B$551,1)</f>
        <v>52</v>
      </c>
      <c r="B54" s="46">
        <f>AVERAGE(G54,I54,J54)</f>
        <v>119</v>
      </c>
      <c r="C54" s="31" t="s">
        <v>545</v>
      </c>
      <c r="D54" s="66">
        <v>1363.7945163847801</v>
      </c>
      <c r="E54" s="66">
        <v>484.20670454545501</v>
      </c>
      <c r="F54" s="66">
        <v>6992.2496564481999</v>
      </c>
      <c r="G54" s="33">
        <v>83</v>
      </c>
      <c r="H54" s="32">
        <v>116.62</v>
      </c>
      <c r="I54" s="34">
        <v>147</v>
      </c>
      <c r="J54" s="34">
        <v>127</v>
      </c>
      <c r="K54" s="35">
        <v>1.0943033102386499</v>
      </c>
      <c r="L54" s="34" t="s">
        <v>26</v>
      </c>
      <c r="M54" s="31" t="s">
        <v>544</v>
      </c>
      <c r="N54" s="31" t="s">
        <v>57</v>
      </c>
      <c r="O54" s="31" t="s">
        <v>4</v>
      </c>
      <c r="P54" s="31" t="s">
        <v>3</v>
      </c>
      <c r="Q54" s="36"/>
    </row>
    <row r="55" spans="1:17" x14ac:dyDescent="0.2">
      <c r="A55" s="30">
        <f>RANK(B55,$B$2:$B$551,1)</f>
        <v>54</v>
      </c>
      <c r="B55" s="46">
        <f>AVERAGE(G55,I55,J55)</f>
        <v>119.66666666666667</v>
      </c>
      <c r="C55" s="31" t="s">
        <v>234</v>
      </c>
      <c r="D55" s="66">
        <v>2458.4205113636399</v>
      </c>
      <c r="E55" s="66">
        <v>360.60227272727298</v>
      </c>
      <c r="F55" s="66">
        <v>5625.4393365102596</v>
      </c>
      <c r="G55" s="33">
        <v>17</v>
      </c>
      <c r="H55" s="32">
        <v>115.48</v>
      </c>
      <c r="I55" s="34">
        <v>335</v>
      </c>
      <c r="J55" s="34">
        <v>7</v>
      </c>
      <c r="K55" s="35">
        <v>4.6756446991403999</v>
      </c>
      <c r="L55" s="34" t="s">
        <v>56</v>
      </c>
      <c r="M55" s="31" t="s">
        <v>233</v>
      </c>
      <c r="N55" s="31" t="s">
        <v>57</v>
      </c>
      <c r="O55" s="31" t="s">
        <v>4</v>
      </c>
      <c r="P55" s="31" t="s">
        <v>3</v>
      </c>
      <c r="Q55" s="36"/>
    </row>
    <row r="56" spans="1:17" x14ac:dyDescent="0.2">
      <c r="A56" s="30">
        <f>RANK(B56,$B$2:$B$551,1)</f>
        <v>55</v>
      </c>
      <c r="B56" s="46">
        <f>AVERAGE(G56,I56,J56)</f>
        <v>123.33333333333333</v>
      </c>
      <c r="C56" s="31" t="s">
        <v>909</v>
      </c>
      <c r="D56" s="66">
        <v>244.45255977015401</v>
      </c>
      <c r="E56" s="66">
        <v>46</v>
      </c>
      <c r="F56" s="66">
        <v>932.69683319964599</v>
      </c>
      <c r="G56" s="33">
        <v>73</v>
      </c>
      <c r="H56" s="32">
        <v>117.01</v>
      </c>
      <c r="I56" s="34">
        <v>94</v>
      </c>
      <c r="J56" s="34">
        <v>203</v>
      </c>
      <c r="K56" s="35">
        <v>0.42892983822129899</v>
      </c>
      <c r="L56" s="34" t="s">
        <v>5</v>
      </c>
      <c r="M56" s="31" t="s">
        <v>908</v>
      </c>
      <c r="N56" s="31" t="s">
        <v>263</v>
      </c>
      <c r="O56" s="31" t="s">
        <v>4</v>
      </c>
      <c r="P56" s="31" t="s">
        <v>3</v>
      </c>
      <c r="Q56" s="36"/>
    </row>
    <row r="57" spans="1:17" x14ac:dyDescent="0.2">
      <c r="A57" s="30">
        <f>RANK(B57,$B$2:$B$551,1)</f>
        <v>56</v>
      </c>
      <c r="B57" s="46">
        <f>AVERAGE(G57,I57,J57)</f>
        <v>125</v>
      </c>
      <c r="C57" s="31" t="s">
        <v>1035</v>
      </c>
      <c r="D57" s="66">
        <v>160.21651162790701</v>
      </c>
      <c r="E57" s="66">
        <v>55</v>
      </c>
      <c r="F57" s="66">
        <v>1737.06959698731</v>
      </c>
      <c r="G57" s="33">
        <v>340</v>
      </c>
      <c r="H57" s="32">
        <v>117.97</v>
      </c>
      <c r="I57" s="34">
        <v>18</v>
      </c>
      <c r="J57" s="34">
        <v>17</v>
      </c>
      <c r="K57" s="35">
        <v>2.9749419183538</v>
      </c>
      <c r="L57" s="34" t="s">
        <v>56</v>
      </c>
      <c r="M57" s="31" t="s">
        <v>1034</v>
      </c>
      <c r="N57" s="31" t="s">
        <v>115</v>
      </c>
      <c r="O57" s="31" t="s">
        <v>4</v>
      </c>
      <c r="P57" s="31" t="s">
        <v>3</v>
      </c>
      <c r="Q57" s="36"/>
    </row>
    <row r="58" spans="1:17" x14ac:dyDescent="0.2">
      <c r="A58" s="30">
        <f>RANK(B58,$B$2:$B$551,1)</f>
        <v>57</v>
      </c>
      <c r="B58" s="46">
        <f>AVERAGE(G58,I58,J58)</f>
        <v>125.33333333333333</v>
      </c>
      <c r="C58" s="31" t="s">
        <v>958</v>
      </c>
      <c r="D58" s="66">
        <v>330.95398843930599</v>
      </c>
      <c r="E58" s="66">
        <v>46.59</v>
      </c>
      <c r="F58" s="66">
        <v>962.63637209636295</v>
      </c>
      <c r="G58" s="33">
        <v>39</v>
      </c>
      <c r="H58" s="32">
        <v>116.89</v>
      </c>
      <c r="I58" s="34">
        <v>109</v>
      </c>
      <c r="J58" s="34">
        <v>228</v>
      </c>
      <c r="K58" s="35">
        <v>0.283362399720963</v>
      </c>
      <c r="L58" s="34" t="s">
        <v>5</v>
      </c>
      <c r="M58" s="31" t="s">
        <v>957</v>
      </c>
      <c r="N58" s="31" t="s">
        <v>263</v>
      </c>
      <c r="O58" s="31" t="s">
        <v>4</v>
      </c>
      <c r="P58" s="31" t="s">
        <v>3</v>
      </c>
      <c r="Q58" s="36"/>
    </row>
    <row r="59" spans="1:17" x14ac:dyDescent="0.2">
      <c r="A59" s="30">
        <f>RANK(B59,$B$2:$B$551,1)</f>
        <v>58</v>
      </c>
      <c r="B59" s="46">
        <f>AVERAGE(G59,I59,J59)</f>
        <v>128.33333333333334</v>
      </c>
      <c r="C59" s="31" t="s">
        <v>64</v>
      </c>
      <c r="D59" s="66">
        <v>205.14928928008399</v>
      </c>
      <c r="E59" s="66">
        <v>43.977272727272698</v>
      </c>
      <c r="F59" s="66">
        <v>1328.2321859373101</v>
      </c>
      <c r="G59" s="33">
        <v>216</v>
      </c>
      <c r="H59" s="32">
        <v>118.53</v>
      </c>
      <c r="I59" s="34">
        <v>8</v>
      </c>
      <c r="J59" s="34">
        <v>161</v>
      </c>
      <c r="K59" s="35">
        <v>0.82241977450130099</v>
      </c>
      <c r="L59" s="34" t="s">
        <v>5</v>
      </c>
      <c r="M59" s="31" t="s">
        <v>63</v>
      </c>
      <c r="N59" s="31" t="s">
        <v>65</v>
      </c>
      <c r="O59" s="31" t="s">
        <v>4</v>
      </c>
      <c r="P59" s="31" t="s">
        <v>3</v>
      </c>
      <c r="Q59" s="36"/>
    </row>
    <row r="60" spans="1:17" x14ac:dyDescent="0.2">
      <c r="A60" s="30">
        <f>RANK(B60,$B$2:$B$551,1)</f>
        <v>59</v>
      </c>
      <c r="B60" s="46">
        <f>AVERAGE(G60,I60,J60)</f>
        <v>129.33333333333334</v>
      </c>
      <c r="C60" s="31" t="s">
        <v>880</v>
      </c>
      <c r="D60" s="66">
        <v>233</v>
      </c>
      <c r="E60" s="66">
        <v>14</v>
      </c>
      <c r="F60" s="66">
        <v>815.94693831352595</v>
      </c>
      <c r="G60" s="33">
        <v>104</v>
      </c>
      <c r="H60" s="32">
        <v>116.78</v>
      </c>
      <c r="I60" s="34">
        <v>120</v>
      </c>
      <c r="J60" s="34">
        <v>164</v>
      </c>
      <c r="K60" s="35">
        <v>0.79731027857828995</v>
      </c>
      <c r="L60" s="34" t="s">
        <v>5</v>
      </c>
      <c r="M60" s="31" t="s">
        <v>879</v>
      </c>
      <c r="N60" s="31" t="s">
        <v>278</v>
      </c>
      <c r="O60" s="31" t="s">
        <v>4</v>
      </c>
      <c r="P60" s="31" t="s">
        <v>3</v>
      </c>
      <c r="Q60" s="36"/>
    </row>
    <row r="61" spans="1:17" x14ac:dyDescent="0.2">
      <c r="A61" s="30">
        <f>RANK(B61,$B$2:$B$551,1)</f>
        <v>60</v>
      </c>
      <c r="B61" s="46">
        <f>AVERAGE(G61,I61,J61)</f>
        <v>134</v>
      </c>
      <c r="C61" s="31" t="s">
        <v>129</v>
      </c>
      <c r="D61" s="66">
        <v>390.91253478523902</v>
      </c>
      <c r="E61" s="66">
        <v>271.12850574712598</v>
      </c>
      <c r="F61" s="66">
        <v>1497.2258240149899</v>
      </c>
      <c r="G61" s="33">
        <v>8</v>
      </c>
      <c r="H61" s="32">
        <v>116.68</v>
      </c>
      <c r="I61" s="34">
        <v>138</v>
      </c>
      <c r="J61" s="34">
        <v>256</v>
      </c>
      <c r="K61" s="35">
        <v>0.105581190947045</v>
      </c>
      <c r="L61" s="34" t="s">
        <v>5</v>
      </c>
      <c r="M61" s="31" t="s">
        <v>128</v>
      </c>
      <c r="N61" s="31" t="s">
        <v>47</v>
      </c>
      <c r="O61" s="31" t="s">
        <v>4</v>
      </c>
      <c r="P61" s="31" t="s">
        <v>3</v>
      </c>
      <c r="Q61" s="36"/>
    </row>
    <row r="62" spans="1:17" x14ac:dyDescent="0.2">
      <c r="A62" s="30">
        <f>RANK(B62,$B$2:$B$551,1)</f>
        <v>60</v>
      </c>
      <c r="B62" s="46">
        <f>AVERAGE(G62,I62,J62)</f>
        <v>134</v>
      </c>
      <c r="C62" s="31" t="s">
        <v>67</v>
      </c>
      <c r="D62" s="66">
        <v>196.18055274566501</v>
      </c>
      <c r="E62" s="66">
        <v>15.7272727272727</v>
      </c>
      <c r="F62" s="66">
        <v>1070.7387588675799</v>
      </c>
      <c r="G62" s="33">
        <v>239</v>
      </c>
      <c r="H62" s="32">
        <v>116.72</v>
      </c>
      <c r="I62" s="34">
        <v>130</v>
      </c>
      <c r="J62" s="34">
        <v>33</v>
      </c>
      <c r="K62" s="35">
        <v>2.5141544948050001</v>
      </c>
      <c r="L62" s="34" t="s">
        <v>56</v>
      </c>
      <c r="M62" s="31" t="s">
        <v>66</v>
      </c>
      <c r="N62" s="31" t="s">
        <v>68</v>
      </c>
      <c r="O62" s="31" t="s">
        <v>4</v>
      </c>
      <c r="P62" s="31" t="s">
        <v>3</v>
      </c>
      <c r="Q62" s="36"/>
    </row>
    <row r="63" spans="1:17" x14ac:dyDescent="0.2">
      <c r="A63" s="30">
        <f>RANK(B63,$B$2:$B$551,1)</f>
        <v>62</v>
      </c>
      <c r="B63" s="46">
        <f>AVERAGE(G63,I63,J63)</f>
        <v>136</v>
      </c>
      <c r="C63" s="31" t="s">
        <v>86</v>
      </c>
      <c r="D63" s="66">
        <v>305.58342857142901</v>
      </c>
      <c r="E63" s="66">
        <v>85.783714285714296</v>
      </c>
      <c r="F63" s="66">
        <v>1739.53831520737</v>
      </c>
      <c r="G63" s="33">
        <v>139</v>
      </c>
      <c r="H63" s="32">
        <v>116.02</v>
      </c>
      <c r="I63" s="34">
        <v>254</v>
      </c>
      <c r="J63" s="34">
        <v>15</v>
      </c>
      <c r="K63" s="35">
        <v>3.3582947332303998</v>
      </c>
      <c r="L63" s="34" t="s">
        <v>56</v>
      </c>
      <c r="M63" s="31" t="s">
        <v>85</v>
      </c>
      <c r="N63" s="31" t="s">
        <v>87</v>
      </c>
      <c r="O63" s="31" t="s">
        <v>4</v>
      </c>
      <c r="P63" s="31" t="s">
        <v>3</v>
      </c>
      <c r="Q63" s="36"/>
    </row>
    <row r="64" spans="1:17" x14ac:dyDescent="0.2">
      <c r="A64" s="30">
        <f>RANK(B64,$B$2:$B$551,1)</f>
        <v>63</v>
      </c>
      <c r="B64" s="46">
        <f>AVERAGE(G64,I64,J64)</f>
        <v>137.33333333333334</v>
      </c>
      <c r="C64" s="31" t="s">
        <v>1001</v>
      </c>
      <c r="D64" s="66">
        <v>127.052598870056</v>
      </c>
      <c r="E64" s="66">
        <v>2</v>
      </c>
      <c r="F64" s="66">
        <v>511.29967146269399</v>
      </c>
      <c r="G64" s="33">
        <v>177</v>
      </c>
      <c r="H64" s="32">
        <v>117.07</v>
      </c>
      <c r="I64" s="34">
        <v>83</v>
      </c>
      <c r="J64" s="34">
        <v>152</v>
      </c>
      <c r="K64" s="35">
        <v>0.88160041772730202</v>
      </c>
      <c r="L64" s="34" t="s">
        <v>5</v>
      </c>
      <c r="M64" s="31" t="s">
        <v>1000</v>
      </c>
      <c r="N64" s="31" t="s">
        <v>140</v>
      </c>
      <c r="O64" s="31" t="s">
        <v>4</v>
      </c>
      <c r="P64" s="31" t="s">
        <v>3</v>
      </c>
      <c r="Q64" s="36"/>
    </row>
    <row r="65" spans="1:17" x14ac:dyDescent="0.2">
      <c r="A65" s="30">
        <f>RANK(B65,$B$2:$B$551,1)</f>
        <v>64</v>
      </c>
      <c r="B65" s="46">
        <f>AVERAGE(G65,I65,J65)</f>
        <v>140.33333333333334</v>
      </c>
      <c r="C65" s="31" t="s">
        <v>418</v>
      </c>
      <c r="D65" s="66">
        <v>159.42762735354799</v>
      </c>
      <c r="E65" s="66">
        <v>65</v>
      </c>
      <c r="F65" s="66">
        <v>904.98594746546905</v>
      </c>
      <c r="G65" s="33">
        <v>92</v>
      </c>
      <c r="H65" s="32">
        <v>117.94</v>
      </c>
      <c r="I65" s="34">
        <v>19</v>
      </c>
      <c r="J65" s="34">
        <v>310</v>
      </c>
      <c r="K65" s="35">
        <v>-0.22370311648416999</v>
      </c>
      <c r="L65" s="34" t="s">
        <v>5</v>
      </c>
      <c r="M65" s="31" t="s">
        <v>631</v>
      </c>
      <c r="N65" s="31" t="s">
        <v>632</v>
      </c>
      <c r="O65" s="31" t="s">
        <v>4</v>
      </c>
      <c r="P65" s="31" t="s">
        <v>3</v>
      </c>
      <c r="Q65" s="36"/>
    </row>
    <row r="66" spans="1:17" x14ac:dyDescent="0.2">
      <c r="A66" s="30">
        <f>RANK(B66,$B$2:$B$551,1)</f>
        <v>65</v>
      </c>
      <c r="B66" s="46">
        <f>AVERAGE(G66,I66,J66)</f>
        <v>140.66666666666666</v>
      </c>
      <c r="C66" s="31" t="s">
        <v>649</v>
      </c>
      <c r="D66" s="66">
        <v>69.202473280903405</v>
      </c>
      <c r="E66" s="66">
        <v>0</v>
      </c>
      <c r="F66" s="66">
        <v>456.41678723598</v>
      </c>
      <c r="G66" s="33">
        <v>364</v>
      </c>
      <c r="H66" s="32">
        <v>119.04</v>
      </c>
      <c r="I66" s="34">
        <v>3</v>
      </c>
      <c r="J66" s="34">
        <v>55</v>
      </c>
      <c r="K66" s="35">
        <v>2.0997082645579801</v>
      </c>
      <c r="L66" s="34" t="s">
        <v>56</v>
      </c>
      <c r="M66" s="31" t="s">
        <v>648</v>
      </c>
      <c r="N66" s="31" t="s">
        <v>650</v>
      </c>
      <c r="O66" s="31" t="s">
        <v>4</v>
      </c>
      <c r="P66" s="31" t="s">
        <v>3</v>
      </c>
      <c r="Q66" s="36"/>
    </row>
    <row r="67" spans="1:17" x14ac:dyDescent="0.2">
      <c r="A67" s="30">
        <f>RANK(B67,$B$2:$B$551,1)</f>
        <v>66</v>
      </c>
      <c r="B67" s="46">
        <f>AVERAGE(G67,I67,J67)</f>
        <v>142</v>
      </c>
      <c r="C67" s="31" t="s">
        <v>752</v>
      </c>
      <c r="D67" s="66">
        <v>289.76827405644298</v>
      </c>
      <c r="E67" s="66">
        <v>155.66381842910599</v>
      </c>
      <c r="F67" s="66">
        <v>1999.5318209603699</v>
      </c>
      <c r="G67" s="33">
        <v>102</v>
      </c>
      <c r="H67" s="32">
        <v>116.83</v>
      </c>
      <c r="I67" s="34">
        <v>114</v>
      </c>
      <c r="J67" s="34">
        <v>210</v>
      </c>
      <c r="K67" s="35">
        <v>0.38325150027277699</v>
      </c>
      <c r="L67" s="34" t="s">
        <v>5</v>
      </c>
      <c r="M67" s="31" t="s">
        <v>751</v>
      </c>
      <c r="N67" s="31" t="s">
        <v>125</v>
      </c>
      <c r="O67" s="31" t="s">
        <v>4</v>
      </c>
      <c r="P67" s="31" t="s">
        <v>3</v>
      </c>
      <c r="Q67" s="36"/>
    </row>
    <row r="68" spans="1:17" x14ac:dyDescent="0.2">
      <c r="A68" s="30">
        <f>RANK(B68,$B$2:$B$551,1)</f>
        <v>67</v>
      </c>
      <c r="B68" s="46">
        <f>AVERAGE(G68,I68,J68)</f>
        <v>146.66666666666666</v>
      </c>
      <c r="C68" s="31" t="s">
        <v>980</v>
      </c>
      <c r="D68" s="66">
        <v>437.07398843930599</v>
      </c>
      <c r="E68" s="66">
        <v>40</v>
      </c>
      <c r="F68" s="66">
        <v>1156.9767928398301</v>
      </c>
      <c r="G68" s="33">
        <v>40</v>
      </c>
      <c r="H68" s="32">
        <v>115.45</v>
      </c>
      <c r="I68" s="34">
        <v>341</v>
      </c>
      <c r="J68" s="34">
        <v>59</v>
      </c>
      <c r="K68" s="35">
        <v>2.02894235350167</v>
      </c>
      <c r="L68" s="34" t="s">
        <v>56</v>
      </c>
      <c r="M68" s="31" t="s">
        <v>979</v>
      </c>
      <c r="N68" s="31" t="s">
        <v>289</v>
      </c>
      <c r="O68" s="31" t="s">
        <v>4</v>
      </c>
      <c r="P68" s="31" t="s">
        <v>3</v>
      </c>
      <c r="Q68" s="36"/>
    </row>
    <row r="69" spans="1:17" x14ac:dyDescent="0.2">
      <c r="A69" s="30">
        <f>RANK(B69,$B$2:$B$551,1)</f>
        <v>67</v>
      </c>
      <c r="B69" s="46">
        <f>AVERAGE(G69,I69,J69)</f>
        <v>146.66666666666666</v>
      </c>
      <c r="C69" s="31" t="s">
        <v>667</v>
      </c>
      <c r="D69" s="66">
        <v>211.584831460674</v>
      </c>
      <c r="E69" s="66">
        <v>93.255617977528104</v>
      </c>
      <c r="F69" s="66">
        <v>1010.8915168539301</v>
      </c>
      <c r="G69" s="33">
        <v>43</v>
      </c>
      <c r="H69" s="32">
        <v>115.46</v>
      </c>
      <c r="I69" s="34">
        <v>340</v>
      </c>
      <c r="J69" s="34">
        <v>57</v>
      </c>
      <c r="K69" s="35">
        <v>2.0804995970991098</v>
      </c>
      <c r="L69" s="34" t="s">
        <v>56</v>
      </c>
      <c r="M69" s="31" t="s">
        <v>666</v>
      </c>
      <c r="N69" s="31" t="s">
        <v>81</v>
      </c>
      <c r="O69" s="31" t="s">
        <v>4</v>
      </c>
      <c r="P69" s="31" t="s">
        <v>3</v>
      </c>
      <c r="Q69" s="36"/>
    </row>
    <row r="70" spans="1:17" x14ac:dyDescent="0.2">
      <c r="A70" s="30">
        <f>RANK(B70,$B$2:$B$551,1)</f>
        <v>69</v>
      </c>
      <c r="B70" s="46">
        <f>AVERAGE(G70,I70,J70)</f>
        <v>147.66666666666666</v>
      </c>
      <c r="C70" s="31" t="s">
        <v>700</v>
      </c>
      <c r="D70" s="66">
        <v>1709.84949152542</v>
      </c>
      <c r="E70" s="66">
        <v>319.214689265537</v>
      </c>
      <c r="F70" s="66">
        <v>6135.8598870056503</v>
      </c>
      <c r="G70" s="33">
        <v>57</v>
      </c>
      <c r="H70" s="32">
        <v>116.61</v>
      </c>
      <c r="I70" s="34">
        <v>148</v>
      </c>
      <c r="J70" s="34">
        <v>238</v>
      </c>
      <c r="K70" s="35">
        <v>0.21770134228187901</v>
      </c>
      <c r="L70" s="34" t="s">
        <v>5</v>
      </c>
      <c r="M70" s="31" t="s">
        <v>699</v>
      </c>
      <c r="N70" s="31" t="s">
        <v>87</v>
      </c>
      <c r="O70" s="31" t="s">
        <v>4</v>
      </c>
      <c r="P70" s="31" t="s">
        <v>3</v>
      </c>
      <c r="Q70" s="36"/>
    </row>
    <row r="71" spans="1:17" x14ac:dyDescent="0.2">
      <c r="A71" s="30">
        <f>RANK(B71,$B$2:$B$551,1)</f>
        <v>70</v>
      </c>
      <c r="B71" s="46">
        <f>AVERAGE(G71,I71,J71)</f>
        <v>149.33333333333334</v>
      </c>
      <c r="C71" s="31" t="s">
        <v>1037</v>
      </c>
      <c r="D71" s="66">
        <v>111.999367562054</v>
      </c>
      <c r="E71" s="66">
        <v>37</v>
      </c>
      <c r="F71" s="66">
        <v>512.34809577606904</v>
      </c>
      <c r="G71" s="33">
        <v>65</v>
      </c>
      <c r="H71" s="32">
        <v>117.58</v>
      </c>
      <c r="I71" s="34">
        <v>39</v>
      </c>
      <c r="J71" s="34">
        <v>344</v>
      </c>
      <c r="K71" s="35">
        <v>-0.50421465531630805</v>
      </c>
      <c r="L71" s="34" t="s">
        <v>5</v>
      </c>
      <c r="M71" s="31" t="s">
        <v>1036</v>
      </c>
      <c r="N71" s="31" t="s">
        <v>211</v>
      </c>
      <c r="O71" s="31" t="s">
        <v>4</v>
      </c>
      <c r="P71" s="31" t="s">
        <v>3</v>
      </c>
      <c r="Q71" s="36"/>
    </row>
    <row r="72" spans="1:17" x14ac:dyDescent="0.2">
      <c r="A72" s="30">
        <f>RANK(B72,$B$2:$B$551,1)</f>
        <v>71</v>
      </c>
      <c r="B72" s="46">
        <f>AVERAGE(G72,I72,J72)</f>
        <v>151.33333333333334</v>
      </c>
      <c r="C72" s="31" t="s">
        <v>976</v>
      </c>
      <c r="D72" s="66">
        <v>603.41018176295802</v>
      </c>
      <c r="E72" s="66">
        <v>59</v>
      </c>
      <c r="F72" s="66">
        <v>2134.9959979768801</v>
      </c>
      <c r="G72" s="33">
        <v>89</v>
      </c>
      <c r="H72" s="32">
        <v>116.7</v>
      </c>
      <c r="I72" s="34">
        <v>133</v>
      </c>
      <c r="J72" s="34">
        <v>232</v>
      </c>
      <c r="K72" s="35">
        <v>0.26103227818493702</v>
      </c>
      <c r="L72" s="34" t="s">
        <v>5</v>
      </c>
      <c r="M72" s="31" t="s">
        <v>975</v>
      </c>
      <c r="N72" s="31" t="s">
        <v>55</v>
      </c>
      <c r="O72" s="31" t="s">
        <v>4</v>
      </c>
      <c r="P72" s="31" t="s">
        <v>3</v>
      </c>
      <c r="Q72" s="36"/>
    </row>
    <row r="73" spans="1:17" x14ac:dyDescent="0.2">
      <c r="A73" s="30">
        <f>RANK(B73,$B$2:$B$551,1)</f>
        <v>72</v>
      </c>
      <c r="B73" s="46">
        <f>AVERAGE(G73,I73,J73)</f>
        <v>154.33333333333334</v>
      </c>
      <c r="C73" s="31" t="s">
        <v>725</v>
      </c>
      <c r="D73" s="66">
        <v>1170.28748917749</v>
      </c>
      <c r="E73" s="66">
        <v>154.99047619047701</v>
      </c>
      <c r="F73" s="66">
        <v>3907.2492550112202</v>
      </c>
      <c r="G73" s="33">
        <v>63</v>
      </c>
      <c r="H73" s="32">
        <v>115.31</v>
      </c>
      <c r="I73" s="34">
        <v>359</v>
      </c>
      <c r="J73" s="34">
        <v>41</v>
      </c>
      <c r="K73" s="35">
        <v>2.3256690539012399</v>
      </c>
      <c r="L73" s="34" t="s">
        <v>56</v>
      </c>
      <c r="M73" s="31" t="s">
        <v>724</v>
      </c>
      <c r="N73" s="31" t="s">
        <v>81</v>
      </c>
      <c r="O73" s="31" t="s">
        <v>4</v>
      </c>
      <c r="P73" s="31" t="s">
        <v>3</v>
      </c>
      <c r="Q73" s="36"/>
    </row>
    <row r="74" spans="1:17" x14ac:dyDescent="0.2">
      <c r="A74" s="30">
        <f>RANK(B74,$B$2:$B$551,1)</f>
        <v>73</v>
      </c>
      <c r="B74" s="46">
        <f>AVERAGE(G74,I74,J74)</f>
        <v>154.66666666666666</v>
      </c>
      <c r="C74" s="31" t="s">
        <v>204</v>
      </c>
      <c r="D74" s="66">
        <v>646.19612359550604</v>
      </c>
      <c r="E74" s="66">
        <v>219.605617977528</v>
      </c>
      <c r="F74" s="66">
        <v>3635.80648237998</v>
      </c>
      <c r="G74" s="33">
        <v>115</v>
      </c>
      <c r="H74" s="32">
        <v>117.69</v>
      </c>
      <c r="I74" s="34">
        <v>32</v>
      </c>
      <c r="J74" s="34">
        <v>317</v>
      </c>
      <c r="K74" s="35">
        <v>-0.26527176527176499</v>
      </c>
      <c r="L74" s="34" t="s">
        <v>5</v>
      </c>
      <c r="M74" s="31" t="s">
        <v>203</v>
      </c>
      <c r="N74" s="31" t="s">
        <v>55</v>
      </c>
      <c r="O74" s="31" t="s">
        <v>4</v>
      </c>
      <c r="P74" s="31" t="s">
        <v>3</v>
      </c>
      <c r="Q74" s="36"/>
    </row>
    <row r="75" spans="1:17" x14ac:dyDescent="0.2">
      <c r="A75" s="30">
        <f>RANK(B75,$B$2:$B$551,1)</f>
        <v>73</v>
      </c>
      <c r="B75" s="46">
        <f>AVERAGE(G75,I75,J75)</f>
        <v>154.66666666666666</v>
      </c>
      <c r="C75" s="31" t="s">
        <v>331</v>
      </c>
      <c r="D75" s="66">
        <v>633.563446969697</v>
      </c>
      <c r="E75" s="66">
        <v>5</v>
      </c>
      <c r="F75" s="66">
        <v>2168.22991956551</v>
      </c>
      <c r="G75" s="33">
        <v>128</v>
      </c>
      <c r="H75" s="32">
        <v>115.71</v>
      </c>
      <c r="I75" s="34">
        <v>301</v>
      </c>
      <c r="J75" s="34">
        <v>35</v>
      </c>
      <c r="K75" s="35">
        <v>2.4272430865837502</v>
      </c>
      <c r="L75" s="34" t="s">
        <v>56</v>
      </c>
      <c r="M75" s="31" t="s">
        <v>753</v>
      </c>
      <c r="N75" s="31" t="s">
        <v>112</v>
      </c>
      <c r="O75" s="31" t="s">
        <v>4</v>
      </c>
      <c r="P75" s="31" t="s">
        <v>3</v>
      </c>
      <c r="Q75" s="36"/>
    </row>
    <row r="76" spans="1:17" x14ac:dyDescent="0.2">
      <c r="A76" s="30">
        <f>RANK(B76,$B$2:$B$551,1)</f>
        <v>73</v>
      </c>
      <c r="B76" s="46">
        <f>AVERAGE(G76,I76,J76)</f>
        <v>154.66666666666666</v>
      </c>
      <c r="C76" s="31" t="s">
        <v>737</v>
      </c>
      <c r="D76" s="66">
        <v>111.938869471703</v>
      </c>
      <c r="E76" s="66">
        <v>26.424418604651201</v>
      </c>
      <c r="F76" s="66">
        <v>1134.6609446725799</v>
      </c>
      <c r="G76" s="33">
        <v>369</v>
      </c>
      <c r="H76" s="32">
        <v>119.35</v>
      </c>
      <c r="I76" s="34">
        <v>1</v>
      </c>
      <c r="J76" s="34">
        <v>94</v>
      </c>
      <c r="K76" s="35">
        <v>1.48576248658044</v>
      </c>
      <c r="L76" s="34" t="s">
        <v>26</v>
      </c>
      <c r="M76" s="31" t="s">
        <v>736</v>
      </c>
      <c r="N76" s="31" t="s">
        <v>182</v>
      </c>
      <c r="O76" s="31" t="s">
        <v>4</v>
      </c>
      <c r="P76" s="31" t="s">
        <v>3</v>
      </c>
      <c r="Q76" s="36"/>
    </row>
    <row r="77" spans="1:17" x14ac:dyDescent="0.2">
      <c r="A77" s="30">
        <f>RANK(B77,$B$2:$B$551,1)</f>
        <v>76</v>
      </c>
      <c r="B77" s="46">
        <f>AVERAGE(G77,I77,J77)</f>
        <v>155.66666666666666</v>
      </c>
      <c r="C77" s="31" t="s">
        <v>840</v>
      </c>
      <c r="D77" s="66">
        <v>1344.24820075758</v>
      </c>
      <c r="E77" s="66">
        <v>139.88333333333301</v>
      </c>
      <c r="F77" s="66">
        <v>4421.5124976280204</v>
      </c>
      <c r="G77" s="33">
        <v>74</v>
      </c>
      <c r="H77" s="32">
        <v>116.68</v>
      </c>
      <c r="I77" s="34">
        <v>138</v>
      </c>
      <c r="J77" s="34">
        <v>255</v>
      </c>
      <c r="K77" s="35">
        <v>0.10585452395032501</v>
      </c>
      <c r="L77" s="34" t="s">
        <v>5</v>
      </c>
      <c r="M77" s="31" t="s">
        <v>839</v>
      </c>
      <c r="N77" s="31" t="s">
        <v>55</v>
      </c>
      <c r="O77" s="31" t="s">
        <v>4</v>
      </c>
      <c r="P77" s="31" t="s">
        <v>3</v>
      </c>
      <c r="Q77" s="36"/>
    </row>
    <row r="78" spans="1:17" x14ac:dyDescent="0.2">
      <c r="A78" s="30">
        <f>RANK(B78,$B$2:$B$551,1)</f>
        <v>77</v>
      </c>
      <c r="B78" s="46">
        <f>AVERAGE(G78,I78,J78)</f>
        <v>156.66666666666666</v>
      </c>
      <c r="C78" s="31" t="s">
        <v>1127</v>
      </c>
      <c r="D78" s="66">
        <v>902.47698740978399</v>
      </c>
      <c r="E78" s="66">
        <v>61</v>
      </c>
      <c r="F78" s="66">
        <v>3726.5222211210398</v>
      </c>
      <c r="G78" s="33">
        <v>151</v>
      </c>
      <c r="H78" s="32">
        <v>116.52</v>
      </c>
      <c r="I78" s="34">
        <v>165</v>
      </c>
      <c r="J78" s="34">
        <v>154</v>
      </c>
      <c r="K78" s="35">
        <v>0.87325227963525798</v>
      </c>
      <c r="L78" s="34" t="s">
        <v>5</v>
      </c>
      <c r="M78" s="31" t="s">
        <v>1126</v>
      </c>
      <c r="N78" s="31" t="s">
        <v>47</v>
      </c>
      <c r="O78" s="31" t="s">
        <v>4</v>
      </c>
      <c r="P78" s="31" t="s">
        <v>3</v>
      </c>
      <c r="Q78" s="36"/>
    </row>
    <row r="79" spans="1:17" x14ac:dyDescent="0.2">
      <c r="A79" s="30">
        <f>RANK(B79,$B$2:$B$551,1)</f>
        <v>78</v>
      </c>
      <c r="B79" s="46">
        <f>AVERAGE(G79,I79,J79)</f>
        <v>157.66666666666666</v>
      </c>
      <c r="C79" s="31" t="s">
        <v>689</v>
      </c>
      <c r="D79" s="66">
        <v>139.10482760965701</v>
      </c>
      <c r="E79" s="66">
        <v>91.0400860251615</v>
      </c>
      <c r="F79" s="66">
        <v>764.92834731094797</v>
      </c>
      <c r="G79" s="33">
        <v>36</v>
      </c>
      <c r="H79" s="32">
        <v>115.22</v>
      </c>
      <c r="I79" s="34">
        <v>371</v>
      </c>
      <c r="J79" s="34">
        <v>66</v>
      </c>
      <c r="K79" s="35">
        <v>1.85369422092173</v>
      </c>
      <c r="L79" s="34" t="s">
        <v>26</v>
      </c>
      <c r="M79" s="31" t="s">
        <v>688</v>
      </c>
      <c r="N79" s="31" t="s">
        <v>65</v>
      </c>
      <c r="O79" s="31" t="s">
        <v>4</v>
      </c>
      <c r="P79" s="31" t="s">
        <v>3</v>
      </c>
      <c r="Q79" s="36"/>
    </row>
    <row r="80" spans="1:17" x14ac:dyDescent="0.2">
      <c r="A80" s="30">
        <f>RANK(B80,$B$2:$B$551,1)</f>
        <v>79</v>
      </c>
      <c r="B80" s="46">
        <f>AVERAGE(G80,I80,J80)</f>
        <v>158.66666666666666</v>
      </c>
      <c r="C80" s="31" t="s">
        <v>324</v>
      </c>
      <c r="D80" s="66">
        <v>2005.7990087037399</v>
      </c>
      <c r="E80" s="66">
        <v>458.321108232011</v>
      </c>
      <c r="F80" s="66">
        <v>7903.5570832211397</v>
      </c>
      <c r="G80" s="33">
        <v>64</v>
      </c>
      <c r="H80" s="32">
        <v>116.33</v>
      </c>
      <c r="I80" s="34">
        <v>193</v>
      </c>
      <c r="J80" s="34">
        <v>219</v>
      </c>
      <c r="K80" s="35">
        <v>0.31286159323542501</v>
      </c>
      <c r="L80" s="34" t="s">
        <v>5</v>
      </c>
      <c r="M80" s="31" t="s">
        <v>323</v>
      </c>
      <c r="N80" s="31" t="s">
        <v>289</v>
      </c>
      <c r="O80" s="31" t="s">
        <v>4</v>
      </c>
      <c r="P80" s="31" t="s">
        <v>3</v>
      </c>
      <c r="Q80" s="36"/>
    </row>
    <row r="81" spans="1:17" x14ac:dyDescent="0.2">
      <c r="A81" s="30">
        <f>RANK(B81,$B$2:$B$551,1)</f>
        <v>80</v>
      </c>
      <c r="B81" s="46">
        <f>AVERAGE(G81,I81,J81)</f>
        <v>159</v>
      </c>
      <c r="C81" s="31" t="s">
        <v>193</v>
      </c>
      <c r="D81" s="66">
        <v>1780.5050705787501</v>
      </c>
      <c r="E81" s="66">
        <v>1015.62793103448</v>
      </c>
      <c r="F81" s="66">
        <v>5817.4218481548696</v>
      </c>
      <c r="G81" s="33">
        <v>6</v>
      </c>
      <c r="H81" s="32">
        <v>117.22</v>
      </c>
      <c r="I81" s="34">
        <v>68</v>
      </c>
      <c r="J81" s="34">
        <v>403</v>
      </c>
      <c r="K81" s="35">
        <v>-0.99324444444444404</v>
      </c>
      <c r="L81" s="34" t="s">
        <v>5</v>
      </c>
      <c r="M81" s="31" t="s">
        <v>192</v>
      </c>
      <c r="N81" s="31" t="s">
        <v>106</v>
      </c>
      <c r="O81" s="31" t="s">
        <v>4</v>
      </c>
      <c r="P81" s="31" t="s">
        <v>3</v>
      </c>
      <c r="Q81" s="36"/>
    </row>
    <row r="82" spans="1:17" x14ac:dyDescent="0.2">
      <c r="A82" s="30">
        <f>RANK(B82,$B$2:$B$551,1)</f>
        <v>81</v>
      </c>
      <c r="B82" s="46">
        <f>AVERAGE(G82,I82,J82)</f>
        <v>159.33333333333334</v>
      </c>
      <c r="C82" s="31" t="s">
        <v>855</v>
      </c>
      <c r="D82" s="66">
        <v>414.91665104333902</v>
      </c>
      <c r="E82" s="66">
        <v>22.717945425361201</v>
      </c>
      <c r="F82" s="66">
        <v>1441.7023828302199</v>
      </c>
      <c r="G82" s="33">
        <v>108</v>
      </c>
      <c r="H82" s="32">
        <v>115.85</v>
      </c>
      <c r="I82" s="34">
        <v>279</v>
      </c>
      <c r="J82" s="34">
        <v>91</v>
      </c>
      <c r="K82" s="35">
        <v>1.5059399749895801</v>
      </c>
      <c r="L82" s="34" t="s">
        <v>26</v>
      </c>
      <c r="M82" s="31" t="s">
        <v>854</v>
      </c>
      <c r="N82" s="31" t="s">
        <v>140</v>
      </c>
      <c r="O82" s="31" t="s">
        <v>4</v>
      </c>
      <c r="P82" s="31" t="s">
        <v>3</v>
      </c>
      <c r="Q82" s="36"/>
    </row>
    <row r="83" spans="1:17" x14ac:dyDescent="0.2">
      <c r="A83" s="30">
        <f>RANK(B83,$B$2:$B$551,1)</f>
        <v>82</v>
      </c>
      <c r="B83" s="46">
        <f>AVERAGE(G83,I83,J83)</f>
        <v>160.66666666666666</v>
      </c>
      <c r="C83" s="31" t="s">
        <v>602</v>
      </c>
      <c r="D83" s="66">
        <v>306.41073446327698</v>
      </c>
      <c r="E83" s="66">
        <v>72.757062146892693</v>
      </c>
      <c r="F83" s="66">
        <v>1426.3117186076199</v>
      </c>
      <c r="G83" s="33">
        <v>98</v>
      </c>
      <c r="H83" s="32">
        <v>116.2</v>
      </c>
      <c r="I83" s="34">
        <v>214</v>
      </c>
      <c r="J83" s="34">
        <v>170</v>
      </c>
      <c r="K83" s="35">
        <v>0.73238246170100396</v>
      </c>
      <c r="L83" s="34" t="s">
        <v>5</v>
      </c>
      <c r="M83" s="31" t="s">
        <v>601</v>
      </c>
      <c r="N83" s="31" t="s">
        <v>10</v>
      </c>
      <c r="O83" s="31" t="s">
        <v>4</v>
      </c>
      <c r="P83" s="31" t="s">
        <v>3</v>
      </c>
      <c r="Q83" s="36"/>
    </row>
    <row r="84" spans="1:17" x14ac:dyDescent="0.2">
      <c r="A84" s="30">
        <f>RANK(B84,$B$2:$B$551,1)</f>
        <v>83</v>
      </c>
      <c r="B84" s="46">
        <f>AVERAGE(G84,I84,J84)</f>
        <v>161.33333333333334</v>
      </c>
      <c r="C84" s="31" t="s">
        <v>643</v>
      </c>
      <c r="D84" s="66">
        <v>1737.1169273334799</v>
      </c>
      <c r="E84" s="66">
        <v>108.235632183908</v>
      </c>
      <c r="F84" s="66">
        <v>7511.6821698889398</v>
      </c>
      <c r="G84" s="33">
        <v>169</v>
      </c>
      <c r="H84" s="32">
        <v>116.18</v>
      </c>
      <c r="I84" s="34">
        <v>220</v>
      </c>
      <c r="J84" s="34">
        <v>95</v>
      </c>
      <c r="K84" s="35">
        <v>1.46774515678051</v>
      </c>
      <c r="L84" s="34" t="s">
        <v>26</v>
      </c>
      <c r="M84" s="31" t="s">
        <v>642</v>
      </c>
      <c r="N84" s="31" t="s">
        <v>112</v>
      </c>
      <c r="O84" s="31" t="s">
        <v>4</v>
      </c>
      <c r="P84" s="31" t="s">
        <v>3</v>
      </c>
      <c r="Q84" s="36"/>
    </row>
    <row r="85" spans="1:17" x14ac:dyDescent="0.2">
      <c r="A85" s="30">
        <f>RANK(B85,$B$2:$B$551,1)</f>
        <v>83</v>
      </c>
      <c r="B85" s="46">
        <f>AVERAGE(G85,I85,J85)</f>
        <v>161.33333333333334</v>
      </c>
      <c r="C85" s="31" t="s">
        <v>355</v>
      </c>
      <c r="D85" s="66">
        <v>334.49383415435102</v>
      </c>
      <c r="E85" s="66">
        <v>46</v>
      </c>
      <c r="F85" s="66">
        <v>2163.0684345151399</v>
      </c>
      <c r="G85" s="33">
        <v>259</v>
      </c>
      <c r="H85" s="32">
        <v>117.05</v>
      </c>
      <c r="I85" s="34">
        <v>87</v>
      </c>
      <c r="J85" s="34">
        <v>138</v>
      </c>
      <c r="K85" s="35">
        <v>1</v>
      </c>
      <c r="L85" s="34" t="s">
        <v>5</v>
      </c>
      <c r="M85" s="31" t="s">
        <v>354</v>
      </c>
      <c r="N85" s="31" t="s">
        <v>356</v>
      </c>
      <c r="O85" s="31" t="s">
        <v>4</v>
      </c>
      <c r="P85" s="31" t="s">
        <v>3</v>
      </c>
      <c r="Q85" s="36"/>
    </row>
    <row r="86" spans="1:17" x14ac:dyDescent="0.2">
      <c r="A86" s="30">
        <f>RANK(B86,$B$2:$B$551,1)</f>
        <v>85</v>
      </c>
      <c r="B86" s="46">
        <f>AVERAGE(G86,I86,J86)</f>
        <v>163.66666666666666</v>
      </c>
      <c r="C86" s="31" t="s">
        <v>853</v>
      </c>
      <c r="D86" s="66">
        <v>285.94528937285702</v>
      </c>
      <c r="E86" s="66">
        <v>29.8850574712644</v>
      </c>
      <c r="F86" s="66">
        <v>823.94192022449101</v>
      </c>
      <c r="G86" s="33">
        <v>42</v>
      </c>
      <c r="H86" s="32">
        <v>116.81</v>
      </c>
      <c r="I86" s="34">
        <v>116</v>
      </c>
      <c r="J86" s="34">
        <v>333</v>
      </c>
      <c r="K86" s="35">
        <v>-0.41150271107668501</v>
      </c>
      <c r="L86" s="34" t="s">
        <v>5</v>
      </c>
      <c r="M86" s="31" t="s">
        <v>852</v>
      </c>
      <c r="N86" s="31" t="s">
        <v>263</v>
      </c>
      <c r="O86" s="31" t="s">
        <v>4</v>
      </c>
      <c r="P86" s="31" t="s">
        <v>3</v>
      </c>
      <c r="Q86" s="36"/>
    </row>
    <row r="87" spans="1:17" x14ac:dyDescent="0.2">
      <c r="A87" s="30">
        <f>RANK(B87,$B$2:$B$551,1)</f>
        <v>86</v>
      </c>
      <c r="B87" s="46">
        <f>AVERAGE(G87,I87,J87)</f>
        <v>164</v>
      </c>
      <c r="C87" s="31" t="s">
        <v>450</v>
      </c>
      <c r="D87" s="66">
        <v>574.51438311688298</v>
      </c>
      <c r="E87" s="66">
        <v>7</v>
      </c>
      <c r="F87" s="66">
        <v>2461.4640747702601</v>
      </c>
      <c r="G87" s="33">
        <v>197</v>
      </c>
      <c r="H87" s="32">
        <v>117.48</v>
      </c>
      <c r="I87" s="34">
        <v>46</v>
      </c>
      <c r="J87" s="34">
        <v>249</v>
      </c>
      <c r="K87" s="35">
        <v>0.15095255430166199</v>
      </c>
      <c r="L87" s="34" t="s">
        <v>5</v>
      </c>
      <c r="M87" s="31" t="s">
        <v>449</v>
      </c>
      <c r="N87" s="31" t="s">
        <v>55</v>
      </c>
      <c r="O87" s="31" t="s">
        <v>4</v>
      </c>
      <c r="P87" s="31" t="s">
        <v>3</v>
      </c>
      <c r="Q87" s="36"/>
    </row>
    <row r="88" spans="1:17" x14ac:dyDescent="0.2">
      <c r="A88" s="30">
        <f>RANK(B88,$B$2:$B$551,1)</f>
        <v>87</v>
      </c>
      <c r="B88" s="46">
        <f>AVERAGE(G88,I88,J88)</f>
        <v>164.66666666666666</v>
      </c>
      <c r="C88" s="31" t="s">
        <v>91</v>
      </c>
      <c r="D88" s="66">
        <v>4187.0829023921497</v>
      </c>
      <c r="E88" s="66">
        <v>1164.67217569787</v>
      </c>
      <c r="F88" s="66">
        <v>13902.3430329602</v>
      </c>
      <c r="G88" s="33">
        <v>32</v>
      </c>
      <c r="H88" s="32">
        <v>116.44</v>
      </c>
      <c r="I88" s="34">
        <v>179</v>
      </c>
      <c r="J88" s="34">
        <v>283</v>
      </c>
      <c r="K88" s="35">
        <v>-5.3417576105686398E-2</v>
      </c>
      <c r="L88" s="34" t="s">
        <v>5</v>
      </c>
      <c r="M88" s="31" t="s">
        <v>90</v>
      </c>
      <c r="N88" s="31" t="s">
        <v>57</v>
      </c>
      <c r="O88" s="31" t="s">
        <v>4</v>
      </c>
      <c r="P88" s="31" t="s">
        <v>3</v>
      </c>
      <c r="Q88" s="36"/>
    </row>
    <row r="89" spans="1:17" x14ac:dyDescent="0.2">
      <c r="A89" s="30">
        <f>RANK(B89,$B$2:$B$551,1)</f>
        <v>88</v>
      </c>
      <c r="B89" s="46">
        <f>AVERAGE(G89,I89,J89)</f>
        <v>166</v>
      </c>
      <c r="C89" s="31" t="s">
        <v>485</v>
      </c>
      <c r="D89" s="66">
        <v>534.64587570621495</v>
      </c>
      <c r="E89" s="66">
        <v>214.33898305084699</v>
      </c>
      <c r="F89" s="66">
        <v>3301.8007650659101</v>
      </c>
      <c r="G89" s="33">
        <v>119</v>
      </c>
      <c r="H89" s="32">
        <v>116.4</v>
      </c>
      <c r="I89" s="34">
        <v>186</v>
      </c>
      <c r="J89" s="34">
        <v>193</v>
      </c>
      <c r="K89" s="35">
        <v>0.56523495354786601</v>
      </c>
      <c r="L89" s="34" t="s">
        <v>5</v>
      </c>
      <c r="M89" s="31" t="s">
        <v>484</v>
      </c>
      <c r="N89" s="31" t="s">
        <v>486</v>
      </c>
      <c r="O89" s="31" t="s">
        <v>4</v>
      </c>
      <c r="P89" s="31" t="s">
        <v>3</v>
      </c>
      <c r="Q89" s="36"/>
    </row>
    <row r="90" spans="1:17" x14ac:dyDescent="0.2">
      <c r="A90" s="30">
        <f>RANK(B90,$B$2:$B$551,1)</f>
        <v>88</v>
      </c>
      <c r="B90" s="46">
        <f>AVERAGE(G90,I90,J90)</f>
        <v>166</v>
      </c>
      <c r="C90" s="31" t="s">
        <v>927</v>
      </c>
      <c r="D90" s="66">
        <v>77.601282516636402</v>
      </c>
      <c r="E90" s="66">
        <v>28</v>
      </c>
      <c r="F90" s="66">
        <v>823.999757397758</v>
      </c>
      <c r="G90" s="33">
        <v>318</v>
      </c>
      <c r="H90" s="32">
        <v>117.92</v>
      </c>
      <c r="I90" s="34">
        <v>20</v>
      </c>
      <c r="J90" s="34">
        <v>160</v>
      </c>
      <c r="K90" s="35">
        <v>0.84489334651786996</v>
      </c>
      <c r="L90" s="34" t="s">
        <v>5</v>
      </c>
      <c r="M90" s="31" t="s">
        <v>926</v>
      </c>
      <c r="N90" s="31" t="s">
        <v>650</v>
      </c>
      <c r="O90" s="31" t="s">
        <v>4</v>
      </c>
      <c r="P90" s="31" t="s">
        <v>3</v>
      </c>
      <c r="Q90" s="36"/>
    </row>
    <row r="91" spans="1:17" x14ac:dyDescent="0.2">
      <c r="A91" s="30">
        <f>RANK(B91,$B$2:$B$551,1)</f>
        <v>90</v>
      </c>
      <c r="B91" s="46">
        <f>AVERAGE(G91,I91,J91)</f>
        <v>166.33333333333334</v>
      </c>
      <c r="C91" s="31" t="s">
        <v>75</v>
      </c>
      <c r="D91" s="66">
        <v>429.28370941722102</v>
      </c>
      <c r="E91" s="66">
        <v>0</v>
      </c>
      <c r="F91" s="66">
        <v>1244.58325943706</v>
      </c>
      <c r="G91" s="33">
        <v>91</v>
      </c>
      <c r="H91" s="32">
        <v>115.82</v>
      </c>
      <c r="I91" s="34">
        <v>285</v>
      </c>
      <c r="J91" s="34">
        <v>123</v>
      </c>
      <c r="K91" s="35">
        <v>1.1459983326386001</v>
      </c>
      <c r="L91" s="34" t="s">
        <v>26</v>
      </c>
      <c r="M91" s="31" t="s">
        <v>74</v>
      </c>
      <c r="N91" s="31" t="s">
        <v>76</v>
      </c>
      <c r="O91" s="31" t="s">
        <v>4</v>
      </c>
      <c r="P91" s="31" t="s">
        <v>3</v>
      </c>
      <c r="Q91" s="36"/>
    </row>
    <row r="92" spans="1:17" x14ac:dyDescent="0.2">
      <c r="A92" s="30">
        <f>RANK(B92,$B$2:$B$551,1)</f>
        <v>91</v>
      </c>
      <c r="B92" s="46">
        <f>AVERAGE(G92,I92,J92)</f>
        <v>166.66666666666666</v>
      </c>
      <c r="C92" s="31" t="s">
        <v>1100</v>
      </c>
      <c r="D92" s="66">
        <v>207.655621052632</v>
      </c>
      <c r="E92" s="66">
        <v>34</v>
      </c>
      <c r="F92" s="66">
        <v>905.07663813147997</v>
      </c>
      <c r="G92" s="33">
        <v>116</v>
      </c>
      <c r="H92" s="32">
        <v>116.21</v>
      </c>
      <c r="I92" s="34">
        <v>211</v>
      </c>
      <c r="J92" s="34">
        <v>173</v>
      </c>
      <c r="K92" s="35">
        <v>0.71893826944905304</v>
      </c>
      <c r="L92" s="34" t="s">
        <v>5</v>
      </c>
      <c r="M92" s="31" t="s">
        <v>1099</v>
      </c>
      <c r="N92" s="31" t="s">
        <v>641</v>
      </c>
      <c r="O92" s="31" t="s">
        <v>4</v>
      </c>
      <c r="P92" s="31" t="s">
        <v>3</v>
      </c>
      <c r="Q92" s="36"/>
    </row>
    <row r="93" spans="1:17" x14ac:dyDescent="0.2">
      <c r="A93" s="30">
        <f>RANK(B93,$B$2:$B$551,1)</f>
        <v>91</v>
      </c>
      <c r="B93" s="46">
        <f>AVERAGE(G93,I93,J93)</f>
        <v>166.66666666666666</v>
      </c>
      <c r="C93" s="31" t="s">
        <v>938</v>
      </c>
      <c r="D93" s="66">
        <v>392.30854395056798</v>
      </c>
      <c r="E93" s="66">
        <v>24.997241379310299</v>
      </c>
      <c r="F93" s="66">
        <v>1788.6876843677701</v>
      </c>
      <c r="G93" s="33">
        <v>184</v>
      </c>
      <c r="H93" s="32">
        <v>116.11</v>
      </c>
      <c r="I93" s="34">
        <v>239</v>
      </c>
      <c r="J93" s="34">
        <v>77</v>
      </c>
      <c r="K93" s="35">
        <v>1.67851212221853</v>
      </c>
      <c r="L93" s="34" t="s">
        <v>26</v>
      </c>
      <c r="M93" s="31" t="s">
        <v>937</v>
      </c>
      <c r="N93" s="31" t="s">
        <v>939</v>
      </c>
      <c r="O93" s="31" t="s">
        <v>4</v>
      </c>
      <c r="P93" s="31" t="s">
        <v>3</v>
      </c>
      <c r="Q93" s="36"/>
    </row>
    <row r="94" spans="1:17" x14ac:dyDescent="0.2">
      <c r="A94" s="30">
        <f>RANK(B94,$B$2:$B$551,1)</f>
        <v>93</v>
      </c>
      <c r="B94" s="46">
        <f>AVERAGE(G94,I94,J94)</f>
        <v>169.33333333333334</v>
      </c>
      <c r="C94" s="31" t="s">
        <v>522</v>
      </c>
      <c r="D94" s="66">
        <v>359.75689655172403</v>
      </c>
      <c r="E94" s="66">
        <v>101.35632183908</v>
      </c>
      <c r="F94" s="66">
        <v>3122.09888485582</v>
      </c>
      <c r="G94" s="33">
        <v>284</v>
      </c>
      <c r="H94" s="32">
        <v>116.25</v>
      </c>
      <c r="I94" s="34">
        <v>205</v>
      </c>
      <c r="J94" s="34">
        <v>19</v>
      </c>
      <c r="K94" s="35">
        <v>2.94588397156615</v>
      </c>
      <c r="L94" s="34" t="s">
        <v>56</v>
      </c>
      <c r="M94" s="31" t="s">
        <v>521</v>
      </c>
      <c r="N94" s="31" t="s">
        <v>421</v>
      </c>
      <c r="O94" s="31" t="s">
        <v>4</v>
      </c>
      <c r="P94" s="31" t="s">
        <v>3</v>
      </c>
      <c r="Q94" s="36"/>
    </row>
    <row r="95" spans="1:17" x14ac:dyDescent="0.2">
      <c r="A95" s="30">
        <f>RANK(B95,$B$2:$B$551,1)</f>
        <v>94</v>
      </c>
      <c r="B95" s="46">
        <f>AVERAGE(G95,I95,J95)</f>
        <v>169.66666666666666</v>
      </c>
      <c r="C95" s="31" t="s">
        <v>1045</v>
      </c>
      <c r="D95" s="66">
        <v>580.78438596491196</v>
      </c>
      <c r="E95" s="66">
        <v>351.78972978423099</v>
      </c>
      <c r="F95" s="66">
        <v>3517.66908247631</v>
      </c>
      <c r="G95" s="33">
        <v>56</v>
      </c>
      <c r="H95" s="32">
        <v>116.18</v>
      </c>
      <c r="I95" s="34">
        <v>220</v>
      </c>
      <c r="J95" s="34">
        <v>233</v>
      </c>
      <c r="K95" s="35">
        <v>0.24717133620689699</v>
      </c>
      <c r="L95" s="34" t="s">
        <v>5</v>
      </c>
      <c r="M95" s="31" t="s">
        <v>1044</v>
      </c>
      <c r="N95" s="31" t="s">
        <v>57</v>
      </c>
      <c r="O95" s="31" t="s">
        <v>4</v>
      </c>
      <c r="P95" s="31" t="s">
        <v>3</v>
      </c>
      <c r="Q95" s="36"/>
    </row>
    <row r="96" spans="1:17" x14ac:dyDescent="0.2">
      <c r="A96" s="30">
        <f>RANK(B96,$B$2:$B$551,1)</f>
        <v>95</v>
      </c>
      <c r="B96" s="46">
        <f>AVERAGE(G96,I96,J96)</f>
        <v>171.66666666666666</v>
      </c>
      <c r="C96" s="31" t="s">
        <v>872</v>
      </c>
      <c r="D96" s="66">
        <v>459.45518978882598</v>
      </c>
      <c r="E96" s="66">
        <v>55.770459770114897</v>
      </c>
      <c r="F96" s="66">
        <v>1912.6382196684101</v>
      </c>
      <c r="G96" s="33">
        <v>122</v>
      </c>
      <c r="H96" s="32">
        <v>115.69</v>
      </c>
      <c r="I96" s="34">
        <v>303</v>
      </c>
      <c r="J96" s="34">
        <v>90</v>
      </c>
      <c r="K96" s="35">
        <v>1.5190487458589701</v>
      </c>
      <c r="L96" s="34" t="s">
        <v>26</v>
      </c>
      <c r="M96" s="31" t="s">
        <v>871</v>
      </c>
      <c r="N96" s="31" t="s">
        <v>211</v>
      </c>
      <c r="O96" s="31" t="s">
        <v>4</v>
      </c>
      <c r="P96" s="31" t="s">
        <v>3</v>
      </c>
      <c r="Q96" s="36"/>
    </row>
    <row r="97" spans="1:17" x14ac:dyDescent="0.2">
      <c r="A97" s="30">
        <f>RANK(B97,$B$2:$B$551,1)</f>
        <v>96</v>
      </c>
      <c r="B97" s="46">
        <f>AVERAGE(G97,I97,J97)</f>
        <v>173</v>
      </c>
      <c r="C97" s="31" t="s">
        <v>739</v>
      </c>
      <c r="D97" s="66">
        <v>379.23947206629202</v>
      </c>
      <c r="E97" s="66">
        <v>40.465517241379303</v>
      </c>
      <c r="F97" s="66">
        <v>2369.8633876572599</v>
      </c>
      <c r="G97" s="33">
        <v>264</v>
      </c>
      <c r="H97" s="32">
        <v>116.41</v>
      </c>
      <c r="I97" s="34">
        <v>184</v>
      </c>
      <c r="J97" s="34">
        <v>71</v>
      </c>
      <c r="K97" s="35">
        <v>1.77695879708115</v>
      </c>
      <c r="L97" s="34" t="s">
        <v>26</v>
      </c>
      <c r="M97" s="31" t="s">
        <v>738</v>
      </c>
      <c r="N97" s="31" t="s">
        <v>60</v>
      </c>
      <c r="O97" s="31" t="s">
        <v>4</v>
      </c>
      <c r="P97" s="31" t="s">
        <v>3</v>
      </c>
      <c r="Q97" s="36"/>
    </row>
    <row r="98" spans="1:17" x14ac:dyDescent="0.2">
      <c r="A98" s="30">
        <f>RANK(B98,$B$2:$B$551,1)</f>
        <v>97</v>
      </c>
      <c r="B98" s="46">
        <f>AVERAGE(G98,I98,J98)</f>
        <v>173.33333333333334</v>
      </c>
      <c r="C98" s="31" t="s">
        <v>415</v>
      </c>
      <c r="D98" s="66">
        <v>83.236590909090907</v>
      </c>
      <c r="E98" s="66">
        <v>6</v>
      </c>
      <c r="F98" s="66">
        <v>784.27736628661501</v>
      </c>
      <c r="G98" s="33">
        <v>445</v>
      </c>
      <c r="H98" s="32">
        <v>117.69</v>
      </c>
      <c r="I98" s="34">
        <v>32</v>
      </c>
      <c r="J98" s="34">
        <v>43</v>
      </c>
      <c r="K98" s="35">
        <v>2.2897836328738399</v>
      </c>
      <c r="L98" s="34" t="s">
        <v>56</v>
      </c>
      <c r="M98" s="31" t="s">
        <v>414</v>
      </c>
      <c r="N98" s="31" t="s">
        <v>416</v>
      </c>
      <c r="O98" s="31" t="s">
        <v>4</v>
      </c>
      <c r="P98" s="31" t="s">
        <v>3</v>
      </c>
      <c r="Q98" s="36"/>
    </row>
    <row r="99" spans="1:17" x14ac:dyDescent="0.2">
      <c r="A99" s="30">
        <f>RANK(B99,$B$2:$B$551,1)</f>
        <v>98</v>
      </c>
      <c r="B99" s="46">
        <f>AVERAGE(G99,I99,J99)</f>
        <v>174</v>
      </c>
      <c r="C99" s="31" t="s">
        <v>389</v>
      </c>
      <c r="D99" s="66">
        <v>354.258620689655</v>
      </c>
      <c r="E99" s="66">
        <v>241.72988505747099</v>
      </c>
      <c r="F99" s="66">
        <v>2714.8789737134798</v>
      </c>
      <c r="G99" s="33">
        <v>97</v>
      </c>
      <c r="H99" s="32">
        <v>116.59</v>
      </c>
      <c r="I99" s="34">
        <v>153</v>
      </c>
      <c r="J99" s="34">
        <v>272</v>
      </c>
      <c r="K99" s="35">
        <v>-1.01726993139342E-2</v>
      </c>
      <c r="L99" s="34" t="s">
        <v>5</v>
      </c>
      <c r="M99" s="31" t="s">
        <v>388</v>
      </c>
      <c r="N99" s="31" t="s">
        <v>65</v>
      </c>
      <c r="O99" s="31" t="s">
        <v>4</v>
      </c>
      <c r="P99" s="31" t="s">
        <v>3</v>
      </c>
      <c r="Q99" s="36"/>
    </row>
    <row r="100" spans="1:17" x14ac:dyDescent="0.2">
      <c r="A100" s="30">
        <f>RANK(B100,$B$2:$B$551,1)</f>
        <v>99</v>
      </c>
      <c r="B100" s="46">
        <f>AVERAGE(G100,I100,J100)</f>
        <v>177.5</v>
      </c>
      <c r="C100" s="31" t="s">
        <v>1295</v>
      </c>
      <c r="D100" s="66">
        <v>74.187134502923996</v>
      </c>
      <c r="E100" s="66">
        <v>36.0409356725146</v>
      </c>
      <c r="F100" s="66">
        <v>622.06351817042605</v>
      </c>
      <c r="G100" s="33">
        <v>186</v>
      </c>
      <c r="H100" s="32">
        <v>116.5</v>
      </c>
      <c r="I100" s="34">
        <v>169</v>
      </c>
      <c r="J100" s="34" t="s">
        <v>116</v>
      </c>
      <c r="K100" s="35" t="s">
        <v>116</v>
      </c>
      <c r="L100" s="34" t="s">
        <v>116</v>
      </c>
      <c r="M100" s="31" t="s">
        <v>1296</v>
      </c>
      <c r="N100" s="31" t="s">
        <v>339</v>
      </c>
      <c r="O100" s="31" t="s">
        <v>4</v>
      </c>
      <c r="P100" s="31" t="s">
        <v>3</v>
      </c>
      <c r="Q100" s="36" t="s">
        <v>1254</v>
      </c>
    </row>
    <row r="101" spans="1:17" x14ac:dyDescent="0.2">
      <c r="A101" s="30">
        <f>RANK(B101,$B$2:$B$551,1)</f>
        <v>100</v>
      </c>
      <c r="B101" s="46">
        <f>AVERAGE(G101,I101,J101)</f>
        <v>179</v>
      </c>
      <c r="C101" s="31" t="s">
        <v>557</v>
      </c>
      <c r="D101" s="66">
        <v>198.199770258981</v>
      </c>
      <c r="E101" s="66">
        <v>47.029239766081901</v>
      </c>
      <c r="F101" s="66">
        <v>1939.0359705476701</v>
      </c>
      <c r="G101" s="33">
        <v>355</v>
      </c>
      <c r="H101" s="32">
        <v>116.76</v>
      </c>
      <c r="I101" s="34">
        <v>124</v>
      </c>
      <c r="J101" s="34">
        <v>58</v>
      </c>
      <c r="K101" s="35">
        <v>2.0678958659476998</v>
      </c>
      <c r="L101" s="34" t="s">
        <v>56</v>
      </c>
      <c r="M101" s="31" t="s">
        <v>556</v>
      </c>
      <c r="N101" s="31" t="s">
        <v>339</v>
      </c>
      <c r="O101" s="31" t="s">
        <v>4</v>
      </c>
      <c r="P101" s="31" t="s">
        <v>3</v>
      </c>
      <c r="Q101" s="36"/>
    </row>
    <row r="102" spans="1:17" x14ac:dyDescent="0.2">
      <c r="A102" s="30">
        <f>RANK(B102,$B$2:$B$551,1)</f>
        <v>101</v>
      </c>
      <c r="B102" s="46">
        <f>AVERAGE(G102,I102,J102)</f>
        <v>179.66666666666666</v>
      </c>
      <c r="C102" s="31" t="s">
        <v>288</v>
      </c>
      <c r="D102" s="66">
        <v>495.385747508306</v>
      </c>
      <c r="E102" s="66">
        <v>1</v>
      </c>
      <c r="F102" s="66">
        <v>4488.8438279956799</v>
      </c>
      <c r="G102" s="33">
        <v>469</v>
      </c>
      <c r="H102" s="32">
        <v>117.67</v>
      </c>
      <c r="I102" s="34">
        <v>36</v>
      </c>
      <c r="J102" s="34">
        <v>34</v>
      </c>
      <c r="K102" s="35">
        <v>2.5009261709446902</v>
      </c>
      <c r="L102" s="34" t="s">
        <v>56</v>
      </c>
      <c r="M102" s="31" t="s">
        <v>287</v>
      </c>
      <c r="N102" s="31" t="s">
        <v>289</v>
      </c>
      <c r="O102" s="31" t="s">
        <v>4</v>
      </c>
      <c r="P102" s="31" t="s">
        <v>3</v>
      </c>
      <c r="Q102" s="36"/>
    </row>
    <row r="103" spans="1:17" x14ac:dyDescent="0.2">
      <c r="A103" s="30">
        <f>RANK(B103,$B$2:$B$551,1)</f>
        <v>102</v>
      </c>
      <c r="B103" s="46">
        <f>AVERAGE(G103,I103,J103)</f>
        <v>180.33333333333334</v>
      </c>
      <c r="C103" s="31" t="s">
        <v>578</v>
      </c>
      <c r="D103" s="66">
        <v>305.48539917423602</v>
      </c>
      <c r="E103" s="66">
        <v>90.474285714285699</v>
      </c>
      <c r="F103" s="66">
        <v>1470.1989674649101</v>
      </c>
      <c r="G103" s="33">
        <v>86</v>
      </c>
      <c r="H103" s="32">
        <v>115.56</v>
      </c>
      <c r="I103" s="34">
        <v>324</v>
      </c>
      <c r="J103" s="34">
        <v>131</v>
      </c>
      <c r="K103" s="35">
        <v>1.0780020851104199</v>
      </c>
      <c r="L103" s="34" t="s">
        <v>26</v>
      </c>
      <c r="M103" s="31" t="s">
        <v>577</v>
      </c>
      <c r="N103" s="31" t="s">
        <v>490</v>
      </c>
      <c r="O103" s="31" t="s">
        <v>4</v>
      </c>
      <c r="P103" s="31" t="s">
        <v>3</v>
      </c>
      <c r="Q103" s="36"/>
    </row>
    <row r="104" spans="1:17" x14ac:dyDescent="0.2">
      <c r="A104" s="30">
        <f>RANK(B104,$B$2:$B$551,1)</f>
        <v>103</v>
      </c>
      <c r="B104" s="46">
        <f>AVERAGE(G104,I104,J104)</f>
        <v>180.66666666666666</v>
      </c>
      <c r="C104" s="31" t="s">
        <v>923</v>
      </c>
      <c r="D104" s="66">
        <v>132.634685944778</v>
      </c>
      <c r="E104" s="66">
        <v>34.204252873563199</v>
      </c>
      <c r="F104" s="66">
        <v>1181.49902185016</v>
      </c>
      <c r="G104" s="33">
        <v>309</v>
      </c>
      <c r="H104" s="32">
        <v>116.59</v>
      </c>
      <c r="I104" s="34">
        <v>153</v>
      </c>
      <c r="J104" s="34">
        <v>80</v>
      </c>
      <c r="K104" s="35">
        <v>1.6527637465723799</v>
      </c>
      <c r="L104" s="34" t="s">
        <v>26</v>
      </c>
      <c r="M104" s="31" t="s">
        <v>922</v>
      </c>
      <c r="N104" s="31" t="s">
        <v>490</v>
      </c>
      <c r="O104" s="31" t="s">
        <v>4</v>
      </c>
      <c r="P104" s="31" t="s">
        <v>3</v>
      </c>
      <c r="Q104" s="36"/>
    </row>
    <row r="105" spans="1:17" x14ac:dyDescent="0.2">
      <c r="A105" s="30">
        <f>RANK(B105,$B$2:$B$551,1)</f>
        <v>103</v>
      </c>
      <c r="B105" s="46">
        <f>AVERAGE(G105,I105,J105)</f>
        <v>180.66666666666666</v>
      </c>
      <c r="C105" s="31" t="s">
        <v>418</v>
      </c>
      <c r="D105" s="66">
        <v>121.408137408568</v>
      </c>
      <c r="E105" s="66">
        <v>19.772727272727298</v>
      </c>
      <c r="F105" s="66">
        <v>1191.63329473826</v>
      </c>
      <c r="G105" s="33">
        <v>397</v>
      </c>
      <c r="H105" s="32">
        <v>117.42</v>
      </c>
      <c r="I105" s="34">
        <v>53</v>
      </c>
      <c r="J105" s="34">
        <v>92</v>
      </c>
      <c r="K105" s="35">
        <v>1.49625668449198</v>
      </c>
      <c r="L105" s="34" t="s">
        <v>26</v>
      </c>
      <c r="M105" s="31" t="s">
        <v>417</v>
      </c>
      <c r="N105" s="31" t="s">
        <v>84</v>
      </c>
      <c r="O105" s="31" t="s">
        <v>4</v>
      </c>
      <c r="P105" s="31" t="s">
        <v>3</v>
      </c>
      <c r="Q105" s="36"/>
    </row>
    <row r="106" spans="1:17" x14ac:dyDescent="0.2">
      <c r="A106" s="30">
        <f>RANK(B106,$B$2:$B$551,1)</f>
        <v>105</v>
      </c>
      <c r="B106" s="46">
        <f>AVERAGE(G106,I106,J106)</f>
        <v>181</v>
      </c>
      <c r="C106" s="31" t="s">
        <v>592</v>
      </c>
      <c r="D106" s="66">
        <v>191.56285714285701</v>
      </c>
      <c r="E106" s="66">
        <v>34</v>
      </c>
      <c r="F106" s="66">
        <v>1563.6011981566801</v>
      </c>
      <c r="G106" s="33">
        <v>316</v>
      </c>
      <c r="H106" s="32">
        <v>117.87</v>
      </c>
      <c r="I106" s="34">
        <v>23</v>
      </c>
      <c r="J106" s="34">
        <v>204</v>
      </c>
      <c r="K106" s="35">
        <v>0.40870993317476501</v>
      </c>
      <c r="L106" s="34" t="s">
        <v>5</v>
      </c>
      <c r="M106" s="31" t="s">
        <v>591</v>
      </c>
      <c r="N106" s="31" t="s">
        <v>32</v>
      </c>
      <c r="O106" s="31" t="s">
        <v>4</v>
      </c>
      <c r="P106" s="31" t="s">
        <v>3</v>
      </c>
      <c r="Q106" s="36"/>
    </row>
    <row r="107" spans="1:17" x14ac:dyDescent="0.2">
      <c r="A107" s="30">
        <f>RANK(B107,$B$2:$B$551,1)</f>
        <v>106</v>
      </c>
      <c r="B107" s="46">
        <f>AVERAGE(G107,I107,J107)</f>
        <v>181.33333333333334</v>
      </c>
      <c r="C107" s="31" t="s">
        <v>943</v>
      </c>
      <c r="D107" s="66">
        <v>545.85463687150798</v>
      </c>
      <c r="E107" s="66">
        <v>0</v>
      </c>
      <c r="F107" s="66">
        <v>1678.68706433592</v>
      </c>
      <c r="G107" s="33">
        <v>105</v>
      </c>
      <c r="H107" s="32">
        <v>116.14</v>
      </c>
      <c r="I107" s="34">
        <v>228</v>
      </c>
      <c r="J107" s="34">
        <v>211</v>
      </c>
      <c r="K107" s="35">
        <v>0.35720930232558101</v>
      </c>
      <c r="L107" s="34" t="s">
        <v>5</v>
      </c>
      <c r="M107" s="31" t="s">
        <v>942</v>
      </c>
      <c r="N107" s="31" t="s">
        <v>10</v>
      </c>
      <c r="O107" s="31" t="s">
        <v>4</v>
      </c>
      <c r="P107" s="31" t="s">
        <v>3</v>
      </c>
      <c r="Q107" s="36"/>
    </row>
    <row r="108" spans="1:17" x14ac:dyDescent="0.2">
      <c r="A108" s="30">
        <f>RANK(B108,$B$2:$B$551,1)</f>
        <v>107</v>
      </c>
      <c r="B108" s="46">
        <f>AVERAGE(G108,I108,J108)</f>
        <v>182.66666666666666</v>
      </c>
      <c r="C108" s="31" t="s">
        <v>598</v>
      </c>
      <c r="D108" s="66">
        <v>89.6279069767442</v>
      </c>
      <c r="E108" s="66">
        <v>32</v>
      </c>
      <c r="F108" s="66">
        <v>1084.7578488372101</v>
      </c>
      <c r="G108" s="33">
        <v>380</v>
      </c>
      <c r="H108" s="32">
        <v>117.3</v>
      </c>
      <c r="I108" s="34">
        <v>64</v>
      </c>
      <c r="J108" s="34">
        <v>104</v>
      </c>
      <c r="K108" s="35">
        <v>1.37122920021471</v>
      </c>
      <c r="L108" s="34" t="s">
        <v>26</v>
      </c>
      <c r="M108" s="31" t="s">
        <v>597</v>
      </c>
      <c r="N108" s="31" t="s">
        <v>359</v>
      </c>
      <c r="O108" s="31" t="s">
        <v>4</v>
      </c>
      <c r="P108" s="31" t="s">
        <v>3</v>
      </c>
      <c r="Q108" s="36"/>
    </row>
    <row r="109" spans="1:17" x14ac:dyDescent="0.2">
      <c r="A109" s="30">
        <f>RANK(B109,$B$2:$B$551,1)</f>
        <v>108</v>
      </c>
      <c r="B109" s="46">
        <f>AVERAGE(G109,I109,J109)</f>
        <v>183.66666666666666</v>
      </c>
      <c r="C109" s="31" t="s">
        <v>774</v>
      </c>
      <c r="D109" s="66">
        <v>219.427788324939</v>
      </c>
      <c r="E109" s="66">
        <v>0</v>
      </c>
      <c r="F109" s="66">
        <v>1005.1011306987</v>
      </c>
      <c r="G109" s="33">
        <v>236</v>
      </c>
      <c r="H109" s="32">
        <v>116.2</v>
      </c>
      <c r="I109" s="34">
        <v>214</v>
      </c>
      <c r="J109" s="34">
        <v>101</v>
      </c>
      <c r="K109" s="35">
        <v>1.3836571998006999</v>
      </c>
      <c r="L109" s="34" t="s">
        <v>26</v>
      </c>
      <c r="M109" s="31" t="s">
        <v>773</v>
      </c>
      <c r="N109" s="31" t="s">
        <v>392</v>
      </c>
      <c r="O109" s="31" t="s">
        <v>4</v>
      </c>
      <c r="P109" s="31" t="s">
        <v>3</v>
      </c>
      <c r="Q109" s="36"/>
    </row>
    <row r="110" spans="1:17" x14ac:dyDescent="0.2">
      <c r="A110" s="30">
        <f>RANK(B110,$B$2:$B$551,1)</f>
        <v>109</v>
      </c>
      <c r="B110" s="46">
        <f>AVERAGE(G110,I110,J110)</f>
        <v>184.66666666666666</v>
      </c>
      <c r="C110" s="31" t="s">
        <v>51</v>
      </c>
      <c r="D110" s="66">
        <v>80.771727574750798</v>
      </c>
      <c r="E110" s="66">
        <v>25.4914285714286</v>
      </c>
      <c r="F110" s="66">
        <v>768.59564248204902</v>
      </c>
      <c r="G110" s="33">
        <v>300</v>
      </c>
      <c r="H110" s="32">
        <v>116.92</v>
      </c>
      <c r="I110" s="34">
        <v>108</v>
      </c>
      <c r="J110" s="34">
        <v>146</v>
      </c>
      <c r="K110" s="35">
        <v>0.93970806008038898</v>
      </c>
      <c r="L110" s="34" t="s">
        <v>5</v>
      </c>
      <c r="M110" s="31" t="s">
        <v>50</v>
      </c>
      <c r="N110" s="31" t="s">
        <v>52</v>
      </c>
      <c r="O110" s="31" t="s">
        <v>4</v>
      </c>
      <c r="P110" s="31" t="s">
        <v>3</v>
      </c>
      <c r="Q110" s="36"/>
    </row>
    <row r="111" spans="1:17" x14ac:dyDescent="0.2">
      <c r="A111" s="30">
        <f>RANK(B111,$B$2:$B$551,1)</f>
        <v>109</v>
      </c>
      <c r="B111" s="46">
        <f>AVERAGE(G111,I111,J111)</f>
        <v>184.66666666666666</v>
      </c>
      <c r="C111" s="31" t="s">
        <v>252</v>
      </c>
      <c r="D111" s="66">
        <v>341.50542372881398</v>
      </c>
      <c r="E111" s="66">
        <v>42.616610169491501</v>
      </c>
      <c r="F111" s="66">
        <v>3359.3913395298</v>
      </c>
      <c r="G111" s="33">
        <v>424</v>
      </c>
      <c r="H111" s="32">
        <v>117.03</v>
      </c>
      <c r="I111" s="34">
        <v>90</v>
      </c>
      <c r="J111" s="34">
        <v>40</v>
      </c>
      <c r="K111" s="35">
        <v>2.3800395968322499</v>
      </c>
      <c r="L111" s="34" t="s">
        <v>56</v>
      </c>
      <c r="M111" s="31" t="s">
        <v>251</v>
      </c>
      <c r="N111" s="31" t="s">
        <v>10</v>
      </c>
      <c r="O111" s="31" t="s">
        <v>4</v>
      </c>
      <c r="P111" s="31" t="s">
        <v>3</v>
      </c>
      <c r="Q111" s="36"/>
    </row>
    <row r="112" spans="1:17" x14ac:dyDescent="0.2">
      <c r="A112" s="30">
        <f>RANK(B112,$B$2:$B$551,1)</f>
        <v>111</v>
      </c>
      <c r="B112" s="46">
        <f>AVERAGE(G112,I112,J112)</f>
        <v>185</v>
      </c>
      <c r="C112" s="31" t="s">
        <v>714</v>
      </c>
      <c r="D112" s="66">
        <v>470.84395685909402</v>
      </c>
      <c r="E112" s="66">
        <v>28.8368888888889</v>
      </c>
      <c r="F112" s="66">
        <v>1392.6835745179301</v>
      </c>
      <c r="G112" s="33">
        <v>69</v>
      </c>
      <c r="H112" s="32">
        <v>115.11</v>
      </c>
      <c r="I112" s="34">
        <v>386</v>
      </c>
      <c r="J112" s="34">
        <v>100</v>
      </c>
      <c r="K112" s="35">
        <v>1.3839788149619301</v>
      </c>
      <c r="L112" s="34" t="s">
        <v>26</v>
      </c>
      <c r="M112" s="31" t="s">
        <v>956</v>
      </c>
      <c r="N112" s="31" t="s">
        <v>16</v>
      </c>
      <c r="O112" s="31" t="s">
        <v>4</v>
      </c>
      <c r="P112" s="31" t="s">
        <v>3</v>
      </c>
      <c r="Q112" s="36"/>
    </row>
    <row r="113" spans="1:17" x14ac:dyDescent="0.2">
      <c r="A113" s="30">
        <f>RANK(B113,$B$2:$B$551,1)</f>
        <v>112</v>
      </c>
      <c r="B113" s="46">
        <f>AVERAGE(G113,I113,J113)</f>
        <v>187.66666666666666</v>
      </c>
      <c r="C113" s="31" t="s">
        <v>375</v>
      </c>
      <c r="D113" s="66">
        <v>235.03301724137901</v>
      </c>
      <c r="E113" s="66">
        <v>110.358448275862</v>
      </c>
      <c r="F113" s="66">
        <v>2320.6956253581402</v>
      </c>
      <c r="G113" s="33">
        <v>251</v>
      </c>
      <c r="H113" s="32">
        <v>116.74</v>
      </c>
      <c r="I113" s="34">
        <v>126</v>
      </c>
      <c r="J113" s="34">
        <v>186</v>
      </c>
      <c r="K113" s="35">
        <v>0.62833320223393396</v>
      </c>
      <c r="L113" s="34" t="s">
        <v>5</v>
      </c>
      <c r="M113" s="31" t="s">
        <v>374</v>
      </c>
      <c r="N113" s="31" t="s">
        <v>106</v>
      </c>
      <c r="O113" s="31" t="s">
        <v>4</v>
      </c>
      <c r="P113" s="31" t="s">
        <v>3</v>
      </c>
      <c r="Q113" s="36"/>
    </row>
    <row r="114" spans="1:17" x14ac:dyDescent="0.2">
      <c r="A114" s="30">
        <f>RANK(B114,$B$2:$B$551,1)</f>
        <v>113</v>
      </c>
      <c r="B114" s="46">
        <f>AVERAGE(G114,I114,J114)</f>
        <v>189</v>
      </c>
      <c r="C114" s="31" t="s">
        <v>28</v>
      </c>
      <c r="D114" s="66">
        <v>221.09786196810401</v>
      </c>
      <c r="E114" s="66">
        <v>57.988439306358501</v>
      </c>
      <c r="F114" s="66">
        <v>1512.2142844658499</v>
      </c>
      <c r="G114" s="33">
        <v>210</v>
      </c>
      <c r="H114" s="32">
        <v>116.35</v>
      </c>
      <c r="I114" s="34">
        <v>191</v>
      </c>
      <c r="J114" s="34">
        <v>166</v>
      </c>
      <c r="K114" s="35">
        <v>0.78828562026982596</v>
      </c>
      <c r="L114" s="34" t="s">
        <v>5</v>
      </c>
      <c r="M114" s="31" t="s">
        <v>27</v>
      </c>
      <c r="N114" s="31" t="s">
        <v>29</v>
      </c>
      <c r="O114" s="31" t="s">
        <v>4</v>
      </c>
      <c r="P114" s="31" t="s">
        <v>3</v>
      </c>
      <c r="Q114" s="36"/>
    </row>
    <row r="115" spans="1:17" x14ac:dyDescent="0.2">
      <c r="A115" s="30">
        <f>RANK(B115,$B$2:$B$551,1)</f>
        <v>114</v>
      </c>
      <c r="B115" s="46">
        <f>AVERAGE(G115,I115,J115)</f>
        <v>190.66666666666666</v>
      </c>
      <c r="C115" s="31" t="s">
        <v>573</v>
      </c>
      <c r="D115" s="66">
        <v>215.927982115709</v>
      </c>
      <c r="E115" s="66">
        <v>0</v>
      </c>
      <c r="F115" s="66">
        <v>1724.66109755911</v>
      </c>
      <c r="G115" s="33">
        <v>437</v>
      </c>
      <c r="H115" s="32">
        <v>116.95</v>
      </c>
      <c r="I115" s="34">
        <v>104</v>
      </c>
      <c r="J115" s="34">
        <v>31</v>
      </c>
      <c r="K115" s="35">
        <v>2.5842645726366702</v>
      </c>
      <c r="L115" s="34" t="s">
        <v>56</v>
      </c>
      <c r="M115" s="31" t="s">
        <v>572</v>
      </c>
      <c r="N115" s="31" t="s">
        <v>94</v>
      </c>
      <c r="O115" s="31" t="s">
        <v>4</v>
      </c>
      <c r="P115" s="31" t="s">
        <v>3</v>
      </c>
      <c r="Q115" s="36"/>
    </row>
    <row r="116" spans="1:17" x14ac:dyDescent="0.2">
      <c r="A116" s="30">
        <f>RANK(B116,$B$2:$B$551,1)</f>
        <v>115</v>
      </c>
      <c r="B116" s="46">
        <f>AVERAGE(G116,I116,J116)</f>
        <v>192</v>
      </c>
      <c r="C116" s="31" t="s">
        <v>476</v>
      </c>
      <c r="D116" s="66">
        <v>203.48424284950499</v>
      </c>
      <c r="E116" s="66">
        <v>44</v>
      </c>
      <c r="F116" s="66">
        <v>1219.21730033381</v>
      </c>
      <c r="G116" s="33">
        <v>189</v>
      </c>
      <c r="H116" s="32">
        <v>116.69</v>
      </c>
      <c r="I116" s="34">
        <v>136</v>
      </c>
      <c r="J116" s="34">
        <v>251</v>
      </c>
      <c r="K116" s="35">
        <v>0.123839928725221</v>
      </c>
      <c r="L116" s="34" t="s">
        <v>5</v>
      </c>
      <c r="M116" s="31" t="s">
        <v>475</v>
      </c>
      <c r="N116" s="31" t="s">
        <v>13</v>
      </c>
      <c r="O116" s="31" t="s">
        <v>4</v>
      </c>
      <c r="P116" s="31" t="s">
        <v>3</v>
      </c>
      <c r="Q116" s="36"/>
    </row>
    <row r="117" spans="1:17" x14ac:dyDescent="0.2">
      <c r="A117" s="30">
        <f>RANK(B117,$B$2:$B$551,1)</f>
        <v>115</v>
      </c>
      <c r="B117" s="46">
        <f>AVERAGE(G117,I117,J117)</f>
        <v>192</v>
      </c>
      <c r="C117" s="31" t="s">
        <v>195</v>
      </c>
      <c r="D117" s="66">
        <v>228.326833011264</v>
      </c>
      <c r="E117" s="66">
        <v>228.326833011264</v>
      </c>
      <c r="F117" s="66">
        <v>4871.2918667500999</v>
      </c>
      <c r="G117" s="33">
        <v>373</v>
      </c>
      <c r="H117" s="32">
        <v>119.28</v>
      </c>
      <c r="I117" s="34">
        <v>2</v>
      </c>
      <c r="J117" s="34">
        <v>201</v>
      </c>
      <c r="K117" s="35">
        <v>0.43462287535410798</v>
      </c>
      <c r="L117" s="34" t="s">
        <v>5</v>
      </c>
      <c r="M117" s="31" t="s">
        <v>194</v>
      </c>
      <c r="N117" s="31" t="s">
        <v>55</v>
      </c>
      <c r="O117" s="31" t="s">
        <v>4</v>
      </c>
      <c r="P117" s="31" t="s">
        <v>3</v>
      </c>
      <c r="Q117" s="36"/>
    </row>
    <row r="118" spans="1:17" x14ac:dyDescent="0.2">
      <c r="A118" s="30">
        <f>RANK(B118,$B$2:$B$551,1)</f>
        <v>117</v>
      </c>
      <c r="B118" s="46">
        <f>AVERAGE(G118,I118,J118)</f>
        <v>192.33333333333334</v>
      </c>
      <c r="C118" s="31" t="s">
        <v>341</v>
      </c>
      <c r="D118" s="66">
        <v>477.88186805778503</v>
      </c>
      <c r="E118" s="66">
        <v>128.73142857142901</v>
      </c>
      <c r="F118" s="66">
        <v>1815.37903499197</v>
      </c>
      <c r="G118" s="33">
        <v>41</v>
      </c>
      <c r="H118" s="32">
        <v>116.18</v>
      </c>
      <c r="I118" s="34">
        <v>220</v>
      </c>
      <c r="J118" s="34">
        <v>316</v>
      </c>
      <c r="K118" s="35">
        <v>-0.26214864221057599</v>
      </c>
      <c r="L118" s="34" t="s">
        <v>5</v>
      </c>
      <c r="M118" s="31" t="s">
        <v>340</v>
      </c>
      <c r="N118" s="31" t="s">
        <v>140</v>
      </c>
      <c r="O118" s="31" t="s">
        <v>4</v>
      </c>
      <c r="P118" s="31" t="s">
        <v>3</v>
      </c>
      <c r="Q118" s="36"/>
    </row>
    <row r="119" spans="1:17" x14ac:dyDescent="0.2">
      <c r="A119" s="30">
        <f>RANK(B119,$B$2:$B$551,1)</f>
        <v>117</v>
      </c>
      <c r="B119" s="46">
        <f>AVERAGE(G119,I119,J119)</f>
        <v>192.33333333333334</v>
      </c>
      <c r="C119" s="31" t="s">
        <v>500</v>
      </c>
      <c r="D119" s="66">
        <v>107.244289252787</v>
      </c>
      <c r="E119" s="66">
        <v>2</v>
      </c>
      <c r="F119" s="66">
        <v>666.90396689408999</v>
      </c>
      <c r="G119" s="33">
        <v>319</v>
      </c>
      <c r="H119" s="32">
        <v>117.33</v>
      </c>
      <c r="I119" s="34">
        <v>61</v>
      </c>
      <c r="J119" s="34">
        <v>197</v>
      </c>
      <c r="K119" s="35">
        <v>0.474633641287034</v>
      </c>
      <c r="L119" s="34" t="s">
        <v>5</v>
      </c>
      <c r="M119" s="31" t="s">
        <v>499</v>
      </c>
      <c r="N119" s="31" t="s">
        <v>474</v>
      </c>
      <c r="O119" s="31" t="s">
        <v>4</v>
      </c>
      <c r="P119" s="31" t="s">
        <v>3</v>
      </c>
      <c r="Q119" s="36"/>
    </row>
    <row r="120" spans="1:17" x14ac:dyDescent="0.2">
      <c r="A120" s="30">
        <f>RANK(B120,$B$2:$B$551,1)</f>
        <v>119</v>
      </c>
      <c r="B120" s="46">
        <f>AVERAGE(G120,I120,J120)</f>
        <v>194.33333333333334</v>
      </c>
      <c r="C120" s="31" t="s">
        <v>582</v>
      </c>
      <c r="D120" s="66">
        <v>145.35838150289001</v>
      </c>
      <c r="E120" s="66">
        <v>16</v>
      </c>
      <c r="F120" s="66">
        <v>697.70268506433001</v>
      </c>
      <c r="G120" s="33">
        <v>173</v>
      </c>
      <c r="H120" s="32">
        <v>116.32</v>
      </c>
      <c r="I120" s="34">
        <v>195</v>
      </c>
      <c r="J120" s="34">
        <v>215</v>
      </c>
      <c r="K120" s="35">
        <v>0.33180930609134601</v>
      </c>
      <c r="L120" s="34" t="s">
        <v>5</v>
      </c>
      <c r="M120" s="31" t="s">
        <v>581</v>
      </c>
      <c r="N120" s="31" t="s">
        <v>314</v>
      </c>
      <c r="O120" s="31" t="s">
        <v>4</v>
      </c>
      <c r="P120" s="31" t="s">
        <v>3</v>
      </c>
      <c r="Q120" s="36"/>
    </row>
    <row r="121" spans="1:17" x14ac:dyDescent="0.2">
      <c r="A121" s="30">
        <f>RANK(B121,$B$2:$B$551,1)</f>
        <v>120</v>
      </c>
      <c r="B121" s="46">
        <f>AVERAGE(G121,I121,J121)</f>
        <v>196.33333333333334</v>
      </c>
      <c r="C121" s="31" t="s">
        <v>847</v>
      </c>
      <c r="D121" s="66">
        <v>244.93063583815001</v>
      </c>
      <c r="E121" s="66">
        <v>86.381502890173394</v>
      </c>
      <c r="F121" s="66">
        <v>1088.7987432407199</v>
      </c>
      <c r="G121" s="33">
        <v>49</v>
      </c>
      <c r="H121" s="32">
        <v>115.08</v>
      </c>
      <c r="I121" s="34">
        <v>389</v>
      </c>
      <c r="J121" s="34">
        <v>151</v>
      </c>
      <c r="K121" s="35">
        <v>0.88572461802730296</v>
      </c>
      <c r="L121" s="34" t="s">
        <v>5</v>
      </c>
      <c r="M121" s="31" t="s">
        <v>846</v>
      </c>
      <c r="N121" s="31" t="s">
        <v>576</v>
      </c>
      <c r="O121" s="31" t="s">
        <v>4</v>
      </c>
      <c r="P121" s="31" t="s">
        <v>3</v>
      </c>
      <c r="Q121" s="36"/>
    </row>
    <row r="122" spans="1:17" x14ac:dyDescent="0.2">
      <c r="A122" s="30">
        <f>RANK(B122,$B$2:$B$551,1)</f>
        <v>121</v>
      </c>
      <c r="B122" s="46">
        <f>AVERAGE(G122,I122,J122)</f>
        <v>197</v>
      </c>
      <c r="C122" s="31" t="s">
        <v>555</v>
      </c>
      <c r="D122" s="66">
        <v>345.43075720911497</v>
      </c>
      <c r="E122" s="66">
        <v>96.752873563218401</v>
      </c>
      <c r="F122" s="66">
        <v>1856.2872887679</v>
      </c>
      <c r="G122" s="33">
        <v>123</v>
      </c>
      <c r="H122" s="32">
        <v>116.77</v>
      </c>
      <c r="I122" s="34">
        <v>121</v>
      </c>
      <c r="J122" s="34">
        <v>347</v>
      </c>
      <c r="K122" s="35">
        <v>-0.51495751367710396</v>
      </c>
      <c r="L122" s="34" t="s">
        <v>5</v>
      </c>
      <c r="M122" s="31" t="s">
        <v>554</v>
      </c>
      <c r="N122" s="31" t="s">
        <v>421</v>
      </c>
      <c r="O122" s="31" t="s">
        <v>4</v>
      </c>
      <c r="P122" s="31" t="s">
        <v>3</v>
      </c>
      <c r="Q122" s="36"/>
    </row>
    <row r="123" spans="1:17" x14ac:dyDescent="0.2">
      <c r="A123" s="30">
        <f>RANK(B123,$B$2:$B$551,1)</f>
        <v>122</v>
      </c>
      <c r="B123" s="46">
        <f>AVERAGE(G123,I123,J123)</f>
        <v>198.33333333333334</v>
      </c>
      <c r="C123" s="31" t="s">
        <v>181</v>
      </c>
      <c r="D123" s="66">
        <v>81</v>
      </c>
      <c r="E123" s="66">
        <v>0</v>
      </c>
      <c r="F123" s="66">
        <v>1098.6629138522901</v>
      </c>
      <c r="G123" s="33">
        <v>546</v>
      </c>
      <c r="H123" s="32">
        <v>118.02</v>
      </c>
      <c r="I123" s="34">
        <v>17</v>
      </c>
      <c r="J123" s="34">
        <v>32</v>
      </c>
      <c r="K123" s="35">
        <v>2.5227042110603799</v>
      </c>
      <c r="L123" s="34" t="s">
        <v>56</v>
      </c>
      <c r="M123" s="31" t="s">
        <v>180</v>
      </c>
      <c r="N123" s="31" t="s">
        <v>182</v>
      </c>
      <c r="O123" s="31" t="s">
        <v>4</v>
      </c>
      <c r="P123" s="31" t="s">
        <v>3</v>
      </c>
      <c r="Q123" s="36"/>
    </row>
    <row r="124" spans="1:17" x14ac:dyDescent="0.2">
      <c r="A124" s="30">
        <f>RANK(B124,$B$2:$B$551,1)</f>
        <v>123</v>
      </c>
      <c r="B124" s="46">
        <f>AVERAGE(G124,I124,J124)</f>
        <v>199.33333333333334</v>
      </c>
      <c r="C124" s="31" t="s">
        <v>766</v>
      </c>
      <c r="D124" s="66">
        <v>175.69714285714301</v>
      </c>
      <c r="E124" s="66">
        <v>8</v>
      </c>
      <c r="F124" s="66">
        <v>976.31554752974</v>
      </c>
      <c r="G124" s="33">
        <v>263</v>
      </c>
      <c r="H124" s="32">
        <v>116.82</v>
      </c>
      <c r="I124" s="34">
        <v>115</v>
      </c>
      <c r="J124" s="34">
        <v>220</v>
      </c>
      <c r="K124" s="35">
        <v>0.308724401360981</v>
      </c>
      <c r="L124" s="34" t="s">
        <v>5</v>
      </c>
      <c r="M124" s="31" t="s">
        <v>765</v>
      </c>
      <c r="N124" s="31" t="s">
        <v>570</v>
      </c>
      <c r="O124" s="31" t="s">
        <v>4</v>
      </c>
      <c r="P124" s="31" t="s">
        <v>3</v>
      </c>
      <c r="Q124" s="36"/>
    </row>
    <row r="125" spans="1:17" x14ac:dyDescent="0.2">
      <c r="A125" s="30">
        <f>RANK(B125,$B$2:$B$551,1)</f>
        <v>123</v>
      </c>
      <c r="B125" s="46">
        <f>AVERAGE(G125,I125,J125)</f>
        <v>199.33333333333334</v>
      </c>
      <c r="C125" s="31" t="s">
        <v>275</v>
      </c>
      <c r="D125" s="66">
        <v>380.81850833585003</v>
      </c>
      <c r="E125" s="66">
        <v>69.971590909090907</v>
      </c>
      <c r="F125" s="66">
        <v>3615.4560876952901</v>
      </c>
      <c r="G125" s="33">
        <v>375</v>
      </c>
      <c r="H125" s="32">
        <v>116.54</v>
      </c>
      <c r="I125" s="34">
        <v>162</v>
      </c>
      <c r="J125" s="34">
        <v>61</v>
      </c>
      <c r="K125" s="35">
        <v>2.0129556433904301</v>
      </c>
      <c r="L125" s="34" t="s">
        <v>56</v>
      </c>
      <c r="M125" s="31" t="s">
        <v>274</v>
      </c>
      <c r="N125" s="31" t="s">
        <v>125</v>
      </c>
      <c r="O125" s="31" t="s">
        <v>4</v>
      </c>
      <c r="P125" s="31" t="s">
        <v>3</v>
      </c>
      <c r="Q125" s="36"/>
    </row>
    <row r="126" spans="1:17" x14ac:dyDescent="0.2">
      <c r="A126" s="30">
        <f>RANK(B126,$B$2:$B$551,1)</f>
        <v>125</v>
      </c>
      <c r="B126" s="46">
        <f>AVERAGE(G126,I126,J126)</f>
        <v>200.33333333333334</v>
      </c>
      <c r="C126" s="31" t="s">
        <v>1083</v>
      </c>
      <c r="D126" s="66">
        <v>442.87934660683999</v>
      </c>
      <c r="E126" s="66">
        <v>351.60615672558902</v>
      </c>
      <c r="F126" s="66">
        <v>2131.4374315447799</v>
      </c>
      <c r="G126" s="33">
        <v>13</v>
      </c>
      <c r="H126" s="32">
        <v>114.95</v>
      </c>
      <c r="I126" s="34">
        <v>409</v>
      </c>
      <c r="J126" s="34">
        <v>179</v>
      </c>
      <c r="K126" s="35">
        <v>0.67715488588521999</v>
      </c>
      <c r="L126" s="34" t="s">
        <v>5</v>
      </c>
      <c r="M126" s="31" t="s">
        <v>1082</v>
      </c>
      <c r="N126" s="31" t="s">
        <v>87</v>
      </c>
      <c r="O126" s="31" t="s">
        <v>4</v>
      </c>
      <c r="P126" s="31" t="s">
        <v>3</v>
      </c>
      <c r="Q126" s="36"/>
    </row>
    <row r="127" spans="1:17" x14ac:dyDescent="0.2">
      <c r="A127" s="30">
        <f>RANK(B127,$B$2:$B$551,1)</f>
        <v>126</v>
      </c>
      <c r="B127" s="46">
        <f>AVERAGE(G127,I127,J127)</f>
        <v>201.66666666666666</v>
      </c>
      <c r="C127" s="31" t="s">
        <v>551</v>
      </c>
      <c r="D127" s="66">
        <v>162.30247874872501</v>
      </c>
      <c r="E127" s="66">
        <v>18</v>
      </c>
      <c r="F127" s="66">
        <v>1098.46571596231</v>
      </c>
      <c r="G127" s="33">
        <v>291</v>
      </c>
      <c r="H127" s="32">
        <v>116.64</v>
      </c>
      <c r="I127" s="34">
        <v>145</v>
      </c>
      <c r="J127" s="34">
        <v>169</v>
      </c>
      <c r="K127" s="35">
        <v>0.74027918917473401</v>
      </c>
      <c r="L127" s="34" t="s">
        <v>5</v>
      </c>
      <c r="M127" s="31" t="s">
        <v>550</v>
      </c>
      <c r="N127" s="31" t="s">
        <v>65</v>
      </c>
      <c r="O127" s="31" t="s">
        <v>4</v>
      </c>
      <c r="P127" s="31" t="s">
        <v>3</v>
      </c>
      <c r="Q127" s="36"/>
    </row>
    <row r="128" spans="1:17" x14ac:dyDescent="0.2">
      <c r="A128" s="30">
        <f>RANK(B128,$B$2:$B$551,1)</f>
        <v>127</v>
      </c>
      <c r="B128" s="46">
        <f>AVERAGE(G128,I128,J128)</f>
        <v>202.66666666666666</v>
      </c>
      <c r="C128" s="31" t="s">
        <v>190</v>
      </c>
      <c r="D128" s="66">
        <v>324.96403674143397</v>
      </c>
      <c r="E128" s="66">
        <v>114.932441860465</v>
      </c>
      <c r="F128" s="66">
        <v>2459.0540542460299</v>
      </c>
      <c r="G128" s="33">
        <v>198</v>
      </c>
      <c r="H128" s="32">
        <v>117.12</v>
      </c>
      <c r="I128" s="34">
        <v>78</v>
      </c>
      <c r="J128" s="34">
        <v>332</v>
      </c>
      <c r="K128" s="35">
        <v>-0.40643274853801198</v>
      </c>
      <c r="L128" s="34" t="s">
        <v>5</v>
      </c>
      <c r="M128" s="31" t="s">
        <v>189</v>
      </c>
      <c r="N128" s="31" t="s">
        <v>191</v>
      </c>
      <c r="O128" s="31" t="s">
        <v>4</v>
      </c>
      <c r="P128" s="31" t="s">
        <v>3</v>
      </c>
      <c r="Q128" s="36"/>
    </row>
    <row r="129" spans="1:17" x14ac:dyDescent="0.2">
      <c r="A129" s="30">
        <f>RANK(B129,$B$2:$B$551,1)</f>
        <v>128</v>
      </c>
      <c r="B129" s="46">
        <f>AVERAGE(G129,I129,J129)</f>
        <v>203.66666666666666</v>
      </c>
      <c r="C129" s="31" t="s">
        <v>228</v>
      </c>
      <c r="D129" s="66">
        <v>733.09358664412002</v>
      </c>
      <c r="E129" s="66">
        <v>114.419540229885</v>
      </c>
      <c r="F129" s="66">
        <v>3866.24536843549</v>
      </c>
      <c r="G129" s="33">
        <v>179</v>
      </c>
      <c r="H129" s="32">
        <v>117.86</v>
      </c>
      <c r="I129" s="34">
        <v>24</v>
      </c>
      <c r="J129" s="34">
        <v>408</v>
      </c>
      <c r="K129" s="35">
        <v>-1.04416653474751</v>
      </c>
      <c r="L129" s="34" t="s">
        <v>20</v>
      </c>
      <c r="M129" s="31" t="s">
        <v>227</v>
      </c>
      <c r="N129" s="31" t="s">
        <v>55</v>
      </c>
      <c r="O129" s="31" t="s">
        <v>4</v>
      </c>
      <c r="P129" s="31" t="s">
        <v>3</v>
      </c>
      <c r="Q129" s="36"/>
    </row>
    <row r="130" spans="1:17" x14ac:dyDescent="0.2">
      <c r="A130" s="30">
        <f>RANK(B130,$B$2:$B$551,1)</f>
        <v>128</v>
      </c>
      <c r="B130" s="46">
        <f>AVERAGE(G130,I130,J130)</f>
        <v>203.66666666666666</v>
      </c>
      <c r="C130" s="31" t="s">
        <v>563</v>
      </c>
      <c r="D130" s="66">
        <v>221.69368184977299</v>
      </c>
      <c r="E130" s="66">
        <v>0</v>
      </c>
      <c r="F130" s="66">
        <v>1080.89164651286</v>
      </c>
      <c r="G130" s="33">
        <v>253</v>
      </c>
      <c r="H130" s="32">
        <v>116.29</v>
      </c>
      <c r="I130" s="34">
        <v>199</v>
      </c>
      <c r="J130" s="34">
        <v>159</v>
      </c>
      <c r="K130" s="35">
        <v>0.84617814276689796</v>
      </c>
      <c r="L130" s="34" t="s">
        <v>5</v>
      </c>
      <c r="M130" s="31" t="s">
        <v>562</v>
      </c>
      <c r="N130" s="31" t="s">
        <v>182</v>
      </c>
      <c r="O130" s="31" t="s">
        <v>4</v>
      </c>
      <c r="P130" s="31" t="s">
        <v>3</v>
      </c>
      <c r="Q130" s="36"/>
    </row>
    <row r="131" spans="1:17" x14ac:dyDescent="0.2">
      <c r="A131" s="30">
        <f>RANK(B131,$B$2:$B$551,1)</f>
        <v>130</v>
      </c>
      <c r="B131" s="46">
        <f>AVERAGE(G131,I131,J131)</f>
        <v>204</v>
      </c>
      <c r="C131" s="31" t="s">
        <v>329</v>
      </c>
      <c r="D131" s="66">
        <v>489.773595505618</v>
      </c>
      <c r="E131" s="66">
        <v>0</v>
      </c>
      <c r="F131" s="66">
        <v>1975.33223838865</v>
      </c>
      <c r="G131" s="33">
        <v>190</v>
      </c>
      <c r="H131" s="32">
        <v>116.1</v>
      </c>
      <c r="I131" s="34">
        <v>240</v>
      </c>
      <c r="J131" s="34">
        <v>182</v>
      </c>
      <c r="K131" s="35">
        <v>0.657543391188251</v>
      </c>
      <c r="L131" s="34" t="s">
        <v>5</v>
      </c>
      <c r="M131" s="31" t="s">
        <v>328</v>
      </c>
      <c r="N131" s="31" t="s">
        <v>16</v>
      </c>
      <c r="O131" s="31" t="s">
        <v>4</v>
      </c>
      <c r="P131" s="31" t="s">
        <v>3</v>
      </c>
      <c r="Q131" s="36"/>
    </row>
    <row r="132" spans="1:17" x14ac:dyDescent="0.2">
      <c r="A132" s="30">
        <f>RANK(B132,$B$2:$B$551,1)</f>
        <v>131</v>
      </c>
      <c r="B132" s="46">
        <f>AVERAGE(G132,I132,J132)</f>
        <v>204.33333333333334</v>
      </c>
      <c r="C132" s="31" t="s">
        <v>941</v>
      </c>
      <c r="D132" s="66">
        <v>101.768786127168</v>
      </c>
      <c r="E132" s="66">
        <v>31</v>
      </c>
      <c r="F132" s="66">
        <v>583.092882714898</v>
      </c>
      <c r="G132" s="33">
        <v>131</v>
      </c>
      <c r="H132" s="32">
        <v>116.21</v>
      </c>
      <c r="I132" s="34">
        <v>211</v>
      </c>
      <c r="J132" s="34">
        <v>271</v>
      </c>
      <c r="K132" s="35">
        <v>-7.9733838123099907E-3</v>
      </c>
      <c r="L132" s="34" t="s">
        <v>5</v>
      </c>
      <c r="M132" s="31" t="s">
        <v>940</v>
      </c>
      <c r="N132" s="31" t="s">
        <v>339</v>
      </c>
      <c r="O132" s="31" t="s">
        <v>4</v>
      </c>
      <c r="P132" s="31" t="s">
        <v>3</v>
      </c>
      <c r="Q132" s="36"/>
    </row>
    <row r="133" spans="1:17" x14ac:dyDescent="0.2">
      <c r="A133" s="30">
        <f>RANK(B133,$B$2:$B$551,1)</f>
        <v>132</v>
      </c>
      <c r="B133" s="46">
        <f>AVERAGE(G133,I133,J133)</f>
        <v>204.66666666666666</v>
      </c>
      <c r="C133" s="31" t="s">
        <v>569</v>
      </c>
      <c r="D133" s="66">
        <v>266.17657475083098</v>
      </c>
      <c r="E133" s="66">
        <v>50</v>
      </c>
      <c r="F133" s="66">
        <v>1296.5107467795499</v>
      </c>
      <c r="G133" s="33">
        <v>132</v>
      </c>
      <c r="H133" s="32">
        <v>116.6</v>
      </c>
      <c r="I133" s="34">
        <v>152</v>
      </c>
      <c r="J133" s="34">
        <v>330</v>
      </c>
      <c r="K133" s="35">
        <v>-0.39151428797593602</v>
      </c>
      <c r="L133" s="34" t="s">
        <v>5</v>
      </c>
      <c r="M133" s="31" t="s">
        <v>568</v>
      </c>
      <c r="N133" s="31" t="s">
        <v>570</v>
      </c>
      <c r="O133" s="31" t="s">
        <v>4</v>
      </c>
      <c r="P133" s="31" t="s">
        <v>3</v>
      </c>
      <c r="Q133" s="36"/>
    </row>
    <row r="134" spans="1:17" x14ac:dyDescent="0.2">
      <c r="A134" s="30">
        <f>RANK(B134,$B$2:$B$551,1)</f>
        <v>133</v>
      </c>
      <c r="B134" s="46">
        <f>AVERAGE(G134,I134,J134)</f>
        <v>206.66666666666666</v>
      </c>
      <c r="C134" s="31" t="s">
        <v>606</v>
      </c>
      <c r="D134" s="66">
        <v>540.76825040128404</v>
      </c>
      <c r="E134" s="66">
        <v>195.53062600320999</v>
      </c>
      <c r="F134" s="66">
        <v>3183.71561857816</v>
      </c>
      <c r="G134" s="33">
        <v>120</v>
      </c>
      <c r="H134" s="32">
        <v>116.66</v>
      </c>
      <c r="I134" s="34">
        <v>143</v>
      </c>
      <c r="J134" s="34">
        <v>357</v>
      </c>
      <c r="K134" s="35">
        <v>-0.64882049391817198</v>
      </c>
      <c r="L134" s="34" t="s">
        <v>5</v>
      </c>
      <c r="M134" s="31" t="s">
        <v>605</v>
      </c>
      <c r="N134" s="31" t="s">
        <v>200</v>
      </c>
      <c r="O134" s="31" t="s">
        <v>4</v>
      </c>
      <c r="P134" s="31" t="s">
        <v>3</v>
      </c>
      <c r="Q134" s="36"/>
    </row>
    <row r="135" spans="1:17" x14ac:dyDescent="0.2">
      <c r="A135" s="30">
        <f>RANK(B135,$B$2:$B$551,1)</f>
        <v>134</v>
      </c>
      <c r="B135" s="46">
        <f>AVERAGE(G135,I135,J135)</f>
        <v>207</v>
      </c>
      <c r="C135" s="31" t="s">
        <v>1051</v>
      </c>
      <c r="D135" s="66">
        <v>224.703787258913</v>
      </c>
      <c r="E135" s="66">
        <v>0</v>
      </c>
      <c r="F135" s="66">
        <v>1252.1533163653301</v>
      </c>
      <c r="G135" s="33">
        <v>295</v>
      </c>
      <c r="H135" s="32">
        <v>116.45</v>
      </c>
      <c r="I135" s="34">
        <v>178</v>
      </c>
      <c r="J135" s="34">
        <v>148</v>
      </c>
      <c r="K135" s="35">
        <v>0.92765296029390998</v>
      </c>
      <c r="L135" s="34" t="s">
        <v>5</v>
      </c>
      <c r="M135" s="31" t="s">
        <v>1050</v>
      </c>
      <c r="N135" s="31" t="s">
        <v>71</v>
      </c>
      <c r="O135" s="31" t="s">
        <v>4</v>
      </c>
      <c r="P135" s="31" t="s">
        <v>3</v>
      </c>
      <c r="Q135" s="36"/>
    </row>
    <row r="136" spans="1:17" ht="22.5" x14ac:dyDescent="0.2">
      <c r="A136" s="30">
        <f>RANK(B136,$B$2:$B$551,1)</f>
        <v>134</v>
      </c>
      <c r="B136" s="46">
        <f>AVERAGE(G136,I136,J136)</f>
        <v>207</v>
      </c>
      <c r="C136" s="31" t="s">
        <v>811</v>
      </c>
      <c r="D136" s="66">
        <v>116.117028399342</v>
      </c>
      <c r="E136" s="66">
        <v>0</v>
      </c>
      <c r="F136" s="66">
        <v>710.42768580452298</v>
      </c>
      <c r="G136" s="33">
        <v>329</v>
      </c>
      <c r="H136" s="32">
        <v>116.56</v>
      </c>
      <c r="I136" s="34">
        <v>157</v>
      </c>
      <c r="J136" s="34">
        <v>135</v>
      </c>
      <c r="K136" s="35">
        <v>1.0445456696639801</v>
      </c>
      <c r="L136" s="34" t="s">
        <v>26</v>
      </c>
      <c r="M136" s="31" t="s">
        <v>810</v>
      </c>
      <c r="N136" s="31" t="s">
        <v>543</v>
      </c>
      <c r="O136" s="31" t="s">
        <v>4</v>
      </c>
      <c r="P136" s="31" t="s">
        <v>3</v>
      </c>
      <c r="Q136" s="36"/>
    </row>
    <row r="137" spans="1:17" x14ac:dyDescent="0.2">
      <c r="A137" s="30">
        <f>RANK(B137,$B$2:$B$551,1)</f>
        <v>136</v>
      </c>
      <c r="B137" s="46">
        <f>AVERAGE(G137,I137,J137)</f>
        <v>209</v>
      </c>
      <c r="C137" s="31" t="s">
        <v>1094</v>
      </c>
      <c r="D137" s="66">
        <v>335.32598870056501</v>
      </c>
      <c r="E137" s="66">
        <v>80</v>
      </c>
      <c r="F137" s="66">
        <v>1412.03002733734</v>
      </c>
      <c r="G137" s="33">
        <v>77</v>
      </c>
      <c r="H137" s="32">
        <v>113.86</v>
      </c>
      <c r="I137" s="34">
        <v>494</v>
      </c>
      <c r="J137" s="34">
        <v>56</v>
      </c>
      <c r="K137" s="35">
        <v>2.0951205619897499</v>
      </c>
      <c r="L137" s="34" t="s">
        <v>56</v>
      </c>
      <c r="M137" s="31" t="s">
        <v>1093</v>
      </c>
      <c r="N137" s="31" t="s">
        <v>19</v>
      </c>
      <c r="O137" s="31" t="s">
        <v>4</v>
      </c>
      <c r="P137" s="31" t="s">
        <v>3</v>
      </c>
      <c r="Q137" s="36"/>
    </row>
    <row r="138" spans="1:17" x14ac:dyDescent="0.2">
      <c r="A138" s="30">
        <f>RANK(B138,$B$2:$B$551,1)</f>
        <v>137</v>
      </c>
      <c r="B138" s="46">
        <f>AVERAGE(G138,I138,J138)</f>
        <v>211.33333333333334</v>
      </c>
      <c r="C138" s="31" t="s">
        <v>12</v>
      </c>
      <c r="D138" s="66">
        <v>366.82369306453802</v>
      </c>
      <c r="E138" s="66">
        <v>0</v>
      </c>
      <c r="F138" s="66">
        <v>1566.46889913307</v>
      </c>
      <c r="G138" s="33">
        <v>205</v>
      </c>
      <c r="H138" s="32">
        <v>117.53</v>
      </c>
      <c r="I138" s="34">
        <v>42</v>
      </c>
      <c r="J138" s="34">
        <v>387</v>
      </c>
      <c r="K138" s="35">
        <v>-0.91181259044862495</v>
      </c>
      <c r="L138" s="34" t="s">
        <v>5</v>
      </c>
      <c r="M138" s="31" t="s">
        <v>11</v>
      </c>
      <c r="N138" s="31" t="s">
        <v>13</v>
      </c>
      <c r="O138" s="31" t="s">
        <v>4</v>
      </c>
      <c r="P138" s="31" t="s">
        <v>3</v>
      </c>
      <c r="Q138" s="36"/>
    </row>
    <row r="139" spans="1:17" x14ac:dyDescent="0.2">
      <c r="A139" s="30">
        <f>RANK(B139,$B$2:$B$551,1)</f>
        <v>138</v>
      </c>
      <c r="B139" s="46">
        <f>AVERAGE(G139,I139,J139)</f>
        <v>211.66666666666666</v>
      </c>
      <c r="C139" s="31" t="s">
        <v>757</v>
      </c>
      <c r="D139" s="66">
        <v>76.848103448275793</v>
      </c>
      <c r="E139" s="66">
        <v>0</v>
      </c>
      <c r="F139" s="66">
        <v>463.29419540229799</v>
      </c>
      <c r="G139" s="33">
        <v>324</v>
      </c>
      <c r="H139" s="32">
        <v>117.29</v>
      </c>
      <c r="I139" s="34">
        <v>65</v>
      </c>
      <c r="J139" s="34">
        <v>246</v>
      </c>
      <c r="K139" s="35">
        <v>0.168983334546248</v>
      </c>
      <c r="L139" s="34" t="s">
        <v>5</v>
      </c>
      <c r="M139" s="31" t="s">
        <v>756</v>
      </c>
      <c r="N139" s="31" t="s">
        <v>525</v>
      </c>
      <c r="O139" s="31" t="s">
        <v>4</v>
      </c>
      <c r="P139" s="31" t="s">
        <v>3</v>
      </c>
      <c r="Q139" s="36"/>
    </row>
    <row r="140" spans="1:17" x14ac:dyDescent="0.2">
      <c r="A140" s="30">
        <f>RANK(B140,$B$2:$B$551,1)</f>
        <v>139</v>
      </c>
      <c r="B140" s="46">
        <f>AVERAGE(G140,I140,J140)</f>
        <v>212.33333333333334</v>
      </c>
      <c r="C140" s="31" t="s">
        <v>221</v>
      </c>
      <c r="D140" s="66">
        <v>1155.0132109149299</v>
      </c>
      <c r="E140" s="66">
        <v>259.60674157303401</v>
      </c>
      <c r="F140" s="66">
        <v>8865.9909932563096</v>
      </c>
      <c r="G140" s="33">
        <v>271</v>
      </c>
      <c r="H140" s="32">
        <v>116.12</v>
      </c>
      <c r="I140" s="34">
        <v>234</v>
      </c>
      <c r="J140" s="34">
        <v>132</v>
      </c>
      <c r="K140" s="35">
        <v>1.07798960138648</v>
      </c>
      <c r="L140" s="34" t="s">
        <v>26</v>
      </c>
      <c r="M140" s="31" t="s">
        <v>1111</v>
      </c>
      <c r="N140" s="31" t="s">
        <v>10</v>
      </c>
      <c r="O140" s="31" t="s">
        <v>4</v>
      </c>
      <c r="P140" s="31" t="s">
        <v>3</v>
      </c>
      <c r="Q140" s="36"/>
    </row>
    <row r="141" spans="1:17" x14ac:dyDescent="0.2">
      <c r="A141" s="30">
        <f>RANK(B141,$B$2:$B$551,1)</f>
        <v>139</v>
      </c>
      <c r="B141" s="46">
        <f>AVERAGE(G141,I141,J141)</f>
        <v>212.33333333333334</v>
      </c>
      <c r="C141" s="31" t="s">
        <v>303</v>
      </c>
      <c r="D141" s="66">
        <v>162.45985200845701</v>
      </c>
      <c r="E141" s="66">
        <v>46.965116279069797</v>
      </c>
      <c r="F141" s="66">
        <v>1712.79660318489</v>
      </c>
      <c r="G141" s="33">
        <v>356</v>
      </c>
      <c r="H141" s="32">
        <v>116.01</v>
      </c>
      <c r="I141" s="34">
        <v>257</v>
      </c>
      <c r="J141" s="34">
        <v>24</v>
      </c>
      <c r="K141" s="35">
        <v>2.76501923646049</v>
      </c>
      <c r="L141" s="34" t="s">
        <v>56</v>
      </c>
      <c r="M141" s="31" t="s">
        <v>302</v>
      </c>
      <c r="N141" s="31" t="s">
        <v>125</v>
      </c>
      <c r="O141" s="31" t="s">
        <v>4</v>
      </c>
      <c r="P141" s="31" t="s">
        <v>3</v>
      </c>
      <c r="Q141" s="36"/>
    </row>
    <row r="142" spans="1:17" x14ac:dyDescent="0.2">
      <c r="A142" s="30">
        <f>RANK(B142,$B$2:$B$551,1)</f>
        <v>141</v>
      </c>
      <c r="B142" s="46">
        <f>AVERAGE(G142,I142,J142)</f>
        <v>214</v>
      </c>
      <c r="C142" s="31" t="s">
        <v>396</v>
      </c>
      <c r="D142" s="66">
        <v>246.259545548369</v>
      </c>
      <c r="E142" s="66">
        <v>0</v>
      </c>
      <c r="F142" s="66">
        <v>1255.30691674028</v>
      </c>
      <c r="G142" s="33">
        <v>268</v>
      </c>
      <c r="H142" s="32">
        <v>116.03</v>
      </c>
      <c r="I142" s="34">
        <v>250</v>
      </c>
      <c r="J142" s="34">
        <v>124</v>
      </c>
      <c r="K142" s="35">
        <v>1.1347245409015001</v>
      </c>
      <c r="L142" s="34" t="s">
        <v>26</v>
      </c>
      <c r="M142" s="31" t="s">
        <v>395</v>
      </c>
      <c r="N142" s="31" t="s">
        <v>211</v>
      </c>
      <c r="O142" s="31" t="s">
        <v>4</v>
      </c>
      <c r="P142" s="31" t="s">
        <v>3</v>
      </c>
      <c r="Q142" s="36"/>
    </row>
    <row r="143" spans="1:17" x14ac:dyDescent="0.2">
      <c r="A143" s="30">
        <f>RANK(B143,$B$2:$B$551,1)</f>
        <v>142</v>
      </c>
      <c r="B143" s="46">
        <f>AVERAGE(G143,I143,J143)</f>
        <v>214.33333333333334</v>
      </c>
      <c r="C143" s="31" t="s">
        <v>236</v>
      </c>
      <c r="D143" s="66">
        <v>2440.0487746321601</v>
      </c>
      <c r="E143" s="66">
        <v>732.00568181818198</v>
      </c>
      <c r="F143" s="66">
        <v>5598.2507672096699</v>
      </c>
      <c r="G143" s="33">
        <v>5</v>
      </c>
      <c r="H143" s="32">
        <v>116.27</v>
      </c>
      <c r="I143" s="34">
        <v>201</v>
      </c>
      <c r="J143" s="34">
        <v>437</v>
      </c>
      <c r="K143" s="35">
        <v>-1.1916550764951299</v>
      </c>
      <c r="L143" s="34" t="s">
        <v>20</v>
      </c>
      <c r="M143" s="31" t="s">
        <v>235</v>
      </c>
      <c r="N143" s="31" t="s">
        <v>47</v>
      </c>
      <c r="O143" s="31" t="s">
        <v>4</v>
      </c>
      <c r="P143" s="31" t="s">
        <v>3</v>
      </c>
      <c r="Q143" s="36"/>
    </row>
    <row r="144" spans="1:17" x14ac:dyDescent="0.2">
      <c r="A144" s="30">
        <f>RANK(B144,$B$2:$B$551,1)</f>
        <v>143</v>
      </c>
      <c r="B144" s="46">
        <f>AVERAGE(G144,I144,J144)</f>
        <v>215</v>
      </c>
      <c r="C144" s="31" t="s">
        <v>1043</v>
      </c>
      <c r="D144" s="66">
        <v>113.796785225718</v>
      </c>
      <c r="E144" s="66">
        <v>0</v>
      </c>
      <c r="F144" s="66">
        <v>1223.22010551167</v>
      </c>
      <c r="G144" s="33">
        <v>512</v>
      </c>
      <c r="H144" s="32">
        <v>117.68</v>
      </c>
      <c r="I144" s="34">
        <v>34</v>
      </c>
      <c r="J144" s="34">
        <v>99</v>
      </c>
      <c r="K144" s="35">
        <v>1.4085323033707899</v>
      </c>
      <c r="L144" s="34" t="s">
        <v>26</v>
      </c>
      <c r="M144" s="31" t="s">
        <v>1042</v>
      </c>
      <c r="N144" s="31" t="s">
        <v>650</v>
      </c>
      <c r="O144" s="31" t="s">
        <v>4</v>
      </c>
      <c r="P144" s="31" t="s">
        <v>3</v>
      </c>
      <c r="Q144" s="36"/>
    </row>
    <row r="145" spans="1:17" x14ac:dyDescent="0.2">
      <c r="A145" s="30">
        <f>RANK(B145,$B$2:$B$551,1)</f>
        <v>144</v>
      </c>
      <c r="B145" s="46">
        <f>AVERAGE(G145,I145,J145)</f>
        <v>215.33333333333334</v>
      </c>
      <c r="C145" s="31" t="s">
        <v>430</v>
      </c>
      <c r="D145" s="66">
        <v>602.71706431466305</v>
      </c>
      <c r="E145" s="66">
        <v>255.85685336522499</v>
      </c>
      <c r="F145" s="66">
        <v>3689.2824268347799</v>
      </c>
      <c r="G145" s="33">
        <v>107</v>
      </c>
      <c r="H145" s="32">
        <v>117.58</v>
      </c>
      <c r="I145" s="34">
        <v>39</v>
      </c>
      <c r="J145" s="34">
        <v>500</v>
      </c>
      <c r="K145" s="35">
        <v>-1.97799827437446</v>
      </c>
      <c r="L145" s="34" t="s">
        <v>20</v>
      </c>
      <c r="M145" s="31" t="s">
        <v>429</v>
      </c>
      <c r="N145" s="31" t="s">
        <v>32</v>
      </c>
      <c r="O145" s="31" t="s">
        <v>4</v>
      </c>
      <c r="P145" s="31" t="s">
        <v>3</v>
      </c>
      <c r="Q145" s="36"/>
    </row>
    <row r="146" spans="1:17" x14ac:dyDescent="0.2">
      <c r="A146" s="30">
        <f>RANK(B146,$B$2:$B$551,1)</f>
        <v>144</v>
      </c>
      <c r="B146" s="46">
        <f>AVERAGE(G146,I146,J146)</f>
        <v>215.33333333333334</v>
      </c>
      <c r="C146" s="31" t="s">
        <v>1123</v>
      </c>
      <c r="D146" s="66">
        <v>497.62544444444501</v>
      </c>
      <c r="E146" s="66">
        <v>170.16861111111101</v>
      </c>
      <c r="F146" s="66">
        <v>3440.6488853046599</v>
      </c>
      <c r="G146" s="33">
        <v>180</v>
      </c>
      <c r="H146" s="32">
        <v>115.47</v>
      </c>
      <c r="I146" s="34">
        <v>337</v>
      </c>
      <c r="J146" s="34">
        <v>129</v>
      </c>
      <c r="K146" s="35">
        <v>1.08516707416463</v>
      </c>
      <c r="L146" s="34" t="s">
        <v>26</v>
      </c>
      <c r="M146" s="31" t="s">
        <v>1122</v>
      </c>
      <c r="N146" s="31" t="s">
        <v>76</v>
      </c>
      <c r="O146" s="31" t="s">
        <v>4</v>
      </c>
      <c r="P146" s="31" t="s">
        <v>3</v>
      </c>
      <c r="Q146" s="36"/>
    </row>
    <row r="147" spans="1:17" x14ac:dyDescent="0.2">
      <c r="A147" s="30">
        <f>RANK(B147,$B$2:$B$551,1)</f>
        <v>146</v>
      </c>
      <c r="B147" s="46">
        <f>AVERAGE(G147,I147,J147)</f>
        <v>216</v>
      </c>
      <c r="C147" s="31" t="s">
        <v>161</v>
      </c>
      <c r="D147" s="66">
        <v>345.11391798387598</v>
      </c>
      <c r="E147" s="66">
        <v>82.359550561797704</v>
      </c>
      <c r="F147" s="66">
        <v>1772.2689089908799</v>
      </c>
      <c r="G147" s="33">
        <v>125</v>
      </c>
      <c r="H147" s="32">
        <v>115.71</v>
      </c>
      <c r="I147" s="34">
        <v>301</v>
      </c>
      <c r="J147" s="34">
        <v>222</v>
      </c>
      <c r="K147" s="35">
        <v>0.30375453541568098</v>
      </c>
      <c r="L147" s="34" t="s">
        <v>5</v>
      </c>
      <c r="M147" s="31" t="s">
        <v>160</v>
      </c>
      <c r="N147" s="31" t="s">
        <v>81</v>
      </c>
      <c r="O147" s="31" t="s">
        <v>4</v>
      </c>
      <c r="P147" s="31" t="s">
        <v>3</v>
      </c>
      <c r="Q147" s="36"/>
    </row>
    <row r="148" spans="1:17" x14ac:dyDescent="0.2">
      <c r="A148" s="30">
        <f>RANK(B148,$B$2:$B$551,1)</f>
        <v>146</v>
      </c>
      <c r="B148" s="46">
        <f>AVERAGE(G148,I148,J148)</f>
        <v>216</v>
      </c>
      <c r="C148" s="31" t="s">
        <v>363</v>
      </c>
      <c r="D148" s="66">
        <v>331.58318498524898</v>
      </c>
      <c r="E148" s="66">
        <v>85.095505617977494</v>
      </c>
      <c r="F148" s="66">
        <v>2475.69508920526</v>
      </c>
      <c r="G148" s="33">
        <v>246</v>
      </c>
      <c r="H148" s="32">
        <v>116.73</v>
      </c>
      <c r="I148" s="34">
        <v>128</v>
      </c>
      <c r="J148" s="34">
        <v>274</v>
      </c>
      <c r="K148" s="35">
        <v>-1.25301204819277E-2</v>
      </c>
      <c r="L148" s="34" t="s">
        <v>5</v>
      </c>
      <c r="M148" s="31" t="s">
        <v>362</v>
      </c>
      <c r="N148" s="31" t="s">
        <v>182</v>
      </c>
      <c r="O148" s="31" t="s">
        <v>4</v>
      </c>
      <c r="P148" s="31" t="s">
        <v>3</v>
      </c>
      <c r="Q148" s="36"/>
    </row>
    <row r="149" spans="1:17" x14ac:dyDescent="0.2">
      <c r="A149" s="30">
        <f>RANK(B149,$B$2:$B$551,1)</f>
        <v>148</v>
      </c>
      <c r="B149" s="46">
        <f>AVERAGE(G149,I149,J149)</f>
        <v>216.33333333333334</v>
      </c>
      <c r="C149" s="31" t="s">
        <v>7</v>
      </c>
      <c r="D149" s="66">
        <v>242.595375722543</v>
      </c>
      <c r="E149" s="66">
        <v>28</v>
      </c>
      <c r="F149" s="66">
        <v>2206.59606840991</v>
      </c>
      <c r="G149" s="33">
        <v>398</v>
      </c>
      <c r="H149" s="32">
        <v>117.18</v>
      </c>
      <c r="I149" s="34">
        <v>74</v>
      </c>
      <c r="J149" s="34">
        <v>177</v>
      </c>
      <c r="K149" s="35">
        <v>0.69891856464034097</v>
      </c>
      <c r="L149" s="34" t="s">
        <v>5</v>
      </c>
      <c r="M149" s="31" t="s">
        <v>6</v>
      </c>
      <c r="N149" s="31" t="s">
        <v>8</v>
      </c>
      <c r="O149" s="31" t="s">
        <v>4</v>
      </c>
      <c r="P149" s="31" t="s">
        <v>3</v>
      </c>
      <c r="Q149" s="36"/>
    </row>
    <row r="150" spans="1:17" x14ac:dyDescent="0.2">
      <c r="A150" s="30">
        <f>RANK(B150,$B$2:$B$551,1)</f>
        <v>149</v>
      </c>
      <c r="B150" s="46">
        <f>AVERAGE(G150,I150,J150)</f>
        <v>216.66666666666666</v>
      </c>
      <c r="C150" s="31" t="s">
        <v>760</v>
      </c>
      <c r="D150" s="66">
        <v>192.13278886872399</v>
      </c>
      <c r="E150" s="66">
        <v>2.88505747126437</v>
      </c>
      <c r="F150" s="66">
        <v>1699.60964671597</v>
      </c>
      <c r="G150" s="33">
        <v>456</v>
      </c>
      <c r="H150" s="32">
        <v>117.38</v>
      </c>
      <c r="I150" s="34">
        <v>57</v>
      </c>
      <c r="J150" s="34">
        <v>137</v>
      </c>
      <c r="K150" s="35">
        <v>1.0167479943759801</v>
      </c>
      <c r="L150" s="34" t="s">
        <v>26</v>
      </c>
      <c r="M150" s="31" t="s">
        <v>759</v>
      </c>
      <c r="N150" s="31" t="s">
        <v>19</v>
      </c>
      <c r="O150" s="31" t="s">
        <v>4</v>
      </c>
      <c r="P150" s="31" t="s">
        <v>3</v>
      </c>
      <c r="Q150" s="36"/>
    </row>
    <row r="151" spans="1:17" x14ac:dyDescent="0.2">
      <c r="A151" s="30">
        <f>RANK(B151,$B$2:$B$551,1)</f>
        <v>150</v>
      </c>
      <c r="B151" s="46">
        <f>AVERAGE(G151,I151,J151)</f>
        <v>217</v>
      </c>
      <c r="C151" s="31" t="s">
        <v>704</v>
      </c>
      <c r="D151" s="66">
        <v>1103.1825842696601</v>
      </c>
      <c r="E151" s="66">
        <v>44.679775280898902</v>
      </c>
      <c r="F151" s="66">
        <v>4056.2950036245002</v>
      </c>
      <c r="G151" s="33">
        <v>129</v>
      </c>
      <c r="H151" s="32">
        <v>115.25</v>
      </c>
      <c r="I151" s="34">
        <v>364</v>
      </c>
      <c r="J151" s="34">
        <v>158</v>
      </c>
      <c r="K151" s="35">
        <v>0.85010183299388997</v>
      </c>
      <c r="L151" s="34" t="s">
        <v>5</v>
      </c>
      <c r="M151" s="31" t="s">
        <v>703</v>
      </c>
      <c r="N151" s="31" t="s">
        <v>81</v>
      </c>
      <c r="O151" s="31" t="s">
        <v>4</v>
      </c>
      <c r="P151" s="31" t="s">
        <v>3</v>
      </c>
      <c r="Q151" s="36"/>
    </row>
    <row r="152" spans="1:17" x14ac:dyDescent="0.2">
      <c r="A152" s="30">
        <f>RANK(B152,$B$2:$B$551,1)</f>
        <v>150</v>
      </c>
      <c r="B152" s="46">
        <f>AVERAGE(G152,I152,J152)</f>
        <v>217</v>
      </c>
      <c r="C152" s="31" t="s">
        <v>780</v>
      </c>
      <c r="D152" s="66">
        <v>947.37</v>
      </c>
      <c r="E152" s="66">
        <v>2.9666666666666699</v>
      </c>
      <c r="F152" s="66">
        <v>5079.6627508960601</v>
      </c>
      <c r="G152" s="33">
        <v>279</v>
      </c>
      <c r="H152" s="32">
        <v>116.48</v>
      </c>
      <c r="I152" s="34">
        <v>172</v>
      </c>
      <c r="J152" s="34">
        <v>200</v>
      </c>
      <c r="K152" s="35">
        <v>0.45498857578065499</v>
      </c>
      <c r="L152" s="34" t="s">
        <v>5</v>
      </c>
      <c r="M152" s="31" t="s">
        <v>779</v>
      </c>
      <c r="N152" s="31" t="s">
        <v>16</v>
      </c>
      <c r="O152" s="31" t="s">
        <v>4</v>
      </c>
      <c r="P152" s="31" t="s">
        <v>3</v>
      </c>
      <c r="Q152" s="36"/>
    </row>
    <row r="153" spans="1:17" x14ac:dyDescent="0.2">
      <c r="A153" s="30">
        <f>RANK(B153,$B$2:$B$551,1)</f>
        <v>152</v>
      </c>
      <c r="B153" s="46">
        <f>AVERAGE(G153,I153,J153)</f>
        <v>217.66666666666666</v>
      </c>
      <c r="C153" s="31" t="s">
        <v>284</v>
      </c>
      <c r="D153" s="66">
        <v>855.27243998978497</v>
      </c>
      <c r="E153" s="66">
        <v>164.609518641471</v>
      </c>
      <c r="F153" s="66">
        <v>3574.5254379468802</v>
      </c>
      <c r="G153" s="33">
        <v>90</v>
      </c>
      <c r="H153" s="32">
        <v>116.84</v>
      </c>
      <c r="I153" s="34">
        <v>113</v>
      </c>
      <c r="J153" s="34">
        <v>450</v>
      </c>
      <c r="K153" s="35">
        <v>-1.3310724106324501</v>
      </c>
      <c r="L153" s="34" t="s">
        <v>20</v>
      </c>
      <c r="M153" s="31" t="s">
        <v>283</v>
      </c>
      <c r="N153" s="31" t="s">
        <v>81</v>
      </c>
      <c r="O153" s="31" t="s">
        <v>4</v>
      </c>
      <c r="P153" s="31" t="s">
        <v>3</v>
      </c>
      <c r="Q153" s="36"/>
    </row>
    <row r="154" spans="1:17" x14ac:dyDescent="0.2">
      <c r="A154" s="30">
        <f>RANK(B154,$B$2:$B$551,1)</f>
        <v>153</v>
      </c>
      <c r="B154" s="46">
        <f>AVERAGE(G154,I154,J154)</f>
        <v>218</v>
      </c>
      <c r="C154" s="31" t="s">
        <v>118</v>
      </c>
      <c r="D154" s="66">
        <v>1866.4754190751401</v>
      </c>
      <c r="E154" s="66">
        <v>607.93725039411504</v>
      </c>
      <c r="F154" s="66">
        <v>5942.3515204558098</v>
      </c>
      <c r="G154" s="33">
        <v>19</v>
      </c>
      <c r="H154" s="32">
        <v>115.65</v>
      </c>
      <c r="I154" s="34">
        <v>309</v>
      </c>
      <c r="J154" s="34">
        <v>326</v>
      </c>
      <c r="K154" s="35">
        <v>-0.33279069767441899</v>
      </c>
      <c r="L154" s="34" t="s">
        <v>5</v>
      </c>
      <c r="M154" s="31" t="s">
        <v>117</v>
      </c>
      <c r="N154" s="31" t="s">
        <v>106</v>
      </c>
      <c r="O154" s="31" t="s">
        <v>4</v>
      </c>
      <c r="P154" s="31" t="s">
        <v>3</v>
      </c>
      <c r="Q154" s="36"/>
    </row>
    <row r="155" spans="1:17" x14ac:dyDescent="0.2">
      <c r="A155" s="30">
        <f>RANK(B155,$B$2:$B$551,1)</f>
        <v>154</v>
      </c>
      <c r="B155" s="46">
        <f>AVERAGE(G155,I155,J155)</f>
        <v>220</v>
      </c>
      <c r="C155" s="31" t="s">
        <v>575</v>
      </c>
      <c r="D155" s="66">
        <v>764.19138412698601</v>
      </c>
      <c r="E155" s="66">
        <v>352.86976407686001</v>
      </c>
      <c r="F155" s="66">
        <v>3823.10787326845</v>
      </c>
      <c r="G155" s="33">
        <v>46</v>
      </c>
      <c r="H155" s="32">
        <v>116.06</v>
      </c>
      <c r="I155" s="34">
        <v>247</v>
      </c>
      <c r="J155" s="34">
        <v>367</v>
      </c>
      <c r="K155" s="35">
        <v>-0.77620632279534096</v>
      </c>
      <c r="L155" s="34" t="s">
        <v>5</v>
      </c>
      <c r="M155" s="31" t="s">
        <v>574</v>
      </c>
      <c r="N155" s="31" t="s">
        <v>576</v>
      </c>
      <c r="O155" s="31" t="s">
        <v>4</v>
      </c>
      <c r="P155" s="31" t="s">
        <v>3</v>
      </c>
      <c r="Q155" s="36"/>
    </row>
    <row r="156" spans="1:17" x14ac:dyDescent="0.2">
      <c r="A156" s="30">
        <f>RANK(B156,$B$2:$B$551,1)</f>
        <v>155</v>
      </c>
      <c r="B156" s="46">
        <f>AVERAGE(G156,I156,J156)</f>
        <v>220.33333333333334</v>
      </c>
      <c r="C156" s="31" t="s">
        <v>483</v>
      </c>
      <c r="D156" s="66">
        <v>216.126808657384</v>
      </c>
      <c r="E156" s="66">
        <v>36.438922425118299</v>
      </c>
      <c r="F156" s="66">
        <v>1290.1724409569799</v>
      </c>
      <c r="G156" s="33">
        <v>212</v>
      </c>
      <c r="H156" s="32">
        <v>115.47</v>
      </c>
      <c r="I156" s="34">
        <v>337</v>
      </c>
      <c r="J156" s="34">
        <v>112</v>
      </c>
      <c r="K156" s="35">
        <v>1.2870888050968701</v>
      </c>
      <c r="L156" s="34" t="s">
        <v>26</v>
      </c>
      <c r="M156" s="31" t="s">
        <v>716</v>
      </c>
      <c r="N156" s="31" t="s">
        <v>125</v>
      </c>
      <c r="O156" s="31" t="s">
        <v>4</v>
      </c>
      <c r="P156" s="31" t="s">
        <v>3</v>
      </c>
      <c r="Q156" s="36"/>
    </row>
    <row r="157" spans="1:17" x14ac:dyDescent="0.2">
      <c r="A157" s="30">
        <f>RANK(B157,$B$2:$B$551,1)</f>
        <v>156</v>
      </c>
      <c r="B157" s="46">
        <f>AVERAGE(G157,I157,J157)</f>
        <v>220.66666666666666</v>
      </c>
      <c r="C157" s="31" t="s">
        <v>612</v>
      </c>
      <c r="D157" s="66">
        <v>300.52321027287297</v>
      </c>
      <c r="E157" s="66">
        <v>14.659839486356301</v>
      </c>
      <c r="F157" s="66">
        <v>842.45797752809005</v>
      </c>
      <c r="G157" s="33">
        <v>61</v>
      </c>
      <c r="H157" s="32">
        <v>114.27</v>
      </c>
      <c r="I157" s="34">
        <v>471</v>
      </c>
      <c r="J157" s="34">
        <v>130</v>
      </c>
      <c r="K157" s="35">
        <v>1.0848434160394</v>
      </c>
      <c r="L157" s="34" t="s">
        <v>26</v>
      </c>
      <c r="M157" s="31" t="s">
        <v>611</v>
      </c>
      <c r="N157" s="31" t="s">
        <v>140</v>
      </c>
      <c r="O157" s="31" t="s">
        <v>4</v>
      </c>
      <c r="P157" s="31" t="s">
        <v>3</v>
      </c>
      <c r="Q157" s="36"/>
    </row>
    <row r="158" spans="1:17" x14ac:dyDescent="0.2">
      <c r="A158" s="30">
        <f>RANK(B158,$B$2:$B$551,1)</f>
        <v>156</v>
      </c>
      <c r="B158" s="46">
        <f>AVERAGE(G158,I158,J158)</f>
        <v>220.66666666666666</v>
      </c>
      <c r="C158" s="31" t="s">
        <v>471</v>
      </c>
      <c r="D158" s="66">
        <v>146</v>
      </c>
      <c r="E158" s="66">
        <v>39</v>
      </c>
      <c r="F158" s="66">
        <v>927.76857142857102</v>
      </c>
      <c r="G158" s="33">
        <v>183</v>
      </c>
      <c r="H158" s="32">
        <v>116.12</v>
      </c>
      <c r="I158" s="34">
        <v>234</v>
      </c>
      <c r="J158" s="34">
        <v>245</v>
      </c>
      <c r="K158" s="35">
        <v>0.19223511921779399</v>
      </c>
      <c r="L158" s="34" t="s">
        <v>5</v>
      </c>
      <c r="M158" s="31" t="s">
        <v>470</v>
      </c>
      <c r="N158" s="31" t="s">
        <v>52</v>
      </c>
      <c r="O158" s="31" t="s">
        <v>4</v>
      </c>
      <c r="P158" s="31" t="s">
        <v>3</v>
      </c>
      <c r="Q158" s="36"/>
    </row>
    <row r="159" spans="1:17" x14ac:dyDescent="0.2">
      <c r="A159" s="30">
        <f>RANK(B159,$B$2:$B$551,1)</f>
        <v>156</v>
      </c>
      <c r="B159" s="46">
        <f>AVERAGE(G159,I159,J159)</f>
        <v>220.66666666666666</v>
      </c>
      <c r="C159" s="31" t="s">
        <v>547</v>
      </c>
      <c r="D159" s="66">
        <v>371.09908545582499</v>
      </c>
      <c r="E159" s="66">
        <v>151.96525070574</v>
      </c>
      <c r="F159" s="66">
        <v>2943.67456147648</v>
      </c>
      <c r="G159" s="33">
        <v>194</v>
      </c>
      <c r="H159" s="32">
        <v>114.52</v>
      </c>
      <c r="I159" s="34">
        <v>450</v>
      </c>
      <c r="J159" s="34">
        <v>18</v>
      </c>
      <c r="K159" s="35">
        <v>2.9657230559345198</v>
      </c>
      <c r="L159" s="34" t="s">
        <v>56</v>
      </c>
      <c r="M159" s="31" t="s">
        <v>546</v>
      </c>
      <c r="N159" s="31" t="s">
        <v>47</v>
      </c>
      <c r="O159" s="31" t="s">
        <v>4</v>
      </c>
      <c r="P159" s="31" t="s">
        <v>3</v>
      </c>
      <c r="Q159" s="36"/>
    </row>
    <row r="160" spans="1:17" x14ac:dyDescent="0.2">
      <c r="A160" s="30">
        <f>RANK(B160,$B$2:$B$551,1)</f>
        <v>156</v>
      </c>
      <c r="B160" s="46">
        <f>AVERAGE(G160,I160,J160)</f>
        <v>220.66666666666666</v>
      </c>
      <c r="C160" s="31" t="s">
        <v>445</v>
      </c>
      <c r="D160" s="66">
        <v>286.91235483447201</v>
      </c>
      <c r="E160" s="66">
        <v>35</v>
      </c>
      <c r="F160" s="66">
        <v>2209.2702328560199</v>
      </c>
      <c r="G160" s="33">
        <v>328</v>
      </c>
      <c r="H160" s="32">
        <v>116.39</v>
      </c>
      <c r="I160" s="34">
        <v>187</v>
      </c>
      <c r="J160" s="34">
        <v>147</v>
      </c>
      <c r="K160" s="35">
        <v>0.92822764502237598</v>
      </c>
      <c r="L160" s="34" t="s">
        <v>5</v>
      </c>
      <c r="M160" s="31" t="s">
        <v>444</v>
      </c>
      <c r="N160" s="31" t="s">
        <v>191</v>
      </c>
      <c r="O160" s="31" t="s">
        <v>4</v>
      </c>
      <c r="P160" s="31" t="s">
        <v>3</v>
      </c>
      <c r="Q160" s="36"/>
    </row>
    <row r="161" spans="1:17" x14ac:dyDescent="0.2">
      <c r="A161" s="30">
        <f>RANK(B161,$B$2:$B$551,1)</f>
        <v>160</v>
      </c>
      <c r="B161" s="46">
        <f>AVERAGE(G161,I161,J161)</f>
        <v>221</v>
      </c>
      <c r="C161" s="31" t="s">
        <v>851</v>
      </c>
      <c r="D161" s="66">
        <v>696.22917397233596</v>
      </c>
      <c r="E161" s="66">
        <v>89</v>
      </c>
      <c r="F161" s="66">
        <v>2719.6254412938401</v>
      </c>
      <c r="G161" s="33">
        <v>99</v>
      </c>
      <c r="H161" s="32">
        <v>115.79</v>
      </c>
      <c r="I161" s="34">
        <v>289</v>
      </c>
      <c r="J161" s="34">
        <v>275</v>
      </c>
      <c r="K161" s="35">
        <v>-1.8145449349907101E-2</v>
      </c>
      <c r="L161" s="34" t="s">
        <v>5</v>
      </c>
      <c r="M161" s="31" t="s">
        <v>850</v>
      </c>
      <c r="N161" s="31" t="s">
        <v>641</v>
      </c>
      <c r="O161" s="31" t="s">
        <v>4</v>
      </c>
      <c r="P161" s="31" t="s">
        <v>3</v>
      </c>
      <c r="Q161" s="36"/>
    </row>
    <row r="162" spans="1:17" x14ac:dyDescent="0.2">
      <c r="A162" s="30">
        <f>RANK(B162,$B$2:$B$551,1)</f>
        <v>160</v>
      </c>
      <c r="B162" s="46">
        <f>AVERAGE(G162,I162,J162)</f>
        <v>221</v>
      </c>
      <c r="C162" s="31" t="s">
        <v>22</v>
      </c>
      <c r="D162" s="66">
        <v>283.10661979606402</v>
      </c>
      <c r="E162" s="66">
        <v>0.97191011235955105</v>
      </c>
      <c r="F162" s="66">
        <v>2221.0902631325298</v>
      </c>
      <c r="G162" s="33">
        <v>426</v>
      </c>
      <c r="H162" s="32">
        <v>118.41</v>
      </c>
      <c r="I162" s="34">
        <v>12</v>
      </c>
      <c r="J162" s="34">
        <v>225</v>
      </c>
      <c r="K162" s="35">
        <v>0.296406616388871</v>
      </c>
      <c r="L162" s="34" t="s">
        <v>5</v>
      </c>
      <c r="M162" s="31" t="s">
        <v>21</v>
      </c>
      <c r="N162" s="31" t="s">
        <v>23</v>
      </c>
      <c r="O162" s="31" t="s">
        <v>4</v>
      </c>
      <c r="P162" s="31" t="s">
        <v>3</v>
      </c>
      <c r="Q162" s="36"/>
    </row>
    <row r="163" spans="1:17" x14ac:dyDescent="0.2">
      <c r="A163" s="30">
        <f>RANK(B163,$B$2:$B$551,1)</f>
        <v>162</v>
      </c>
      <c r="B163" s="46">
        <f>AVERAGE(G163,I163,J163)</f>
        <v>222</v>
      </c>
      <c r="C163" s="31" t="s">
        <v>741</v>
      </c>
      <c r="D163" s="66">
        <v>171.90229885057499</v>
      </c>
      <c r="E163" s="66">
        <v>0</v>
      </c>
      <c r="F163" s="66">
        <v>1106.92667161043</v>
      </c>
      <c r="G163" s="33">
        <v>351</v>
      </c>
      <c r="H163" s="32">
        <v>116.14</v>
      </c>
      <c r="I163" s="34">
        <v>228</v>
      </c>
      <c r="J163" s="34">
        <v>87</v>
      </c>
      <c r="K163" s="35">
        <v>1.53750684431466</v>
      </c>
      <c r="L163" s="34" t="s">
        <v>26</v>
      </c>
      <c r="M163" s="31" t="s">
        <v>740</v>
      </c>
      <c r="N163" s="31" t="s">
        <v>172</v>
      </c>
      <c r="O163" s="31" t="s">
        <v>4</v>
      </c>
      <c r="P163" s="31" t="s">
        <v>3</v>
      </c>
      <c r="Q163" s="36"/>
    </row>
    <row r="164" spans="1:17" x14ac:dyDescent="0.2">
      <c r="A164" s="30">
        <f>RANK(B164,$B$2:$B$551,1)</f>
        <v>163</v>
      </c>
      <c r="B164" s="46">
        <f>AVERAGE(G164,I164,J164)</f>
        <v>222.66666666666666</v>
      </c>
      <c r="C164" s="31" t="s">
        <v>744</v>
      </c>
      <c r="D164" s="66">
        <v>461.58339978734699</v>
      </c>
      <c r="E164" s="66">
        <v>18</v>
      </c>
      <c r="F164" s="66">
        <v>4530.7934035173403</v>
      </c>
      <c r="G164" s="33">
        <v>471</v>
      </c>
      <c r="H164" s="32">
        <v>117.83</v>
      </c>
      <c r="I164" s="34">
        <v>26</v>
      </c>
      <c r="J164" s="34">
        <v>171</v>
      </c>
      <c r="K164" s="35">
        <v>0.72475304497937998</v>
      </c>
      <c r="L164" s="34" t="s">
        <v>5</v>
      </c>
      <c r="M164" s="31" t="s">
        <v>743</v>
      </c>
      <c r="N164" s="31" t="s">
        <v>8</v>
      </c>
      <c r="O164" s="31" t="s">
        <v>4</v>
      </c>
      <c r="P164" s="31" t="s">
        <v>3</v>
      </c>
      <c r="Q164" s="36"/>
    </row>
    <row r="165" spans="1:17" x14ac:dyDescent="0.2">
      <c r="A165" s="30">
        <f>RANK(B165,$B$2:$B$551,1)</f>
        <v>164</v>
      </c>
      <c r="B165" s="46">
        <f>AVERAGE(G165,I165,J165)</f>
        <v>223.33333333333334</v>
      </c>
      <c r="C165" s="31" t="s">
        <v>31</v>
      </c>
      <c r="D165" s="66">
        <v>303.77207353709503</v>
      </c>
      <c r="E165" s="66">
        <v>14</v>
      </c>
      <c r="F165" s="66">
        <v>1367.91186438214</v>
      </c>
      <c r="G165" s="33">
        <v>191</v>
      </c>
      <c r="H165" s="32">
        <v>116.03</v>
      </c>
      <c r="I165" s="34">
        <v>250</v>
      </c>
      <c r="J165" s="34">
        <v>229</v>
      </c>
      <c r="K165" s="35">
        <v>0.27066962186849403</v>
      </c>
      <c r="L165" s="34" t="s">
        <v>5</v>
      </c>
      <c r="M165" s="31" t="s">
        <v>30</v>
      </c>
      <c r="N165" s="31" t="s">
        <v>32</v>
      </c>
      <c r="O165" s="31" t="s">
        <v>4</v>
      </c>
      <c r="P165" s="31" t="s">
        <v>3</v>
      </c>
      <c r="Q165" s="36"/>
    </row>
    <row r="166" spans="1:17" x14ac:dyDescent="0.2">
      <c r="A166" s="30">
        <f>RANK(B166,$B$2:$B$551,1)</f>
        <v>164</v>
      </c>
      <c r="B166" s="46">
        <f>AVERAGE(G166,I166,J166)</f>
        <v>223.33333333333334</v>
      </c>
      <c r="C166" s="31" t="s">
        <v>120</v>
      </c>
      <c r="D166" s="66">
        <v>620.25938105938997</v>
      </c>
      <c r="E166" s="66">
        <v>46.735955056179797</v>
      </c>
      <c r="F166" s="66">
        <v>3069.1057075441399</v>
      </c>
      <c r="G166" s="33">
        <v>199</v>
      </c>
      <c r="H166" s="32">
        <v>116.33</v>
      </c>
      <c r="I166" s="34">
        <v>193</v>
      </c>
      <c r="J166" s="34">
        <v>278</v>
      </c>
      <c r="K166" s="35">
        <v>-2.98707088720464E-2</v>
      </c>
      <c r="L166" s="34" t="s">
        <v>5</v>
      </c>
      <c r="M166" s="31" t="s">
        <v>119</v>
      </c>
      <c r="N166" s="31" t="s">
        <v>16</v>
      </c>
      <c r="O166" s="31" t="s">
        <v>4</v>
      </c>
      <c r="P166" s="31" t="s">
        <v>3</v>
      </c>
      <c r="Q166" s="36"/>
    </row>
    <row r="167" spans="1:17" x14ac:dyDescent="0.2">
      <c r="A167" s="30">
        <f>RANK(B167,$B$2:$B$551,1)</f>
        <v>166</v>
      </c>
      <c r="B167" s="46">
        <f>AVERAGE(G167,I167,J167)</f>
        <v>223.66666666666666</v>
      </c>
      <c r="C167" s="31" t="s">
        <v>1047</v>
      </c>
      <c r="D167" s="66">
        <v>150.93189655172401</v>
      </c>
      <c r="E167" s="66">
        <v>40</v>
      </c>
      <c r="F167" s="66">
        <v>1953.8286688913599</v>
      </c>
      <c r="G167" s="33">
        <v>447</v>
      </c>
      <c r="H167" s="32">
        <v>116.27</v>
      </c>
      <c r="I167" s="34">
        <v>201</v>
      </c>
      <c r="J167" s="34">
        <v>23</v>
      </c>
      <c r="K167" s="35">
        <v>2.77065799540933</v>
      </c>
      <c r="L167" s="34" t="s">
        <v>56</v>
      </c>
      <c r="M167" s="31" t="s">
        <v>1046</v>
      </c>
      <c r="N167" s="31" t="s">
        <v>52</v>
      </c>
      <c r="O167" s="31" t="s">
        <v>4</v>
      </c>
      <c r="P167" s="31" t="s">
        <v>3</v>
      </c>
      <c r="Q167" s="36"/>
    </row>
    <row r="168" spans="1:17" x14ac:dyDescent="0.2">
      <c r="A168" s="30">
        <f>RANK(B168,$B$2:$B$551,1)</f>
        <v>167</v>
      </c>
      <c r="B168" s="46">
        <f>AVERAGE(G168,I168,J168)</f>
        <v>224</v>
      </c>
      <c r="C168" s="31" t="s">
        <v>750</v>
      </c>
      <c r="D168" s="66">
        <v>50.105882352941201</v>
      </c>
      <c r="E168" s="66">
        <v>0</v>
      </c>
      <c r="F168" s="66">
        <v>882.33925322410198</v>
      </c>
      <c r="G168" s="33">
        <v>574</v>
      </c>
      <c r="H168" s="32">
        <v>117.03</v>
      </c>
      <c r="I168" s="34">
        <v>90</v>
      </c>
      <c r="J168" s="34">
        <v>8</v>
      </c>
      <c r="K168" s="35">
        <v>4.57567454010705</v>
      </c>
      <c r="L168" s="34" t="s">
        <v>56</v>
      </c>
      <c r="M168" s="31" t="s">
        <v>749</v>
      </c>
      <c r="N168" s="31" t="s">
        <v>248</v>
      </c>
      <c r="O168" s="31" t="s">
        <v>4</v>
      </c>
      <c r="P168" s="31" t="s">
        <v>3</v>
      </c>
      <c r="Q168" s="36"/>
    </row>
    <row r="169" spans="1:17" x14ac:dyDescent="0.2">
      <c r="A169" s="30">
        <f>RANK(B169,$B$2:$B$551,1)</f>
        <v>168</v>
      </c>
      <c r="B169" s="46">
        <f>AVERAGE(G169,I169,J169)</f>
        <v>225.33333333333334</v>
      </c>
      <c r="C169" s="31" t="s">
        <v>960</v>
      </c>
      <c r="D169" s="66">
        <v>560.33483146067397</v>
      </c>
      <c r="E169" s="66">
        <v>127.530337078652</v>
      </c>
      <c r="F169" s="66">
        <v>2636.8098104498899</v>
      </c>
      <c r="G169" s="33">
        <v>106</v>
      </c>
      <c r="H169" s="32">
        <v>113.25</v>
      </c>
      <c r="I169" s="34">
        <v>528</v>
      </c>
      <c r="J169" s="34">
        <v>42</v>
      </c>
      <c r="K169" s="35">
        <v>2.3239535209295799</v>
      </c>
      <c r="L169" s="34" t="s">
        <v>56</v>
      </c>
      <c r="M169" s="31" t="s">
        <v>959</v>
      </c>
      <c r="N169" s="31" t="s">
        <v>448</v>
      </c>
      <c r="O169" s="31" t="s">
        <v>4</v>
      </c>
      <c r="P169" s="31" t="s">
        <v>3</v>
      </c>
      <c r="Q169" s="36"/>
    </row>
    <row r="170" spans="1:17" x14ac:dyDescent="0.2">
      <c r="A170" s="30">
        <f>RANK(B170,$B$2:$B$551,1)</f>
        <v>168</v>
      </c>
      <c r="B170" s="46">
        <f>AVERAGE(G170,I170,J170)</f>
        <v>225.33333333333334</v>
      </c>
      <c r="C170" s="31" t="s">
        <v>1020</v>
      </c>
      <c r="D170" s="66">
        <v>1612.0055541368699</v>
      </c>
      <c r="E170" s="66">
        <v>169.94382022471899</v>
      </c>
      <c r="F170" s="66">
        <v>7691.7102771630198</v>
      </c>
      <c r="G170" s="33">
        <v>174</v>
      </c>
      <c r="H170" s="32">
        <v>115.69</v>
      </c>
      <c r="I170" s="34">
        <v>303</v>
      </c>
      <c r="J170" s="34">
        <v>199</v>
      </c>
      <c r="K170" s="35">
        <v>0.462652596730809</v>
      </c>
      <c r="L170" s="34" t="s">
        <v>5</v>
      </c>
      <c r="M170" s="31" t="s">
        <v>1019</v>
      </c>
      <c r="N170" s="31" t="s">
        <v>10</v>
      </c>
      <c r="O170" s="31" t="s">
        <v>4</v>
      </c>
      <c r="P170" s="31" t="s">
        <v>3</v>
      </c>
      <c r="Q170" s="36"/>
    </row>
    <row r="171" spans="1:17" x14ac:dyDescent="0.2">
      <c r="A171" s="30">
        <f>RANK(B171,$B$2:$B$551,1)</f>
        <v>170</v>
      </c>
      <c r="B171" s="46">
        <f>AVERAGE(G171,I171,J171)</f>
        <v>226</v>
      </c>
      <c r="C171" s="31" t="s">
        <v>49</v>
      </c>
      <c r="D171" s="66">
        <v>2207.73224839658</v>
      </c>
      <c r="E171" s="66">
        <v>275.17809971098302</v>
      </c>
      <c r="F171" s="66">
        <v>9811.5159199047703</v>
      </c>
      <c r="G171" s="33">
        <v>138</v>
      </c>
      <c r="H171" s="32">
        <v>116.08</v>
      </c>
      <c r="I171" s="34">
        <v>242</v>
      </c>
      <c r="J171" s="34">
        <v>298</v>
      </c>
      <c r="K171" s="35">
        <v>-0.15696917064698199</v>
      </c>
      <c r="L171" s="34" t="s">
        <v>5</v>
      </c>
      <c r="M171" s="31" t="s">
        <v>48</v>
      </c>
      <c r="N171" s="31" t="s">
        <v>19</v>
      </c>
      <c r="O171" s="31" t="s">
        <v>4</v>
      </c>
      <c r="P171" s="31" t="s">
        <v>3</v>
      </c>
      <c r="Q171" s="36"/>
    </row>
    <row r="172" spans="1:17" x14ac:dyDescent="0.2">
      <c r="A172" s="30">
        <f>RANK(B172,$B$2:$B$551,1)</f>
        <v>171</v>
      </c>
      <c r="B172" s="46">
        <f>AVERAGE(G172,I172,J172)</f>
        <v>226.66666666666666</v>
      </c>
      <c r="C172" s="31" t="s">
        <v>305</v>
      </c>
      <c r="D172" s="66">
        <v>410.40664739884397</v>
      </c>
      <c r="E172" s="66">
        <v>74.573863636363598</v>
      </c>
      <c r="F172" s="66">
        <v>1856.7803881361999</v>
      </c>
      <c r="G172" s="33">
        <v>117</v>
      </c>
      <c r="H172" s="32">
        <v>116.19</v>
      </c>
      <c r="I172" s="34">
        <v>217</v>
      </c>
      <c r="J172" s="34">
        <v>346</v>
      </c>
      <c r="K172" s="35">
        <v>-0.51263105341987003</v>
      </c>
      <c r="L172" s="34" t="s">
        <v>5</v>
      </c>
      <c r="M172" s="31" t="s">
        <v>304</v>
      </c>
      <c r="N172" s="31" t="s">
        <v>10</v>
      </c>
      <c r="O172" s="31" t="s">
        <v>4</v>
      </c>
      <c r="P172" s="31" t="s">
        <v>3</v>
      </c>
      <c r="Q172" s="36"/>
    </row>
    <row r="173" spans="1:17" x14ac:dyDescent="0.2">
      <c r="A173" s="30">
        <f>RANK(B173,$B$2:$B$551,1)</f>
        <v>172</v>
      </c>
      <c r="B173" s="46">
        <f>AVERAGE(G173,I173,J173)</f>
        <v>227.33333333333334</v>
      </c>
      <c r="C173" s="31" t="s">
        <v>351</v>
      </c>
      <c r="D173" s="66">
        <v>187.57151845130099</v>
      </c>
      <c r="E173" s="66">
        <v>46</v>
      </c>
      <c r="F173" s="66">
        <v>1536.3642011289301</v>
      </c>
      <c r="G173" s="33">
        <v>281</v>
      </c>
      <c r="H173" s="32">
        <v>115.9</v>
      </c>
      <c r="I173" s="34">
        <v>273</v>
      </c>
      <c r="J173" s="34">
        <v>128</v>
      </c>
      <c r="K173" s="35">
        <v>1.0862578943160901</v>
      </c>
      <c r="L173" s="34" t="s">
        <v>26</v>
      </c>
      <c r="M173" s="31" t="s">
        <v>350</v>
      </c>
      <c r="N173" s="31" t="s">
        <v>71</v>
      </c>
      <c r="O173" s="31" t="s">
        <v>4</v>
      </c>
      <c r="P173" s="31" t="s">
        <v>3</v>
      </c>
      <c r="Q173" s="36"/>
    </row>
    <row r="174" spans="1:17" x14ac:dyDescent="0.2">
      <c r="A174" s="30">
        <f>RANK(B174,$B$2:$B$551,1)</f>
        <v>172</v>
      </c>
      <c r="B174" s="46">
        <f>AVERAGE(G174,I174,J174)</f>
        <v>227.33333333333334</v>
      </c>
      <c r="C174" s="31" t="s">
        <v>549</v>
      </c>
      <c r="D174" s="66">
        <v>191.166101694915</v>
      </c>
      <c r="E174" s="66">
        <v>0</v>
      </c>
      <c r="F174" s="66">
        <v>1041.32157011552</v>
      </c>
      <c r="G174" s="33">
        <v>290</v>
      </c>
      <c r="H174" s="32">
        <v>117.2</v>
      </c>
      <c r="I174" s="34">
        <v>70</v>
      </c>
      <c r="J174" s="34">
        <v>322</v>
      </c>
      <c r="K174" s="35">
        <v>-0.29274511318859597</v>
      </c>
      <c r="L174" s="34" t="s">
        <v>5</v>
      </c>
      <c r="M174" s="31" t="s">
        <v>548</v>
      </c>
      <c r="N174" s="31" t="s">
        <v>55</v>
      </c>
      <c r="O174" s="31" t="s">
        <v>4</v>
      </c>
      <c r="P174" s="31" t="s">
        <v>3</v>
      </c>
      <c r="Q174" s="36"/>
    </row>
    <row r="175" spans="1:17" x14ac:dyDescent="0.2">
      <c r="A175" s="30">
        <f>RANK(B175,$B$2:$B$551,1)</f>
        <v>174</v>
      </c>
      <c r="B175" s="46">
        <f>AVERAGE(G175,I175,J175)</f>
        <v>227.66666666666666</v>
      </c>
      <c r="C175" s="31" t="s">
        <v>974</v>
      </c>
      <c r="D175" s="66">
        <v>55.5632183908046</v>
      </c>
      <c r="E175" s="66">
        <v>13.5632183908046</v>
      </c>
      <c r="F175" s="66">
        <v>388.56534635625002</v>
      </c>
      <c r="G175" s="33">
        <v>234</v>
      </c>
      <c r="H175" s="32">
        <v>115.56</v>
      </c>
      <c r="I175" s="34">
        <v>324</v>
      </c>
      <c r="J175" s="34">
        <v>125</v>
      </c>
      <c r="K175" s="35">
        <v>1.10510510510511</v>
      </c>
      <c r="L175" s="34" t="s">
        <v>26</v>
      </c>
      <c r="M175" s="31" t="s">
        <v>973</v>
      </c>
      <c r="N175" s="31" t="s">
        <v>525</v>
      </c>
      <c r="O175" s="31" t="s">
        <v>4</v>
      </c>
      <c r="P175" s="31" t="s">
        <v>3</v>
      </c>
      <c r="Q175" s="36"/>
    </row>
    <row r="176" spans="1:17" x14ac:dyDescent="0.2">
      <c r="A176" s="30">
        <f>RANK(B176,$B$2:$B$551,1)</f>
        <v>175</v>
      </c>
      <c r="B176" s="46">
        <f>AVERAGE(G176,I176,J176)</f>
        <v>228</v>
      </c>
      <c r="C176" s="31" t="s">
        <v>764</v>
      </c>
      <c r="D176" s="66">
        <v>414.94403788122003</v>
      </c>
      <c r="E176" s="66">
        <v>34.477528089887599</v>
      </c>
      <c r="F176" s="66">
        <v>1821.31860468079</v>
      </c>
      <c r="G176" s="33">
        <v>158</v>
      </c>
      <c r="H176" s="32">
        <v>116.65</v>
      </c>
      <c r="I176" s="34">
        <v>144</v>
      </c>
      <c r="J176" s="34">
        <v>382</v>
      </c>
      <c r="K176" s="35">
        <v>-0.88561271434546196</v>
      </c>
      <c r="L176" s="34" t="s">
        <v>5</v>
      </c>
      <c r="M176" s="31" t="s">
        <v>763</v>
      </c>
      <c r="N176" s="31" t="s">
        <v>19</v>
      </c>
      <c r="O176" s="31" t="s">
        <v>4</v>
      </c>
      <c r="P176" s="31" t="s">
        <v>3</v>
      </c>
      <c r="Q176" s="36"/>
    </row>
    <row r="177" spans="1:17" x14ac:dyDescent="0.2">
      <c r="A177" s="30">
        <f>RANK(B177,$B$2:$B$551,1)</f>
        <v>175</v>
      </c>
      <c r="B177" s="46">
        <f>AVERAGE(G177,I177,J177)</f>
        <v>228</v>
      </c>
      <c r="C177" s="31" t="s">
        <v>530</v>
      </c>
      <c r="D177" s="66">
        <v>68.654802259887006</v>
      </c>
      <c r="E177" s="66">
        <v>1</v>
      </c>
      <c r="F177" s="66">
        <v>1217.7414689265499</v>
      </c>
      <c r="G177" s="33">
        <v>568</v>
      </c>
      <c r="H177" s="32">
        <v>117.7</v>
      </c>
      <c r="I177" s="34">
        <v>31</v>
      </c>
      <c r="J177" s="34">
        <v>85</v>
      </c>
      <c r="K177" s="35">
        <v>1.5531713772568301</v>
      </c>
      <c r="L177" s="34" t="s">
        <v>26</v>
      </c>
      <c r="M177" s="31" t="s">
        <v>989</v>
      </c>
      <c r="N177" s="31" t="s">
        <v>516</v>
      </c>
      <c r="O177" s="31" t="s">
        <v>4</v>
      </c>
      <c r="P177" s="31" t="s">
        <v>3</v>
      </c>
      <c r="Q177" s="36"/>
    </row>
    <row r="178" spans="1:17" x14ac:dyDescent="0.2">
      <c r="A178" s="30">
        <f>RANK(B178,$B$2:$B$551,1)</f>
        <v>177</v>
      </c>
      <c r="B178" s="46">
        <f>AVERAGE(G178,I178,J178)</f>
        <v>229</v>
      </c>
      <c r="C178" s="31" t="s">
        <v>630</v>
      </c>
      <c r="D178" s="66">
        <v>565.56867838891901</v>
      </c>
      <c r="E178" s="66">
        <v>8.1193181818181905</v>
      </c>
      <c r="F178" s="66">
        <v>3719.69604091473</v>
      </c>
      <c r="G178" s="33">
        <v>348</v>
      </c>
      <c r="H178" s="32">
        <v>116.74</v>
      </c>
      <c r="I178" s="34">
        <v>126</v>
      </c>
      <c r="J178" s="34">
        <v>213</v>
      </c>
      <c r="K178" s="35">
        <v>0.34095467308463701</v>
      </c>
      <c r="L178" s="34" t="s">
        <v>5</v>
      </c>
      <c r="M178" s="31" t="s">
        <v>629</v>
      </c>
      <c r="N178" s="31" t="s">
        <v>16</v>
      </c>
      <c r="O178" s="31" t="s">
        <v>4</v>
      </c>
      <c r="P178" s="31" t="s">
        <v>3</v>
      </c>
      <c r="Q178" s="36"/>
    </row>
    <row r="179" spans="1:17" x14ac:dyDescent="0.2">
      <c r="A179" s="30">
        <f>RANK(B179,$B$2:$B$551,1)</f>
        <v>178</v>
      </c>
      <c r="B179" s="46">
        <f>AVERAGE(G179,I179,J179)</f>
        <v>229.33333333333334</v>
      </c>
      <c r="C179" s="31" t="s">
        <v>105</v>
      </c>
      <c r="D179" s="66">
        <v>373.29737142857101</v>
      </c>
      <c r="E179" s="66">
        <v>140.65097142857101</v>
      </c>
      <c r="F179" s="66">
        <v>3459.5980985689998</v>
      </c>
      <c r="G179" s="33">
        <v>266</v>
      </c>
      <c r="H179" s="32">
        <v>117.56</v>
      </c>
      <c r="I179" s="34">
        <v>41</v>
      </c>
      <c r="J179" s="34">
        <v>381</v>
      </c>
      <c r="K179" s="35">
        <v>-0.88334427664696902</v>
      </c>
      <c r="L179" s="34" t="s">
        <v>5</v>
      </c>
      <c r="M179" s="31" t="s">
        <v>104</v>
      </c>
      <c r="N179" s="31" t="s">
        <v>106</v>
      </c>
      <c r="O179" s="31" t="s">
        <v>4</v>
      </c>
      <c r="P179" s="31" t="s">
        <v>3</v>
      </c>
      <c r="Q179" s="36"/>
    </row>
    <row r="180" spans="1:17" x14ac:dyDescent="0.2">
      <c r="A180" s="30">
        <f>RANK(B180,$B$2:$B$551,1)</f>
        <v>179</v>
      </c>
      <c r="B180" s="46">
        <f>AVERAGE(G180,I180,J180)</f>
        <v>230.66666666666666</v>
      </c>
      <c r="C180" s="31" t="s">
        <v>443</v>
      </c>
      <c r="D180" s="66">
        <v>234.95428571428599</v>
      </c>
      <c r="E180" s="66">
        <v>73.865168539325893</v>
      </c>
      <c r="F180" s="66">
        <v>1457.31328017398</v>
      </c>
      <c r="G180" s="33">
        <v>154</v>
      </c>
      <c r="H180" s="32">
        <v>116.69</v>
      </c>
      <c r="I180" s="34">
        <v>136</v>
      </c>
      <c r="J180" s="34">
        <v>402</v>
      </c>
      <c r="K180" s="35">
        <v>-0.992978401919829</v>
      </c>
      <c r="L180" s="34" t="s">
        <v>5</v>
      </c>
      <c r="M180" s="31" t="s">
        <v>442</v>
      </c>
      <c r="N180" s="31" t="s">
        <v>68</v>
      </c>
      <c r="O180" s="31" t="s">
        <v>4</v>
      </c>
      <c r="P180" s="31" t="s">
        <v>3</v>
      </c>
      <c r="Q180" s="36"/>
    </row>
    <row r="181" spans="1:17" x14ac:dyDescent="0.2">
      <c r="A181" s="30">
        <f>RANK(B181,$B$2:$B$551,1)</f>
        <v>179</v>
      </c>
      <c r="B181" s="46">
        <f>AVERAGE(G181,I181,J181)</f>
        <v>230.66666666666666</v>
      </c>
      <c r="C181" s="31" t="s">
        <v>277</v>
      </c>
      <c r="D181" s="66">
        <v>57</v>
      </c>
      <c r="E181" s="66">
        <v>19</v>
      </c>
      <c r="F181" s="66">
        <v>424.97315287401699</v>
      </c>
      <c r="G181" s="33">
        <v>207</v>
      </c>
      <c r="H181" s="32">
        <v>116.81</v>
      </c>
      <c r="I181" s="34">
        <v>116</v>
      </c>
      <c r="J181" s="34">
        <v>369</v>
      </c>
      <c r="K181" s="35">
        <v>-0.80150323233896703</v>
      </c>
      <c r="L181" s="34" t="s">
        <v>5</v>
      </c>
      <c r="M181" s="31" t="s">
        <v>276</v>
      </c>
      <c r="N181" s="31" t="s">
        <v>278</v>
      </c>
      <c r="O181" s="31" t="s">
        <v>4</v>
      </c>
      <c r="P181" s="31" t="s">
        <v>3</v>
      </c>
      <c r="Q181" s="36"/>
    </row>
    <row r="182" spans="1:17" x14ac:dyDescent="0.2">
      <c r="A182" s="30">
        <f>RANK(B182,$B$2:$B$551,1)</f>
        <v>181</v>
      </c>
      <c r="B182" s="46">
        <f>AVERAGE(G182,I182,J182)</f>
        <v>231</v>
      </c>
      <c r="C182" s="31" t="s">
        <v>815</v>
      </c>
      <c r="D182" s="66">
        <v>1013.02457142857</v>
      </c>
      <c r="E182" s="66">
        <v>82.96</v>
      </c>
      <c r="F182" s="66">
        <v>4504.8325392857096</v>
      </c>
      <c r="G182" s="33">
        <v>166</v>
      </c>
      <c r="H182" s="32">
        <v>116.77</v>
      </c>
      <c r="I182" s="34">
        <v>121</v>
      </c>
      <c r="J182" s="34">
        <v>406</v>
      </c>
      <c r="K182" s="35">
        <v>-1.03229452607783</v>
      </c>
      <c r="L182" s="34" t="s">
        <v>20</v>
      </c>
      <c r="M182" s="31" t="s">
        <v>814</v>
      </c>
      <c r="N182" s="31" t="s">
        <v>10</v>
      </c>
      <c r="O182" s="31" t="s">
        <v>4</v>
      </c>
      <c r="P182" s="31" t="s">
        <v>3</v>
      </c>
      <c r="Q182" s="36"/>
    </row>
    <row r="183" spans="1:17" x14ac:dyDescent="0.2">
      <c r="A183" s="30">
        <f>RANK(B183,$B$2:$B$551,1)</f>
        <v>182</v>
      </c>
      <c r="B183" s="46">
        <f>AVERAGE(G183,I183,J183)</f>
        <v>232.33333333333334</v>
      </c>
      <c r="C183" s="31" t="s">
        <v>1085</v>
      </c>
      <c r="D183" s="66">
        <v>336.117618879887</v>
      </c>
      <c r="E183" s="66">
        <v>6</v>
      </c>
      <c r="F183" s="66">
        <v>1510.0152188601901</v>
      </c>
      <c r="G183" s="33">
        <v>211</v>
      </c>
      <c r="H183" s="32">
        <v>115.07</v>
      </c>
      <c r="I183" s="34">
        <v>390</v>
      </c>
      <c r="J183" s="34">
        <v>96</v>
      </c>
      <c r="K183" s="35">
        <v>1.46085011185682</v>
      </c>
      <c r="L183" s="34" t="s">
        <v>26</v>
      </c>
      <c r="M183" s="31" t="s">
        <v>1084</v>
      </c>
      <c r="N183" s="31" t="s">
        <v>35</v>
      </c>
      <c r="O183" s="31" t="s">
        <v>4</v>
      </c>
      <c r="P183" s="31" t="s">
        <v>3</v>
      </c>
      <c r="Q183" s="36"/>
    </row>
    <row r="184" spans="1:17" x14ac:dyDescent="0.2">
      <c r="A184" s="30">
        <f>RANK(B184,$B$2:$B$551,1)</f>
        <v>183</v>
      </c>
      <c r="B184" s="46">
        <f>AVERAGE(G184,I184,J184)</f>
        <v>233</v>
      </c>
      <c r="C184" s="31" t="s">
        <v>83</v>
      </c>
      <c r="D184" s="66">
        <v>227.361581920904</v>
      </c>
      <c r="E184" s="66">
        <v>1</v>
      </c>
      <c r="F184" s="66">
        <v>3008.52863501518</v>
      </c>
      <c r="G184" s="33">
        <v>541</v>
      </c>
      <c r="H184" s="32">
        <v>116.73</v>
      </c>
      <c r="I184" s="34">
        <v>128</v>
      </c>
      <c r="J184" s="34">
        <v>30</v>
      </c>
      <c r="K184" s="35">
        <v>2.64226857216428</v>
      </c>
      <c r="L184" s="34" t="s">
        <v>56</v>
      </c>
      <c r="M184" s="31" t="s">
        <v>82</v>
      </c>
      <c r="N184" s="31" t="s">
        <v>84</v>
      </c>
      <c r="O184" s="31" t="s">
        <v>4</v>
      </c>
      <c r="P184" s="31" t="s">
        <v>3</v>
      </c>
      <c r="Q184" s="36"/>
    </row>
    <row r="185" spans="1:17" x14ac:dyDescent="0.2">
      <c r="A185" s="30">
        <f>RANK(B185,$B$2:$B$551,1)</f>
        <v>184</v>
      </c>
      <c r="B185" s="46">
        <f>AVERAGE(G185,I185,J185)</f>
        <v>233.33333333333334</v>
      </c>
      <c r="C185" s="31" t="s">
        <v>636</v>
      </c>
      <c r="D185" s="66">
        <v>384.22122639933201</v>
      </c>
      <c r="E185" s="66">
        <v>120.078479532164</v>
      </c>
      <c r="F185" s="66">
        <v>2054.3004502223298</v>
      </c>
      <c r="G185" s="33">
        <v>110</v>
      </c>
      <c r="H185" s="32">
        <v>116.09</v>
      </c>
      <c r="I185" s="34">
        <v>241</v>
      </c>
      <c r="J185" s="34">
        <v>349</v>
      </c>
      <c r="K185" s="35">
        <v>-0.52313278008298802</v>
      </c>
      <c r="L185" s="34" t="s">
        <v>5</v>
      </c>
      <c r="M185" s="31" t="s">
        <v>635</v>
      </c>
      <c r="N185" s="31" t="s">
        <v>140</v>
      </c>
      <c r="O185" s="31" t="s">
        <v>4</v>
      </c>
      <c r="P185" s="31" t="s">
        <v>3</v>
      </c>
      <c r="Q185" s="36"/>
    </row>
    <row r="186" spans="1:17" x14ac:dyDescent="0.2">
      <c r="A186" s="30">
        <f>RANK(B186,$B$2:$B$551,1)</f>
        <v>185</v>
      </c>
      <c r="B186" s="46">
        <f>AVERAGE(G186,I186,J186)</f>
        <v>234</v>
      </c>
      <c r="C186" s="31" t="s">
        <v>511</v>
      </c>
      <c r="D186" s="66">
        <v>795.51219101123604</v>
      </c>
      <c r="E186" s="66">
        <v>627.15904494382005</v>
      </c>
      <c r="F186" s="66">
        <v>2441.8606462297798</v>
      </c>
      <c r="G186" s="33">
        <v>2</v>
      </c>
      <c r="H186" s="32">
        <v>115.92</v>
      </c>
      <c r="I186" s="34">
        <v>268</v>
      </c>
      <c r="J186" s="34">
        <v>432</v>
      </c>
      <c r="K186" s="35">
        <v>-1.16142250841504</v>
      </c>
      <c r="L186" s="34" t="s">
        <v>20</v>
      </c>
      <c r="M186" s="31" t="s">
        <v>510</v>
      </c>
      <c r="N186" s="31" t="s">
        <v>76</v>
      </c>
      <c r="O186" s="31" t="s">
        <v>4</v>
      </c>
      <c r="P186" s="31" t="s">
        <v>3</v>
      </c>
      <c r="Q186" s="36"/>
    </row>
    <row r="187" spans="1:17" x14ac:dyDescent="0.2">
      <c r="A187" s="30">
        <f>RANK(B187,$B$2:$B$551,1)</f>
        <v>185</v>
      </c>
      <c r="B187" s="46">
        <f>AVERAGE(G187,I187,J187)</f>
        <v>234</v>
      </c>
      <c r="C187" s="31" t="s">
        <v>410</v>
      </c>
      <c r="D187" s="66">
        <v>195.780898876404</v>
      </c>
      <c r="E187" s="66">
        <v>36.913258426966301</v>
      </c>
      <c r="F187" s="66">
        <v>956.60500000000002</v>
      </c>
      <c r="G187" s="33">
        <v>133</v>
      </c>
      <c r="H187" s="32">
        <v>115.04</v>
      </c>
      <c r="I187" s="34">
        <v>393</v>
      </c>
      <c r="J187" s="34">
        <v>176</v>
      </c>
      <c r="K187" s="35">
        <v>0.699818856206331</v>
      </c>
      <c r="L187" s="34" t="s">
        <v>5</v>
      </c>
      <c r="M187" s="31" t="s">
        <v>409</v>
      </c>
      <c r="N187" s="31" t="s">
        <v>172</v>
      </c>
      <c r="O187" s="31" t="s">
        <v>4</v>
      </c>
      <c r="P187" s="31" t="s">
        <v>3</v>
      </c>
      <c r="Q187" s="36"/>
    </row>
    <row r="188" spans="1:17" x14ac:dyDescent="0.2">
      <c r="A188" s="30">
        <f>RANK(B188,$B$2:$B$551,1)</f>
        <v>187</v>
      </c>
      <c r="B188" s="46">
        <f>AVERAGE(G188,I188,J188)</f>
        <v>234.33333333333334</v>
      </c>
      <c r="C188" s="31" t="s">
        <v>147</v>
      </c>
      <c r="D188" s="66">
        <v>235.71987650498801</v>
      </c>
      <c r="E188" s="66">
        <v>30.517647058823499</v>
      </c>
      <c r="F188" s="66">
        <v>952.29597828378701</v>
      </c>
      <c r="G188" s="33">
        <v>111</v>
      </c>
      <c r="H188" s="32">
        <v>115.86</v>
      </c>
      <c r="I188" s="34">
        <v>277</v>
      </c>
      <c r="J188" s="34">
        <v>315</v>
      </c>
      <c r="K188" s="35">
        <v>-0.25721653176706499</v>
      </c>
      <c r="L188" s="34" t="s">
        <v>5</v>
      </c>
      <c r="M188" s="31" t="s">
        <v>146</v>
      </c>
      <c r="N188" s="31" t="s">
        <v>81</v>
      </c>
      <c r="O188" s="31" t="s">
        <v>4</v>
      </c>
      <c r="P188" s="31" t="s">
        <v>3</v>
      </c>
      <c r="Q188" s="36"/>
    </row>
    <row r="189" spans="1:17" x14ac:dyDescent="0.2">
      <c r="A189" s="30">
        <f>RANK(B189,$B$2:$B$551,1)</f>
        <v>187</v>
      </c>
      <c r="B189" s="46">
        <f>AVERAGE(G189,I189,J189)</f>
        <v>234.33333333333334</v>
      </c>
      <c r="C189" s="31" t="s">
        <v>829</v>
      </c>
      <c r="D189" s="66">
        <v>393.561149425287</v>
      </c>
      <c r="E189" s="66">
        <v>34.200000000000003</v>
      </c>
      <c r="F189" s="66">
        <v>2903.0825211535698</v>
      </c>
      <c r="G189" s="33">
        <v>338</v>
      </c>
      <c r="H189" s="32">
        <v>117.18</v>
      </c>
      <c r="I189" s="34">
        <v>74</v>
      </c>
      <c r="J189" s="34">
        <v>291</v>
      </c>
      <c r="K189" s="35">
        <v>-0.11175837963792799</v>
      </c>
      <c r="L189" s="34" t="s">
        <v>5</v>
      </c>
      <c r="M189" s="31" t="s">
        <v>828</v>
      </c>
      <c r="N189" s="31" t="s">
        <v>13</v>
      </c>
      <c r="O189" s="31" t="s">
        <v>4</v>
      </c>
      <c r="P189" s="31" t="s">
        <v>3</v>
      </c>
      <c r="Q189" s="36"/>
    </row>
    <row r="190" spans="1:17" x14ac:dyDescent="0.2">
      <c r="A190" s="30">
        <f>RANK(B190,$B$2:$B$551,1)</f>
        <v>189</v>
      </c>
      <c r="B190" s="46">
        <f>AVERAGE(G190,I190,J190)</f>
        <v>234.66666666666666</v>
      </c>
      <c r="C190" s="31" t="s">
        <v>1102</v>
      </c>
      <c r="D190" s="66">
        <v>368.37841730162899</v>
      </c>
      <c r="E190" s="66">
        <v>64</v>
      </c>
      <c r="F190" s="66">
        <v>1609.4497257619601</v>
      </c>
      <c r="G190" s="33">
        <v>112</v>
      </c>
      <c r="H190" s="32">
        <v>116</v>
      </c>
      <c r="I190" s="34">
        <v>258</v>
      </c>
      <c r="J190" s="34">
        <v>334</v>
      </c>
      <c r="K190" s="35">
        <v>-0.41373035566583999</v>
      </c>
      <c r="L190" s="34" t="s">
        <v>5</v>
      </c>
      <c r="M190" s="31" t="s">
        <v>1101</v>
      </c>
      <c r="N190" s="31" t="s">
        <v>32</v>
      </c>
      <c r="O190" s="31" t="s">
        <v>4</v>
      </c>
      <c r="P190" s="31" t="s">
        <v>3</v>
      </c>
      <c r="Q190" s="36"/>
    </row>
    <row r="191" spans="1:17" x14ac:dyDescent="0.2">
      <c r="A191" s="30">
        <f>RANK(B191,$B$2:$B$551,1)</f>
        <v>189</v>
      </c>
      <c r="B191" s="46">
        <f>AVERAGE(G191,I191,J191)</f>
        <v>234.66666666666666</v>
      </c>
      <c r="C191" s="31" t="s">
        <v>492</v>
      </c>
      <c r="D191" s="66">
        <v>568.43820224719104</v>
      </c>
      <c r="E191" s="66">
        <v>0</v>
      </c>
      <c r="F191" s="66">
        <v>2441.78763863719</v>
      </c>
      <c r="G191" s="33">
        <v>209</v>
      </c>
      <c r="H191" s="32">
        <v>117</v>
      </c>
      <c r="I191" s="34">
        <v>96</v>
      </c>
      <c r="J191" s="34">
        <v>399</v>
      </c>
      <c r="K191" s="35">
        <v>-0.96946774859028995</v>
      </c>
      <c r="L191" s="34" t="s">
        <v>5</v>
      </c>
      <c r="M191" s="31" t="s">
        <v>491</v>
      </c>
      <c r="N191" s="31" t="s">
        <v>84</v>
      </c>
      <c r="O191" s="31" t="s">
        <v>4</v>
      </c>
      <c r="P191" s="31" t="s">
        <v>3</v>
      </c>
      <c r="Q191" s="36"/>
    </row>
    <row r="192" spans="1:17" x14ac:dyDescent="0.2">
      <c r="A192" s="30">
        <f>RANK(B192,$B$2:$B$551,1)</f>
        <v>191</v>
      </c>
      <c r="B192" s="46">
        <f>AVERAGE(G192,I192,J192)</f>
        <v>237</v>
      </c>
      <c r="C192" s="31" t="s">
        <v>179</v>
      </c>
      <c r="D192" s="66">
        <v>870.30258426966304</v>
      </c>
      <c r="E192" s="66">
        <v>10.876404494381999</v>
      </c>
      <c r="F192" s="66">
        <v>5082.0947191011201</v>
      </c>
      <c r="G192" s="33">
        <v>306</v>
      </c>
      <c r="H192" s="32">
        <v>117.1</v>
      </c>
      <c r="I192" s="34">
        <v>80</v>
      </c>
      <c r="J192" s="34">
        <v>325</v>
      </c>
      <c r="K192" s="35">
        <v>-0.31624742920423998</v>
      </c>
      <c r="L192" s="34" t="s">
        <v>5</v>
      </c>
      <c r="M192" s="31" t="s">
        <v>178</v>
      </c>
      <c r="N192" s="31" t="s">
        <v>68</v>
      </c>
      <c r="O192" s="31" t="s">
        <v>4</v>
      </c>
      <c r="P192" s="31" t="s">
        <v>3</v>
      </c>
      <c r="Q192" s="36"/>
    </row>
    <row r="193" spans="1:17" x14ac:dyDescent="0.2">
      <c r="A193" s="30">
        <f>RANK(B193,$B$2:$B$551,1)</f>
        <v>192</v>
      </c>
      <c r="B193" s="46">
        <f>AVERAGE(G193,I193,J193)</f>
        <v>237.33333333333334</v>
      </c>
      <c r="C193" s="31" t="s">
        <v>604</v>
      </c>
      <c r="D193" s="66">
        <v>344.17728323699401</v>
      </c>
      <c r="E193" s="66">
        <v>124.28901734103999</v>
      </c>
      <c r="F193" s="66">
        <v>1743.3228360992</v>
      </c>
      <c r="G193" s="33">
        <v>78</v>
      </c>
      <c r="H193" s="32">
        <v>116.35</v>
      </c>
      <c r="I193" s="34">
        <v>191</v>
      </c>
      <c r="J193" s="34">
        <v>443</v>
      </c>
      <c r="K193" s="35">
        <v>-1.25457767277023</v>
      </c>
      <c r="L193" s="34" t="s">
        <v>20</v>
      </c>
      <c r="M193" s="31" t="s">
        <v>603</v>
      </c>
      <c r="N193" s="31" t="s">
        <v>94</v>
      </c>
      <c r="O193" s="31" t="s">
        <v>4</v>
      </c>
      <c r="P193" s="31" t="s">
        <v>3</v>
      </c>
      <c r="Q193" s="36"/>
    </row>
    <row r="194" spans="1:17" x14ac:dyDescent="0.2">
      <c r="A194" s="30">
        <f>RANK(B194,$B$2:$B$551,1)</f>
        <v>193</v>
      </c>
      <c r="B194" s="46">
        <f>AVERAGE(G194,I194,J194)</f>
        <v>238.33333333333334</v>
      </c>
      <c r="C194" s="31" t="s">
        <v>925</v>
      </c>
      <c r="D194" s="66">
        <v>906.24969552919003</v>
      </c>
      <c r="E194" s="66">
        <v>301.535976983117</v>
      </c>
      <c r="F194" s="66">
        <v>3870.6139788289402</v>
      </c>
      <c r="G194" s="33">
        <v>47</v>
      </c>
      <c r="H194" s="32">
        <v>115.24</v>
      </c>
      <c r="I194" s="34">
        <v>366</v>
      </c>
      <c r="J194" s="34">
        <v>302</v>
      </c>
      <c r="K194" s="35">
        <v>-0.184245339747444</v>
      </c>
      <c r="L194" s="34" t="s">
        <v>5</v>
      </c>
      <c r="M194" s="31" t="s">
        <v>924</v>
      </c>
      <c r="N194" s="31" t="s">
        <v>9</v>
      </c>
      <c r="O194" s="31" t="s">
        <v>4</v>
      </c>
      <c r="P194" s="31" t="s">
        <v>3</v>
      </c>
      <c r="Q194" s="36"/>
    </row>
    <row r="195" spans="1:17" x14ac:dyDescent="0.2">
      <c r="A195" s="30">
        <f>RANK(B195,$B$2:$B$551,1)</f>
        <v>193</v>
      </c>
      <c r="B195" s="46">
        <f>AVERAGE(G195,I195,J195)</f>
        <v>238.33333333333334</v>
      </c>
      <c r="C195" s="31" t="s">
        <v>586</v>
      </c>
      <c r="D195" s="66">
        <v>140.934666666667</v>
      </c>
      <c r="E195" s="66">
        <v>13.844444444444401</v>
      </c>
      <c r="F195" s="66">
        <v>1463.5804247311801</v>
      </c>
      <c r="G195" s="33">
        <v>458</v>
      </c>
      <c r="H195" s="32">
        <v>116.57</v>
      </c>
      <c r="I195" s="34">
        <v>155</v>
      </c>
      <c r="J195" s="34">
        <v>102</v>
      </c>
      <c r="K195" s="35">
        <v>1.37871026065994</v>
      </c>
      <c r="L195" s="34" t="s">
        <v>26</v>
      </c>
      <c r="M195" s="31" t="s">
        <v>585</v>
      </c>
      <c r="N195" s="31" t="s">
        <v>289</v>
      </c>
      <c r="O195" s="31" t="s">
        <v>4</v>
      </c>
      <c r="P195" s="31" t="s">
        <v>3</v>
      </c>
      <c r="Q195" s="36"/>
    </row>
    <row r="196" spans="1:17" ht="22.5" x14ac:dyDescent="0.2">
      <c r="A196" s="30">
        <f>RANK(B196,$B$2:$B$551,1)</f>
        <v>195</v>
      </c>
      <c r="B196" s="46">
        <f>AVERAGE(G196,I196,J196)</f>
        <v>238.66666666666666</v>
      </c>
      <c r="C196" s="31" t="s">
        <v>913</v>
      </c>
      <c r="D196" s="66">
        <v>440.56323820597999</v>
      </c>
      <c r="E196" s="66">
        <v>52.977142857142901</v>
      </c>
      <c r="F196" s="66">
        <v>2367.3934046632899</v>
      </c>
      <c r="G196" s="33">
        <v>200</v>
      </c>
      <c r="H196" s="32">
        <v>116.53</v>
      </c>
      <c r="I196" s="34">
        <v>163</v>
      </c>
      <c r="J196" s="34">
        <v>353</v>
      </c>
      <c r="K196" s="35">
        <v>-0.60165064772252397</v>
      </c>
      <c r="L196" s="34" t="s">
        <v>5</v>
      </c>
      <c r="M196" s="31" t="s">
        <v>912</v>
      </c>
      <c r="N196" s="31" t="s">
        <v>87</v>
      </c>
      <c r="O196" s="31" t="s">
        <v>4</v>
      </c>
      <c r="P196" s="31" t="s">
        <v>3</v>
      </c>
      <c r="Q196" s="36"/>
    </row>
    <row r="197" spans="1:17" x14ac:dyDescent="0.2">
      <c r="A197" s="30">
        <f>RANK(B197,$B$2:$B$551,1)</f>
        <v>196</v>
      </c>
      <c r="B197" s="46">
        <f>AVERAGE(G197,I197,J197)</f>
        <v>239</v>
      </c>
      <c r="C197" s="31" t="s">
        <v>503</v>
      </c>
      <c r="D197" s="66">
        <v>125.061577067497</v>
      </c>
      <c r="E197" s="66">
        <v>0</v>
      </c>
      <c r="F197" s="66">
        <v>844.71956100986097</v>
      </c>
      <c r="G197" s="33">
        <v>371</v>
      </c>
      <c r="H197" s="32">
        <v>117.5</v>
      </c>
      <c r="I197" s="34">
        <v>43</v>
      </c>
      <c r="J197" s="34">
        <v>303</v>
      </c>
      <c r="K197" s="35">
        <v>-0.18952983937155601</v>
      </c>
      <c r="L197" s="34" t="s">
        <v>5</v>
      </c>
      <c r="M197" s="31" t="s">
        <v>502</v>
      </c>
      <c r="N197" s="31" t="s">
        <v>55</v>
      </c>
      <c r="O197" s="31" t="s">
        <v>4</v>
      </c>
      <c r="P197" s="31" t="s">
        <v>3</v>
      </c>
      <c r="Q197" s="36"/>
    </row>
    <row r="198" spans="1:17" x14ac:dyDescent="0.2">
      <c r="A198" s="30">
        <f>RANK(B198,$B$2:$B$551,1)</f>
        <v>197</v>
      </c>
      <c r="B198" s="46">
        <f>AVERAGE(G198,I198,J198)</f>
        <v>239.66666666666666</v>
      </c>
      <c r="C198" s="31" t="s">
        <v>309</v>
      </c>
      <c r="D198" s="66">
        <v>162.573171912833</v>
      </c>
      <c r="E198" s="66">
        <v>11.8527199354318</v>
      </c>
      <c r="F198" s="66">
        <v>1436.11782082324</v>
      </c>
      <c r="G198" s="33">
        <v>417</v>
      </c>
      <c r="H198" s="32">
        <v>116.42</v>
      </c>
      <c r="I198" s="34">
        <v>182</v>
      </c>
      <c r="J198" s="34">
        <v>120</v>
      </c>
      <c r="K198" s="35">
        <v>1.1781047908143101</v>
      </c>
      <c r="L198" s="34" t="s">
        <v>26</v>
      </c>
      <c r="M198" s="31" t="s">
        <v>308</v>
      </c>
      <c r="N198" s="31" t="s">
        <v>140</v>
      </c>
      <c r="O198" s="31" t="s">
        <v>4</v>
      </c>
      <c r="P198" s="31" t="s">
        <v>3</v>
      </c>
      <c r="Q198" s="36"/>
    </row>
    <row r="199" spans="1:17" ht="22.5" x14ac:dyDescent="0.2">
      <c r="A199" s="30">
        <f>RANK(B199,$B$2:$B$551,1)</f>
        <v>198</v>
      </c>
      <c r="B199" s="46">
        <f>AVERAGE(G199,I199,J199)</f>
        <v>242</v>
      </c>
      <c r="C199" s="31" t="s">
        <v>677</v>
      </c>
      <c r="D199" s="66">
        <v>100.798520258981</v>
      </c>
      <c r="E199" s="66">
        <v>18</v>
      </c>
      <c r="F199" s="66">
        <v>902.52650898078502</v>
      </c>
      <c r="G199" s="33">
        <v>353</v>
      </c>
      <c r="H199" s="32">
        <v>117.72</v>
      </c>
      <c r="I199" s="34">
        <v>30</v>
      </c>
      <c r="J199" s="34">
        <v>343</v>
      </c>
      <c r="K199" s="35">
        <v>-0.50085460010608795</v>
      </c>
      <c r="L199" s="34" t="s">
        <v>5</v>
      </c>
      <c r="M199" s="31" t="s">
        <v>676</v>
      </c>
      <c r="N199" s="31" t="s">
        <v>437</v>
      </c>
      <c r="O199" s="31" t="s">
        <v>4</v>
      </c>
      <c r="P199" s="31" t="s">
        <v>3</v>
      </c>
      <c r="Q199" s="36"/>
    </row>
    <row r="200" spans="1:17" x14ac:dyDescent="0.2">
      <c r="A200" s="30">
        <f>RANK(B200,$B$2:$B$551,1)</f>
        <v>199</v>
      </c>
      <c r="B200" s="46">
        <f>AVERAGE(G200,I200,J200)</f>
        <v>242.66666666666666</v>
      </c>
      <c r="C200" s="31" t="s">
        <v>679</v>
      </c>
      <c r="D200" s="66">
        <v>101.298245614035</v>
      </c>
      <c r="E200" s="66">
        <v>34.2631578947368</v>
      </c>
      <c r="F200" s="66">
        <v>1027.33426900585</v>
      </c>
      <c r="G200" s="33">
        <v>313</v>
      </c>
      <c r="H200" s="32">
        <v>117</v>
      </c>
      <c r="I200" s="34">
        <v>96</v>
      </c>
      <c r="J200" s="34">
        <v>319</v>
      </c>
      <c r="K200" s="35">
        <v>-0.28434272193657001</v>
      </c>
      <c r="L200" s="34" t="s">
        <v>5</v>
      </c>
      <c r="M200" s="31" t="s">
        <v>678</v>
      </c>
      <c r="N200" s="31" t="s">
        <v>339</v>
      </c>
      <c r="O200" s="31" t="s">
        <v>4</v>
      </c>
      <c r="P200" s="31" t="s">
        <v>3</v>
      </c>
      <c r="Q200" s="36"/>
    </row>
    <row r="201" spans="1:17" x14ac:dyDescent="0.2">
      <c r="A201" s="30">
        <f>RANK(B201,$B$2:$B$551,1)</f>
        <v>200</v>
      </c>
      <c r="B201" s="46">
        <f>AVERAGE(G201,I201,J201)</f>
        <v>244</v>
      </c>
      <c r="C201" s="31" t="s">
        <v>735</v>
      </c>
      <c r="D201" s="66">
        <v>102.037541528239</v>
      </c>
      <c r="E201" s="66">
        <v>1</v>
      </c>
      <c r="F201" s="66">
        <v>894.22694352159499</v>
      </c>
      <c r="G201" s="33">
        <v>457</v>
      </c>
      <c r="H201" s="32">
        <v>116.27</v>
      </c>
      <c r="I201" s="34">
        <v>201</v>
      </c>
      <c r="J201" s="34">
        <v>74</v>
      </c>
      <c r="K201" s="35">
        <v>1.7113666469377999</v>
      </c>
      <c r="L201" s="34" t="s">
        <v>26</v>
      </c>
      <c r="M201" s="31" t="s">
        <v>734</v>
      </c>
      <c r="N201" s="31" t="s">
        <v>140</v>
      </c>
      <c r="O201" s="31" t="s">
        <v>4</v>
      </c>
      <c r="P201" s="31" t="s">
        <v>3</v>
      </c>
      <c r="Q201" s="36"/>
    </row>
    <row r="202" spans="1:17" x14ac:dyDescent="0.2">
      <c r="A202" s="30">
        <f>RANK(B202,$B$2:$B$551,1)</f>
        <v>201</v>
      </c>
      <c r="B202" s="46">
        <f>AVERAGE(G202,I202,J202)</f>
        <v>244.66666666666666</v>
      </c>
      <c r="C202" s="31" t="s">
        <v>538</v>
      </c>
      <c r="D202" s="66">
        <v>317.93337099316898</v>
      </c>
      <c r="E202" s="66">
        <v>119.791818181818</v>
      </c>
      <c r="F202" s="66">
        <v>1614.8988423271301</v>
      </c>
      <c r="G202" s="33">
        <v>75</v>
      </c>
      <c r="H202" s="32">
        <v>115.95</v>
      </c>
      <c r="I202" s="34">
        <v>265</v>
      </c>
      <c r="J202" s="34">
        <v>394</v>
      </c>
      <c r="K202" s="35">
        <v>-0.94760737310451304</v>
      </c>
      <c r="L202" s="34" t="s">
        <v>5</v>
      </c>
      <c r="M202" s="31" t="s">
        <v>537</v>
      </c>
      <c r="N202" s="31" t="s">
        <v>47</v>
      </c>
      <c r="O202" s="31" t="s">
        <v>4</v>
      </c>
      <c r="P202" s="31" t="s">
        <v>3</v>
      </c>
      <c r="Q202" s="36"/>
    </row>
    <row r="203" spans="1:17" x14ac:dyDescent="0.2">
      <c r="A203" s="30">
        <f>RANK(B203,$B$2:$B$551,1)</f>
        <v>202</v>
      </c>
      <c r="B203" s="46">
        <f>AVERAGE(G203,I203,J203)</f>
        <v>245.33333333333334</v>
      </c>
      <c r="C203" s="31" t="s">
        <v>250</v>
      </c>
      <c r="D203" s="66">
        <v>140.58916943521601</v>
      </c>
      <c r="E203" s="66">
        <v>22</v>
      </c>
      <c r="F203" s="66">
        <v>1285.3072483870999</v>
      </c>
      <c r="G203" s="33">
        <v>378</v>
      </c>
      <c r="H203" s="32">
        <v>117.17</v>
      </c>
      <c r="I203" s="34">
        <v>77</v>
      </c>
      <c r="J203" s="34">
        <v>281</v>
      </c>
      <c r="K203" s="35">
        <v>-4.42766108095351E-2</v>
      </c>
      <c r="L203" s="34" t="s">
        <v>5</v>
      </c>
      <c r="M203" s="31" t="s">
        <v>249</v>
      </c>
      <c r="N203" s="31" t="s">
        <v>211</v>
      </c>
      <c r="O203" s="31" t="s">
        <v>4</v>
      </c>
      <c r="P203" s="31" t="s">
        <v>3</v>
      </c>
      <c r="Q203" s="36"/>
    </row>
    <row r="204" spans="1:17" x14ac:dyDescent="0.2">
      <c r="A204" s="30">
        <f>RANK(B204,$B$2:$B$551,1)</f>
        <v>203</v>
      </c>
      <c r="B204" s="46">
        <f>AVERAGE(G204,I204,J204)</f>
        <v>246.33333333333334</v>
      </c>
      <c r="C204" s="31" t="s">
        <v>640</v>
      </c>
      <c r="D204" s="66">
        <v>190.80005714285701</v>
      </c>
      <c r="E204" s="66">
        <v>29</v>
      </c>
      <c r="F204" s="66">
        <v>977.007552073733</v>
      </c>
      <c r="G204" s="33">
        <v>171</v>
      </c>
      <c r="H204" s="32">
        <v>115</v>
      </c>
      <c r="I204" s="34">
        <v>396</v>
      </c>
      <c r="J204" s="34">
        <v>172</v>
      </c>
      <c r="K204" s="35">
        <v>0.72446324007807394</v>
      </c>
      <c r="L204" s="34" t="s">
        <v>5</v>
      </c>
      <c r="M204" s="31" t="s">
        <v>639</v>
      </c>
      <c r="N204" s="31" t="s">
        <v>87</v>
      </c>
      <c r="O204" s="31" t="s">
        <v>4</v>
      </c>
      <c r="P204" s="31" t="s">
        <v>3</v>
      </c>
      <c r="Q204" s="36"/>
    </row>
    <row r="205" spans="1:17" x14ac:dyDescent="0.2">
      <c r="A205" s="30">
        <f>RANK(B205,$B$2:$B$551,1)</f>
        <v>203</v>
      </c>
      <c r="B205" s="46">
        <f>AVERAGE(G205,I205,J205)</f>
        <v>246.33333333333334</v>
      </c>
      <c r="C205" s="31" t="s">
        <v>34</v>
      </c>
      <c r="D205" s="66">
        <v>294.93054302422701</v>
      </c>
      <c r="E205" s="66">
        <v>94.502923976608201</v>
      </c>
      <c r="F205" s="66">
        <v>2107.61501269976</v>
      </c>
      <c r="G205" s="33">
        <v>196</v>
      </c>
      <c r="H205" s="32">
        <v>116.12</v>
      </c>
      <c r="I205" s="34">
        <v>234</v>
      </c>
      <c r="J205" s="34">
        <v>309</v>
      </c>
      <c r="K205" s="35">
        <v>-0.22037022812811999</v>
      </c>
      <c r="L205" s="34" t="s">
        <v>5</v>
      </c>
      <c r="M205" s="31" t="s">
        <v>33</v>
      </c>
      <c r="N205" s="31" t="s">
        <v>35</v>
      </c>
      <c r="O205" s="31" t="s">
        <v>4</v>
      </c>
      <c r="P205" s="31" t="s">
        <v>3</v>
      </c>
      <c r="Q205" s="36"/>
    </row>
    <row r="206" spans="1:17" x14ac:dyDescent="0.2">
      <c r="A206" s="30">
        <f>RANK(B206,$B$2:$B$551,1)</f>
        <v>205</v>
      </c>
      <c r="B206" s="46">
        <f>AVERAGE(G206,I206,J206)</f>
        <v>247</v>
      </c>
      <c r="C206" s="31" t="s">
        <v>215</v>
      </c>
      <c r="D206" s="66">
        <v>601.52517045454601</v>
      </c>
      <c r="E206" s="66">
        <v>252.922272727273</v>
      </c>
      <c r="F206" s="66">
        <v>4301.8673753665698</v>
      </c>
      <c r="G206" s="33">
        <v>155</v>
      </c>
      <c r="H206" s="32">
        <v>116.44</v>
      </c>
      <c r="I206" s="34">
        <v>179</v>
      </c>
      <c r="J206" s="34">
        <v>407</v>
      </c>
      <c r="K206" s="35">
        <v>-1.0366027007818099</v>
      </c>
      <c r="L206" s="34" t="s">
        <v>20</v>
      </c>
      <c r="M206" s="31" t="s">
        <v>214</v>
      </c>
      <c r="N206" s="31" t="s">
        <v>9</v>
      </c>
      <c r="O206" s="31" t="s">
        <v>4</v>
      </c>
      <c r="P206" s="31" t="s">
        <v>3</v>
      </c>
      <c r="Q206" s="36"/>
    </row>
    <row r="207" spans="1:17" x14ac:dyDescent="0.2">
      <c r="A207" s="30">
        <f>RANK(B207,$B$2:$B$551,1)</f>
        <v>205</v>
      </c>
      <c r="B207" s="46">
        <f>AVERAGE(G207,I207,J207)</f>
        <v>247</v>
      </c>
      <c r="C207" s="31" t="s">
        <v>242</v>
      </c>
      <c r="D207" s="66">
        <v>322.70175438596499</v>
      </c>
      <c r="E207" s="66">
        <v>89.409356725146196</v>
      </c>
      <c r="F207" s="66">
        <v>2169.54169213356</v>
      </c>
      <c r="G207" s="33">
        <v>195</v>
      </c>
      <c r="H207" s="32">
        <v>115.6</v>
      </c>
      <c r="I207" s="34">
        <v>319</v>
      </c>
      <c r="J207" s="34">
        <v>227</v>
      </c>
      <c r="K207" s="35">
        <v>0.28958888465930699</v>
      </c>
      <c r="L207" s="34" t="s">
        <v>5</v>
      </c>
      <c r="M207" s="31" t="s">
        <v>241</v>
      </c>
      <c r="N207" s="31" t="s">
        <v>243</v>
      </c>
      <c r="O207" s="31" t="s">
        <v>4</v>
      </c>
      <c r="P207" s="31" t="s">
        <v>3</v>
      </c>
      <c r="Q207" s="36"/>
    </row>
    <row r="208" spans="1:17" x14ac:dyDescent="0.2">
      <c r="A208" s="30">
        <f>RANK(B208,$B$2:$B$551,1)</f>
        <v>207</v>
      </c>
      <c r="B208" s="46">
        <f>AVERAGE(G208,I208,J208)</f>
        <v>248.33333333333334</v>
      </c>
      <c r="C208" s="31" t="s">
        <v>221</v>
      </c>
      <c r="D208" s="66">
        <v>233.544444444444</v>
      </c>
      <c r="E208" s="66">
        <v>118.338888888889</v>
      </c>
      <c r="F208" s="66">
        <v>1996.11988888889</v>
      </c>
      <c r="G208" s="33">
        <v>185</v>
      </c>
      <c r="H208" s="32">
        <v>116.53</v>
      </c>
      <c r="I208" s="34">
        <v>163</v>
      </c>
      <c r="J208" s="34">
        <v>397</v>
      </c>
      <c r="K208" s="35">
        <v>-0.964473570751056</v>
      </c>
      <c r="L208" s="34" t="s">
        <v>5</v>
      </c>
      <c r="M208" s="31" t="s">
        <v>220</v>
      </c>
      <c r="N208" s="31" t="s">
        <v>106</v>
      </c>
      <c r="O208" s="31" t="s">
        <v>4</v>
      </c>
      <c r="P208" s="31" t="s">
        <v>3</v>
      </c>
      <c r="Q208" s="36"/>
    </row>
    <row r="209" spans="1:17" x14ac:dyDescent="0.2">
      <c r="A209" s="30">
        <f>RANK(B209,$B$2:$B$551,1)</f>
        <v>208</v>
      </c>
      <c r="B209" s="46">
        <f>AVERAGE(G209,I209,J209)</f>
        <v>249.66666666666666</v>
      </c>
      <c r="C209" s="31" t="s">
        <v>18</v>
      </c>
      <c r="D209" s="66">
        <v>1060.9387519260399</v>
      </c>
      <c r="E209" s="66">
        <v>503.62711864406799</v>
      </c>
      <c r="F209" s="66">
        <v>5899.5984714579199</v>
      </c>
      <c r="G209" s="33">
        <v>71</v>
      </c>
      <c r="H209" s="32">
        <v>116.43</v>
      </c>
      <c r="I209" s="34">
        <v>181</v>
      </c>
      <c r="J209" s="34">
        <v>497</v>
      </c>
      <c r="K209" s="35">
        <v>-1.8656741108354</v>
      </c>
      <c r="L209" s="34" t="s">
        <v>20</v>
      </c>
      <c r="M209" s="31" t="s">
        <v>17</v>
      </c>
      <c r="N209" s="31" t="s">
        <v>19</v>
      </c>
      <c r="O209" s="31" t="s">
        <v>4</v>
      </c>
      <c r="P209" s="31" t="s">
        <v>3</v>
      </c>
      <c r="Q209" s="36"/>
    </row>
    <row r="210" spans="1:17" x14ac:dyDescent="0.2">
      <c r="A210" s="30">
        <f>RANK(B210,$B$2:$B$551,1)</f>
        <v>209</v>
      </c>
      <c r="B210" s="46">
        <f>AVERAGE(G210,I210,J210)</f>
        <v>250</v>
      </c>
      <c r="C210" s="31" t="s">
        <v>1</v>
      </c>
      <c r="D210" s="66">
        <v>215.93619448206999</v>
      </c>
      <c r="E210" s="66">
        <v>53</v>
      </c>
      <c r="F210" s="66">
        <v>1783.8744725034901</v>
      </c>
      <c r="G210" s="33">
        <v>285</v>
      </c>
      <c r="H210" s="32">
        <v>115.64</v>
      </c>
      <c r="I210" s="34">
        <v>315</v>
      </c>
      <c r="J210" s="34">
        <v>150</v>
      </c>
      <c r="K210" s="35">
        <v>0.89210593545090699</v>
      </c>
      <c r="L210" s="34" t="s">
        <v>5</v>
      </c>
      <c r="M210" s="31" t="s">
        <v>0</v>
      </c>
      <c r="N210" s="31" t="s">
        <v>2</v>
      </c>
      <c r="O210" s="31" t="s">
        <v>4</v>
      </c>
      <c r="P210" s="31" t="s">
        <v>3</v>
      </c>
      <c r="Q210" s="36"/>
    </row>
    <row r="211" spans="1:17" x14ac:dyDescent="0.2">
      <c r="A211" s="30">
        <f>RANK(B211,$B$2:$B$551,1)</f>
        <v>210</v>
      </c>
      <c r="B211" s="46">
        <f>AVERAGE(G211,I211,J211)</f>
        <v>252.33333333333334</v>
      </c>
      <c r="C211" s="31" t="s">
        <v>270</v>
      </c>
      <c r="D211" s="66">
        <v>1044.0315340909101</v>
      </c>
      <c r="E211" s="66">
        <v>304.61931818181802</v>
      </c>
      <c r="F211" s="66">
        <v>5106.3919741892396</v>
      </c>
      <c r="G211" s="33">
        <v>93</v>
      </c>
      <c r="H211" s="32">
        <v>116.55</v>
      </c>
      <c r="I211" s="34">
        <v>161</v>
      </c>
      <c r="J211" s="34">
        <v>503</v>
      </c>
      <c r="K211" s="35">
        <v>-2.0370492343158202</v>
      </c>
      <c r="L211" s="34" t="s">
        <v>39</v>
      </c>
      <c r="M211" s="31" t="s">
        <v>269</v>
      </c>
      <c r="N211" s="31" t="s">
        <v>38</v>
      </c>
      <c r="O211" s="31" t="s">
        <v>4</v>
      </c>
      <c r="P211" s="31" t="s">
        <v>3</v>
      </c>
      <c r="Q211" s="36"/>
    </row>
    <row r="212" spans="1:17" x14ac:dyDescent="0.2">
      <c r="A212" s="30">
        <f>RANK(B212,$B$2:$B$551,1)</f>
        <v>211</v>
      </c>
      <c r="B212" s="46">
        <f>AVERAGE(G212,I212,J212)</f>
        <v>253</v>
      </c>
      <c r="C212" s="31" t="s">
        <v>661</v>
      </c>
      <c r="D212" s="66">
        <v>1270.46346590909</v>
      </c>
      <c r="E212" s="66">
        <v>220.80681818181799</v>
      </c>
      <c r="F212" s="66">
        <v>5446.3875014861896</v>
      </c>
      <c r="G212" s="33">
        <v>100</v>
      </c>
      <c r="H212" s="32">
        <v>116.19</v>
      </c>
      <c r="I212" s="34">
        <v>217</v>
      </c>
      <c r="J212" s="34">
        <v>442</v>
      </c>
      <c r="K212" s="35">
        <v>-1.2446231858716601</v>
      </c>
      <c r="L212" s="34" t="s">
        <v>20</v>
      </c>
      <c r="M212" s="31" t="s">
        <v>660</v>
      </c>
      <c r="N212" s="31" t="s">
        <v>570</v>
      </c>
      <c r="O212" s="31" t="s">
        <v>4</v>
      </c>
      <c r="P212" s="31" t="s">
        <v>3</v>
      </c>
      <c r="Q212" s="36"/>
    </row>
    <row r="213" spans="1:17" x14ac:dyDescent="0.2">
      <c r="A213" s="30">
        <f>RANK(B213,$B$2:$B$551,1)</f>
        <v>212</v>
      </c>
      <c r="B213" s="46">
        <f>AVERAGE(G213,I213,J213)</f>
        <v>254</v>
      </c>
      <c r="C213" s="31" t="s">
        <v>712</v>
      </c>
      <c r="D213" s="66">
        <v>167.41865597902799</v>
      </c>
      <c r="E213" s="66">
        <v>19</v>
      </c>
      <c r="F213" s="66">
        <v>919.51522630733302</v>
      </c>
      <c r="G213" s="33">
        <v>218</v>
      </c>
      <c r="H213" s="32">
        <v>116.94</v>
      </c>
      <c r="I213" s="34">
        <v>105</v>
      </c>
      <c r="J213" s="34">
        <v>439</v>
      </c>
      <c r="K213" s="35">
        <v>-1.2145753888989801</v>
      </c>
      <c r="L213" s="34" t="s">
        <v>20</v>
      </c>
      <c r="M213" s="31" t="s">
        <v>711</v>
      </c>
      <c r="N213" s="31" t="s">
        <v>76</v>
      </c>
      <c r="O213" s="31" t="s">
        <v>4</v>
      </c>
      <c r="P213" s="31" t="s">
        <v>3</v>
      </c>
      <c r="Q213" s="36"/>
    </row>
    <row r="214" spans="1:17" x14ac:dyDescent="0.2">
      <c r="A214" s="30">
        <f>RANK(B214,$B$2:$B$551,1)</f>
        <v>213</v>
      </c>
      <c r="B214" s="46">
        <f>AVERAGE(G214,I214,J214)</f>
        <v>254.33333333333334</v>
      </c>
      <c r="C214" s="31" t="s">
        <v>870</v>
      </c>
      <c r="D214" s="66">
        <v>114.556292134831</v>
      </c>
      <c r="E214" s="66">
        <v>0</v>
      </c>
      <c r="F214" s="66">
        <v>985.39090431315697</v>
      </c>
      <c r="G214" s="33">
        <v>459</v>
      </c>
      <c r="H214" s="32">
        <v>116.12</v>
      </c>
      <c r="I214" s="34">
        <v>234</v>
      </c>
      <c r="J214" s="34">
        <v>70</v>
      </c>
      <c r="K214" s="35">
        <v>1.8141282023565</v>
      </c>
      <c r="L214" s="34" t="s">
        <v>26</v>
      </c>
      <c r="M214" s="31" t="s">
        <v>869</v>
      </c>
      <c r="N214" s="31" t="s">
        <v>486</v>
      </c>
      <c r="O214" s="31" t="s">
        <v>4</v>
      </c>
      <c r="P214" s="31" t="s">
        <v>3</v>
      </c>
      <c r="Q214" s="36"/>
    </row>
    <row r="215" spans="1:17" x14ac:dyDescent="0.2">
      <c r="A215" s="30">
        <f>RANK(B215,$B$2:$B$551,1)</f>
        <v>214</v>
      </c>
      <c r="B215" s="46">
        <f>AVERAGE(G215,I215,J215)</f>
        <v>254.66666666666666</v>
      </c>
      <c r="C215" s="31" t="s">
        <v>532</v>
      </c>
      <c r="D215" s="66">
        <v>55.473413804828297</v>
      </c>
      <c r="E215" s="66">
        <v>1</v>
      </c>
      <c r="F215" s="66">
        <v>718.09602516151006</v>
      </c>
      <c r="G215" s="33">
        <v>537</v>
      </c>
      <c r="H215" s="32">
        <v>116.85</v>
      </c>
      <c r="I215" s="34">
        <v>111</v>
      </c>
      <c r="J215" s="34">
        <v>116</v>
      </c>
      <c r="K215" s="35">
        <v>1.2386319218241</v>
      </c>
      <c r="L215" s="34" t="s">
        <v>26</v>
      </c>
      <c r="M215" s="31" t="s">
        <v>531</v>
      </c>
      <c r="N215" s="31" t="s">
        <v>140</v>
      </c>
      <c r="O215" s="31" t="s">
        <v>4</v>
      </c>
      <c r="P215" s="31" t="s">
        <v>3</v>
      </c>
      <c r="Q215" s="36"/>
    </row>
    <row r="216" spans="1:17" x14ac:dyDescent="0.2">
      <c r="A216" s="30">
        <f>RANK(B216,$B$2:$B$551,1)</f>
        <v>215</v>
      </c>
      <c r="B216" s="46">
        <f>AVERAGE(G216,I216,J216)</f>
        <v>255.33333333333334</v>
      </c>
      <c r="C216" s="31" t="s">
        <v>790</v>
      </c>
      <c r="D216" s="66">
        <v>351.41970414201199</v>
      </c>
      <c r="E216" s="66">
        <v>38.331360946745598</v>
      </c>
      <c r="F216" s="66">
        <v>1689.55460133107</v>
      </c>
      <c r="G216" s="33">
        <v>175</v>
      </c>
      <c r="H216" s="32">
        <v>112.05</v>
      </c>
      <c r="I216" s="34">
        <v>566</v>
      </c>
      <c r="J216" s="34">
        <v>25</v>
      </c>
      <c r="K216" s="35">
        <v>2.74252794889345</v>
      </c>
      <c r="L216" s="34" t="s">
        <v>56</v>
      </c>
      <c r="M216" s="31" t="s">
        <v>789</v>
      </c>
      <c r="N216" s="31" t="s">
        <v>169</v>
      </c>
      <c r="O216" s="31" t="s">
        <v>4</v>
      </c>
      <c r="P216" s="31" t="s">
        <v>3</v>
      </c>
      <c r="Q216" s="36"/>
    </row>
    <row r="217" spans="1:17" x14ac:dyDescent="0.2">
      <c r="A217" s="30">
        <f>RANK(B217,$B$2:$B$551,1)</f>
        <v>216</v>
      </c>
      <c r="B217" s="46">
        <f>AVERAGE(G217,I217,J217)</f>
        <v>256.33333333333331</v>
      </c>
      <c r="C217" s="31" t="s">
        <v>208</v>
      </c>
      <c r="D217" s="66">
        <v>2751.3963636363601</v>
      </c>
      <c r="E217" s="66">
        <v>451.19318181818198</v>
      </c>
      <c r="F217" s="66">
        <v>19563.187510855401</v>
      </c>
      <c r="G217" s="33">
        <v>274</v>
      </c>
      <c r="H217" s="32">
        <v>115.68</v>
      </c>
      <c r="I217" s="34">
        <v>305</v>
      </c>
      <c r="J217" s="34">
        <v>190</v>
      </c>
      <c r="K217" s="35">
        <v>0.58611317024956799</v>
      </c>
      <c r="L217" s="34" t="s">
        <v>5</v>
      </c>
      <c r="M217" s="31" t="s">
        <v>207</v>
      </c>
      <c r="N217" s="31" t="s">
        <v>57</v>
      </c>
      <c r="O217" s="31" t="s">
        <v>4</v>
      </c>
      <c r="P217" s="31" t="s">
        <v>3</v>
      </c>
      <c r="Q217" s="36"/>
    </row>
    <row r="218" spans="1:17" x14ac:dyDescent="0.2">
      <c r="A218" s="30">
        <f>RANK(B218,$B$2:$B$551,1)</f>
        <v>216</v>
      </c>
      <c r="B218" s="46">
        <f>AVERAGE(G218,I218,J218)</f>
        <v>256.33333333333331</v>
      </c>
      <c r="C218" s="31" t="s">
        <v>945</v>
      </c>
      <c r="D218" s="66">
        <v>80.016894237652096</v>
      </c>
      <c r="E218" s="66">
        <v>8.5088582677165299</v>
      </c>
      <c r="F218" s="66">
        <v>1172.35108196291</v>
      </c>
      <c r="G218" s="33">
        <v>531</v>
      </c>
      <c r="H218" s="32">
        <v>116.15</v>
      </c>
      <c r="I218" s="34">
        <v>224</v>
      </c>
      <c r="J218" s="34">
        <v>14</v>
      </c>
      <c r="K218" s="35">
        <v>3.5320238597336902</v>
      </c>
      <c r="L218" s="34" t="s">
        <v>56</v>
      </c>
      <c r="M218" s="31" t="s">
        <v>944</v>
      </c>
      <c r="N218" s="31" t="s">
        <v>516</v>
      </c>
      <c r="O218" s="31" t="s">
        <v>4</v>
      </c>
      <c r="P218" s="31" t="s">
        <v>3</v>
      </c>
      <c r="Q218" s="36"/>
    </row>
    <row r="219" spans="1:17" x14ac:dyDescent="0.2">
      <c r="A219" s="30">
        <f>RANK(B219,$B$2:$B$551,1)</f>
        <v>218</v>
      </c>
      <c r="B219" s="46">
        <f>AVERAGE(G219,I219,J219)</f>
        <v>257</v>
      </c>
      <c r="C219" s="31" t="s">
        <v>776</v>
      </c>
      <c r="D219" s="66">
        <v>63.565390365448501</v>
      </c>
      <c r="E219" s="66">
        <v>2</v>
      </c>
      <c r="F219" s="66">
        <v>580.04088932947502</v>
      </c>
      <c r="G219" s="33">
        <v>455</v>
      </c>
      <c r="H219" s="32">
        <v>116.71</v>
      </c>
      <c r="I219" s="34">
        <v>131</v>
      </c>
      <c r="J219" s="34">
        <v>185</v>
      </c>
      <c r="K219" s="35">
        <v>0.62935554646535996</v>
      </c>
      <c r="L219" s="34" t="s">
        <v>5</v>
      </c>
      <c r="M219" s="31" t="s">
        <v>775</v>
      </c>
      <c r="N219" s="31" t="s">
        <v>413</v>
      </c>
      <c r="O219" s="31" t="s">
        <v>4</v>
      </c>
      <c r="P219" s="31" t="s">
        <v>3</v>
      </c>
      <c r="Q219" s="36"/>
    </row>
    <row r="220" spans="1:17" x14ac:dyDescent="0.2">
      <c r="A220" s="30">
        <f>RANK(B220,$B$2:$B$551,1)</f>
        <v>219</v>
      </c>
      <c r="B220" s="46">
        <f>AVERAGE(G220,I220,J220)</f>
        <v>258.66666666666669</v>
      </c>
      <c r="C220" s="31" t="s">
        <v>256</v>
      </c>
      <c r="D220" s="66">
        <v>120.97042016806699</v>
      </c>
      <c r="E220" s="66">
        <v>0</v>
      </c>
      <c r="F220" s="66">
        <v>945.35678373542999</v>
      </c>
      <c r="G220" s="33">
        <v>428</v>
      </c>
      <c r="H220" s="32">
        <v>116.94</v>
      </c>
      <c r="I220" s="34">
        <v>105</v>
      </c>
      <c r="J220" s="34">
        <v>243</v>
      </c>
      <c r="K220" s="35">
        <v>0.19943742506686299</v>
      </c>
      <c r="L220" s="34" t="s">
        <v>5</v>
      </c>
      <c r="M220" s="31" t="s">
        <v>255</v>
      </c>
      <c r="N220" s="31" t="s">
        <v>140</v>
      </c>
      <c r="O220" s="31" t="s">
        <v>4</v>
      </c>
      <c r="P220" s="31" t="s">
        <v>3</v>
      </c>
      <c r="Q220" s="36"/>
    </row>
    <row r="221" spans="1:17" x14ac:dyDescent="0.2">
      <c r="A221" s="30">
        <f>RANK(B221,$B$2:$B$551,1)</f>
        <v>219</v>
      </c>
      <c r="B221" s="46">
        <f>AVERAGE(G221,I221,J221)</f>
        <v>258.66666666666669</v>
      </c>
      <c r="C221" s="31" t="s">
        <v>1016</v>
      </c>
      <c r="D221" s="66">
        <v>41</v>
      </c>
      <c r="E221" s="66">
        <v>3</v>
      </c>
      <c r="F221" s="66">
        <v>584.14745135920998</v>
      </c>
      <c r="G221" s="33">
        <v>536</v>
      </c>
      <c r="H221" s="32">
        <v>117.59</v>
      </c>
      <c r="I221" s="34">
        <v>38</v>
      </c>
      <c r="J221" s="34">
        <v>202</v>
      </c>
      <c r="K221" s="35">
        <v>0.430440262505976</v>
      </c>
      <c r="L221" s="34" t="s">
        <v>5</v>
      </c>
      <c r="M221" s="31" t="s">
        <v>1015</v>
      </c>
      <c r="N221" s="31" t="s">
        <v>8</v>
      </c>
      <c r="O221" s="31" t="s">
        <v>4</v>
      </c>
      <c r="P221" s="31" t="s">
        <v>3</v>
      </c>
      <c r="Q221" s="36"/>
    </row>
    <row r="222" spans="1:17" x14ac:dyDescent="0.2">
      <c r="A222" s="30">
        <f>RANK(B222,$B$2:$B$551,1)</f>
        <v>221</v>
      </c>
      <c r="B222" s="46">
        <f>AVERAGE(G222,I222,J222)</f>
        <v>259.33333333333331</v>
      </c>
      <c r="C222" s="31" t="s">
        <v>83</v>
      </c>
      <c r="D222" s="66">
        <v>294.55681818181802</v>
      </c>
      <c r="E222" s="66">
        <v>46.284090909090899</v>
      </c>
      <c r="F222" s="66">
        <v>3044.1735795454501</v>
      </c>
      <c r="G222" s="33">
        <v>422</v>
      </c>
      <c r="H222" s="32">
        <v>116.16</v>
      </c>
      <c r="I222" s="34">
        <v>223</v>
      </c>
      <c r="J222" s="34">
        <v>133</v>
      </c>
      <c r="K222" s="35">
        <v>1.07551308162306</v>
      </c>
      <c r="L222" s="34" t="s">
        <v>26</v>
      </c>
      <c r="M222" s="31" t="s">
        <v>379</v>
      </c>
      <c r="N222" s="31" t="s">
        <v>289</v>
      </c>
      <c r="O222" s="31" t="s">
        <v>4</v>
      </c>
      <c r="P222" s="31" t="s">
        <v>3</v>
      </c>
      <c r="Q222" s="36"/>
    </row>
    <row r="223" spans="1:17" x14ac:dyDescent="0.2">
      <c r="A223" s="30">
        <f>RANK(B223,$B$2:$B$551,1)</f>
        <v>222</v>
      </c>
      <c r="B223" s="46">
        <f>AVERAGE(G223,I223,J223)</f>
        <v>261</v>
      </c>
      <c r="C223" s="31" t="s">
        <v>784</v>
      </c>
      <c r="D223" s="66">
        <v>124.810571428572</v>
      </c>
      <c r="E223" s="66">
        <v>0</v>
      </c>
      <c r="F223" s="66">
        <v>848.94643317972395</v>
      </c>
      <c r="G223" s="33">
        <v>374</v>
      </c>
      <c r="H223" s="32">
        <v>116.02</v>
      </c>
      <c r="I223" s="34">
        <v>254</v>
      </c>
      <c r="J223" s="34">
        <v>155</v>
      </c>
      <c r="K223" s="35">
        <v>0.86346788525006302</v>
      </c>
      <c r="L223" s="34" t="s">
        <v>5</v>
      </c>
      <c r="M223" s="31" t="s">
        <v>783</v>
      </c>
      <c r="N223" s="31" t="s">
        <v>76</v>
      </c>
      <c r="O223" s="31" t="s">
        <v>4</v>
      </c>
      <c r="P223" s="31" t="s">
        <v>3</v>
      </c>
      <c r="Q223" s="36"/>
    </row>
    <row r="224" spans="1:17" x14ac:dyDescent="0.2">
      <c r="A224" s="30">
        <f>RANK(B224,$B$2:$B$551,1)</f>
        <v>223</v>
      </c>
      <c r="B224" s="46">
        <f>AVERAGE(G224,I224,J224)</f>
        <v>262.66666666666669</v>
      </c>
      <c r="C224" s="31" t="s">
        <v>262</v>
      </c>
      <c r="D224" s="66">
        <v>406.25467000835403</v>
      </c>
      <c r="E224" s="66">
        <v>84.577142857142803</v>
      </c>
      <c r="F224" s="66">
        <v>2614.8323201336698</v>
      </c>
      <c r="G224" s="33">
        <v>220</v>
      </c>
      <c r="H224" s="32">
        <v>116.28</v>
      </c>
      <c r="I224" s="34">
        <v>200</v>
      </c>
      <c r="J224" s="34">
        <v>368</v>
      </c>
      <c r="K224" s="35">
        <v>-0.79696476964769603</v>
      </c>
      <c r="L224" s="34" t="s">
        <v>5</v>
      </c>
      <c r="M224" s="31" t="s">
        <v>261</v>
      </c>
      <c r="N224" s="31" t="s">
        <v>263</v>
      </c>
      <c r="O224" s="31" t="s">
        <v>4</v>
      </c>
      <c r="P224" s="31" t="s">
        <v>3</v>
      </c>
      <c r="Q224" s="36"/>
    </row>
    <row r="225" spans="1:17" x14ac:dyDescent="0.2">
      <c r="A225" s="30">
        <f>RANK(B225,$B$2:$B$551,1)</f>
        <v>224</v>
      </c>
      <c r="B225" s="46">
        <f>AVERAGE(G225,I225,J225)</f>
        <v>263</v>
      </c>
      <c r="C225" s="31" t="s">
        <v>89</v>
      </c>
      <c r="D225" s="66">
        <v>255.27363081862001</v>
      </c>
      <c r="E225" s="66">
        <v>18.983146067415699</v>
      </c>
      <c r="F225" s="66">
        <v>2100.0853195974801</v>
      </c>
      <c r="G225" s="33">
        <v>392</v>
      </c>
      <c r="H225" s="32">
        <v>115.65</v>
      </c>
      <c r="I225" s="34">
        <v>309</v>
      </c>
      <c r="J225" s="34">
        <v>88</v>
      </c>
      <c r="K225" s="35">
        <v>1.5312802922973701</v>
      </c>
      <c r="L225" s="34" t="s">
        <v>26</v>
      </c>
      <c r="M225" s="31" t="s">
        <v>88</v>
      </c>
      <c r="N225" s="31" t="s">
        <v>10</v>
      </c>
      <c r="O225" s="31" t="s">
        <v>4</v>
      </c>
      <c r="P225" s="31" t="s">
        <v>3</v>
      </c>
      <c r="Q225" s="36"/>
    </row>
    <row r="226" spans="1:17" x14ac:dyDescent="0.2">
      <c r="A226" s="30">
        <f>RANK(B226,$B$2:$B$551,1)</f>
        <v>225</v>
      </c>
      <c r="B226" s="46">
        <f>AVERAGE(G226,I226,J226)</f>
        <v>263.33333333333331</v>
      </c>
      <c r="C226" s="31" t="s">
        <v>878</v>
      </c>
      <c r="D226" s="66">
        <v>91.833492358803994</v>
      </c>
      <c r="E226" s="66">
        <v>7</v>
      </c>
      <c r="F226" s="66">
        <v>368.68147508305702</v>
      </c>
      <c r="G226" s="33">
        <v>134</v>
      </c>
      <c r="H226" s="32">
        <v>115.34</v>
      </c>
      <c r="I226" s="34">
        <v>352</v>
      </c>
      <c r="J226" s="34">
        <v>304</v>
      </c>
      <c r="K226" s="35">
        <v>-0.195510631516642</v>
      </c>
      <c r="L226" s="34" t="s">
        <v>5</v>
      </c>
      <c r="M226" s="31" t="s">
        <v>877</v>
      </c>
      <c r="N226" s="31" t="s">
        <v>641</v>
      </c>
      <c r="O226" s="31" t="s">
        <v>4</v>
      </c>
      <c r="P226" s="31" t="s">
        <v>3</v>
      </c>
      <c r="Q226" s="36"/>
    </row>
    <row r="227" spans="1:17" x14ac:dyDescent="0.2">
      <c r="A227" s="30">
        <f>RANK(B227,$B$2:$B$551,1)</f>
        <v>226</v>
      </c>
      <c r="B227" s="46">
        <f>AVERAGE(G227,I227,J227)</f>
        <v>264</v>
      </c>
      <c r="C227" s="31" t="s">
        <v>420</v>
      </c>
      <c r="D227" s="66">
        <v>193.63485714285699</v>
      </c>
      <c r="E227" s="66">
        <v>99.462857142857104</v>
      </c>
      <c r="F227" s="66">
        <v>1704.13561322852</v>
      </c>
      <c r="G227" s="33">
        <v>192</v>
      </c>
      <c r="H227" s="32">
        <v>117.06</v>
      </c>
      <c r="I227" s="34">
        <v>85</v>
      </c>
      <c r="J227" s="34">
        <v>515</v>
      </c>
      <c r="K227" s="35">
        <v>-2.38138256087981</v>
      </c>
      <c r="L227" s="34" t="s">
        <v>39</v>
      </c>
      <c r="M227" s="31" t="s">
        <v>419</v>
      </c>
      <c r="N227" s="31" t="s">
        <v>421</v>
      </c>
      <c r="O227" s="31" t="s">
        <v>4</v>
      </c>
      <c r="P227" s="31" t="s">
        <v>3</v>
      </c>
      <c r="Q227" s="36"/>
    </row>
    <row r="228" spans="1:17" x14ac:dyDescent="0.2">
      <c r="A228" s="30">
        <f>RANK(B228,$B$2:$B$551,1)</f>
        <v>227</v>
      </c>
      <c r="B228" s="46">
        <f>AVERAGE(G228,I228,J228)</f>
        <v>264.66666666666669</v>
      </c>
      <c r="C228" s="31" t="s">
        <v>645</v>
      </c>
      <c r="D228" s="66">
        <v>85.054119601328907</v>
      </c>
      <c r="E228" s="66">
        <v>19</v>
      </c>
      <c r="F228" s="66">
        <v>584.30885489229502</v>
      </c>
      <c r="G228" s="33">
        <v>237</v>
      </c>
      <c r="H228" s="32">
        <v>115.26</v>
      </c>
      <c r="I228" s="34">
        <v>361</v>
      </c>
      <c r="J228" s="34">
        <v>196</v>
      </c>
      <c r="K228" s="35">
        <v>0.48375740118418897</v>
      </c>
      <c r="L228" s="34" t="s">
        <v>5</v>
      </c>
      <c r="M228" s="31" t="s">
        <v>644</v>
      </c>
      <c r="N228" s="31" t="s">
        <v>19</v>
      </c>
      <c r="O228" s="31" t="s">
        <v>4</v>
      </c>
      <c r="P228" s="31" t="s">
        <v>3</v>
      </c>
      <c r="Q228" s="36"/>
    </row>
    <row r="229" spans="1:17" x14ac:dyDescent="0.2">
      <c r="A229" s="30">
        <f>RANK(B229,$B$2:$B$551,1)</f>
        <v>228</v>
      </c>
      <c r="B229" s="46">
        <f>AVERAGE(G229,I229,J229)</f>
        <v>265</v>
      </c>
      <c r="C229" s="31" t="s">
        <v>188</v>
      </c>
      <c r="D229" s="66">
        <v>2204.9784916201102</v>
      </c>
      <c r="E229" s="66">
        <v>450.57262569832398</v>
      </c>
      <c r="F229" s="66">
        <v>14839.8198256208</v>
      </c>
      <c r="G229" s="33">
        <v>238</v>
      </c>
      <c r="H229" s="32">
        <v>117.01</v>
      </c>
      <c r="I229" s="34">
        <v>94</v>
      </c>
      <c r="J229" s="34">
        <v>463</v>
      </c>
      <c r="K229" s="35">
        <v>-1.4161610590182001</v>
      </c>
      <c r="L229" s="34" t="s">
        <v>20</v>
      </c>
      <c r="M229" s="31" t="s">
        <v>187</v>
      </c>
      <c r="N229" s="31" t="s">
        <v>57</v>
      </c>
      <c r="O229" s="31" t="s">
        <v>4</v>
      </c>
      <c r="P229" s="31" t="s">
        <v>3</v>
      </c>
      <c r="Q229" s="36"/>
    </row>
    <row r="230" spans="1:17" x14ac:dyDescent="0.2">
      <c r="A230" s="30">
        <f>RANK(B230,$B$2:$B$551,1)</f>
        <v>229</v>
      </c>
      <c r="B230" s="46">
        <f>AVERAGE(G230,I230,J230)</f>
        <v>265.33333333333331</v>
      </c>
      <c r="C230" s="31" t="s">
        <v>498</v>
      </c>
      <c r="D230" s="66">
        <v>119.93410969953599</v>
      </c>
      <c r="E230" s="66">
        <v>66.913793103448299</v>
      </c>
      <c r="F230" s="66">
        <v>1153.0449946881499</v>
      </c>
      <c r="G230" s="33">
        <v>208</v>
      </c>
      <c r="H230" s="32">
        <v>115.54</v>
      </c>
      <c r="I230" s="34">
        <v>328</v>
      </c>
      <c r="J230" s="34">
        <v>260</v>
      </c>
      <c r="K230" s="35">
        <v>7.7162453956560406E-2</v>
      </c>
      <c r="L230" s="34" t="s">
        <v>5</v>
      </c>
      <c r="M230" s="31" t="s">
        <v>497</v>
      </c>
      <c r="N230" s="31" t="s">
        <v>200</v>
      </c>
      <c r="O230" s="31" t="s">
        <v>4</v>
      </c>
      <c r="P230" s="31" t="s">
        <v>3</v>
      </c>
      <c r="Q230" s="36"/>
    </row>
    <row r="231" spans="1:17" ht="22.5" x14ac:dyDescent="0.2">
      <c r="A231" s="30">
        <f>RANK(B231,$B$2:$B$551,1)</f>
        <v>229</v>
      </c>
      <c r="B231" s="46">
        <f>AVERAGE(G231,I231,J231)</f>
        <v>265.33333333333331</v>
      </c>
      <c r="C231" s="31" t="s">
        <v>238</v>
      </c>
      <c r="D231" s="66">
        <v>165.75485714285699</v>
      </c>
      <c r="E231" s="66">
        <v>28</v>
      </c>
      <c r="F231" s="66">
        <v>1098.6120552995401</v>
      </c>
      <c r="G231" s="33">
        <v>250</v>
      </c>
      <c r="H231" s="32">
        <v>116</v>
      </c>
      <c r="I231" s="34">
        <v>258</v>
      </c>
      <c r="J231" s="34">
        <v>288</v>
      </c>
      <c r="K231" s="35">
        <v>-8.3841315916787604E-2</v>
      </c>
      <c r="L231" s="34" t="s">
        <v>5</v>
      </c>
      <c r="M231" s="31" t="s">
        <v>237</v>
      </c>
      <c r="N231" s="31" t="s">
        <v>29</v>
      </c>
      <c r="O231" s="31" t="s">
        <v>4</v>
      </c>
      <c r="P231" s="31" t="s">
        <v>3</v>
      </c>
      <c r="Q231" s="36"/>
    </row>
    <row r="232" spans="1:17" x14ac:dyDescent="0.2">
      <c r="A232" s="30">
        <f>RANK(B232,$B$2:$B$551,1)</f>
        <v>231</v>
      </c>
      <c r="B232" s="46">
        <f>AVERAGE(G232,I232,J232)</f>
        <v>267</v>
      </c>
      <c r="C232" s="31" t="s">
        <v>993</v>
      </c>
      <c r="D232" s="66">
        <v>1820.4567954802301</v>
      </c>
      <c r="E232" s="66">
        <v>274.71740112994399</v>
      </c>
      <c r="F232" s="66">
        <v>9496.4547667473798</v>
      </c>
      <c r="G232" s="33">
        <v>178</v>
      </c>
      <c r="H232" s="32">
        <v>115.65</v>
      </c>
      <c r="I232" s="34">
        <v>309</v>
      </c>
      <c r="J232" s="34">
        <v>314</v>
      </c>
      <c r="K232" s="35">
        <v>-0.24920778632865601</v>
      </c>
      <c r="L232" s="34" t="s">
        <v>5</v>
      </c>
      <c r="M232" s="31" t="s">
        <v>992</v>
      </c>
      <c r="N232" s="31" t="s">
        <v>60</v>
      </c>
      <c r="O232" s="31" t="s">
        <v>4</v>
      </c>
      <c r="P232" s="31" t="s">
        <v>3</v>
      </c>
      <c r="Q232" s="36"/>
    </row>
    <row r="233" spans="1:17" x14ac:dyDescent="0.2">
      <c r="A233" s="30">
        <f>RANK(B233,$B$2:$B$551,1)</f>
        <v>232</v>
      </c>
      <c r="B233" s="46">
        <f>AVERAGE(G233,I233,J233)</f>
        <v>267.33333333333331</v>
      </c>
      <c r="C233" s="31" t="s">
        <v>402</v>
      </c>
      <c r="D233" s="66">
        <v>203.5</v>
      </c>
      <c r="E233" s="66">
        <v>49</v>
      </c>
      <c r="F233" s="66">
        <v>1940.07920064568</v>
      </c>
      <c r="G233" s="33">
        <v>346</v>
      </c>
      <c r="H233" s="32">
        <v>116.38</v>
      </c>
      <c r="I233" s="34">
        <v>189</v>
      </c>
      <c r="J233" s="34">
        <v>267</v>
      </c>
      <c r="K233" s="35">
        <v>7.7363683701554701E-3</v>
      </c>
      <c r="L233" s="34" t="s">
        <v>5</v>
      </c>
      <c r="M233" s="31" t="s">
        <v>401</v>
      </c>
      <c r="N233" s="31" t="s">
        <v>55</v>
      </c>
      <c r="O233" s="31" t="s">
        <v>4</v>
      </c>
      <c r="P233" s="31" t="s">
        <v>3</v>
      </c>
      <c r="Q233" s="36"/>
    </row>
    <row r="234" spans="1:17" x14ac:dyDescent="0.2">
      <c r="A234" s="30">
        <f>RANK(B234,$B$2:$B$551,1)</f>
        <v>233</v>
      </c>
      <c r="B234" s="46">
        <f>AVERAGE(G234,I234,J234)</f>
        <v>268</v>
      </c>
      <c r="C234" s="31" t="s">
        <v>727</v>
      </c>
      <c r="D234" s="66">
        <v>243.514471131486</v>
      </c>
      <c r="E234" s="66">
        <v>109.244450202644</v>
      </c>
      <c r="F234" s="66">
        <v>2119.6865406992501</v>
      </c>
      <c r="G234" s="33">
        <v>214</v>
      </c>
      <c r="H234" s="32">
        <v>114.17</v>
      </c>
      <c r="I234" s="34">
        <v>477</v>
      </c>
      <c r="J234" s="34">
        <v>113</v>
      </c>
      <c r="K234" s="35">
        <v>1.2594696969696999</v>
      </c>
      <c r="L234" s="34" t="s">
        <v>26</v>
      </c>
      <c r="M234" s="31" t="s">
        <v>726</v>
      </c>
      <c r="N234" s="31" t="s">
        <v>29</v>
      </c>
      <c r="O234" s="31" t="s">
        <v>4</v>
      </c>
      <c r="P234" s="31" t="s">
        <v>3</v>
      </c>
      <c r="Q234" s="36"/>
    </row>
    <row r="235" spans="1:17" x14ac:dyDescent="0.2">
      <c r="A235" s="30">
        <f>RANK(B235,$B$2:$B$551,1)</f>
        <v>234</v>
      </c>
      <c r="B235" s="46">
        <f>AVERAGE(G235,I235,J235)</f>
        <v>269</v>
      </c>
      <c r="C235" s="31" t="s">
        <v>628</v>
      </c>
      <c r="D235" s="66">
        <v>767.33129979571004</v>
      </c>
      <c r="E235" s="66">
        <v>73.033707865168495</v>
      </c>
      <c r="F235" s="66">
        <v>2901.23595505618</v>
      </c>
      <c r="G235" s="33">
        <v>109</v>
      </c>
      <c r="H235" s="32">
        <v>115.35</v>
      </c>
      <c r="I235" s="34">
        <v>348</v>
      </c>
      <c r="J235" s="34">
        <v>350</v>
      </c>
      <c r="K235" s="35">
        <v>-0.53903486609398699</v>
      </c>
      <c r="L235" s="34" t="s">
        <v>5</v>
      </c>
      <c r="M235" s="31" t="s">
        <v>627</v>
      </c>
      <c r="N235" s="31" t="s">
        <v>29</v>
      </c>
      <c r="O235" s="31" t="s">
        <v>4</v>
      </c>
      <c r="P235" s="31" t="s">
        <v>3</v>
      </c>
      <c r="Q235" s="36"/>
    </row>
    <row r="236" spans="1:17" x14ac:dyDescent="0.2">
      <c r="A236" s="30">
        <f>RANK(B236,$B$2:$B$551,1)</f>
        <v>235</v>
      </c>
      <c r="B236" s="46">
        <f>AVERAGE(G236,I236,J236)</f>
        <v>269.33333333333331</v>
      </c>
      <c r="C236" s="31" t="s">
        <v>534</v>
      </c>
      <c r="D236" s="66">
        <v>265.563984310487</v>
      </c>
      <c r="E236" s="66">
        <v>0</v>
      </c>
      <c r="F236" s="66">
        <v>2535.67665570088</v>
      </c>
      <c r="G236" s="33">
        <v>486</v>
      </c>
      <c r="H236" s="32">
        <v>116.56</v>
      </c>
      <c r="I236" s="34">
        <v>157</v>
      </c>
      <c r="J236" s="34">
        <v>165</v>
      </c>
      <c r="K236" s="35">
        <v>0.79672472056147603</v>
      </c>
      <c r="L236" s="34" t="s">
        <v>5</v>
      </c>
      <c r="M236" s="31" t="s">
        <v>533</v>
      </c>
      <c r="N236" s="31" t="s">
        <v>182</v>
      </c>
      <c r="O236" s="31" t="s">
        <v>4</v>
      </c>
      <c r="P236" s="31" t="s">
        <v>3</v>
      </c>
      <c r="Q236" s="36"/>
    </row>
    <row r="237" spans="1:17" x14ac:dyDescent="0.2">
      <c r="A237" s="30">
        <f>RANK(B237,$B$2:$B$551,1)</f>
        <v>236</v>
      </c>
      <c r="B237" s="46">
        <f>AVERAGE(G237,I237,J237)</f>
        <v>269.66666666666669</v>
      </c>
      <c r="C237" s="31" t="s">
        <v>122</v>
      </c>
      <c r="D237" s="66">
        <v>324.70049405122001</v>
      </c>
      <c r="E237" s="66">
        <v>0</v>
      </c>
      <c r="F237" s="66">
        <v>1785.6263966342201</v>
      </c>
      <c r="G237" s="33">
        <v>292</v>
      </c>
      <c r="H237" s="32">
        <v>115.8</v>
      </c>
      <c r="I237" s="34">
        <v>287</v>
      </c>
      <c r="J237" s="34">
        <v>230</v>
      </c>
      <c r="K237" s="35">
        <v>0.27054945054945101</v>
      </c>
      <c r="L237" s="34" t="s">
        <v>5</v>
      </c>
      <c r="M237" s="31" t="s">
        <v>121</v>
      </c>
      <c r="N237" s="31" t="s">
        <v>32</v>
      </c>
      <c r="O237" s="31" t="s">
        <v>4</v>
      </c>
      <c r="P237" s="31" t="s">
        <v>3</v>
      </c>
      <c r="Q237" s="36"/>
    </row>
    <row r="238" spans="1:17" x14ac:dyDescent="0.2">
      <c r="A238" s="30">
        <f>RANK(B238,$B$2:$B$551,1)</f>
        <v>237</v>
      </c>
      <c r="B238" s="46">
        <f>AVERAGE(G238,I238,J238)</f>
        <v>271.66666666666669</v>
      </c>
      <c r="C238" s="31" t="s">
        <v>217</v>
      </c>
      <c r="D238" s="66">
        <v>248.11131828815201</v>
      </c>
      <c r="E238" s="66">
        <v>51</v>
      </c>
      <c r="F238" s="66">
        <v>2143.6282620729098</v>
      </c>
      <c r="G238" s="33">
        <v>320</v>
      </c>
      <c r="H238" s="32">
        <v>116.98</v>
      </c>
      <c r="I238" s="34">
        <v>100</v>
      </c>
      <c r="J238" s="34">
        <v>395</v>
      </c>
      <c r="K238" s="35">
        <v>-0.95124913254684296</v>
      </c>
      <c r="L238" s="34" t="s">
        <v>5</v>
      </c>
      <c r="M238" s="31" t="s">
        <v>216</v>
      </c>
      <c r="N238" s="31" t="s">
        <v>94</v>
      </c>
      <c r="O238" s="31" t="s">
        <v>4</v>
      </c>
      <c r="P238" s="31" t="s">
        <v>3</v>
      </c>
      <c r="Q238" s="36"/>
    </row>
    <row r="239" spans="1:17" x14ac:dyDescent="0.2">
      <c r="A239" s="30">
        <f>RANK(B239,$B$2:$B$551,1)</f>
        <v>238</v>
      </c>
      <c r="B239" s="46">
        <f>AVERAGE(G239,I239,J239)</f>
        <v>272.66666666666669</v>
      </c>
      <c r="C239" s="31" t="s">
        <v>919</v>
      </c>
      <c r="D239" s="66">
        <v>913.12550734991703</v>
      </c>
      <c r="E239" s="66">
        <v>276.21326665367701</v>
      </c>
      <c r="F239" s="66">
        <v>4840.3328979205799</v>
      </c>
      <c r="G239" s="33">
        <v>113</v>
      </c>
      <c r="H239" s="32">
        <v>114.11</v>
      </c>
      <c r="I239" s="34">
        <v>484</v>
      </c>
      <c r="J239" s="34">
        <v>221</v>
      </c>
      <c r="K239" s="35">
        <v>0.306690454950937</v>
      </c>
      <c r="L239" s="34" t="s">
        <v>5</v>
      </c>
      <c r="M239" s="31" t="s">
        <v>918</v>
      </c>
      <c r="N239" s="31" t="s">
        <v>16</v>
      </c>
      <c r="O239" s="31" t="s">
        <v>4</v>
      </c>
      <c r="P239" s="31" t="s">
        <v>3</v>
      </c>
      <c r="Q239" s="36"/>
    </row>
    <row r="240" spans="1:17" x14ac:dyDescent="0.2">
      <c r="A240" s="30">
        <f>RANK(B240,$B$2:$B$551,1)</f>
        <v>238</v>
      </c>
      <c r="B240" s="46">
        <f>AVERAGE(G240,I240,J240)</f>
        <v>272.66666666666669</v>
      </c>
      <c r="C240" s="31" t="s">
        <v>334</v>
      </c>
      <c r="D240" s="66">
        <v>165.97390807761099</v>
      </c>
      <c r="E240" s="66">
        <v>106.23720930232599</v>
      </c>
      <c r="F240" s="66">
        <v>1424.0539814583101</v>
      </c>
      <c r="G240" s="33">
        <v>142</v>
      </c>
      <c r="H240" s="32">
        <v>114.07</v>
      </c>
      <c r="I240" s="34">
        <v>487</v>
      </c>
      <c r="J240" s="34">
        <v>189</v>
      </c>
      <c r="K240" s="35">
        <v>0.59667961312923601</v>
      </c>
      <c r="L240" s="34" t="s">
        <v>5</v>
      </c>
      <c r="M240" s="31" t="s">
        <v>333</v>
      </c>
      <c r="N240" s="31" t="s">
        <v>106</v>
      </c>
      <c r="O240" s="31" t="s">
        <v>4</v>
      </c>
      <c r="P240" s="31" t="s">
        <v>3</v>
      </c>
      <c r="Q240" s="36"/>
    </row>
    <row r="241" spans="1:17" x14ac:dyDescent="0.2">
      <c r="A241" s="30">
        <f>RANK(B241,$B$2:$B$551,1)</f>
        <v>240</v>
      </c>
      <c r="B241" s="46">
        <f>AVERAGE(G241,I241,J241)</f>
        <v>273</v>
      </c>
      <c r="C241" s="31" t="s">
        <v>133</v>
      </c>
      <c r="D241" s="66">
        <v>180.61235955056199</v>
      </c>
      <c r="E241" s="66">
        <v>0</v>
      </c>
      <c r="F241" s="66">
        <v>1600.09775280899</v>
      </c>
      <c r="G241" s="33">
        <v>464</v>
      </c>
      <c r="H241" s="32">
        <v>116.93</v>
      </c>
      <c r="I241" s="34">
        <v>107</v>
      </c>
      <c r="J241" s="34">
        <v>248</v>
      </c>
      <c r="K241" s="35">
        <v>0.16368506648809</v>
      </c>
      <c r="L241" s="34" t="s">
        <v>5</v>
      </c>
      <c r="M241" s="31" t="s">
        <v>132</v>
      </c>
      <c r="N241" s="31" t="s">
        <v>10</v>
      </c>
      <c r="O241" s="31" t="s">
        <v>4</v>
      </c>
      <c r="P241" s="31" t="s">
        <v>3</v>
      </c>
      <c r="Q241" s="36"/>
    </row>
    <row r="242" spans="1:17" x14ac:dyDescent="0.2">
      <c r="A242" s="30">
        <f>RANK(B242,$B$2:$B$551,1)</f>
        <v>241</v>
      </c>
      <c r="B242" s="46">
        <f>AVERAGE(G242,I242,J242)</f>
        <v>273.33333333333331</v>
      </c>
      <c r="C242" s="31" t="s">
        <v>145</v>
      </c>
      <c r="D242" s="66">
        <v>963.08476910667503</v>
      </c>
      <c r="E242" s="66">
        <v>179.22413793103399</v>
      </c>
      <c r="F242" s="66">
        <v>5974.03392821133</v>
      </c>
      <c r="G242" s="33">
        <v>219</v>
      </c>
      <c r="H242" s="32">
        <v>116.37</v>
      </c>
      <c r="I242" s="34">
        <v>190</v>
      </c>
      <c r="J242" s="34">
        <v>411</v>
      </c>
      <c r="K242" s="35">
        <v>-1.05990697674419</v>
      </c>
      <c r="L242" s="34" t="s">
        <v>20</v>
      </c>
      <c r="M242" s="31" t="s">
        <v>144</v>
      </c>
      <c r="N242" s="31" t="s">
        <v>57</v>
      </c>
      <c r="O242" s="31" t="s">
        <v>4</v>
      </c>
      <c r="P242" s="31" t="s">
        <v>3</v>
      </c>
      <c r="Q242" s="36"/>
    </row>
    <row r="243" spans="1:17" x14ac:dyDescent="0.2">
      <c r="A243" s="30">
        <f>RANK(B243,$B$2:$B$551,1)</f>
        <v>241</v>
      </c>
      <c r="B243" s="46">
        <f>AVERAGE(G243,I243,J243)</f>
        <v>273.33333333333331</v>
      </c>
      <c r="C243" s="31" t="s">
        <v>608</v>
      </c>
      <c r="D243" s="66">
        <v>216.111577694662</v>
      </c>
      <c r="E243" s="66">
        <v>25</v>
      </c>
      <c r="F243" s="66">
        <v>2110.95130315612</v>
      </c>
      <c r="G243" s="33">
        <v>429</v>
      </c>
      <c r="H243" s="32">
        <v>115.41</v>
      </c>
      <c r="I243" s="34">
        <v>344</v>
      </c>
      <c r="J243" s="34">
        <v>47</v>
      </c>
      <c r="K243" s="35">
        <v>2.25114808401716</v>
      </c>
      <c r="L243" s="34" t="s">
        <v>56</v>
      </c>
      <c r="M243" s="31" t="s">
        <v>607</v>
      </c>
      <c r="N243" s="31" t="s">
        <v>278</v>
      </c>
      <c r="O243" s="31" t="s">
        <v>4</v>
      </c>
      <c r="P243" s="31" t="s">
        <v>3</v>
      </c>
      <c r="Q243" s="36"/>
    </row>
    <row r="244" spans="1:17" x14ac:dyDescent="0.2">
      <c r="A244" s="30">
        <f>RANK(B244,$B$2:$B$551,1)</f>
        <v>243</v>
      </c>
      <c r="B244" s="46">
        <f>AVERAGE(G244,I244,J244)</f>
        <v>273.66666666666669</v>
      </c>
      <c r="C244" s="31" t="s">
        <v>805</v>
      </c>
      <c r="D244" s="66">
        <v>148.531016931865</v>
      </c>
      <c r="E244" s="66">
        <v>27</v>
      </c>
      <c r="F244" s="66">
        <v>921.61633996503599</v>
      </c>
      <c r="G244" s="33">
        <v>221</v>
      </c>
      <c r="H244" s="32">
        <v>115.26</v>
      </c>
      <c r="I244" s="34">
        <v>361</v>
      </c>
      <c r="J244" s="34">
        <v>239</v>
      </c>
      <c r="K244" s="35">
        <v>0.21482582280694101</v>
      </c>
      <c r="L244" s="34" t="s">
        <v>5</v>
      </c>
      <c r="M244" s="31" t="s">
        <v>804</v>
      </c>
      <c r="N244" s="31" t="s">
        <v>632</v>
      </c>
      <c r="O244" s="31" t="s">
        <v>4</v>
      </c>
      <c r="P244" s="31" t="s">
        <v>3</v>
      </c>
      <c r="Q244" s="36"/>
    </row>
    <row r="245" spans="1:17" x14ac:dyDescent="0.2">
      <c r="A245" s="30">
        <f>RANK(B245,$B$2:$B$551,1)</f>
        <v>244</v>
      </c>
      <c r="B245" s="46">
        <f>AVERAGE(G245,I245,J245)</f>
        <v>274</v>
      </c>
      <c r="C245" s="31" t="s">
        <v>984</v>
      </c>
      <c r="D245" s="66">
        <v>319.557677083545</v>
      </c>
      <c r="E245" s="66">
        <v>149.008751514312</v>
      </c>
      <c r="F245" s="66">
        <v>2597.74834600745</v>
      </c>
      <c r="G245" s="33">
        <v>182</v>
      </c>
      <c r="H245" s="32">
        <v>116.56</v>
      </c>
      <c r="I245" s="34">
        <v>157</v>
      </c>
      <c r="J245" s="34">
        <v>483</v>
      </c>
      <c r="K245" s="35">
        <v>-1.70231839258114</v>
      </c>
      <c r="L245" s="34" t="s">
        <v>20</v>
      </c>
      <c r="M245" s="31" t="s">
        <v>983</v>
      </c>
      <c r="N245" s="31" t="s">
        <v>9</v>
      </c>
      <c r="O245" s="31" t="s">
        <v>4</v>
      </c>
      <c r="P245" s="31" t="s">
        <v>3</v>
      </c>
      <c r="Q245" s="36"/>
    </row>
    <row r="246" spans="1:17" x14ac:dyDescent="0.2">
      <c r="A246" s="30">
        <f>RANK(B246,$B$2:$B$551,1)</f>
        <v>245</v>
      </c>
      <c r="B246" s="46">
        <f>AVERAGE(G246,I246,J246)</f>
        <v>274.66666666666669</v>
      </c>
      <c r="C246" s="31" t="s">
        <v>964</v>
      </c>
      <c r="D246" s="66">
        <v>234.81597603740499</v>
      </c>
      <c r="E246" s="66">
        <v>39</v>
      </c>
      <c r="F246" s="66">
        <v>1424.5591891807001</v>
      </c>
      <c r="G246" s="33">
        <v>222</v>
      </c>
      <c r="H246" s="32">
        <v>115.96</v>
      </c>
      <c r="I246" s="34">
        <v>263</v>
      </c>
      <c r="J246" s="34">
        <v>339</v>
      </c>
      <c r="K246" s="35">
        <v>-0.460266341718165</v>
      </c>
      <c r="L246" s="34" t="s">
        <v>5</v>
      </c>
      <c r="M246" s="31" t="s">
        <v>963</v>
      </c>
      <c r="N246" s="31" t="s">
        <v>106</v>
      </c>
      <c r="O246" s="31" t="s">
        <v>4</v>
      </c>
      <c r="P246" s="31" t="s">
        <v>3</v>
      </c>
      <c r="Q246" s="36"/>
    </row>
    <row r="247" spans="1:17" x14ac:dyDescent="0.2">
      <c r="A247" s="30">
        <f>RANK(B247,$B$2:$B$551,1)</f>
        <v>246</v>
      </c>
      <c r="B247" s="46">
        <f>AVERAGE(G247,I247,J247)</f>
        <v>275.66666666666669</v>
      </c>
      <c r="C247" s="31" t="s">
        <v>844</v>
      </c>
      <c r="D247" s="66">
        <v>643.69822485207101</v>
      </c>
      <c r="E247" s="66">
        <v>112.53254437869801</v>
      </c>
      <c r="F247" s="66">
        <v>3996.74810930282</v>
      </c>
      <c r="G247" s="33">
        <v>228</v>
      </c>
      <c r="H247" s="32">
        <v>114.99</v>
      </c>
      <c r="I247" s="34">
        <v>405</v>
      </c>
      <c r="J247" s="34">
        <v>194</v>
      </c>
      <c r="K247" s="35">
        <v>0.52414059482425601</v>
      </c>
      <c r="L247" s="34" t="s">
        <v>5</v>
      </c>
      <c r="M247" s="31" t="s">
        <v>843</v>
      </c>
      <c r="N247" s="31" t="s">
        <v>845</v>
      </c>
      <c r="O247" s="31" t="s">
        <v>4</v>
      </c>
      <c r="P247" s="31" t="s">
        <v>3</v>
      </c>
      <c r="Q247" s="36"/>
    </row>
    <row r="248" spans="1:17" x14ac:dyDescent="0.2">
      <c r="A248" s="30">
        <f>RANK(B248,$B$2:$B$551,1)</f>
        <v>246</v>
      </c>
      <c r="B248" s="46">
        <f>AVERAGE(G248,I248,J248)</f>
        <v>275.66666666666669</v>
      </c>
      <c r="C248" s="31" t="s">
        <v>418</v>
      </c>
      <c r="D248" s="66">
        <v>222.948863636364</v>
      </c>
      <c r="E248" s="66">
        <v>0</v>
      </c>
      <c r="F248" s="66">
        <v>1248.7988819648101</v>
      </c>
      <c r="G248" s="33">
        <v>297</v>
      </c>
      <c r="H248" s="32">
        <v>115.33</v>
      </c>
      <c r="I248" s="34">
        <v>356</v>
      </c>
      <c r="J248" s="34">
        <v>174</v>
      </c>
      <c r="K248" s="35">
        <v>0.70630492397823996</v>
      </c>
      <c r="L248" s="34" t="s">
        <v>5</v>
      </c>
      <c r="M248" s="31" t="s">
        <v>898</v>
      </c>
      <c r="N248" s="31" t="s">
        <v>52</v>
      </c>
      <c r="O248" s="31" t="s">
        <v>4</v>
      </c>
      <c r="P248" s="31" t="s">
        <v>3</v>
      </c>
      <c r="Q248" s="36"/>
    </row>
    <row r="249" spans="1:17" x14ac:dyDescent="0.2">
      <c r="A249" s="30">
        <f>RANK(B249,$B$2:$B$551,1)</f>
        <v>248</v>
      </c>
      <c r="B249" s="46">
        <f>AVERAGE(G249,I249,J249)</f>
        <v>276</v>
      </c>
      <c r="C249" s="31" t="s">
        <v>809</v>
      </c>
      <c r="D249" s="66">
        <v>1603.5543355288601</v>
      </c>
      <c r="E249" s="66">
        <v>129.752808988764</v>
      </c>
      <c r="F249" s="66">
        <v>7031.0881697548903</v>
      </c>
      <c r="G249" s="33">
        <v>161</v>
      </c>
      <c r="H249" s="32">
        <v>115.65</v>
      </c>
      <c r="I249" s="34">
        <v>309</v>
      </c>
      <c r="J249" s="34">
        <v>358</v>
      </c>
      <c r="K249" s="35">
        <v>-0.64931123044594896</v>
      </c>
      <c r="L249" s="34" t="s">
        <v>5</v>
      </c>
      <c r="M249" s="31" t="s">
        <v>808</v>
      </c>
      <c r="N249" s="31" t="s">
        <v>112</v>
      </c>
      <c r="O249" s="31" t="s">
        <v>4</v>
      </c>
      <c r="P249" s="31" t="s">
        <v>3</v>
      </c>
      <c r="Q249" s="36"/>
    </row>
    <row r="250" spans="1:17" x14ac:dyDescent="0.2">
      <c r="A250" s="30">
        <f>RANK(B250,$B$2:$B$551,1)</f>
        <v>248</v>
      </c>
      <c r="B250" s="46">
        <f>AVERAGE(G250,I250,J250)</f>
        <v>276</v>
      </c>
      <c r="C250" s="31" t="s">
        <v>101</v>
      </c>
      <c r="D250" s="66">
        <v>420.68510990119</v>
      </c>
      <c r="E250" s="66">
        <v>1</v>
      </c>
      <c r="F250" s="66">
        <v>2643.6673085754801</v>
      </c>
      <c r="G250" s="33">
        <v>344</v>
      </c>
      <c r="H250" s="32">
        <v>115.18</v>
      </c>
      <c r="I250" s="34">
        <v>378</v>
      </c>
      <c r="J250" s="34">
        <v>106</v>
      </c>
      <c r="K250" s="35">
        <v>1.36213315812527</v>
      </c>
      <c r="L250" s="34" t="s">
        <v>26</v>
      </c>
      <c r="M250" s="31" t="s">
        <v>100</v>
      </c>
      <c r="N250" s="31" t="s">
        <v>2</v>
      </c>
      <c r="O250" s="31" t="s">
        <v>4</v>
      </c>
      <c r="P250" s="31" t="s">
        <v>3</v>
      </c>
      <c r="Q250" s="36"/>
    </row>
    <row r="251" spans="1:17" x14ac:dyDescent="0.2">
      <c r="A251" s="30">
        <f>RANK(B251,$B$2:$B$551,1)</f>
        <v>250</v>
      </c>
      <c r="B251" s="46">
        <f>AVERAGE(G251,I251,J251)</f>
        <v>276.33333333333331</v>
      </c>
      <c r="C251" s="31" t="s">
        <v>46</v>
      </c>
      <c r="D251" s="66">
        <v>813.14190587514997</v>
      </c>
      <c r="E251" s="66">
        <v>119.457142857143</v>
      </c>
      <c r="F251" s="66">
        <v>5446.7463709121002</v>
      </c>
      <c r="G251" s="33">
        <v>265</v>
      </c>
      <c r="H251" s="32">
        <v>116.98</v>
      </c>
      <c r="I251" s="34">
        <v>100</v>
      </c>
      <c r="J251" s="34">
        <v>464</v>
      </c>
      <c r="K251" s="35">
        <v>-1.4191338073691</v>
      </c>
      <c r="L251" s="34" t="s">
        <v>20</v>
      </c>
      <c r="M251" s="31" t="s">
        <v>45</v>
      </c>
      <c r="N251" s="31" t="s">
        <v>47</v>
      </c>
      <c r="O251" s="31" t="s">
        <v>4</v>
      </c>
      <c r="P251" s="31" t="s">
        <v>3</v>
      </c>
      <c r="Q251" s="36"/>
    </row>
    <row r="252" spans="1:17" x14ac:dyDescent="0.2">
      <c r="A252" s="30">
        <f>RANK(B252,$B$2:$B$551,1)</f>
        <v>251</v>
      </c>
      <c r="B252" s="46">
        <f>AVERAGE(G252,I252,J252)</f>
        <v>279.66666666666669</v>
      </c>
      <c r="C252" s="31" t="s">
        <v>1012</v>
      </c>
      <c r="D252" s="66">
        <v>810.54442528735603</v>
      </c>
      <c r="E252" s="66">
        <v>38.775862068965502</v>
      </c>
      <c r="F252" s="66">
        <v>3149.0171839080399</v>
      </c>
      <c r="G252" s="33">
        <v>145</v>
      </c>
      <c r="H252" s="32">
        <v>112.96</v>
      </c>
      <c r="I252" s="34">
        <v>541</v>
      </c>
      <c r="J252" s="34">
        <v>153</v>
      </c>
      <c r="K252" s="35">
        <v>0.875890839561968</v>
      </c>
      <c r="L252" s="34" t="s">
        <v>5</v>
      </c>
      <c r="M252" s="31" t="s">
        <v>1011</v>
      </c>
      <c r="N252" s="31" t="s">
        <v>81</v>
      </c>
      <c r="O252" s="31" t="s">
        <v>4</v>
      </c>
      <c r="P252" s="31" t="s">
        <v>3</v>
      </c>
      <c r="Q252" s="36"/>
    </row>
    <row r="253" spans="1:17" x14ac:dyDescent="0.2">
      <c r="A253" s="30">
        <f>RANK(B253,$B$2:$B$551,1)</f>
        <v>252</v>
      </c>
      <c r="B253" s="46">
        <f>AVERAGE(G253,I253,J253)</f>
        <v>280</v>
      </c>
      <c r="C253" s="31" t="s">
        <v>163</v>
      </c>
      <c r="D253" s="66">
        <v>654.93793103448297</v>
      </c>
      <c r="E253" s="66">
        <v>188.88896551724099</v>
      </c>
      <c r="F253" s="66">
        <v>2960.28852057842</v>
      </c>
      <c r="G253" s="33">
        <v>76</v>
      </c>
      <c r="H253" s="32">
        <v>115.76</v>
      </c>
      <c r="I253" s="34">
        <v>291</v>
      </c>
      <c r="J253" s="34">
        <v>473</v>
      </c>
      <c r="K253" s="35">
        <v>-1.5758160033053299</v>
      </c>
      <c r="L253" s="34" t="s">
        <v>20</v>
      </c>
      <c r="M253" s="31" t="s">
        <v>162</v>
      </c>
      <c r="N253" s="31" t="s">
        <v>38</v>
      </c>
      <c r="O253" s="31" t="s">
        <v>4</v>
      </c>
      <c r="P253" s="31" t="s">
        <v>3</v>
      </c>
      <c r="Q253" s="36"/>
    </row>
    <row r="254" spans="1:17" x14ac:dyDescent="0.2">
      <c r="A254" s="30">
        <f>RANK(B254,$B$2:$B$551,1)</f>
        <v>252</v>
      </c>
      <c r="B254" s="46">
        <f>AVERAGE(G254,I254,J254)</f>
        <v>280</v>
      </c>
      <c r="C254" s="31" t="s">
        <v>951</v>
      </c>
      <c r="D254" s="66">
        <v>274.88963852327402</v>
      </c>
      <c r="E254" s="66">
        <v>107.581348314607</v>
      </c>
      <c r="F254" s="66">
        <v>2770.9492841563101</v>
      </c>
      <c r="G254" s="33">
        <v>289</v>
      </c>
      <c r="H254" s="32">
        <v>115.64</v>
      </c>
      <c r="I254" s="34">
        <v>315</v>
      </c>
      <c r="J254" s="34">
        <v>236</v>
      </c>
      <c r="K254" s="35">
        <v>0.22823305797207399</v>
      </c>
      <c r="L254" s="34" t="s">
        <v>5</v>
      </c>
      <c r="M254" s="31" t="s">
        <v>950</v>
      </c>
      <c r="N254" s="31" t="s">
        <v>150</v>
      </c>
      <c r="O254" s="31" t="s">
        <v>4</v>
      </c>
      <c r="P254" s="31" t="s">
        <v>3</v>
      </c>
      <c r="Q254" s="36"/>
    </row>
    <row r="255" spans="1:17" x14ac:dyDescent="0.2">
      <c r="A255" s="30">
        <f>RANK(B255,$B$2:$B$551,1)</f>
        <v>252</v>
      </c>
      <c r="B255" s="46">
        <f>AVERAGE(G255,I255,J255)</f>
        <v>280</v>
      </c>
      <c r="C255" s="31" t="s">
        <v>297</v>
      </c>
      <c r="D255" s="66">
        <v>379.96740401816402</v>
      </c>
      <c r="E255" s="66">
        <v>4</v>
      </c>
      <c r="F255" s="66">
        <v>3570.7739411923999</v>
      </c>
      <c r="G255" s="33">
        <v>476</v>
      </c>
      <c r="H255" s="32">
        <v>116.57</v>
      </c>
      <c r="I255" s="34">
        <v>155</v>
      </c>
      <c r="J255" s="34">
        <v>209</v>
      </c>
      <c r="K255" s="35">
        <v>0.38711358110455002</v>
      </c>
      <c r="L255" s="34" t="s">
        <v>5</v>
      </c>
      <c r="M255" s="31" t="s">
        <v>296</v>
      </c>
      <c r="N255" s="31" t="s">
        <v>94</v>
      </c>
      <c r="O255" s="31" t="s">
        <v>4</v>
      </c>
      <c r="P255" s="31" t="s">
        <v>3</v>
      </c>
      <c r="Q255" s="36"/>
    </row>
    <row r="256" spans="1:17" x14ac:dyDescent="0.2">
      <c r="A256" s="30">
        <f>RANK(B256,$B$2:$B$551,1)</f>
        <v>255</v>
      </c>
      <c r="B256" s="46">
        <f>AVERAGE(G256,I256,J256)</f>
        <v>280.33333333333331</v>
      </c>
      <c r="C256" s="31" t="s">
        <v>755</v>
      </c>
      <c r="D256" s="66">
        <v>190.54776091954</v>
      </c>
      <c r="E256" s="66">
        <v>44.991931691297196</v>
      </c>
      <c r="F256" s="66">
        <v>1104.37382354998</v>
      </c>
      <c r="G256" s="33">
        <v>168</v>
      </c>
      <c r="H256" s="32">
        <v>114.75</v>
      </c>
      <c r="I256" s="34">
        <v>432</v>
      </c>
      <c r="J256" s="34">
        <v>241</v>
      </c>
      <c r="K256" s="35">
        <v>0.20075858145268299</v>
      </c>
      <c r="L256" s="34" t="s">
        <v>5</v>
      </c>
      <c r="M256" s="31" t="s">
        <v>754</v>
      </c>
      <c r="N256" s="31" t="s">
        <v>576</v>
      </c>
      <c r="O256" s="31" t="s">
        <v>4</v>
      </c>
      <c r="P256" s="31" t="s">
        <v>3</v>
      </c>
      <c r="Q256" s="36"/>
    </row>
    <row r="257" spans="1:17" x14ac:dyDescent="0.2">
      <c r="A257" s="30">
        <f>RANK(B257,$B$2:$B$551,1)</f>
        <v>255</v>
      </c>
      <c r="B257" s="46">
        <f>AVERAGE(G257,I257,J257)</f>
        <v>280.33333333333331</v>
      </c>
      <c r="C257" s="31" t="s">
        <v>139</v>
      </c>
      <c r="D257" s="66">
        <v>165.85552380952399</v>
      </c>
      <c r="E257" s="66">
        <v>1.96571428571429</v>
      </c>
      <c r="F257" s="66">
        <v>1286.3263678160899</v>
      </c>
      <c r="G257" s="33">
        <v>409</v>
      </c>
      <c r="H257" s="32">
        <v>115.88</v>
      </c>
      <c r="I257" s="34">
        <v>275</v>
      </c>
      <c r="J257" s="34">
        <v>157</v>
      </c>
      <c r="K257" s="35">
        <v>0.86138406857620697</v>
      </c>
      <c r="L257" s="34" t="s">
        <v>5</v>
      </c>
      <c r="M257" s="31" t="s">
        <v>138</v>
      </c>
      <c r="N257" s="31" t="s">
        <v>140</v>
      </c>
      <c r="O257" s="31" t="s">
        <v>4</v>
      </c>
      <c r="P257" s="31" t="s">
        <v>3</v>
      </c>
      <c r="Q257" s="36"/>
    </row>
    <row r="258" spans="1:17" x14ac:dyDescent="0.2">
      <c r="A258" s="30">
        <f>RANK(B258,$B$2:$B$551,1)</f>
        <v>257</v>
      </c>
      <c r="B258" s="46">
        <f>AVERAGE(G258,I258,J258)</f>
        <v>281.33333333333331</v>
      </c>
      <c r="C258" s="31" t="s">
        <v>331</v>
      </c>
      <c r="D258" s="66">
        <v>307.98014280856898</v>
      </c>
      <c r="E258" s="66">
        <v>0</v>
      </c>
      <c r="F258" s="66">
        <v>1913.6898993539601</v>
      </c>
      <c r="G258" s="33">
        <v>339</v>
      </c>
      <c r="H258" s="32">
        <v>115.72</v>
      </c>
      <c r="I258" s="34">
        <v>300</v>
      </c>
      <c r="J258" s="34">
        <v>205</v>
      </c>
      <c r="K258" s="35">
        <v>0.40823743185947903</v>
      </c>
      <c r="L258" s="34" t="s">
        <v>5</v>
      </c>
      <c r="M258" s="31" t="s">
        <v>330</v>
      </c>
      <c r="N258" s="31" t="s">
        <v>332</v>
      </c>
      <c r="O258" s="31" t="s">
        <v>4</v>
      </c>
      <c r="P258" s="31" t="s">
        <v>3</v>
      </c>
      <c r="Q258" s="36"/>
    </row>
    <row r="259" spans="1:17" x14ac:dyDescent="0.2">
      <c r="A259" s="30">
        <f>RANK(B259,$B$2:$B$551,1)</f>
        <v>258</v>
      </c>
      <c r="B259" s="46">
        <f>AVERAGE(G259,I259,J259)</f>
        <v>281.66666666666669</v>
      </c>
      <c r="C259" s="31" t="s">
        <v>647</v>
      </c>
      <c r="D259" s="66">
        <v>139.18713450292401</v>
      </c>
      <c r="E259" s="66">
        <v>38</v>
      </c>
      <c r="F259" s="66">
        <v>832.26023391812896</v>
      </c>
      <c r="G259" s="33">
        <v>157</v>
      </c>
      <c r="H259" s="32">
        <v>113.78</v>
      </c>
      <c r="I259" s="34">
        <v>504</v>
      </c>
      <c r="J259" s="34">
        <v>184</v>
      </c>
      <c r="K259" s="35">
        <v>0.63313027179006598</v>
      </c>
      <c r="L259" s="34" t="s">
        <v>5</v>
      </c>
      <c r="M259" s="31" t="s">
        <v>1092</v>
      </c>
      <c r="N259" s="31" t="s">
        <v>860</v>
      </c>
      <c r="O259" s="31" t="s">
        <v>4</v>
      </c>
      <c r="P259" s="31" t="s">
        <v>3</v>
      </c>
      <c r="Q259" s="36"/>
    </row>
    <row r="260" spans="1:17" x14ac:dyDescent="0.2">
      <c r="A260" s="30">
        <f>RANK(B260,$B$2:$B$551,1)</f>
        <v>259</v>
      </c>
      <c r="B260" s="46">
        <f>AVERAGE(G260,I260,J260)</f>
        <v>282.33333333333331</v>
      </c>
      <c r="C260" s="31" t="s">
        <v>835</v>
      </c>
      <c r="D260" s="66">
        <v>585.68047337278097</v>
      </c>
      <c r="E260" s="66">
        <v>13.698224852071</v>
      </c>
      <c r="F260" s="66">
        <v>2287.7922504294702</v>
      </c>
      <c r="G260" s="33">
        <v>163</v>
      </c>
      <c r="H260" s="32">
        <v>112.89</v>
      </c>
      <c r="I260" s="34">
        <v>545</v>
      </c>
      <c r="J260" s="34">
        <v>139</v>
      </c>
      <c r="K260" s="35">
        <v>0.99802347127856705</v>
      </c>
      <c r="L260" s="34" t="s">
        <v>5</v>
      </c>
      <c r="M260" s="31" t="s">
        <v>834</v>
      </c>
      <c r="N260" s="31" t="s">
        <v>836</v>
      </c>
      <c r="O260" s="31" t="s">
        <v>4</v>
      </c>
      <c r="P260" s="31" t="s">
        <v>3</v>
      </c>
      <c r="Q260" s="36"/>
    </row>
    <row r="261" spans="1:17" x14ac:dyDescent="0.2">
      <c r="A261" s="30">
        <f>RANK(B261,$B$2:$B$551,1)</f>
        <v>259</v>
      </c>
      <c r="B261" s="46">
        <f>AVERAGE(G261,I261,J261)</f>
        <v>282.33333333333331</v>
      </c>
      <c r="C261" s="31" t="s">
        <v>391</v>
      </c>
      <c r="D261" s="66">
        <v>392.45294305413699</v>
      </c>
      <c r="E261" s="66">
        <v>0</v>
      </c>
      <c r="F261" s="66">
        <v>1503.3097028954201</v>
      </c>
      <c r="G261" s="33">
        <v>172</v>
      </c>
      <c r="H261" s="32">
        <v>113.13</v>
      </c>
      <c r="I261" s="34">
        <v>534</v>
      </c>
      <c r="J261" s="34">
        <v>141</v>
      </c>
      <c r="K261" s="35">
        <v>0.96610960694613002</v>
      </c>
      <c r="L261" s="34" t="s">
        <v>5</v>
      </c>
      <c r="M261" s="31" t="s">
        <v>390</v>
      </c>
      <c r="N261" s="31" t="s">
        <v>392</v>
      </c>
      <c r="O261" s="31" t="s">
        <v>4</v>
      </c>
      <c r="P261" s="31" t="s">
        <v>3</v>
      </c>
      <c r="Q261" s="36"/>
    </row>
    <row r="262" spans="1:17" x14ac:dyDescent="0.2">
      <c r="A262" s="30">
        <f>RANK(B262,$B$2:$B$551,1)</f>
        <v>259</v>
      </c>
      <c r="B262" s="46">
        <f>AVERAGE(G262,I262,J262)</f>
        <v>282.33333333333331</v>
      </c>
      <c r="C262" s="31" t="s">
        <v>280</v>
      </c>
      <c r="D262" s="66">
        <v>92.200925185796905</v>
      </c>
      <c r="E262" s="66">
        <v>0</v>
      </c>
      <c r="F262" s="66">
        <v>556.10831643270001</v>
      </c>
      <c r="G262" s="33">
        <v>325</v>
      </c>
      <c r="H262" s="32">
        <v>114.46</v>
      </c>
      <c r="I262" s="34">
        <v>458</v>
      </c>
      <c r="J262" s="34">
        <v>64</v>
      </c>
      <c r="K262" s="35">
        <v>1.9185704395984799</v>
      </c>
      <c r="L262" s="34" t="s">
        <v>26</v>
      </c>
      <c r="M262" s="31" t="s">
        <v>742</v>
      </c>
      <c r="N262" s="31" t="s">
        <v>392</v>
      </c>
      <c r="O262" s="31" t="s">
        <v>4</v>
      </c>
      <c r="P262" s="31" t="s">
        <v>3</v>
      </c>
      <c r="Q262" s="36"/>
    </row>
    <row r="263" spans="1:17" x14ac:dyDescent="0.2">
      <c r="A263" s="30">
        <f>RANK(B263,$B$2:$B$551,1)</f>
        <v>259</v>
      </c>
      <c r="B263" s="46">
        <f>AVERAGE(G263,I263,J263)</f>
        <v>282.33333333333331</v>
      </c>
      <c r="C263" s="31" t="s">
        <v>320</v>
      </c>
      <c r="D263" s="66">
        <v>159.87163841807899</v>
      </c>
      <c r="E263" s="66">
        <v>20</v>
      </c>
      <c r="F263" s="66">
        <v>2163.6425055917298</v>
      </c>
      <c r="G263" s="33">
        <v>511</v>
      </c>
      <c r="H263" s="32">
        <v>117</v>
      </c>
      <c r="I263" s="34">
        <v>96</v>
      </c>
      <c r="J263" s="34">
        <v>240</v>
      </c>
      <c r="K263" s="35">
        <v>0.21138342470170901</v>
      </c>
      <c r="L263" s="34" t="s">
        <v>5</v>
      </c>
      <c r="M263" s="31" t="s">
        <v>319</v>
      </c>
      <c r="N263" s="31" t="s">
        <v>8</v>
      </c>
      <c r="O263" s="31" t="s">
        <v>4</v>
      </c>
      <c r="P263" s="31" t="s">
        <v>3</v>
      </c>
      <c r="Q263" s="36"/>
    </row>
    <row r="264" spans="1:17" x14ac:dyDescent="0.2">
      <c r="A264" s="30">
        <f>RANK(B264,$B$2:$B$551,1)</f>
        <v>263</v>
      </c>
      <c r="B264" s="46">
        <f>AVERAGE(G264,I264,J264)</f>
        <v>282.5</v>
      </c>
      <c r="C264" s="31" t="s">
        <v>1303</v>
      </c>
      <c r="D264" s="66">
        <v>66.4479217327752</v>
      </c>
      <c r="E264" s="66">
        <v>26</v>
      </c>
      <c r="F264" s="66">
        <v>693.28239269168796</v>
      </c>
      <c r="G264" s="33">
        <v>299</v>
      </c>
      <c r="H264" s="32">
        <v>115.94</v>
      </c>
      <c r="I264" s="34">
        <v>266</v>
      </c>
      <c r="J264" s="34" t="s">
        <v>116</v>
      </c>
      <c r="K264" s="35" t="s">
        <v>116</v>
      </c>
      <c r="L264" s="34" t="s">
        <v>116</v>
      </c>
      <c r="M264" s="31" t="s">
        <v>1304</v>
      </c>
      <c r="N264" s="31" t="s">
        <v>65</v>
      </c>
      <c r="O264" s="31" t="s">
        <v>4</v>
      </c>
      <c r="P264" s="31" t="s">
        <v>3</v>
      </c>
      <c r="Q264" s="36" t="s">
        <v>1254</v>
      </c>
    </row>
    <row r="265" spans="1:17" x14ac:dyDescent="0.2">
      <c r="A265" s="30">
        <f>RANK(B265,$B$2:$B$551,1)</f>
        <v>263</v>
      </c>
      <c r="B265" s="46">
        <f>AVERAGE(G265,I265,J265)</f>
        <v>282.5</v>
      </c>
      <c r="C265" s="31" t="s">
        <v>1293</v>
      </c>
      <c r="D265" s="66">
        <v>34.953757225433499</v>
      </c>
      <c r="E265" s="66">
        <v>9</v>
      </c>
      <c r="F265" s="66">
        <v>540.98684542021897</v>
      </c>
      <c r="G265" s="33">
        <v>498</v>
      </c>
      <c r="H265" s="32">
        <v>117.24</v>
      </c>
      <c r="I265" s="34">
        <v>67</v>
      </c>
      <c r="J265" s="34" t="s">
        <v>116</v>
      </c>
      <c r="K265" s="35" t="s">
        <v>116</v>
      </c>
      <c r="L265" s="34" t="s">
        <v>116</v>
      </c>
      <c r="M265" s="31" t="s">
        <v>1294</v>
      </c>
      <c r="N265" s="31" t="s">
        <v>278</v>
      </c>
      <c r="O265" s="31" t="s">
        <v>4</v>
      </c>
      <c r="P265" s="31" t="s">
        <v>3</v>
      </c>
      <c r="Q265" s="36" t="s">
        <v>1254</v>
      </c>
    </row>
    <row r="266" spans="1:17" x14ac:dyDescent="0.2">
      <c r="A266" s="30">
        <f>RANK(B266,$B$2:$B$551,1)</f>
        <v>263</v>
      </c>
      <c r="B266" s="46">
        <f>AVERAGE(G266,I266,J266)</f>
        <v>282.5</v>
      </c>
      <c r="C266" s="31" t="s">
        <v>1285</v>
      </c>
      <c r="D266" s="66">
        <v>30.0102857142857</v>
      </c>
      <c r="E266" s="66">
        <v>0</v>
      </c>
      <c r="F266" s="66">
        <v>451.09235760368699</v>
      </c>
      <c r="G266" s="33">
        <v>556</v>
      </c>
      <c r="H266" s="32">
        <v>118.5</v>
      </c>
      <c r="I266" s="34">
        <v>9</v>
      </c>
      <c r="J266" s="34" t="s">
        <v>116</v>
      </c>
      <c r="K266" s="35" t="s">
        <v>116</v>
      </c>
      <c r="L266" s="34" t="s">
        <v>116</v>
      </c>
      <c r="M266" s="31" t="s">
        <v>1286</v>
      </c>
      <c r="N266" s="31" t="s">
        <v>641</v>
      </c>
      <c r="O266" s="31" t="s">
        <v>4</v>
      </c>
      <c r="P266" s="31" t="s">
        <v>3</v>
      </c>
      <c r="Q266" s="36" t="s">
        <v>1254</v>
      </c>
    </row>
    <row r="267" spans="1:17" x14ac:dyDescent="0.2">
      <c r="A267" s="30">
        <f>RANK(B267,$B$2:$B$551,1)</f>
        <v>266</v>
      </c>
      <c r="B267" s="46">
        <f>AVERAGE(G267,I267,J267)</f>
        <v>284</v>
      </c>
      <c r="C267" s="31" t="s">
        <v>798</v>
      </c>
      <c r="D267" s="66">
        <v>170.890173410405</v>
      </c>
      <c r="E267" s="66">
        <v>141.72254335260101</v>
      </c>
      <c r="F267" s="66">
        <v>1019.76852507925</v>
      </c>
      <c r="G267" s="33">
        <v>30</v>
      </c>
      <c r="H267" s="32">
        <v>109.71</v>
      </c>
      <c r="I267" s="34">
        <v>587</v>
      </c>
      <c r="J267" s="34">
        <v>235</v>
      </c>
      <c r="K267" s="35">
        <v>0.24660555517265101</v>
      </c>
      <c r="L267" s="34" t="s">
        <v>5</v>
      </c>
      <c r="M267" s="31" t="s">
        <v>797</v>
      </c>
      <c r="N267" s="31" t="s">
        <v>448</v>
      </c>
      <c r="O267" s="31" t="s">
        <v>4</v>
      </c>
      <c r="P267" s="31" t="s">
        <v>3</v>
      </c>
      <c r="Q267" s="36"/>
    </row>
    <row r="268" spans="1:17" x14ac:dyDescent="0.2">
      <c r="A268" s="30">
        <f>RANK(B268,$B$2:$B$551,1)</f>
        <v>267</v>
      </c>
      <c r="B268" s="46">
        <f>AVERAGE(G268,I268,J268)</f>
        <v>285.66666666666669</v>
      </c>
      <c r="C268" s="31" t="s">
        <v>821</v>
      </c>
      <c r="D268" s="66">
        <v>230.12015603079601</v>
      </c>
      <c r="E268" s="66">
        <v>50.125714285714302</v>
      </c>
      <c r="F268" s="66">
        <v>1914.0756783935899</v>
      </c>
      <c r="G268" s="33">
        <v>301</v>
      </c>
      <c r="H268" s="32">
        <v>114.26</v>
      </c>
      <c r="I268" s="34">
        <v>473</v>
      </c>
      <c r="J268" s="34">
        <v>83</v>
      </c>
      <c r="K268" s="35">
        <v>1.5661984364075501</v>
      </c>
      <c r="L268" s="34" t="s">
        <v>26</v>
      </c>
      <c r="M268" s="31" t="s">
        <v>820</v>
      </c>
      <c r="N268" s="31" t="s">
        <v>314</v>
      </c>
      <c r="O268" s="31" t="s">
        <v>4</v>
      </c>
      <c r="P268" s="31" t="s">
        <v>3</v>
      </c>
      <c r="Q268" s="36"/>
    </row>
    <row r="269" spans="1:17" x14ac:dyDescent="0.2">
      <c r="A269" s="30">
        <f>RANK(B269,$B$2:$B$551,1)</f>
        <v>268</v>
      </c>
      <c r="B269" s="46">
        <f>AVERAGE(G269,I269,J269)</f>
        <v>286</v>
      </c>
      <c r="C269" s="31" t="s">
        <v>1057</v>
      </c>
      <c r="D269" s="66">
        <v>61.512014519056301</v>
      </c>
      <c r="E269" s="66">
        <v>22.505747126436798</v>
      </c>
      <c r="F269" s="66">
        <v>915.00370693349498</v>
      </c>
      <c r="G269" s="33">
        <v>449</v>
      </c>
      <c r="H269" s="32">
        <v>116.21</v>
      </c>
      <c r="I269" s="34">
        <v>211</v>
      </c>
      <c r="J269" s="34">
        <v>198</v>
      </c>
      <c r="K269" s="35">
        <v>0.46852793161874401</v>
      </c>
      <c r="L269" s="34" t="s">
        <v>5</v>
      </c>
      <c r="M269" s="31" t="s">
        <v>1056</v>
      </c>
      <c r="N269" s="31" t="s">
        <v>650</v>
      </c>
      <c r="O269" s="31" t="s">
        <v>4</v>
      </c>
      <c r="P269" s="31" t="s">
        <v>3</v>
      </c>
      <c r="Q269" s="36"/>
    </row>
    <row r="270" spans="1:17" x14ac:dyDescent="0.2">
      <c r="A270" s="30">
        <f>RANK(B270,$B$2:$B$551,1)</f>
        <v>269</v>
      </c>
      <c r="B270" s="46">
        <f>AVERAGE(G270,I270,J270)</f>
        <v>288</v>
      </c>
      <c r="C270" s="31" t="s">
        <v>347</v>
      </c>
      <c r="D270" s="66">
        <v>1213.93169458128</v>
      </c>
      <c r="E270" s="66">
        <v>137.422857142857</v>
      </c>
      <c r="F270" s="66">
        <v>5314.2888846365504</v>
      </c>
      <c r="G270" s="33">
        <v>141</v>
      </c>
      <c r="H270" s="32">
        <v>116.15</v>
      </c>
      <c r="I270" s="34">
        <v>224</v>
      </c>
      <c r="J270" s="34">
        <v>499</v>
      </c>
      <c r="K270" s="35">
        <v>-1.93265875785066</v>
      </c>
      <c r="L270" s="34" t="s">
        <v>20</v>
      </c>
      <c r="M270" s="31" t="s">
        <v>346</v>
      </c>
      <c r="N270" s="31" t="s">
        <v>200</v>
      </c>
      <c r="O270" s="31" t="s">
        <v>4</v>
      </c>
      <c r="P270" s="31" t="s">
        <v>3</v>
      </c>
      <c r="Q270" s="36"/>
    </row>
    <row r="271" spans="1:17" ht="22.5" x14ac:dyDescent="0.2">
      <c r="A271" s="30">
        <f>RANK(B271,$B$2:$B$551,1)</f>
        <v>270</v>
      </c>
      <c r="B271" s="46">
        <f>AVERAGE(G271,I271,J271)</f>
        <v>288.33333333333331</v>
      </c>
      <c r="C271" s="31" t="s">
        <v>669</v>
      </c>
      <c r="D271" s="66">
        <v>807.54571938566198</v>
      </c>
      <c r="E271" s="66">
        <v>123.193400770713</v>
      </c>
      <c r="F271" s="66">
        <v>5300.1260188330898</v>
      </c>
      <c r="G271" s="33">
        <v>255</v>
      </c>
      <c r="H271" s="32">
        <v>111.69</v>
      </c>
      <c r="I271" s="34">
        <v>572</v>
      </c>
      <c r="J271" s="34">
        <v>38</v>
      </c>
      <c r="K271" s="35">
        <v>2.3843990249390599</v>
      </c>
      <c r="L271" s="34" t="s">
        <v>56</v>
      </c>
      <c r="M271" s="31" t="s">
        <v>668</v>
      </c>
      <c r="N271" s="31" t="s">
        <v>55</v>
      </c>
      <c r="O271" s="31" t="s">
        <v>4</v>
      </c>
      <c r="P271" s="31" t="s">
        <v>3</v>
      </c>
      <c r="Q271" s="36"/>
    </row>
    <row r="272" spans="1:17" x14ac:dyDescent="0.2">
      <c r="A272" s="30">
        <f>RANK(B272,$B$2:$B$551,1)</f>
        <v>270</v>
      </c>
      <c r="B272" s="46">
        <f>AVERAGE(G272,I272,J272)</f>
        <v>288.33333333333331</v>
      </c>
      <c r="C272" s="31" t="s">
        <v>358</v>
      </c>
      <c r="D272" s="66">
        <v>57.745664739884397</v>
      </c>
      <c r="E272" s="66">
        <v>25.763005780346798</v>
      </c>
      <c r="F272" s="66">
        <v>924.96271676300603</v>
      </c>
      <c r="G272" s="33">
        <v>446</v>
      </c>
      <c r="H272" s="32">
        <v>118.91</v>
      </c>
      <c r="I272" s="34">
        <v>6</v>
      </c>
      <c r="J272" s="34">
        <v>413</v>
      </c>
      <c r="K272" s="35">
        <v>-1.0780199397171299</v>
      </c>
      <c r="L272" s="34" t="s">
        <v>20</v>
      </c>
      <c r="M272" s="31" t="s">
        <v>357</v>
      </c>
      <c r="N272" s="31" t="s">
        <v>359</v>
      </c>
      <c r="O272" s="31" t="s">
        <v>4</v>
      </c>
      <c r="P272" s="31" t="s">
        <v>3</v>
      </c>
      <c r="Q272" s="36"/>
    </row>
    <row r="273" spans="1:17" x14ac:dyDescent="0.2">
      <c r="A273" s="30">
        <f>RANK(B273,$B$2:$B$551,1)</f>
        <v>272</v>
      </c>
      <c r="B273" s="46">
        <f>AVERAGE(G273,I273,J273)</f>
        <v>288.66666666666669</v>
      </c>
      <c r="C273" s="31" t="s">
        <v>1079</v>
      </c>
      <c r="D273" s="66">
        <v>122.49132947976901</v>
      </c>
      <c r="E273" s="66">
        <v>28</v>
      </c>
      <c r="F273" s="66">
        <v>859.72211448815995</v>
      </c>
      <c r="G273" s="33">
        <v>241</v>
      </c>
      <c r="H273" s="32">
        <v>113.56</v>
      </c>
      <c r="I273" s="34">
        <v>517</v>
      </c>
      <c r="J273" s="34">
        <v>108</v>
      </c>
      <c r="K273" s="35">
        <v>1.3099229287090599</v>
      </c>
      <c r="L273" s="34" t="s">
        <v>26</v>
      </c>
      <c r="M273" s="31" t="s">
        <v>1078</v>
      </c>
      <c r="N273" s="31" t="s">
        <v>448</v>
      </c>
      <c r="O273" s="31" t="s">
        <v>4</v>
      </c>
      <c r="P273" s="31" t="s">
        <v>3</v>
      </c>
      <c r="Q273" s="36"/>
    </row>
    <row r="274" spans="1:17" x14ac:dyDescent="0.2">
      <c r="A274" s="30">
        <f>RANK(B274,$B$2:$B$551,1)</f>
        <v>273</v>
      </c>
      <c r="B274" s="46">
        <f>AVERAGE(G274,I274,J274)</f>
        <v>289.33333333333331</v>
      </c>
      <c r="C274" s="31" t="s">
        <v>565</v>
      </c>
      <c r="D274" s="66">
        <v>137.77561781706899</v>
      </c>
      <c r="E274" s="66">
        <v>28.040462427745702</v>
      </c>
      <c r="F274" s="66">
        <v>895.11318458720598</v>
      </c>
      <c r="G274" s="33">
        <v>229</v>
      </c>
      <c r="H274" s="32">
        <v>115.98</v>
      </c>
      <c r="I274" s="34">
        <v>262</v>
      </c>
      <c r="J274" s="34">
        <v>377</v>
      </c>
      <c r="K274" s="35">
        <v>-0.85934208394101397</v>
      </c>
      <c r="L274" s="34" t="s">
        <v>5</v>
      </c>
      <c r="M274" s="31" t="s">
        <v>564</v>
      </c>
      <c r="N274" s="31" t="s">
        <v>373</v>
      </c>
      <c r="O274" s="31" t="s">
        <v>4</v>
      </c>
      <c r="P274" s="31" t="s">
        <v>3</v>
      </c>
      <c r="Q274" s="36"/>
    </row>
    <row r="275" spans="1:17" x14ac:dyDescent="0.2">
      <c r="A275" s="30">
        <f>RANK(B275,$B$2:$B$551,1)</f>
        <v>273</v>
      </c>
      <c r="B275" s="46">
        <f>AVERAGE(G275,I275,J275)</f>
        <v>289.33333333333331</v>
      </c>
      <c r="C275" s="31" t="s">
        <v>15</v>
      </c>
      <c r="D275" s="66">
        <v>276.05318969305102</v>
      </c>
      <c r="E275" s="66">
        <v>0</v>
      </c>
      <c r="F275" s="66">
        <v>2466.64376270393</v>
      </c>
      <c r="G275" s="33">
        <v>467</v>
      </c>
      <c r="H275" s="32">
        <v>116.61</v>
      </c>
      <c r="I275" s="34">
        <v>148</v>
      </c>
      <c r="J275" s="34">
        <v>253</v>
      </c>
      <c r="K275" s="35">
        <v>0.116455696202532</v>
      </c>
      <c r="L275" s="34" t="s">
        <v>5</v>
      </c>
      <c r="M275" s="31" t="s">
        <v>14</v>
      </c>
      <c r="N275" s="31" t="s">
        <v>16</v>
      </c>
      <c r="O275" s="31" t="s">
        <v>4</v>
      </c>
      <c r="P275" s="31" t="s">
        <v>3</v>
      </c>
      <c r="Q275" s="36"/>
    </row>
    <row r="276" spans="1:17" x14ac:dyDescent="0.2">
      <c r="A276" s="30">
        <f>RANK(B276,$B$2:$B$551,1)</f>
        <v>275</v>
      </c>
      <c r="B276" s="46">
        <f>AVERAGE(G276,I276,J276)</f>
        <v>289.66666666666669</v>
      </c>
      <c r="C276" s="31" t="s">
        <v>496</v>
      </c>
      <c r="D276" s="66">
        <v>920.39418079096004</v>
      </c>
      <c r="E276" s="66">
        <v>65.237288135593204</v>
      </c>
      <c r="F276" s="66">
        <v>4730.9175706214701</v>
      </c>
      <c r="G276" s="33">
        <v>224</v>
      </c>
      <c r="H276" s="32">
        <v>115.17</v>
      </c>
      <c r="I276" s="34">
        <v>379</v>
      </c>
      <c r="J276" s="34">
        <v>266</v>
      </c>
      <c r="K276" s="35">
        <v>1.1492491572172799E-2</v>
      </c>
      <c r="L276" s="34" t="s">
        <v>5</v>
      </c>
      <c r="M276" s="31" t="s">
        <v>891</v>
      </c>
      <c r="N276" s="31" t="s">
        <v>106</v>
      </c>
      <c r="O276" s="31" t="s">
        <v>4</v>
      </c>
      <c r="P276" s="31" t="s">
        <v>3</v>
      </c>
      <c r="Q276" s="36"/>
    </row>
    <row r="277" spans="1:17" x14ac:dyDescent="0.2">
      <c r="A277" s="30">
        <f>RANK(B277,$B$2:$B$551,1)</f>
        <v>276</v>
      </c>
      <c r="B277" s="46">
        <f>AVERAGE(G277,I277,J277)</f>
        <v>290.66666666666669</v>
      </c>
      <c r="C277" s="31" t="s">
        <v>788</v>
      </c>
      <c r="D277" s="66">
        <v>85</v>
      </c>
      <c r="E277" s="66">
        <v>0</v>
      </c>
      <c r="F277" s="66">
        <v>616.28244117895804</v>
      </c>
      <c r="G277" s="33">
        <v>395</v>
      </c>
      <c r="H277" s="32">
        <v>115.49</v>
      </c>
      <c r="I277" s="34">
        <v>334</v>
      </c>
      <c r="J277" s="34">
        <v>143</v>
      </c>
      <c r="K277" s="35">
        <v>0.95493085696981905</v>
      </c>
      <c r="L277" s="34" t="s">
        <v>5</v>
      </c>
      <c r="M277" s="31" t="s">
        <v>787</v>
      </c>
      <c r="N277" s="31" t="s">
        <v>525</v>
      </c>
      <c r="O277" s="31" t="s">
        <v>4</v>
      </c>
      <c r="P277" s="31" t="s">
        <v>3</v>
      </c>
      <c r="Q277" s="36"/>
    </row>
    <row r="278" spans="1:17" x14ac:dyDescent="0.2">
      <c r="A278" s="30">
        <f>RANK(B278,$B$2:$B$551,1)</f>
        <v>277</v>
      </c>
      <c r="B278" s="46">
        <f>AVERAGE(G278,I278,J278)</f>
        <v>291.33333333333331</v>
      </c>
      <c r="C278" s="31" t="s">
        <v>561</v>
      </c>
      <c r="D278" s="66">
        <v>105.76111111111101</v>
      </c>
      <c r="E278" s="66">
        <v>79.844444444444406</v>
      </c>
      <c r="F278" s="66">
        <v>1107.6265555555501</v>
      </c>
      <c r="G278" s="33">
        <v>176</v>
      </c>
      <c r="H278" s="32">
        <v>110.71</v>
      </c>
      <c r="I278" s="34">
        <v>583</v>
      </c>
      <c r="J278" s="34">
        <v>115</v>
      </c>
      <c r="K278" s="35">
        <v>1.2479420764556299</v>
      </c>
      <c r="L278" s="34" t="s">
        <v>26</v>
      </c>
      <c r="M278" s="31" t="s">
        <v>560</v>
      </c>
      <c r="N278" s="31" t="s">
        <v>416</v>
      </c>
      <c r="O278" s="31" t="s">
        <v>4</v>
      </c>
      <c r="P278" s="31" t="s">
        <v>3</v>
      </c>
      <c r="Q278" s="36"/>
    </row>
    <row r="279" spans="1:17" x14ac:dyDescent="0.2">
      <c r="A279" s="30">
        <f>RANK(B279,$B$2:$B$551,1)</f>
        <v>277</v>
      </c>
      <c r="B279" s="46">
        <f>AVERAGE(G279,I279,J279)</f>
        <v>291.33333333333331</v>
      </c>
      <c r="C279" s="31" t="s">
        <v>604</v>
      </c>
      <c r="D279" s="66">
        <v>116.954022988506</v>
      </c>
      <c r="E279" s="66">
        <v>23.132183908045899</v>
      </c>
      <c r="F279" s="66">
        <v>1417.6175676677799</v>
      </c>
      <c r="G279" s="33">
        <v>454</v>
      </c>
      <c r="H279" s="32">
        <v>116.3</v>
      </c>
      <c r="I279" s="34">
        <v>197</v>
      </c>
      <c r="J279" s="34">
        <v>223</v>
      </c>
      <c r="K279" s="35">
        <v>0.30338600451467301</v>
      </c>
      <c r="L279" s="34" t="s">
        <v>5</v>
      </c>
      <c r="M279" s="31" t="s">
        <v>899</v>
      </c>
      <c r="N279" s="31" t="s">
        <v>32</v>
      </c>
      <c r="O279" s="31" t="s">
        <v>4</v>
      </c>
      <c r="P279" s="31" t="s">
        <v>3</v>
      </c>
      <c r="Q279" s="36"/>
    </row>
    <row r="280" spans="1:17" x14ac:dyDescent="0.2">
      <c r="A280" s="30">
        <f>RANK(B280,$B$2:$B$551,1)</f>
        <v>279</v>
      </c>
      <c r="B280" s="46">
        <f>AVERAGE(G280,I280,J280)</f>
        <v>291.66666666666669</v>
      </c>
      <c r="C280" s="31" t="s">
        <v>152</v>
      </c>
      <c r="D280" s="66">
        <v>128.98317875326799</v>
      </c>
      <c r="E280" s="66">
        <v>16.845798816567999</v>
      </c>
      <c r="F280" s="66">
        <v>1285.11473235173</v>
      </c>
      <c r="G280" s="33">
        <v>427</v>
      </c>
      <c r="H280" s="32">
        <v>117.04</v>
      </c>
      <c r="I280" s="34">
        <v>89</v>
      </c>
      <c r="J280" s="34">
        <v>359</v>
      </c>
      <c r="K280" s="35">
        <v>-0.67421942266733104</v>
      </c>
      <c r="L280" s="34" t="s">
        <v>5</v>
      </c>
      <c r="M280" s="31" t="s">
        <v>151</v>
      </c>
      <c r="N280" s="31" t="s">
        <v>140</v>
      </c>
      <c r="O280" s="31" t="s">
        <v>4</v>
      </c>
      <c r="P280" s="31" t="s">
        <v>3</v>
      </c>
      <c r="Q280" s="36"/>
    </row>
    <row r="281" spans="1:17" x14ac:dyDescent="0.2">
      <c r="A281" s="30">
        <f>RANK(B281,$B$2:$B$551,1)</f>
        <v>280</v>
      </c>
      <c r="B281" s="46">
        <f>AVERAGE(G281,I281,J281)</f>
        <v>293</v>
      </c>
      <c r="C281" s="31" t="s">
        <v>825</v>
      </c>
      <c r="D281" s="66">
        <v>302.35651428571401</v>
      </c>
      <c r="E281" s="66">
        <v>237.16382857142901</v>
      </c>
      <c r="F281" s="66">
        <v>3548.8759224516002</v>
      </c>
      <c r="G281" s="33">
        <v>204</v>
      </c>
      <c r="H281" s="32">
        <v>115.76</v>
      </c>
      <c r="I281" s="34">
        <v>291</v>
      </c>
      <c r="J281" s="34">
        <v>384</v>
      </c>
      <c r="K281" s="35">
        <v>-0.90391809411301405</v>
      </c>
      <c r="L281" s="34" t="s">
        <v>5</v>
      </c>
      <c r="M281" s="31" t="s">
        <v>824</v>
      </c>
      <c r="N281" s="31" t="s">
        <v>650</v>
      </c>
      <c r="O281" s="31" t="s">
        <v>4</v>
      </c>
      <c r="P281" s="31" t="s">
        <v>3</v>
      </c>
      <c r="Q281" s="36"/>
    </row>
    <row r="282" spans="1:17" x14ac:dyDescent="0.2">
      <c r="A282" s="30">
        <f>RANK(B282,$B$2:$B$551,1)</f>
        <v>281</v>
      </c>
      <c r="B282" s="46">
        <f>AVERAGE(G282,I282,J282)</f>
        <v>293.33333333333331</v>
      </c>
      <c r="C282" s="31" t="s">
        <v>247</v>
      </c>
      <c r="D282" s="66">
        <v>203.532903091061</v>
      </c>
      <c r="E282" s="66">
        <v>0</v>
      </c>
      <c r="F282" s="66">
        <v>2112.3564743512002</v>
      </c>
      <c r="G282" s="33">
        <v>503</v>
      </c>
      <c r="H282" s="32">
        <v>116.2</v>
      </c>
      <c r="I282" s="34">
        <v>214</v>
      </c>
      <c r="J282" s="34">
        <v>163</v>
      </c>
      <c r="K282" s="35">
        <v>0.81589917120298205</v>
      </c>
      <c r="L282" s="34" t="s">
        <v>5</v>
      </c>
      <c r="M282" s="31" t="s">
        <v>246</v>
      </c>
      <c r="N282" s="31" t="s">
        <v>248</v>
      </c>
      <c r="O282" s="31" t="s">
        <v>4</v>
      </c>
      <c r="P282" s="31" t="s">
        <v>3</v>
      </c>
      <c r="Q282" s="36"/>
    </row>
    <row r="283" spans="1:17" x14ac:dyDescent="0.2">
      <c r="A283" s="30">
        <f>RANK(B283,$B$2:$B$551,1)</f>
        <v>282</v>
      </c>
      <c r="B283" s="46">
        <f>AVERAGE(G283,I283,J283)</f>
        <v>294</v>
      </c>
      <c r="C283" s="31" t="s">
        <v>536</v>
      </c>
      <c r="D283" s="66">
        <v>194.83028317373501</v>
      </c>
      <c r="E283" s="66">
        <v>91.620318057455506</v>
      </c>
      <c r="F283" s="66">
        <v>1480.81124950355</v>
      </c>
      <c r="G283" s="33">
        <v>156</v>
      </c>
      <c r="H283" s="32">
        <v>114.6</v>
      </c>
      <c r="I283" s="34">
        <v>446</v>
      </c>
      <c r="J283" s="34">
        <v>280</v>
      </c>
      <c r="K283" s="35">
        <v>-4.15952854108134E-2</v>
      </c>
      <c r="L283" s="34" t="s">
        <v>5</v>
      </c>
      <c r="M283" s="31" t="s">
        <v>535</v>
      </c>
      <c r="N283" s="31" t="s">
        <v>314</v>
      </c>
      <c r="O283" s="31" t="s">
        <v>4</v>
      </c>
      <c r="P283" s="31" t="s">
        <v>3</v>
      </c>
      <c r="Q283" s="36"/>
    </row>
    <row r="284" spans="1:17" x14ac:dyDescent="0.2">
      <c r="A284" s="30">
        <f>RANK(B284,$B$2:$B$551,1)</f>
        <v>282</v>
      </c>
      <c r="B284" s="46">
        <f>AVERAGE(G284,I284,J284)</f>
        <v>294</v>
      </c>
      <c r="C284" s="31" t="s">
        <v>272</v>
      </c>
      <c r="D284" s="66">
        <v>281.501843575419</v>
      </c>
      <c r="E284" s="66">
        <v>0</v>
      </c>
      <c r="F284" s="66">
        <v>2113.5094413407801</v>
      </c>
      <c r="G284" s="33">
        <v>403</v>
      </c>
      <c r="H284" s="32">
        <v>118.48</v>
      </c>
      <c r="I284" s="34">
        <v>10</v>
      </c>
      <c r="J284" s="34">
        <v>469</v>
      </c>
      <c r="K284" s="35">
        <v>-1.47649721448468</v>
      </c>
      <c r="L284" s="34" t="s">
        <v>20</v>
      </c>
      <c r="M284" s="31" t="s">
        <v>271</v>
      </c>
      <c r="N284" s="31" t="s">
        <v>273</v>
      </c>
      <c r="O284" s="31" t="s">
        <v>4</v>
      </c>
      <c r="P284" s="31" t="s">
        <v>3</v>
      </c>
      <c r="Q284" s="36"/>
    </row>
    <row r="285" spans="1:17" x14ac:dyDescent="0.2">
      <c r="A285" s="30">
        <f>RANK(B285,$B$2:$B$551,1)</f>
        <v>284</v>
      </c>
      <c r="B285" s="46">
        <f>AVERAGE(G285,I285,J285)</f>
        <v>294.33333333333331</v>
      </c>
      <c r="C285" s="31" t="s">
        <v>733</v>
      </c>
      <c r="D285" s="66">
        <v>99</v>
      </c>
      <c r="E285" s="66">
        <v>0</v>
      </c>
      <c r="F285" s="66">
        <v>458.937597330367</v>
      </c>
      <c r="G285" s="33">
        <v>240</v>
      </c>
      <c r="H285" s="32">
        <v>116.23</v>
      </c>
      <c r="I285" s="34">
        <v>209</v>
      </c>
      <c r="J285" s="34">
        <v>434</v>
      </c>
      <c r="K285" s="35">
        <v>-1.1651451430916</v>
      </c>
      <c r="L285" s="34" t="s">
        <v>20</v>
      </c>
      <c r="M285" s="31" t="s">
        <v>732</v>
      </c>
      <c r="N285" s="31" t="s">
        <v>525</v>
      </c>
      <c r="O285" s="31" t="s">
        <v>4</v>
      </c>
      <c r="P285" s="31" t="s">
        <v>3</v>
      </c>
      <c r="Q285" s="36"/>
    </row>
    <row r="286" spans="1:17" x14ac:dyDescent="0.2">
      <c r="A286" s="30">
        <f>RANK(B286,$B$2:$B$551,1)</f>
        <v>285</v>
      </c>
      <c r="B286" s="46">
        <f>AVERAGE(G286,I286,J286)</f>
        <v>297.66666666666669</v>
      </c>
      <c r="C286" s="31" t="s">
        <v>322</v>
      </c>
      <c r="D286" s="66">
        <v>134.69419540229899</v>
      </c>
      <c r="E286" s="66">
        <v>29.110747126436799</v>
      </c>
      <c r="F286" s="66">
        <v>1301.0590281145301</v>
      </c>
      <c r="G286" s="33">
        <v>363</v>
      </c>
      <c r="H286" s="32">
        <v>115.92</v>
      </c>
      <c r="I286" s="34">
        <v>268</v>
      </c>
      <c r="J286" s="34">
        <v>262</v>
      </c>
      <c r="K286" s="35">
        <v>4.6923492106328402E-2</v>
      </c>
      <c r="L286" s="34" t="s">
        <v>5</v>
      </c>
      <c r="M286" s="31" t="s">
        <v>321</v>
      </c>
      <c r="N286" s="31" t="s">
        <v>97</v>
      </c>
      <c r="O286" s="31" t="s">
        <v>4</v>
      </c>
      <c r="P286" s="31" t="s">
        <v>3</v>
      </c>
      <c r="Q286" s="36"/>
    </row>
    <row r="287" spans="1:17" x14ac:dyDescent="0.2">
      <c r="A287" s="30">
        <f>RANK(B287,$B$2:$B$551,1)</f>
        <v>286</v>
      </c>
      <c r="B287" s="46">
        <f>AVERAGE(G287,I287,J287)</f>
        <v>298</v>
      </c>
      <c r="C287" s="31" t="s">
        <v>137</v>
      </c>
      <c r="D287" s="66">
        <v>849.43258426966304</v>
      </c>
      <c r="E287" s="66">
        <v>206.18258426966301</v>
      </c>
      <c r="F287" s="66">
        <v>6696.2512685755701</v>
      </c>
      <c r="G287" s="33">
        <v>273</v>
      </c>
      <c r="H287" s="32">
        <v>114.91</v>
      </c>
      <c r="I287" s="34">
        <v>414</v>
      </c>
      <c r="J287" s="34">
        <v>207</v>
      </c>
      <c r="K287" s="35">
        <v>0.39609866193777199</v>
      </c>
      <c r="L287" s="34" t="s">
        <v>5</v>
      </c>
      <c r="M287" s="31" t="s">
        <v>136</v>
      </c>
      <c r="N287" s="31" t="s">
        <v>9</v>
      </c>
      <c r="O287" s="31" t="s">
        <v>4</v>
      </c>
      <c r="P287" s="31" t="s">
        <v>3</v>
      </c>
      <c r="Q287" s="36"/>
    </row>
    <row r="288" spans="1:17" x14ac:dyDescent="0.2">
      <c r="A288" s="30">
        <f>RANK(B288,$B$2:$B$551,1)</f>
        <v>287</v>
      </c>
      <c r="B288" s="46">
        <f>AVERAGE(G288,I288,J288)</f>
        <v>298.66666666666669</v>
      </c>
      <c r="C288" s="31" t="s">
        <v>647</v>
      </c>
      <c r="D288" s="66">
        <v>133.09659090909099</v>
      </c>
      <c r="E288" s="66">
        <v>7.8636363636363598</v>
      </c>
      <c r="F288" s="66">
        <v>806.71062500000005</v>
      </c>
      <c r="G288" s="33">
        <v>283</v>
      </c>
      <c r="H288" s="32">
        <v>114.88</v>
      </c>
      <c r="I288" s="34">
        <v>422</v>
      </c>
      <c r="J288" s="34">
        <v>191</v>
      </c>
      <c r="K288" s="35">
        <v>0.582974207242555</v>
      </c>
      <c r="L288" s="34" t="s">
        <v>5</v>
      </c>
      <c r="M288" s="31" t="s">
        <v>680</v>
      </c>
      <c r="N288" s="31" t="s">
        <v>143</v>
      </c>
      <c r="O288" s="31" t="s">
        <v>4</v>
      </c>
      <c r="P288" s="31" t="s">
        <v>3</v>
      </c>
      <c r="Q288" s="36"/>
    </row>
    <row r="289" spans="1:17" x14ac:dyDescent="0.2">
      <c r="A289" s="30">
        <f>RANK(B289,$B$2:$B$551,1)</f>
        <v>288</v>
      </c>
      <c r="B289" s="46">
        <f>AVERAGE(G289,I289,J289)</f>
        <v>299</v>
      </c>
      <c r="C289" s="31" t="s">
        <v>596</v>
      </c>
      <c r="D289" s="66">
        <v>156.50321705033301</v>
      </c>
      <c r="E289" s="66">
        <v>0</v>
      </c>
      <c r="F289" s="66">
        <v>583.59605753067899</v>
      </c>
      <c r="G289" s="33">
        <v>165</v>
      </c>
      <c r="H289" s="32">
        <v>114.65</v>
      </c>
      <c r="I289" s="34">
        <v>443</v>
      </c>
      <c r="J289" s="34">
        <v>289</v>
      </c>
      <c r="K289" s="35">
        <v>-0.102493514744031</v>
      </c>
      <c r="L289" s="34" t="s">
        <v>5</v>
      </c>
      <c r="M289" s="31" t="s">
        <v>595</v>
      </c>
      <c r="N289" s="31" t="s">
        <v>84</v>
      </c>
      <c r="O289" s="31" t="s">
        <v>4</v>
      </c>
      <c r="P289" s="31" t="s">
        <v>3</v>
      </c>
      <c r="Q289" s="36"/>
    </row>
    <row r="290" spans="1:17" x14ac:dyDescent="0.2">
      <c r="A290" s="30">
        <f>RANK(B290,$B$2:$B$551,1)</f>
        <v>289</v>
      </c>
      <c r="B290" s="46">
        <f>AVERAGE(G290,I290,J290)</f>
        <v>300.33333333333331</v>
      </c>
      <c r="C290" s="31" t="s">
        <v>693</v>
      </c>
      <c r="D290" s="66">
        <v>225.84459770114901</v>
      </c>
      <c r="E290" s="66">
        <v>45</v>
      </c>
      <c r="F290" s="66">
        <v>842.18356725146202</v>
      </c>
      <c r="G290" s="33">
        <v>62</v>
      </c>
      <c r="H290" s="32">
        <v>114.07</v>
      </c>
      <c r="I290" s="34">
        <v>487</v>
      </c>
      <c r="J290" s="34">
        <v>352</v>
      </c>
      <c r="K290" s="35">
        <v>-0.59410990457387303</v>
      </c>
      <c r="L290" s="34" t="s">
        <v>5</v>
      </c>
      <c r="M290" s="31" t="s">
        <v>692</v>
      </c>
      <c r="N290" s="31" t="s">
        <v>278</v>
      </c>
      <c r="O290" s="31" t="s">
        <v>4</v>
      </c>
      <c r="P290" s="31" t="s">
        <v>3</v>
      </c>
      <c r="Q290" s="36"/>
    </row>
    <row r="291" spans="1:17" x14ac:dyDescent="0.2">
      <c r="A291" s="30">
        <f>RANK(B291,$B$2:$B$551,1)</f>
        <v>290</v>
      </c>
      <c r="B291" s="46">
        <f>AVERAGE(G291,I291,J291)</f>
        <v>301</v>
      </c>
      <c r="C291" s="31" t="s">
        <v>955</v>
      </c>
      <c r="D291" s="66">
        <v>119.023529411765</v>
      </c>
      <c r="E291" s="66">
        <v>0</v>
      </c>
      <c r="F291" s="66">
        <v>558.918406072106</v>
      </c>
      <c r="G291" s="33">
        <v>243</v>
      </c>
      <c r="H291" s="32">
        <v>115</v>
      </c>
      <c r="I291" s="34">
        <v>396</v>
      </c>
      <c r="J291" s="34">
        <v>264</v>
      </c>
      <c r="K291" s="35">
        <v>1.7280413990666699E-2</v>
      </c>
      <c r="L291" s="34" t="s">
        <v>5</v>
      </c>
      <c r="M291" s="31" t="s">
        <v>954</v>
      </c>
      <c r="N291" s="31" t="s">
        <v>570</v>
      </c>
      <c r="O291" s="31" t="s">
        <v>4</v>
      </c>
      <c r="P291" s="31" t="s">
        <v>3</v>
      </c>
      <c r="Q291" s="36"/>
    </row>
    <row r="292" spans="1:17" x14ac:dyDescent="0.2">
      <c r="A292" s="30">
        <f>RANK(B292,$B$2:$B$551,1)</f>
        <v>291</v>
      </c>
      <c r="B292" s="46">
        <f>AVERAGE(G292,I292,J292)</f>
        <v>301.66666666666669</v>
      </c>
      <c r="C292" s="31" t="s">
        <v>842</v>
      </c>
      <c r="D292" s="66">
        <v>288.568116967018</v>
      </c>
      <c r="E292" s="66">
        <v>46.6127167630058</v>
      </c>
      <c r="F292" s="66">
        <v>1930.0968218688499</v>
      </c>
      <c r="G292" s="33">
        <v>256</v>
      </c>
      <c r="H292" s="32">
        <v>116.51</v>
      </c>
      <c r="I292" s="34">
        <v>167</v>
      </c>
      <c r="J292" s="34">
        <v>482</v>
      </c>
      <c r="K292" s="35">
        <v>-1.6921450387657599</v>
      </c>
      <c r="L292" s="34" t="s">
        <v>20</v>
      </c>
      <c r="M292" s="31" t="s">
        <v>841</v>
      </c>
      <c r="N292" s="31" t="s">
        <v>632</v>
      </c>
      <c r="O292" s="31" t="s">
        <v>4</v>
      </c>
      <c r="P292" s="31" t="s">
        <v>3</v>
      </c>
      <c r="Q292" s="36"/>
    </row>
    <row r="293" spans="1:17" x14ac:dyDescent="0.2">
      <c r="A293" s="30">
        <f>RANK(B293,$B$2:$B$551,1)</f>
        <v>292</v>
      </c>
      <c r="B293" s="46">
        <f>AVERAGE(G293,I293,J293)</f>
        <v>302</v>
      </c>
      <c r="C293" s="31" t="s">
        <v>387</v>
      </c>
      <c r="D293" s="66">
        <v>654.30557633458</v>
      </c>
      <c r="E293" s="66">
        <v>91</v>
      </c>
      <c r="F293" s="66">
        <v>2186.1737279836798</v>
      </c>
      <c r="G293" s="33">
        <v>60</v>
      </c>
      <c r="H293" s="32">
        <v>115.34</v>
      </c>
      <c r="I293" s="34">
        <v>352</v>
      </c>
      <c r="J293" s="34">
        <v>494</v>
      </c>
      <c r="K293" s="35">
        <v>-1.8491661703394899</v>
      </c>
      <c r="L293" s="34" t="s">
        <v>20</v>
      </c>
      <c r="M293" s="31" t="s">
        <v>386</v>
      </c>
      <c r="N293" s="31" t="s">
        <v>35</v>
      </c>
      <c r="O293" s="31" t="s">
        <v>4</v>
      </c>
      <c r="P293" s="31" t="s">
        <v>3</v>
      </c>
      <c r="Q293" s="36"/>
    </row>
    <row r="294" spans="1:17" x14ac:dyDescent="0.2">
      <c r="A294" s="30">
        <f>RANK(B294,$B$2:$B$551,1)</f>
        <v>292</v>
      </c>
      <c r="B294" s="46">
        <f>AVERAGE(G294,I294,J294)</f>
        <v>302</v>
      </c>
      <c r="C294" s="31" t="s">
        <v>245</v>
      </c>
      <c r="D294" s="66">
        <v>629.85048800161303</v>
      </c>
      <c r="E294" s="66">
        <v>55.356321839080501</v>
      </c>
      <c r="F294" s="66">
        <v>5187.5302326133096</v>
      </c>
      <c r="G294" s="33">
        <v>384</v>
      </c>
      <c r="H294" s="32">
        <v>113.63</v>
      </c>
      <c r="I294" s="34">
        <v>511</v>
      </c>
      <c r="J294" s="34">
        <v>11</v>
      </c>
      <c r="K294" s="35">
        <v>3.8893103181360802</v>
      </c>
      <c r="L294" s="34" t="s">
        <v>56</v>
      </c>
      <c r="M294" s="31" t="s">
        <v>244</v>
      </c>
      <c r="N294" s="31" t="s">
        <v>140</v>
      </c>
      <c r="O294" s="31" t="s">
        <v>4</v>
      </c>
      <c r="P294" s="31" t="s">
        <v>3</v>
      </c>
      <c r="Q294" s="36"/>
    </row>
    <row r="295" spans="1:17" x14ac:dyDescent="0.2">
      <c r="A295" s="30">
        <f>RANK(B295,$B$2:$B$551,1)</f>
        <v>294</v>
      </c>
      <c r="B295" s="46">
        <f>AVERAGE(G295,I295,J295)</f>
        <v>302.33333333333331</v>
      </c>
      <c r="C295" s="31" t="s">
        <v>478</v>
      </c>
      <c r="D295" s="66">
        <v>245.070554842391</v>
      </c>
      <c r="E295" s="66">
        <v>131.53953216374299</v>
      </c>
      <c r="F295" s="66">
        <v>2351.92024437289</v>
      </c>
      <c r="G295" s="33">
        <v>215</v>
      </c>
      <c r="H295" s="32">
        <v>115.37</v>
      </c>
      <c r="I295" s="34">
        <v>347</v>
      </c>
      <c r="J295" s="34">
        <v>345</v>
      </c>
      <c r="K295" s="35">
        <v>-0.50839344262295105</v>
      </c>
      <c r="L295" s="34" t="s">
        <v>5</v>
      </c>
      <c r="M295" s="31" t="s">
        <v>477</v>
      </c>
      <c r="N295" s="31" t="s">
        <v>35</v>
      </c>
      <c r="O295" s="31" t="s">
        <v>4</v>
      </c>
      <c r="P295" s="31" t="s">
        <v>3</v>
      </c>
      <c r="Q295" s="36"/>
    </row>
    <row r="296" spans="1:17" x14ac:dyDescent="0.2">
      <c r="A296" s="30">
        <f>RANK(B296,$B$2:$B$551,1)</f>
        <v>294</v>
      </c>
      <c r="B296" s="46">
        <f>AVERAGE(G296,I296,J296)</f>
        <v>302.33333333333331</v>
      </c>
      <c r="C296" s="31" t="s">
        <v>105</v>
      </c>
      <c r="D296" s="66">
        <v>189.666025369979</v>
      </c>
      <c r="E296" s="66">
        <v>70.829545454545496</v>
      </c>
      <c r="F296" s="66">
        <v>1618.18748742653</v>
      </c>
      <c r="G296" s="33">
        <v>242</v>
      </c>
      <c r="H296" s="32">
        <v>116.61</v>
      </c>
      <c r="I296" s="34">
        <v>148</v>
      </c>
      <c r="J296" s="34">
        <v>517</v>
      </c>
      <c r="K296" s="35">
        <v>-2.4144460976599502</v>
      </c>
      <c r="L296" s="34" t="s">
        <v>39</v>
      </c>
      <c r="M296" s="31" t="s">
        <v>571</v>
      </c>
      <c r="N296" s="31" t="s">
        <v>13</v>
      </c>
      <c r="O296" s="31" t="s">
        <v>4</v>
      </c>
      <c r="P296" s="31" t="s">
        <v>3</v>
      </c>
      <c r="Q296" s="36"/>
    </row>
    <row r="297" spans="1:17" x14ac:dyDescent="0.2">
      <c r="A297" s="30">
        <f>RANK(B297,$B$2:$B$551,1)</f>
        <v>296</v>
      </c>
      <c r="B297" s="46">
        <f>AVERAGE(G297,I297,J297)</f>
        <v>302.66666666666669</v>
      </c>
      <c r="C297" s="31" t="s">
        <v>691</v>
      </c>
      <c r="D297" s="66">
        <v>266.61966292134798</v>
      </c>
      <c r="E297" s="66">
        <v>0</v>
      </c>
      <c r="F297" s="66">
        <v>1800.5292438023901</v>
      </c>
      <c r="G297" s="33">
        <v>370</v>
      </c>
      <c r="H297" s="32">
        <v>116.13</v>
      </c>
      <c r="I297" s="34">
        <v>232</v>
      </c>
      <c r="J297" s="34">
        <v>306</v>
      </c>
      <c r="K297" s="35">
        <v>-0.20869720192479099</v>
      </c>
      <c r="L297" s="34" t="s">
        <v>5</v>
      </c>
      <c r="M297" s="31" t="s">
        <v>690</v>
      </c>
      <c r="N297" s="31" t="s">
        <v>13</v>
      </c>
      <c r="O297" s="31" t="s">
        <v>4</v>
      </c>
      <c r="P297" s="31" t="s">
        <v>3</v>
      </c>
      <c r="Q297" s="36"/>
    </row>
    <row r="298" spans="1:17" x14ac:dyDescent="0.2">
      <c r="A298" s="30">
        <f>RANK(B298,$B$2:$B$551,1)</f>
        <v>297</v>
      </c>
      <c r="B298" s="46">
        <f>AVERAGE(G298,I298,J298)</f>
        <v>303.66666666666669</v>
      </c>
      <c r="C298" s="31" t="s">
        <v>592</v>
      </c>
      <c r="D298" s="66">
        <v>210.40773750425001</v>
      </c>
      <c r="E298" s="66">
        <v>0</v>
      </c>
      <c r="F298" s="66">
        <v>1791.1152101216401</v>
      </c>
      <c r="G298" s="33">
        <v>452</v>
      </c>
      <c r="H298" s="32">
        <v>115.35</v>
      </c>
      <c r="I298" s="34">
        <v>348</v>
      </c>
      <c r="J298" s="34">
        <v>111</v>
      </c>
      <c r="K298" s="35">
        <v>1.2936262085797401</v>
      </c>
      <c r="L298" s="34" t="s">
        <v>26</v>
      </c>
      <c r="M298" s="31" t="s">
        <v>1031</v>
      </c>
      <c r="N298" s="31" t="s">
        <v>71</v>
      </c>
      <c r="O298" s="31" t="s">
        <v>4</v>
      </c>
      <c r="P298" s="31" t="s">
        <v>3</v>
      </c>
      <c r="Q298" s="36"/>
    </row>
    <row r="299" spans="1:17" x14ac:dyDescent="0.2">
      <c r="A299" s="30">
        <f>RANK(B299,$B$2:$B$551,1)</f>
        <v>298</v>
      </c>
      <c r="B299" s="46">
        <f>AVERAGE(G299,I299,J299)</f>
        <v>305.33333333333331</v>
      </c>
      <c r="C299" s="31" t="s">
        <v>258</v>
      </c>
      <c r="D299" s="66">
        <v>1050.91256313131</v>
      </c>
      <c r="E299" s="66">
        <v>266.69949494949498</v>
      </c>
      <c r="F299" s="66">
        <v>3216.2989267676799</v>
      </c>
      <c r="G299" s="33">
        <v>26</v>
      </c>
      <c r="H299" s="32">
        <v>115.33</v>
      </c>
      <c r="I299" s="34">
        <v>356</v>
      </c>
      <c r="J299" s="34">
        <v>534</v>
      </c>
      <c r="K299" s="35">
        <v>-2.9598134194474301</v>
      </c>
      <c r="L299" s="34" t="s">
        <v>39</v>
      </c>
      <c r="M299" s="31" t="s">
        <v>257</v>
      </c>
      <c r="N299" s="31" t="s">
        <v>112</v>
      </c>
      <c r="O299" s="31" t="s">
        <v>4</v>
      </c>
      <c r="P299" s="31" t="s">
        <v>3</v>
      </c>
      <c r="Q299" s="36"/>
    </row>
    <row r="300" spans="1:17" x14ac:dyDescent="0.2">
      <c r="A300" s="30">
        <f>RANK(B300,$B$2:$B$551,1)</f>
        <v>298</v>
      </c>
      <c r="B300" s="46">
        <f>AVERAGE(G300,I300,J300)</f>
        <v>305.33333333333331</v>
      </c>
      <c r="C300" s="31" t="s">
        <v>412</v>
      </c>
      <c r="D300" s="66">
        <v>138.23787709497199</v>
      </c>
      <c r="E300" s="66">
        <v>0</v>
      </c>
      <c r="F300" s="66">
        <v>1655.01620111732</v>
      </c>
      <c r="G300" s="33">
        <v>530</v>
      </c>
      <c r="H300" s="32">
        <v>117.22</v>
      </c>
      <c r="I300" s="34">
        <v>68</v>
      </c>
      <c r="J300" s="34">
        <v>318</v>
      </c>
      <c r="K300" s="35">
        <v>-0.27772340585711103</v>
      </c>
      <c r="L300" s="34" t="s">
        <v>5</v>
      </c>
      <c r="M300" s="31" t="s">
        <v>411</v>
      </c>
      <c r="N300" s="31" t="s">
        <v>413</v>
      </c>
      <c r="O300" s="31" t="s">
        <v>4</v>
      </c>
      <c r="P300" s="31" t="s">
        <v>3</v>
      </c>
      <c r="Q300" s="36"/>
    </row>
    <row r="301" spans="1:17" x14ac:dyDescent="0.2">
      <c r="A301" s="30">
        <f>RANK(B301,$B$2:$B$551,1)</f>
        <v>300</v>
      </c>
      <c r="B301" s="46">
        <f>AVERAGE(G301,I301,J301)</f>
        <v>305.66666666666669</v>
      </c>
      <c r="C301" s="31" t="s">
        <v>400</v>
      </c>
      <c r="D301" s="66">
        <v>674.51772929187302</v>
      </c>
      <c r="E301" s="66">
        <v>46.710674157303401</v>
      </c>
      <c r="F301" s="66">
        <v>2621.5926787942299</v>
      </c>
      <c r="G301" s="33">
        <v>127</v>
      </c>
      <c r="H301" s="32">
        <v>115.5</v>
      </c>
      <c r="I301" s="34">
        <v>331</v>
      </c>
      <c r="J301" s="34">
        <v>459</v>
      </c>
      <c r="K301" s="35">
        <v>-1.3908182683158901</v>
      </c>
      <c r="L301" s="34" t="s">
        <v>20</v>
      </c>
      <c r="M301" s="31" t="s">
        <v>399</v>
      </c>
      <c r="N301" s="31" t="s">
        <v>112</v>
      </c>
      <c r="O301" s="31" t="s">
        <v>4</v>
      </c>
      <c r="P301" s="31" t="s">
        <v>3</v>
      </c>
      <c r="Q301" s="36"/>
    </row>
    <row r="302" spans="1:17" x14ac:dyDescent="0.2">
      <c r="A302" s="30">
        <f>RANK(B302,$B$2:$B$551,1)</f>
        <v>301</v>
      </c>
      <c r="B302" s="46">
        <f>AVERAGE(G302,I302,J302)</f>
        <v>306.33333333333331</v>
      </c>
      <c r="C302" s="31" t="s">
        <v>1108</v>
      </c>
      <c r="D302" s="66">
        <v>280.14269480519499</v>
      </c>
      <c r="E302" s="66">
        <v>32.737499999999997</v>
      </c>
      <c r="F302" s="66">
        <v>1897.17931192424</v>
      </c>
      <c r="G302" s="33">
        <v>286</v>
      </c>
      <c r="H302" s="32">
        <v>114.17</v>
      </c>
      <c r="I302" s="34">
        <v>477</v>
      </c>
      <c r="J302" s="34">
        <v>156</v>
      </c>
      <c r="K302" s="35">
        <v>0.86183136899365398</v>
      </c>
      <c r="L302" s="34" t="s">
        <v>5</v>
      </c>
      <c r="M302" s="31" t="s">
        <v>1107</v>
      </c>
      <c r="N302" s="31" t="s">
        <v>143</v>
      </c>
      <c r="O302" s="31" t="s">
        <v>4</v>
      </c>
      <c r="P302" s="31" t="s">
        <v>3</v>
      </c>
      <c r="Q302" s="36"/>
    </row>
    <row r="303" spans="1:17" x14ac:dyDescent="0.2">
      <c r="A303" s="30">
        <f>RANK(B303,$B$2:$B$551,1)</f>
        <v>301</v>
      </c>
      <c r="B303" s="46">
        <f>AVERAGE(G303,I303,J303)</f>
        <v>306.33333333333331</v>
      </c>
      <c r="C303" s="31" t="s">
        <v>1125</v>
      </c>
      <c r="D303" s="66">
        <v>130.10465116279099</v>
      </c>
      <c r="E303" s="66">
        <v>16</v>
      </c>
      <c r="F303" s="66">
        <v>1028.4974493623399</v>
      </c>
      <c r="G303" s="33">
        <v>343</v>
      </c>
      <c r="H303" s="32">
        <v>113.86</v>
      </c>
      <c r="I303" s="34">
        <v>494</v>
      </c>
      <c r="J303" s="34">
        <v>82</v>
      </c>
      <c r="K303" s="35">
        <v>1.60315596674964</v>
      </c>
      <c r="L303" s="34" t="s">
        <v>26</v>
      </c>
      <c r="M303" s="31" t="s">
        <v>1124</v>
      </c>
      <c r="N303" s="31" t="s">
        <v>836</v>
      </c>
      <c r="O303" s="31" t="s">
        <v>4</v>
      </c>
      <c r="P303" s="31" t="s">
        <v>3</v>
      </c>
      <c r="Q303" s="36"/>
    </row>
    <row r="304" spans="1:17" x14ac:dyDescent="0.2">
      <c r="A304" s="30">
        <f>RANK(B304,$B$2:$B$551,1)</f>
        <v>303</v>
      </c>
      <c r="B304" s="46">
        <f>AVERAGE(G304,I304,J304)</f>
        <v>307</v>
      </c>
      <c r="C304" s="31" t="s">
        <v>331</v>
      </c>
      <c r="D304" s="66">
        <v>193.821311802233</v>
      </c>
      <c r="E304" s="66">
        <v>0</v>
      </c>
      <c r="F304" s="66">
        <v>1778.0691559161201</v>
      </c>
      <c r="G304" s="33">
        <v>474</v>
      </c>
      <c r="H304" s="32">
        <v>116.41</v>
      </c>
      <c r="I304" s="34">
        <v>184</v>
      </c>
      <c r="J304" s="34">
        <v>263</v>
      </c>
      <c r="K304" s="35">
        <v>3.6957123098201899E-2</v>
      </c>
      <c r="L304" s="34" t="s">
        <v>5</v>
      </c>
      <c r="M304" s="31" t="s">
        <v>481</v>
      </c>
      <c r="N304" s="31" t="s">
        <v>97</v>
      </c>
      <c r="O304" s="31" t="s">
        <v>4</v>
      </c>
      <c r="P304" s="31" t="s">
        <v>3</v>
      </c>
      <c r="Q304" s="36"/>
    </row>
    <row r="305" spans="1:17" x14ac:dyDescent="0.2">
      <c r="A305" s="30">
        <f>RANK(B305,$B$2:$B$551,1)</f>
        <v>304</v>
      </c>
      <c r="B305" s="46">
        <f>AVERAGE(G305,I305,J305)</f>
        <v>307.66666666666669</v>
      </c>
      <c r="C305" s="31" t="s">
        <v>907</v>
      </c>
      <c r="D305" s="66">
        <v>122.658959537572</v>
      </c>
      <c r="E305" s="66">
        <v>33</v>
      </c>
      <c r="F305" s="66">
        <v>978.13676168957204</v>
      </c>
      <c r="G305" s="33">
        <v>261</v>
      </c>
      <c r="H305" s="32">
        <v>115.56</v>
      </c>
      <c r="I305" s="34">
        <v>324</v>
      </c>
      <c r="J305" s="34">
        <v>338</v>
      </c>
      <c r="K305" s="35">
        <v>-0.45964739762590401</v>
      </c>
      <c r="L305" s="34" t="s">
        <v>5</v>
      </c>
      <c r="M305" s="31" t="s">
        <v>906</v>
      </c>
      <c r="N305" s="31" t="s">
        <v>437</v>
      </c>
      <c r="O305" s="31" t="s">
        <v>4</v>
      </c>
      <c r="P305" s="31" t="s">
        <v>3</v>
      </c>
      <c r="Q305" s="36"/>
    </row>
    <row r="306" spans="1:17" x14ac:dyDescent="0.2">
      <c r="A306" s="30">
        <f>RANK(B306,$B$2:$B$551,1)</f>
        <v>304</v>
      </c>
      <c r="B306" s="46">
        <f>AVERAGE(G306,I306,J306)</f>
        <v>307.66666666666669</v>
      </c>
      <c r="C306" s="31" t="s">
        <v>131</v>
      </c>
      <c r="D306" s="66">
        <v>264.10968477144303</v>
      </c>
      <c r="E306" s="66">
        <v>0</v>
      </c>
      <c r="F306" s="66">
        <v>1737.7782464162201</v>
      </c>
      <c r="G306" s="33">
        <v>362</v>
      </c>
      <c r="H306" s="32">
        <v>115.42</v>
      </c>
      <c r="I306" s="34">
        <v>343</v>
      </c>
      <c r="J306" s="34">
        <v>218</v>
      </c>
      <c r="K306" s="35">
        <v>0.31881572078454801</v>
      </c>
      <c r="L306" s="34" t="s">
        <v>5</v>
      </c>
      <c r="M306" s="31" t="s">
        <v>130</v>
      </c>
      <c r="N306" s="31" t="s">
        <v>81</v>
      </c>
      <c r="O306" s="31" t="s">
        <v>4</v>
      </c>
      <c r="P306" s="31" t="s">
        <v>3</v>
      </c>
      <c r="Q306" s="36"/>
    </row>
    <row r="307" spans="1:17" x14ac:dyDescent="0.2">
      <c r="A307" s="30">
        <f>RANK(B307,$B$2:$B$551,1)</f>
        <v>306</v>
      </c>
      <c r="B307" s="46">
        <f>AVERAGE(G307,I307,J307)</f>
        <v>308</v>
      </c>
      <c r="C307" s="31" t="s">
        <v>792</v>
      </c>
      <c r="D307" s="66">
        <v>119.604719101124</v>
      </c>
      <c r="E307" s="66">
        <v>3.97752808988764</v>
      </c>
      <c r="F307" s="66">
        <v>1778.5039887640501</v>
      </c>
      <c r="G307" s="33">
        <v>550</v>
      </c>
      <c r="H307" s="32">
        <v>115.57</v>
      </c>
      <c r="I307" s="34">
        <v>322</v>
      </c>
      <c r="J307" s="34">
        <v>52</v>
      </c>
      <c r="K307" s="35">
        <v>2.1581196581196598</v>
      </c>
      <c r="L307" s="34" t="s">
        <v>56</v>
      </c>
      <c r="M307" s="31" t="s">
        <v>791</v>
      </c>
      <c r="N307" s="31" t="s">
        <v>413</v>
      </c>
      <c r="O307" s="31" t="s">
        <v>4</v>
      </c>
      <c r="P307" s="31" t="s">
        <v>3</v>
      </c>
      <c r="Q307" s="36"/>
    </row>
    <row r="308" spans="1:17" x14ac:dyDescent="0.2">
      <c r="A308" s="30">
        <f>RANK(B308,$B$2:$B$551,1)</f>
        <v>307</v>
      </c>
      <c r="B308" s="46">
        <f>AVERAGE(G308,I308,J308)</f>
        <v>309</v>
      </c>
      <c r="C308" s="31" t="s">
        <v>673</v>
      </c>
      <c r="D308" s="66">
        <v>86.064536340852101</v>
      </c>
      <c r="E308" s="66">
        <v>27</v>
      </c>
      <c r="F308" s="66">
        <v>890.67062905920704</v>
      </c>
      <c r="G308" s="33">
        <v>335</v>
      </c>
      <c r="H308" s="32">
        <v>112.77</v>
      </c>
      <c r="I308" s="34">
        <v>548</v>
      </c>
      <c r="J308" s="34">
        <v>44</v>
      </c>
      <c r="K308" s="35">
        <v>2.28827071981646</v>
      </c>
      <c r="L308" s="34" t="s">
        <v>56</v>
      </c>
      <c r="M308" s="31" t="s">
        <v>672</v>
      </c>
      <c r="N308" s="31" t="s">
        <v>460</v>
      </c>
      <c r="O308" s="31" t="s">
        <v>4</v>
      </c>
      <c r="P308" s="31" t="s">
        <v>3</v>
      </c>
      <c r="Q308" s="36"/>
    </row>
    <row r="309" spans="1:17" x14ac:dyDescent="0.2">
      <c r="A309" s="30">
        <f>RANK(B309,$B$2:$B$551,1)</f>
        <v>307</v>
      </c>
      <c r="B309" s="46">
        <f>AVERAGE(G309,I309,J309)</f>
        <v>309</v>
      </c>
      <c r="C309" s="31" t="s">
        <v>634</v>
      </c>
      <c r="D309" s="66">
        <v>50.0409356725146</v>
      </c>
      <c r="E309" s="66">
        <v>21</v>
      </c>
      <c r="F309" s="66">
        <v>1665.34374269006</v>
      </c>
      <c r="G309" s="33">
        <v>577</v>
      </c>
      <c r="H309" s="32">
        <v>115.58</v>
      </c>
      <c r="I309" s="34">
        <v>321</v>
      </c>
      <c r="J309" s="34">
        <v>29</v>
      </c>
      <c r="K309" s="35">
        <v>2.6621691113450998</v>
      </c>
      <c r="L309" s="34" t="s">
        <v>56</v>
      </c>
      <c r="M309" s="31" t="s">
        <v>633</v>
      </c>
      <c r="N309" s="31" t="s">
        <v>516</v>
      </c>
      <c r="O309" s="31" t="s">
        <v>4</v>
      </c>
      <c r="P309" s="31" t="s">
        <v>3</v>
      </c>
      <c r="Q309" s="36"/>
    </row>
    <row r="310" spans="1:17" x14ac:dyDescent="0.2">
      <c r="A310" s="30">
        <f>RANK(B310,$B$2:$B$551,1)</f>
        <v>309</v>
      </c>
      <c r="B310" s="46">
        <f>AVERAGE(G310,I310,J310)</f>
        <v>311</v>
      </c>
      <c r="C310" s="31" t="s">
        <v>480</v>
      </c>
      <c r="D310" s="66">
        <v>317.13818501021501</v>
      </c>
      <c r="E310" s="66">
        <v>128.711460674157</v>
      </c>
      <c r="F310" s="66">
        <v>2126.43361834905</v>
      </c>
      <c r="G310" s="33">
        <v>140</v>
      </c>
      <c r="H310" s="32">
        <v>115.24</v>
      </c>
      <c r="I310" s="34">
        <v>366</v>
      </c>
      <c r="J310" s="34">
        <v>427</v>
      </c>
      <c r="K310" s="35">
        <v>-1.14079962222572</v>
      </c>
      <c r="L310" s="34" t="s">
        <v>20</v>
      </c>
      <c r="M310" s="31" t="s">
        <v>479</v>
      </c>
      <c r="N310" s="31" t="s">
        <v>106</v>
      </c>
      <c r="O310" s="31" t="s">
        <v>4</v>
      </c>
      <c r="P310" s="31" t="s">
        <v>3</v>
      </c>
      <c r="Q310" s="36"/>
    </row>
    <row r="311" spans="1:17" x14ac:dyDescent="0.2">
      <c r="A311" s="30">
        <f>RANK(B311,$B$2:$B$551,1)</f>
        <v>309</v>
      </c>
      <c r="B311" s="46">
        <f>AVERAGE(G311,I311,J311)</f>
        <v>311</v>
      </c>
      <c r="C311" s="31" t="s">
        <v>540</v>
      </c>
      <c r="D311" s="66">
        <v>397.36781609195401</v>
      </c>
      <c r="E311" s="66">
        <v>13</v>
      </c>
      <c r="F311" s="66">
        <v>1618.3286614757101</v>
      </c>
      <c r="G311" s="33">
        <v>170</v>
      </c>
      <c r="H311" s="32">
        <v>114.33</v>
      </c>
      <c r="I311" s="34">
        <v>467</v>
      </c>
      <c r="J311" s="34">
        <v>296</v>
      </c>
      <c r="K311" s="35">
        <v>-0.13795103840352699</v>
      </c>
      <c r="L311" s="34" t="s">
        <v>5</v>
      </c>
      <c r="M311" s="31" t="s">
        <v>539</v>
      </c>
      <c r="N311" s="31" t="s">
        <v>448</v>
      </c>
      <c r="O311" s="31" t="s">
        <v>4</v>
      </c>
      <c r="P311" s="31" t="s">
        <v>3</v>
      </c>
      <c r="Q311" s="36"/>
    </row>
    <row r="312" spans="1:17" x14ac:dyDescent="0.2">
      <c r="A312" s="30">
        <f>RANK(B312,$B$2:$B$551,1)</f>
        <v>311</v>
      </c>
      <c r="B312" s="46">
        <f>AVERAGE(G312,I312,J312)</f>
        <v>312.33333333333331</v>
      </c>
      <c r="C312" s="31" t="s">
        <v>439</v>
      </c>
      <c r="D312" s="66">
        <v>772.40800000000002</v>
      </c>
      <c r="E312" s="66">
        <v>330.665142857143</v>
      </c>
      <c r="F312" s="66">
        <v>3822.7974047619</v>
      </c>
      <c r="G312" s="33">
        <v>51</v>
      </c>
      <c r="H312" s="32">
        <v>114.99</v>
      </c>
      <c r="I312" s="34">
        <v>405</v>
      </c>
      <c r="J312" s="34">
        <v>481</v>
      </c>
      <c r="K312" s="35">
        <v>-1.66522864538395</v>
      </c>
      <c r="L312" s="34" t="s">
        <v>20</v>
      </c>
      <c r="M312" s="31" t="s">
        <v>438</v>
      </c>
      <c r="N312" s="31" t="s">
        <v>125</v>
      </c>
      <c r="O312" s="31" t="s">
        <v>4</v>
      </c>
      <c r="P312" s="31" t="s">
        <v>3</v>
      </c>
      <c r="Q312" s="36"/>
    </row>
    <row r="313" spans="1:17" x14ac:dyDescent="0.2">
      <c r="A313" s="30">
        <f>RANK(B313,$B$2:$B$551,1)</f>
        <v>311</v>
      </c>
      <c r="B313" s="46">
        <f>AVERAGE(G313,I313,J313)</f>
        <v>312.33333333333331</v>
      </c>
      <c r="C313" s="31" t="s">
        <v>83</v>
      </c>
      <c r="D313" s="66">
        <v>143.98123595505601</v>
      </c>
      <c r="E313" s="66">
        <v>25.561797752808999</v>
      </c>
      <c r="F313" s="66">
        <v>1496.3241573033699</v>
      </c>
      <c r="G313" s="33">
        <v>405</v>
      </c>
      <c r="H313" s="32">
        <v>116.23</v>
      </c>
      <c r="I313" s="34">
        <v>209</v>
      </c>
      <c r="J313" s="34">
        <v>323</v>
      </c>
      <c r="K313" s="35">
        <v>-0.29353562005277001</v>
      </c>
      <c r="L313" s="34" t="s">
        <v>5</v>
      </c>
      <c r="M313" s="31" t="s">
        <v>758</v>
      </c>
      <c r="N313" s="31" t="s">
        <v>60</v>
      </c>
      <c r="O313" s="31" t="s">
        <v>4</v>
      </c>
      <c r="P313" s="31" t="s">
        <v>3</v>
      </c>
      <c r="Q313" s="36"/>
    </row>
    <row r="314" spans="1:17" x14ac:dyDescent="0.2">
      <c r="A314" s="30">
        <f>RANK(B314,$B$2:$B$551,1)</f>
        <v>313</v>
      </c>
      <c r="B314" s="46">
        <f>AVERAGE(G314,I314,J314)</f>
        <v>312.66666666666669</v>
      </c>
      <c r="C314" s="31" t="s">
        <v>343</v>
      </c>
      <c r="D314" s="66">
        <v>307.97126436781599</v>
      </c>
      <c r="E314" s="66">
        <v>64.821839080459796</v>
      </c>
      <c r="F314" s="66">
        <v>7245.39632183908</v>
      </c>
      <c r="G314" s="33">
        <v>567</v>
      </c>
      <c r="H314" s="32">
        <v>117.44</v>
      </c>
      <c r="I314" s="34">
        <v>51</v>
      </c>
      <c r="J314" s="34">
        <v>320</v>
      </c>
      <c r="K314" s="35">
        <v>-0.28463620703797898</v>
      </c>
      <c r="L314" s="34" t="s">
        <v>5</v>
      </c>
      <c r="M314" s="31" t="s">
        <v>342</v>
      </c>
      <c r="N314" s="31" t="s">
        <v>94</v>
      </c>
      <c r="O314" s="31" t="s">
        <v>4</v>
      </c>
      <c r="P314" s="31" t="s">
        <v>3</v>
      </c>
      <c r="Q314" s="36"/>
    </row>
    <row r="315" spans="1:17" x14ac:dyDescent="0.2">
      <c r="A315" s="30">
        <f>RANK(B315,$B$2:$B$551,1)</f>
        <v>314</v>
      </c>
      <c r="B315" s="46">
        <f>AVERAGE(G315,I315,J315)</f>
        <v>313.33333333333331</v>
      </c>
      <c r="C315" s="31" t="s">
        <v>1039</v>
      </c>
      <c r="D315" s="66">
        <v>120.212171428571</v>
      </c>
      <c r="E315" s="66">
        <v>0</v>
      </c>
      <c r="F315" s="66">
        <v>1214.44320921659</v>
      </c>
      <c r="G315" s="33">
        <v>499</v>
      </c>
      <c r="H315" s="32">
        <v>116.47</v>
      </c>
      <c r="I315" s="34">
        <v>176</v>
      </c>
      <c r="J315" s="34">
        <v>265</v>
      </c>
      <c r="K315" s="35">
        <v>1.54173655012256E-2</v>
      </c>
      <c r="L315" s="34" t="s">
        <v>5</v>
      </c>
      <c r="M315" s="31" t="s">
        <v>1038</v>
      </c>
      <c r="N315" s="31" t="s">
        <v>8</v>
      </c>
      <c r="O315" s="31" t="s">
        <v>4</v>
      </c>
      <c r="P315" s="31" t="s">
        <v>3</v>
      </c>
      <c r="Q315" s="36"/>
    </row>
    <row r="316" spans="1:17" x14ac:dyDescent="0.2">
      <c r="A316" s="30">
        <f>RANK(B316,$B$2:$B$551,1)</f>
        <v>315</v>
      </c>
      <c r="B316" s="46">
        <f>AVERAGE(G316,I316,J316)</f>
        <v>314</v>
      </c>
      <c r="C316" s="31" t="s">
        <v>223</v>
      </c>
      <c r="D316" s="66">
        <v>208.89694444444399</v>
      </c>
      <c r="E316" s="66">
        <v>58.844444444444399</v>
      </c>
      <c r="F316" s="66">
        <v>1617.9572777777801</v>
      </c>
      <c r="G316" s="33">
        <v>247</v>
      </c>
      <c r="H316" s="32">
        <v>112.24</v>
      </c>
      <c r="I316" s="34">
        <v>559</v>
      </c>
      <c r="J316" s="34">
        <v>136</v>
      </c>
      <c r="K316" s="35">
        <v>1.0384016201900601</v>
      </c>
      <c r="L316" s="34" t="s">
        <v>26</v>
      </c>
      <c r="M316" s="31" t="s">
        <v>222</v>
      </c>
      <c r="N316" s="31" t="s">
        <v>81</v>
      </c>
      <c r="O316" s="31" t="s">
        <v>4</v>
      </c>
      <c r="P316" s="31" t="s">
        <v>3</v>
      </c>
      <c r="Q316" s="36"/>
    </row>
    <row r="317" spans="1:17" x14ac:dyDescent="0.2">
      <c r="A317" s="30">
        <f>RANK(B317,$B$2:$B$551,1)</f>
        <v>316</v>
      </c>
      <c r="B317" s="46">
        <f>AVERAGE(G317,I317,J317)</f>
        <v>314.33333333333331</v>
      </c>
      <c r="C317" s="31" t="s">
        <v>213</v>
      </c>
      <c r="D317" s="66">
        <v>1491.54317167004</v>
      </c>
      <c r="E317" s="66">
        <v>259.68882783882799</v>
      </c>
      <c r="F317" s="66">
        <v>5426.2563832102096</v>
      </c>
      <c r="G317" s="33">
        <v>67</v>
      </c>
      <c r="H317" s="32">
        <v>114.97</v>
      </c>
      <c r="I317" s="34">
        <v>408</v>
      </c>
      <c r="J317" s="34">
        <v>468</v>
      </c>
      <c r="K317" s="35">
        <v>-1.46479146459748</v>
      </c>
      <c r="L317" s="34" t="s">
        <v>20</v>
      </c>
      <c r="M317" s="31" t="s">
        <v>212</v>
      </c>
      <c r="N317" s="31" t="s">
        <v>55</v>
      </c>
      <c r="O317" s="31" t="s">
        <v>4</v>
      </c>
      <c r="P317" s="31" t="s">
        <v>3</v>
      </c>
      <c r="Q317" s="36"/>
    </row>
    <row r="318" spans="1:17" x14ac:dyDescent="0.2">
      <c r="A318" s="30">
        <f>RANK(B318,$B$2:$B$551,1)</f>
        <v>316</v>
      </c>
      <c r="B318" s="46">
        <f>AVERAGE(G318,I318,J318)</f>
        <v>314.33333333333331</v>
      </c>
      <c r="C318" s="31" t="s">
        <v>349</v>
      </c>
      <c r="D318" s="66">
        <v>281.53819976883102</v>
      </c>
      <c r="E318" s="66">
        <v>68.756983240223406</v>
      </c>
      <c r="F318" s="66">
        <v>2450.3196658402899</v>
      </c>
      <c r="G318" s="33">
        <v>305</v>
      </c>
      <c r="H318" s="32">
        <v>115.63</v>
      </c>
      <c r="I318" s="34">
        <v>317</v>
      </c>
      <c r="J318" s="34">
        <v>321</v>
      </c>
      <c r="K318" s="35">
        <v>-0.28653146125845003</v>
      </c>
      <c r="L318" s="34" t="s">
        <v>5</v>
      </c>
      <c r="M318" s="31" t="s">
        <v>348</v>
      </c>
      <c r="N318" s="31" t="s">
        <v>16</v>
      </c>
      <c r="O318" s="31" t="s">
        <v>4</v>
      </c>
      <c r="P318" s="31" t="s">
        <v>3</v>
      </c>
      <c r="Q318" s="36"/>
    </row>
    <row r="319" spans="1:17" x14ac:dyDescent="0.2">
      <c r="A319" s="30">
        <f>RANK(B319,$B$2:$B$551,1)</f>
        <v>316</v>
      </c>
      <c r="B319" s="46">
        <f>AVERAGE(G319,I319,J319)</f>
        <v>314.33333333333331</v>
      </c>
      <c r="C319" s="31" t="s">
        <v>953</v>
      </c>
      <c r="D319" s="66">
        <v>185.29595544078799</v>
      </c>
      <c r="E319" s="66">
        <v>0</v>
      </c>
      <c r="F319" s="66">
        <v>1362.3989074385499</v>
      </c>
      <c r="G319" s="33">
        <v>400</v>
      </c>
      <c r="H319" s="32">
        <v>115.6</v>
      </c>
      <c r="I319" s="34">
        <v>319</v>
      </c>
      <c r="J319" s="34">
        <v>224</v>
      </c>
      <c r="K319" s="35">
        <v>0.30131945067767701</v>
      </c>
      <c r="L319" s="34" t="s">
        <v>5</v>
      </c>
      <c r="M319" s="31" t="s">
        <v>952</v>
      </c>
      <c r="N319" s="31" t="s">
        <v>32</v>
      </c>
      <c r="O319" s="31" t="s">
        <v>4</v>
      </c>
      <c r="P319" s="31" t="s">
        <v>3</v>
      </c>
      <c r="Q319" s="36"/>
    </row>
    <row r="320" spans="1:17" x14ac:dyDescent="0.2">
      <c r="A320" s="30">
        <f>RANK(B320,$B$2:$B$551,1)</f>
        <v>316</v>
      </c>
      <c r="B320" s="46">
        <f>AVERAGE(G320,I320,J320)</f>
        <v>314.33333333333331</v>
      </c>
      <c r="C320" s="31" t="s">
        <v>949</v>
      </c>
      <c r="D320" s="66">
        <v>87.847191011235907</v>
      </c>
      <c r="E320" s="66">
        <v>0</v>
      </c>
      <c r="F320" s="66">
        <v>1269.4204041319299</v>
      </c>
      <c r="G320" s="33">
        <v>553</v>
      </c>
      <c r="H320" s="32">
        <v>115.84</v>
      </c>
      <c r="I320" s="34">
        <v>280</v>
      </c>
      <c r="J320" s="34">
        <v>110</v>
      </c>
      <c r="K320" s="35">
        <v>1.2984236762922701</v>
      </c>
      <c r="L320" s="34" t="s">
        <v>26</v>
      </c>
      <c r="M320" s="31" t="s">
        <v>948</v>
      </c>
      <c r="N320" s="31" t="s">
        <v>356</v>
      </c>
      <c r="O320" s="31" t="s">
        <v>4</v>
      </c>
      <c r="P320" s="31" t="s">
        <v>3</v>
      </c>
      <c r="Q320" s="36"/>
    </row>
    <row r="321" spans="1:17" x14ac:dyDescent="0.2">
      <c r="A321" s="30">
        <f>RANK(B321,$B$2:$B$551,1)</f>
        <v>320</v>
      </c>
      <c r="B321" s="46">
        <f>AVERAGE(G321,I321,J321)</f>
        <v>314.66666666666669</v>
      </c>
      <c r="C321" s="31" t="s">
        <v>778</v>
      </c>
      <c r="D321" s="66">
        <v>215.143008101444</v>
      </c>
      <c r="E321" s="66">
        <v>109.264705882353</v>
      </c>
      <c r="F321" s="66">
        <v>2030.33492597348</v>
      </c>
      <c r="G321" s="33">
        <v>223</v>
      </c>
      <c r="H321" s="32">
        <v>115.65</v>
      </c>
      <c r="I321" s="34">
        <v>309</v>
      </c>
      <c r="J321" s="34">
        <v>412</v>
      </c>
      <c r="K321" s="35">
        <v>-1.07689559065247</v>
      </c>
      <c r="L321" s="34" t="s">
        <v>20</v>
      </c>
      <c r="M321" s="31" t="s">
        <v>777</v>
      </c>
      <c r="N321" s="31" t="s">
        <v>370</v>
      </c>
      <c r="O321" s="31" t="s">
        <v>4</v>
      </c>
      <c r="P321" s="31" t="s">
        <v>3</v>
      </c>
      <c r="Q321" s="36"/>
    </row>
    <row r="322" spans="1:17" x14ac:dyDescent="0.2">
      <c r="A322" s="30">
        <f>RANK(B322,$B$2:$B$551,1)</f>
        <v>321</v>
      </c>
      <c r="B322" s="46">
        <f>AVERAGE(G322,I322,J322)</f>
        <v>316</v>
      </c>
      <c r="C322" s="31" t="s">
        <v>833</v>
      </c>
      <c r="D322" s="66">
        <v>125.470170454545</v>
      </c>
      <c r="E322" s="66">
        <v>8.8977272727272805</v>
      </c>
      <c r="F322" s="66">
        <v>1013.29966092375</v>
      </c>
      <c r="G322" s="33">
        <v>385</v>
      </c>
      <c r="H322" s="32">
        <v>116.61</v>
      </c>
      <c r="I322" s="34">
        <v>148</v>
      </c>
      <c r="J322" s="34">
        <v>415</v>
      </c>
      <c r="K322" s="35">
        <v>-1.0815157733976</v>
      </c>
      <c r="L322" s="34" t="s">
        <v>20</v>
      </c>
      <c r="M322" s="31" t="s">
        <v>832</v>
      </c>
      <c r="N322" s="31" t="s">
        <v>87</v>
      </c>
      <c r="O322" s="31" t="s">
        <v>4</v>
      </c>
      <c r="P322" s="31" t="s">
        <v>3</v>
      </c>
      <c r="Q322" s="36"/>
    </row>
    <row r="323" spans="1:17" x14ac:dyDescent="0.2">
      <c r="A323" s="30">
        <f>RANK(B323,$B$2:$B$551,1)</f>
        <v>322</v>
      </c>
      <c r="B323" s="46">
        <f>AVERAGE(G323,I323,J323)</f>
        <v>316.33333333333331</v>
      </c>
      <c r="C323" s="31" t="s">
        <v>1129</v>
      </c>
      <c r="D323" s="66">
        <v>151.086705202312</v>
      </c>
      <c r="E323" s="66">
        <v>61.069364161849698</v>
      </c>
      <c r="F323" s="66">
        <v>1224.3900511254999</v>
      </c>
      <c r="G323" s="33">
        <v>201</v>
      </c>
      <c r="H323" s="32">
        <v>115.33</v>
      </c>
      <c r="I323" s="34">
        <v>356</v>
      </c>
      <c r="J323" s="34">
        <v>392</v>
      </c>
      <c r="K323" s="35">
        <v>-0.93453560576033801</v>
      </c>
      <c r="L323" s="34" t="s">
        <v>5</v>
      </c>
      <c r="M323" s="31" t="s">
        <v>1128</v>
      </c>
      <c r="N323" s="31" t="s">
        <v>576</v>
      </c>
      <c r="O323" s="31" t="s">
        <v>4</v>
      </c>
      <c r="P323" s="31" t="s">
        <v>3</v>
      </c>
      <c r="Q323" s="36"/>
    </row>
    <row r="324" spans="1:17" x14ac:dyDescent="0.2">
      <c r="A324" s="30">
        <f>RANK(B324,$B$2:$B$551,1)</f>
        <v>323</v>
      </c>
      <c r="B324" s="46">
        <f>AVERAGE(G324,I324,J324)</f>
        <v>316.66666666666669</v>
      </c>
      <c r="C324" s="31" t="s">
        <v>729</v>
      </c>
      <c r="D324" s="66">
        <v>537.63638490164794</v>
      </c>
      <c r="E324" s="66">
        <v>59.869827219564002</v>
      </c>
      <c r="F324" s="66">
        <v>2862.2101089524299</v>
      </c>
      <c r="G324" s="33">
        <v>203</v>
      </c>
      <c r="H324" s="32">
        <v>115.39</v>
      </c>
      <c r="I324" s="34">
        <v>346</v>
      </c>
      <c r="J324" s="34">
        <v>401</v>
      </c>
      <c r="K324" s="35">
        <v>-0.99210953817591097</v>
      </c>
      <c r="L324" s="34" t="s">
        <v>5</v>
      </c>
      <c r="M324" s="31" t="s">
        <v>728</v>
      </c>
      <c r="N324" s="31" t="s">
        <v>140</v>
      </c>
      <c r="O324" s="31" t="s">
        <v>4</v>
      </c>
      <c r="P324" s="31" t="s">
        <v>3</v>
      </c>
      <c r="Q324" s="36"/>
    </row>
    <row r="325" spans="1:17" x14ac:dyDescent="0.2">
      <c r="A325" s="30">
        <f>RANK(B325,$B$2:$B$551,1)</f>
        <v>323</v>
      </c>
      <c r="B325" s="46">
        <f>AVERAGE(G325,I325,J325)</f>
        <v>316.66666666666669</v>
      </c>
      <c r="C325" s="31" t="s">
        <v>968</v>
      </c>
      <c r="D325" s="66">
        <v>177.86541992519599</v>
      </c>
      <c r="E325" s="66">
        <v>23.202312138728299</v>
      </c>
      <c r="F325" s="66">
        <v>1038.38773930307</v>
      </c>
      <c r="G325" s="33">
        <v>233</v>
      </c>
      <c r="H325" s="32">
        <v>114.47</v>
      </c>
      <c r="I325" s="34">
        <v>456</v>
      </c>
      <c r="J325" s="34">
        <v>261</v>
      </c>
      <c r="K325" s="35">
        <v>6.5892669672080503E-2</v>
      </c>
      <c r="L325" s="34" t="s">
        <v>5</v>
      </c>
      <c r="M325" s="31" t="s">
        <v>967</v>
      </c>
      <c r="N325" s="31" t="s">
        <v>166</v>
      </c>
      <c r="O325" s="31" t="s">
        <v>4</v>
      </c>
      <c r="P325" s="31" t="s">
        <v>3</v>
      </c>
      <c r="Q325" s="36"/>
    </row>
    <row r="326" spans="1:17" x14ac:dyDescent="0.2">
      <c r="A326" s="30">
        <f>RANK(B326,$B$2:$B$551,1)</f>
        <v>323</v>
      </c>
      <c r="B326" s="46">
        <f>AVERAGE(G326,I326,J326)</f>
        <v>316.66666666666669</v>
      </c>
      <c r="C326" s="31" t="s">
        <v>381</v>
      </c>
      <c r="D326" s="66">
        <v>200.12062663438201</v>
      </c>
      <c r="E326" s="66">
        <v>0</v>
      </c>
      <c r="F326" s="66">
        <v>1588.1607043218501</v>
      </c>
      <c r="G326" s="33">
        <v>436</v>
      </c>
      <c r="H326" s="32">
        <v>115.21</v>
      </c>
      <c r="I326" s="34">
        <v>372</v>
      </c>
      <c r="J326" s="34">
        <v>142</v>
      </c>
      <c r="K326" s="35">
        <v>0.96083981226039905</v>
      </c>
      <c r="L326" s="34" t="s">
        <v>5</v>
      </c>
      <c r="M326" s="31" t="s">
        <v>489</v>
      </c>
      <c r="N326" s="31" t="s">
        <v>490</v>
      </c>
      <c r="O326" s="31" t="s">
        <v>4</v>
      </c>
      <c r="P326" s="31" t="s">
        <v>3</v>
      </c>
      <c r="Q326" s="36"/>
    </row>
    <row r="327" spans="1:17" x14ac:dyDescent="0.2">
      <c r="A327" s="30">
        <f>RANK(B327,$B$2:$B$551,1)</f>
        <v>326</v>
      </c>
      <c r="B327" s="46">
        <f>AVERAGE(G327,I327,J327)</f>
        <v>317.66666666666669</v>
      </c>
      <c r="C327" s="31" t="s">
        <v>70</v>
      </c>
      <c r="D327" s="66">
        <v>682.13527038570203</v>
      </c>
      <c r="E327" s="66">
        <v>86.387640449438194</v>
      </c>
      <c r="F327" s="66">
        <v>3247.18999793491</v>
      </c>
      <c r="G327" s="33">
        <v>160</v>
      </c>
      <c r="H327" s="32">
        <v>114.9</v>
      </c>
      <c r="I327" s="34">
        <v>418</v>
      </c>
      <c r="J327" s="34">
        <v>375</v>
      </c>
      <c r="K327" s="35">
        <v>-0.84392228931478097</v>
      </c>
      <c r="L327" s="34" t="s">
        <v>5</v>
      </c>
      <c r="M327" s="31" t="s">
        <v>69</v>
      </c>
      <c r="N327" s="31" t="s">
        <v>71</v>
      </c>
      <c r="O327" s="31" t="s">
        <v>4</v>
      </c>
      <c r="P327" s="31" t="s">
        <v>3</v>
      </c>
      <c r="Q327" s="36"/>
    </row>
    <row r="328" spans="1:17" x14ac:dyDescent="0.2">
      <c r="A328" s="30">
        <f>RANK(B328,$B$2:$B$551,1)</f>
        <v>326</v>
      </c>
      <c r="B328" s="46">
        <f>AVERAGE(G328,I328,J328)</f>
        <v>317.66666666666669</v>
      </c>
      <c r="C328" s="31" t="s">
        <v>682</v>
      </c>
      <c r="D328" s="66">
        <v>205.857142857143</v>
      </c>
      <c r="E328" s="66">
        <v>16</v>
      </c>
      <c r="F328" s="66">
        <v>1299.71116190476</v>
      </c>
      <c r="G328" s="33">
        <v>287</v>
      </c>
      <c r="H328" s="32">
        <v>114.91</v>
      </c>
      <c r="I328" s="34">
        <v>414</v>
      </c>
      <c r="J328" s="34">
        <v>252</v>
      </c>
      <c r="K328" s="35">
        <v>0.122024807241033</v>
      </c>
      <c r="L328" s="34" t="s">
        <v>5</v>
      </c>
      <c r="M328" s="31" t="s">
        <v>681</v>
      </c>
      <c r="N328" s="31" t="s">
        <v>683</v>
      </c>
      <c r="O328" s="31" t="s">
        <v>4</v>
      </c>
      <c r="P328" s="31" t="s">
        <v>3</v>
      </c>
      <c r="Q328" s="36"/>
    </row>
    <row r="329" spans="1:17" x14ac:dyDescent="0.2">
      <c r="A329" s="30">
        <f>RANK(B329,$B$2:$B$551,1)</f>
        <v>326</v>
      </c>
      <c r="B329" s="46">
        <f>AVERAGE(G329,I329,J329)</f>
        <v>317.66666666666669</v>
      </c>
      <c r="C329" s="31" t="s">
        <v>509</v>
      </c>
      <c r="D329" s="66">
        <v>155.497620806111</v>
      </c>
      <c r="E329" s="66">
        <v>0</v>
      </c>
      <c r="F329" s="66">
        <v>1182.93666006796</v>
      </c>
      <c r="G329" s="33">
        <v>413</v>
      </c>
      <c r="H329" s="32">
        <v>115.67</v>
      </c>
      <c r="I329" s="34">
        <v>306</v>
      </c>
      <c r="J329" s="34">
        <v>234</v>
      </c>
      <c r="K329" s="35">
        <v>0.24662341101694901</v>
      </c>
      <c r="L329" s="34" t="s">
        <v>5</v>
      </c>
      <c r="M329" s="31" t="s">
        <v>508</v>
      </c>
      <c r="N329" s="31" t="s">
        <v>29</v>
      </c>
      <c r="O329" s="31" t="s">
        <v>4</v>
      </c>
      <c r="P329" s="31" t="s">
        <v>3</v>
      </c>
      <c r="Q329" s="36"/>
    </row>
    <row r="330" spans="1:17" x14ac:dyDescent="0.2">
      <c r="A330" s="30">
        <f>RANK(B330,$B$2:$B$551,1)</f>
        <v>329</v>
      </c>
      <c r="B330" s="46">
        <f>AVERAGE(G330,I330,J330)</f>
        <v>318.33333333333331</v>
      </c>
      <c r="C330" s="31" t="s">
        <v>559</v>
      </c>
      <c r="D330" s="66">
        <v>163.28931034482801</v>
      </c>
      <c r="E330" s="66">
        <v>21.827586206896601</v>
      </c>
      <c r="F330" s="66">
        <v>1480.74521949922</v>
      </c>
      <c r="G330" s="33">
        <v>390</v>
      </c>
      <c r="H330" s="32">
        <v>116.85</v>
      </c>
      <c r="I330" s="34">
        <v>111</v>
      </c>
      <c r="J330" s="34">
        <v>454</v>
      </c>
      <c r="K330" s="35">
        <v>-1.3487096587956799</v>
      </c>
      <c r="L330" s="34" t="s">
        <v>20</v>
      </c>
      <c r="M330" s="31" t="s">
        <v>558</v>
      </c>
      <c r="N330" s="31" t="s">
        <v>421</v>
      </c>
      <c r="O330" s="31" t="s">
        <v>4</v>
      </c>
      <c r="P330" s="31" t="s">
        <v>3</v>
      </c>
      <c r="Q330" s="36"/>
    </row>
    <row r="331" spans="1:17" x14ac:dyDescent="0.2">
      <c r="A331" s="30">
        <f>RANK(B331,$B$2:$B$551,1)</f>
        <v>330</v>
      </c>
      <c r="B331" s="46">
        <f>AVERAGE(G331,I331,J331)</f>
        <v>318.66666666666669</v>
      </c>
      <c r="C331" s="31" t="s">
        <v>995</v>
      </c>
      <c r="D331" s="66">
        <v>402.777777777778</v>
      </c>
      <c r="E331" s="66">
        <v>269.42222222222199</v>
      </c>
      <c r="F331" s="66">
        <v>2002.9183834518001</v>
      </c>
      <c r="G331" s="33">
        <v>23</v>
      </c>
      <c r="H331" s="32">
        <v>114.7</v>
      </c>
      <c r="I331" s="34">
        <v>437</v>
      </c>
      <c r="J331" s="34">
        <v>496</v>
      </c>
      <c r="K331" s="35">
        <v>-1.8611549740582001</v>
      </c>
      <c r="L331" s="34" t="s">
        <v>20</v>
      </c>
      <c r="M331" s="31" t="s">
        <v>994</v>
      </c>
      <c r="N331" s="31" t="s">
        <v>490</v>
      </c>
      <c r="O331" s="31" t="s">
        <v>4</v>
      </c>
      <c r="P331" s="31" t="s">
        <v>3</v>
      </c>
      <c r="Q331" s="36"/>
    </row>
    <row r="332" spans="1:17" x14ac:dyDescent="0.2">
      <c r="A332" s="30">
        <f>RANK(B332,$B$2:$B$551,1)</f>
        <v>331</v>
      </c>
      <c r="B332" s="46">
        <f>AVERAGE(G332,I332,J332)</f>
        <v>319</v>
      </c>
      <c r="C332" s="31" t="s">
        <v>369</v>
      </c>
      <c r="D332" s="66">
        <v>80.315946115288199</v>
      </c>
      <c r="E332" s="66">
        <v>0</v>
      </c>
      <c r="F332" s="66">
        <v>960.32395572263999</v>
      </c>
      <c r="G332" s="33">
        <v>529</v>
      </c>
      <c r="H332" s="32">
        <v>116.03</v>
      </c>
      <c r="I332" s="34">
        <v>250</v>
      </c>
      <c r="J332" s="34">
        <v>178</v>
      </c>
      <c r="K332" s="35">
        <v>0.69103059413177403</v>
      </c>
      <c r="L332" s="34" t="s">
        <v>5</v>
      </c>
      <c r="M332" s="31" t="s">
        <v>368</v>
      </c>
      <c r="N332" s="31" t="s">
        <v>370</v>
      </c>
      <c r="O332" s="31" t="s">
        <v>4</v>
      </c>
      <c r="P332" s="31" t="s">
        <v>3</v>
      </c>
      <c r="Q332" s="36"/>
    </row>
    <row r="333" spans="1:17" x14ac:dyDescent="0.2">
      <c r="A333" s="30">
        <f>RANK(B333,$B$2:$B$551,1)</f>
        <v>332</v>
      </c>
      <c r="B333" s="46">
        <f>AVERAGE(G333,I333,J333)</f>
        <v>319.5</v>
      </c>
      <c r="C333" s="31" t="s">
        <v>1334</v>
      </c>
      <c r="D333" s="66">
        <v>82.468571428571394</v>
      </c>
      <c r="E333" s="66">
        <v>29</v>
      </c>
      <c r="F333" s="66">
        <v>499.044970685892</v>
      </c>
      <c r="G333" s="33">
        <v>126</v>
      </c>
      <c r="H333" s="32">
        <v>113.6</v>
      </c>
      <c r="I333" s="34">
        <v>513</v>
      </c>
      <c r="J333" s="34" t="s">
        <v>116</v>
      </c>
      <c r="K333" s="35" t="s">
        <v>116</v>
      </c>
      <c r="L333" s="34" t="s">
        <v>116</v>
      </c>
      <c r="M333" s="31" t="s">
        <v>1335</v>
      </c>
      <c r="N333" s="31" t="s">
        <v>373</v>
      </c>
      <c r="O333" s="31" t="s">
        <v>4</v>
      </c>
      <c r="P333" s="31" t="s">
        <v>3</v>
      </c>
      <c r="Q333" s="36" t="s">
        <v>1254</v>
      </c>
    </row>
    <row r="334" spans="1:17" x14ac:dyDescent="0.2">
      <c r="A334" s="30">
        <f>RANK(B334,$B$2:$B$551,1)</f>
        <v>333</v>
      </c>
      <c r="B334" s="46">
        <f>AVERAGE(G334,I334,J334)</f>
        <v>320</v>
      </c>
      <c r="C334" s="31" t="s">
        <v>527</v>
      </c>
      <c r="D334" s="66">
        <v>248.93718491631401</v>
      </c>
      <c r="E334" s="66">
        <v>39.982758620689701</v>
      </c>
      <c r="F334" s="66">
        <v>1508.0058769002601</v>
      </c>
      <c r="G334" s="33">
        <v>225</v>
      </c>
      <c r="H334" s="32">
        <v>116.03</v>
      </c>
      <c r="I334" s="34">
        <v>250</v>
      </c>
      <c r="J334" s="34">
        <v>485</v>
      </c>
      <c r="K334" s="35">
        <v>-1.71103637490043</v>
      </c>
      <c r="L334" s="34" t="s">
        <v>20</v>
      </c>
      <c r="M334" s="31" t="s">
        <v>526</v>
      </c>
      <c r="N334" s="31" t="s">
        <v>76</v>
      </c>
      <c r="O334" s="31" t="s">
        <v>4</v>
      </c>
      <c r="P334" s="31" t="s">
        <v>3</v>
      </c>
      <c r="Q334" s="36"/>
    </row>
    <row r="335" spans="1:17" x14ac:dyDescent="0.2">
      <c r="A335" s="30">
        <f>RANK(B335,$B$2:$B$551,1)</f>
        <v>333</v>
      </c>
      <c r="B335" s="46">
        <f>AVERAGE(G335,I335,J335)</f>
        <v>320</v>
      </c>
      <c r="C335" s="31" t="s">
        <v>1338</v>
      </c>
      <c r="D335" s="66">
        <v>60.219185358469801</v>
      </c>
      <c r="E335" s="66">
        <v>1</v>
      </c>
      <c r="F335" s="66">
        <v>695.60258703729198</v>
      </c>
      <c r="G335" s="33">
        <v>519</v>
      </c>
      <c r="H335" s="32">
        <v>116.77</v>
      </c>
      <c r="I335" s="34">
        <v>121</v>
      </c>
      <c r="J335" s="34" t="s">
        <v>116</v>
      </c>
      <c r="K335" s="35" t="s">
        <v>116</v>
      </c>
      <c r="L335" s="34" t="s">
        <v>116</v>
      </c>
      <c r="M335" s="31" t="s">
        <v>1339</v>
      </c>
      <c r="N335" s="31" t="s">
        <v>65</v>
      </c>
      <c r="O335" s="31" t="s">
        <v>4</v>
      </c>
      <c r="P335" s="31" t="s">
        <v>3</v>
      </c>
      <c r="Q335" s="36" t="s">
        <v>1254</v>
      </c>
    </row>
    <row r="336" spans="1:17" x14ac:dyDescent="0.2">
      <c r="A336" s="30">
        <f>RANK(B336,$B$2:$B$551,1)</f>
        <v>335</v>
      </c>
      <c r="B336" s="46">
        <f>AVERAGE(G336,I336,J336)</f>
        <v>320.33333333333331</v>
      </c>
      <c r="C336" s="31" t="s">
        <v>142</v>
      </c>
      <c r="D336" s="66">
        <v>232.04635440613001</v>
      </c>
      <c r="E336" s="66">
        <v>26.6</v>
      </c>
      <c r="F336" s="66">
        <v>1436.52458429119</v>
      </c>
      <c r="G336" s="33">
        <v>258</v>
      </c>
      <c r="H336" s="32">
        <v>114.45</v>
      </c>
      <c r="I336" s="34">
        <v>459</v>
      </c>
      <c r="J336" s="34">
        <v>244</v>
      </c>
      <c r="K336" s="35">
        <v>0.19842969307637401</v>
      </c>
      <c r="L336" s="34" t="s">
        <v>5</v>
      </c>
      <c r="M336" s="31" t="s">
        <v>141</v>
      </c>
      <c r="N336" s="31" t="s">
        <v>143</v>
      </c>
      <c r="O336" s="31" t="s">
        <v>4</v>
      </c>
      <c r="P336" s="31" t="s">
        <v>3</v>
      </c>
      <c r="Q336" s="36"/>
    </row>
    <row r="337" spans="1:17" x14ac:dyDescent="0.2">
      <c r="A337" s="30">
        <f>RANK(B337,$B$2:$B$551,1)</f>
        <v>335</v>
      </c>
      <c r="B337" s="46">
        <f>AVERAGE(G337,I337,J337)</f>
        <v>320.33333333333331</v>
      </c>
      <c r="C337" s="31" t="s">
        <v>44</v>
      </c>
      <c r="D337" s="66">
        <v>213.24988888888899</v>
      </c>
      <c r="E337" s="66">
        <v>105.274333333333</v>
      </c>
      <c r="F337" s="66">
        <v>2333.7468888888902</v>
      </c>
      <c r="G337" s="33">
        <v>278</v>
      </c>
      <c r="H337" s="32">
        <v>114.92</v>
      </c>
      <c r="I337" s="34">
        <v>413</v>
      </c>
      <c r="J337" s="34">
        <v>270</v>
      </c>
      <c r="K337" s="35">
        <v>-2.4624267640315899E-3</v>
      </c>
      <c r="L337" s="34" t="s">
        <v>5</v>
      </c>
      <c r="M337" s="31" t="s">
        <v>109</v>
      </c>
      <c r="N337" s="31" t="s">
        <v>16</v>
      </c>
      <c r="O337" s="31" t="s">
        <v>4</v>
      </c>
      <c r="P337" s="31" t="s">
        <v>3</v>
      </c>
      <c r="Q337" s="36"/>
    </row>
    <row r="338" spans="1:17" x14ac:dyDescent="0.2">
      <c r="A338" s="30">
        <f>RANK(B338,$B$2:$B$551,1)</f>
        <v>335</v>
      </c>
      <c r="B338" s="46">
        <f>AVERAGE(G338,I338,J338)</f>
        <v>320.33333333333331</v>
      </c>
      <c r="C338" s="31" t="s">
        <v>982</v>
      </c>
      <c r="D338" s="66">
        <v>49.245266897864802</v>
      </c>
      <c r="E338" s="66">
        <v>7.6559645722834198</v>
      </c>
      <c r="F338" s="66">
        <v>686.472292206823</v>
      </c>
      <c r="G338" s="33">
        <v>505</v>
      </c>
      <c r="H338" s="32">
        <v>115.19</v>
      </c>
      <c r="I338" s="34">
        <v>375</v>
      </c>
      <c r="J338" s="34">
        <v>81</v>
      </c>
      <c r="K338" s="35">
        <v>1.6440138929572701</v>
      </c>
      <c r="L338" s="34" t="s">
        <v>26</v>
      </c>
      <c r="M338" s="31" t="s">
        <v>981</v>
      </c>
      <c r="N338" s="31" t="s">
        <v>23</v>
      </c>
      <c r="O338" s="31" t="s">
        <v>4</v>
      </c>
      <c r="P338" s="31" t="s">
        <v>3</v>
      </c>
      <c r="Q338" s="36"/>
    </row>
    <row r="339" spans="1:17" ht="22.5" x14ac:dyDescent="0.2">
      <c r="A339" s="30">
        <f>RANK(B339,$B$2:$B$551,1)</f>
        <v>338</v>
      </c>
      <c r="B339" s="46">
        <f>AVERAGE(G339,I339,J339)</f>
        <v>320.66666666666669</v>
      </c>
      <c r="C339" s="31" t="s">
        <v>849</v>
      </c>
      <c r="D339" s="66">
        <v>350.7727284682</v>
      </c>
      <c r="E339" s="66">
        <v>46.201945300462199</v>
      </c>
      <c r="F339" s="66">
        <v>2179.3369461638599</v>
      </c>
      <c r="G339" s="33">
        <v>248</v>
      </c>
      <c r="H339" s="32">
        <v>114.91</v>
      </c>
      <c r="I339" s="34">
        <v>414</v>
      </c>
      <c r="J339" s="34">
        <v>300</v>
      </c>
      <c r="K339" s="35">
        <v>-0.18305621536025299</v>
      </c>
      <c r="L339" s="34" t="s">
        <v>5</v>
      </c>
      <c r="M339" s="31" t="s">
        <v>848</v>
      </c>
      <c r="N339" s="31" t="s">
        <v>159</v>
      </c>
      <c r="O339" s="31" t="s">
        <v>4</v>
      </c>
      <c r="P339" s="31" t="s">
        <v>3</v>
      </c>
      <c r="Q339" s="36"/>
    </row>
    <row r="340" spans="1:17" x14ac:dyDescent="0.2">
      <c r="A340" s="30">
        <f>RANK(B340,$B$2:$B$551,1)</f>
        <v>339</v>
      </c>
      <c r="B340" s="46">
        <f>AVERAGE(G340,I340,J340)</f>
        <v>323</v>
      </c>
      <c r="C340" s="31" t="s">
        <v>819</v>
      </c>
      <c r="D340" s="66">
        <v>78.534090909090907</v>
      </c>
      <c r="E340" s="66">
        <v>27</v>
      </c>
      <c r="F340" s="66">
        <v>897.94525659824103</v>
      </c>
      <c r="G340" s="33">
        <v>361</v>
      </c>
      <c r="H340" s="32">
        <v>115</v>
      </c>
      <c r="I340" s="34">
        <v>396</v>
      </c>
      <c r="J340" s="34">
        <v>212</v>
      </c>
      <c r="K340" s="35">
        <v>0.353978764699167</v>
      </c>
      <c r="L340" s="34" t="s">
        <v>5</v>
      </c>
      <c r="M340" s="31" t="s">
        <v>818</v>
      </c>
      <c r="N340" s="31" t="s">
        <v>525</v>
      </c>
      <c r="O340" s="31" t="s">
        <v>4</v>
      </c>
      <c r="P340" s="31" t="s">
        <v>3</v>
      </c>
      <c r="Q340" s="36"/>
    </row>
    <row r="341" spans="1:17" x14ac:dyDescent="0.2">
      <c r="A341" s="30">
        <f>RANK(B341,$B$2:$B$551,1)</f>
        <v>340</v>
      </c>
      <c r="B341" s="46">
        <f>AVERAGE(G341,I341,J341)</f>
        <v>324</v>
      </c>
      <c r="C341" s="31" t="s">
        <v>299</v>
      </c>
      <c r="D341" s="66">
        <v>857.61713889347698</v>
      </c>
      <c r="E341" s="66">
        <v>321.02857142857101</v>
      </c>
      <c r="F341" s="66">
        <v>3857.2535911816099</v>
      </c>
      <c r="G341" s="33">
        <v>45</v>
      </c>
      <c r="H341" s="32">
        <v>113.04</v>
      </c>
      <c r="I341" s="34">
        <v>539</v>
      </c>
      <c r="J341" s="34">
        <v>388</v>
      </c>
      <c r="K341" s="35">
        <v>-0.91840607210626202</v>
      </c>
      <c r="L341" s="34" t="s">
        <v>5</v>
      </c>
      <c r="M341" s="31" t="s">
        <v>298</v>
      </c>
      <c r="N341" s="31" t="s">
        <v>106</v>
      </c>
      <c r="O341" s="31" t="s">
        <v>4</v>
      </c>
      <c r="P341" s="31" t="s">
        <v>3</v>
      </c>
      <c r="Q341" s="36"/>
    </row>
    <row r="342" spans="1:17" x14ac:dyDescent="0.2">
      <c r="A342" s="30">
        <f>RANK(B342,$B$2:$B$551,1)</f>
        <v>341</v>
      </c>
      <c r="B342" s="46">
        <f>AVERAGE(G342,I342,J342)</f>
        <v>325</v>
      </c>
      <c r="C342" s="31" t="s">
        <v>823</v>
      </c>
      <c r="D342" s="66">
        <v>1104.63818076285</v>
      </c>
      <c r="E342" s="66">
        <v>340.39296351575501</v>
      </c>
      <c r="F342" s="66">
        <v>6680.9823666620096</v>
      </c>
      <c r="G342" s="33">
        <v>149</v>
      </c>
      <c r="H342" s="32">
        <v>114.66</v>
      </c>
      <c r="I342" s="34">
        <v>441</v>
      </c>
      <c r="J342" s="34">
        <v>385</v>
      </c>
      <c r="K342" s="35">
        <v>-0.90704006223259404</v>
      </c>
      <c r="L342" s="34" t="s">
        <v>5</v>
      </c>
      <c r="M342" s="31" t="s">
        <v>822</v>
      </c>
      <c r="N342" s="31" t="s">
        <v>55</v>
      </c>
      <c r="O342" s="31" t="s">
        <v>4</v>
      </c>
      <c r="P342" s="31" t="s">
        <v>3</v>
      </c>
      <c r="Q342" s="36"/>
    </row>
    <row r="343" spans="1:17" x14ac:dyDescent="0.2">
      <c r="A343" s="30">
        <f>RANK(B343,$B$2:$B$551,1)</f>
        <v>342</v>
      </c>
      <c r="B343" s="46">
        <f>AVERAGE(G343,I343,J343)</f>
        <v>326.33333333333331</v>
      </c>
      <c r="C343" s="31" t="s">
        <v>135</v>
      </c>
      <c r="D343" s="66">
        <v>64.080229885057506</v>
      </c>
      <c r="E343" s="66">
        <v>0</v>
      </c>
      <c r="F343" s="66">
        <v>1456.9964367816101</v>
      </c>
      <c r="G343" s="33">
        <v>587</v>
      </c>
      <c r="H343" s="32">
        <v>117.38</v>
      </c>
      <c r="I343" s="34">
        <v>57</v>
      </c>
      <c r="J343" s="34">
        <v>335</v>
      </c>
      <c r="K343" s="35">
        <v>-0.442591780020477</v>
      </c>
      <c r="L343" s="34" t="s">
        <v>5</v>
      </c>
      <c r="M343" s="31" t="s">
        <v>134</v>
      </c>
      <c r="N343" s="31" t="s">
        <v>115</v>
      </c>
      <c r="O343" s="31" t="s">
        <v>4</v>
      </c>
      <c r="P343" s="31" t="s">
        <v>3</v>
      </c>
      <c r="Q343" s="36"/>
    </row>
    <row r="344" spans="1:17" x14ac:dyDescent="0.2">
      <c r="A344" s="30">
        <f>RANK(B344,$B$2:$B$551,1)</f>
        <v>343</v>
      </c>
      <c r="B344" s="46">
        <f>AVERAGE(G344,I344,J344)</f>
        <v>327</v>
      </c>
      <c r="C344" s="31" t="s">
        <v>288</v>
      </c>
      <c r="D344" s="66">
        <v>46.379306358381498</v>
      </c>
      <c r="E344" s="66">
        <v>12</v>
      </c>
      <c r="F344" s="66">
        <v>712.09795450307604</v>
      </c>
      <c r="G344" s="33">
        <v>496</v>
      </c>
      <c r="H344" s="32">
        <v>114.67</v>
      </c>
      <c r="I344" s="34">
        <v>439</v>
      </c>
      <c r="J344" s="34">
        <v>46</v>
      </c>
      <c r="K344" s="35">
        <v>2.2737921492067699</v>
      </c>
      <c r="L344" s="34" t="s">
        <v>56</v>
      </c>
      <c r="M344" s="31" t="s">
        <v>721</v>
      </c>
      <c r="N344" s="31" t="s">
        <v>2</v>
      </c>
      <c r="O344" s="31" t="s">
        <v>4</v>
      </c>
      <c r="P344" s="31" t="s">
        <v>3</v>
      </c>
      <c r="Q344" s="36"/>
    </row>
    <row r="345" spans="1:17" x14ac:dyDescent="0.2">
      <c r="A345" s="30">
        <f>RANK(B345,$B$2:$B$551,1)</f>
        <v>344</v>
      </c>
      <c r="B345" s="46">
        <f>AVERAGE(G345,I345,J345)</f>
        <v>327.33333333333331</v>
      </c>
      <c r="C345" s="31" t="s">
        <v>345</v>
      </c>
      <c r="D345" s="66">
        <v>142.093247613481</v>
      </c>
      <c r="E345" s="66">
        <v>74</v>
      </c>
      <c r="F345" s="66">
        <v>817.08231833235902</v>
      </c>
      <c r="G345" s="33">
        <v>66</v>
      </c>
      <c r="H345" s="32">
        <v>115.12</v>
      </c>
      <c r="I345" s="34">
        <v>385</v>
      </c>
      <c r="J345" s="34">
        <v>531</v>
      </c>
      <c r="K345" s="35">
        <v>-2.8600825975505599</v>
      </c>
      <c r="L345" s="34" t="s">
        <v>39</v>
      </c>
      <c r="M345" s="31" t="s">
        <v>344</v>
      </c>
      <c r="N345" s="31" t="s">
        <v>106</v>
      </c>
      <c r="O345" s="31" t="s">
        <v>4</v>
      </c>
      <c r="P345" s="31" t="s">
        <v>3</v>
      </c>
      <c r="Q345" s="36"/>
    </row>
    <row r="346" spans="1:17" x14ac:dyDescent="0.2">
      <c r="A346" s="30">
        <f>RANK(B346,$B$2:$B$551,1)</f>
        <v>345</v>
      </c>
      <c r="B346" s="46">
        <f>AVERAGE(G346,I346,J346)</f>
        <v>327.66666666666669</v>
      </c>
      <c r="C346" s="31" t="s">
        <v>467</v>
      </c>
      <c r="D346" s="66">
        <v>352.99707602339299</v>
      </c>
      <c r="E346" s="66">
        <v>0</v>
      </c>
      <c r="F346" s="66">
        <v>1547.26563328612</v>
      </c>
      <c r="G346" s="33">
        <v>217</v>
      </c>
      <c r="H346" s="32">
        <v>115.5</v>
      </c>
      <c r="I346" s="34">
        <v>331</v>
      </c>
      <c r="J346" s="34">
        <v>435</v>
      </c>
      <c r="K346" s="35">
        <v>-1.1733229934083</v>
      </c>
      <c r="L346" s="34" t="s">
        <v>20</v>
      </c>
      <c r="M346" s="31" t="s">
        <v>466</v>
      </c>
      <c r="N346" s="31" t="s">
        <v>392</v>
      </c>
      <c r="O346" s="31" t="s">
        <v>4</v>
      </c>
      <c r="P346" s="31" t="s">
        <v>3</v>
      </c>
      <c r="Q346" s="36"/>
    </row>
    <row r="347" spans="1:17" x14ac:dyDescent="0.2">
      <c r="A347" s="30">
        <f>RANK(B347,$B$2:$B$551,1)</f>
        <v>345</v>
      </c>
      <c r="B347" s="46">
        <f>AVERAGE(G347,I347,J347)</f>
        <v>327.66666666666669</v>
      </c>
      <c r="C347" s="31" t="s">
        <v>1071</v>
      </c>
      <c r="D347" s="66">
        <v>94.843930635838106</v>
      </c>
      <c r="E347" s="66">
        <v>32.294797687861298</v>
      </c>
      <c r="F347" s="66">
        <v>1315.6696625023301</v>
      </c>
      <c r="G347" s="33">
        <v>440</v>
      </c>
      <c r="H347" s="32">
        <v>115.19</v>
      </c>
      <c r="I347" s="34">
        <v>375</v>
      </c>
      <c r="J347" s="34">
        <v>168</v>
      </c>
      <c r="K347" s="35">
        <v>0.75760428736964103</v>
      </c>
      <c r="L347" s="34" t="s">
        <v>5</v>
      </c>
      <c r="M347" s="31" t="s">
        <v>1070</v>
      </c>
      <c r="N347" s="31" t="s">
        <v>52</v>
      </c>
      <c r="O347" s="31" t="s">
        <v>4</v>
      </c>
      <c r="P347" s="31" t="s">
        <v>3</v>
      </c>
      <c r="Q347" s="36"/>
    </row>
    <row r="348" spans="1:17" x14ac:dyDescent="0.2">
      <c r="A348" s="30">
        <f>RANK(B348,$B$2:$B$551,1)</f>
        <v>347</v>
      </c>
      <c r="B348" s="46">
        <f>AVERAGE(G348,I348,J348)</f>
        <v>328</v>
      </c>
      <c r="C348" s="31" t="s">
        <v>1170</v>
      </c>
      <c r="D348" s="66">
        <v>289</v>
      </c>
      <c r="E348" s="66">
        <v>83</v>
      </c>
      <c r="F348" s="66">
        <v>291</v>
      </c>
      <c r="G348" s="33">
        <v>1</v>
      </c>
      <c r="H348" s="32">
        <v>112.2</v>
      </c>
      <c r="I348" s="34">
        <v>561</v>
      </c>
      <c r="J348" s="34">
        <v>422</v>
      </c>
      <c r="K348" s="35">
        <v>-1.1000000000000001</v>
      </c>
      <c r="L348" s="34" t="s">
        <v>39</v>
      </c>
      <c r="M348" s="31" t="s">
        <v>1171</v>
      </c>
      <c r="N348" s="31" t="s">
        <v>55</v>
      </c>
      <c r="O348" s="31" t="s">
        <v>1209</v>
      </c>
      <c r="P348" s="31" t="s">
        <v>3</v>
      </c>
      <c r="Q348" s="36"/>
    </row>
    <row r="349" spans="1:17" x14ac:dyDescent="0.2">
      <c r="A349" s="30">
        <f>RANK(B349,$B$2:$B$551,1)</f>
        <v>347</v>
      </c>
      <c r="B349" s="46">
        <f>AVERAGE(G349,I349,J349)</f>
        <v>328</v>
      </c>
      <c r="C349" s="31" t="s">
        <v>590</v>
      </c>
      <c r="D349" s="66">
        <v>151.05382674199601</v>
      </c>
      <c r="E349" s="66">
        <v>89.963619585687397</v>
      </c>
      <c r="F349" s="66">
        <v>1243.67210640301</v>
      </c>
      <c r="G349" s="33">
        <v>143</v>
      </c>
      <c r="H349" s="32">
        <v>114.73</v>
      </c>
      <c r="I349" s="34">
        <v>436</v>
      </c>
      <c r="J349" s="34">
        <v>405</v>
      </c>
      <c r="K349" s="35">
        <v>-1.01508459604539</v>
      </c>
      <c r="L349" s="34" t="s">
        <v>20</v>
      </c>
      <c r="M349" s="31" t="s">
        <v>589</v>
      </c>
      <c r="N349" s="31" t="s">
        <v>81</v>
      </c>
      <c r="O349" s="31" t="s">
        <v>4</v>
      </c>
      <c r="P349" s="31" t="s">
        <v>3</v>
      </c>
      <c r="Q349" s="36"/>
    </row>
    <row r="350" spans="1:17" x14ac:dyDescent="0.2">
      <c r="A350" s="30">
        <f>RANK(B350,$B$2:$B$551,1)</f>
        <v>347</v>
      </c>
      <c r="B350" s="46">
        <f>AVERAGE(G350,I350,J350)</f>
        <v>328</v>
      </c>
      <c r="C350" s="31" t="s">
        <v>553</v>
      </c>
      <c r="D350" s="66">
        <v>61.223239621650002</v>
      </c>
      <c r="E350" s="66">
        <v>0</v>
      </c>
      <c r="F350" s="66">
        <v>532.06379684877902</v>
      </c>
      <c r="G350" s="33">
        <v>461</v>
      </c>
      <c r="H350" s="32">
        <v>115.43</v>
      </c>
      <c r="I350" s="34">
        <v>342</v>
      </c>
      <c r="J350" s="34">
        <v>181</v>
      </c>
      <c r="K350" s="35">
        <v>0.66193557613242304</v>
      </c>
      <c r="L350" s="34" t="s">
        <v>5</v>
      </c>
      <c r="M350" s="31" t="s">
        <v>552</v>
      </c>
      <c r="N350" s="31" t="s">
        <v>525</v>
      </c>
      <c r="O350" s="31" t="s">
        <v>4</v>
      </c>
      <c r="P350" s="31" t="s">
        <v>3</v>
      </c>
      <c r="Q350" s="36"/>
    </row>
    <row r="351" spans="1:17" x14ac:dyDescent="0.2">
      <c r="A351" s="30">
        <f>RANK(B351,$B$2:$B$551,1)</f>
        <v>350</v>
      </c>
      <c r="B351" s="46">
        <f>AVERAGE(G351,I351,J351)</f>
        <v>328.33333333333331</v>
      </c>
      <c r="C351" s="31" t="s">
        <v>831</v>
      </c>
      <c r="D351" s="66">
        <v>170.54378531073399</v>
      </c>
      <c r="E351" s="66">
        <v>7.9096045197740104</v>
      </c>
      <c r="F351" s="66">
        <v>804.30084745762701</v>
      </c>
      <c r="G351" s="33">
        <v>206</v>
      </c>
      <c r="H351" s="32">
        <v>114.83</v>
      </c>
      <c r="I351" s="34">
        <v>424</v>
      </c>
      <c r="J351" s="34">
        <v>355</v>
      </c>
      <c r="K351" s="35">
        <v>-0.63482474356553997</v>
      </c>
      <c r="L351" s="34" t="s">
        <v>5</v>
      </c>
      <c r="M351" s="31" t="s">
        <v>830</v>
      </c>
      <c r="N351" s="31" t="s">
        <v>140</v>
      </c>
      <c r="O351" s="31" t="s">
        <v>4</v>
      </c>
      <c r="P351" s="31" t="s">
        <v>3</v>
      </c>
      <c r="Q351" s="36"/>
    </row>
    <row r="352" spans="1:17" x14ac:dyDescent="0.2">
      <c r="A352" s="30">
        <f>RANK(B352,$B$2:$B$551,1)</f>
        <v>351</v>
      </c>
      <c r="B352" s="46">
        <f>AVERAGE(G352,I352,J352)</f>
        <v>328.66666666666669</v>
      </c>
      <c r="C352" s="31" t="s">
        <v>807</v>
      </c>
      <c r="D352" s="66">
        <v>193.494117647059</v>
      </c>
      <c r="E352" s="66">
        <v>0</v>
      </c>
      <c r="F352" s="66">
        <v>1251.94145825995</v>
      </c>
      <c r="G352" s="33">
        <v>354</v>
      </c>
      <c r="H352" s="32">
        <v>116.79</v>
      </c>
      <c r="I352" s="34">
        <v>119</v>
      </c>
      <c r="J352" s="34">
        <v>513</v>
      </c>
      <c r="K352" s="35">
        <v>-2.37131840183772</v>
      </c>
      <c r="L352" s="34" t="s">
        <v>39</v>
      </c>
      <c r="M352" s="31" t="s">
        <v>806</v>
      </c>
      <c r="N352" s="31" t="s">
        <v>437</v>
      </c>
      <c r="O352" s="31" t="s">
        <v>4</v>
      </c>
      <c r="P352" s="31" t="s">
        <v>3</v>
      </c>
      <c r="Q352" s="36"/>
    </row>
    <row r="353" spans="1:17" x14ac:dyDescent="0.2">
      <c r="A353" s="30">
        <f>RANK(B353,$B$2:$B$551,1)</f>
        <v>352</v>
      </c>
      <c r="B353" s="46">
        <f>AVERAGE(G353,I353,J353)</f>
        <v>329</v>
      </c>
      <c r="C353" s="31" t="s">
        <v>1014</v>
      </c>
      <c r="D353" s="66">
        <v>245.15202247190999</v>
      </c>
      <c r="E353" s="66">
        <v>49.438202247191001</v>
      </c>
      <c r="F353" s="66">
        <v>1858.24018847408</v>
      </c>
      <c r="G353" s="33">
        <v>277</v>
      </c>
      <c r="H353" s="32">
        <v>116.25</v>
      </c>
      <c r="I353" s="34">
        <v>205</v>
      </c>
      <c r="J353" s="34">
        <v>505</v>
      </c>
      <c r="K353" s="35">
        <v>-2.1228829366559698</v>
      </c>
      <c r="L353" s="34" t="s">
        <v>39</v>
      </c>
      <c r="M353" s="31" t="s">
        <v>1013</v>
      </c>
      <c r="N353" s="31" t="s">
        <v>84</v>
      </c>
      <c r="O353" s="31" t="s">
        <v>4</v>
      </c>
      <c r="P353" s="31" t="s">
        <v>3</v>
      </c>
      <c r="Q353" s="36"/>
    </row>
    <row r="354" spans="1:17" x14ac:dyDescent="0.2">
      <c r="A354" s="30">
        <f>RANK(B354,$B$2:$B$551,1)</f>
        <v>353</v>
      </c>
      <c r="B354" s="46">
        <f>AVERAGE(G354,I354,J354)</f>
        <v>329.33333333333331</v>
      </c>
      <c r="C354" s="31" t="s">
        <v>624</v>
      </c>
      <c r="D354" s="66">
        <v>305.43066344021003</v>
      </c>
      <c r="E354" s="66">
        <v>38</v>
      </c>
      <c r="F354" s="66">
        <v>1996.88777777778</v>
      </c>
      <c r="G354" s="33">
        <v>270</v>
      </c>
      <c r="H354" s="32">
        <v>115.65</v>
      </c>
      <c r="I354" s="34">
        <v>309</v>
      </c>
      <c r="J354" s="34">
        <v>409</v>
      </c>
      <c r="K354" s="35">
        <v>-1.0471198644642099</v>
      </c>
      <c r="L354" s="34" t="s">
        <v>20</v>
      </c>
      <c r="M354" s="31" t="s">
        <v>623</v>
      </c>
      <c r="N354" s="31" t="s">
        <v>71</v>
      </c>
      <c r="O354" s="31" t="s">
        <v>4</v>
      </c>
      <c r="P354" s="31" t="s">
        <v>3</v>
      </c>
      <c r="Q354" s="36"/>
    </row>
    <row r="355" spans="1:17" x14ac:dyDescent="0.2">
      <c r="A355" s="30">
        <f>RANK(B355,$B$2:$B$551,1)</f>
        <v>354</v>
      </c>
      <c r="B355" s="46">
        <f>AVERAGE(G355,I355,J355)</f>
        <v>330.33333333333331</v>
      </c>
      <c r="C355" s="31" t="s">
        <v>93</v>
      </c>
      <c r="D355" s="66">
        <v>225.046713590363</v>
      </c>
      <c r="E355" s="66">
        <v>1</v>
      </c>
      <c r="F355" s="66">
        <v>3101.94979371195</v>
      </c>
      <c r="G355" s="33">
        <v>547</v>
      </c>
      <c r="H355" s="32">
        <v>116.24</v>
      </c>
      <c r="I355" s="34">
        <v>207</v>
      </c>
      <c r="J355" s="34">
        <v>237</v>
      </c>
      <c r="K355" s="35">
        <v>0.22582972582972599</v>
      </c>
      <c r="L355" s="34" t="s">
        <v>5</v>
      </c>
      <c r="M355" s="31" t="s">
        <v>92</v>
      </c>
      <c r="N355" s="31" t="s">
        <v>94</v>
      </c>
      <c r="O355" s="31" t="s">
        <v>4</v>
      </c>
      <c r="P355" s="31" t="s">
        <v>3</v>
      </c>
      <c r="Q355" s="36"/>
    </row>
    <row r="356" spans="1:17" x14ac:dyDescent="0.2">
      <c r="A356" s="30">
        <f>RANK(B356,$B$2:$B$551,1)</f>
        <v>355</v>
      </c>
      <c r="B356" s="46">
        <f>AVERAGE(G356,I356,J356)</f>
        <v>330.66666666666669</v>
      </c>
      <c r="C356" s="31" t="s">
        <v>280</v>
      </c>
      <c r="D356" s="66">
        <v>205.725644820296</v>
      </c>
      <c r="E356" s="66">
        <v>0</v>
      </c>
      <c r="F356" s="66">
        <v>1170.22327380141</v>
      </c>
      <c r="G356" s="33">
        <v>308</v>
      </c>
      <c r="H356" s="32">
        <v>115.75</v>
      </c>
      <c r="I356" s="34">
        <v>295</v>
      </c>
      <c r="J356" s="34">
        <v>389</v>
      </c>
      <c r="K356" s="35">
        <v>-0.93266271300953396</v>
      </c>
      <c r="L356" s="34" t="s">
        <v>5</v>
      </c>
      <c r="M356" s="31" t="s">
        <v>657</v>
      </c>
      <c r="N356" s="31" t="s">
        <v>32</v>
      </c>
      <c r="O356" s="31" t="s">
        <v>4</v>
      </c>
      <c r="P356" s="31" t="s">
        <v>3</v>
      </c>
      <c r="Q356" s="36"/>
    </row>
    <row r="357" spans="1:17" x14ac:dyDescent="0.2">
      <c r="A357" s="30">
        <f>RANK(B357,$B$2:$B$551,1)</f>
        <v>356</v>
      </c>
      <c r="B357" s="46">
        <f>AVERAGE(G357,I357,J357)</f>
        <v>331.33333333333331</v>
      </c>
      <c r="C357" s="31" t="s">
        <v>1089</v>
      </c>
      <c r="D357" s="66">
        <v>364.33954802259899</v>
      </c>
      <c r="E357" s="66">
        <v>111.60847457627101</v>
      </c>
      <c r="F357" s="66">
        <v>1572.5442664479699</v>
      </c>
      <c r="G357" s="33">
        <v>58</v>
      </c>
      <c r="H357" s="32">
        <v>115.01</v>
      </c>
      <c r="I357" s="34">
        <v>394</v>
      </c>
      <c r="J357" s="34">
        <v>542</v>
      </c>
      <c r="K357" s="35">
        <v>-3.3379794114967698</v>
      </c>
      <c r="L357" s="34" t="s">
        <v>39</v>
      </c>
      <c r="M357" s="31" t="s">
        <v>1088</v>
      </c>
      <c r="N357" s="31" t="s">
        <v>125</v>
      </c>
      <c r="O357" s="31" t="s">
        <v>4</v>
      </c>
      <c r="P357" s="31" t="s">
        <v>3</v>
      </c>
      <c r="Q357" s="36"/>
    </row>
    <row r="358" spans="1:17" x14ac:dyDescent="0.2">
      <c r="A358" s="30">
        <f>RANK(B358,$B$2:$B$551,1)</f>
        <v>356</v>
      </c>
      <c r="B358" s="46">
        <f>AVERAGE(G358,I358,J358)</f>
        <v>331.33333333333331</v>
      </c>
      <c r="C358" s="31" t="s">
        <v>186</v>
      </c>
      <c r="D358" s="66">
        <v>292.70070913695702</v>
      </c>
      <c r="E358" s="66">
        <v>0</v>
      </c>
      <c r="F358" s="66">
        <v>2690.5601448165899</v>
      </c>
      <c r="G358" s="33">
        <v>475</v>
      </c>
      <c r="H358" s="32">
        <v>116.08</v>
      </c>
      <c r="I358" s="34">
        <v>242</v>
      </c>
      <c r="J358" s="34">
        <v>277</v>
      </c>
      <c r="K358" s="35">
        <v>-2.4386825508058901E-2</v>
      </c>
      <c r="L358" s="34" t="s">
        <v>5</v>
      </c>
      <c r="M358" s="31" t="s">
        <v>185</v>
      </c>
      <c r="N358" s="31" t="s">
        <v>60</v>
      </c>
      <c r="O358" s="31" t="s">
        <v>4</v>
      </c>
      <c r="P358" s="31" t="s">
        <v>3</v>
      </c>
      <c r="Q358" s="36"/>
    </row>
    <row r="359" spans="1:17" x14ac:dyDescent="0.2">
      <c r="A359" s="30">
        <f>RANK(B359,$B$2:$B$551,1)</f>
        <v>358</v>
      </c>
      <c r="B359" s="46">
        <f>AVERAGE(G359,I359,J359)</f>
        <v>332</v>
      </c>
      <c r="C359" s="31" t="s">
        <v>158</v>
      </c>
      <c r="D359" s="66">
        <v>367.60868261863101</v>
      </c>
      <c r="E359" s="66">
        <v>115.052960075279</v>
      </c>
      <c r="F359" s="66">
        <v>4227.7859134509099</v>
      </c>
      <c r="G359" s="33">
        <v>382</v>
      </c>
      <c r="H359" s="32">
        <v>115.78</v>
      </c>
      <c r="I359" s="34">
        <v>290</v>
      </c>
      <c r="J359" s="34">
        <v>324</v>
      </c>
      <c r="K359" s="35">
        <v>-0.29617687701520001</v>
      </c>
      <c r="L359" s="34" t="s">
        <v>5</v>
      </c>
      <c r="M359" s="31" t="s">
        <v>157</v>
      </c>
      <c r="N359" s="31" t="s">
        <v>159</v>
      </c>
      <c r="O359" s="31" t="s">
        <v>4</v>
      </c>
      <c r="P359" s="31" t="s">
        <v>3</v>
      </c>
      <c r="Q359" s="36"/>
    </row>
    <row r="360" spans="1:17" x14ac:dyDescent="0.2">
      <c r="A360" s="30">
        <f>RANK(B360,$B$2:$B$551,1)</f>
        <v>359</v>
      </c>
      <c r="B360" s="46">
        <f>AVERAGE(G360,I360,J360)</f>
        <v>332.33333333333331</v>
      </c>
      <c r="C360" s="31" t="s">
        <v>432</v>
      </c>
      <c r="D360" s="66">
        <v>401.36912200294199</v>
      </c>
      <c r="E360" s="66">
        <v>21.485549132948002</v>
      </c>
      <c r="F360" s="66">
        <v>2352.3980347041502</v>
      </c>
      <c r="G360" s="33">
        <v>276</v>
      </c>
      <c r="H360" s="32">
        <v>115.35</v>
      </c>
      <c r="I360" s="34">
        <v>348</v>
      </c>
      <c r="J360" s="34">
        <v>373</v>
      </c>
      <c r="K360" s="35">
        <v>-0.82843713278495901</v>
      </c>
      <c r="L360" s="34" t="s">
        <v>5</v>
      </c>
      <c r="M360" s="31" t="s">
        <v>431</v>
      </c>
      <c r="N360" s="31" t="s">
        <v>71</v>
      </c>
      <c r="O360" s="31" t="s">
        <v>4</v>
      </c>
      <c r="P360" s="31" t="s">
        <v>3</v>
      </c>
      <c r="Q360" s="36"/>
    </row>
    <row r="361" spans="1:17" x14ac:dyDescent="0.2">
      <c r="A361" s="30">
        <f>RANK(B361,$B$2:$B$551,1)</f>
        <v>360</v>
      </c>
      <c r="B361" s="46">
        <f>AVERAGE(G361,I361,J361)</f>
        <v>333</v>
      </c>
      <c r="C361" s="31" t="s">
        <v>874</v>
      </c>
      <c r="D361" s="66">
        <v>325.37886363636397</v>
      </c>
      <c r="E361" s="66">
        <v>51.886363636363598</v>
      </c>
      <c r="F361" s="66">
        <v>1638.2691666666699</v>
      </c>
      <c r="G361" s="33">
        <v>159</v>
      </c>
      <c r="H361" s="32">
        <v>113.64</v>
      </c>
      <c r="I361" s="34">
        <v>509</v>
      </c>
      <c r="J361" s="34">
        <v>331</v>
      </c>
      <c r="K361" s="35">
        <v>-0.402936155684534</v>
      </c>
      <c r="L361" s="34" t="s">
        <v>5</v>
      </c>
      <c r="M361" s="31" t="s">
        <v>873</v>
      </c>
      <c r="N361" s="31" t="s">
        <v>683</v>
      </c>
      <c r="O361" s="31" t="s">
        <v>4</v>
      </c>
      <c r="P361" s="31" t="s">
        <v>3</v>
      </c>
      <c r="Q361" s="36"/>
    </row>
    <row r="362" spans="1:17" x14ac:dyDescent="0.2">
      <c r="A362" s="30">
        <f>RANK(B362,$B$2:$B$551,1)</f>
        <v>360</v>
      </c>
      <c r="B362" s="46">
        <f>AVERAGE(G362,I362,J362)</f>
        <v>333</v>
      </c>
      <c r="C362" s="31" t="s">
        <v>114</v>
      </c>
      <c r="D362" s="66">
        <v>82.9408403361344</v>
      </c>
      <c r="E362" s="66">
        <v>28.9573109243697</v>
      </c>
      <c r="F362" s="66">
        <v>828.12535687022296</v>
      </c>
      <c r="G362" s="33">
        <v>304</v>
      </c>
      <c r="H362" s="32">
        <v>114.68</v>
      </c>
      <c r="I362" s="34">
        <v>438</v>
      </c>
      <c r="J362" s="34">
        <v>257</v>
      </c>
      <c r="K362" s="35">
        <v>0.103561630292395</v>
      </c>
      <c r="L362" s="34" t="s">
        <v>5</v>
      </c>
      <c r="M362" s="31" t="s">
        <v>113</v>
      </c>
      <c r="N362" s="31" t="s">
        <v>84</v>
      </c>
      <c r="O362" s="31" t="s">
        <v>4</v>
      </c>
      <c r="P362" s="31" t="s">
        <v>3</v>
      </c>
      <c r="Q362" s="36"/>
    </row>
    <row r="363" spans="1:17" x14ac:dyDescent="0.2">
      <c r="A363" s="30">
        <f>RANK(B363,$B$2:$B$551,1)</f>
        <v>362</v>
      </c>
      <c r="B363" s="46">
        <f>AVERAGE(G363,I363,J363)</f>
        <v>333.33333333333331</v>
      </c>
      <c r="C363" s="31" t="s">
        <v>225</v>
      </c>
      <c r="D363" s="66">
        <v>390.304069767442</v>
      </c>
      <c r="E363" s="66">
        <v>31.226744186046599</v>
      </c>
      <c r="F363" s="66">
        <v>2488.9340585146301</v>
      </c>
      <c r="G363" s="33">
        <v>288</v>
      </c>
      <c r="H363" s="32">
        <v>115.93</v>
      </c>
      <c r="I363" s="34">
        <v>267</v>
      </c>
      <c r="J363" s="34">
        <v>445</v>
      </c>
      <c r="K363" s="35">
        <v>-1.26724348038021</v>
      </c>
      <c r="L363" s="34" t="s">
        <v>20</v>
      </c>
      <c r="M363" s="31" t="s">
        <v>224</v>
      </c>
      <c r="N363" s="31" t="s">
        <v>226</v>
      </c>
      <c r="O363" s="31" t="s">
        <v>4</v>
      </c>
      <c r="P363" s="31" t="s">
        <v>3</v>
      </c>
      <c r="Q363" s="36"/>
    </row>
    <row r="364" spans="1:17" x14ac:dyDescent="0.2">
      <c r="A364" s="30">
        <f>RANK(B364,$B$2:$B$551,1)</f>
        <v>363</v>
      </c>
      <c r="B364" s="46">
        <f>AVERAGE(G364,I364,J364)</f>
        <v>334</v>
      </c>
      <c r="C364" s="31" t="s">
        <v>1033</v>
      </c>
      <c r="D364" s="66">
        <v>196.39600739697099</v>
      </c>
      <c r="E364" s="66">
        <v>48.2470588235294</v>
      </c>
      <c r="F364" s="66">
        <v>1101.13748906362</v>
      </c>
      <c r="G364" s="33">
        <v>153</v>
      </c>
      <c r="H364" s="32">
        <v>111.91</v>
      </c>
      <c r="I364" s="34">
        <v>567</v>
      </c>
      <c r="J364" s="34">
        <v>282</v>
      </c>
      <c r="K364" s="35">
        <v>-4.7813146997929601E-2</v>
      </c>
      <c r="L364" s="34" t="s">
        <v>5</v>
      </c>
      <c r="M364" s="31" t="s">
        <v>1032</v>
      </c>
      <c r="N364" s="31" t="s">
        <v>248</v>
      </c>
      <c r="O364" s="31" t="s">
        <v>4</v>
      </c>
      <c r="P364" s="31" t="s">
        <v>3</v>
      </c>
      <c r="Q364" s="36"/>
    </row>
    <row r="365" spans="1:17" x14ac:dyDescent="0.2">
      <c r="A365" s="30">
        <f>RANK(B365,$B$2:$B$551,1)</f>
        <v>364</v>
      </c>
      <c r="B365" s="46">
        <f>AVERAGE(G365,I365,J365)</f>
        <v>335.66666666666669</v>
      </c>
      <c r="C365" s="31" t="s">
        <v>999</v>
      </c>
      <c r="D365" s="66">
        <v>74.023121387283197</v>
      </c>
      <c r="E365" s="66">
        <v>16</v>
      </c>
      <c r="F365" s="66">
        <v>1131.3880290882</v>
      </c>
      <c r="G365" s="33">
        <v>506</v>
      </c>
      <c r="H365" s="32">
        <v>115.34</v>
      </c>
      <c r="I365" s="34">
        <v>352</v>
      </c>
      <c r="J365" s="34">
        <v>149</v>
      </c>
      <c r="K365" s="35">
        <v>0.89847352164376204</v>
      </c>
      <c r="L365" s="34" t="s">
        <v>5</v>
      </c>
      <c r="M365" s="31" t="s">
        <v>998</v>
      </c>
      <c r="N365" s="31" t="s">
        <v>638</v>
      </c>
      <c r="O365" s="31" t="s">
        <v>4</v>
      </c>
      <c r="P365" s="31" t="s">
        <v>3</v>
      </c>
      <c r="Q365" s="36"/>
    </row>
    <row r="366" spans="1:17" x14ac:dyDescent="0.2">
      <c r="A366" s="30">
        <f>RANK(B366,$B$2:$B$551,1)</f>
        <v>365</v>
      </c>
      <c r="B366" s="46">
        <f>AVERAGE(G366,I366,J366)</f>
        <v>336.33333333333331</v>
      </c>
      <c r="C366" s="31" t="s">
        <v>888</v>
      </c>
      <c r="D366" s="66">
        <v>120.438202247191</v>
      </c>
      <c r="E366" s="66">
        <v>25.634831460674199</v>
      </c>
      <c r="F366" s="66">
        <v>970.68956143530204</v>
      </c>
      <c r="G366" s="33">
        <v>293</v>
      </c>
      <c r="H366" s="32">
        <v>112.46</v>
      </c>
      <c r="I366" s="34">
        <v>554</v>
      </c>
      <c r="J366" s="34">
        <v>162</v>
      </c>
      <c r="K366" s="35">
        <v>0.81924913770230801</v>
      </c>
      <c r="L366" s="34" t="s">
        <v>5</v>
      </c>
      <c r="M366" s="31" t="s">
        <v>887</v>
      </c>
      <c r="N366" s="31" t="s">
        <v>836</v>
      </c>
      <c r="O366" s="31" t="s">
        <v>4</v>
      </c>
      <c r="P366" s="31" t="s">
        <v>3</v>
      </c>
      <c r="Q366" s="36"/>
    </row>
    <row r="367" spans="1:17" x14ac:dyDescent="0.2">
      <c r="A367" s="30">
        <f>RANK(B367,$B$2:$B$551,1)</f>
        <v>365</v>
      </c>
      <c r="B367" s="46">
        <f>AVERAGE(G367,I367,J367)</f>
        <v>336.33333333333331</v>
      </c>
      <c r="C367" s="31" t="s">
        <v>696</v>
      </c>
      <c r="D367" s="66">
        <v>642.51768786127195</v>
      </c>
      <c r="E367" s="66">
        <v>52.570404624277501</v>
      </c>
      <c r="F367" s="66">
        <v>6270.5872165247501</v>
      </c>
      <c r="G367" s="33">
        <v>448</v>
      </c>
      <c r="H367" s="32">
        <v>116.68</v>
      </c>
      <c r="I367" s="34">
        <v>138</v>
      </c>
      <c r="J367" s="34">
        <v>423</v>
      </c>
      <c r="K367" s="35">
        <v>-1.1021462987297399</v>
      </c>
      <c r="L367" s="34" t="s">
        <v>20</v>
      </c>
      <c r="M367" s="31" t="s">
        <v>695</v>
      </c>
      <c r="N367" s="31" t="s">
        <v>125</v>
      </c>
      <c r="O367" s="31" t="s">
        <v>4</v>
      </c>
      <c r="P367" s="31" t="s">
        <v>3</v>
      </c>
      <c r="Q367" s="36"/>
    </row>
    <row r="368" spans="1:17" x14ac:dyDescent="0.2">
      <c r="A368" s="30">
        <f>RANK(B368,$B$2:$B$551,1)</f>
        <v>367</v>
      </c>
      <c r="B368" s="46">
        <f>AVERAGE(G368,I368,J368)</f>
        <v>336.66666666666669</v>
      </c>
      <c r="C368" s="31" t="s">
        <v>708</v>
      </c>
      <c r="D368" s="66">
        <v>128.985433526012</v>
      </c>
      <c r="E368" s="66">
        <v>25</v>
      </c>
      <c r="F368" s="66">
        <v>1392.09803841134</v>
      </c>
      <c r="G368" s="33">
        <v>416</v>
      </c>
      <c r="H368" s="32">
        <v>115.48</v>
      </c>
      <c r="I368" s="34">
        <v>335</v>
      </c>
      <c r="J368" s="34">
        <v>259</v>
      </c>
      <c r="K368" s="35">
        <v>7.7743751852217699E-2</v>
      </c>
      <c r="L368" s="34" t="s">
        <v>5</v>
      </c>
      <c r="M368" s="31" t="s">
        <v>707</v>
      </c>
      <c r="N368" s="31" t="s">
        <v>543</v>
      </c>
      <c r="O368" s="31" t="s">
        <v>4</v>
      </c>
      <c r="P368" s="31" t="s">
        <v>3</v>
      </c>
      <c r="Q368" s="36"/>
    </row>
    <row r="369" spans="1:17" x14ac:dyDescent="0.2">
      <c r="A369" s="30">
        <f>RANK(B369,$B$2:$B$551,1)</f>
        <v>368</v>
      </c>
      <c r="B369" s="46">
        <f>AVERAGE(G369,I369,J369)</f>
        <v>337</v>
      </c>
      <c r="C369" s="31" t="s">
        <v>1091</v>
      </c>
      <c r="D369" s="66">
        <v>188.725637839065</v>
      </c>
      <c r="E369" s="66">
        <v>64</v>
      </c>
      <c r="F369" s="66">
        <v>1968.5437431903299</v>
      </c>
      <c r="G369" s="33">
        <v>322</v>
      </c>
      <c r="H369" s="32">
        <v>116.52</v>
      </c>
      <c r="I369" s="34">
        <v>165</v>
      </c>
      <c r="J369" s="34">
        <v>524</v>
      </c>
      <c r="K369" s="35">
        <v>-2.62308103566791</v>
      </c>
      <c r="L369" s="34" t="s">
        <v>39</v>
      </c>
      <c r="M369" s="31" t="s">
        <v>1090</v>
      </c>
      <c r="N369" s="31" t="s">
        <v>19</v>
      </c>
      <c r="O369" s="31" t="s">
        <v>4</v>
      </c>
      <c r="P369" s="31" t="s">
        <v>3</v>
      </c>
      <c r="Q369" s="36"/>
    </row>
    <row r="370" spans="1:17" x14ac:dyDescent="0.2">
      <c r="A370" s="30">
        <f>RANK(B370,$B$2:$B$551,1)</f>
        <v>369</v>
      </c>
      <c r="B370" s="46">
        <f>AVERAGE(G370,I370,J370)</f>
        <v>337.66666666666669</v>
      </c>
      <c r="C370" s="31" t="s">
        <v>1018</v>
      </c>
      <c r="D370" s="66">
        <v>91.514619883040993</v>
      </c>
      <c r="E370" s="66">
        <v>40.035087719298197</v>
      </c>
      <c r="F370" s="66">
        <v>911.64282038246699</v>
      </c>
      <c r="G370" s="33">
        <v>267</v>
      </c>
      <c r="H370" s="32">
        <v>114.74</v>
      </c>
      <c r="I370" s="34">
        <v>434</v>
      </c>
      <c r="J370" s="34">
        <v>312</v>
      </c>
      <c r="K370" s="35">
        <v>-0.24403470715835099</v>
      </c>
      <c r="L370" s="34" t="s">
        <v>5</v>
      </c>
      <c r="M370" s="31" t="s">
        <v>1017</v>
      </c>
      <c r="N370" s="31" t="s">
        <v>16</v>
      </c>
      <c r="O370" s="31" t="s">
        <v>4</v>
      </c>
      <c r="P370" s="31" t="s">
        <v>3</v>
      </c>
      <c r="Q370" s="36"/>
    </row>
    <row r="371" spans="1:17" x14ac:dyDescent="0.2">
      <c r="A371" s="30">
        <f>RANK(B371,$B$2:$B$551,1)</f>
        <v>370</v>
      </c>
      <c r="B371" s="46">
        <f>AVERAGE(G371,I371,J371)</f>
        <v>338</v>
      </c>
      <c r="C371" s="31" t="s">
        <v>1115</v>
      </c>
      <c r="D371" s="66">
        <v>112.39310344827599</v>
      </c>
      <c r="E371" s="66">
        <v>0</v>
      </c>
      <c r="F371" s="66">
        <v>566.92265480163098</v>
      </c>
      <c r="G371" s="33">
        <v>262</v>
      </c>
      <c r="H371" s="32">
        <v>114.33</v>
      </c>
      <c r="I371" s="34">
        <v>467</v>
      </c>
      <c r="J371" s="34">
        <v>285</v>
      </c>
      <c r="K371" s="35">
        <v>-7.7739427760394803E-2</v>
      </c>
      <c r="L371" s="34" t="s">
        <v>5</v>
      </c>
      <c r="M371" s="31" t="s">
        <v>1114</v>
      </c>
      <c r="N371" s="31" t="s">
        <v>570</v>
      </c>
      <c r="O371" s="31" t="s">
        <v>4</v>
      </c>
      <c r="P371" s="31" t="s">
        <v>3</v>
      </c>
      <c r="Q371" s="36"/>
    </row>
    <row r="372" spans="1:17" x14ac:dyDescent="0.2">
      <c r="A372" s="30">
        <f>RANK(B372,$B$2:$B$551,1)</f>
        <v>371</v>
      </c>
      <c r="B372" s="46">
        <f>AVERAGE(G372,I372,J372)</f>
        <v>338.66666666666669</v>
      </c>
      <c r="C372" s="31" t="s">
        <v>1087</v>
      </c>
      <c r="D372" s="66">
        <v>147.304559714795</v>
      </c>
      <c r="E372" s="66">
        <v>70</v>
      </c>
      <c r="F372" s="66">
        <v>1828.11316189693</v>
      </c>
      <c r="G372" s="33">
        <v>330</v>
      </c>
      <c r="H372" s="32">
        <v>112.07</v>
      </c>
      <c r="I372" s="34">
        <v>564</v>
      </c>
      <c r="J372" s="34">
        <v>122</v>
      </c>
      <c r="K372" s="35">
        <v>1.1486308277092501</v>
      </c>
      <c r="L372" s="34" t="s">
        <v>26</v>
      </c>
      <c r="M372" s="31" t="s">
        <v>1086</v>
      </c>
      <c r="N372" s="31" t="s">
        <v>641</v>
      </c>
      <c r="O372" s="31" t="s">
        <v>4</v>
      </c>
      <c r="P372" s="31" t="s">
        <v>3</v>
      </c>
      <c r="Q372" s="36"/>
    </row>
    <row r="373" spans="1:17" x14ac:dyDescent="0.2">
      <c r="A373" s="30">
        <f>RANK(B373,$B$2:$B$551,1)</f>
        <v>372</v>
      </c>
      <c r="B373" s="46">
        <f>AVERAGE(G373,I373,J373)</f>
        <v>340</v>
      </c>
      <c r="C373" s="31" t="s">
        <v>542</v>
      </c>
      <c r="D373" s="66">
        <v>667.45570192311595</v>
      </c>
      <c r="E373" s="66">
        <v>146.85465116279099</v>
      </c>
      <c r="F373" s="66">
        <v>4443.8663550020401</v>
      </c>
      <c r="G373" s="33">
        <v>227</v>
      </c>
      <c r="H373" s="32">
        <v>113.9</v>
      </c>
      <c r="I373" s="34">
        <v>492</v>
      </c>
      <c r="J373" s="34">
        <v>301</v>
      </c>
      <c r="K373" s="35">
        <v>-0.18333997608609001</v>
      </c>
      <c r="L373" s="34" t="s">
        <v>5</v>
      </c>
      <c r="M373" s="31" t="s">
        <v>541</v>
      </c>
      <c r="N373" s="31" t="s">
        <v>543</v>
      </c>
      <c r="O373" s="31" t="s">
        <v>4</v>
      </c>
      <c r="P373" s="31" t="s">
        <v>3</v>
      </c>
      <c r="Q373" s="36"/>
    </row>
    <row r="374" spans="1:17" x14ac:dyDescent="0.2">
      <c r="A374" s="30">
        <f>RANK(B374,$B$2:$B$551,1)</f>
        <v>373</v>
      </c>
      <c r="B374" s="46">
        <f>AVERAGE(G374,I374,J374)</f>
        <v>340.33333333333331</v>
      </c>
      <c r="C374" s="31" t="s">
        <v>1165</v>
      </c>
      <c r="D374" s="66">
        <v>383.752808988764</v>
      </c>
      <c r="E374" s="66">
        <v>383.752808988764</v>
      </c>
      <c r="F374" s="66">
        <v>2254.7966292134802</v>
      </c>
      <c r="G374" s="33">
        <v>15</v>
      </c>
      <c r="H374" s="32">
        <v>114.27</v>
      </c>
      <c r="I374" s="34">
        <v>471</v>
      </c>
      <c r="J374" s="34">
        <v>535</v>
      </c>
      <c r="K374" s="35">
        <v>-2.96517789553369</v>
      </c>
      <c r="L374" s="34" t="s">
        <v>39</v>
      </c>
      <c r="M374" s="31" t="s">
        <v>1164</v>
      </c>
      <c r="N374" s="31" t="s">
        <v>332</v>
      </c>
      <c r="O374" s="31" t="s">
        <v>4</v>
      </c>
      <c r="P374" s="31" t="s">
        <v>3</v>
      </c>
      <c r="Q374" s="36"/>
    </row>
    <row r="375" spans="1:17" x14ac:dyDescent="0.2">
      <c r="A375" s="30">
        <f>RANK(B375,$B$2:$B$551,1)</f>
        <v>373</v>
      </c>
      <c r="B375" s="46">
        <f>AVERAGE(G375,I375,J375)</f>
        <v>340.33333333333331</v>
      </c>
      <c r="C375" s="31" t="s">
        <v>1131</v>
      </c>
      <c r="D375" s="66">
        <v>394.16601987142002</v>
      </c>
      <c r="E375" s="66">
        <v>118.564776933567</v>
      </c>
      <c r="F375" s="66">
        <v>2703.7507141792998</v>
      </c>
      <c r="G375" s="33">
        <v>193</v>
      </c>
      <c r="H375" s="32">
        <v>114.53</v>
      </c>
      <c r="I375" s="34">
        <v>449</v>
      </c>
      <c r="J375" s="34">
        <v>379</v>
      </c>
      <c r="K375" s="35">
        <v>-0.86833350136102405</v>
      </c>
      <c r="L375" s="34" t="s">
        <v>5</v>
      </c>
      <c r="M375" s="31" t="s">
        <v>1130</v>
      </c>
      <c r="N375" s="31" t="s">
        <v>71</v>
      </c>
      <c r="O375" s="31" t="s">
        <v>4</v>
      </c>
      <c r="P375" s="31" t="s">
        <v>3</v>
      </c>
      <c r="Q375" s="36"/>
    </row>
    <row r="376" spans="1:17" x14ac:dyDescent="0.2">
      <c r="A376" s="30">
        <f>RANK(B376,$B$2:$B$551,1)</f>
        <v>373</v>
      </c>
      <c r="B376" s="46">
        <f>AVERAGE(G376,I376,J376)</f>
        <v>340.33333333333331</v>
      </c>
      <c r="C376" s="31" t="s">
        <v>838</v>
      </c>
      <c r="D376" s="66">
        <v>86.971264367816104</v>
      </c>
      <c r="E376" s="66">
        <v>0</v>
      </c>
      <c r="F376" s="66">
        <v>482.45479606970702</v>
      </c>
      <c r="G376" s="33">
        <v>294</v>
      </c>
      <c r="H376" s="32">
        <v>112.9</v>
      </c>
      <c r="I376" s="34">
        <v>544</v>
      </c>
      <c r="J376" s="34">
        <v>183</v>
      </c>
      <c r="K376" s="35">
        <v>0.65032585083272998</v>
      </c>
      <c r="L376" s="34" t="s">
        <v>5</v>
      </c>
      <c r="M376" s="31" t="s">
        <v>837</v>
      </c>
      <c r="N376" s="31" t="s">
        <v>525</v>
      </c>
      <c r="O376" s="31" t="s">
        <v>4</v>
      </c>
      <c r="P376" s="31" t="s">
        <v>3</v>
      </c>
      <c r="Q376" s="36"/>
    </row>
    <row r="377" spans="1:17" x14ac:dyDescent="0.2">
      <c r="A377" s="30">
        <f>RANK(B377,$B$2:$B$551,1)</f>
        <v>376</v>
      </c>
      <c r="B377" s="46">
        <f>AVERAGE(G377,I377,J377)</f>
        <v>341</v>
      </c>
      <c r="C377" s="31" t="s">
        <v>1026</v>
      </c>
      <c r="D377" s="66">
        <v>117.380681818182</v>
      </c>
      <c r="E377" s="66">
        <v>12</v>
      </c>
      <c r="F377" s="66">
        <v>1070.4268216144301</v>
      </c>
      <c r="G377" s="33">
        <v>402</v>
      </c>
      <c r="H377" s="32">
        <v>115.17</v>
      </c>
      <c r="I377" s="34">
        <v>379</v>
      </c>
      <c r="J377" s="34">
        <v>242</v>
      </c>
      <c r="K377" s="35">
        <v>0.200086547303511</v>
      </c>
      <c r="L377" s="34" t="s">
        <v>5</v>
      </c>
      <c r="M377" s="31" t="s">
        <v>1025</v>
      </c>
      <c r="N377" s="31" t="s">
        <v>32</v>
      </c>
      <c r="O377" s="31" t="s">
        <v>4</v>
      </c>
      <c r="P377" s="31" t="s">
        <v>3</v>
      </c>
      <c r="Q377" s="36"/>
    </row>
    <row r="378" spans="1:17" x14ac:dyDescent="0.2">
      <c r="A378" s="30">
        <f>RANK(B378,$B$2:$B$551,1)</f>
        <v>377</v>
      </c>
      <c r="B378" s="46">
        <f>AVERAGE(G378,I378,J378)</f>
        <v>341.33333333333331</v>
      </c>
      <c r="C378" s="31" t="s">
        <v>800</v>
      </c>
      <c r="D378" s="66">
        <v>218.68786127167601</v>
      </c>
      <c r="E378" s="66">
        <v>1</v>
      </c>
      <c r="F378" s="66">
        <v>2079.7752538591299</v>
      </c>
      <c r="G378" s="33">
        <v>481</v>
      </c>
      <c r="H378" s="32">
        <v>117.09</v>
      </c>
      <c r="I378" s="34">
        <v>81</v>
      </c>
      <c r="J378" s="34">
        <v>462</v>
      </c>
      <c r="K378" s="35">
        <v>-1.4129629629629601</v>
      </c>
      <c r="L378" s="34" t="s">
        <v>20</v>
      </c>
      <c r="M378" s="31" t="s">
        <v>799</v>
      </c>
      <c r="N378" s="31" t="s">
        <v>52</v>
      </c>
      <c r="O378" s="31" t="s">
        <v>4</v>
      </c>
      <c r="P378" s="31" t="s">
        <v>3</v>
      </c>
      <c r="Q378" s="36"/>
    </row>
    <row r="379" spans="1:17" x14ac:dyDescent="0.2">
      <c r="A379" s="30">
        <f>RANK(B379,$B$2:$B$551,1)</f>
        <v>378</v>
      </c>
      <c r="B379" s="46">
        <f>AVERAGE(G379,I379,J379)</f>
        <v>342.66666666666669</v>
      </c>
      <c r="C379" s="31" t="s">
        <v>1061</v>
      </c>
      <c r="D379" s="66">
        <v>267.69974025974</v>
      </c>
      <c r="E379" s="66">
        <v>22.2057142857144</v>
      </c>
      <c r="F379" s="66">
        <v>2378.62203314831</v>
      </c>
      <c r="G379" s="33">
        <v>406</v>
      </c>
      <c r="H379" s="32">
        <v>116.15</v>
      </c>
      <c r="I379" s="34">
        <v>224</v>
      </c>
      <c r="J379" s="34">
        <v>398</v>
      </c>
      <c r="K379" s="35">
        <v>-0.96541493600067796</v>
      </c>
      <c r="L379" s="34" t="s">
        <v>5</v>
      </c>
      <c r="M379" s="31" t="s">
        <v>1060</v>
      </c>
      <c r="N379" s="31" t="s">
        <v>490</v>
      </c>
      <c r="O379" s="31" t="s">
        <v>4</v>
      </c>
      <c r="P379" s="31" t="s">
        <v>3</v>
      </c>
      <c r="Q379" s="36"/>
    </row>
    <row r="380" spans="1:17" x14ac:dyDescent="0.2">
      <c r="A380" s="30">
        <f>RANK(B380,$B$2:$B$551,1)</f>
        <v>379</v>
      </c>
      <c r="B380" s="46">
        <f>AVERAGE(G380,I380,J380)</f>
        <v>345</v>
      </c>
      <c r="C380" s="31" t="s">
        <v>1075</v>
      </c>
      <c r="D380" s="66">
        <v>322.79409951845901</v>
      </c>
      <c r="E380" s="66">
        <v>37.848314606741603</v>
      </c>
      <c r="F380" s="66">
        <v>2495.7425671021801</v>
      </c>
      <c r="G380" s="33">
        <v>337</v>
      </c>
      <c r="H380" s="32">
        <v>115.47</v>
      </c>
      <c r="I380" s="34">
        <v>337</v>
      </c>
      <c r="J380" s="34">
        <v>361</v>
      </c>
      <c r="K380" s="35">
        <v>-0.70627091773824202</v>
      </c>
      <c r="L380" s="34" t="s">
        <v>5</v>
      </c>
      <c r="M380" s="31" t="s">
        <v>1074</v>
      </c>
      <c r="N380" s="31" t="s">
        <v>140</v>
      </c>
      <c r="O380" s="31" t="s">
        <v>4</v>
      </c>
      <c r="P380" s="31" t="s">
        <v>3</v>
      </c>
      <c r="Q380" s="36"/>
    </row>
    <row r="381" spans="1:17" x14ac:dyDescent="0.2">
      <c r="A381" s="30">
        <f>RANK(B381,$B$2:$B$551,1)</f>
        <v>380</v>
      </c>
      <c r="B381" s="46">
        <f>AVERAGE(G381,I381,J381)</f>
        <v>345.33333333333331</v>
      </c>
      <c r="C381" s="31" t="s">
        <v>620</v>
      </c>
      <c r="D381" s="66">
        <v>119.79497076023399</v>
      </c>
      <c r="E381" s="66">
        <v>15.7892397660819</v>
      </c>
      <c r="F381" s="66">
        <v>942.65890209394399</v>
      </c>
      <c r="G381" s="33">
        <v>331</v>
      </c>
      <c r="H381" s="32">
        <v>115.57</v>
      </c>
      <c r="I381" s="34">
        <v>322</v>
      </c>
      <c r="J381" s="34">
        <v>383</v>
      </c>
      <c r="K381" s="35">
        <v>-0.89468671679197997</v>
      </c>
      <c r="L381" s="34" t="s">
        <v>5</v>
      </c>
      <c r="M381" s="31" t="s">
        <v>619</v>
      </c>
      <c r="N381" s="31" t="s">
        <v>474</v>
      </c>
      <c r="O381" s="31" t="s">
        <v>4</v>
      </c>
      <c r="P381" s="31" t="s">
        <v>3</v>
      </c>
      <c r="Q381" s="36"/>
    </row>
    <row r="382" spans="1:17" x14ac:dyDescent="0.2">
      <c r="A382" s="30">
        <f>RANK(B382,$B$2:$B$551,1)</f>
        <v>381</v>
      </c>
      <c r="B382" s="46">
        <f>AVERAGE(G382,I382,J382)</f>
        <v>345.66666666666669</v>
      </c>
      <c r="C382" s="31" t="s">
        <v>297</v>
      </c>
      <c r="D382" s="66">
        <v>106.39285831581699</v>
      </c>
      <c r="E382" s="66">
        <v>37.529261363636301</v>
      </c>
      <c r="F382" s="66">
        <v>1149.6685236384001</v>
      </c>
      <c r="G382" s="33">
        <v>332</v>
      </c>
      <c r="H382" s="32">
        <v>115.76</v>
      </c>
      <c r="I382" s="34">
        <v>291</v>
      </c>
      <c r="J382" s="34">
        <v>414</v>
      </c>
      <c r="K382" s="35">
        <v>-1.08024731113544</v>
      </c>
      <c r="L382" s="34" t="s">
        <v>20</v>
      </c>
      <c r="M382" s="31" t="s">
        <v>426</v>
      </c>
      <c r="N382" s="31" t="s">
        <v>359</v>
      </c>
      <c r="O382" s="31" t="s">
        <v>4</v>
      </c>
      <c r="P382" s="31" t="s">
        <v>3</v>
      </c>
      <c r="Q382" s="36"/>
    </row>
    <row r="383" spans="1:17" x14ac:dyDescent="0.2">
      <c r="A383" s="30">
        <f>RANK(B383,$B$2:$B$551,1)</f>
        <v>382</v>
      </c>
      <c r="B383" s="46">
        <f>AVERAGE(G383,I383,J383)</f>
        <v>346.33333333333331</v>
      </c>
      <c r="C383" s="31" t="s">
        <v>588</v>
      </c>
      <c r="D383" s="66">
        <v>59.664060175794503</v>
      </c>
      <c r="E383" s="66">
        <v>11.6666666666667</v>
      </c>
      <c r="F383" s="66">
        <v>999.90117873890404</v>
      </c>
      <c r="G383" s="33">
        <v>527</v>
      </c>
      <c r="H383" s="32">
        <v>115.11</v>
      </c>
      <c r="I383" s="34">
        <v>386</v>
      </c>
      <c r="J383" s="34">
        <v>126</v>
      </c>
      <c r="K383" s="35">
        <v>1.09753513272362</v>
      </c>
      <c r="L383" s="34" t="s">
        <v>26</v>
      </c>
      <c r="M383" s="31" t="s">
        <v>587</v>
      </c>
      <c r="N383" s="31" t="s">
        <v>460</v>
      </c>
      <c r="O383" s="31" t="s">
        <v>4</v>
      </c>
      <c r="P383" s="31" t="s">
        <v>3</v>
      </c>
      <c r="Q383" s="36"/>
    </row>
    <row r="384" spans="1:17" x14ac:dyDescent="0.2">
      <c r="A384" s="30">
        <f>RANK(B384,$B$2:$B$551,1)</f>
        <v>383</v>
      </c>
      <c r="B384" s="46">
        <f>AVERAGE(G384,I384,J384)</f>
        <v>347</v>
      </c>
      <c r="C384" s="31" t="s">
        <v>127</v>
      </c>
      <c r="D384" s="66">
        <v>623.34921348314595</v>
      </c>
      <c r="E384" s="66">
        <v>38.561797752808999</v>
      </c>
      <c r="F384" s="66">
        <v>2640.1611695607799</v>
      </c>
      <c r="G384" s="33">
        <v>164</v>
      </c>
      <c r="H384" s="32">
        <v>114.44</v>
      </c>
      <c r="I384" s="34">
        <v>460</v>
      </c>
      <c r="J384" s="34">
        <v>417</v>
      </c>
      <c r="K384" s="35">
        <v>-1.08667691877534</v>
      </c>
      <c r="L384" s="34" t="s">
        <v>20</v>
      </c>
      <c r="M384" s="31" t="s">
        <v>126</v>
      </c>
      <c r="N384" s="31" t="s">
        <v>29</v>
      </c>
      <c r="O384" s="31" t="s">
        <v>4</v>
      </c>
      <c r="P384" s="31" t="s">
        <v>3</v>
      </c>
      <c r="Q384" s="36"/>
    </row>
    <row r="385" spans="1:17" x14ac:dyDescent="0.2">
      <c r="A385" s="30">
        <f>RANK(B385,$B$2:$B$551,1)</f>
        <v>384</v>
      </c>
      <c r="B385" s="46">
        <f>AVERAGE(G385,I385,J385)</f>
        <v>347.66666666666669</v>
      </c>
      <c r="C385" s="31" t="s">
        <v>714</v>
      </c>
      <c r="D385" s="66">
        <v>24.553571428571399</v>
      </c>
      <c r="E385" s="66">
        <v>6</v>
      </c>
      <c r="F385" s="66">
        <v>805.40901672786595</v>
      </c>
      <c r="G385" s="33">
        <v>585</v>
      </c>
      <c r="H385" s="32">
        <v>117.19</v>
      </c>
      <c r="I385" s="34">
        <v>72</v>
      </c>
      <c r="J385" s="34">
        <v>386</v>
      </c>
      <c r="K385" s="35">
        <v>-0.90863049632496196</v>
      </c>
      <c r="L385" s="34" t="s">
        <v>5</v>
      </c>
      <c r="M385" s="31" t="s">
        <v>713</v>
      </c>
      <c r="N385" s="31" t="s">
        <v>715</v>
      </c>
      <c r="O385" s="31" t="s">
        <v>4</v>
      </c>
      <c r="P385" s="31" t="s">
        <v>3</v>
      </c>
      <c r="Q385" s="36"/>
    </row>
    <row r="386" spans="1:17" x14ac:dyDescent="0.2">
      <c r="A386" s="30">
        <f>RANK(B386,$B$2:$B$551,1)</f>
        <v>385</v>
      </c>
      <c r="B386" s="46">
        <f>AVERAGE(G386,I386,J386)</f>
        <v>348</v>
      </c>
      <c r="C386" s="31" t="s">
        <v>377</v>
      </c>
      <c r="D386" s="66">
        <v>218.361018853552</v>
      </c>
      <c r="E386" s="66">
        <v>0</v>
      </c>
      <c r="F386" s="66">
        <v>2127.0991428389998</v>
      </c>
      <c r="G386" s="33">
        <v>491</v>
      </c>
      <c r="H386" s="32">
        <v>115.75</v>
      </c>
      <c r="I386" s="34">
        <v>295</v>
      </c>
      <c r="J386" s="34">
        <v>258</v>
      </c>
      <c r="K386" s="35">
        <v>8.85913426265591E-2</v>
      </c>
      <c r="L386" s="34" t="s">
        <v>5</v>
      </c>
      <c r="M386" s="31" t="s">
        <v>376</v>
      </c>
      <c r="N386" s="31" t="s">
        <v>378</v>
      </c>
      <c r="O386" s="31" t="s">
        <v>4</v>
      </c>
      <c r="P386" s="31" t="s">
        <v>3</v>
      </c>
      <c r="Q386" s="36"/>
    </row>
    <row r="387" spans="1:17" x14ac:dyDescent="0.2">
      <c r="A387" s="30">
        <f>RANK(B387,$B$2:$B$551,1)</f>
        <v>386</v>
      </c>
      <c r="B387" s="46">
        <f>AVERAGE(G387,I387,J387)</f>
        <v>350</v>
      </c>
      <c r="C387" s="31" t="s">
        <v>1010</v>
      </c>
      <c r="D387" s="66">
        <v>289.67713483146099</v>
      </c>
      <c r="E387" s="66">
        <v>150.87320224719099</v>
      </c>
      <c r="F387" s="66">
        <v>1768.6749875155999</v>
      </c>
      <c r="G387" s="33">
        <v>80</v>
      </c>
      <c r="H387" s="32">
        <v>113.86</v>
      </c>
      <c r="I387" s="34">
        <v>494</v>
      </c>
      <c r="J387" s="34">
        <v>476</v>
      </c>
      <c r="K387" s="35">
        <v>-1.6170808540427</v>
      </c>
      <c r="L387" s="34" t="s">
        <v>20</v>
      </c>
      <c r="M387" s="31" t="s">
        <v>1009</v>
      </c>
      <c r="N387" s="31" t="s">
        <v>55</v>
      </c>
      <c r="O387" s="31" t="s">
        <v>4</v>
      </c>
      <c r="P387" s="31" t="s">
        <v>3</v>
      </c>
      <c r="Q387" s="36"/>
    </row>
    <row r="388" spans="1:17" x14ac:dyDescent="0.2">
      <c r="A388" s="30">
        <f>RANK(B388,$B$2:$B$551,1)</f>
        <v>386</v>
      </c>
      <c r="B388" s="46">
        <f>AVERAGE(G388,I388,J388)</f>
        <v>350</v>
      </c>
      <c r="C388" s="31" t="s">
        <v>41</v>
      </c>
      <c r="D388" s="66">
        <v>629.39080976365699</v>
      </c>
      <c r="E388" s="66">
        <v>188.28089887640499</v>
      </c>
      <c r="F388" s="66">
        <v>3631.02736923673</v>
      </c>
      <c r="G388" s="33">
        <v>136</v>
      </c>
      <c r="H388" s="32">
        <v>115</v>
      </c>
      <c r="I388" s="34">
        <v>396</v>
      </c>
      <c r="J388" s="34">
        <v>518</v>
      </c>
      <c r="K388" s="35">
        <v>-2.4382914063819001</v>
      </c>
      <c r="L388" s="34" t="s">
        <v>39</v>
      </c>
      <c r="M388" s="31" t="s">
        <v>40</v>
      </c>
      <c r="N388" s="31" t="s">
        <v>42</v>
      </c>
      <c r="O388" s="31" t="s">
        <v>4</v>
      </c>
      <c r="P388" s="31" t="s">
        <v>3</v>
      </c>
      <c r="Q388" s="36"/>
    </row>
    <row r="389" spans="1:17" x14ac:dyDescent="0.2">
      <c r="A389" s="30">
        <f>RANK(B389,$B$2:$B$551,1)</f>
        <v>386</v>
      </c>
      <c r="B389" s="46">
        <f>AVERAGE(G389,I389,J389)</f>
        <v>350</v>
      </c>
      <c r="C389" s="31" t="s">
        <v>864</v>
      </c>
      <c r="D389" s="66">
        <v>100.29239766081901</v>
      </c>
      <c r="E389" s="66">
        <v>16</v>
      </c>
      <c r="F389" s="66">
        <v>607.26352979222304</v>
      </c>
      <c r="G389" s="33">
        <v>226</v>
      </c>
      <c r="H389" s="32">
        <v>114.77</v>
      </c>
      <c r="I389" s="34">
        <v>428</v>
      </c>
      <c r="J389" s="34">
        <v>396</v>
      </c>
      <c r="K389" s="35">
        <v>-0.96391911707957101</v>
      </c>
      <c r="L389" s="34" t="s">
        <v>5</v>
      </c>
      <c r="M389" s="31" t="s">
        <v>863</v>
      </c>
      <c r="N389" s="31" t="s">
        <v>8</v>
      </c>
      <c r="O389" s="31" t="s">
        <v>4</v>
      </c>
      <c r="P389" s="31" t="s">
        <v>3</v>
      </c>
      <c r="Q389" s="36"/>
    </row>
    <row r="390" spans="1:17" x14ac:dyDescent="0.2">
      <c r="A390" s="30">
        <f>RANK(B390,$B$2:$B$551,1)</f>
        <v>389</v>
      </c>
      <c r="B390" s="46">
        <f>AVERAGE(G390,I390,J390)</f>
        <v>350.33333333333331</v>
      </c>
      <c r="C390" s="31" t="s">
        <v>436</v>
      </c>
      <c r="D390" s="66">
        <v>264.50824039264802</v>
      </c>
      <c r="E390" s="66">
        <v>0</v>
      </c>
      <c r="F390" s="66">
        <v>2137.3417129854201</v>
      </c>
      <c r="G390" s="33">
        <v>442</v>
      </c>
      <c r="H390" s="32">
        <v>115.92</v>
      </c>
      <c r="I390" s="34">
        <v>268</v>
      </c>
      <c r="J390" s="34">
        <v>341</v>
      </c>
      <c r="K390" s="35">
        <v>-0.48749026058349898</v>
      </c>
      <c r="L390" s="34" t="s">
        <v>5</v>
      </c>
      <c r="M390" s="31" t="s">
        <v>435</v>
      </c>
      <c r="N390" s="31" t="s">
        <v>437</v>
      </c>
      <c r="O390" s="31" t="s">
        <v>4</v>
      </c>
      <c r="P390" s="31" t="s">
        <v>3</v>
      </c>
      <c r="Q390" s="36"/>
    </row>
    <row r="391" spans="1:17" x14ac:dyDescent="0.2">
      <c r="A391" s="30">
        <f>RANK(B391,$B$2:$B$551,1)</f>
        <v>390</v>
      </c>
      <c r="B391" s="46">
        <f>AVERAGE(G391,I391,J391)</f>
        <v>350.66666666666669</v>
      </c>
      <c r="C391" s="31" t="s">
        <v>206</v>
      </c>
      <c r="D391" s="66">
        <v>268.21288715644801</v>
      </c>
      <c r="E391" s="66">
        <v>35</v>
      </c>
      <c r="F391" s="66">
        <v>1946.83066143159</v>
      </c>
      <c r="G391" s="33">
        <v>302</v>
      </c>
      <c r="H391" s="32">
        <v>116.14</v>
      </c>
      <c r="I391" s="34">
        <v>228</v>
      </c>
      <c r="J391" s="34">
        <v>522</v>
      </c>
      <c r="K391" s="35">
        <v>-2.5721688896440398</v>
      </c>
      <c r="L391" s="34" t="s">
        <v>39</v>
      </c>
      <c r="M391" s="31" t="s">
        <v>205</v>
      </c>
      <c r="N391" s="31" t="s">
        <v>106</v>
      </c>
      <c r="O391" s="31" t="s">
        <v>4</v>
      </c>
      <c r="P391" s="31" t="s">
        <v>3</v>
      </c>
      <c r="Q391" s="36"/>
    </row>
    <row r="392" spans="1:17" x14ac:dyDescent="0.2">
      <c r="A392" s="30">
        <f>RANK(B392,$B$2:$B$551,1)</f>
        <v>390</v>
      </c>
      <c r="B392" s="46">
        <f>AVERAGE(G392,I392,J392)</f>
        <v>350.66666666666669</v>
      </c>
      <c r="C392" s="31" t="s">
        <v>654</v>
      </c>
      <c r="D392" s="66">
        <v>62.567000167084302</v>
      </c>
      <c r="E392" s="66">
        <v>17.731428571428602</v>
      </c>
      <c r="F392" s="66">
        <v>982.30507778537196</v>
      </c>
      <c r="G392" s="33">
        <v>493</v>
      </c>
      <c r="H392" s="32">
        <v>113.83</v>
      </c>
      <c r="I392" s="34">
        <v>497</v>
      </c>
      <c r="J392" s="34">
        <v>62</v>
      </c>
      <c r="K392" s="35">
        <v>1.9957115829304199</v>
      </c>
      <c r="L392" s="34" t="s">
        <v>26</v>
      </c>
      <c r="M392" s="31" t="s">
        <v>653</v>
      </c>
      <c r="N392" s="31" t="s">
        <v>150</v>
      </c>
      <c r="O392" s="31" t="s">
        <v>4</v>
      </c>
      <c r="P392" s="31" t="s">
        <v>3</v>
      </c>
      <c r="Q392" s="36"/>
    </row>
    <row r="393" spans="1:17" x14ac:dyDescent="0.2">
      <c r="A393" s="30">
        <f>RANK(B393,$B$2:$B$551,1)</f>
        <v>390</v>
      </c>
      <c r="B393" s="46">
        <f>AVERAGE(G393,I393,J393)</f>
        <v>350.66666666666669</v>
      </c>
      <c r="C393" s="31" t="s">
        <v>385</v>
      </c>
      <c r="D393" s="66">
        <v>193.18956596094</v>
      </c>
      <c r="E393" s="66">
        <v>49.122774566474</v>
      </c>
      <c r="F393" s="66">
        <v>3185.5798228272402</v>
      </c>
      <c r="G393" s="33">
        <v>515</v>
      </c>
      <c r="H393" s="32">
        <v>114.77</v>
      </c>
      <c r="I393" s="34">
        <v>428</v>
      </c>
      <c r="J393" s="34">
        <v>109</v>
      </c>
      <c r="K393" s="35">
        <v>1.30379746835443</v>
      </c>
      <c r="L393" s="34" t="s">
        <v>26</v>
      </c>
      <c r="M393" s="31" t="s">
        <v>384</v>
      </c>
      <c r="N393" s="31" t="s">
        <v>10</v>
      </c>
      <c r="O393" s="31" t="s">
        <v>4</v>
      </c>
      <c r="P393" s="31" t="s">
        <v>3</v>
      </c>
      <c r="Q393" s="36"/>
    </row>
    <row r="394" spans="1:17" x14ac:dyDescent="0.2">
      <c r="A394" s="30">
        <f>RANK(B394,$B$2:$B$551,1)</f>
        <v>393</v>
      </c>
      <c r="B394" s="46">
        <f>AVERAGE(G394,I394,J394)</f>
        <v>351.66666666666669</v>
      </c>
      <c r="C394" s="31" t="s">
        <v>1005</v>
      </c>
      <c r="D394" s="66">
        <v>145.244143014873</v>
      </c>
      <c r="E394" s="66">
        <v>0</v>
      </c>
      <c r="F394" s="66">
        <v>1773.5076599337499</v>
      </c>
      <c r="G394" s="33">
        <v>534</v>
      </c>
      <c r="H394" s="32">
        <v>114.75</v>
      </c>
      <c r="I394" s="34">
        <v>432</v>
      </c>
      <c r="J394" s="34">
        <v>89</v>
      </c>
      <c r="K394" s="35">
        <v>1.5294828573246</v>
      </c>
      <c r="L394" s="34" t="s">
        <v>26</v>
      </c>
      <c r="M394" s="31" t="s">
        <v>1004</v>
      </c>
      <c r="N394" s="31" t="s">
        <v>115</v>
      </c>
      <c r="O394" s="31" t="s">
        <v>4</v>
      </c>
      <c r="P394" s="31" t="s">
        <v>3</v>
      </c>
      <c r="Q394" s="36"/>
    </row>
    <row r="395" spans="1:17" x14ac:dyDescent="0.2">
      <c r="A395" s="30">
        <f>RANK(B395,$B$2:$B$551,1)</f>
        <v>394</v>
      </c>
      <c r="B395" s="46">
        <f>AVERAGE(G395,I395,J395)</f>
        <v>352.66666666666669</v>
      </c>
      <c r="C395" s="31" t="s">
        <v>62</v>
      </c>
      <c r="D395" s="66">
        <v>339.47416069364198</v>
      </c>
      <c r="E395" s="66">
        <v>164.326114285714</v>
      </c>
      <c r="F395" s="66">
        <v>2123.1681400009702</v>
      </c>
      <c r="G395" s="33">
        <v>96</v>
      </c>
      <c r="H395" s="32">
        <v>114.86</v>
      </c>
      <c r="I395" s="34">
        <v>423</v>
      </c>
      <c r="J395" s="34">
        <v>539</v>
      </c>
      <c r="K395" s="35">
        <v>-3.0956608388441</v>
      </c>
      <c r="L395" s="34" t="s">
        <v>39</v>
      </c>
      <c r="M395" s="31" t="s">
        <v>61</v>
      </c>
      <c r="N395" s="31" t="s">
        <v>42</v>
      </c>
      <c r="O395" s="31" t="s">
        <v>4</v>
      </c>
      <c r="P395" s="31" t="s">
        <v>3</v>
      </c>
      <c r="Q395" s="36"/>
    </row>
    <row r="396" spans="1:17" x14ac:dyDescent="0.2">
      <c r="A396" s="30">
        <f>RANK(B396,$B$2:$B$551,1)</f>
        <v>395</v>
      </c>
      <c r="B396" s="46">
        <f>AVERAGE(G396,I396,J396)</f>
        <v>353.33333333333331</v>
      </c>
      <c r="C396" s="31" t="s">
        <v>1059</v>
      </c>
      <c r="D396" s="66">
        <v>403.67270764119598</v>
      </c>
      <c r="E396" s="66">
        <v>90</v>
      </c>
      <c r="F396" s="66">
        <v>2136.24210804619</v>
      </c>
      <c r="G396" s="33">
        <v>146</v>
      </c>
      <c r="H396" s="32">
        <v>115.14</v>
      </c>
      <c r="I396" s="34">
        <v>384</v>
      </c>
      <c r="J396" s="34">
        <v>530</v>
      </c>
      <c r="K396" s="35">
        <v>-2.8204498575778398</v>
      </c>
      <c r="L396" s="34" t="s">
        <v>39</v>
      </c>
      <c r="M396" s="31" t="s">
        <v>1058</v>
      </c>
      <c r="N396" s="31" t="s">
        <v>683</v>
      </c>
      <c r="O396" s="31" t="s">
        <v>4</v>
      </c>
      <c r="P396" s="31" t="s">
        <v>3</v>
      </c>
      <c r="Q396" s="36"/>
    </row>
    <row r="397" spans="1:17" x14ac:dyDescent="0.2">
      <c r="A397" s="30">
        <f>RANK(B397,$B$2:$B$551,1)</f>
        <v>396</v>
      </c>
      <c r="B397" s="46">
        <f>AVERAGE(G397,I397,J397)</f>
        <v>354.66666666666669</v>
      </c>
      <c r="C397" s="31" t="s">
        <v>929</v>
      </c>
      <c r="D397" s="66">
        <v>497.00274769506001</v>
      </c>
      <c r="E397" s="66">
        <v>116.79651162790699</v>
      </c>
      <c r="F397" s="66">
        <v>5987.3872550682099</v>
      </c>
      <c r="G397" s="33">
        <v>439</v>
      </c>
      <c r="H397" s="32">
        <v>116.27</v>
      </c>
      <c r="I397" s="34">
        <v>201</v>
      </c>
      <c r="J397" s="34">
        <v>424</v>
      </c>
      <c r="K397" s="35">
        <v>-1.11637591446258</v>
      </c>
      <c r="L397" s="34" t="s">
        <v>20</v>
      </c>
      <c r="M397" s="31" t="s">
        <v>928</v>
      </c>
      <c r="N397" s="31" t="s">
        <v>200</v>
      </c>
      <c r="O397" s="31" t="s">
        <v>4</v>
      </c>
      <c r="P397" s="31" t="s">
        <v>3</v>
      </c>
      <c r="Q397" s="36"/>
    </row>
    <row r="398" spans="1:17" x14ac:dyDescent="0.2">
      <c r="A398" s="30">
        <f>RANK(B398,$B$2:$B$551,1)</f>
        <v>397</v>
      </c>
      <c r="B398" s="46">
        <f>AVERAGE(G398,I398,J398)</f>
        <v>355</v>
      </c>
      <c r="C398" s="31" t="s">
        <v>168</v>
      </c>
      <c r="D398" s="66">
        <v>184.930337078652</v>
      </c>
      <c r="E398" s="66">
        <v>34.589887640449398</v>
      </c>
      <c r="F398" s="66">
        <v>1461.87709113608</v>
      </c>
      <c r="G398" s="33">
        <v>298</v>
      </c>
      <c r="H398" s="32">
        <v>113.95</v>
      </c>
      <c r="I398" s="34">
        <v>491</v>
      </c>
      <c r="J398" s="34">
        <v>276</v>
      </c>
      <c r="K398" s="35">
        <v>-1.8436873747494999E-2</v>
      </c>
      <c r="L398" s="34" t="s">
        <v>5</v>
      </c>
      <c r="M398" s="31" t="s">
        <v>167</v>
      </c>
      <c r="N398" s="31" t="s">
        <v>169</v>
      </c>
      <c r="O398" s="31" t="s">
        <v>4</v>
      </c>
      <c r="P398" s="31" t="s">
        <v>3</v>
      </c>
      <c r="Q398" s="36"/>
    </row>
    <row r="399" spans="1:17" x14ac:dyDescent="0.2">
      <c r="A399" s="30">
        <f>RANK(B399,$B$2:$B$551,1)</f>
        <v>398</v>
      </c>
      <c r="B399" s="46">
        <f>AVERAGE(G399,I399,J399)</f>
        <v>356</v>
      </c>
      <c r="C399" s="31" t="s">
        <v>156</v>
      </c>
      <c r="D399" s="66">
        <v>121.274540517962</v>
      </c>
      <c r="E399" s="66">
        <v>0</v>
      </c>
      <c r="F399" s="66">
        <v>1722.0929642961601</v>
      </c>
      <c r="G399" s="33">
        <v>552</v>
      </c>
      <c r="H399" s="32">
        <v>117.39</v>
      </c>
      <c r="I399" s="34">
        <v>55</v>
      </c>
      <c r="J399" s="34">
        <v>461</v>
      </c>
      <c r="K399" s="35">
        <v>-1.4038080975557601</v>
      </c>
      <c r="L399" s="34" t="s">
        <v>20</v>
      </c>
      <c r="M399" s="31" t="s">
        <v>155</v>
      </c>
      <c r="N399" s="31" t="s">
        <v>2</v>
      </c>
      <c r="O399" s="31" t="s">
        <v>4</v>
      </c>
      <c r="P399" s="31" t="s">
        <v>3</v>
      </c>
      <c r="Q399" s="36"/>
    </row>
    <row r="400" spans="1:17" x14ac:dyDescent="0.2">
      <c r="A400" s="30">
        <f>RANK(B400,$B$2:$B$551,1)</f>
        <v>399</v>
      </c>
      <c r="B400" s="46">
        <f>AVERAGE(G400,I400,J400)</f>
        <v>357</v>
      </c>
      <c r="C400" s="31" t="s">
        <v>1024</v>
      </c>
      <c r="D400" s="66">
        <v>275.15606936416202</v>
      </c>
      <c r="E400" s="66">
        <v>0</v>
      </c>
      <c r="F400" s="66">
        <v>1037.87430893429</v>
      </c>
      <c r="G400" s="33">
        <v>167</v>
      </c>
      <c r="H400" s="32">
        <v>115</v>
      </c>
      <c r="I400" s="34">
        <v>396</v>
      </c>
      <c r="J400" s="34">
        <v>508</v>
      </c>
      <c r="K400" s="35">
        <v>-2.2124825261080501</v>
      </c>
      <c r="L400" s="34" t="s">
        <v>39</v>
      </c>
      <c r="M400" s="31" t="s">
        <v>1023</v>
      </c>
      <c r="N400" s="31" t="s">
        <v>263</v>
      </c>
      <c r="O400" s="31" t="s">
        <v>4</v>
      </c>
      <c r="P400" s="31" t="s">
        <v>3</v>
      </c>
      <c r="Q400" s="36"/>
    </row>
    <row r="401" spans="1:17" x14ac:dyDescent="0.2">
      <c r="A401" s="30">
        <f>RANK(B401,$B$2:$B$551,1)</f>
        <v>399</v>
      </c>
      <c r="B401" s="46">
        <f>AVERAGE(G401,I401,J401)</f>
        <v>357</v>
      </c>
      <c r="C401" s="31" t="s">
        <v>622</v>
      </c>
      <c r="D401" s="66">
        <v>179.84090909090901</v>
      </c>
      <c r="E401" s="66">
        <v>58.085227272727302</v>
      </c>
      <c r="F401" s="66">
        <v>2084.9630887681201</v>
      </c>
      <c r="G401" s="33">
        <v>379</v>
      </c>
      <c r="H401" s="32">
        <v>113.83</v>
      </c>
      <c r="I401" s="34">
        <v>497</v>
      </c>
      <c r="J401" s="34">
        <v>195</v>
      </c>
      <c r="K401" s="35">
        <v>0.50794585050029395</v>
      </c>
      <c r="L401" s="34" t="s">
        <v>5</v>
      </c>
      <c r="M401" s="31" t="s">
        <v>621</v>
      </c>
      <c r="N401" s="31" t="s">
        <v>71</v>
      </c>
      <c r="O401" s="31" t="s">
        <v>4</v>
      </c>
      <c r="P401" s="31" t="s">
        <v>3</v>
      </c>
      <c r="Q401" s="36"/>
    </row>
    <row r="402" spans="1:17" x14ac:dyDescent="0.2">
      <c r="A402" s="30">
        <f>RANK(B402,$B$2:$B$551,1)</f>
        <v>401</v>
      </c>
      <c r="B402" s="46">
        <f>AVERAGE(G402,I402,J402)</f>
        <v>357.33333333333331</v>
      </c>
      <c r="C402" s="31" t="s">
        <v>1104</v>
      </c>
      <c r="D402" s="66">
        <v>211.97852174198599</v>
      </c>
      <c r="E402" s="66">
        <v>204.38524205202299</v>
      </c>
      <c r="F402" s="66">
        <v>2022.8812125591201</v>
      </c>
      <c r="G402" s="33">
        <v>95</v>
      </c>
      <c r="H402" s="32">
        <v>113.97</v>
      </c>
      <c r="I402" s="34">
        <v>490</v>
      </c>
      <c r="J402" s="34">
        <v>487</v>
      </c>
      <c r="K402" s="35">
        <v>-1.7573564498170799</v>
      </c>
      <c r="L402" s="34" t="s">
        <v>20</v>
      </c>
      <c r="M402" s="31" t="s">
        <v>1103</v>
      </c>
      <c r="N402" s="31" t="s">
        <v>416</v>
      </c>
      <c r="O402" s="31" t="s">
        <v>4</v>
      </c>
      <c r="P402" s="31" t="s">
        <v>3</v>
      </c>
      <c r="Q402" s="36"/>
    </row>
    <row r="403" spans="1:17" x14ac:dyDescent="0.2">
      <c r="A403" s="30">
        <f>RANK(B403,$B$2:$B$551,1)</f>
        <v>401</v>
      </c>
      <c r="B403" s="46">
        <f>AVERAGE(G403,I403,J403)</f>
        <v>357.33333333333331</v>
      </c>
      <c r="C403" s="31" t="s">
        <v>202</v>
      </c>
      <c r="D403" s="66">
        <v>127.169314219295</v>
      </c>
      <c r="E403" s="66">
        <v>30.123595505617999</v>
      </c>
      <c r="F403" s="66">
        <v>2929.1673763399199</v>
      </c>
      <c r="G403" s="33">
        <v>561</v>
      </c>
      <c r="H403" s="32">
        <v>115.24</v>
      </c>
      <c r="I403" s="34">
        <v>366</v>
      </c>
      <c r="J403" s="34">
        <v>145</v>
      </c>
      <c r="K403" s="35">
        <v>0.95010323468685498</v>
      </c>
      <c r="L403" s="34" t="s">
        <v>5</v>
      </c>
      <c r="M403" s="31" t="s">
        <v>201</v>
      </c>
      <c r="N403" s="31" t="s">
        <v>57</v>
      </c>
      <c r="O403" s="31" t="s">
        <v>4</v>
      </c>
      <c r="P403" s="31" t="s">
        <v>3</v>
      </c>
      <c r="Q403" s="36"/>
    </row>
    <row r="404" spans="1:17" x14ac:dyDescent="0.2">
      <c r="A404" s="30">
        <f>RANK(B404,$B$2:$B$551,1)</f>
        <v>403</v>
      </c>
      <c r="B404" s="46">
        <f>AVERAGE(G404,I404,J404)</f>
        <v>358.66666666666669</v>
      </c>
      <c r="C404" s="31" t="s">
        <v>882</v>
      </c>
      <c r="D404" s="66">
        <v>240.82084168755199</v>
      </c>
      <c r="E404" s="66">
        <v>20</v>
      </c>
      <c r="F404" s="66">
        <v>1028.9517665804301</v>
      </c>
      <c r="G404" s="33">
        <v>152</v>
      </c>
      <c r="H404" s="32">
        <v>114.35</v>
      </c>
      <c r="I404" s="34">
        <v>464</v>
      </c>
      <c r="J404" s="34">
        <v>460</v>
      </c>
      <c r="K404" s="35">
        <v>-1.3926799839120501</v>
      </c>
      <c r="L404" s="34" t="s">
        <v>20</v>
      </c>
      <c r="M404" s="31" t="s">
        <v>881</v>
      </c>
      <c r="N404" s="31" t="s">
        <v>248</v>
      </c>
      <c r="O404" s="31" t="s">
        <v>4</v>
      </c>
      <c r="P404" s="31" t="s">
        <v>3</v>
      </c>
      <c r="Q404" s="36"/>
    </row>
    <row r="405" spans="1:17" x14ac:dyDescent="0.2">
      <c r="A405" s="30">
        <f>RANK(B405,$B$2:$B$551,1)</f>
        <v>404</v>
      </c>
      <c r="B405" s="46">
        <f>AVERAGE(G405,I405,J405)</f>
        <v>359</v>
      </c>
      <c r="C405" s="31" t="s">
        <v>1022</v>
      </c>
      <c r="D405" s="66">
        <v>146.68766499743199</v>
      </c>
      <c r="E405" s="66">
        <v>26</v>
      </c>
      <c r="F405" s="66">
        <v>1264.0648938814099</v>
      </c>
      <c r="G405" s="33">
        <v>341</v>
      </c>
      <c r="H405" s="32">
        <v>116</v>
      </c>
      <c r="I405" s="34">
        <v>258</v>
      </c>
      <c r="J405" s="34">
        <v>478</v>
      </c>
      <c r="K405" s="35">
        <v>-1.64098232064201</v>
      </c>
      <c r="L405" s="34" t="s">
        <v>20</v>
      </c>
      <c r="M405" s="31" t="s">
        <v>1021</v>
      </c>
      <c r="N405" s="31" t="s">
        <v>10</v>
      </c>
      <c r="O405" s="31" t="s">
        <v>4</v>
      </c>
      <c r="P405" s="31" t="s">
        <v>3</v>
      </c>
      <c r="Q405" s="36"/>
    </row>
    <row r="406" spans="1:17" x14ac:dyDescent="0.2">
      <c r="A406" s="30">
        <f>RANK(B406,$B$2:$B$551,1)</f>
        <v>405</v>
      </c>
      <c r="B406" s="46">
        <f>AVERAGE(G406,I406,J406)</f>
        <v>359.66666666666669</v>
      </c>
      <c r="C406" s="31" t="s">
        <v>44</v>
      </c>
      <c r="D406" s="66">
        <v>439.13411592081201</v>
      </c>
      <c r="E406" s="66">
        <v>91.353060071558602</v>
      </c>
      <c r="F406" s="66">
        <v>4069.3121989001302</v>
      </c>
      <c r="G406" s="33">
        <v>349</v>
      </c>
      <c r="H406" s="32">
        <v>115.83</v>
      </c>
      <c r="I406" s="34">
        <v>283</v>
      </c>
      <c r="J406" s="34">
        <v>447</v>
      </c>
      <c r="K406" s="35">
        <v>-1.28468737284687</v>
      </c>
      <c r="L406" s="34" t="s">
        <v>20</v>
      </c>
      <c r="M406" s="31" t="s">
        <v>43</v>
      </c>
      <c r="N406" s="31" t="s">
        <v>9</v>
      </c>
      <c r="O406" s="31" t="s">
        <v>4</v>
      </c>
      <c r="P406" s="31" t="s">
        <v>3</v>
      </c>
      <c r="Q406" s="36"/>
    </row>
    <row r="407" spans="1:17" x14ac:dyDescent="0.2">
      <c r="A407" s="30">
        <f>RANK(B407,$B$2:$B$551,1)</f>
        <v>406</v>
      </c>
      <c r="B407" s="46">
        <f>AVERAGE(G407,I407,J407)</f>
        <v>363.33333333333331</v>
      </c>
      <c r="C407" s="31" t="s">
        <v>698</v>
      </c>
      <c r="D407" s="66">
        <v>232.782988505747</v>
      </c>
      <c r="E407" s="66">
        <v>49.666954022988499</v>
      </c>
      <c r="F407" s="66">
        <v>1493.0582953442199</v>
      </c>
      <c r="G407" s="33">
        <v>213</v>
      </c>
      <c r="H407" s="32">
        <v>113.83</v>
      </c>
      <c r="I407" s="34">
        <v>497</v>
      </c>
      <c r="J407" s="34">
        <v>380</v>
      </c>
      <c r="K407" s="35">
        <v>-0.87141935483871003</v>
      </c>
      <c r="L407" s="34" t="s">
        <v>5</v>
      </c>
      <c r="M407" s="31" t="s">
        <v>697</v>
      </c>
      <c r="N407" s="31" t="s">
        <v>226</v>
      </c>
      <c r="O407" s="31" t="s">
        <v>4</v>
      </c>
      <c r="P407" s="31" t="s">
        <v>3</v>
      </c>
      <c r="Q407" s="36"/>
    </row>
    <row r="408" spans="1:17" x14ac:dyDescent="0.2">
      <c r="A408" s="30">
        <f>RANK(B408,$B$2:$B$551,1)</f>
        <v>406</v>
      </c>
      <c r="B408" s="46">
        <f>AVERAGE(G408,I408,J408)</f>
        <v>363.33333333333331</v>
      </c>
      <c r="C408" s="31" t="s">
        <v>862</v>
      </c>
      <c r="D408" s="66">
        <v>241.211428571429</v>
      </c>
      <c r="E408" s="66">
        <v>49.662857142857099</v>
      </c>
      <c r="F408" s="66">
        <v>3080.74</v>
      </c>
      <c r="G408" s="33">
        <v>465</v>
      </c>
      <c r="H408" s="32">
        <v>111.42</v>
      </c>
      <c r="I408" s="34">
        <v>580</v>
      </c>
      <c r="J408" s="34">
        <v>45</v>
      </c>
      <c r="K408" s="35">
        <v>2.2785070095544202</v>
      </c>
      <c r="L408" s="34" t="s">
        <v>56</v>
      </c>
      <c r="M408" s="31" t="s">
        <v>861</v>
      </c>
      <c r="N408" s="31" t="s">
        <v>490</v>
      </c>
      <c r="O408" s="31" t="s">
        <v>4</v>
      </c>
      <c r="P408" s="31" t="s">
        <v>3</v>
      </c>
      <c r="Q408" s="36"/>
    </row>
    <row r="409" spans="1:17" x14ac:dyDescent="0.2">
      <c r="A409" s="30">
        <f>RANK(B409,$B$2:$B$551,1)</f>
        <v>408</v>
      </c>
      <c r="B409" s="46">
        <f>AVERAGE(G409,I409,J409)</f>
        <v>363.66666666666669</v>
      </c>
      <c r="C409" s="31" t="s">
        <v>986</v>
      </c>
      <c r="D409" s="66">
        <v>163.30291817001</v>
      </c>
      <c r="E409" s="66">
        <v>0</v>
      </c>
      <c r="F409" s="66">
        <v>1212.07997264955</v>
      </c>
      <c r="G409" s="33">
        <v>401</v>
      </c>
      <c r="H409" s="32">
        <v>115</v>
      </c>
      <c r="I409" s="34">
        <v>396</v>
      </c>
      <c r="J409" s="34">
        <v>294</v>
      </c>
      <c r="K409" s="35">
        <v>-0.12695383496910201</v>
      </c>
      <c r="L409" s="34" t="s">
        <v>5</v>
      </c>
      <c r="M409" s="31" t="s">
        <v>985</v>
      </c>
      <c r="N409" s="31" t="s">
        <v>370</v>
      </c>
      <c r="O409" s="31" t="s">
        <v>4</v>
      </c>
      <c r="P409" s="31" t="s">
        <v>3</v>
      </c>
      <c r="Q409" s="36"/>
    </row>
    <row r="410" spans="1:17" x14ac:dyDescent="0.2">
      <c r="A410" s="30">
        <f>RANK(B410,$B$2:$B$551,1)</f>
        <v>409</v>
      </c>
      <c r="B410" s="46">
        <f>AVERAGE(G410,I410,J410)</f>
        <v>364</v>
      </c>
      <c r="C410" s="31" t="s">
        <v>772</v>
      </c>
      <c r="D410" s="66">
        <v>1147.50425679206</v>
      </c>
      <c r="E410" s="66">
        <v>284.44318181818198</v>
      </c>
      <c r="F410" s="66">
        <v>8047.4349392633203</v>
      </c>
      <c r="G410" s="33">
        <v>232</v>
      </c>
      <c r="H410" s="32">
        <v>115.21</v>
      </c>
      <c r="I410" s="34">
        <v>372</v>
      </c>
      <c r="J410" s="34">
        <v>488</v>
      </c>
      <c r="K410" s="35">
        <v>-1.77390457643622</v>
      </c>
      <c r="L410" s="34" t="s">
        <v>20</v>
      </c>
      <c r="M410" s="31" t="s">
        <v>771</v>
      </c>
      <c r="N410" s="31" t="s">
        <v>289</v>
      </c>
      <c r="O410" s="31" t="s">
        <v>4</v>
      </c>
      <c r="P410" s="31" t="s">
        <v>3</v>
      </c>
      <c r="Q410" s="36"/>
    </row>
    <row r="411" spans="1:17" x14ac:dyDescent="0.2">
      <c r="A411" s="30">
        <f>RANK(B411,$B$2:$B$551,1)</f>
        <v>410</v>
      </c>
      <c r="B411" s="46">
        <f>AVERAGE(G411,I411,J411)</f>
        <v>364.33333333333331</v>
      </c>
      <c r="C411" s="31" t="s">
        <v>459</v>
      </c>
      <c r="D411" s="66">
        <v>202.74313283207999</v>
      </c>
      <c r="E411" s="66">
        <v>34.877192982456101</v>
      </c>
      <c r="F411" s="66">
        <v>3253.2709735359899</v>
      </c>
      <c r="G411" s="33">
        <v>525</v>
      </c>
      <c r="H411" s="32">
        <v>112.4</v>
      </c>
      <c r="I411" s="34">
        <v>556</v>
      </c>
      <c r="J411" s="34">
        <v>12</v>
      </c>
      <c r="K411" s="35">
        <v>3.7776040648817699</v>
      </c>
      <c r="L411" s="34" t="s">
        <v>56</v>
      </c>
      <c r="M411" s="31" t="s">
        <v>458</v>
      </c>
      <c r="N411" s="31" t="s">
        <v>460</v>
      </c>
      <c r="O411" s="31" t="s">
        <v>4</v>
      </c>
      <c r="P411" s="31" t="s">
        <v>3</v>
      </c>
      <c r="Q411" s="36"/>
    </row>
    <row r="412" spans="1:17" x14ac:dyDescent="0.2">
      <c r="A412" s="30">
        <f>RANK(B412,$B$2:$B$551,1)</f>
        <v>411</v>
      </c>
      <c r="B412" s="46">
        <f>AVERAGE(G412,I412,J412)</f>
        <v>364.66666666666669</v>
      </c>
      <c r="C412" s="31" t="s">
        <v>441</v>
      </c>
      <c r="D412" s="66">
        <v>223.972407344441</v>
      </c>
      <c r="E412" s="66">
        <v>48</v>
      </c>
      <c r="F412" s="66">
        <v>1861.6981789604099</v>
      </c>
      <c r="G412" s="33">
        <v>303</v>
      </c>
      <c r="H412" s="32">
        <v>115.86</v>
      </c>
      <c r="I412" s="34">
        <v>277</v>
      </c>
      <c r="J412" s="34">
        <v>514</v>
      </c>
      <c r="K412" s="35">
        <v>-2.37777777777778</v>
      </c>
      <c r="L412" s="34" t="s">
        <v>39</v>
      </c>
      <c r="M412" s="31" t="s">
        <v>440</v>
      </c>
      <c r="N412" s="31" t="s">
        <v>29</v>
      </c>
      <c r="O412" s="31" t="s">
        <v>4</v>
      </c>
      <c r="P412" s="31" t="s">
        <v>3</v>
      </c>
      <c r="Q412" s="36"/>
    </row>
    <row r="413" spans="1:17" x14ac:dyDescent="0.2">
      <c r="A413" s="30">
        <f>RANK(B413,$B$2:$B$551,1)</f>
        <v>412</v>
      </c>
      <c r="B413" s="46">
        <f>AVERAGE(G413,I413,J413)</f>
        <v>365</v>
      </c>
      <c r="C413" s="31" t="s">
        <v>365</v>
      </c>
      <c r="D413" s="66">
        <v>225.95120998116801</v>
      </c>
      <c r="E413" s="66">
        <v>23.461111111111101</v>
      </c>
      <c r="F413" s="66">
        <v>1940.0603603669299</v>
      </c>
      <c r="G413" s="33">
        <v>386</v>
      </c>
      <c r="H413" s="32">
        <v>115.73</v>
      </c>
      <c r="I413" s="34">
        <v>299</v>
      </c>
      <c r="J413" s="34">
        <v>410</v>
      </c>
      <c r="K413" s="35">
        <v>-1.05250531222154</v>
      </c>
      <c r="L413" s="34" t="s">
        <v>20</v>
      </c>
      <c r="M413" s="31" t="s">
        <v>364</v>
      </c>
      <c r="N413" s="31" t="s">
        <v>42</v>
      </c>
      <c r="O413" s="31" t="s">
        <v>4</v>
      </c>
      <c r="P413" s="31" t="s">
        <v>3</v>
      </c>
      <c r="Q413" s="36"/>
    </row>
    <row r="414" spans="1:17" x14ac:dyDescent="0.2">
      <c r="A414" s="30">
        <f>RANK(B414,$B$2:$B$551,1)</f>
        <v>413</v>
      </c>
      <c r="B414" s="46">
        <f>AVERAGE(G414,I414,J414)</f>
        <v>366</v>
      </c>
      <c r="C414" s="31" t="s">
        <v>580</v>
      </c>
      <c r="D414" s="66">
        <v>273.44235294117601</v>
      </c>
      <c r="E414" s="66">
        <v>39.890588235294103</v>
      </c>
      <c r="F414" s="66">
        <v>1544.26713092979</v>
      </c>
      <c r="G414" s="33">
        <v>202</v>
      </c>
      <c r="H414" s="32">
        <v>114.98</v>
      </c>
      <c r="I414" s="34">
        <v>407</v>
      </c>
      <c r="J414" s="34">
        <v>489</v>
      </c>
      <c r="K414" s="35">
        <v>-1.77823096609085</v>
      </c>
      <c r="L414" s="34" t="s">
        <v>20</v>
      </c>
      <c r="M414" s="31" t="s">
        <v>579</v>
      </c>
      <c r="N414" s="31" t="s">
        <v>13</v>
      </c>
      <c r="O414" s="31" t="s">
        <v>4</v>
      </c>
      <c r="P414" s="31" t="s">
        <v>3</v>
      </c>
      <c r="Q414" s="36"/>
    </row>
    <row r="415" spans="1:17" x14ac:dyDescent="0.2">
      <c r="A415" s="30">
        <f>RANK(B415,$B$2:$B$551,1)</f>
        <v>414</v>
      </c>
      <c r="B415" s="46">
        <f>AVERAGE(G415,I415,J415)</f>
        <v>366.33333333333331</v>
      </c>
      <c r="C415" s="31" t="s">
        <v>165</v>
      </c>
      <c r="D415" s="66">
        <v>229.13533834586499</v>
      </c>
      <c r="E415" s="66">
        <v>42.8187134502924</v>
      </c>
      <c r="F415" s="66">
        <v>1802.92427385668</v>
      </c>
      <c r="G415" s="33">
        <v>296</v>
      </c>
      <c r="H415" s="32">
        <v>113.42</v>
      </c>
      <c r="I415" s="34">
        <v>524</v>
      </c>
      <c r="J415" s="34">
        <v>279</v>
      </c>
      <c r="K415" s="35">
        <v>-4.0368484122228897E-2</v>
      </c>
      <c r="L415" s="34" t="s">
        <v>5</v>
      </c>
      <c r="M415" s="31" t="s">
        <v>164</v>
      </c>
      <c r="N415" s="31" t="s">
        <v>166</v>
      </c>
      <c r="O415" s="31" t="s">
        <v>4</v>
      </c>
      <c r="P415" s="31" t="s">
        <v>3</v>
      </c>
      <c r="Q415" s="36"/>
    </row>
    <row r="416" spans="1:17" x14ac:dyDescent="0.2">
      <c r="A416" s="30">
        <f>RANK(B416,$B$2:$B$551,1)</f>
        <v>414</v>
      </c>
      <c r="B416" s="46">
        <f>AVERAGE(G416,I416,J416)</f>
        <v>366.33333333333331</v>
      </c>
      <c r="C416" s="31" t="s">
        <v>44</v>
      </c>
      <c r="D416" s="66">
        <v>83.6</v>
      </c>
      <c r="E416" s="66">
        <v>15</v>
      </c>
      <c r="F416" s="66">
        <v>1093.0464076246301</v>
      </c>
      <c r="G416" s="33">
        <v>485</v>
      </c>
      <c r="H416" s="32">
        <v>117.05</v>
      </c>
      <c r="I416" s="34">
        <v>87</v>
      </c>
      <c r="J416" s="34">
        <v>527</v>
      </c>
      <c r="K416" s="35">
        <v>-2.723658406133</v>
      </c>
      <c r="L416" s="34" t="s">
        <v>39</v>
      </c>
      <c r="M416" s="31" t="s">
        <v>501</v>
      </c>
      <c r="N416" s="31" t="s">
        <v>8</v>
      </c>
      <c r="O416" s="31" t="s">
        <v>4</v>
      </c>
      <c r="P416" s="31" t="s">
        <v>3</v>
      </c>
      <c r="Q416" s="36"/>
    </row>
    <row r="417" spans="1:17" x14ac:dyDescent="0.2">
      <c r="A417" s="30">
        <f>RANK(B417,$B$2:$B$551,1)</f>
        <v>416</v>
      </c>
      <c r="B417" s="46">
        <f>AVERAGE(G417,I417,J417)</f>
        <v>366.66666666666669</v>
      </c>
      <c r="C417" s="31" t="s">
        <v>665</v>
      </c>
      <c r="D417" s="66">
        <v>84.245380116958998</v>
      </c>
      <c r="E417" s="66">
        <v>16</v>
      </c>
      <c r="F417" s="66">
        <v>1036.1153655133401</v>
      </c>
      <c r="G417" s="33">
        <v>462</v>
      </c>
      <c r="H417" s="32">
        <v>116.05</v>
      </c>
      <c r="I417" s="34">
        <v>248</v>
      </c>
      <c r="J417" s="34">
        <v>390</v>
      </c>
      <c r="K417" s="35">
        <v>-0.93295487912302999</v>
      </c>
      <c r="L417" s="34" t="s">
        <v>5</v>
      </c>
      <c r="M417" s="31" t="s">
        <v>664</v>
      </c>
      <c r="N417" s="31" t="s">
        <v>52</v>
      </c>
      <c r="O417" s="31" t="s">
        <v>4</v>
      </c>
      <c r="P417" s="31" t="s">
        <v>3</v>
      </c>
      <c r="Q417" s="36"/>
    </row>
    <row r="418" spans="1:17" x14ac:dyDescent="0.2">
      <c r="A418" s="30">
        <f>RANK(B418,$B$2:$B$551,1)</f>
        <v>417</v>
      </c>
      <c r="B418" s="46">
        <f>AVERAGE(G418,I418,J418)</f>
        <v>367</v>
      </c>
      <c r="C418" s="31" t="s">
        <v>37</v>
      </c>
      <c r="D418" s="66">
        <v>366.07811974513902</v>
      </c>
      <c r="E418" s="66">
        <v>4.1363636363636402</v>
      </c>
      <c r="F418" s="66">
        <v>2217.26694830319</v>
      </c>
      <c r="G418" s="33">
        <v>317</v>
      </c>
      <c r="H418" s="32">
        <v>116.05</v>
      </c>
      <c r="I418" s="34">
        <v>248</v>
      </c>
      <c r="J418" s="34">
        <v>536</v>
      </c>
      <c r="K418" s="35">
        <v>-3.0154241645244202</v>
      </c>
      <c r="L418" s="34" t="s">
        <v>39</v>
      </c>
      <c r="M418" s="31" t="s">
        <v>36</v>
      </c>
      <c r="N418" s="31" t="s">
        <v>38</v>
      </c>
      <c r="O418" s="31" t="s">
        <v>4</v>
      </c>
      <c r="P418" s="31" t="s">
        <v>3</v>
      </c>
      <c r="Q418" s="36"/>
    </row>
    <row r="419" spans="1:17" x14ac:dyDescent="0.2">
      <c r="A419" s="30">
        <f>RANK(B419,$B$2:$B$551,1)</f>
        <v>418</v>
      </c>
      <c r="B419" s="46">
        <f>AVERAGE(G419,I419,J419)</f>
        <v>367.33333333333331</v>
      </c>
      <c r="C419" s="31" t="s">
        <v>404</v>
      </c>
      <c r="D419" s="66">
        <v>56.3529411764708</v>
      </c>
      <c r="E419" s="66">
        <v>36.223529411764801</v>
      </c>
      <c r="F419" s="66">
        <v>663.470424836603</v>
      </c>
      <c r="G419" s="33">
        <v>252</v>
      </c>
      <c r="H419" s="32">
        <v>112.42</v>
      </c>
      <c r="I419" s="34">
        <v>555</v>
      </c>
      <c r="J419" s="34">
        <v>295</v>
      </c>
      <c r="K419" s="35">
        <v>-0.13181837239528699</v>
      </c>
      <c r="L419" s="34" t="s">
        <v>5</v>
      </c>
      <c r="M419" s="31" t="s">
        <v>465</v>
      </c>
      <c r="N419" s="31" t="s">
        <v>243</v>
      </c>
      <c r="O419" s="31" t="s">
        <v>4</v>
      </c>
      <c r="P419" s="31" t="s">
        <v>3</v>
      </c>
      <c r="Q419" s="36"/>
    </row>
    <row r="420" spans="1:17" x14ac:dyDescent="0.2">
      <c r="A420" s="30">
        <f>RANK(B420,$B$2:$B$551,1)</f>
        <v>419</v>
      </c>
      <c r="B420" s="46">
        <f>AVERAGE(G420,I420,J420)</f>
        <v>367.66666666666669</v>
      </c>
      <c r="C420" s="31" t="s">
        <v>513</v>
      </c>
      <c r="D420" s="66">
        <v>176.32120431893699</v>
      </c>
      <c r="E420" s="66">
        <v>0</v>
      </c>
      <c r="F420" s="66">
        <v>1410.10130086093</v>
      </c>
      <c r="G420" s="33">
        <v>438</v>
      </c>
      <c r="H420" s="32">
        <v>115</v>
      </c>
      <c r="I420" s="34">
        <v>396</v>
      </c>
      <c r="J420" s="34">
        <v>269</v>
      </c>
      <c r="K420" s="35">
        <v>-1.0307600499104899E-3</v>
      </c>
      <c r="L420" s="34" t="s">
        <v>5</v>
      </c>
      <c r="M420" s="31" t="s">
        <v>512</v>
      </c>
      <c r="N420" s="31" t="s">
        <v>97</v>
      </c>
      <c r="O420" s="31" t="s">
        <v>4</v>
      </c>
      <c r="P420" s="31" t="s">
        <v>3</v>
      </c>
      <c r="Q420" s="36"/>
    </row>
    <row r="421" spans="1:17" x14ac:dyDescent="0.2">
      <c r="A421" s="30">
        <f>RANK(B421,$B$2:$B$551,1)</f>
        <v>420</v>
      </c>
      <c r="B421" s="46">
        <f>AVERAGE(G421,I421,J421)</f>
        <v>369</v>
      </c>
      <c r="C421" s="31" t="s">
        <v>903</v>
      </c>
      <c r="D421" s="66">
        <v>282.73289786535298</v>
      </c>
      <c r="E421" s="66">
        <v>82.120295566502506</v>
      </c>
      <c r="F421" s="66">
        <v>2304.9257322315798</v>
      </c>
      <c r="G421" s="33">
        <v>260</v>
      </c>
      <c r="H421" s="32">
        <v>115.62</v>
      </c>
      <c r="I421" s="34">
        <v>318</v>
      </c>
      <c r="J421" s="34">
        <v>529</v>
      </c>
      <c r="K421" s="35">
        <v>-2.77949145477282</v>
      </c>
      <c r="L421" s="34" t="s">
        <v>39</v>
      </c>
      <c r="M421" s="31" t="s">
        <v>902</v>
      </c>
      <c r="N421" s="31" t="s">
        <v>378</v>
      </c>
      <c r="O421" s="31" t="s">
        <v>4</v>
      </c>
      <c r="P421" s="31" t="s">
        <v>3</v>
      </c>
      <c r="Q421" s="36"/>
    </row>
    <row r="422" spans="1:17" x14ac:dyDescent="0.2">
      <c r="A422" s="30">
        <f>RANK(B422,$B$2:$B$551,1)</f>
        <v>420</v>
      </c>
      <c r="B422" s="46">
        <f>AVERAGE(G422,I422,J422)</f>
        <v>369</v>
      </c>
      <c r="C422" s="31" t="s">
        <v>254</v>
      </c>
      <c r="D422" s="66">
        <v>56.373522070415099</v>
      </c>
      <c r="E422" s="66">
        <v>0</v>
      </c>
      <c r="F422" s="66">
        <v>1335.5885220704099</v>
      </c>
      <c r="G422" s="33">
        <v>590</v>
      </c>
      <c r="H422" s="32">
        <v>115.76</v>
      </c>
      <c r="I422" s="34">
        <v>291</v>
      </c>
      <c r="J422" s="34">
        <v>226</v>
      </c>
      <c r="K422" s="35">
        <v>0.29444490120310202</v>
      </c>
      <c r="L422" s="34" t="s">
        <v>5</v>
      </c>
      <c r="M422" s="31" t="s">
        <v>253</v>
      </c>
      <c r="N422" s="31" t="s">
        <v>248</v>
      </c>
      <c r="O422" s="31" t="s">
        <v>4</v>
      </c>
      <c r="P422" s="31" t="s">
        <v>3</v>
      </c>
      <c r="Q422" s="36"/>
    </row>
    <row r="423" spans="1:17" x14ac:dyDescent="0.2">
      <c r="A423" s="30">
        <f>RANK(B423,$B$2:$B$551,1)</f>
        <v>422</v>
      </c>
      <c r="B423" s="46">
        <f>AVERAGE(G423,I423,J423)</f>
        <v>369.66666666666669</v>
      </c>
      <c r="C423" s="31" t="s">
        <v>455</v>
      </c>
      <c r="D423" s="66">
        <v>301.91098447447098</v>
      </c>
      <c r="E423" s="66">
        <v>19.776536312849199</v>
      </c>
      <c r="F423" s="66">
        <v>3738.8698988630699</v>
      </c>
      <c r="G423" s="33">
        <v>517</v>
      </c>
      <c r="H423" s="32">
        <v>114.24</v>
      </c>
      <c r="I423" s="34">
        <v>475</v>
      </c>
      <c r="J423" s="34">
        <v>117</v>
      </c>
      <c r="K423" s="35">
        <v>1.23672472387426</v>
      </c>
      <c r="L423" s="34" t="s">
        <v>26</v>
      </c>
      <c r="M423" s="31" t="s">
        <v>454</v>
      </c>
      <c r="N423" s="31" t="s">
        <v>16</v>
      </c>
      <c r="O423" s="31" t="s">
        <v>4</v>
      </c>
      <c r="P423" s="31" t="s">
        <v>3</v>
      </c>
      <c r="Q423" s="36"/>
    </row>
    <row r="424" spans="1:17" x14ac:dyDescent="0.2">
      <c r="A424" s="30">
        <f>RANK(B424,$B$2:$B$551,1)</f>
        <v>423</v>
      </c>
      <c r="B424" s="46">
        <f>AVERAGE(G424,I424,J424)</f>
        <v>371</v>
      </c>
      <c r="C424" s="31" t="s">
        <v>897</v>
      </c>
      <c r="D424" s="66">
        <v>77.252873563218401</v>
      </c>
      <c r="E424" s="66">
        <v>3</v>
      </c>
      <c r="F424" s="66">
        <v>593.55724889328803</v>
      </c>
      <c r="G424" s="33">
        <v>391</v>
      </c>
      <c r="H424" s="32">
        <v>115.5</v>
      </c>
      <c r="I424" s="34">
        <v>331</v>
      </c>
      <c r="J424" s="34">
        <v>391</v>
      </c>
      <c r="K424" s="35">
        <v>-0.93328616193267999</v>
      </c>
      <c r="L424" s="34" t="s">
        <v>5</v>
      </c>
      <c r="M424" s="31" t="s">
        <v>896</v>
      </c>
      <c r="N424" s="31" t="s">
        <v>140</v>
      </c>
      <c r="O424" s="31" t="s">
        <v>4</v>
      </c>
      <c r="P424" s="31" t="s">
        <v>3</v>
      </c>
      <c r="Q424" s="36"/>
    </row>
    <row r="425" spans="1:17" x14ac:dyDescent="0.2">
      <c r="A425" s="30">
        <f>RANK(B425,$B$2:$B$551,1)</f>
        <v>423</v>
      </c>
      <c r="B425" s="46">
        <f>AVERAGE(G425,I425,J425)</f>
        <v>371</v>
      </c>
      <c r="C425" s="31" t="s">
        <v>1349</v>
      </c>
      <c r="D425" s="66">
        <v>13.842003853564499</v>
      </c>
      <c r="E425" s="66">
        <v>0</v>
      </c>
      <c r="F425" s="66">
        <v>732.106879220819</v>
      </c>
      <c r="G425" s="33">
        <v>601</v>
      </c>
      <c r="H425" s="32">
        <v>116.67</v>
      </c>
      <c r="I425" s="34">
        <v>141</v>
      </c>
      <c r="J425" s="34" t="s">
        <v>116</v>
      </c>
      <c r="K425" s="35" t="s">
        <v>116</v>
      </c>
      <c r="L425" s="34" t="s">
        <v>116</v>
      </c>
      <c r="M425" s="31" t="s">
        <v>1350</v>
      </c>
      <c r="N425" s="31" t="s">
        <v>60</v>
      </c>
      <c r="O425" s="31" t="s">
        <v>4</v>
      </c>
      <c r="P425" s="31" t="s">
        <v>3</v>
      </c>
      <c r="Q425" s="36" t="s">
        <v>1254</v>
      </c>
    </row>
    <row r="426" spans="1:17" x14ac:dyDescent="0.2">
      <c r="A426" s="30">
        <f>RANK(B426,$B$2:$B$551,1)</f>
        <v>425</v>
      </c>
      <c r="B426" s="46">
        <f>AVERAGE(G426,I426,J426)</f>
        <v>371.33333333333331</v>
      </c>
      <c r="C426" s="31" t="s">
        <v>318</v>
      </c>
      <c r="D426" s="66">
        <v>1545.26239721298</v>
      </c>
      <c r="E426" s="66">
        <v>86.271985437197898</v>
      </c>
      <c r="F426" s="66">
        <v>5963.0203138534898</v>
      </c>
      <c r="G426" s="33">
        <v>135</v>
      </c>
      <c r="H426" s="32">
        <v>114.6</v>
      </c>
      <c r="I426" s="34">
        <v>446</v>
      </c>
      <c r="J426" s="34">
        <v>533</v>
      </c>
      <c r="K426" s="35">
        <v>-2.9134746922024601</v>
      </c>
      <c r="L426" s="34" t="s">
        <v>39</v>
      </c>
      <c r="M426" s="31" t="s">
        <v>317</v>
      </c>
      <c r="N426" s="31" t="s">
        <v>55</v>
      </c>
      <c r="O426" s="31" t="s">
        <v>4</v>
      </c>
      <c r="P426" s="31" t="s">
        <v>3</v>
      </c>
      <c r="Q426" s="36"/>
    </row>
    <row r="427" spans="1:17" x14ac:dyDescent="0.2">
      <c r="A427" s="30">
        <f>RANK(B427,$B$2:$B$551,1)</f>
        <v>426</v>
      </c>
      <c r="B427" s="46">
        <f>AVERAGE(G427,I427,J427)</f>
        <v>372.66666666666669</v>
      </c>
      <c r="C427" s="31" t="s">
        <v>893</v>
      </c>
      <c r="D427" s="66">
        <v>95.786127167630099</v>
      </c>
      <c r="E427" s="66">
        <v>0</v>
      </c>
      <c r="F427" s="66">
        <v>613.034265646471</v>
      </c>
      <c r="G427" s="33">
        <v>350</v>
      </c>
      <c r="H427" s="32">
        <v>114.4</v>
      </c>
      <c r="I427" s="34">
        <v>461</v>
      </c>
      <c r="J427" s="34">
        <v>307</v>
      </c>
      <c r="K427" s="35">
        <v>-0.210457812234735</v>
      </c>
      <c r="L427" s="34" t="s">
        <v>5</v>
      </c>
      <c r="M427" s="31" t="s">
        <v>892</v>
      </c>
      <c r="N427" s="31" t="s">
        <v>392</v>
      </c>
      <c r="O427" s="31" t="s">
        <v>4</v>
      </c>
      <c r="P427" s="31" t="s">
        <v>3</v>
      </c>
      <c r="Q427" s="36"/>
    </row>
    <row r="428" spans="1:17" x14ac:dyDescent="0.2">
      <c r="A428" s="30">
        <f>RANK(B428,$B$2:$B$551,1)</f>
        <v>426</v>
      </c>
      <c r="B428" s="46">
        <f>AVERAGE(G428,I428,J428)</f>
        <v>372.66666666666669</v>
      </c>
      <c r="C428" s="31" t="s">
        <v>1133</v>
      </c>
      <c r="D428" s="66">
        <v>220.171645859698</v>
      </c>
      <c r="E428" s="66">
        <v>25.040462427745702</v>
      </c>
      <c r="F428" s="66">
        <v>1821.6162037828799</v>
      </c>
      <c r="G428" s="33">
        <v>367</v>
      </c>
      <c r="H428" s="32">
        <v>114.5</v>
      </c>
      <c r="I428" s="34">
        <v>454</v>
      </c>
      <c r="J428" s="34">
        <v>297</v>
      </c>
      <c r="K428" s="35">
        <v>-0.15005962634159301</v>
      </c>
      <c r="L428" s="34" t="s">
        <v>5</v>
      </c>
      <c r="M428" s="31" t="s">
        <v>1132</v>
      </c>
      <c r="N428" s="31" t="s">
        <v>97</v>
      </c>
      <c r="O428" s="31" t="s">
        <v>4</v>
      </c>
      <c r="P428" s="31" t="s">
        <v>3</v>
      </c>
      <c r="Q428" s="36"/>
    </row>
    <row r="429" spans="1:17" x14ac:dyDescent="0.2">
      <c r="A429" s="30">
        <f>RANK(B429,$B$2:$B$551,1)</f>
        <v>428</v>
      </c>
      <c r="B429" s="46">
        <f>AVERAGE(G429,I429,J429)</f>
        <v>373.66666666666669</v>
      </c>
      <c r="C429" s="31" t="s">
        <v>1155</v>
      </c>
      <c r="D429" s="66">
        <v>406.92329545454498</v>
      </c>
      <c r="E429" s="66">
        <v>76.505681818181799</v>
      </c>
      <c r="F429" s="66">
        <v>6744.6476926877504</v>
      </c>
      <c r="G429" s="33">
        <v>528</v>
      </c>
      <c r="H429" s="32">
        <v>112.06</v>
      </c>
      <c r="I429" s="34">
        <v>565</v>
      </c>
      <c r="J429" s="34">
        <v>28</v>
      </c>
      <c r="K429" s="35">
        <v>2.6635382955771298</v>
      </c>
      <c r="L429" s="34" t="s">
        <v>56</v>
      </c>
      <c r="M429" s="31" t="s">
        <v>1154</v>
      </c>
      <c r="N429" s="31" t="s">
        <v>81</v>
      </c>
      <c r="O429" s="31" t="s">
        <v>4</v>
      </c>
      <c r="P429" s="31" t="s">
        <v>3</v>
      </c>
      <c r="Q429" s="36"/>
    </row>
    <row r="430" spans="1:17" x14ac:dyDescent="0.2">
      <c r="A430" s="30">
        <f>RANK(B430,$B$2:$B$551,1)</f>
        <v>429</v>
      </c>
      <c r="B430" s="46">
        <f>AVERAGE(G430,I430,J430)</f>
        <v>374.66666666666669</v>
      </c>
      <c r="C430" s="31" t="s">
        <v>876</v>
      </c>
      <c r="D430" s="66">
        <v>306.17761923433397</v>
      </c>
      <c r="E430" s="66">
        <v>27</v>
      </c>
      <c r="F430" s="66">
        <v>1175.2528151610099</v>
      </c>
      <c r="G430" s="33">
        <v>118</v>
      </c>
      <c r="H430" s="32">
        <v>111.62</v>
      </c>
      <c r="I430" s="34">
        <v>575</v>
      </c>
      <c r="J430" s="34">
        <v>431</v>
      </c>
      <c r="K430" s="35">
        <v>-1.14913550804872</v>
      </c>
      <c r="L430" s="34" t="s">
        <v>20</v>
      </c>
      <c r="M430" s="31" t="s">
        <v>875</v>
      </c>
      <c r="N430" s="31" t="s">
        <v>169</v>
      </c>
      <c r="O430" s="31" t="s">
        <v>4</v>
      </c>
      <c r="P430" s="31" t="s">
        <v>3</v>
      </c>
      <c r="Q430" s="36"/>
    </row>
    <row r="431" spans="1:17" x14ac:dyDescent="0.2">
      <c r="A431" s="30">
        <f>RANK(B431,$B$2:$B$551,1)</f>
        <v>429</v>
      </c>
      <c r="B431" s="46">
        <f>AVERAGE(G431,I431,J431)</f>
        <v>374.66666666666669</v>
      </c>
      <c r="C431" s="31" t="s">
        <v>915</v>
      </c>
      <c r="D431" s="66">
        <v>233.758620689655</v>
      </c>
      <c r="E431" s="66">
        <v>0</v>
      </c>
      <c r="F431" s="66">
        <v>1400.28196885428</v>
      </c>
      <c r="G431" s="33">
        <v>321</v>
      </c>
      <c r="H431" s="32">
        <v>115.19</v>
      </c>
      <c r="I431" s="34">
        <v>375</v>
      </c>
      <c r="J431" s="34">
        <v>428</v>
      </c>
      <c r="K431" s="35">
        <v>-1.1453260765778699</v>
      </c>
      <c r="L431" s="34" t="s">
        <v>20</v>
      </c>
      <c r="M431" s="31" t="s">
        <v>914</v>
      </c>
      <c r="N431" s="31" t="s">
        <v>525</v>
      </c>
      <c r="O431" s="31" t="s">
        <v>4</v>
      </c>
      <c r="P431" s="31" t="s">
        <v>3</v>
      </c>
      <c r="Q431" s="36"/>
    </row>
    <row r="432" spans="1:17" x14ac:dyDescent="0.2">
      <c r="A432" s="30">
        <f>RANK(B432,$B$2:$B$551,1)</f>
        <v>429</v>
      </c>
      <c r="B432" s="46">
        <f>AVERAGE(G432,I432,J432)</f>
        <v>374.66666666666669</v>
      </c>
      <c r="C432" s="31" t="s">
        <v>1055</v>
      </c>
      <c r="D432" s="66">
        <v>148.05585161964501</v>
      </c>
      <c r="E432" s="66">
        <v>13</v>
      </c>
      <c r="F432" s="66">
        <v>1275.89548132184</v>
      </c>
      <c r="G432" s="33">
        <v>396</v>
      </c>
      <c r="H432" s="32">
        <v>114.49</v>
      </c>
      <c r="I432" s="34">
        <v>455</v>
      </c>
      <c r="J432" s="34">
        <v>273</v>
      </c>
      <c r="K432" s="35">
        <v>-1.1159427882852201E-2</v>
      </c>
      <c r="L432" s="34" t="s">
        <v>5</v>
      </c>
      <c r="M432" s="31" t="s">
        <v>1054</v>
      </c>
      <c r="N432" s="31" t="s">
        <v>356</v>
      </c>
      <c r="O432" s="31" t="s">
        <v>4</v>
      </c>
      <c r="P432" s="31" t="s">
        <v>3</v>
      </c>
      <c r="Q432" s="36"/>
    </row>
    <row r="433" spans="1:17" x14ac:dyDescent="0.2">
      <c r="A433" s="30">
        <f>RANK(B433,$B$2:$B$551,1)</f>
        <v>432</v>
      </c>
      <c r="B433" s="46">
        <f>AVERAGE(G433,I433,J433)</f>
        <v>375</v>
      </c>
      <c r="C433" s="31" t="s">
        <v>1067</v>
      </c>
      <c r="D433" s="66">
        <v>126.459770114943</v>
      </c>
      <c r="E433" s="66">
        <v>35</v>
      </c>
      <c r="F433" s="66">
        <v>666.36952380952403</v>
      </c>
      <c r="G433" s="33">
        <v>121</v>
      </c>
      <c r="H433" s="32">
        <v>113.05</v>
      </c>
      <c r="I433" s="34">
        <v>538</v>
      </c>
      <c r="J433" s="34">
        <v>466</v>
      </c>
      <c r="K433" s="35">
        <v>-1.4324235756753001</v>
      </c>
      <c r="L433" s="34" t="s">
        <v>20</v>
      </c>
      <c r="M433" s="31" t="s">
        <v>1066</v>
      </c>
      <c r="N433" s="31" t="s">
        <v>576</v>
      </c>
      <c r="O433" s="31" t="s">
        <v>4</v>
      </c>
      <c r="P433" s="31" t="s">
        <v>3</v>
      </c>
      <c r="Q433" s="36"/>
    </row>
    <row r="434" spans="1:17" x14ac:dyDescent="0.2">
      <c r="A434" s="30">
        <f>RANK(B434,$B$2:$B$551,1)</f>
        <v>433</v>
      </c>
      <c r="B434" s="46">
        <f>AVERAGE(G434,I434,J434)</f>
        <v>375.66666666666669</v>
      </c>
      <c r="C434" s="31" t="s">
        <v>311</v>
      </c>
      <c r="D434" s="66">
        <v>150.37584269662901</v>
      </c>
      <c r="E434" s="66">
        <v>82.983146067415703</v>
      </c>
      <c r="F434" s="66">
        <v>2161.3622497739898</v>
      </c>
      <c r="G434" s="33">
        <v>360</v>
      </c>
      <c r="H434" s="32">
        <v>114.76</v>
      </c>
      <c r="I434" s="34">
        <v>431</v>
      </c>
      <c r="J434" s="34">
        <v>336</v>
      </c>
      <c r="K434" s="35">
        <v>-0.44965840866744899</v>
      </c>
      <c r="L434" s="34" t="s">
        <v>5</v>
      </c>
      <c r="M434" s="31" t="s">
        <v>310</v>
      </c>
      <c r="N434" s="31" t="s">
        <v>52</v>
      </c>
      <c r="O434" s="31" t="s">
        <v>4</v>
      </c>
      <c r="P434" s="31" t="s">
        <v>3</v>
      </c>
      <c r="Q434" s="36"/>
    </row>
    <row r="435" spans="1:17" x14ac:dyDescent="0.2">
      <c r="A435" s="30">
        <f>RANK(B435,$B$2:$B$551,1)</f>
        <v>434</v>
      </c>
      <c r="B435" s="46">
        <f>AVERAGE(G435,I435,J435)</f>
        <v>376</v>
      </c>
      <c r="C435" s="31" t="s">
        <v>301</v>
      </c>
      <c r="D435" s="66">
        <v>491.548891625615</v>
      </c>
      <c r="E435" s="66">
        <v>70.591954022988503</v>
      </c>
      <c r="F435" s="66">
        <v>2609.38450550472</v>
      </c>
      <c r="G435" s="33">
        <v>188</v>
      </c>
      <c r="H435" s="32">
        <v>113.71</v>
      </c>
      <c r="I435" s="34">
        <v>507</v>
      </c>
      <c r="J435" s="34">
        <v>433</v>
      </c>
      <c r="K435" s="35">
        <v>-1.1614975224811901</v>
      </c>
      <c r="L435" s="34" t="s">
        <v>20</v>
      </c>
      <c r="M435" s="31" t="s">
        <v>300</v>
      </c>
      <c r="N435" s="31" t="s">
        <v>97</v>
      </c>
      <c r="O435" s="31" t="s">
        <v>4</v>
      </c>
      <c r="P435" s="31" t="s">
        <v>3</v>
      </c>
      <c r="Q435" s="36"/>
    </row>
    <row r="436" spans="1:17" x14ac:dyDescent="0.2">
      <c r="A436" s="30">
        <f>RANK(B436,$B$2:$B$551,1)</f>
        <v>435</v>
      </c>
      <c r="B436" s="46">
        <f>AVERAGE(G436,I436,J436)</f>
        <v>376.33333333333331</v>
      </c>
      <c r="C436" s="31" t="s">
        <v>307</v>
      </c>
      <c r="D436" s="66">
        <v>141.973033707865</v>
      </c>
      <c r="E436" s="66">
        <v>26.674157303370801</v>
      </c>
      <c r="F436" s="66">
        <v>1514.90421348315</v>
      </c>
      <c r="G436" s="33">
        <v>415</v>
      </c>
      <c r="H436" s="32">
        <v>115.96</v>
      </c>
      <c r="I436" s="34">
        <v>263</v>
      </c>
      <c r="J436" s="34">
        <v>451</v>
      </c>
      <c r="K436" s="35">
        <v>-1.3319332773310899</v>
      </c>
      <c r="L436" s="34" t="s">
        <v>20</v>
      </c>
      <c r="M436" s="31" t="s">
        <v>306</v>
      </c>
      <c r="N436" s="31" t="s">
        <v>42</v>
      </c>
      <c r="O436" s="31" t="s">
        <v>4</v>
      </c>
      <c r="P436" s="31" t="s">
        <v>3</v>
      </c>
      <c r="Q436" s="36"/>
    </row>
    <row r="437" spans="1:17" x14ac:dyDescent="0.2">
      <c r="A437" s="30">
        <f>RANK(B437,$B$2:$B$551,1)</f>
        <v>436</v>
      </c>
      <c r="B437" s="46">
        <f>AVERAGE(G437,I437,J437)</f>
        <v>378</v>
      </c>
      <c r="C437" s="31" t="s">
        <v>921</v>
      </c>
      <c r="D437" s="66">
        <v>445.82543352601198</v>
      </c>
      <c r="E437" s="66">
        <v>49</v>
      </c>
      <c r="F437" s="66">
        <v>2065.0002051090801</v>
      </c>
      <c r="G437" s="33">
        <v>162</v>
      </c>
      <c r="H437" s="32">
        <v>114.34</v>
      </c>
      <c r="I437" s="34">
        <v>465</v>
      </c>
      <c r="J437" s="34">
        <v>507</v>
      </c>
      <c r="K437" s="35">
        <v>-2.17153426791277</v>
      </c>
      <c r="L437" s="34" t="s">
        <v>39</v>
      </c>
      <c r="M437" s="31" t="s">
        <v>920</v>
      </c>
      <c r="N437" s="31" t="s">
        <v>125</v>
      </c>
      <c r="O437" s="31" t="s">
        <v>4</v>
      </c>
      <c r="P437" s="31" t="s">
        <v>3</v>
      </c>
      <c r="Q437" s="36"/>
    </row>
    <row r="438" spans="1:17" x14ac:dyDescent="0.2">
      <c r="A438" s="30">
        <f>RANK(B438,$B$2:$B$551,1)</f>
        <v>436</v>
      </c>
      <c r="B438" s="46">
        <f>AVERAGE(G438,I438,J438)</f>
        <v>378</v>
      </c>
      <c r="C438" s="31" t="s">
        <v>258</v>
      </c>
      <c r="D438" s="66">
        <v>75.557428571428602</v>
      </c>
      <c r="E438" s="66">
        <v>53.201142857142798</v>
      </c>
      <c r="F438" s="66">
        <v>1814.14631746032</v>
      </c>
      <c r="G438" s="33">
        <v>490</v>
      </c>
      <c r="H438" s="32">
        <v>115.34</v>
      </c>
      <c r="I438" s="34">
        <v>352</v>
      </c>
      <c r="J438" s="34">
        <v>292</v>
      </c>
      <c r="K438" s="35">
        <v>-0.121263136414652</v>
      </c>
      <c r="L438" s="34" t="s">
        <v>5</v>
      </c>
      <c r="M438" s="31" t="s">
        <v>637</v>
      </c>
      <c r="N438" s="31" t="s">
        <v>638</v>
      </c>
      <c r="O438" s="31" t="s">
        <v>4</v>
      </c>
      <c r="P438" s="31" t="s">
        <v>3</v>
      </c>
      <c r="Q438" s="36"/>
    </row>
    <row r="439" spans="1:17" x14ac:dyDescent="0.2">
      <c r="A439" s="30">
        <f>RANK(B439,$B$2:$B$551,1)</f>
        <v>438</v>
      </c>
      <c r="B439" s="46">
        <f>AVERAGE(G439,I439,J439)</f>
        <v>378.33333333333331</v>
      </c>
      <c r="C439" s="31" t="s">
        <v>353</v>
      </c>
      <c r="D439" s="66">
        <v>1314.0898876404499</v>
      </c>
      <c r="E439" s="66">
        <v>125.039325842697</v>
      </c>
      <c r="F439" s="66">
        <v>10812.963282504001</v>
      </c>
      <c r="G439" s="33">
        <v>376</v>
      </c>
      <c r="H439" s="32">
        <v>115.01</v>
      </c>
      <c r="I439" s="34">
        <v>394</v>
      </c>
      <c r="J439" s="34">
        <v>365</v>
      </c>
      <c r="K439" s="35">
        <v>-0.74951235370611202</v>
      </c>
      <c r="L439" s="34" t="s">
        <v>5</v>
      </c>
      <c r="M439" s="31" t="s">
        <v>352</v>
      </c>
      <c r="N439" s="31" t="s">
        <v>55</v>
      </c>
      <c r="O439" s="31" t="s">
        <v>4</v>
      </c>
      <c r="P439" s="31" t="s">
        <v>3</v>
      </c>
      <c r="Q439" s="36"/>
    </row>
    <row r="440" spans="1:17" x14ac:dyDescent="0.2">
      <c r="A440" s="30">
        <f>RANK(B440,$B$2:$B$551,1)</f>
        <v>439</v>
      </c>
      <c r="B440" s="46">
        <f>AVERAGE(G440,I440,J440)</f>
        <v>379</v>
      </c>
      <c r="C440" s="31" t="s">
        <v>718</v>
      </c>
      <c r="D440" s="66">
        <v>363.27118644067798</v>
      </c>
      <c r="E440" s="66">
        <v>126.310734463277</v>
      </c>
      <c r="F440" s="66">
        <v>5380.5461326772402</v>
      </c>
      <c r="G440" s="33">
        <v>453</v>
      </c>
      <c r="H440" s="32">
        <v>111.6</v>
      </c>
      <c r="I440" s="34">
        <v>577</v>
      </c>
      <c r="J440" s="34">
        <v>107</v>
      </c>
      <c r="K440" s="35">
        <v>1.3315724308708199</v>
      </c>
      <c r="L440" s="34" t="s">
        <v>26</v>
      </c>
      <c r="M440" s="31" t="s">
        <v>717</v>
      </c>
      <c r="N440" s="31" t="s">
        <v>55</v>
      </c>
      <c r="O440" s="31" t="s">
        <v>4</v>
      </c>
      <c r="P440" s="31" t="s">
        <v>3</v>
      </c>
      <c r="Q440" s="36"/>
    </row>
    <row r="441" spans="1:17" x14ac:dyDescent="0.2">
      <c r="A441" s="30">
        <f>RANK(B441,$B$2:$B$551,1)</f>
        <v>440</v>
      </c>
      <c r="B441" s="46">
        <f>AVERAGE(G441,I441,J441)</f>
        <v>379.33333333333331</v>
      </c>
      <c r="C441" s="31" t="s">
        <v>1069</v>
      </c>
      <c r="D441" s="66">
        <v>179.76495671968499</v>
      </c>
      <c r="E441" s="66">
        <v>51.776302349336099</v>
      </c>
      <c r="F441" s="66">
        <v>1389.89048281845</v>
      </c>
      <c r="G441" s="33">
        <v>244</v>
      </c>
      <c r="H441" s="32">
        <v>114.67</v>
      </c>
      <c r="I441" s="34">
        <v>439</v>
      </c>
      <c r="J441" s="34">
        <v>455</v>
      </c>
      <c r="K441" s="35">
        <v>-1.3524353375881799</v>
      </c>
      <c r="L441" s="34" t="s">
        <v>20</v>
      </c>
      <c r="M441" s="31" t="s">
        <v>1068</v>
      </c>
      <c r="N441" s="31" t="s">
        <v>55</v>
      </c>
      <c r="O441" s="31" t="s">
        <v>4</v>
      </c>
      <c r="P441" s="31" t="s">
        <v>3</v>
      </c>
      <c r="Q441" s="36"/>
    </row>
    <row r="442" spans="1:17" x14ac:dyDescent="0.2">
      <c r="A442" s="30">
        <f>RANK(B442,$B$2:$B$551,1)</f>
        <v>441</v>
      </c>
      <c r="B442" s="46">
        <f>AVERAGE(G442,I442,J442)</f>
        <v>380</v>
      </c>
      <c r="C442" s="31" t="s">
        <v>886</v>
      </c>
      <c r="D442" s="66">
        <v>137.282111688312</v>
      </c>
      <c r="E442" s="66">
        <v>33.738636363636402</v>
      </c>
      <c r="F442" s="66">
        <v>2207.2829009642701</v>
      </c>
      <c r="G442" s="33">
        <v>509</v>
      </c>
      <c r="H442" s="32">
        <v>116.32</v>
      </c>
      <c r="I442" s="34">
        <v>195</v>
      </c>
      <c r="J442" s="34">
        <v>436</v>
      </c>
      <c r="K442" s="35">
        <v>-1.1850526734247699</v>
      </c>
      <c r="L442" s="34" t="s">
        <v>20</v>
      </c>
      <c r="M442" s="31" t="s">
        <v>885</v>
      </c>
      <c r="N442" s="31" t="s">
        <v>150</v>
      </c>
      <c r="O442" s="31" t="s">
        <v>4</v>
      </c>
      <c r="P442" s="31" t="s">
        <v>3</v>
      </c>
      <c r="Q442" s="36"/>
    </row>
    <row r="443" spans="1:17" x14ac:dyDescent="0.2">
      <c r="A443" s="30">
        <f>RANK(B443,$B$2:$B$551,1)</f>
        <v>442</v>
      </c>
      <c r="B443" s="46">
        <f>AVERAGE(G443,I443,J443)</f>
        <v>380.33333333333331</v>
      </c>
      <c r="C443" s="31" t="s">
        <v>176</v>
      </c>
      <c r="D443" s="66">
        <v>292.168528750826</v>
      </c>
      <c r="E443" s="66">
        <v>60.601123595505598</v>
      </c>
      <c r="F443" s="66">
        <v>2185.6742071065</v>
      </c>
      <c r="G443" s="33">
        <v>272</v>
      </c>
      <c r="H443" s="32">
        <v>113.14</v>
      </c>
      <c r="I443" s="34">
        <v>532</v>
      </c>
      <c r="J443" s="34">
        <v>337</v>
      </c>
      <c r="K443" s="35">
        <v>-0.45513174866408701</v>
      </c>
      <c r="L443" s="34" t="s">
        <v>5</v>
      </c>
      <c r="M443" s="31" t="s">
        <v>175</v>
      </c>
      <c r="N443" s="31" t="s">
        <v>177</v>
      </c>
      <c r="O443" s="31" t="s">
        <v>4</v>
      </c>
      <c r="P443" s="31" t="s">
        <v>3</v>
      </c>
      <c r="Q443" s="36"/>
    </row>
    <row r="444" spans="1:17" x14ac:dyDescent="0.2">
      <c r="A444" s="30">
        <f>RANK(B444,$B$2:$B$551,1)</f>
        <v>443</v>
      </c>
      <c r="B444" s="46">
        <f>AVERAGE(G444,I444,J444)</f>
        <v>381.33333333333331</v>
      </c>
      <c r="C444" s="31" t="s">
        <v>817</v>
      </c>
      <c r="D444" s="66">
        <v>142.68457047791901</v>
      </c>
      <c r="E444" s="66">
        <v>0</v>
      </c>
      <c r="F444" s="66">
        <v>760.09274200053301</v>
      </c>
      <c r="G444" s="33">
        <v>280</v>
      </c>
      <c r="H444" s="32">
        <v>115.2</v>
      </c>
      <c r="I444" s="34">
        <v>374</v>
      </c>
      <c r="J444" s="34">
        <v>490</v>
      </c>
      <c r="K444" s="35">
        <v>-1.79962598697881</v>
      </c>
      <c r="L444" s="34" t="s">
        <v>20</v>
      </c>
      <c r="M444" s="31" t="s">
        <v>816</v>
      </c>
      <c r="N444" s="31" t="s">
        <v>65</v>
      </c>
      <c r="O444" s="31" t="s">
        <v>4</v>
      </c>
      <c r="P444" s="31" t="s">
        <v>3</v>
      </c>
      <c r="Q444" s="36"/>
    </row>
    <row r="445" spans="1:17" x14ac:dyDescent="0.2">
      <c r="A445" s="30">
        <f>RANK(B445,$B$2:$B$551,1)</f>
        <v>443</v>
      </c>
      <c r="B445" s="46">
        <f>AVERAGE(G445,I445,J445)</f>
        <v>381.33333333333331</v>
      </c>
      <c r="C445" s="31" t="s">
        <v>1159</v>
      </c>
      <c r="D445" s="66">
        <v>100.12280701754401</v>
      </c>
      <c r="E445" s="66">
        <v>0</v>
      </c>
      <c r="F445" s="66">
        <v>1104.7926259196399</v>
      </c>
      <c r="G445" s="33">
        <v>518</v>
      </c>
      <c r="H445" s="32">
        <v>114.74</v>
      </c>
      <c r="I445" s="34">
        <v>434</v>
      </c>
      <c r="J445" s="34">
        <v>192</v>
      </c>
      <c r="K445" s="35">
        <v>0.57595889804234202</v>
      </c>
      <c r="L445" s="34" t="s">
        <v>5</v>
      </c>
      <c r="M445" s="31" t="s">
        <v>1158</v>
      </c>
      <c r="N445" s="31" t="s">
        <v>638</v>
      </c>
      <c r="O445" s="31" t="s">
        <v>4</v>
      </c>
      <c r="P445" s="31" t="s">
        <v>3</v>
      </c>
      <c r="Q445" s="36"/>
    </row>
    <row r="446" spans="1:17" x14ac:dyDescent="0.2">
      <c r="A446" s="30">
        <f>RANK(B446,$B$2:$B$551,1)</f>
        <v>443</v>
      </c>
      <c r="B446" s="46">
        <f>AVERAGE(G446,I446,J446)</f>
        <v>381.33333333333331</v>
      </c>
      <c r="C446" s="31" t="s">
        <v>232</v>
      </c>
      <c r="D446" s="66">
        <v>174.217660818713</v>
      </c>
      <c r="E446" s="66">
        <v>0</v>
      </c>
      <c r="F446" s="66">
        <v>3023.6933182418402</v>
      </c>
      <c r="G446" s="33">
        <v>572</v>
      </c>
      <c r="H446" s="32">
        <v>116.71</v>
      </c>
      <c r="I446" s="34">
        <v>131</v>
      </c>
      <c r="J446" s="34">
        <v>441</v>
      </c>
      <c r="K446" s="35">
        <v>-1.2359113874854299</v>
      </c>
      <c r="L446" s="34" t="s">
        <v>20</v>
      </c>
      <c r="M446" s="31" t="s">
        <v>231</v>
      </c>
      <c r="N446" s="31" t="s">
        <v>35</v>
      </c>
      <c r="O446" s="31" t="s">
        <v>4</v>
      </c>
      <c r="P446" s="31" t="s">
        <v>3</v>
      </c>
      <c r="Q446" s="36"/>
    </row>
    <row r="447" spans="1:17" x14ac:dyDescent="0.2">
      <c r="A447" s="30">
        <f>RANK(B447,$B$2:$B$551,1)</f>
        <v>446</v>
      </c>
      <c r="B447" s="46">
        <f>AVERAGE(G447,I447,J447)</f>
        <v>381.66666666666669</v>
      </c>
      <c r="C447" s="31" t="s">
        <v>647</v>
      </c>
      <c r="D447" s="66">
        <v>77.765714285714296</v>
      </c>
      <c r="E447" s="66">
        <v>21.331428571428599</v>
      </c>
      <c r="F447" s="66">
        <v>1316.34240015361</v>
      </c>
      <c r="G447" s="33">
        <v>513</v>
      </c>
      <c r="H447" s="32">
        <v>114.51</v>
      </c>
      <c r="I447" s="34">
        <v>452</v>
      </c>
      <c r="J447" s="34">
        <v>180</v>
      </c>
      <c r="K447" s="35">
        <v>0.66563360881542699</v>
      </c>
      <c r="L447" s="34" t="s">
        <v>5</v>
      </c>
      <c r="M447" s="31" t="s">
        <v>646</v>
      </c>
      <c r="N447" s="31" t="s">
        <v>460</v>
      </c>
      <c r="O447" s="31" t="s">
        <v>4</v>
      </c>
      <c r="P447" s="31" t="s">
        <v>3</v>
      </c>
      <c r="Q447" s="36"/>
    </row>
    <row r="448" spans="1:17" x14ac:dyDescent="0.2">
      <c r="A448" s="30">
        <f>RANK(B448,$B$2:$B$551,1)</f>
        <v>447</v>
      </c>
      <c r="B448" s="46">
        <f>AVERAGE(G448,I448,J448)</f>
        <v>382</v>
      </c>
      <c r="C448" s="31" t="s">
        <v>361</v>
      </c>
      <c r="D448" s="66">
        <v>128.769509043928</v>
      </c>
      <c r="E448" s="66">
        <v>31</v>
      </c>
      <c r="F448" s="66">
        <v>1227.09222222222</v>
      </c>
      <c r="G448" s="33">
        <v>345</v>
      </c>
      <c r="H448" s="32">
        <v>115.53</v>
      </c>
      <c r="I448" s="34">
        <v>329</v>
      </c>
      <c r="J448" s="34">
        <v>472</v>
      </c>
      <c r="K448" s="35">
        <v>-1.54985904412247</v>
      </c>
      <c r="L448" s="34" t="s">
        <v>20</v>
      </c>
      <c r="M448" s="31" t="s">
        <v>360</v>
      </c>
      <c r="N448" s="31" t="s">
        <v>211</v>
      </c>
      <c r="O448" s="31" t="s">
        <v>4</v>
      </c>
      <c r="P448" s="31" t="s">
        <v>3</v>
      </c>
      <c r="Q448" s="36"/>
    </row>
    <row r="449" spans="1:17" x14ac:dyDescent="0.2">
      <c r="A449" s="30">
        <f>RANK(B449,$B$2:$B$551,1)</f>
        <v>448</v>
      </c>
      <c r="B449" s="46">
        <f>AVERAGE(G449,I449,J449)</f>
        <v>382.66666666666669</v>
      </c>
      <c r="C449" s="31" t="s">
        <v>567</v>
      </c>
      <c r="D449" s="66">
        <v>136.41243550051601</v>
      </c>
      <c r="E449" s="66">
        <v>30.1764705882354</v>
      </c>
      <c r="F449" s="66">
        <v>1588.03613229951</v>
      </c>
      <c r="G449" s="33">
        <v>432</v>
      </c>
      <c r="H449" s="32">
        <v>114.09</v>
      </c>
      <c r="I449" s="34">
        <v>485</v>
      </c>
      <c r="J449" s="34">
        <v>231</v>
      </c>
      <c r="K449" s="35">
        <v>0.26784080512351299</v>
      </c>
      <c r="L449" s="34" t="s">
        <v>5</v>
      </c>
      <c r="M449" s="31" t="s">
        <v>566</v>
      </c>
      <c r="N449" s="31" t="s">
        <v>482</v>
      </c>
      <c r="O449" s="31" t="s">
        <v>4</v>
      </c>
      <c r="P449" s="31" t="s">
        <v>3</v>
      </c>
      <c r="Q449" s="36"/>
    </row>
    <row r="450" spans="1:17" x14ac:dyDescent="0.2">
      <c r="A450" s="30">
        <f>RANK(B450,$B$2:$B$551,1)</f>
        <v>448</v>
      </c>
      <c r="B450" s="46">
        <f>AVERAGE(G450,I450,J450)</f>
        <v>382.66666666666669</v>
      </c>
      <c r="C450" s="31" t="s">
        <v>931</v>
      </c>
      <c r="D450" s="66">
        <v>73.965317919075105</v>
      </c>
      <c r="E450" s="66">
        <v>0</v>
      </c>
      <c r="F450" s="66">
        <v>836.19764069715097</v>
      </c>
      <c r="G450" s="33">
        <v>521</v>
      </c>
      <c r="H450" s="32">
        <v>116.67</v>
      </c>
      <c r="I450" s="34">
        <v>141</v>
      </c>
      <c r="J450" s="34">
        <v>486</v>
      </c>
      <c r="K450" s="35">
        <v>-1.73489750912838</v>
      </c>
      <c r="L450" s="34" t="s">
        <v>20</v>
      </c>
      <c r="M450" s="31" t="s">
        <v>930</v>
      </c>
      <c r="N450" s="31" t="s">
        <v>932</v>
      </c>
      <c r="O450" s="31" t="s">
        <v>4</v>
      </c>
      <c r="P450" s="31" t="s">
        <v>3</v>
      </c>
      <c r="Q450" s="36"/>
    </row>
    <row r="451" spans="1:17" x14ac:dyDescent="0.2">
      <c r="A451" s="30">
        <f>RANK(B451,$B$2:$B$551,1)</f>
        <v>450</v>
      </c>
      <c r="B451" s="46">
        <f>AVERAGE(G451,I451,J451)</f>
        <v>383.66666666666669</v>
      </c>
      <c r="C451" s="31" t="s">
        <v>991</v>
      </c>
      <c r="D451" s="66">
        <v>77.977272727272705</v>
      </c>
      <c r="E451" s="66">
        <v>12</v>
      </c>
      <c r="F451" s="66">
        <v>473.01005681818202</v>
      </c>
      <c r="G451" s="33">
        <v>231</v>
      </c>
      <c r="H451" s="32">
        <v>113.78</v>
      </c>
      <c r="I451" s="34">
        <v>504</v>
      </c>
      <c r="J451" s="34">
        <v>416</v>
      </c>
      <c r="K451" s="35">
        <v>-1.08331641560762</v>
      </c>
      <c r="L451" s="34" t="s">
        <v>20</v>
      </c>
      <c r="M451" s="31" t="s">
        <v>990</v>
      </c>
      <c r="N451" s="31" t="s">
        <v>172</v>
      </c>
      <c r="O451" s="31" t="s">
        <v>4</v>
      </c>
      <c r="P451" s="31" t="s">
        <v>3</v>
      </c>
      <c r="Q451" s="36"/>
    </row>
    <row r="452" spans="1:17" x14ac:dyDescent="0.2">
      <c r="A452" s="30">
        <f>RANK(B452,$B$2:$B$551,1)</f>
        <v>451</v>
      </c>
      <c r="B452" s="46">
        <f>AVERAGE(G452,I452,J452)</f>
        <v>384</v>
      </c>
      <c r="C452" s="31" t="s">
        <v>947</v>
      </c>
      <c r="D452" s="66">
        <v>277.54109195402299</v>
      </c>
      <c r="E452" s="66">
        <v>0</v>
      </c>
      <c r="F452" s="66">
        <v>1832.41333333333</v>
      </c>
      <c r="G452" s="33">
        <v>366</v>
      </c>
      <c r="H452" s="32">
        <v>115.84</v>
      </c>
      <c r="I452" s="34">
        <v>280</v>
      </c>
      <c r="J452" s="34">
        <v>506</v>
      </c>
      <c r="K452" s="35">
        <v>-2.1318468250121199</v>
      </c>
      <c r="L452" s="34" t="s">
        <v>39</v>
      </c>
      <c r="M452" s="31" t="s">
        <v>946</v>
      </c>
      <c r="N452" s="31" t="s">
        <v>84</v>
      </c>
      <c r="O452" s="31" t="s">
        <v>4</v>
      </c>
      <c r="P452" s="31" t="s">
        <v>3</v>
      </c>
      <c r="Q452" s="36"/>
    </row>
    <row r="453" spans="1:17" x14ac:dyDescent="0.2">
      <c r="A453" s="30">
        <f>RANK(B453,$B$2:$B$551,1)</f>
        <v>452</v>
      </c>
      <c r="B453" s="46">
        <f>AVERAGE(G453,I453,J453)</f>
        <v>385.33333333333331</v>
      </c>
      <c r="C453" s="31" t="s">
        <v>462</v>
      </c>
      <c r="D453" s="66">
        <v>391.06160176138701</v>
      </c>
      <c r="E453" s="66">
        <v>0</v>
      </c>
      <c r="F453" s="66">
        <v>3078.4903204933498</v>
      </c>
      <c r="G453" s="33">
        <v>430</v>
      </c>
      <c r="H453" s="32">
        <v>115.81</v>
      </c>
      <c r="I453" s="34">
        <v>286</v>
      </c>
      <c r="J453" s="34">
        <v>440</v>
      </c>
      <c r="K453" s="35">
        <v>-1.2191358024691401</v>
      </c>
      <c r="L453" s="34" t="s">
        <v>20</v>
      </c>
      <c r="M453" s="31" t="s">
        <v>461</v>
      </c>
      <c r="N453" s="31" t="s">
        <v>278</v>
      </c>
      <c r="O453" s="31" t="s">
        <v>4</v>
      </c>
      <c r="P453" s="31" t="s">
        <v>3</v>
      </c>
      <c r="Q453" s="36"/>
    </row>
    <row r="454" spans="1:17" x14ac:dyDescent="0.2">
      <c r="A454" s="30">
        <f>RANK(B454,$B$2:$B$551,1)</f>
        <v>453</v>
      </c>
      <c r="B454" s="46">
        <f>AVERAGE(G454,I454,J454)</f>
        <v>386.33333333333331</v>
      </c>
      <c r="C454" s="31" t="s">
        <v>230</v>
      </c>
      <c r="D454" s="66">
        <v>248.097445049405</v>
      </c>
      <c r="E454" s="66">
        <v>0</v>
      </c>
      <c r="F454" s="66">
        <v>1454.5508260004799</v>
      </c>
      <c r="G454" s="33">
        <v>314</v>
      </c>
      <c r="H454" s="32">
        <v>114.78</v>
      </c>
      <c r="I454" s="34">
        <v>426</v>
      </c>
      <c r="J454" s="34">
        <v>419</v>
      </c>
      <c r="K454" s="35">
        <v>-1.09375280898876</v>
      </c>
      <c r="L454" s="34" t="s">
        <v>20</v>
      </c>
      <c r="M454" s="31" t="s">
        <v>229</v>
      </c>
      <c r="N454" s="31" t="s">
        <v>200</v>
      </c>
      <c r="O454" s="31" t="s">
        <v>4</v>
      </c>
      <c r="P454" s="31" t="s">
        <v>3</v>
      </c>
      <c r="Q454" s="36"/>
    </row>
    <row r="455" spans="1:17" x14ac:dyDescent="0.2">
      <c r="A455" s="30">
        <f>RANK(B455,$B$2:$B$551,1)</f>
        <v>453</v>
      </c>
      <c r="B455" s="46">
        <f>AVERAGE(G455,I455,J455)</f>
        <v>386.33333333333331</v>
      </c>
      <c r="C455" s="31" t="s">
        <v>618</v>
      </c>
      <c r="D455" s="66">
        <v>122.83767045454501</v>
      </c>
      <c r="E455" s="66">
        <v>0</v>
      </c>
      <c r="F455" s="66">
        <v>2008.1357129765399</v>
      </c>
      <c r="G455" s="33">
        <v>566</v>
      </c>
      <c r="H455" s="32">
        <v>117.43</v>
      </c>
      <c r="I455" s="34">
        <v>52</v>
      </c>
      <c r="J455" s="34">
        <v>541</v>
      </c>
      <c r="K455" s="35">
        <v>-3.2424962309835998</v>
      </c>
      <c r="L455" s="34" t="s">
        <v>39</v>
      </c>
      <c r="M455" s="31" t="s">
        <v>617</v>
      </c>
      <c r="N455" s="31" t="s">
        <v>84</v>
      </c>
      <c r="O455" s="31" t="s">
        <v>4</v>
      </c>
      <c r="P455" s="31" t="s">
        <v>3</v>
      </c>
      <c r="Q455" s="36"/>
    </row>
    <row r="456" spans="1:17" x14ac:dyDescent="0.2">
      <c r="A456" s="30">
        <f>RANK(B456,$B$2:$B$551,1)</f>
        <v>455</v>
      </c>
      <c r="B456" s="46">
        <f>AVERAGE(G456,I456,J456)</f>
        <v>388.66666666666669</v>
      </c>
      <c r="C456" s="31" t="s">
        <v>505</v>
      </c>
      <c r="D456" s="66">
        <v>136.783625730994</v>
      </c>
      <c r="E456" s="66">
        <v>33.116959064327503</v>
      </c>
      <c r="F456" s="66">
        <v>1973.28362573099</v>
      </c>
      <c r="G456" s="33">
        <v>488</v>
      </c>
      <c r="H456" s="32">
        <v>116.13</v>
      </c>
      <c r="I456" s="34">
        <v>232</v>
      </c>
      <c r="J456" s="34">
        <v>446</v>
      </c>
      <c r="K456" s="35">
        <v>-1.2701859478347699</v>
      </c>
      <c r="L456" s="34" t="s">
        <v>20</v>
      </c>
      <c r="M456" s="31" t="s">
        <v>504</v>
      </c>
      <c r="N456" s="31" t="s">
        <v>8</v>
      </c>
      <c r="O456" s="31" t="s">
        <v>4</v>
      </c>
      <c r="P456" s="31" t="s">
        <v>3</v>
      </c>
      <c r="Q456" s="36"/>
    </row>
    <row r="457" spans="1:17" x14ac:dyDescent="0.2">
      <c r="A457" s="30">
        <f>RANK(B457,$B$2:$B$551,1)</f>
        <v>456</v>
      </c>
      <c r="B457" s="46">
        <f>AVERAGE(G457,I457,J457)</f>
        <v>389</v>
      </c>
      <c r="C457" s="31" t="s">
        <v>1147</v>
      </c>
      <c r="D457" s="66">
        <v>180.08875739645001</v>
      </c>
      <c r="E457" s="66">
        <v>31.5502958579882</v>
      </c>
      <c r="F457" s="66">
        <v>1896.74252533497</v>
      </c>
      <c r="G457" s="33">
        <v>419</v>
      </c>
      <c r="H457" s="32">
        <v>112.2</v>
      </c>
      <c r="I457" s="34">
        <v>561</v>
      </c>
      <c r="J457" s="34">
        <v>187</v>
      </c>
      <c r="K457" s="35">
        <v>0.62205387205387197</v>
      </c>
      <c r="L457" s="34" t="s">
        <v>5</v>
      </c>
      <c r="M457" s="31" t="s">
        <v>1146</v>
      </c>
      <c r="N457" s="31" t="s">
        <v>243</v>
      </c>
      <c r="O457" s="31" t="s">
        <v>4</v>
      </c>
      <c r="P457" s="31" t="s">
        <v>3</v>
      </c>
      <c r="Q457" s="36"/>
    </row>
    <row r="458" spans="1:17" x14ac:dyDescent="0.2">
      <c r="A458" s="30">
        <f>RANK(B458,$B$2:$B$551,1)</f>
        <v>457</v>
      </c>
      <c r="B458" s="46">
        <f>AVERAGE(G458,I458,J458)</f>
        <v>389.66666666666669</v>
      </c>
      <c r="C458" s="31" t="s">
        <v>786</v>
      </c>
      <c r="D458" s="66">
        <v>316.49600282296001</v>
      </c>
      <c r="E458" s="66">
        <v>37</v>
      </c>
      <c r="F458" s="66">
        <v>3686.6884455940599</v>
      </c>
      <c r="G458" s="33">
        <v>479</v>
      </c>
      <c r="H458" s="32">
        <v>114.25</v>
      </c>
      <c r="I458" s="34">
        <v>474</v>
      </c>
      <c r="J458" s="34">
        <v>216</v>
      </c>
      <c r="K458" s="35">
        <v>0.33150569380008399</v>
      </c>
      <c r="L458" s="34" t="s">
        <v>5</v>
      </c>
      <c r="M458" s="31" t="s">
        <v>785</v>
      </c>
      <c r="N458" s="31" t="s">
        <v>200</v>
      </c>
      <c r="O458" s="31" t="s">
        <v>4</v>
      </c>
      <c r="P458" s="31" t="s">
        <v>3</v>
      </c>
      <c r="Q458" s="36"/>
    </row>
    <row r="459" spans="1:17" x14ac:dyDescent="0.2">
      <c r="A459" s="30">
        <f>RANK(B459,$B$2:$B$551,1)</f>
        <v>458</v>
      </c>
      <c r="B459" s="46">
        <f>AVERAGE(G459,I459,J459)</f>
        <v>391</v>
      </c>
      <c r="C459" s="31" t="s">
        <v>936</v>
      </c>
      <c r="D459" s="66">
        <v>307.84220835522802</v>
      </c>
      <c r="E459" s="66">
        <v>46.829545454545404</v>
      </c>
      <c r="F459" s="66">
        <v>4143.2967139533503</v>
      </c>
      <c r="G459" s="33">
        <v>501</v>
      </c>
      <c r="H459" s="32">
        <v>115.92</v>
      </c>
      <c r="I459" s="34">
        <v>268</v>
      </c>
      <c r="J459" s="34">
        <v>404</v>
      </c>
      <c r="K459" s="35">
        <v>-1.01247186796699</v>
      </c>
      <c r="L459" s="34" t="s">
        <v>20</v>
      </c>
      <c r="M459" s="31" t="s">
        <v>935</v>
      </c>
      <c r="N459" s="31" t="s">
        <v>543</v>
      </c>
      <c r="O459" s="31" t="s">
        <v>4</v>
      </c>
      <c r="P459" s="31" t="s">
        <v>3</v>
      </c>
      <c r="Q459" s="36"/>
    </row>
    <row r="460" spans="1:17" x14ac:dyDescent="0.2">
      <c r="A460" s="30">
        <f>RANK(B460,$B$2:$B$551,1)</f>
        <v>459</v>
      </c>
      <c r="B460" s="46">
        <f>AVERAGE(G460,I460,J460)</f>
        <v>392.66666666666669</v>
      </c>
      <c r="C460" s="31" t="s">
        <v>802</v>
      </c>
      <c r="D460" s="66">
        <v>851.21965317919103</v>
      </c>
      <c r="E460" s="66">
        <v>73.416184971098303</v>
      </c>
      <c r="F460" s="66">
        <v>2475.99650541457</v>
      </c>
      <c r="G460" s="33">
        <v>50</v>
      </c>
      <c r="H460" s="32">
        <v>106.87</v>
      </c>
      <c r="I460" s="34">
        <v>591</v>
      </c>
      <c r="J460" s="34">
        <v>537</v>
      </c>
      <c r="K460" s="35">
        <v>-3.0515647802821499</v>
      </c>
      <c r="L460" s="34" t="s">
        <v>39</v>
      </c>
      <c r="M460" s="31" t="s">
        <v>801</v>
      </c>
      <c r="N460" s="31" t="s">
        <v>803</v>
      </c>
      <c r="O460" s="31" t="s">
        <v>4</v>
      </c>
      <c r="P460" s="31" t="s">
        <v>3</v>
      </c>
      <c r="Q460" s="36"/>
    </row>
    <row r="461" spans="1:17" x14ac:dyDescent="0.2">
      <c r="A461" s="30">
        <f>RANK(B461,$B$2:$B$551,1)</f>
        <v>459</v>
      </c>
      <c r="B461" s="46">
        <f>AVERAGE(G461,I461,J461)</f>
        <v>392.66666666666669</v>
      </c>
      <c r="C461" s="31" t="s">
        <v>600</v>
      </c>
      <c r="D461" s="66">
        <v>308.13242603550299</v>
      </c>
      <c r="E461" s="66">
        <v>35</v>
      </c>
      <c r="F461" s="66">
        <v>1307.93479289941</v>
      </c>
      <c r="G461" s="33">
        <v>130</v>
      </c>
      <c r="H461" s="32">
        <v>113.46</v>
      </c>
      <c r="I461" s="34">
        <v>522</v>
      </c>
      <c r="J461" s="34">
        <v>526</v>
      </c>
      <c r="K461" s="35">
        <v>-2.6663007683863902</v>
      </c>
      <c r="L461" s="34" t="s">
        <v>39</v>
      </c>
      <c r="M461" s="31" t="s">
        <v>599</v>
      </c>
      <c r="N461" s="31" t="s">
        <v>226</v>
      </c>
      <c r="O461" s="31" t="s">
        <v>4</v>
      </c>
      <c r="P461" s="31" t="s">
        <v>3</v>
      </c>
      <c r="Q461" s="36"/>
    </row>
    <row r="462" spans="1:17" x14ac:dyDescent="0.2">
      <c r="A462" s="30">
        <f>RANK(B462,$B$2:$B$551,1)</f>
        <v>461</v>
      </c>
      <c r="B462" s="46">
        <f>AVERAGE(G462,I462,J462)</f>
        <v>394</v>
      </c>
      <c r="C462" s="31" t="s">
        <v>520</v>
      </c>
      <c r="D462" s="66">
        <v>211.556710963455</v>
      </c>
      <c r="E462" s="66">
        <v>21</v>
      </c>
      <c r="F462" s="66">
        <v>1734.9858055038101</v>
      </c>
      <c r="G462" s="33">
        <v>372</v>
      </c>
      <c r="H462" s="32">
        <v>115.91</v>
      </c>
      <c r="I462" s="34">
        <v>272</v>
      </c>
      <c r="J462" s="34">
        <v>538</v>
      </c>
      <c r="K462" s="35">
        <v>-3.0773713403075198</v>
      </c>
      <c r="L462" s="34" t="s">
        <v>39</v>
      </c>
      <c r="M462" s="31" t="s">
        <v>519</v>
      </c>
      <c r="N462" s="31" t="s">
        <v>140</v>
      </c>
      <c r="O462" s="31" t="s">
        <v>4</v>
      </c>
      <c r="P462" s="31" t="s">
        <v>3</v>
      </c>
      <c r="Q462" s="36"/>
    </row>
    <row r="463" spans="1:17" x14ac:dyDescent="0.2">
      <c r="A463" s="30">
        <f>RANK(B463,$B$2:$B$551,1)</f>
        <v>462</v>
      </c>
      <c r="B463" s="46">
        <f>AVERAGE(G463,I463,J463)</f>
        <v>395</v>
      </c>
      <c r="C463" s="31" t="s">
        <v>326</v>
      </c>
      <c r="D463" s="66">
        <v>168.96959064327501</v>
      </c>
      <c r="E463" s="66">
        <v>40</v>
      </c>
      <c r="F463" s="66">
        <v>1260.1825524595799</v>
      </c>
      <c r="G463" s="33">
        <v>254</v>
      </c>
      <c r="H463" s="32">
        <v>113.63</v>
      </c>
      <c r="I463" s="34">
        <v>511</v>
      </c>
      <c r="J463" s="34">
        <v>420</v>
      </c>
      <c r="K463" s="35">
        <v>-1.09586578789694</v>
      </c>
      <c r="L463" s="34" t="s">
        <v>20</v>
      </c>
      <c r="M463" s="31" t="s">
        <v>325</v>
      </c>
      <c r="N463" s="31" t="s">
        <v>169</v>
      </c>
      <c r="O463" s="31" t="s">
        <v>4</v>
      </c>
      <c r="P463" s="31" t="s">
        <v>3</v>
      </c>
      <c r="Q463" s="36"/>
    </row>
    <row r="464" spans="1:17" ht="22.5" x14ac:dyDescent="0.2">
      <c r="A464" s="30">
        <f>RANK(B464,$B$2:$B$551,1)</f>
        <v>463</v>
      </c>
      <c r="B464" s="46">
        <f>AVERAGE(G464,I464,J464)</f>
        <v>396</v>
      </c>
      <c r="C464" s="31" t="s">
        <v>972</v>
      </c>
      <c r="D464" s="66">
        <v>541.42269020866797</v>
      </c>
      <c r="E464" s="66">
        <v>61.308988764044898</v>
      </c>
      <c r="F464" s="66">
        <v>3870.3595743014598</v>
      </c>
      <c r="G464" s="33">
        <v>310</v>
      </c>
      <c r="H464" s="32">
        <v>114.78</v>
      </c>
      <c r="I464" s="34">
        <v>426</v>
      </c>
      <c r="J464" s="34">
        <v>452</v>
      </c>
      <c r="K464" s="35">
        <v>-1.3410329613288301</v>
      </c>
      <c r="L464" s="34" t="s">
        <v>20</v>
      </c>
      <c r="M464" s="31" t="s">
        <v>971</v>
      </c>
      <c r="N464" s="31" t="s">
        <v>715</v>
      </c>
      <c r="O464" s="31" t="s">
        <v>4</v>
      </c>
      <c r="P464" s="31" t="s">
        <v>3</v>
      </c>
      <c r="Q464" s="36"/>
    </row>
    <row r="465" spans="1:17" x14ac:dyDescent="0.2">
      <c r="A465" s="30">
        <f>RANK(B465,$B$2:$B$551,1)</f>
        <v>463</v>
      </c>
      <c r="B465" s="46">
        <f>AVERAGE(G465,I465,J465)</f>
        <v>396</v>
      </c>
      <c r="C465" s="31" t="s">
        <v>934</v>
      </c>
      <c r="D465" s="66">
        <v>511.80269662921302</v>
      </c>
      <c r="E465" s="66">
        <v>70.382022471910105</v>
      </c>
      <c r="F465" s="66">
        <v>3825.5992134831399</v>
      </c>
      <c r="G465" s="33">
        <v>312</v>
      </c>
      <c r="H465" s="32">
        <v>114.14</v>
      </c>
      <c r="I465" s="34">
        <v>483</v>
      </c>
      <c r="J465" s="34">
        <v>393</v>
      </c>
      <c r="K465" s="35">
        <v>-0.93839443914406395</v>
      </c>
      <c r="L465" s="34" t="s">
        <v>5</v>
      </c>
      <c r="M465" s="31" t="s">
        <v>933</v>
      </c>
      <c r="N465" s="31" t="s">
        <v>81</v>
      </c>
      <c r="O465" s="31" t="s">
        <v>4</v>
      </c>
      <c r="P465" s="31" t="s">
        <v>3</v>
      </c>
      <c r="Q465" s="36"/>
    </row>
    <row r="466" spans="1:17" x14ac:dyDescent="0.2">
      <c r="A466" s="30">
        <f>RANK(B466,$B$2:$B$551,1)</f>
        <v>463</v>
      </c>
      <c r="B466" s="46">
        <f>AVERAGE(G466,I466,J466)</f>
        <v>396</v>
      </c>
      <c r="C466" s="31" t="s">
        <v>685</v>
      </c>
      <c r="D466" s="66">
        <v>115.029135377443</v>
      </c>
      <c r="E466" s="66">
        <v>16.715976331360899</v>
      </c>
      <c r="F466" s="66">
        <v>1546.80003216916</v>
      </c>
      <c r="G466" s="33">
        <v>502</v>
      </c>
      <c r="H466" s="32">
        <v>115</v>
      </c>
      <c r="I466" s="34">
        <v>396</v>
      </c>
      <c r="J466" s="34">
        <v>290</v>
      </c>
      <c r="K466" s="35">
        <v>-0.105579079614722</v>
      </c>
      <c r="L466" s="34" t="s">
        <v>5</v>
      </c>
      <c r="M466" s="31" t="s">
        <v>684</v>
      </c>
      <c r="N466" s="31" t="s">
        <v>392</v>
      </c>
      <c r="O466" s="31" t="s">
        <v>4</v>
      </c>
      <c r="P466" s="31" t="s">
        <v>3</v>
      </c>
      <c r="Q466" s="36"/>
    </row>
    <row r="467" spans="1:17" x14ac:dyDescent="0.2">
      <c r="A467" s="30">
        <f>RANK(B467,$B$2:$B$551,1)</f>
        <v>466</v>
      </c>
      <c r="B467" s="46">
        <f>AVERAGE(G467,I467,J467)</f>
        <v>397</v>
      </c>
      <c r="C467" s="31" t="s">
        <v>394</v>
      </c>
      <c r="D467" s="66">
        <v>231.223423530578</v>
      </c>
      <c r="E467" s="66">
        <v>44.502923976608201</v>
      </c>
      <c r="F467" s="66">
        <v>2583.4865695311701</v>
      </c>
      <c r="G467" s="33">
        <v>434</v>
      </c>
      <c r="H467" s="32">
        <v>114.31</v>
      </c>
      <c r="I467" s="34">
        <v>470</v>
      </c>
      <c r="J467" s="34">
        <v>287</v>
      </c>
      <c r="K467" s="35">
        <v>-8.1382132302796104E-2</v>
      </c>
      <c r="L467" s="34" t="s">
        <v>5</v>
      </c>
      <c r="M467" s="31" t="s">
        <v>393</v>
      </c>
      <c r="N467" s="31" t="s">
        <v>370</v>
      </c>
      <c r="O467" s="31" t="s">
        <v>4</v>
      </c>
      <c r="P467" s="31" t="s">
        <v>3</v>
      </c>
      <c r="Q467" s="36"/>
    </row>
    <row r="468" spans="1:17" x14ac:dyDescent="0.2">
      <c r="A468" s="30">
        <f>RANK(B468,$B$2:$B$551,1)</f>
        <v>467</v>
      </c>
      <c r="B468" s="46">
        <f>AVERAGE(G468,I468,J468)</f>
        <v>397.66666666666669</v>
      </c>
      <c r="C468" s="31" t="s">
        <v>1063</v>
      </c>
      <c r="D468" s="66">
        <v>84.087877094972001</v>
      </c>
      <c r="E468" s="66">
        <v>0</v>
      </c>
      <c r="F468" s="66">
        <v>889.76569832402197</v>
      </c>
      <c r="G468" s="33">
        <v>508</v>
      </c>
      <c r="H468" s="32">
        <v>115.4</v>
      </c>
      <c r="I468" s="34">
        <v>345</v>
      </c>
      <c r="J468" s="34">
        <v>340</v>
      </c>
      <c r="K468" s="35">
        <v>-0.462025316455696</v>
      </c>
      <c r="L468" s="34" t="s">
        <v>5</v>
      </c>
      <c r="M468" s="31" t="s">
        <v>1062</v>
      </c>
      <c r="N468" s="31" t="s">
        <v>486</v>
      </c>
      <c r="O468" s="31" t="s">
        <v>4</v>
      </c>
      <c r="P468" s="31" t="s">
        <v>3</v>
      </c>
      <c r="Q468" s="36"/>
    </row>
    <row r="469" spans="1:17" x14ac:dyDescent="0.2">
      <c r="A469" s="30">
        <f>RANK(B469,$B$2:$B$551,1)</f>
        <v>468</v>
      </c>
      <c r="B469" s="46">
        <f>AVERAGE(G469,I469,J469)</f>
        <v>399.66666666666669</v>
      </c>
      <c r="C469" s="31" t="s">
        <v>434</v>
      </c>
      <c r="D469" s="66">
        <v>208.552777777778</v>
      </c>
      <c r="E469" s="66">
        <v>0</v>
      </c>
      <c r="F469" s="66">
        <v>1582.2351451612899</v>
      </c>
      <c r="G469" s="33">
        <v>411</v>
      </c>
      <c r="H469" s="32">
        <v>114.77</v>
      </c>
      <c r="I469" s="34">
        <v>428</v>
      </c>
      <c r="J469" s="34">
        <v>360</v>
      </c>
      <c r="K469" s="35">
        <v>-0.69147668599571099</v>
      </c>
      <c r="L469" s="34" t="s">
        <v>5</v>
      </c>
      <c r="M469" s="31" t="s">
        <v>433</v>
      </c>
      <c r="N469" s="31" t="s">
        <v>81</v>
      </c>
      <c r="O469" s="31" t="s">
        <v>4</v>
      </c>
      <c r="P469" s="31" t="s">
        <v>3</v>
      </c>
      <c r="Q469" s="36"/>
    </row>
    <row r="470" spans="1:17" x14ac:dyDescent="0.2">
      <c r="A470" s="30">
        <f>RANK(B470,$B$2:$B$551,1)</f>
        <v>469</v>
      </c>
      <c r="B470" s="46">
        <f>AVERAGE(G470,I470,J470)</f>
        <v>400</v>
      </c>
      <c r="C470" s="31" t="s">
        <v>1030</v>
      </c>
      <c r="D470" s="66">
        <v>85.1461235955056</v>
      </c>
      <c r="E470" s="66">
        <v>0</v>
      </c>
      <c r="F470" s="66">
        <v>524.47262595143195</v>
      </c>
      <c r="G470" s="33">
        <v>334</v>
      </c>
      <c r="H470" s="32">
        <v>99.31</v>
      </c>
      <c r="I470" s="34">
        <v>598</v>
      </c>
      <c r="J470" s="34">
        <v>268</v>
      </c>
      <c r="K470" s="35">
        <v>1.40197152245345E-3</v>
      </c>
      <c r="L470" s="34" t="s">
        <v>5</v>
      </c>
      <c r="M470" s="31" t="s">
        <v>1029</v>
      </c>
      <c r="N470" s="31" t="s">
        <v>273</v>
      </c>
      <c r="O470" s="31" t="s">
        <v>4</v>
      </c>
      <c r="P470" s="31" t="s">
        <v>3</v>
      </c>
      <c r="Q470" s="36"/>
    </row>
    <row r="471" spans="1:17" x14ac:dyDescent="0.2">
      <c r="A471" s="30">
        <f>RANK(B471,$B$2:$B$551,1)</f>
        <v>469</v>
      </c>
      <c r="B471" s="46">
        <f>AVERAGE(G471,I471,J471)</f>
        <v>400</v>
      </c>
      <c r="C471" s="31" t="s">
        <v>524</v>
      </c>
      <c r="D471" s="66">
        <v>47.0701754385965</v>
      </c>
      <c r="E471" s="66">
        <v>9</v>
      </c>
      <c r="F471" s="66">
        <v>622.57244560232596</v>
      </c>
      <c r="G471" s="33">
        <v>482</v>
      </c>
      <c r="H471" s="32">
        <v>112.93</v>
      </c>
      <c r="I471" s="34">
        <v>543</v>
      </c>
      <c r="J471" s="34">
        <v>175</v>
      </c>
      <c r="K471" s="35">
        <v>0.70141360724092305</v>
      </c>
      <c r="L471" s="34" t="s">
        <v>5</v>
      </c>
      <c r="M471" s="31" t="s">
        <v>523</v>
      </c>
      <c r="N471" s="31" t="s">
        <v>525</v>
      </c>
      <c r="O471" s="31" t="s">
        <v>4</v>
      </c>
      <c r="P471" s="31" t="s">
        <v>3</v>
      </c>
      <c r="Q471" s="36"/>
    </row>
    <row r="472" spans="1:17" x14ac:dyDescent="0.2">
      <c r="A472" s="30">
        <f>RANK(B472,$B$2:$B$551,1)</f>
        <v>471</v>
      </c>
      <c r="B472" s="46">
        <f>AVERAGE(G472,I472,J472)</f>
        <v>400.66666666666669</v>
      </c>
      <c r="C472" s="31" t="s">
        <v>1137</v>
      </c>
      <c r="D472" s="66">
        <v>1241.1113976955601</v>
      </c>
      <c r="E472" s="66">
        <v>0</v>
      </c>
      <c r="F472" s="66">
        <v>7993.8607858011801</v>
      </c>
      <c r="G472" s="33">
        <v>352</v>
      </c>
      <c r="H472" s="32">
        <v>115.15</v>
      </c>
      <c r="I472" s="34">
        <v>383</v>
      </c>
      <c r="J472" s="34">
        <v>467</v>
      </c>
      <c r="K472" s="35">
        <v>-1.45946425403583</v>
      </c>
      <c r="L472" s="34" t="s">
        <v>20</v>
      </c>
      <c r="M472" s="31" t="s">
        <v>1136</v>
      </c>
      <c r="N472" s="31" t="s">
        <v>87</v>
      </c>
      <c r="O472" s="31" t="s">
        <v>4</v>
      </c>
      <c r="P472" s="31" t="s">
        <v>3</v>
      </c>
      <c r="Q472" s="36"/>
    </row>
    <row r="473" spans="1:17" x14ac:dyDescent="0.2">
      <c r="A473" s="30">
        <f>RANK(B473,$B$2:$B$551,1)</f>
        <v>472</v>
      </c>
      <c r="B473" s="46">
        <f>AVERAGE(G473,I473,J473)</f>
        <v>401</v>
      </c>
      <c r="C473" s="31" t="s">
        <v>768</v>
      </c>
      <c r="D473" s="66">
        <v>149.060693641618</v>
      </c>
      <c r="E473" s="66">
        <v>0</v>
      </c>
      <c r="F473" s="66">
        <v>1018.9824285834</v>
      </c>
      <c r="G473" s="33">
        <v>377</v>
      </c>
      <c r="H473" s="32">
        <v>113.57</v>
      </c>
      <c r="I473" s="34">
        <v>515</v>
      </c>
      <c r="J473" s="34">
        <v>311</v>
      </c>
      <c r="K473" s="35">
        <v>-0.23678974132213099</v>
      </c>
      <c r="L473" s="34" t="s">
        <v>5</v>
      </c>
      <c r="M473" s="31" t="s">
        <v>767</v>
      </c>
      <c r="N473" s="31" t="s">
        <v>159</v>
      </c>
      <c r="O473" s="31" t="s">
        <v>4</v>
      </c>
      <c r="P473" s="31" t="s">
        <v>3</v>
      </c>
      <c r="Q473" s="36"/>
    </row>
    <row r="474" spans="1:17" x14ac:dyDescent="0.2">
      <c r="A474" s="30">
        <f>RANK(B474,$B$2:$B$551,1)</f>
        <v>473</v>
      </c>
      <c r="B474" s="46">
        <f>AVERAGE(G474,I474,J474)</f>
        <v>403.33333333333331</v>
      </c>
      <c r="C474" s="31" t="s">
        <v>1098</v>
      </c>
      <c r="D474" s="66">
        <v>204.84023668639099</v>
      </c>
      <c r="E474" s="66">
        <v>32.822485207100598</v>
      </c>
      <c r="F474" s="66">
        <v>807.33793943613</v>
      </c>
      <c r="G474" s="33">
        <v>87</v>
      </c>
      <c r="H474" s="32">
        <v>111.56</v>
      </c>
      <c r="I474" s="34">
        <v>578</v>
      </c>
      <c r="J474" s="34">
        <v>545</v>
      </c>
      <c r="K474" s="35">
        <v>-3.4860894435777401</v>
      </c>
      <c r="L474" s="34" t="s">
        <v>39</v>
      </c>
      <c r="M474" s="31" t="s">
        <v>1097</v>
      </c>
      <c r="N474" s="31" t="s">
        <v>169</v>
      </c>
      <c r="O474" s="31" t="s">
        <v>4</v>
      </c>
      <c r="P474" s="31" t="s">
        <v>3</v>
      </c>
      <c r="Q474" s="36"/>
    </row>
    <row r="475" spans="1:17" x14ac:dyDescent="0.2">
      <c r="A475" s="30">
        <f>RANK(B475,$B$2:$B$551,1)</f>
        <v>473</v>
      </c>
      <c r="B475" s="46">
        <f>AVERAGE(G475,I475,J475)</f>
        <v>403.33333333333331</v>
      </c>
      <c r="C475" s="31" t="s">
        <v>210</v>
      </c>
      <c r="D475" s="66">
        <v>178.090837870538</v>
      </c>
      <c r="E475" s="66">
        <v>31</v>
      </c>
      <c r="F475" s="66">
        <v>1311.25125784958</v>
      </c>
      <c r="G475" s="33">
        <v>282</v>
      </c>
      <c r="H475" s="32">
        <v>114.16</v>
      </c>
      <c r="I475" s="34">
        <v>479</v>
      </c>
      <c r="J475" s="34">
        <v>449</v>
      </c>
      <c r="K475" s="35">
        <v>-1.3289616694442401</v>
      </c>
      <c r="L475" s="34" t="s">
        <v>20</v>
      </c>
      <c r="M475" s="31" t="s">
        <v>209</v>
      </c>
      <c r="N475" s="31" t="s">
        <v>211</v>
      </c>
      <c r="O475" s="31" t="s">
        <v>4</v>
      </c>
      <c r="P475" s="31" t="s">
        <v>3</v>
      </c>
      <c r="Q475" s="36"/>
    </row>
    <row r="476" spans="1:17" x14ac:dyDescent="0.2">
      <c r="A476" s="30">
        <f>RANK(B476,$B$2:$B$551,1)</f>
        <v>473</v>
      </c>
      <c r="B476" s="46">
        <f>AVERAGE(G476,I476,J476)</f>
        <v>403.33333333333331</v>
      </c>
      <c r="C476" s="31" t="s">
        <v>702</v>
      </c>
      <c r="D476" s="66">
        <v>96.786404494381998</v>
      </c>
      <c r="E476" s="66">
        <v>0</v>
      </c>
      <c r="F476" s="66">
        <v>1494.5633514056899</v>
      </c>
      <c r="G476" s="33">
        <v>560</v>
      </c>
      <c r="H476" s="32">
        <v>114.64</v>
      </c>
      <c r="I476" s="34">
        <v>444</v>
      </c>
      <c r="J476" s="34">
        <v>206</v>
      </c>
      <c r="K476" s="35">
        <v>0.40565291869811598</v>
      </c>
      <c r="L476" s="34" t="s">
        <v>5</v>
      </c>
      <c r="M476" s="31" t="s">
        <v>701</v>
      </c>
      <c r="N476" s="31" t="s">
        <v>115</v>
      </c>
      <c r="O476" s="31" t="s">
        <v>4</v>
      </c>
      <c r="P476" s="31" t="s">
        <v>3</v>
      </c>
      <c r="Q476" s="36"/>
    </row>
    <row r="477" spans="1:17" x14ac:dyDescent="0.2">
      <c r="A477" s="30">
        <f>RANK(B477,$B$2:$B$551,1)</f>
        <v>476</v>
      </c>
      <c r="B477" s="46">
        <f>AVERAGE(G477,I477,J477)</f>
        <v>403.66666666666669</v>
      </c>
      <c r="C477" s="31" t="s">
        <v>659</v>
      </c>
      <c r="D477" s="66">
        <v>129.922080924856</v>
      </c>
      <c r="E477" s="66">
        <v>14</v>
      </c>
      <c r="F477" s="66">
        <v>1047.00693641619</v>
      </c>
      <c r="G477" s="33">
        <v>358</v>
      </c>
      <c r="H477" s="32">
        <v>114.15</v>
      </c>
      <c r="I477" s="34">
        <v>481</v>
      </c>
      <c r="J477" s="34">
        <v>372</v>
      </c>
      <c r="K477" s="35">
        <v>-0.82586172544331504</v>
      </c>
      <c r="L477" s="34" t="s">
        <v>5</v>
      </c>
      <c r="M477" s="31" t="s">
        <v>658</v>
      </c>
      <c r="N477" s="31" t="s">
        <v>159</v>
      </c>
      <c r="O477" s="31" t="s">
        <v>4</v>
      </c>
      <c r="P477" s="31" t="s">
        <v>3</v>
      </c>
      <c r="Q477" s="36"/>
    </row>
    <row r="478" spans="1:17" x14ac:dyDescent="0.2">
      <c r="A478" s="30">
        <f>RANK(B478,$B$2:$B$551,1)</f>
        <v>477</v>
      </c>
      <c r="B478" s="46">
        <f>AVERAGE(G478,I478,J478)</f>
        <v>404</v>
      </c>
      <c r="C478" s="31" t="s">
        <v>260</v>
      </c>
      <c r="D478" s="66">
        <v>709.03186440677996</v>
      </c>
      <c r="E478" s="66">
        <v>154.045197740113</v>
      </c>
      <c r="F478" s="66">
        <v>6275.2782497816197</v>
      </c>
      <c r="G478" s="33">
        <v>323</v>
      </c>
      <c r="H478" s="32">
        <v>113.52</v>
      </c>
      <c r="I478" s="34">
        <v>518</v>
      </c>
      <c r="J478" s="34">
        <v>371</v>
      </c>
      <c r="K478" s="35">
        <v>-0.81493868450390206</v>
      </c>
      <c r="L478" s="34" t="s">
        <v>5</v>
      </c>
      <c r="M478" s="31" t="s">
        <v>259</v>
      </c>
      <c r="N478" s="31" t="s">
        <v>60</v>
      </c>
      <c r="O478" s="31" t="s">
        <v>4</v>
      </c>
      <c r="P478" s="31" t="s">
        <v>3</v>
      </c>
      <c r="Q478" s="36"/>
    </row>
    <row r="479" spans="1:17" x14ac:dyDescent="0.2">
      <c r="A479" s="30">
        <f>RANK(B479,$B$2:$B$551,1)</f>
        <v>478</v>
      </c>
      <c r="B479" s="46">
        <f>AVERAGE(G479,I479,J479)</f>
        <v>405.66666666666669</v>
      </c>
      <c r="C479" s="31" t="s">
        <v>488</v>
      </c>
      <c r="D479" s="66">
        <v>84.8004237560192</v>
      </c>
      <c r="E479" s="66">
        <v>5.8651685393258397</v>
      </c>
      <c r="F479" s="66">
        <v>1927.48318073836</v>
      </c>
      <c r="G479" s="33">
        <v>580</v>
      </c>
      <c r="H479" s="32">
        <v>116.48</v>
      </c>
      <c r="I479" s="34">
        <v>172</v>
      </c>
      <c r="J479" s="34">
        <v>465</v>
      </c>
      <c r="K479" s="35">
        <v>-1.4264379713145099</v>
      </c>
      <c r="L479" s="34" t="s">
        <v>20</v>
      </c>
      <c r="M479" s="31" t="s">
        <v>487</v>
      </c>
      <c r="N479" s="31" t="s">
        <v>356</v>
      </c>
      <c r="O479" s="31" t="s">
        <v>4</v>
      </c>
      <c r="P479" s="31" t="s">
        <v>3</v>
      </c>
      <c r="Q479" s="36"/>
    </row>
    <row r="480" spans="1:17" x14ac:dyDescent="0.2">
      <c r="A480" s="30">
        <f>RANK(B480,$B$2:$B$551,1)</f>
        <v>479</v>
      </c>
      <c r="B480" s="46">
        <f>AVERAGE(G480,I480,J480)</f>
        <v>407.66666666666669</v>
      </c>
      <c r="C480" s="31" t="s">
        <v>457</v>
      </c>
      <c r="D480" s="66">
        <v>109.658386908241</v>
      </c>
      <c r="E480" s="66">
        <v>16.7118644067797</v>
      </c>
      <c r="F480" s="66">
        <v>884.73902980713001</v>
      </c>
      <c r="G480" s="33">
        <v>327</v>
      </c>
      <c r="H480" s="32">
        <v>115.25</v>
      </c>
      <c r="I480" s="34">
        <v>364</v>
      </c>
      <c r="J480" s="34">
        <v>532</v>
      </c>
      <c r="K480" s="35">
        <v>-2.8920830219053602</v>
      </c>
      <c r="L480" s="34" t="s">
        <v>39</v>
      </c>
      <c r="M480" s="31" t="s">
        <v>456</v>
      </c>
      <c r="N480" s="31" t="s">
        <v>140</v>
      </c>
      <c r="O480" s="31" t="s">
        <v>4</v>
      </c>
      <c r="P480" s="31" t="s">
        <v>3</v>
      </c>
      <c r="Q480" s="36"/>
    </row>
    <row r="481" spans="1:17" x14ac:dyDescent="0.2">
      <c r="A481" s="30">
        <f>RANK(B481,$B$2:$B$551,1)</f>
        <v>479</v>
      </c>
      <c r="B481" s="46">
        <f>AVERAGE(G481,I481,J481)</f>
        <v>407.66666666666669</v>
      </c>
      <c r="C481" s="31" t="s">
        <v>1110</v>
      </c>
      <c r="D481" s="66">
        <v>186.85423728813601</v>
      </c>
      <c r="E481" s="66">
        <v>54.7570621468927</v>
      </c>
      <c r="F481" s="66">
        <v>2826.4683615819199</v>
      </c>
      <c r="G481" s="33">
        <v>480</v>
      </c>
      <c r="H481" s="32">
        <v>115.8</v>
      </c>
      <c r="I481" s="34">
        <v>287</v>
      </c>
      <c r="J481" s="34">
        <v>456</v>
      </c>
      <c r="K481" s="35">
        <v>-1.3648785767435601</v>
      </c>
      <c r="L481" s="34" t="s">
        <v>20</v>
      </c>
      <c r="M481" s="31" t="s">
        <v>1109</v>
      </c>
      <c r="N481" s="31" t="s">
        <v>106</v>
      </c>
      <c r="O481" s="31" t="s">
        <v>4</v>
      </c>
      <c r="P481" s="31" t="s">
        <v>3</v>
      </c>
      <c r="Q481" s="36"/>
    </row>
    <row r="482" spans="1:17" x14ac:dyDescent="0.2">
      <c r="A482" s="30">
        <f>RANK(B482,$B$2:$B$551,1)</f>
        <v>481</v>
      </c>
      <c r="B482" s="46">
        <f>AVERAGE(G482,I482,J482)</f>
        <v>408</v>
      </c>
      <c r="C482" s="31" t="s">
        <v>367</v>
      </c>
      <c r="D482" s="66">
        <v>427.92978896103898</v>
      </c>
      <c r="E482" s="66">
        <v>51</v>
      </c>
      <c r="F482" s="66">
        <v>5285.1161502408904</v>
      </c>
      <c r="G482" s="33">
        <v>494</v>
      </c>
      <c r="H482" s="32">
        <v>116.24</v>
      </c>
      <c r="I482" s="34">
        <v>207</v>
      </c>
      <c r="J482" s="34">
        <v>523</v>
      </c>
      <c r="K482" s="35">
        <v>-2.6011476010255201</v>
      </c>
      <c r="L482" s="34" t="s">
        <v>39</v>
      </c>
      <c r="M482" s="31" t="s">
        <v>366</v>
      </c>
      <c r="N482" s="31" t="s">
        <v>8</v>
      </c>
      <c r="O482" s="31" t="s">
        <v>4</v>
      </c>
      <c r="P482" s="31" t="s">
        <v>3</v>
      </c>
      <c r="Q482" s="36"/>
    </row>
    <row r="483" spans="1:17" x14ac:dyDescent="0.2">
      <c r="A483" s="30">
        <f>RANK(B483,$B$2:$B$551,1)</f>
        <v>482</v>
      </c>
      <c r="B483" s="46">
        <f>AVERAGE(G483,I483,J483)</f>
        <v>408.33333333333331</v>
      </c>
      <c r="C483" s="31" t="s">
        <v>1151</v>
      </c>
      <c r="D483" s="66">
        <v>322.828706513459</v>
      </c>
      <c r="E483" s="66">
        <v>90.217877094972096</v>
      </c>
      <c r="F483" s="66">
        <v>3636.4179272616798</v>
      </c>
      <c r="G483" s="33">
        <v>389</v>
      </c>
      <c r="H483" s="32">
        <v>114.94</v>
      </c>
      <c r="I483" s="34">
        <v>411</v>
      </c>
      <c r="J483" s="34">
        <v>425</v>
      </c>
      <c r="K483" s="35">
        <v>-1.12739341332653</v>
      </c>
      <c r="L483" s="34" t="s">
        <v>20</v>
      </c>
      <c r="M483" s="31" t="s">
        <v>1150</v>
      </c>
      <c r="N483" s="31" t="s">
        <v>200</v>
      </c>
      <c r="O483" s="31" t="s">
        <v>4</v>
      </c>
      <c r="P483" s="31" t="s">
        <v>3</v>
      </c>
      <c r="Q483" s="36"/>
    </row>
    <row r="484" spans="1:17" x14ac:dyDescent="0.2">
      <c r="A484" s="30">
        <f>RANK(B484,$B$2:$B$551,1)</f>
        <v>482</v>
      </c>
      <c r="B484" s="46">
        <f>AVERAGE(G484,I484,J484)</f>
        <v>408.33333333333331</v>
      </c>
      <c r="C484" s="31" t="s">
        <v>293</v>
      </c>
      <c r="D484" s="66">
        <v>576.72246535713305</v>
      </c>
      <c r="E484" s="66">
        <v>96.176136363636402</v>
      </c>
      <c r="F484" s="66">
        <v>5587.1504458274803</v>
      </c>
      <c r="G484" s="33">
        <v>393</v>
      </c>
      <c r="H484" s="32">
        <v>115.17</v>
      </c>
      <c r="I484" s="34">
        <v>379</v>
      </c>
      <c r="J484" s="34">
        <v>453</v>
      </c>
      <c r="K484" s="35">
        <v>-1.3454798033767901</v>
      </c>
      <c r="L484" s="34" t="s">
        <v>20</v>
      </c>
      <c r="M484" s="31" t="s">
        <v>292</v>
      </c>
      <c r="N484" s="31" t="s">
        <v>57</v>
      </c>
      <c r="O484" s="31" t="s">
        <v>4</v>
      </c>
      <c r="P484" s="31" t="s">
        <v>3</v>
      </c>
      <c r="Q484" s="36"/>
    </row>
    <row r="485" spans="1:17" x14ac:dyDescent="0.2">
      <c r="A485" s="30">
        <f>RANK(B485,$B$2:$B$551,1)</f>
        <v>482</v>
      </c>
      <c r="B485" s="46">
        <f>AVERAGE(G485,I485,J485)</f>
        <v>408.33333333333331</v>
      </c>
      <c r="C485" s="31" t="s">
        <v>171</v>
      </c>
      <c r="D485" s="66">
        <v>51.659090909090899</v>
      </c>
      <c r="E485" s="66">
        <v>3</v>
      </c>
      <c r="F485" s="66">
        <v>2066.6552840909098</v>
      </c>
      <c r="G485" s="33">
        <v>597</v>
      </c>
      <c r="H485" s="32">
        <v>114.94</v>
      </c>
      <c r="I485" s="34">
        <v>411</v>
      </c>
      <c r="J485" s="34">
        <v>217</v>
      </c>
      <c r="K485" s="35">
        <v>0.319171512244811</v>
      </c>
      <c r="L485" s="34" t="s">
        <v>5</v>
      </c>
      <c r="M485" s="31" t="s">
        <v>170</v>
      </c>
      <c r="N485" s="31" t="s">
        <v>172</v>
      </c>
      <c r="O485" s="31" t="s">
        <v>4</v>
      </c>
      <c r="P485" s="31" t="s">
        <v>3</v>
      </c>
      <c r="Q485" s="36"/>
    </row>
    <row r="486" spans="1:17" x14ac:dyDescent="0.2">
      <c r="A486" s="30">
        <f>RANK(B486,$B$2:$B$551,1)</f>
        <v>485</v>
      </c>
      <c r="B486" s="46">
        <f>AVERAGE(G486,I486,J486)</f>
        <v>409.33333333333331</v>
      </c>
      <c r="C486" s="31" t="s">
        <v>59</v>
      </c>
      <c r="D486" s="66">
        <v>103.559214774635</v>
      </c>
      <c r="E486" s="66">
        <v>0</v>
      </c>
      <c r="F486" s="66">
        <v>976.80475463790401</v>
      </c>
      <c r="G486" s="33">
        <v>483</v>
      </c>
      <c r="H486" s="32">
        <v>115.66</v>
      </c>
      <c r="I486" s="34">
        <v>307</v>
      </c>
      <c r="J486" s="34">
        <v>438</v>
      </c>
      <c r="K486" s="35">
        <v>-1.1941573384297399</v>
      </c>
      <c r="L486" s="34" t="s">
        <v>20</v>
      </c>
      <c r="M486" s="31" t="s">
        <v>451</v>
      </c>
      <c r="N486" s="31" t="s">
        <v>159</v>
      </c>
      <c r="O486" s="31" t="s">
        <v>4</v>
      </c>
      <c r="P486" s="31" t="s">
        <v>3</v>
      </c>
      <c r="Q486" s="36"/>
    </row>
    <row r="487" spans="1:17" x14ac:dyDescent="0.2">
      <c r="A487" s="30">
        <f>RANK(B487,$B$2:$B$551,1)</f>
        <v>486</v>
      </c>
      <c r="B487" s="46">
        <f>AVERAGE(G487,I487,J487)</f>
        <v>410</v>
      </c>
      <c r="C487" s="31" t="s">
        <v>997</v>
      </c>
      <c r="D487" s="66">
        <v>1800.3304597701101</v>
      </c>
      <c r="E487" s="66">
        <v>245</v>
      </c>
      <c r="F487" s="66">
        <v>21858.042676646201</v>
      </c>
      <c r="G487" s="33">
        <v>484</v>
      </c>
      <c r="H487" s="32">
        <v>114.38</v>
      </c>
      <c r="I487" s="34">
        <v>462</v>
      </c>
      <c r="J487" s="34">
        <v>284</v>
      </c>
      <c r="K487" s="35">
        <v>-7.4854241113409797E-2</v>
      </c>
      <c r="L487" s="34" t="s">
        <v>5</v>
      </c>
      <c r="M487" s="31" t="s">
        <v>996</v>
      </c>
      <c r="N487" s="31" t="s">
        <v>16</v>
      </c>
      <c r="O487" s="31" t="s">
        <v>4</v>
      </c>
      <c r="P487" s="31" t="s">
        <v>3</v>
      </c>
      <c r="Q487" s="36"/>
    </row>
    <row r="488" spans="1:17" x14ac:dyDescent="0.2">
      <c r="A488" s="30">
        <f>RANK(B488,$B$2:$B$551,1)</f>
        <v>487</v>
      </c>
      <c r="B488" s="46">
        <f>AVERAGE(G488,I488,J488)</f>
        <v>411</v>
      </c>
      <c r="C488" s="31" t="s">
        <v>748</v>
      </c>
      <c r="D488" s="66">
        <v>203.11653366174099</v>
      </c>
      <c r="E488" s="66">
        <v>0</v>
      </c>
      <c r="F488" s="66">
        <v>1798.5722847290599</v>
      </c>
      <c r="G488" s="33">
        <v>463</v>
      </c>
      <c r="H488" s="32">
        <v>115</v>
      </c>
      <c r="I488" s="34">
        <v>396</v>
      </c>
      <c r="J488" s="34">
        <v>374</v>
      </c>
      <c r="K488" s="35">
        <v>-0.84282768397989405</v>
      </c>
      <c r="L488" s="34" t="s">
        <v>5</v>
      </c>
      <c r="M488" s="31" t="s">
        <v>747</v>
      </c>
      <c r="N488" s="31" t="s">
        <v>97</v>
      </c>
      <c r="O488" s="31" t="s">
        <v>4</v>
      </c>
      <c r="P488" s="31" t="s">
        <v>3</v>
      </c>
      <c r="Q488" s="36"/>
    </row>
    <row r="489" spans="1:17" x14ac:dyDescent="0.2">
      <c r="A489" s="30">
        <f>RANK(B489,$B$2:$B$551,1)</f>
        <v>488</v>
      </c>
      <c r="B489" s="46">
        <f>AVERAGE(G489,I489,J489)</f>
        <v>412.5</v>
      </c>
      <c r="C489" s="31" t="s">
        <v>404</v>
      </c>
      <c r="D489" s="66">
        <v>79.229378531073706</v>
      </c>
      <c r="E489" s="66">
        <v>30.342278719397498</v>
      </c>
      <c r="F489" s="66">
        <v>721.62123075218994</v>
      </c>
      <c r="G489" s="33">
        <v>257</v>
      </c>
      <c r="H489" s="32">
        <v>111.82</v>
      </c>
      <c r="I489" s="34">
        <v>568</v>
      </c>
      <c r="J489" s="34" t="s">
        <v>116</v>
      </c>
      <c r="K489" s="35" t="s">
        <v>116</v>
      </c>
      <c r="L489" s="34" t="s">
        <v>116</v>
      </c>
      <c r="M489" s="31" t="s">
        <v>1342</v>
      </c>
      <c r="N489" s="31" t="s">
        <v>860</v>
      </c>
      <c r="O489" s="31" t="s">
        <v>4</v>
      </c>
      <c r="P489" s="31" t="s">
        <v>3</v>
      </c>
      <c r="Q489" s="36" t="s">
        <v>1254</v>
      </c>
    </row>
    <row r="490" spans="1:17" x14ac:dyDescent="0.2">
      <c r="A490" s="30">
        <f>RANK(B490,$B$2:$B$551,1)</f>
        <v>489</v>
      </c>
      <c r="B490" s="46">
        <f>AVERAGE(G490,I490,J490)</f>
        <v>415</v>
      </c>
      <c r="C490" s="31" t="s">
        <v>917</v>
      </c>
      <c r="D490" s="66">
        <v>60.153409090909101</v>
      </c>
      <c r="E490" s="66">
        <v>20.125</v>
      </c>
      <c r="F490" s="66">
        <v>639.40266495601202</v>
      </c>
      <c r="G490" s="33">
        <v>336</v>
      </c>
      <c r="H490" s="32">
        <v>112.81</v>
      </c>
      <c r="I490" s="34">
        <v>547</v>
      </c>
      <c r="J490" s="34">
        <v>362</v>
      </c>
      <c r="K490" s="35">
        <v>-0.71354555433589495</v>
      </c>
      <c r="L490" s="34" t="s">
        <v>5</v>
      </c>
      <c r="M490" s="31" t="s">
        <v>916</v>
      </c>
      <c r="N490" s="31" t="s">
        <v>836</v>
      </c>
      <c r="O490" s="31" t="s">
        <v>4</v>
      </c>
      <c r="P490" s="31" t="s">
        <v>3</v>
      </c>
      <c r="Q490" s="36"/>
    </row>
    <row r="491" spans="1:17" x14ac:dyDescent="0.2">
      <c r="A491" s="30">
        <f>RANK(B491,$B$2:$B$551,1)</f>
        <v>489</v>
      </c>
      <c r="B491" s="46">
        <f>AVERAGE(G491,I491,J491)</f>
        <v>415</v>
      </c>
      <c r="C491" s="31" t="s">
        <v>884</v>
      </c>
      <c r="D491" s="66">
        <v>204.874285714286</v>
      </c>
      <c r="E491" s="66">
        <v>81.937142857142902</v>
      </c>
      <c r="F491" s="66">
        <v>3516.0699465437801</v>
      </c>
      <c r="G491" s="33">
        <v>478</v>
      </c>
      <c r="H491" s="32">
        <v>113.49</v>
      </c>
      <c r="I491" s="34">
        <v>520</v>
      </c>
      <c r="J491" s="34">
        <v>247</v>
      </c>
      <c r="K491" s="35">
        <v>0.16814226258040099</v>
      </c>
      <c r="L491" s="34" t="s">
        <v>5</v>
      </c>
      <c r="M491" s="31" t="s">
        <v>883</v>
      </c>
      <c r="N491" s="31" t="s">
        <v>35</v>
      </c>
      <c r="O491" s="31" t="s">
        <v>4</v>
      </c>
      <c r="P491" s="31" t="s">
        <v>3</v>
      </c>
      <c r="Q491" s="36"/>
    </row>
    <row r="492" spans="1:17" x14ac:dyDescent="0.2">
      <c r="A492" s="30">
        <f>RANK(B492,$B$2:$B$551,1)</f>
        <v>491</v>
      </c>
      <c r="B492" s="46">
        <f>AVERAGE(G492,I492,J492)</f>
        <v>415.33333333333331</v>
      </c>
      <c r="C492" s="31" t="s">
        <v>408</v>
      </c>
      <c r="D492" s="66">
        <v>264.31389463178198</v>
      </c>
      <c r="E492" s="66">
        <v>14</v>
      </c>
      <c r="F492" s="66">
        <v>2252.1978030421301</v>
      </c>
      <c r="G492" s="33">
        <v>418</v>
      </c>
      <c r="H492" s="32">
        <v>113.23</v>
      </c>
      <c r="I492" s="34">
        <v>529</v>
      </c>
      <c r="J492" s="34">
        <v>299</v>
      </c>
      <c r="K492" s="35">
        <v>-0.17782527752878699</v>
      </c>
      <c r="L492" s="34" t="s">
        <v>5</v>
      </c>
      <c r="M492" s="31" t="s">
        <v>407</v>
      </c>
      <c r="N492" s="31" t="s">
        <v>166</v>
      </c>
      <c r="O492" s="31" t="s">
        <v>4</v>
      </c>
      <c r="P492" s="31" t="s">
        <v>3</v>
      </c>
      <c r="Q492" s="36"/>
    </row>
    <row r="493" spans="1:17" x14ac:dyDescent="0.2">
      <c r="A493" s="30">
        <f>RANK(B493,$B$2:$B$551,1)</f>
        <v>492</v>
      </c>
      <c r="B493" s="46">
        <f>AVERAGE(G493,I493,J493)</f>
        <v>416</v>
      </c>
      <c r="C493" s="31" t="s">
        <v>827</v>
      </c>
      <c r="D493" s="66">
        <v>152.16063074565901</v>
      </c>
      <c r="E493" s="66">
        <v>19</v>
      </c>
      <c r="F493" s="66">
        <v>1100.3092331707801</v>
      </c>
      <c r="G493" s="33">
        <v>307</v>
      </c>
      <c r="H493" s="32">
        <v>114.38</v>
      </c>
      <c r="I493" s="34">
        <v>462</v>
      </c>
      <c r="J493" s="34">
        <v>479</v>
      </c>
      <c r="K493" s="35">
        <v>-1.64757090704858</v>
      </c>
      <c r="L493" s="34" t="s">
        <v>20</v>
      </c>
      <c r="M493" s="31" t="s">
        <v>826</v>
      </c>
      <c r="N493" s="31" t="s">
        <v>641</v>
      </c>
      <c r="O493" s="31" t="s">
        <v>4</v>
      </c>
      <c r="P493" s="31" t="s">
        <v>3</v>
      </c>
      <c r="Q493" s="36"/>
    </row>
    <row r="494" spans="1:17" x14ac:dyDescent="0.2">
      <c r="A494" s="30">
        <f>RANK(B494,$B$2:$B$551,1)</f>
        <v>492</v>
      </c>
      <c r="B494" s="46">
        <f>AVERAGE(G494,I494,J494)</f>
        <v>416</v>
      </c>
      <c r="C494" s="31" t="s">
        <v>473</v>
      </c>
      <c r="D494" s="66">
        <v>141.17934632034601</v>
      </c>
      <c r="E494" s="66">
        <v>27.155357142857099</v>
      </c>
      <c r="F494" s="66">
        <v>1516.5543960872201</v>
      </c>
      <c r="G494" s="33">
        <v>414</v>
      </c>
      <c r="H494" s="32">
        <v>115.07</v>
      </c>
      <c r="I494" s="34">
        <v>390</v>
      </c>
      <c r="J494" s="34">
        <v>444</v>
      </c>
      <c r="K494" s="35">
        <v>-1.25748759723158</v>
      </c>
      <c r="L494" s="34" t="s">
        <v>20</v>
      </c>
      <c r="M494" s="31" t="s">
        <v>472</v>
      </c>
      <c r="N494" s="31" t="s">
        <v>474</v>
      </c>
      <c r="O494" s="31" t="s">
        <v>4</v>
      </c>
      <c r="P494" s="31" t="s">
        <v>3</v>
      </c>
      <c r="Q494" s="36"/>
    </row>
    <row r="495" spans="1:17" x14ac:dyDescent="0.2">
      <c r="A495" s="30">
        <f>RANK(B495,$B$2:$B$551,1)</f>
        <v>494</v>
      </c>
      <c r="B495" s="46">
        <f>AVERAGE(G495,I495,J495)</f>
        <v>416.33333333333331</v>
      </c>
      <c r="C495" s="31" t="s">
        <v>857</v>
      </c>
      <c r="D495" s="66">
        <v>96.214888888888893</v>
      </c>
      <c r="E495" s="66">
        <v>16.622222222222199</v>
      </c>
      <c r="F495" s="66">
        <v>1255.4069480286701</v>
      </c>
      <c r="G495" s="33">
        <v>489</v>
      </c>
      <c r="H495" s="32">
        <v>112.83</v>
      </c>
      <c r="I495" s="34">
        <v>546</v>
      </c>
      <c r="J495" s="34">
        <v>214</v>
      </c>
      <c r="K495" s="35">
        <v>0.331863247863248</v>
      </c>
      <c r="L495" s="34" t="s">
        <v>5</v>
      </c>
      <c r="M495" s="31" t="s">
        <v>856</v>
      </c>
      <c r="N495" s="31" t="s">
        <v>150</v>
      </c>
      <c r="O495" s="31" t="s">
        <v>4</v>
      </c>
      <c r="P495" s="31" t="s">
        <v>3</v>
      </c>
      <c r="Q495" s="36"/>
    </row>
    <row r="496" spans="1:17" x14ac:dyDescent="0.2">
      <c r="A496" s="30">
        <f>RANK(B496,$B$2:$B$551,1)</f>
        <v>495</v>
      </c>
      <c r="B496" s="46">
        <f>AVERAGE(G496,I496,J496)</f>
        <v>417.33333333333331</v>
      </c>
      <c r="C496" s="31" t="s">
        <v>1053</v>
      </c>
      <c r="D496" s="66">
        <v>396.74494441974201</v>
      </c>
      <c r="E496" s="66">
        <v>0</v>
      </c>
      <c r="F496" s="66">
        <v>2477.2955158454802</v>
      </c>
      <c r="G496" s="33">
        <v>342</v>
      </c>
      <c r="H496" s="32">
        <v>114.95</v>
      </c>
      <c r="I496" s="34">
        <v>409</v>
      </c>
      <c r="J496" s="34">
        <v>501</v>
      </c>
      <c r="K496" s="35">
        <v>-1.9982322292519501</v>
      </c>
      <c r="L496" s="34" t="s">
        <v>20</v>
      </c>
      <c r="M496" s="31" t="s">
        <v>1052</v>
      </c>
      <c r="N496" s="31" t="s">
        <v>939</v>
      </c>
      <c r="O496" s="31" t="s">
        <v>4</v>
      </c>
      <c r="P496" s="31" t="s">
        <v>3</v>
      </c>
      <c r="Q496" s="36"/>
    </row>
    <row r="497" spans="1:17" x14ac:dyDescent="0.2">
      <c r="A497" s="30">
        <f>RANK(B497,$B$2:$B$551,1)</f>
        <v>495</v>
      </c>
      <c r="B497" s="46">
        <f>AVERAGE(G497,I497,J497)</f>
        <v>417.33333333333331</v>
      </c>
      <c r="C497" s="31" t="s">
        <v>675</v>
      </c>
      <c r="D497" s="66">
        <v>73.754180278281893</v>
      </c>
      <c r="E497" s="66">
        <v>0</v>
      </c>
      <c r="F497" s="66">
        <v>793.524904214559</v>
      </c>
      <c r="G497" s="33">
        <v>514</v>
      </c>
      <c r="H497" s="32">
        <v>114.62</v>
      </c>
      <c r="I497" s="34">
        <v>445</v>
      </c>
      <c r="J497" s="34">
        <v>293</v>
      </c>
      <c r="K497" s="35">
        <v>-0.122232498988381</v>
      </c>
      <c r="L497" s="34" t="s">
        <v>5</v>
      </c>
      <c r="M497" s="31" t="s">
        <v>674</v>
      </c>
      <c r="N497" s="31" t="s">
        <v>115</v>
      </c>
      <c r="O497" s="31" t="s">
        <v>4</v>
      </c>
      <c r="P497" s="31" t="s">
        <v>3</v>
      </c>
      <c r="Q497" s="36"/>
    </row>
    <row r="498" spans="1:17" x14ac:dyDescent="0.2">
      <c r="A498" s="30">
        <f>RANK(B498,$B$2:$B$551,1)</f>
        <v>497</v>
      </c>
      <c r="B498" s="46">
        <f>AVERAGE(G498,I498,J498)</f>
        <v>420</v>
      </c>
      <c r="C498" s="31" t="s">
        <v>469</v>
      </c>
      <c r="D498" s="66">
        <v>157.191137684989</v>
      </c>
      <c r="E498" s="66">
        <v>104.962784090909</v>
      </c>
      <c r="F498" s="66">
        <v>2953.7284164671401</v>
      </c>
      <c r="G498" s="33">
        <v>423</v>
      </c>
      <c r="H498" s="32">
        <v>114</v>
      </c>
      <c r="I498" s="34">
        <v>489</v>
      </c>
      <c r="J498" s="34">
        <v>348</v>
      </c>
      <c r="K498" s="35">
        <v>-0.519481224224007</v>
      </c>
      <c r="L498" s="34" t="s">
        <v>5</v>
      </c>
      <c r="M498" s="31" t="s">
        <v>468</v>
      </c>
      <c r="N498" s="31" t="s">
        <v>57</v>
      </c>
      <c r="O498" s="31" t="s">
        <v>4</v>
      </c>
      <c r="P498" s="31" t="s">
        <v>3</v>
      </c>
      <c r="Q498" s="36"/>
    </row>
    <row r="499" spans="1:17" x14ac:dyDescent="0.2">
      <c r="A499" s="30">
        <f>RANK(B499,$B$2:$B$551,1)</f>
        <v>498</v>
      </c>
      <c r="B499" s="46">
        <f>AVERAGE(G499,I499,J499)</f>
        <v>422.66666666666669</v>
      </c>
      <c r="C499" s="31" t="s">
        <v>398</v>
      </c>
      <c r="D499" s="66">
        <v>180.789661422709</v>
      </c>
      <c r="E499" s="66">
        <v>42.552325581395401</v>
      </c>
      <c r="F499" s="66">
        <v>1879.6502887434001</v>
      </c>
      <c r="G499" s="33">
        <v>383</v>
      </c>
      <c r="H499" s="32">
        <v>113.47</v>
      </c>
      <c r="I499" s="34">
        <v>521</v>
      </c>
      <c r="J499" s="34">
        <v>364</v>
      </c>
      <c r="K499" s="35">
        <v>-0.73327305605786597</v>
      </c>
      <c r="L499" s="34" t="s">
        <v>5</v>
      </c>
      <c r="M499" s="31" t="s">
        <v>397</v>
      </c>
      <c r="N499" s="31" t="s">
        <v>392</v>
      </c>
      <c r="O499" s="31" t="s">
        <v>4</v>
      </c>
      <c r="P499" s="31" t="s">
        <v>3</v>
      </c>
      <c r="Q499" s="36"/>
    </row>
    <row r="500" spans="1:17" x14ac:dyDescent="0.2">
      <c r="A500" s="30">
        <f>RANK(B500,$B$2:$B$551,1)</f>
        <v>499</v>
      </c>
      <c r="B500" s="46">
        <f>AVERAGE(G500,I500,J500)</f>
        <v>423</v>
      </c>
      <c r="C500" s="31" t="s">
        <v>1096</v>
      </c>
      <c r="D500" s="66">
        <v>108.88176470588201</v>
      </c>
      <c r="E500" s="66">
        <v>28.676470588235301</v>
      </c>
      <c r="F500" s="66">
        <v>779.405095676825</v>
      </c>
      <c r="G500" s="33">
        <v>230</v>
      </c>
      <c r="H500" s="32">
        <v>110.83</v>
      </c>
      <c r="I500" s="34">
        <v>582</v>
      </c>
      <c r="J500" s="34">
        <v>457</v>
      </c>
      <c r="K500" s="35">
        <v>-1.3743355265603501</v>
      </c>
      <c r="L500" s="34" t="s">
        <v>20</v>
      </c>
      <c r="M500" s="31" t="s">
        <v>1095</v>
      </c>
      <c r="N500" s="31" t="s">
        <v>169</v>
      </c>
      <c r="O500" s="31" t="s">
        <v>4</v>
      </c>
      <c r="P500" s="31" t="s">
        <v>3</v>
      </c>
      <c r="Q500" s="36"/>
    </row>
    <row r="501" spans="1:17" x14ac:dyDescent="0.2">
      <c r="A501" s="30">
        <f>RANK(B501,$B$2:$B$551,1)</f>
        <v>500</v>
      </c>
      <c r="B501" s="46">
        <f>AVERAGE(G501,I501,J501)</f>
        <v>424.66666666666669</v>
      </c>
      <c r="C501" s="31" t="s">
        <v>197</v>
      </c>
      <c r="D501" s="66">
        <v>101.825842696629</v>
      </c>
      <c r="E501" s="66">
        <v>21.764044943820199</v>
      </c>
      <c r="F501" s="66">
        <v>2273.8074719101101</v>
      </c>
      <c r="G501" s="33">
        <v>562</v>
      </c>
      <c r="H501" s="32">
        <v>116.5</v>
      </c>
      <c r="I501" s="34">
        <v>169</v>
      </c>
      <c r="J501" s="34">
        <v>543</v>
      </c>
      <c r="K501" s="35">
        <v>-3.34724362774155</v>
      </c>
      <c r="L501" s="34" t="s">
        <v>39</v>
      </c>
      <c r="M501" s="31" t="s">
        <v>196</v>
      </c>
      <c r="N501" s="31" t="s">
        <v>16</v>
      </c>
      <c r="O501" s="31" t="s">
        <v>4</v>
      </c>
      <c r="P501" s="31" t="s">
        <v>3</v>
      </c>
      <c r="Q501" s="36"/>
    </row>
    <row r="502" spans="1:17" x14ac:dyDescent="0.2">
      <c r="A502" s="30">
        <f>RANK(B502,$B$2:$B$551,1)</f>
        <v>501</v>
      </c>
      <c r="B502" s="46">
        <f>AVERAGE(G502,I502,J502)</f>
        <v>426</v>
      </c>
      <c r="C502" s="31" t="s">
        <v>80</v>
      </c>
      <c r="D502" s="66">
        <v>759.20340909090896</v>
      </c>
      <c r="E502" s="66">
        <v>261.90767045454601</v>
      </c>
      <c r="F502" s="66">
        <v>6443.8838636363698</v>
      </c>
      <c r="G502" s="33">
        <v>249</v>
      </c>
      <c r="H502" s="32">
        <v>114.15</v>
      </c>
      <c r="I502" s="34">
        <v>481</v>
      </c>
      <c r="J502" s="34">
        <v>548</v>
      </c>
      <c r="K502" s="35">
        <v>-4.7886359746705498</v>
      </c>
      <c r="L502" s="34" t="s">
        <v>39</v>
      </c>
      <c r="M502" s="31" t="s">
        <v>79</v>
      </c>
      <c r="N502" s="31" t="s">
        <v>81</v>
      </c>
      <c r="O502" s="31" t="s">
        <v>4</v>
      </c>
      <c r="P502" s="31" t="s">
        <v>3</v>
      </c>
      <c r="Q502" s="36"/>
    </row>
    <row r="503" spans="1:17" x14ac:dyDescent="0.2">
      <c r="A503" s="30">
        <f>RANK(B503,$B$2:$B$551,1)</f>
        <v>501</v>
      </c>
      <c r="B503" s="46">
        <f>AVERAGE(G503,I503,J503)</f>
        <v>426</v>
      </c>
      <c r="C503" s="31" t="s">
        <v>383</v>
      </c>
      <c r="D503" s="66">
        <v>141.530663253509</v>
      </c>
      <c r="E503" s="66">
        <v>0</v>
      </c>
      <c r="F503" s="66">
        <v>1912.3663134599501</v>
      </c>
      <c r="G503" s="33">
        <v>545</v>
      </c>
      <c r="H503" s="32">
        <v>116.08</v>
      </c>
      <c r="I503" s="34">
        <v>242</v>
      </c>
      <c r="J503" s="34">
        <v>491</v>
      </c>
      <c r="K503" s="35">
        <v>-1.79991031836979</v>
      </c>
      <c r="L503" s="34" t="s">
        <v>20</v>
      </c>
      <c r="M503" s="31" t="s">
        <v>382</v>
      </c>
      <c r="N503" s="31" t="s">
        <v>373</v>
      </c>
      <c r="O503" s="31" t="s">
        <v>4</v>
      </c>
      <c r="P503" s="31" t="s">
        <v>3</v>
      </c>
      <c r="Q503" s="36"/>
    </row>
    <row r="504" spans="1:17" x14ac:dyDescent="0.2">
      <c r="A504" s="30">
        <f>RANK(B504,$B$2:$B$551,1)</f>
        <v>503</v>
      </c>
      <c r="B504" s="46">
        <f>AVERAGE(G504,I504,J504)</f>
        <v>428.66666666666669</v>
      </c>
      <c r="C504" s="31" t="s">
        <v>96</v>
      </c>
      <c r="D504" s="66">
        <v>213.54922571819401</v>
      </c>
      <c r="E504" s="66">
        <v>59.662790697674403</v>
      </c>
      <c r="F504" s="66">
        <v>3623.8682954856399</v>
      </c>
      <c r="G504" s="33">
        <v>510</v>
      </c>
      <c r="H504" s="32">
        <v>114.89</v>
      </c>
      <c r="I504" s="34">
        <v>420</v>
      </c>
      <c r="J504" s="34">
        <v>356</v>
      </c>
      <c r="K504" s="35">
        <v>-0.64203690504474498</v>
      </c>
      <c r="L504" s="34" t="s">
        <v>5</v>
      </c>
      <c r="M504" s="31" t="s">
        <v>95</v>
      </c>
      <c r="N504" s="31" t="s">
        <v>97</v>
      </c>
      <c r="O504" s="31" t="s">
        <v>4</v>
      </c>
      <c r="P504" s="31" t="s">
        <v>3</v>
      </c>
      <c r="Q504" s="36"/>
    </row>
    <row r="505" spans="1:17" x14ac:dyDescent="0.2">
      <c r="A505" s="30">
        <f>RANK(B505,$B$2:$B$551,1)</f>
        <v>504</v>
      </c>
      <c r="B505" s="46">
        <f>AVERAGE(G505,I505,J505)</f>
        <v>429</v>
      </c>
      <c r="C505" s="31" t="s">
        <v>656</v>
      </c>
      <c r="D505" s="66">
        <v>105.493526011561</v>
      </c>
      <c r="E505" s="66">
        <v>0</v>
      </c>
      <c r="F505" s="66">
        <v>541.44275262967403</v>
      </c>
      <c r="G505" s="33">
        <v>269</v>
      </c>
      <c r="H505" s="32">
        <v>113.72</v>
      </c>
      <c r="I505" s="34">
        <v>506</v>
      </c>
      <c r="J505" s="34">
        <v>512</v>
      </c>
      <c r="K505" s="35">
        <v>-2.2640610961365701</v>
      </c>
      <c r="L505" s="34" t="s">
        <v>39</v>
      </c>
      <c r="M505" s="31" t="s">
        <v>655</v>
      </c>
      <c r="N505" s="31" t="s">
        <v>543</v>
      </c>
      <c r="O505" s="31" t="s">
        <v>4</v>
      </c>
      <c r="P505" s="31" t="s">
        <v>3</v>
      </c>
      <c r="Q505" s="36"/>
    </row>
    <row r="506" spans="1:17" x14ac:dyDescent="0.2">
      <c r="A506" s="30">
        <f>RANK(B506,$B$2:$B$551,1)</f>
        <v>505</v>
      </c>
      <c r="B506" s="46">
        <f>AVERAGE(G506,I506,J506)</f>
        <v>430.66666666666669</v>
      </c>
      <c r="C506" s="31" t="s">
        <v>1065</v>
      </c>
      <c r="D506" s="66">
        <v>67</v>
      </c>
      <c r="E506" s="66">
        <v>35.971910112359602</v>
      </c>
      <c r="F506" s="66">
        <v>696.55898876404501</v>
      </c>
      <c r="G506" s="33">
        <v>245</v>
      </c>
      <c r="H506" s="32">
        <v>111.73</v>
      </c>
      <c r="I506" s="34">
        <v>570</v>
      </c>
      <c r="J506" s="34">
        <v>477</v>
      </c>
      <c r="K506" s="35">
        <v>-1.61843463147032</v>
      </c>
      <c r="L506" s="34" t="s">
        <v>20</v>
      </c>
      <c r="M506" s="31" t="s">
        <v>1064</v>
      </c>
      <c r="N506" s="31" t="s">
        <v>836</v>
      </c>
      <c r="O506" s="31" t="s">
        <v>4</v>
      </c>
      <c r="P506" s="31" t="s">
        <v>3</v>
      </c>
      <c r="Q506" s="36"/>
    </row>
    <row r="507" spans="1:17" x14ac:dyDescent="0.2">
      <c r="A507" s="30">
        <f>RANK(B507,$B$2:$B$551,1)</f>
        <v>506</v>
      </c>
      <c r="B507" s="46">
        <f>AVERAGE(G507,I507,J507)</f>
        <v>431.66666666666669</v>
      </c>
      <c r="C507" s="31" t="s">
        <v>154</v>
      </c>
      <c r="D507" s="66">
        <v>33.5</v>
      </c>
      <c r="E507" s="66">
        <v>0</v>
      </c>
      <c r="F507" s="66">
        <v>727.337724957555</v>
      </c>
      <c r="G507" s="33">
        <v>584</v>
      </c>
      <c r="H507" s="32">
        <v>115.16</v>
      </c>
      <c r="I507" s="34">
        <v>382</v>
      </c>
      <c r="J507" s="34">
        <v>329</v>
      </c>
      <c r="K507" s="35">
        <v>-0.38655657334537502</v>
      </c>
      <c r="L507" s="34" t="s">
        <v>5</v>
      </c>
      <c r="M507" s="31" t="s">
        <v>327</v>
      </c>
      <c r="N507" s="31" t="s">
        <v>94</v>
      </c>
      <c r="O507" s="31" t="s">
        <v>4</v>
      </c>
      <c r="P507" s="31" t="s">
        <v>3</v>
      </c>
      <c r="Q507" s="36"/>
    </row>
    <row r="508" spans="1:17" x14ac:dyDescent="0.2">
      <c r="A508" s="30">
        <f>RANK(B508,$B$2:$B$551,1)</f>
        <v>507</v>
      </c>
      <c r="B508" s="46">
        <f>AVERAGE(G508,I508,J508)</f>
        <v>438</v>
      </c>
      <c r="C508" s="31" t="s">
        <v>890</v>
      </c>
      <c r="D508" s="66">
        <v>95.912078651685405</v>
      </c>
      <c r="E508" s="66">
        <v>13.6067415730337</v>
      </c>
      <c r="F508" s="66">
        <v>1018.50334360275</v>
      </c>
      <c r="G508" s="33">
        <v>444</v>
      </c>
      <c r="H508" s="32">
        <v>115.26</v>
      </c>
      <c r="I508" s="34">
        <v>361</v>
      </c>
      <c r="J508" s="34">
        <v>509</v>
      </c>
      <c r="K508" s="35">
        <v>-2.22315609530254</v>
      </c>
      <c r="L508" s="34" t="s">
        <v>39</v>
      </c>
      <c r="M508" s="31" t="s">
        <v>889</v>
      </c>
      <c r="N508" s="31" t="s">
        <v>13</v>
      </c>
      <c r="O508" s="31" t="s">
        <v>4</v>
      </c>
      <c r="P508" s="31" t="s">
        <v>3</v>
      </c>
      <c r="Q508" s="36"/>
    </row>
    <row r="509" spans="1:17" x14ac:dyDescent="0.2">
      <c r="A509" s="30">
        <f>RANK(B509,$B$2:$B$551,1)</f>
        <v>508</v>
      </c>
      <c r="B509" s="46">
        <f>AVERAGE(G509,I509,J509)</f>
        <v>438.33333333333331</v>
      </c>
      <c r="C509" s="31" t="s">
        <v>529</v>
      </c>
      <c r="D509" s="66">
        <v>171.23831525248599</v>
      </c>
      <c r="E509" s="66">
        <v>0</v>
      </c>
      <c r="F509" s="66">
        <v>1294.5826581612901</v>
      </c>
      <c r="G509" s="33">
        <v>408</v>
      </c>
      <c r="H509" s="32">
        <v>115.28</v>
      </c>
      <c r="I509" s="34">
        <v>360</v>
      </c>
      <c r="J509" s="34">
        <v>547</v>
      </c>
      <c r="K509" s="35">
        <v>-3.6513133691413402</v>
      </c>
      <c r="L509" s="34" t="s">
        <v>39</v>
      </c>
      <c r="M509" s="31" t="s">
        <v>528</v>
      </c>
      <c r="N509" s="31" t="s">
        <v>112</v>
      </c>
      <c r="O509" s="31" t="s">
        <v>4</v>
      </c>
      <c r="P509" s="31" t="s">
        <v>3</v>
      </c>
      <c r="Q509" s="36"/>
    </row>
    <row r="510" spans="1:17" x14ac:dyDescent="0.2">
      <c r="A510" s="30">
        <f>RANK(B510,$B$2:$B$551,1)</f>
        <v>508</v>
      </c>
      <c r="B510" s="46">
        <f>AVERAGE(G510,I510,J510)</f>
        <v>438.33333333333331</v>
      </c>
      <c r="C510" s="31" t="s">
        <v>962</v>
      </c>
      <c r="D510" s="66">
        <v>126.13529411764701</v>
      </c>
      <c r="E510" s="66">
        <v>0</v>
      </c>
      <c r="F510" s="66">
        <v>1086.0085049019599</v>
      </c>
      <c r="G510" s="33">
        <v>460</v>
      </c>
      <c r="H510" s="32">
        <v>111.81</v>
      </c>
      <c r="I510" s="34">
        <v>569</v>
      </c>
      <c r="J510" s="34">
        <v>286</v>
      </c>
      <c r="K510" s="35">
        <v>-8.0858641767338896E-2</v>
      </c>
      <c r="L510" s="34" t="s">
        <v>5</v>
      </c>
      <c r="M510" s="31" t="s">
        <v>961</v>
      </c>
      <c r="N510" s="31" t="s">
        <v>243</v>
      </c>
      <c r="O510" s="31" t="s">
        <v>4</v>
      </c>
      <c r="P510" s="31" t="s">
        <v>3</v>
      </c>
      <c r="Q510" s="36"/>
    </row>
    <row r="511" spans="1:17" x14ac:dyDescent="0.2">
      <c r="A511" s="30">
        <f>RANK(B511,$B$2:$B$551,1)</f>
        <v>508</v>
      </c>
      <c r="B511" s="46">
        <f>AVERAGE(G511,I511,J511)</f>
        <v>438.33333333333331</v>
      </c>
      <c r="C511" s="31" t="s">
        <v>518</v>
      </c>
      <c r="D511" s="66">
        <v>58.515384269662903</v>
      </c>
      <c r="E511" s="66">
        <v>35.786516853932604</v>
      </c>
      <c r="F511" s="66">
        <v>1675.56942310361</v>
      </c>
      <c r="G511" s="33">
        <v>538</v>
      </c>
      <c r="H511" s="32">
        <v>113.43</v>
      </c>
      <c r="I511" s="34">
        <v>523</v>
      </c>
      <c r="J511" s="34">
        <v>254</v>
      </c>
      <c r="K511" s="35">
        <v>0.115532794587484</v>
      </c>
      <c r="L511" s="34" t="s">
        <v>5</v>
      </c>
      <c r="M511" s="31" t="s">
        <v>517</v>
      </c>
      <c r="N511" s="31" t="s">
        <v>10</v>
      </c>
      <c r="O511" s="31" t="s">
        <v>4</v>
      </c>
      <c r="P511" s="31" t="s">
        <v>3</v>
      </c>
      <c r="Q511" s="36"/>
    </row>
    <row r="512" spans="1:17" x14ac:dyDescent="0.2">
      <c r="A512" s="30">
        <f>RANK(B512,$B$2:$B$551,1)</f>
        <v>511</v>
      </c>
      <c r="B512" s="46">
        <f>AVERAGE(G512,I512,J512)</f>
        <v>439.66666666666669</v>
      </c>
      <c r="C512" s="31" t="s">
        <v>291</v>
      </c>
      <c r="D512" s="66">
        <v>110.845480972516</v>
      </c>
      <c r="E512" s="66">
        <v>1</v>
      </c>
      <c r="F512" s="66">
        <v>1571.3377685330399</v>
      </c>
      <c r="G512" s="33">
        <v>551</v>
      </c>
      <c r="H512" s="32">
        <v>114.66</v>
      </c>
      <c r="I512" s="34">
        <v>441</v>
      </c>
      <c r="J512" s="34">
        <v>327</v>
      </c>
      <c r="K512" s="35">
        <v>-0.34920210735282903</v>
      </c>
      <c r="L512" s="34" t="s">
        <v>5</v>
      </c>
      <c r="M512" s="31" t="s">
        <v>290</v>
      </c>
      <c r="N512" s="31" t="s">
        <v>150</v>
      </c>
      <c r="O512" s="31" t="s">
        <v>4</v>
      </c>
      <c r="P512" s="31" t="s">
        <v>3</v>
      </c>
      <c r="Q512" s="36"/>
    </row>
    <row r="513" spans="1:17" x14ac:dyDescent="0.2">
      <c r="A513" s="30">
        <f>RANK(B513,$B$2:$B$551,1)</f>
        <v>512</v>
      </c>
      <c r="B513" s="46">
        <f>AVERAGE(G513,I513,J513)</f>
        <v>442.33333333333331</v>
      </c>
      <c r="C513" s="31" t="s">
        <v>404</v>
      </c>
      <c r="D513" s="66">
        <v>74.919075144508696</v>
      </c>
      <c r="E513" s="66">
        <v>33.682080924855498</v>
      </c>
      <c r="F513" s="66">
        <v>851.45208838336703</v>
      </c>
      <c r="G513" s="33">
        <v>311</v>
      </c>
      <c r="H513" s="32">
        <v>112.95</v>
      </c>
      <c r="I513" s="34">
        <v>542</v>
      </c>
      <c r="J513" s="34">
        <v>474</v>
      </c>
      <c r="K513" s="35">
        <v>-1.6054266659066301</v>
      </c>
      <c r="L513" s="34" t="s">
        <v>20</v>
      </c>
      <c r="M513" s="31" t="s">
        <v>403</v>
      </c>
      <c r="N513" s="31" t="s">
        <v>52</v>
      </c>
      <c r="O513" s="31" t="s">
        <v>4</v>
      </c>
      <c r="P513" s="31" t="s">
        <v>3</v>
      </c>
      <c r="Q513" s="36"/>
    </row>
    <row r="514" spans="1:17" x14ac:dyDescent="0.2">
      <c r="A514" s="30">
        <f>RANK(B514,$B$2:$B$551,1)</f>
        <v>512</v>
      </c>
      <c r="B514" s="46">
        <f>AVERAGE(G514,I514,J514)</f>
        <v>442.33333333333331</v>
      </c>
      <c r="C514" s="31" t="s">
        <v>313</v>
      </c>
      <c r="D514" s="66">
        <v>126.817768336315</v>
      </c>
      <c r="E514" s="66">
        <v>0</v>
      </c>
      <c r="F514" s="66">
        <v>891.61583016385703</v>
      </c>
      <c r="G514" s="33">
        <v>388</v>
      </c>
      <c r="H514" s="32">
        <v>111.68</v>
      </c>
      <c r="I514" s="34">
        <v>573</v>
      </c>
      <c r="J514" s="34">
        <v>366</v>
      </c>
      <c r="K514" s="35">
        <v>-0.76094649328501396</v>
      </c>
      <c r="L514" s="34" t="s">
        <v>5</v>
      </c>
      <c r="M514" s="31" t="s">
        <v>312</v>
      </c>
      <c r="N514" s="31" t="s">
        <v>314</v>
      </c>
      <c r="O514" s="31" t="s">
        <v>4</v>
      </c>
      <c r="P514" s="31" t="s">
        <v>3</v>
      </c>
      <c r="Q514" s="36"/>
    </row>
    <row r="515" spans="1:17" x14ac:dyDescent="0.2">
      <c r="A515" s="30">
        <f>RANK(B515,$B$2:$B$551,1)</f>
        <v>514</v>
      </c>
      <c r="B515" s="46">
        <f>AVERAGE(G515,I515,J515)</f>
        <v>443.33333333333331</v>
      </c>
      <c r="C515" s="31" t="s">
        <v>1113</v>
      </c>
      <c r="D515" s="66">
        <v>91.337142857142894</v>
      </c>
      <c r="E515" s="66">
        <v>10</v>
      </c>
      <c r="F515" s="66">
        <v>952.24683982683996</v>
      </c>
      <c r="G515" s="33">
        <v>451</v>
      </c>
      <c r="H515" s="32">
        <v>113.64</v>
      </c>
      <c r="I515" s="34">
        <v>509</v>
      </c>
      <c r="J515" s="34">
        <v>370</v>
      </c>
      <c r="K515" s="35">
        <v>-0.80765930057927482</v>
      </c>
      <c r="L515" s="34" t="s">
        <v>5</v>
      </c>
      <c r="M515" s="31" t="s">
        <v>1112</v>
      </c>
      <c r="N515" s="31" t="s">
        <v>694</v>
      </c>
      <c r="O515" s="31" t="s">
        <v>4</v>
      </c>
      <c r="P515" s="31" t="s">
        <v>3</v>
      </c>
      <c r="Q515" s="36"/>
    </row>
    <row r="516" spans="1:17" x14ac:dyDescent="0.2">
      <c r="A516" s="30">
        <f>RANK(B516,$B$2:$B$551,1)</f>
        <v>515</v>
      </c>
      <c r="B516" s="46">
        <f>AVERAGE(G516,I516,J516)</f>
        <v>444</v>
      </c>
      <c r="C516" s="31" t="s">
        <v>1143</v>
      </c>
      <c r="D516" s="66">
        <v>152.65028073265199</v>
      </c>
      <c r="E516" s="66">
        <v>0</v>
      </c>
      <c r="F516" s="66">
        <v>2229.9241947574801</v>
      </c>
      <c r="G516" s="33">
        <v>555</v>
      </c>
      <c r="H516" s="32">
        <v>115.35</v>
      </c>
      <c r="I516" s="34">
        <v>348</v>
      </c>
      <c r="J516" s="34">
        <v>429</v>
      </c>
      <c r="K516" s="35">
        <v>-1.1456900960281799</v>
      </c>
      <c r="L516" s="34" t="s">
        <v>20</v>
      </c>
      <c r="M516" s="31" t="s">
        <v>1142</v>
      </c>
      <c r="N516" s="31" t="s">
        <v>437</v>
      </c>
      <c r="O516" s="31" t="s">
        <v>4</v>
      </c>
      <c r="P516" s="31" t="s">
        <v>3</v>
      </c>
      <c r="Q516" s="36"/>
    </row>
    <row r="517" spans="1:17" x14ac:dyDescent="0.2">
      <c r="A517" s="30">
        <f>RANK(B517,$B$2:$B$551,1)</f>
        <v>516</v>
      </c>
      <c r="B517" s="46">
        <f>AVERAGE(G517,I517,J517)</f>
        <v>445.33333333333331</v>
      </c>
      <c r="C517" s="31" t="s">
        <v>1041</v>
      </c>
      <c r="D517" s="66">
        <v>135.30021387324501</v>
      </c>
      <c r="E517" s="66">
        <v>29.520710059171599</v>
      </c>
      <c r="F517" s="66">
        <v>1612.5827582275899</v>
      </c>
      <c r="G517" s="33">
        <v>443</v>
      </c>
      <c r="H517" s="32">
        <v>114.33</v>
      </c>
      <c r="I517" s="34">
        <v>467</v>
      </c>
      <c r="J517" s="34">
        <v>426</v>
      </c>
      <c r="K517" s="35">
        <v>-1.1374504459861201</v>
      </c>
      <c r="L517" s="34" t="s">
        <v>20</v>
      </c>
      <c r="M517" s="31" t="s">
        <v>1040</v>
      </c>
      <c r="N517" s="31" t="s">
        <v>87</v>
      </c>
      <c r="O517" s="31" t="s">
        <v>4</v>
      </c>
      <c r="P517" s="31" t="s">
        <v>3</v>
      </c>
      <c r="Q517" s="36"/>
    </row>
    <row r="518" spans="1:17" x14ac:dyDescent="0.2">
      <c r="A518" s="30">
        <f>RANK(B518,$B$2:$B$551,1)</f>
        <v>517</v>
      </c>
      <c r="B518" s="46">
        <f>AVERAGE(G518,I518,J518)</f>
        <v>447.33333333333331</v>
      </c>
      <c r="C518" s="31" t="s">
        <v>1106</v>
      </c>
      <c r="D518" s="66">
        <v>94.177376775271497</v>
      </c>
      <c r="E518" s="66">
        <v>14.5714285714286</v>
      </c>
      <c r="F518" s="66">
        <v>943.21314199477195</v>
      </c>
      <c r="G518" s="33">
        <v>404</v>
      </c>
      <c r="H518" s="32">
        <v>112.22</v>
      </c>
      <c r="I518" s="34">
        <v>560</v>
      </c>
      <c r="J518" s="34">
        <v>378</v>
      </c>
      <c r="K518" s="35">
        <v>-0.85939326185273601</v>
      </c>
      <c r="L518" s="34" t="s">
        <v>5</v>
      </c>
      <c r="M518" s="31" t="s">
        <v>1105</v>
      </c>
      <c r="N518" s="31" t="s">
        <v>932</v>
      </c>
      <c r="O518" s="31" t="s">
        <v>4</v>
      </c>
      <c r="P518" s="31" t="s">
        <v>3</v>
      </c>
      <c r="Q518" s="36"/>
    </row>
    <row r="519" spans="1:17" x14ac:dyDescent="0.2">
      <c r="A519" s="30">
        <f>RANK(B519,$B$2:$B$551,1)</f>
        <v>518</v>
      </c>
      <c r="B519" s="46">
        <f>AVERAGE(G519,I519,J519)</f>
        <v>448</v>
      </c>
      <c r="C519" s="31" t="s">
        <v>866</v>
      </c>
      <c r="D519" s="66">
        <v>349.24949879711301</v>
      </c>
      <c r="E519" s="66">
        <v>66.703488372093204</v>
      </c>
      <c r="F519" s="66">
        <v>3896.8481542368399</v>
      </c>
      <c r="G519" s="33">
        <v>435</v>
      </c>
      <c r="H519" s="32">
        <v>115.07</v>
      </c>
      <c r="I519" s="34">
        <v>390</v>
      </c>
      <c r="J519" s="34">
        <v>519</v>
      </c>
      <c r="K519" s="35">
        <v>-2.4569774406069098</v>
      </c>
      <c r="L519" s="34" t="s">
        <v>39</v>
      </c>
      <c r="M519" s="31" t="s">
        <v>865</v>
      </c>
      <c r="N519" s="31" t="s">
        <v>55</v>
      </c>
      <c r="O519" s="31" t="s">
        <v>4</v>
      </c>
      <c r="P519" s="31" t="s">
        <v>3</v>
      </c>
      <c r="Q519" s="36"/>
    </row>
    <row r="520" spans="1:17" x14ac:dyDescent="0.2">
      <c r="A520" s="30">
        <f>RANK(B520,$B$2:$B$551,1)</f>
        <v>518</v>
      </c>
      <c r="B520" s="46">
        <f>AVERAGE(G520,I520,J520)</f>
        <v>448</v>
      </c>
      <c r="C520" s="31" t="s">
        <v>515</v>
      </c>
      <c r="D520" s="66">
        <v>146</v>
      </c>
      <c r="E520" s="66">
        <v>34</v>
      </c>
      <c r="F520" s="66">
        <v>2915.8786630369</v>
      </c>
      <c r="G520" s="33">
        <v>543</v>
      </c>
      <c r="H520" s="32">
        <v>115.74</v>
      </c>
      <c r="I520" s="34">
        <v>297</v>
      </c>
      <c r="J520" s="34">
        <v>504</v>
      </c>
      <c r="K520" s="35">
        <v>-2.09291244788565</v>
      </c>
      <c r="L520" s="34" t="s">
        <v>39</v>
      </c>
      <c r="M520" s="31" t="s">
        <v>514</v>
      </c>
      <c r="N520" s="31" t="s">
        <v>516</v>
      </c>
      <c r="O520" s="31" t="s">
        <v>4</v>
      </c>
      <c r="P520" s="31" t="s">
        <v>3</v>
      </c>
      <c r="Q520" s="36"/>
    </row>
    <row r="521" spans="1:17" x14ac:dyDescent="0.2">
      <c r="A521" s="30">
        <f>RANK(B521,$B$2:$B$551,1)</f>
        <v>520</v>
      </c>
      <c r="B521" s="46">
        <f>AVERAGE(G521,I521,J521)</f>
        <v>449.66666666666669</v>
      </c>
      <c r="C521" s="31" t="s">
        <v>746</v>
      </c>
      <c r="D521" s="66">
        <v>39.357954545454497</v>
      </c>
      <c r="E521" s="66">
        <v>1</v>
      </c>
      <c r="F521" s="66">
        <v>850.42426686217004</v>
      </c>
      <c r="G521" s="33">
        <v>581</v>
      </c>
      <c r="H521" s="32">
        <v>115.74</v>
      </c>
      <c r="I521" s="34">
        <v>297</v>
      </c>
      <c r="J521" s="34">
        <v>471</v>
      </c>
      <c r="K521" s="35">
        <v>-1.5399219113801601</v>
      </c>
      <c r="L521" s="34" t="s">
        <v>20</v>
      </c>
      <c r="M521" s="31" t="s">
        <v>745</v>
      </c>
      <c r="N521" s="31" t="s">
        <v>8</v>
      </c>
      <c r="O521" s="31" t="s">
        <v>4</v>
      </c>
      <c r="P521" s="31" t="s">
        <v>3</v>
      </c>
      <c r="Q521" s="36"/>
    </row>
    <row r="522" spans="1:17" x14ac:dyDescent="0.2">
      <c r="A522" s="30">
        <f>RANK(B522,$B$2:$B$551,1)</f>
        <v>521</v>
      </c>
      <c r="B522" s="46">
        <f>AVERAGE(G522,I522,J522)</f>
        <v>450.33333333333331</v>
      </c>
      <c r="C522" s="31" t="s">
        <v>1117</v>
      </c>
      <c r="D522" s="66">
        <v>385.11528735632203</v>
      </c>
      <c r="E522" s="66">
        <v>24.517241379310299</v>
      </c>
      <c r="F522" s="66">
        <v>3524.54304597701</v>
      </c>
      <c r="G522" s="33">
        <v>441</v>
      </c>
      <c r="H522" s="32">
        <v>114.9</v>
      </c>
      <c r="I522" s="34">
        <v>418</v>
      </c>
      <c r="J522" s="34">
        <v>492</v>
      </c>
      <c r="K522" s="35">
        <v>-1.8307648128649401</v>
      </c>
      <c r="L522" s="34" t="s">
        <v>20</v>
      </c>
      <c r="M522" s="31" t="s">
        <v>1116</v>
      </c>
      <c r="N522" s="31" t="s">
        <v>60</v>
      </c>
      <c r="O522" s="31" t="s">
        <v>4</v>
      </c>
      <c r="P522" s="31" t="s">
        <v>3</v>
      </c>
      <c r="Q522" s="36"/>
    </row>
    <row r="523" spans="1:17" x14ac:dyDescent="0.2">
      <c r="A523" s="30">
        <f>RANK(B523,$B$2:$B$551,1)</f>
        <v>522</v>
      </c>
      <c r="B523" s="46">
        <f>AVERAGE(G523,I523,J523)</f>
        <v>452</v>
      </c>
      <c r="C523" s="31" t="s">
        <v>978</v>
      </c>
      <c r="D523" s="66">
        <v>64.730337078651701</v>
      </c>
      <c r="E523" s="66">
        <v>0</v>
      </c>
      <c r="F523" s="66">
        <v>649.61241573033703</v>
      </c>
      <c r="G523" s="33">
        <v>497</v>
      </c>
      <c r="H523" s="32">
        <v>113.18</v>
      </c>
      <c r="I523" s="34">
        <v>531</v>
      </c>
      <c r="J523" s="34">
        <v>328</v>
      </c>
      <c r="K523" s="35">
        <v>-0.37881331192526602</v>
      </c>
      <c r="L523" s="34" t="s">
        <v>5</v>
      </c>
      <c r="M523" s="31" t="s">
        <v>977</v>
      </c>
      <c r="N523" s="31" t="s">
        <v>516</v>
      </c>
      <c r="O523" s="31" t="s">
        <v>4</v>
      </c>
      <c r="P523" s="31" t="s">
        <v>3</v>
      </c>
      <c r="Q523" s="36"/>
    </row>
    <row r="524" spans="1:17" x14ac:dyDescent="0.2">
      <c r="A524" s="30">
        <f>RANK(B524,$B$2:$B$551,1)</f>
        <v>523</v>
      </c>
      <c r="B524" s="46">
        <f>AVERAGE(G524,I524,J524)</f>
        <v>454.66666666666669</v>
      </c>
      <c r="C524" s="31" t="s">
        <v>149</v>
      </c>
      <c r="D524" s="66">
        <v>110.75299435028199</v>
      </c>
      <c r="E524" s="66">
        <v>33.485875706214699</v>
      </c>
      <c r="F524" s="66">
        <v>1216.1174614792001</v>
      </c>
      <c r="G524" s="33">
        <v>368</v>
      </c>
      <c r="H524" s="32">
        <v>111.62</v>
      </c>
      <c r="I524" s="34">
        <v>575</v>
      </c>
      <c r="J524" s="34">
        <v>421</v>
      </c>
      <c r="K524" s="35">
        <v>-1.0990036039855799</v>
      </c>
      <c r="L524" s="34" t="s">
        <v>20</v>
      </c>
      <c r="M524" s="31" t="s">
        <v>148</v>
      </c>
      <c r="N524" s="31" t="s">
        <v>150</v>
      </c>
      <c r="O524" s="31" t="s">
        <v>4</v>
      </c>
      <c r="P524" s="31" t="s">
        <v>3</v>
      </c>
      <c r="Q524" s="36"/>
    </row>
    <row r="525" spans="1:17" ht="22.5" x14ac:dyDescent="0.2">
      <c r="A525" s="30">
        <f>RANK(B525,$B$2:$B$551,1)</f>
        <v>524</v>
      </c>
      <c r="B525" s="46">
        <f>AVERAGE(G525,I525,J525)</f>
        <v>455.66666666666669</v>
      </c>
      <c r="C525" s="31" t="s">
        <v>731</v>
      </c>
      <c r="D525" s="66">
        <v>159.22501642143999</v>
      </c>
      <c r="E525" s="66">
        <v>10.982954545454501</v>
      </c>
      <c r="F525" s="66">
        <v>1413.0759590120899</v>
      </c>
      <c r="G525" s="33">
        <v>421</v>
      </c>
      <c r="H525" s="32">
        <v>114.82</v>
      </c>
      <c r="I525" s="34">
        <v>425</v>
      </c>
      <c r="J525" s="34">
        <v>521</v>
      </c>
      <c r="K525" s="35">
        <v>-2.5529376898570102</v>
      </c>
      <c r="L525" s="34" t="s">
        <v>39</v>
      </c>
      <c r="M525" s="31" t="s">
        <v>730</v>
      </c>
      <c r="N525" s="31" t="s">
        <v>115</v>
      </c>
      <c r="O525" s="31" t="s">
        <v>4</v>
      </c>
      <c r="P525" s="31" t="s">
        <v>3</v>
      </c>
      <c r="Q525" s="36"/>
    </row>
    <row r="526" spans="1:17" x14ac:dyDescent="0.2">
      <c r="A526" s="30">
        <f>RANK(B526,$B$2:$B$551,1)</f>
        <v>525</v>
      </c>
      <c r="B526" s="46">
        <f>AVERAGE(G526,I526,J526)</f>
        <v>456</v>
      </c>
      <c r="C526" s="31" t="s">
        <v>1149</v>
      </c>
      <c r="D526" s="66">
        <v>172.16647398843901</v>
      </c>
      <c r="E526" s="66">
        <v>0</v>
      </c>
      <c r="F526" s="66">
        <v>2189.45809248555</v>
      </c>
      <c r="G526" s="33">
        <v>540</v>
      </c>
      <c r="H526" s="32">
        <v>115.52</v>
      </c>
      <c r="I526" s="34">
        <v>330</v>
      </c>
      <c r="J526" s="34">
        <v>498</v>
      </c>
      <c r="K526" s="35">
        <v>-1.88946549039958</v>
      </c>
      <c r="L526" s="34" t="s">
        <v>20</v>
      </c>
      <c r="M526" s="31" t="s">
        <v>1148</v>
      </c>
      <c r="N526" s="31" t="s">
        <v>332</v>
      </c>
      <c r="O526" s="31" t="s">
        <v>4</v>
      </c>
      <c r="P526" s="31" t="s">
        <v>3</v>
      </c>
      <c r="Q526" s="36"/>
    </row>
    <row r="527" spans="1:17" x14ac:dyDescent="0.2">
      <c r="A527" s="30">
        <f>RANK(B527,$B$2:$B$551,1)</f>
        <v>526</v>
      </c>
      <c r="B527" s="46">
        <f>AVERAGE(G527,I527,J527)</f>
        <v>456.66666666666669</v>
      </c>
      <c r="C527" s="31" t="s">
        <v>911</v>
      </c>
      <c r="D527" s="66">
        <v>314.55288750288798</v>
      </c>
      <c r="E527" s="66">
        <v>19.3055555555556</v>
      </c>
      <c r="F527" s="66">
        <v>2699.8699072344202</v>
      </c>
      <c r="G527" s="33">
        <v>412</v>
      </c>
      <c r="H527" s="32">
        <v>114.91</v>
      </c>
      <c r="I527" s="34">
        <v>414</v>
      </c>
      <c r="J527" s="34">
        <v>544</v>
      </c>
      <c r="K527" s="35">
        <v>-3.3969762742309699</v>
      </c>
      <c r="L527" s="34" t="s">
        <v>39</v>
      </c>
      <c r="M527" s="31" t="s">
        <v>910</v>
      </c>
      <c r="N527" s="31" t="s">
        <v>836</v>
      </c>
      <c r="O527" s="31" t="s">
        <v>4</v>
      </c>
      <c r="P527" s="31" t="s">
        <v>3</v>
      </c>
      <c r="Q527" s="36"/>
    </row>
    <row r="528" spans="1:17" x14ac:dyDescent="0.2">
      <c r="A528" s="30">
        <f>RANK(B528,$B$2:$B$551,1)</f>
        <v>527</v>
      </c>
      <c r="B528" s="46">
        <f>AVERAGE(G528,I528,J528)</f>
        <v>457</v>
      </c>
      <c r="C528" s="31" t="s">
        <v>338</v>
      </c>
      <c r="D528" s="66">
        <v>61.141271676300597</v>
      </c>
      <c r="E528" s="66">
        <v>1.00578034682081</v>
      </c>
      <c r="F528" s="66">
        <v>624.88948722729799</v>
      </c>
      <c r="G528" s="33">
        <v>495</v>
      </c>
      <c r="H528" s="32">
        <v>114.19</v>
      </c>
      <c r="I528" s="34">
        <v>476</v>
      </c>
      <c r="J528" s="34">
        <v>400</v>
      </c>
      <c r="K528" s="35">
        <v>-0.98477673179055503</v>
      </c>
      <c r="L528" s="34" t="s">
        <v>5</v>
      </c>
      <c r="M528" s="31" t="s">
        <v>337</v>
      </c>
      <c r="N528" s="31" t="s">
        <v>339</v>
      </c>
      <c r="O528" s="31" t="s">
        <v>4</v>
      </c>
      <c r="P528" s="31" t="s">
        <v>3</v>
      </c>
      <c r="Q528" s="36"/>
    </row>
    <row r="529" spans="1:17" x14ac:dyDescent="0.2">
      <c r="A529" s="30">
        <f>RANK(B529,$B$2:$B$551,1)</f>
        <v>528</v>
      </c>
      <c r="B529" s="46">
        <f>AVERAGE(G529,I529,J529)</f>
        <v>463.66666666666669</v>
      </c>
      <c r="C529" s="31" t="s">
        <v>859</v>
      </c>
      <c r="D529" s="66">
        <v>217.12695924764901</v>
      </c>
      <c r="E529" s="66">
        <v>26</v>
      </c>
      <c r="F529" s="66">
        <v>1732.6050936225399</v>
      </c>
      <c r="G529" s="33">
        <v>347</v>
      </c>
      <c r="H529" s="32">
        <v>110.14</v>
      </c>
      <c r="I529" s="34">
        <v>586</v>
      </c>
      <c r="J529" s="34">
        <v>458</v>
      </c>
      <c r="K529" s="35">
        <v>-1.3880706921943999</v>
      </c>
      <c r="L529" s="34" t="s">
        <v>20</v>
      </c>
      <c r="M529" s="31" t="s">
        <v>858</v>
      </c>
      <c r="N529" s="31" t="s">
        <v>860</v>
      </c>
      <c r="O529" s="31" t="s">
        <v>4</v>
      </c>
      <c r="P529" s="31" t="s">
        <v>3</v>
      </c>
      <c r="Q529" s="36"/>
    </row>
    <row r="530" spans="1:17" x14ac:dyDescent="0.2">
      <c r="A530" s="30">
        <f>RANK(B530,$B$2:$B$551,1)</f>
        <v>529</v>
      </c>
      <c r="B530" s="46">
        <f>AVERAGE(G530,I530,J530)</f>
        <v>464</v>
      </c>
      <c r="C530" s="31" t="s">
        <v>1121</v>
      </c>
      <c r="D530" s="66">
        <v>438.29801407878699</v>
      </c>
      <c r="E530" s="66">
        <v>115.207865168539</v>
      </c>
      <c r="F530" s="66">
        <v>5244.8647092974998</v>
      </c>
      <c r="G530" s="33">
        <v>420</v>
      </c>
      <c r="H530" s="32">
        <v>114.51</v>
      </c>
      <c r="I530" s="34">
        <v>452</v>
      </c>
      <c r="J530" s="34">
        <v>520</v>
      </c>
      <c r="K530" s="35">
        <v>-2.4586585718415699</v>
      </c>
      <c r="L530" s="34" t="s">
        <v>39</v>
      </c>
      <c r="M530" s="31" t="s">
        <v>1120</v>
      </c>
      <c r="N530" s="31" t="s">
        <v>10</v>
      </c>
      <c r="O530" s="31" t="s">
        <v>4</v>
      </c>
      <c r="P530" s="31" t="s">
        <v>3</v>
      </c>
      <c r="Q530" s="36"/>
    </row>
    <row r="531" spans="1:17" x14ac:dyDescent="0.2">
      <c r="A531" s="30">
        <f>RANK(B531,$B$2:$B$551,1)</f>
        <v>530</v>
      </c>
      <c r="B531" s="46">
        <f>AVERAGE(G531,I531,J531)</f>
        <v>468.66666666666669</v>
      </c>
      <c r="C531" s="31" t="s">
        <v>1145</v>
      </c>
      <c r="D531" s="66">
        <v>766.753993765828</v>
      </c>
      <c r="E531" s="66">
        <v>299.436099746737</v>
      </c>
      <c r="F531" s="66">
        <v>9693.8960275957706</v>
      </c>
      <c r="G531" s="33">
        <v>381</v>
      </c>
      <c r="H531" s="32">
        <v>114.16</v>
      </c>
      <c r="I531" s="34">
        <v>479</v>
      </c>
      <c r="J531" s="34">
        <v>546</v>
      </c>
      <c r="K531" s="35">
        <v>-3.6091013494114299</v>
      </c>
      <c r="L531" s="34" t="s">
        <v>39</v>
      </c>
      <c r="M531" s="31" t="s">
        <v>1144</v>
      </c>
      <c r="N531" s="31" t="s">
        <v>60</v>
      </c>
      <c r="O531" s="31" t="s">
        <v>4</v>
      </c>
      <c r="P531" s="31" t="s">
        <v>3</v>
      </c>
      <c r="Q531" s="36"/>
    </row>
    <row r="532" spans="1:17" x14ac:dyDescent="0.2">
      <c r="A532" s="30">
        <f>RANK(B532,$B$2:$B$551,1)</f>
        <v>531</v>
      </c>
      <c r="B532" s="46">
        <f>AVERAGE(G532,I532,J532)</f>
        <v>469</v>
      </c>
      <c r="C532" s="31" t="s">
        <v>1139</v>
      </c>
      <c r="D532" s="66">
        <v>247.53101503759399</v>
      </c>
      <c r="E532" s="66">
        <v>176.789473684211</v>
      </c>
      <c r="F532" s="66">
        <v>3809.1817418546402</v>
      </c>
      <c r="G532" s="33">
        <v>326</v>
      </c>
      <c r="H532" s="32">
        <v>111.45</v>
      </c>
      <c r="I532" s="34">
        <v>579</v>
      </c>
      <c r="J532" s="34">
        <v>502</v>
      </c>
      <c r="K532" s="35">
        <v>-2.02496009287476</v>
      </c>
      <c r="L532" s="34" t="s">
        <v>39</v>
      </c>
      <c r="M532" s="31" t="s">
        <v>1138</v>
      </c>
      <c r="N532" s="31" t="s">
        <v>182</v>
      </c>
      <c r="O532" s="31" t="s">
        <v>4</v>
      </c>
      <c r="P532" s="31" t="s">
        <v>3</v>
      </c>
      <c r="Q532" s="36"/>
    </row>
    <row r="533" spans="1:17" x14ac:dyDescent="0.2">
      <c r="A533" s="30">
        <f>RANK(B533,$B$2:$B$551,1)</f>
        <v>532</v>
      </c>
      <c r="B533" s="46">
        <f>AVERAGE(G533,I533,J533)</f>
        <v>472</v>
      </c>
      <c r="C533" s="31" t="s">
        <v>108</v>
      </c>
      <c r="D533" s="66">
        <v>157.77229294501899</v>
      </c>
      <c r="E533" s="66">
        <v>2.9672131147541001</v>
      </c>
      <c r="F533" s="66">
        <v>3438.5364088148599</v>
      </c>
      <c r="G533" s="33">
        <v>582</v>
      </c>
      <c r="H533" s="32">
        <v>113.39</v>
      </c>
      <c r="I533" s="34">
        <v>526</v>
      </c>
      <c r="J533" s="34">
        <v>308</v>
      </c>
      <c r="K533" s="35">
        <v>-0.21413454755338901</v>
      </c>
      <c r="L533" s="34" t="s">
        <v>5</v>
      </c>
      <c r="M533" s="31" t="s">
        <v>107</v>
      </c>
      <c r="N533" s="31" t="s">
        <v>55</v>
      </c>
      <c r="O533" s="31" t="s">
        <v>4</v>
      </c>
      <c r="P533" s="31" t="s">
        <v>3</v>
      </c>
      <c r="Q533" s="36"/>
    </row>
    <row r="534" spans="1:17" x14ac:dyDescent="0.2">
      <c r="A534" s="30">
        <f>RANK(B534,$B$2:$B$551,1)</f>
        <v>533</v>
      </c>
      <c r="B534" s="46">
        <f>AVERAGE(G534,I534,J534)</f>
        <v>473</v>
      </c>
      <c r="C534" s="31" t="s">
        <v>1135</v>
      </c>
      <c r="D534" s="66">
        <v>121.48888888888899</v>
      </c>
      <c r="E534" s="66">
        <v>42.605555555555597</v>
      </c>
      <c r="F534" s="66">
        <v>3614.6350312109898</v>
      </c>
      <c r="G534" s="33">
        <v>569</v>
      </c>
      <c r="H534" s="32">
        <v>113.07</v>
      </c>
      <c r="I534" s="34">
        <v>537</v>
      </c>
      <c r="J534" s="34">
        <v>313</v>
      </c>
      <c r="K534" s="35">
        <v>-0.24527715420480101</v>
      </c>
      <c r="L534" s="34" t="s">
        <v>5</v>
      </c>
      <c r="M534" s="31" t="s">
        <v>1134</v>
      </c>
      <c r="N534" s="31" t="s">
        <v>55</v>
      </c>
      <c r="O534" s="31" t="s">
        <v>4</v>
      </c>
      <c r="P534" s="31" t="s">
        <v>3</v>
      </c>
      <c r="Q534" s="36"/>
    </row>
    <row r="535" spans="1:17" x14ac:dyDescent="0.2">
      <c r="A535" s="30">
        <f>RANK(B535,$B$2:$B$551,1)</f>
        <v>534</v>
      </c>
      <c r="B535" s="46">
        <f>AVERAGE(G535,I535,J535)</f>
        <v>474.33333333333331</v>
      </c>
      <c r="C535" s="31" t="s">
        <v>221</v>
      </c>
      <c r="D535" s="66">
        <v>146.99421052631601</v>
      </c>
      <c r="E535" s="66">
        <v>17</v>
      </c>
      <c r="F535" s="66">
        <v>1631.66931499626</v>
      </c>
      <c r="G535" s="33">
        <v>466</v>
      </c>
      <c r="H535" s="32">
        <v>111.41</v>
      </c>
      <c r="I535" s="34">
        <v>581</v>
      </c>
      <c r="J535" s="34">
        <v>376</v>
      </c>
      <c r="K535" s="35">
        <v>-0.84631743106259305</v>
      </c>
      <c r="L535" s="34" t="s">
        <v>5</v>
      </c>
      <c r="M535" s="31" t="s">
        <v>1008</v>
      </c>
      <c r="N535" s="31" t="s">
        <v>392</v>
      </c>
      <c r="O535" s="31" t="s">
        <v>4</v>
      </c>
      <c r="P535" s="31" t="s">
        <v>3</v>
      </c>
      <c r="Q535" s="36"/>
    </row>
    <row r="536" spans="1:17" x14ac:dyDescent="0.2">
      <c r="A536" s="30">
        <f>RANK(B536,$B$2:$B$551,1)</f>
        <v>535</v>
      </c>
      <c r="B536" s="46">
        <f>AVERAGE(G536,I536,J536)</f>
        <v>475</v>
      </c>
      <c r="C536" s="31" t="s">
        <v>970</v>
      </c>
      <c r="D536" s="66">
        <v>94.378901734104005</v>
      </c>
      <c r="E536" s="66">
        <v>0</v>
      </c>
      <c r="F536" s="66">
        <v>1162.44239120324</v>
      </c>
      <c r="G536" s="33">
        <v>535</v>
      </c>
      <c r="H536" s="32">
        <v>114.89</v>
      </c>
      <c r="I536" s="34">
        <v>420</v>
      </c>
      <c r="J536" s="34">
        <v>470</v>
      </c>
      <c r="K536" s="35">
        <v>-1.4932217707872399</v>
      </c>
      <c r="L536" s="34" t="s">
        <v>20</v>
      </c>
      <c r="M536" s="31" t="s">
        <v>969</v>
      </c>
      <c r="N536" s="31" t="s">
        <v>314</v>
      </c>
      <c r="O536" s="31" t="s">
        <v>4</v>
      </c>
      <c r="P536" s="31" t="s">
        <v>3</v>
      </c>
      <c r="Q536" s="36"/>
    </row>
    <row r="537" spans="1:17" x14ac:dyDescent="0.2">
      <c r="A537" s="30">
        <f>RANK(B537,$B$2:$B$551,1)</f>
        <v>536</v>
      </c>
      <c r="B537" s="46">
        <f>AVERAGE(G537,I537,J537)</f>
        <v>475.33333333333331</v>
      </c>
      <c r="C537" s="31" t="s">
        <v>706</v>
      </c>
      <c r="D537" s="66">
        <v>74.230459611944397</v>
      </c>
      <c r="E537" s="66">
        <v>4</v>
      </c>
      <c r="F537" s="66">
        <v>1297.5166613240499</v>
      </c>
      <c r="G537" s="33">
        <v>563</v>
      </c>
      <c r="H537" s="32">
        <v>112.32</v>
      </c>
      <c r="I537" s="34">
        <v>558</v>
      </c>
      <c r="J537" s="34">
        <v>305</v>
      </c>
      <c r="K537" s="35">
        <v>-0.198148424667762</v>
      </c>
      <c r="L537" s="34" t="s">
        <v>5</v>
      </c>
      <c r="M537" s="31" t="s">
        <v>705</v>
      </c>
      <c r="N537" s="31" t="s">
        <v>638</v>
      </c>
      <c r="O537" s="31" t="s">
        <v>4</v>
      </c>
      <c r="P537" s="31" t="s">
        <v>3</v>
      </c>
      <c r="Q537" s="36"/>
    </row>
    <row r="538" spans="1:17" x14ac:dyDescent="0.2">
      <c r="A538" s="30">
        <f>RANK(B538,$B$2:$B$551,1)</f>
        <v>537</v>
      </c>
      <c r="B538" s="46">
        <f>AVERAGE(G538,I538,J538)</f>
        <v>476</v>
      </c>
      <c r="C538" s="31" t="s">
        <v>966</v>
      </c>
      <c r="D538" s="66">
        <v>247.80397660818701</v>
      </c>
      <c r="E538" s="66">
        <v>0</v>
      </c>
      <c r="F538" s="66">
        <v>1524.6262071846299</v>
      </c>
      <c r="G538" s="33">
        <v>333</v>
      </c>
      <c r="H538" s="32">
        <v>110.49</v>
      </c>
      <c r="I538" s="34">
        <v>584</v>
      </c>
      <c r="J538" s="34">
        <v>511</v>
      </c>
      <c r="K538" s="35">
        <v>-2.2402811801043798</v>
      </c>
      <c r="L538" s="34" t="s">
        <v>39</v>
      </c>
      <c r="M538" s="31" t="s">
        <v>965</v>
      </c>
      <c r="N538" s="31" t="s">
        <v>169</v>
      </c>
      <c r="O538" s="31" t="s">
        <v>4</v>
      </c>
      <c r="P538" s="31" t="s">
        <v>3</v>
      </c>
      <c r="Q538" s="36"/>
    </row>
    <row r="539" spans="1:17" x14ac:dyDescent="0.2">
      <c r="A539" s="30">
        <f>RANK(B539,$B$2:$B$551,1)</f>
        <v>538</v>
      </c>
      <c r="B539" s="46">
        <f>AVERAGE(G539,I539,J539)</f>
        <v>477.33333333333331</v>
      </c>
      <c r="C539" s="31" t="s">
        <v>988</v>
      </c>
      <c r="D539" s="66">
        <v>48.6294117647059</v>
      </c>
      <c r="E539" s="66">
        <v>0</v>
      </c>
      <c r="F539" s="66">
        <v>592.29053903578097</v>
      </c>
      <c r="G539" s="33">
        <v>533</v>
      </c>
      <c r="H539" s="32">
        <v>113.09</v>
      </c>
      <c r="I539" s="34">
        <v>536</v>
      </c>
      <c r="J539" s="34">
        <v>363</v>
      </c>
      <c r="K539" s="35">
        <v>-0.72860653906308204</v>
      </c>
      <c r="L539" s="34" t="s">
        <v>5</v>
      </c>
      <c r="M539" s="31" t="s">
        <v>987</v>
      </c>
      <c r="N539" s="31" t="s">
        <v>570</v>
      </c>
      <c r="O539" s="31" t="s">
        <v>4</v>
      </c>
      <c r="P539" s="31" t="s">
        <v>3</v>
      </c>
      <c r="Q539" s="36"/>
    </row>
    <row r="540" spans="1:17" x14ac:dyDescent="0.2">
      <c r="A540" s="30">
        <f>RANK(B540,$B$2:$B$551,1)</f>
        <v>539</v>
      </c>
      <c r="B540" s="46">
        <f>AVERAGE(G540,I540,J540)</f>
        <v>481.66666666666669</v>
      </c>
      <c r="C540" s="31" t="s">
        <v>723</v>
      </c>
      <c r="D540" s="66">
        <v>78.585771428571405</v>
      </c>
      <c r="E540" s="66">
        <v>0</v>
      </c>
      <c r="F540" s="66">
        <v>1398.4928263736299</v>
      </c>
      <c r="G540" s="33">
        <v>576</v>
      </c>
      <c r="H540" s="32">
        <v>113.57</v>
      </c>
      <c r="I540" s="34">
        <v>515</v>
      </c>
      <c r="J540" s="34">
        <v>354</v>
      </c>
      <c r="K540" s="35">
        <v>-0.62943964482841397</v>
      </c>
      <c r="L540" s="34" t="s">
        <v>5</v>
      </c>
      <c r="M540" s="31" t="s">
        <v>722</v>
      </c>
      <c r="N540" s="31" t="s">
        <v>413</v>
      </c>
      <c r="O540" s="31" t="s">
        <v>4</v>
      </c>
      <c r="P540" s="31" t="s">
        <v>3</v>
      </c>
      <c r="Q540" s="36"/>
    </row>
    <row r="541" spans="1:17" x14ac:dyDescent="0.2">
      <c r="A541" s="30">
        <f>RANK(B541,$B$2:$B$551,1)</f>
        <v>540</v>
      </c>
      <c r="B541" s="46">
        <f>AVERAGE(G541,I541,J541)</f>
        <v>489.66666666666669</v>
      </c>
      <c r="C541" s="31" t="s">
        <v>584</v>
      </c>
      <c r="D541" s="66">
        <v>154.504097098453</v>
      </c>
      <c r="E541" s="66">
        <v>0</v>
      </c>
      <c r="F541" s="66">
        <v>2077.76953602087</v>
      </c>
      <c r="G541" s="33">
        <v>542</v>
      </c>
      <c r="H541" s="32">
        <v>113.83</v>
      </c>
      <c r="I541" s="34">
        <v>497</v>
      </c>
      <c r="J541" s="34">
        <v>430</v>
      </c>
      <c r="K541" s="35">
        <v>-1.1479458675688701</v>
      </c>
      <c r="L541" s="34" t="s">
        <v>20</v>
      </c>
      <c r="M541" s="31" t="s">
        <v>583</v>
      </c>
      <c r="N541" s="31" t="s">
        <v>516</v>
      </c>
      <c r="O541" s="31" t="s">
        <v>4</v>
      </c>
      <c r="P541" s="31" t="s">
        <v>3</v>
      </c>
      <c r="Q541" s="36"/>
    </row>
    <row r="542" spans="1:17" x14ac:dyDescent="0.2">
      <c r="A542" s="30">
        <f>RANK(B542,$B$2:$B$551,1)</f>
        <v>541</v>
      </c>
      <c r="B542" s="46">
        <f>AVERAGE(G542,I542,J542)</f>
        <v>490.66666666666669</v>
      </c>
      <c r="C542" s="31" t="s">
        <v>425</v>
      </c>
      <c r="D542" s="66">
        <v>49.776271186440702</v>
      </c>
      <c r="E542" s="66">
        <v>11</v>
      </c>
      <c r="F542" s="66">
        <v>791.67907202702895</v>
      </c>
      <c r="G542" s="33">
        <v>516</v>
      </c>
      <c r="H542" s="32">
        <v>113.68</v>
      </c>
      <c r="I542" s="34">
        <v>508</v>
      </c>
      <c r="J542" s="34">
        <v>448</v>
      </c>
      <c r="K542" s="35">
        <v>-1.2945902517407599</v>
      </c>
      <c r="L542" s="34" t="s">
        <v>20</v>
      </c>
      <c r="M542" s="31" t="s">
        <v>424</v>
      </c>
      <c r="N542" s="31" t="s">
        <v>332</v>
      </c>
      <c r="O542" s="31" t="s">
        <v>4</v>
      </c>
      <c r="P542" s="31" t="s">
        <v>3</v>
      </c>
      <c r="Q542" s="36"/>
    </row>
    <row r="543" spans="1:17" x14ac:dyDescent="0.2">
      <c r="A543" s="30">
        <f>RANK(B543,$B$2:$B$551,1)</f>
        <v>542</v>
      </c>
      <c r="B543" s="46">
        <f>AVERAGE(G543,I543,J543)</f>
        <v>493.33333333333331</v>
      </c>
      <c r="C543" s="31" t="s">
        <v>184</v>
      </c>
      <c r="D543" s="66">
        <v>66.320798753165803</v>
      </c>
      <c r="E543" s="66">
        <v>0</v>
      </c>
      <c r="F543" s="66">
        <v>557.32016072472197</v>
      </c>
      <c r="G543" s="33">
        <v>450</v>
      </c>
      <c r="H543" s="32">
        <v>113.58</v>
      </c>
      <c r="I543" s="34">
        <v>514</v>
      </c>
      <c r="J543" s="34">
        <v>516</v>
      </c>
      <c r="K543" s="35">
        <v>-2.40134636961051</v>
      </c>
      <c r="L543" s="34" t="s">
        <v>39</v>
      </c>
      <c r="M543" s="31" t="s">
        <v>183</v>
      </c>
      <c r="N543" s="31" t="s">
        <v>76</v>
      </c>
      <c r="O543" s="31" t="s">
        <v>4</v>
      </c>
      <c r="P543" s="31" t="s">
        <v>3</v>
      </c>
      <c r="Q543" s="36"/>
    </row>
    <row r="544" spans="1:17" x14ac:dyDescent="0.2">
      <c r="A544" s="30">
        <f>RANK(B544,$B$2:$B$551,1)</f>
        <v>543</v>
      </c>
      <c r="B544" s="46">
        <f>AVERAGE(G544,I544,J544)</f>
        <v>498</v>
      </c>
      <c r="C544" s="31" t="s">
        <v>1326</v>
      </c>
      <c r="D544" s="66">
        <v>39.134965494577699</v>
      </c>
      <c r="E544" s="66">
        <v>24.256983240223501</v>
      </c>
      <c r="F544" s="66">
        <v>819.22415887029797</v>
      </c>
      <c r="G544" s="33">
        <v>472</v>
      </c>
      <c r="H544" s="32">
        <v>113.42</v>
      </c>
      <c r="I544" s="34">
        <v>524</v>
      </c>
      <c r="J544" s="34" t="s">
        <v>116</v>
      </c>
      <c r="K544" s="35" t="s">
        <v>116</v>
      </c>
      <c r="L544" s="34" t="s">
        <v>116</v>
      </c>
      <c r="M544" s="31" t="s">
        <v>1327</v>
      </c>
      <c r="N544" s="31" t="s">
        <v>55</v>
      </c>
      <c r="O544" s="31" t="s">
        <v>4</v>
      </c>
      <c r="P544" s="31" t="s">
        <v>3</v>
      </c>
      <c r="Q544" s="36" t="s">
        <v>1254</v>
      </c>
    </row>
    <row r="545" spans="1:17" x14ac:dyDescent="0.2">
      <c r="A545" s="30">
        <f>RANK(B545,$B$2:$B$551,1)</f>
        <v>544</v>
      </c>
      <c r="B545" s="46">
        <f>AVERAGE(G545,I545,J545)</f>
        <v>498.33333333333331</v>
      </c>
      <c r="C545" s="31" t="s">
        <v>381</v>
      </c>
      <c r="D545" s="66">
        <v>151.976878612717</v>
      </c>
      <c r="E545" s="66">
        <v>0</v>
      </c>
      <c r="F545" s="66">
        <v>1797.45818385232</v>
      </c>
      <c r="G545" s="33">
        <v>526</v>
      </c>
      <c r="H545" s="32">
        <v>114.09</v>
      </c>
      <c r="I545" s="34">
        <v>485</v>
      </c>
      <c r="J545" s="34">
        <v>484</v>
      </c>
      <c r="K545" s="35">
        <v>-1.7066552413596101</v>
      </c>
      <c r="L545" s="34" t="s">
        <v>20</v>
      </c>
      <c r="M545" s="31" t="s">
        <v>380</v>
      </c>
      <c r="N545" s="31" t="s">
        <v>332</v>
      </c>
      <c r="O545" s="31" t="s">
        <v>4</v>
      </c>
      <c r="P545" s="31" t="s">
        <v>3</v>
      </c>
      <c r="Q545" s="36"/>
    </row>
    <row r="546" spans="1:17" x14ac:dyDescent="0.2">
      <c r="A546" s="30">
        <f>RANK(B546,$B$2:$B$551,1)</f>
        <v>545</v>
      </c>
      <c r="B546" s="46">
        <f>AVERAGE(G546,I546,J546)</f>
        <v>503.33333333333331</v>
      </c>
      <c r="C546" s="31" t="s">
        <v>901</v>
      </c>
      <c r="D546" s="66">
        <v>308.96388888888902</v>
      </c>
      <c r="E546" s="66">
        <v>82.744444444444497</v>
      </c>
      <c r="F546" s="66">
        <v>3502.78806368294</v>
      </c>
      <c r="G546" s="33">
        <v>394</v>
      </c>
      <c r="H546" s="32">
        <v>109.29</v>
      </c>
      <c r="I546" s="34">
        <v>588</v>
      </c>
      <c r="J546" s="34">
        <v>528</v>
      </c>
      <c r="K546" s="35">
        <v>-2.7687609978263099</v>
      </c>
      <c r="L546" s="34" t="s">
        <v>39</v>
      </c>
      <c r="M546" s="31" t="s">
        <v>900</v>
      </c>
      <c r="N546" s="31" t="s">
        <v>84</v>
      </c>
      <c r="O546" s="31" t="s">
        <v>4</v>
      </c>
      <c r="P546" s="31" t="s">
        <v>3</v>
      </c>
      <c r="Q546" s="36"/>
    </row>
    <row r="547" spans="1:17" x14ac:dyDescent="0.2">
      <c r="A547" s="30">
        <f>RANK(B547,$B$2:$B$551,1)</f>
        <v>546</v>
      </c>
      <c r="B547" s="46">
        <f>AVERAGE(G547,I547,J547)</f>
        <v>504.66666666666669</v>
      </c>
      <c r="C547" s="31" t="s">
        <v>1049</v>
      </c>
      <c r="D547" s="66">
        <v>70</v>
      </c>
      <c r="E547" s="66">
        <v>16</v>
      </c>
      <c r="F547" s="66">
        <v>1215.4033842998299</v>
      </c>
      <c r="G547" s="33">
        <v>524</v>
      </c>
      <c r="H547" s="32">
        <v>113.83</v>
      </c>
      <c r="I547" s="34">
        <v>497</v>
      </c>
      <c r="J547" s="34">
        <v>493</v>
      </c>
      <c r="K547" s="35">
        <v>-1.8376507730915601</v>
      </c>
      <c r="L547" s="34" t="s">
        <v>20</v>
      </c>
      <c r="M547" s="31" t="s">
        <v>1048</v>
      </c>
      <c r="N547" s="31" t="s">
        <v>52</v>
      </c>
      <c r="O547" s="31" t="s">
        <v>4</v>
      </c>
      <c r="P547" s="31" t="s">
        <v>3</v>
      </c>
      <c r="Q547" s="36"/>
    </row>
    <row r="548" spans="1:17" x14ac:dyDescent="0.2">
      <c r="A548" s="30">
        <f>RANK(B548,$B$2:$B$551,1)</f>
        <v>547</v>
      </c>
      <c r="B548" s="46">
        <f>AVERAGE(G548,I548,J548)</f>
        <v>507.66666666666669</v>
      </c>
      <c r="C548" s="31" t="s">
        <v>1119</v>
      </c>
      <c r="D548" s="66">
        <v>81.408307997356303</v>
      </c>
      <c r="E548" s="66">
        <v>0</v>
      </c>
      <c r="F548" s="66">
        <v>1129.7187640449399</v>
      </c>
      <c r="G548" s="33">
        <v>548</v>
      </c>
      <c r="H548" s="32">
        <v>114.34</v>
      </c>
      <c r="I548" s="34">
        <v>465</v>
      </c>
      <c r="J548" s="34">
        <v>510</v>
      </c>
      <c r="K548" s="35">
        <v>-2.2253542774584201</v>
      </c>
      <c r="L548" s="34" t="s">
        <v>39</v>
      </c>
      <c r="M548" s="31" t="s">
        <v>1118</v>
      </c>
      <c r="N548" s="31" t="s">
        <v>140</v>
      </c>
      <c r="O548" s="31" t="s">
        <v>4</v>
      </c>
      <c r="P548" s="31" t="s">
        <v>3</v>
      </c>
      <c r="Q548" s="36"/>
    </row>
    <row r="549" spans="1:17" x14ac:dyDescent="0.2">
      <c r="A549" s="30">
        <f>RANK(B549,$B$2:$B$551,1)</f>
        <v>548</v>
      </c>
      <c r="B549" s="46">
        <f>AVERAGE(G549,I549,J549)</f>
        <v>514.66666666666663</v>
      </c>
      <c r="C549" s="31" t="s">
        <v>1163</v>
      </c>
      <c r="D549" s="66">
        <v>668.64406779660999</v>
      </c>
      <c r="E549" s="66">
        <v>265.80225988700602</v>
      </c>
      <c r="F549" s="66">
        <v>13771.9256455791</v>
      </c>
      <c r="G549" s="33">
        <v>520</v>
      </c>
      <c r="H549" s="32">
        <v>112.65</v>
      </c>
      <c r="I549" s="34">
        <v>549</v>
      </c>
      <c r="J549" s="34">
        <v>475</v>
      </c>
      <c r="K549" s="35">
        <v>-1.6115944862645399</v>
      </c>
      <c r="L549" s="34" t="s">
        <v>20</v>
      </c>
      <c r="M549" s="31" t="s">
        <v>1162</v>
      </c>
      <c r="N549" s="31" t="s">
        <v>200</v>
      </c>
      <c r="O549" s="31" t="s">
        <v>4</v>
      </c>
      <c r="P549" s="31" t="s">
        <v>3</v>
      </c>
      <c r="Q549" s="36"/>
    </row>
    <row r="550" spans="1:17" x14ac:dyDescent="0.2">
      <c r="A550" s="30">
        <f>RANK(B550,$B$2:$B$551,1)</f>
        <v>549</v>
      </c>
      <c r="B550" s="46">
        <f>AVERAGE(G550,I550,J550)</f>
        <v>515</v>
      </c>
      <c r="C550" s="31" t="s">
        <v>154</v>
      </c>
      <c r="D550" s="66">
        <v>120.784353858351</v>
      </c>
      <c r="E550" s="66">
        <v>8</v>
      </c>
      <c r="F550" s="66">
        <v>1247.0716329992099</v>
      </c>
      <c r="G550" s="33">
        <v>470</v>
      </c>
      <c r="H550" s="32">
        <v>112.59</v>
      </c>
      <c r="I550" s="34">
        <v>550</v>
      </c>
      <c r="J550" s="34">
        <v>525</v>
      </c>
      <c r="K550" s="35">
        <v>-2.6400368248772499</v>
      </c>
      <c r="L550" s="34" t="s">
        <v>39</v>
      </c>
      <c r="M550" s="31" t="s">
        <v>153</v>
      </c>
      <c r="N550" s="31" t="s">
        <v>150</v>
      </c>
      <c r="O550" s="31" t="s">
        <v>4</v>
      </c>
      <c r="P550" s="31" t="s">
        <v>3</v>
      </c>
      <c r="Q550" s="36"/>
    </row>
    <row r="551" spans="1:17" x14ac:dyDescent="0.2">
      <c r="A551" s="30">
        <f>RANK(B551,$B$2:$B$551,1)</f>
        <v>550</v>
      </c>
      <c r="B551" s="46">
        <f>AVERAGE(G551,I551,J551)</f>
        <v>518</v>
      </c>
      <c r="C551" s="31" t="s">
        <v>447</v>
      </c>
      <c r="D551" s="66">
        <v>78.716763005780393</v>
      </c>
      <c r="E551" s="66">
        <v>19</v>
      </c>
      <c r="F551" s="66">
        <v>1249.2916800298301</v>
      </c>
      <c r="G551" s="33">
        <v>507</v>
      </c>
      <c r="H551" s="32">
        <v>112.54</v>
      </c>
      <c r="I551" s="34">
        <v>552</v>
      </c>
      <c r="J551" s="34">
        <v>495</v>
      </c>
      <c r="K551" s="35">
        <v>-1.85702476808621</v>
      </c>
      <c r="L551" s="34" t="s">
        <v>20</v>
      </c>
      <c r="M551" s="31" t="s">
        <v>446</v>
      </c>
      <c r="N551" s="31" t="s">
        <v>448</v>
      </c>
      <c r="O551" s="31" t="s">
        <v>4</v>
      </c>
      <c r="P551" s="31" t="s">
        <v>3</v>
      </c>
      <c r="Q551" s="36"/>
    </row>
    <row r="552" spans="1:17" x14ac:dyDescent="0.2">
      <c r="A552" s="30" t="e">
        <f>RANK(B552,$B$2:$B$551,1)</f>
        <v>#N/A</v>
      </c>
      <c r="B552" s="46">
        <f>AVERAGE(G552,I552,J552)</f>
        <v>526.66666666666663</v>
      </c>
      <c r="C552" s="31" t="s">
        <v>1077</v>
      </c>
      <c r="D552" s="66">
        <v>208.483060369453</v>
      </c>
      <c r="E552" s="66">
        <v>43.358788802132899</v>
      </c>
      <c r="F552" s="66">
        <v>5239.3113921157901</v>
      </c>
      <c r="G552" s="33">
        <v>573</v>
      </c>
      <c r="H552" s="32">
        <v>108.64</v>
      </c>
      <c r="I552" s="34">
        <v>589</v>
      </c>
      <c r="J552" s="34">
        <v>418</v>
      </c>
      <c r="K552" s="35">
        <v>-1.0914584715159601</v>
      </c>
      <c r="L552" s="34" t="s">
        <v>20</v>
      </c>
      <c r="M552" s="31" t="s">
        <v>1076</v>
      </c>
      <c r="N552" s="31" t="s">
        <v>8</v>
      </c>
      <c r="O552" s="31" t="s">
        <v>4</v>
      </c>
      <c r="P552" s="31" t="s">
        <v>3</v>
      </c>
      <c r="Q552" s="36"/>
    </row>
    <row r="553" spans="1:17" x14ac:dyDescent="0.2">
      <c r="A553" s="30" t="e">
        <f>RANK(B553,$B$2:$B$551,1)</f>
        <v>#N/A</v>
      </c>
      <c r="B553" s="46">
        <f>AVERAGE(G553,I553,J553)</f>
        <v>528.66666666666663</v>
      </c>
      <c r="C553" s="31" t="s">
        <v>464</v>
      </c>
      <c r="D553" s="66">
        <v>63.788860353129998</v>
      </c>
      <c r="E553" s="66">
        <v>0</v>
      </c>
      <c r="F553" s="66">
        <v>887.17351107544198</v>
      </c>
      <c r="G553" s="33">
        <v>549</v>
      </c>
      <c r="H553" s="32">
        <v>112.38</v>
      </c>
      <c r="I553" s="34">
        <v>557</v>
      </c>
      <c r="J553" s="34">
        <v>480</v>
      </c>
      <c r="K553" s="35">
        <v>-1.6553287981859399</v>
      </c>
      <c r="L553" s="34" t="s">
        <v>20</v>
      </c>
      <c r="M553" s="31" t="s">
        <v>463</v>
      </c>
      <c r="N553" s="31" t="s">
        <v>392</v>
      </c>
      <c r="O553" s="31" t="s">
        <v>4</v>
      </c>
      <c r="P553" s="31" t="s">
        <v>3</v>
      </c>
      <c r="Q553" s="36"/>
    </row>
    <row r="554" spans="1:17" x14ac:dyDescent="0.2">
      <c r="A554" s="30" t="e">
        <f>RANK(B554,$B$2:$B$551,1)</f>
        <v>#N/A</v>
      </c>
      <c r="B554" s="46">
        <f>AVERAGE(G554,I554,J554)</f>
        <v>530.5</v>
      </c>
      <c r="C554" s="31" t="s">
        <v>1347</v>
      </c>
      <c r="D554" s="66">
        <v>39.4219228804903</v>
      </c>
      <c r="E554" s="66">
        <v>11.5</v>
      </c>
      <c r="F554" s="66">
        <v>607.67990296220603</v>
      </c>
      <c r="G554" s="33">
        <v>487</v>
      </c>
      <c r="H554" s="32">
        <v>111.67</v>
      </c>
      <c r="I554" s="34">
        <v>574</v>
      </c>
      <c r="J554" s="34" t="s">
        <v>116</v>
      </c>
      <c r="K554" s="35" t="s">
        <v>116</v>
      </c>
      <c r="L554" s="34" t="s">
        <v>116</v>
      </c>
      <c r="M554" s="31" t="s">
        <v>1348</v>
      </c>
      <c r="N554" s="31" t="s">
        <v>10</v>
      </c>
      <c r="O554" s="31" t="s">
        <v>4</v>
      </c>
      <c r="P554" s="31" t="s">
        <v>3</v>
      </c>
      <c r="Q554" s="36" t="s">
        <v>1254</v>
      </c>
    </row>
    <row r="555" spans="1:17" x14ac:dyDescent="0.2">
      <c r="A555" s="30" t="e">
        <f>RANK(B555,$B$2:$B$551,1)</f>
        <v>#N/A</v>
      </c>
      <c r="B555" s="46">
        <f>AVERAGE(G555,I555,J555)</f>
        <v>538</v>
      </c>
      <c r="C555" s="31" t="s">
        <v>868</v>
      </c>
      <c r="D555" s="66">
        <v>153.17599828332601</v>
      </c>
      <c r="E555" s="66">
        <v>69.908045977011497</v>
      </c>
      <c r="F555" s="66">
        <v>2691.6620276912699</v>
      </c>
      <c r="G555" s="33">
        <v>468</v>
      </c>
      <c r="H555" s="32">
        <v>103.43</v>
      </c>
      <c r="I555" s="34">
        <v>597</v>
      </c>
      <c r="J555" s="34">
        <v>549</v>
      </c>
      <c r="K555" s="35">
        <v>-4.8567934022924204</v>
      </c>
      <c r="L555" s="34" t="s">
        <v>39</v>
      </c>
      <c r="M555" s="31" t="s">
        <v>867</v>
      </c>
      <c r="N555" s="31" t="s">
        <v>55</v>
      </c>
      <c r="O555" s="31" t="s">
        <v>4</v>
      </c>
      <c r="P555" s="31" t="s">
        <v>3</v>
      </c>
      <c r="Q555" s="36"/>
    </row>
    <row r="556" spans="1:17" x14ac:dyDescent="0.2">
      <c r="A556" s="30" t="e">
        <f>RANK(B556,$B$2:$B$551,1)</f>
        <v>#N/A</v>
      </c>
      <c r="B556" s="46">
        <f>AVERAGE(G556,I556,J556)</f>
        <v>567.66666666666663</v>
      </c>
      <c r="C556" s="31" t="s">
        <v>1161</v>
      </c>
      <c r="D556" s="66">
        <v>143.45431781701399</v>
      </c>
      <c r="E556" s="66">
        <v>0</v>
      </c>
      <c r="F556" s="66">
        <v>2482.3120333868401</v>
      </c>
      <c r="G556" s="33">
        <v>570</v>
      </c>
      <c r="H556" s="32">
        <v>106.09</v>
      </c>
      <c r="I556" s="34">
        <v>593</v>
      </c>
      <c r="J556" s="34">
        <v>540</v>
      </c>
      <c r="K556" s="35">
        <v>-3.1536034115138598</v>
      </c>
      <c r="L556" s="34" t="s">
        <v>39</v>
      </c>
      <c r="M556" s="31" t="s">
        <v>1160</v>
      </c>
      <c r="N556" s="31" t="s">
        <v>200</v>
      </c>
      <c r="O556" s="31" t="s">
        <v>4</v>
      </c>
      <c r="P556" s="31" t="s">
        <v>3</v>
      </c>
      <c r="Q556" s="36"/>
    </row>
    <row r="557" spans="1:17" ht="22.5" x14ac:dyDescent="0.2">
      <c r="A557" s="30" t="e">
        <f>RANK(B557,$B$2:$B$551,1)</f>
        <v>#N/A</v>
      </c>
      <c r="B557" s="46">
        <f>AVERAGE(G557,I557,J557)</f>
        <v>600.5</v>
      </c>
      <c r="C557" s="31" t="s">
        <v>1353</v>
      </c>
      <c r="D557" s="66">
        <v>33.587878787878701</v>
      </c>
      <c r="E557" s="66">
        <v>0</v>
      </c>
      <c r="F557" s="66">
        <v>2102</v>
      </c>
      <c r="G557" s="33">
        <v>606</v>
      </c>
      <c r="H557" s="32">
        <v>104.88</v>
      </c>
      <c r="I557" s="34">
        <v>595</v>
      </c>
      <c r="J557" s="34" t="s">
        <v>116</v>
      </c>
      <c r="K557" s="35" t="s">
        <v>116</v>
      </c>
      <c r="L557" s="34" t="s">
        <v>116</v>
      </c>
      <c r="M557" s="31" t="s">
        <v>1354</v>
      </c>
      <c r="N557" s="31" t="s">
        <v>9</v>
      </c>
      <c r="O557" s="31" t="s">
        <v>1253</v>
      </c>
      <c r="P557" s="31" t="s">
        <v>3</v>
      </c>
      <c r="Q557" s="36" t="s">
        <v>1254</v>
      </c>
    </row>
    <row r="558" spans="1:17" x14ac:dyDescent="0.2">
      <c r="A558" s="30" t="e">
        <f>RANK(B558,$B$2:$B$551,1)</f>
        <v>#N/A</v>
      </c>
      <c r="B558" s="46">
        <f>AVERAGE(G558,I558,J558)</f>
        <v>353.66666666666669</v>
      </c>
      <c r="C558" s="39" t="s">
        <v>1081</v>
      </c>
      <c r="D558" s="67">
        <v>72.525423728813607</v>
      </c>
      <c r="E558" s="67">
        <v>28.587570621468899</v>
      </c>
      <c r="F558" s="67">
        <v>3047.3790087313801</v>
      </c>
      <c r="G558" s="33">
        <v>589</v>
      </c>
      <c r="H558" s="32">
        <v>115.11</v>
      </c>
      <c r="I558" s="34">
        <v>386</v>
      </c>
      <c r="J558" s="34">
        <v>86</v>
      </c>
      <c r="K558" s="41">
        <v>1.5487217764508301</v>
      </c>
      <c r="L558" s="40" t="s">
        <v>26</v>
      </c>
      <c r="M558" s="39" t="s">
        <v>1080</v>
      </c>
      <c r="N558" s="39" t="s">
        <v>289</v>
      </c>
      <c r="O558" s="39" t="s">
        <v>4</v>
      </c>
      <c r="P558" s="39" t="s">
        <v>3</v>
      </c>
      <c r="Q558" s="42"/>
    </row>
    <row r="559" spans="1:17" x14ac:dyDescent="0.2">
      <c r="A559" s="30" t="e">
        <f>RANK(B559,$B$2:$B$551,1)</f>
        <v>#N/A</v>
      </c>
      <c r="B559" s="46">
        <f>AVERAGE(G559,I559,J559)</f>
        <v>398</v>
      </c>
      <c r="C559" s="31" t="s">
        <v>1153</v>
      </c>
      <c r="D559" s="66">
        <v>112.929313962873</v>
      </c>
      <c r="E559" s="66">
        <v>1.97175141242938</v>
      </c>
      <c r="F559" s="66">
        <v>3437.1259142388499</v>
      </c>
      <c r="G559" s="33">
        <v>594</v>
      </c>
      <c r="H559" s="32">
        <v>116</v>
      </c>
      <c r="I559" s="34">
        <v>258</v>
      </c>
      <c r="J559" s="34">
        <v>342</v>
      </c>
      <c r="K559" s="35">
        <v>-0.48939675790592602</v>
      </c>
      <c r="L559" s="34" t="s">
        <v>5</v>
      </c>
      <c r="M559" s="31" t="s">
        <v>1152</v>
      </c>
      <c r="N559" s="31" t="s">
        <v>55</v>
      </c>
      <c r="O559" s="31" t="s">
        <v>4</v>
      </c>
      <c r="P559" s="31" t="s">
        <v>3</v>
      </c>
      <c r="Q559" s="36"/>
    </row>
    <row r="560" spans="1:17" x14ac:dyDescent="0.2">
      <c r="A560" s="30" t="e">
        <f>RANK(B560,$B$2:$B$551,1)</f>
        <v>#N/A</v>
      </c>
      <c r="B560" s="46">
        <f>AVERAGE(G560,I560,J560)</f>
        <v>596</v>
      </c>
      <c r="C560" s="31" t="s">
        <v>1264</v>
      </c>
      <c r="D560" s="66">
        <v>15.703448275862099</v>
      </c>
      <c r="E560" s="66">
        <v>11.755172413793099</v>
      </c>
      <c r="F560" s="66">
        <v>1217.15025954765</v>
      </c>
      <c r="G560" s="33">
        <v>596</v>
      </c>
      <c r="H560" s="32" t="s">
        <v>116</v>
      </c>
      <c r="I560" s="34" t="s">
        <v>116</v>
      </c>
      <c r="J560" s="34" t="s">
        <v>116</v>
      </c>
      <c r="K560" s="35" t="s">
        <v>116</v>
      </c>
      <c r="L560" s="34" t="s">
        <v>116</v>
      </c>
      <c r="M560" s="31" t="s">
        <v>1265</v>
      </c>
      <c r="N560" s="31" t="s">
        <v>273</v>
      </c>
      <c r="O560" s="31" t="s">
        <v>4</v>
      </c>
      <c r="P560" s="31" t="s">
        <v>3</v>
      </c>
      <c r="Q560" s="36" t="s">
        <v>1254</v>
      </c>
    </row>
    <row r="561" spans="1:17" x14ac:dyDescent="0.2">
      <c r="A561" s="30" t="e">
        <f>RANK(B561,$B$2:$B$551,1)</f>
        <v>#N/A</v>
      </c>
      <c r="B561" s="46">
        <f>AVERAGE(G561,I561,J561)</f>
        <v>434.66666666666669</v>
      </c>
      <c r="C561" s="31" t="s">
        <v>267</v>
      </c>
      <c r="D561" s="66">
        <v>48.297142857142902</v>
      </c>
      <c r="E561" s="66">
        <v>0</v>
      </c>
      <c r="F561" s="66">
        <v>1976.5957142857101</v>
      </c>
      <c r="G561" s="33">
        <v>598</v>
      </c>
      <c r="H561" s="32">
        <v>114.47</v>
      </c>
      <c r="I561" s="34">
        <v>456</v>
      </c>
      <c r="J561" s="34">
        <v>250</v>
      </c>
      <c r="K561" s="35">
        <v>0.125320042330932</v>
      </c>
      <c r="L561" s="34" t="s">
        <v>5</v>
      </c>
      <c r="M561" s="31" t="s">
        <v>266</v>
      </c>
      <c r="N561" s="31" t="s">
        <v>268</v>
      </c>
      <c r="O561" s="31" t="s">
        <v>4</v>
      </c>
      <c r="P561" s="31" t="s">
        <v>3</v>
      </c>
      <c r="Q561" s="36"/>
    </row>
    <row r="562" spans="1:17" x14ac:dyDescent="0.2">
      <c r="A562" s="30" t="e">
        <f>RANK(B562,$B$2:$B$551,1)</f>
        <v>#N/A</v>
      </c>
      <c r="B562" s="46">
        <f>AVERAGE(G562,I562,J562)</f>
        <v>329.66666666666669</v>
      </c>
      <c r="C562" s="31" t="s">
        <v>895</v>
      </c>
      <c r="D562" s="66">
        <v>40</v>
      </c>
      <c r="E562" s="66">
        <v>2</v>
      </c>
      <c r="F562" s="66">
        <v>2565.2464971751401</v>
      </c>
      <c r="G562" s="33">
        <v>604</v>
      </c>
      <c r="H562" s="32">
        <v>117.68</v>
      </c>
      <c r="I562" s="34">
        <v>34</v>
      </c>
      <c r="J562" s="34">
        <v>351</v>
      </c>
      <c r="K562" s="35">
        <v>-0.53952327345700202</v>
      </c>
      <c r="L562" s="34" t="s">
        <v>5</v>
      </c>
      <c r="M562" s="31" t="s">
        <v>894</v>
      </c>
      <c r="N562" s="31" t="s">
        <v>359</v>
      </c>
      <c r="O562" s="31" t="s">
        <v>4</v>
      </c>
      <c r="P562" s="31" t="s">
        <v>3</v>
      </c>
      <c r="Q562" s="36"/>
    </row>
    <row r="563" spans="1:17" x14ac:dyDescent="0.2">
      <c r="A563" s="30" t="e">
        <f>RANK(B563,$B$2:$B$551,1)</f>
        <v>#N/A</v>
      </c>
      <c r="B563" s="46">
        <f>AVERAGE(G563,I563,J563)</f>
        <v>101</v>
      </c>
      <c r="C563" s="31" t="s">
        <v>1332</v>
      </c>
      <c r="D563" s="66">
        <v>24</v>
      </c>
      <c r="E563" s="66">
        <v>1</v>
      </c>
      <c r="F563" s="66">
        <v>74.192090395480193</v>
      </c>
      <c r="G563" s="33">
        <v>84</v>
      </c>
      <c r="H563" s="32">
        <v>116.8</v>
      </c>
      <c r="I563" s="34">
        <v>118</v>
      </c>
      <c r="J563" s="34" t="s">
        <v>116</v>
      </c>
      <c r="K563" s="35" t="s">
        <v>116</v>
      </c>
      <c r="L563" s="34" t="s">
        <v>116</v>
      </c>
      <c r="M563" s="31" t="s">
        <v>1333</v>
      </c>
      <c r="N563" s="31" t="s">
        <v>413</v>
      </c>
      <c r="O563" s="31" t="s">
        <v>4</v>
      </c>
      <c r="P563" s="31" t="s">
        <v>3</v>
      </c>
      <c r="Q563" s="36" t="s">
        <v>1254</v>
      </c>
    </row>
    <row r="564" spans="1:17" x14ac:dyDescent="0.2">
      <c r="A564" s="30" t="e">
        <f>RANK(B564,$B$2:$B$551,1)</f>
        <v>#N/A</v>
      </c>
      <c r="B564" s="46">
        <f>AVERAGE(G564,I564,J564)</f>
        <v>554</v>
      </c>
      <c r="C564" s="31" t="s">
        <v>1193</v>
      </c>
      <c r="D564" s="66">
        <v>51.960674157303401</v>
      </c>
      <c r="E564" s="66">
        <v>7</v>
      </c>
      <c r="F564" s="66">
        <v>1211.66573033708</v>
      </c>
      <c r="G564" s="33">
        <v>578</v>
      </c>
      <c r="H564" s="32">
        <v>113.2</v>
      </c>
      <c r="I564" s="34">
        <v>530</v>
      </c>
      <c r="J564" s="34" t="s">
        <v>116</v>
      </c>
      <c r="K564" s="35">
        <v>-0.75967413441955201</v>
      </c>
      <c r="L564" s="34" t="s">
        <v>116</v>
      </c>
      <c r="M564" s="31" t="s">
        <v>1194</v>
      </c>
      <c r="N564" s="31" t="s">
        <v>8</v>
      </c>
      <c r="O564" s="31" t="s">
        <v>4</v>
      </c>
      <c r="P564" s="31" t="s">
        <v>3</v>
      </c>
      <c r="Q564" s="38" t="s">
        <v>1190</v>
      </c>
    </row>
    <row r="565" spans="1:17" x14ac:dyDescent="0.2">
      <c r="A565" s="30" t="e">
        <f>RANK(B565,$B$2:$B$551,1)</f>
        <v>#N/A</v>
      </c>
      <c r="B565" s="46">
        <f>AVERAGE(G565,I565,J565)</f>
        <v>463</v>
      </c>
      <c r="C565" s="31" t="s">
        <v>1188</v>
      </c>
      <c r="D565" s="66">
        <v>980.62673576506597</v>
      </c>
      <c r="E565" s="66">
        <v>115.56321839080501</v>
      </c>
      <c r="F565" s="66">
        <v>9271.3802660952806</v>
      </c>
      <c r="G565" s="33">
        <v>407</v>
      </c>
      <c r="H565" s="32">
        <v>113.5</v>
      </c>
      <c r="I565" s="34">
        <v>519</v>
      </c>
      <c r="J565" s="34" t="s">
        <v>116</v>
      </c>
      <c r="K565" s="35">
        <v>-2.2193758733115998</v>
      </c>
      <c r="L565" s="34" t="s">
        <v>116</v>
      </c>
      <c r="M565" s="31" t="s">
        <v>1189</v>
      </c>
      <c r="N565" s="31" t="s">
        <v>106</v>
      </c>
      <c r="O565" s="31" t="s">
        <v>4</v>
      </c>
      <c r="P565" s="31" t="s">
        <v>3</v>
      </c>
      <c r="Q565" s="38" t="s">
        <v>1190</v>
      </c>
    </row>
    <row r="566" spans="1:17" x14ac:dyDescent="0.2">
      <c r="A566" s="30" t="e">
        <f>RANK(B566,$B$2:$B$551,1)</f>
        <v>#N/A</v>
      </c>
      <c r="B566" s="46">
        <f>AVERAGE(G566,I566,J566)</f>
        <v>513</v>
      </c>
      <c r="C566" s="31" t="s">
        <v>1191</v>
      </c>
      <c r="D566" s="66">
        <v>2939.36207347239</v>
      </c>
      <c r="E566" s="66">
        <v>0</v>
      </c>
      <c r="F566" s="66">
        <v>29958.958452559498</v>
      </c>
      <c r="G566" s="33">
        <v>500</v>
      </c>
      <c r="H566" s="32">
        <v>113.39</v>
      </c>
      <c r="I566" s="34">
        <v>526</v>
      </c>
      <c r="J566" s="34" t="s">
        <v>116</v>
      </c>
      <c r="K566" s="35">
        <v>-4.1813977389517003</v>
      </c>
      <c r="L566" s="34" t="s">
        <v>116</v>
      </c>
      <c r="M566" s="31" t="s">
        <v>1192</v>
      </c>
      <c r="N566" s="31" t="s">
        <v>10</v>
      </c>
      <c r="O566" s="31" t="s">
        <v>4</v>
      </c>
      <c r="P566" s="31" t="s">
        <v>3</v>
      </c>
      <c r="Q566" s="38" t="s">
        <v>1190</v>
      </c>
    </row>
    <row r="567" spans="1:17" x14ac:dyDescent="0.2">
      <c r="A567" s="30" t="e">
        <f>RANK(B567,$B$2:$B$551,1)</f>
        <v>#N/A</v>
      </c>
      <c r="B567" s="46">
        <f>AVERAGE(G567,I567,J567)</f>
        <v>511.5</v>
      </c>
      <c r="C567" s="31" t="s">
        <v>1202</v>
      </c>
      <c r="D567" s="66">
        <v>2494.9075472334198</v>
      </c>
      <c r="E567" s="66">
        <v>1126.3318547690301</v>
      </c>
      <c r="F567" s="66">
        <v>38724.598263681597</v>
      </c>
      <c r="G567" s="33">
        <v>433</v>
      </c>
      <c r="H567" s="32">
        <v>106.99</v>
      </c>
      <c r="I567" s="34">
        <v>590</v>
      </c>
      <c r="J567" s="34" t="s">
        <v>116</v>
      </c>
      <c r="K567" s="35">
        <v>-4.47761194029851E-2</v>
      </c>
      <c r="L567" s="34" t="s">
        <v>116</v>
      </c>
      <c r="M567" s="31" t="s">
        <v>1203</v>
      </c>
      <c r="N567" s="31" t="s">
        <v>55</v>
      </c>
      <c r="O567" s="31" t="s">
        <v>4</v>
      </c>
      <c r="P567" s="31" t="s">
        <v>3</v>
      </c>
      <c r="Q567" s="38" t="s">
        <v>1190</v>
      </c>
    </row>
    <row r="568" spans="1:17" x14ac:dyDescent="0.2">
      <c r="A568" s="30" t="e">
        <f>RANK(B568,$B$2:$B$551,1)</f>
        <v>#N/A</v>
      </c>
      <c r="B568" s="46">
        <f>AVERAGE(G568,I568,J568)</f>
        <v>372</v>
      </c>
      <c r="C568" s="31" t="s">
        <v>1199</v>
      </c>
      <c r="D568" s="66">
        <v>7278.3977468093599</v>
      </c>
      <c r="E568" s="66">
        <v>2383.2839294912201</v>
      </c>
      <c r="F568" s="66">
        <v>49509.408262417397</v>
      </c>
      <c r="G568" s="33">
        <v>181</v>
      </c>
      <c r="H568" s="32">
        <v>112.19</v>
      </c>
      <c r="I568" s="34">
        <v>563</v>
      </c>
      <c r="J568" s="34" t="s">
        <v>116</v>
      </c>
      <c r="K568" s="35">
        <v>-5.7812608847091598</v>
      </c>
      <c r="L568" s="34" t="s">
        <v>116</v>
      </c>
      <c r="M568" s="31" t="s">
        <v>1200</v>
      </c>
      <c r="N568" s="31" t="s">
        <v>57</v>
      </c>
      <c r="O568" s="31" t="s">
        <v>4</v>
      </c>
      <c r="P568" s="31" t="s">
        <v>3</v>
      </c>
      <c r="Q568" s="38" t="s">
        <v>1190</v>
      </c>
    </row>
    <row r="569" spans="1:17" x14ac:dyDescent="0.2">
      <c r="A569" s="30" t="e">
        <f>RANK(B569,$B$2:$B$551,1)</f>
        <v>#N/A</v>
      </c>
      <c r="B569" s="46">
        <f>AVERAGE(G569,I569,J569)</f>
        <v>466.5</v>
      </c>
      <c r="C569" s="31" t="s">
        <v>1197</v>
      </c>
      <c r="D569" s="66">
        <v>375.85418014894702</v>
      </c>
      <c r="E569" s="66">
        <v>24.341920903954801</v>
      </c>
      <c r="F569" s="66">
        <v>3380.7333254209102</v>
      </c>
      <c r="G569" s="33">
        <v>431</v>
      </c>
      <c r="H569" s="32">
        <v>113.81</v>
      </c>
      <c r="I569" s="34">
        <v>502</v>
      </c>
      <c r="J569" s="34" t="s">
        <v>116</v>
      </c>
      <c r="K569" s="35">
        <v>-0.75356250918172496</v>
      </c>
      <c r="L569" s="34" t="s">
        <v>116</v>
      </c>
      <c r="M569" s="31" t="s">
        <v>1198</v>
      </c>
      <c r="N569" s="31" t="s">
        <v>10</v>
      </c>
      <c r="O569" s="31" t="s">
        <v>4</v>
      </c>
      <c r="P569" s="31" t="s">
        <v>3</v>
      </c>
      <c r="Q569" s="38" t="s">
        <v>1190</v>
      </c>
    </row>
    <row r="570" spans="1:17" x14ac:dyDescent="0.2">
      <c r="A570" s="30" t="e">
        <f>RANK(B570,$B$2:$B$551,1)</f>
        <v>#N/A</v>
      </c>
      <c r="B570" s="46">
        <f>AVERAGE(G570,I570,J570)</f>
        <v>465.5</v>
      </c>
      <c r="C570" s="31" t="s">
        <v>1195</v>
      </c>
      <c r="D570" s="66">
        <v>297.048294430993</v>
      </c>
      <c r="E570" s="66">
        <v>127.868571428571</v>
      </c>
      <c r="F570" s="66">
        <v>4168.2888193704603</v>
      </c>
      <c r="G570" s="33">
        <v>399</v>
      </c>
      <c r="H570" s="32">
        <v>113.14</v>
      </c>
      <c r="I570" s="34">
        <v>532</v>
      </c>
      <c r="J570" s="34" t="s">
        <v>116</v>
      </c>
      <c r="K570" s="35">
        <v>-2.11216229396274</v>
      </c>
      <c r="L570" s="34" t="s">
        <v>116</v>
      </c>
      <c r="M570" s="31" t="s">
        <v>1196</v>
      </c>
      <c r="N570" s="31" t="s">
        <v>416</v>
      </c>
      <c r="O570" s="31" t="s">
        <v>4</v>
      </c>
      <c r="P570" s="31" t="s">
        <v>3</v>
      </c>
      <c r="Q570" s="38"/>
    </row>
    <row r="571" spans="1:17" x14ac:dyDescent="0.2">
      <c r="A571" s="30" t="e">
        <f>RANK(B571,$B$2:$B$551,1)</f>
        <v>#N/A</v>
      </c>
      <c r="B571" s="46">
        <f>AVERAGE(G571,I571,J571)</f>
        <v>450</v>
      </c>
      <c r="C571" s="31" t="s">
        <v>1345</v>
      </c>
      <c r="D571" s="66">
        <v>82.543352601156201</v>
      </c>
      <c r="E571" s="66">
        <v>0</v>
      </c>
      <c r="F571" s="66">
        <v>484.11487568772299</v>
      </c>
      <c r="G571" s="33">
        <v>315</v>
      </c>
      <c r="H571" s="32">
        <v>110.22</v>
      </c>
      <c r="I571" s="34">
        <v>585</v>
      </c>
      <c r="J571" s="34" t="s">
        <v>116</v>
      </c>
      <c r="K571" s="35" t="s">
        <v>116</v>
      </c>
      <c r="L571" s="34" t="s">
        <v>116</v>
      </c>
      <c r="M571" s="31" t="s">
        <v>1346</v>
      </c>
      <c r="N571" s="31" t="s">
        <v>392</v>
      </c>
      <c r="O571" s="31" t="s">
        <v>4</v>
      </c>
      <c r="P571" s="31" t="s">
        <v>3</v>
      </c>
      <c r="Q571" s="36" t="s">
        <v>1254</v>
      </c>
    </row>
    <row r="572" spans="1:17" x14ac:dyDescent="0.2">
      <c r="A572" s="30" t="e">
        <f>RANK(B572,$B$2:$B$551,1)</f>
        <v>#N/A</v>
      </c>
      <c r="B572" s="46">
        <f>AVERAGE(G572,I572,J572)</f>
        <v>470.5</v>
      </c>
      <c r="C572" s="31" t="s">
        <v>1312</v>
      </c>
      <c r="D572" s="66">
        <v>59.530726256983201</v>
      </c>
      <c r="E572" s="66">
        <v>0</v>
      </c>
      <c r="F572" s="66">
        <v>1053.85078774969</v>
      </c>
      <c r="G572" s="33">
        <v>575</v>
      </c>
      <c r="H572" s="32">
        <v>115.24</v>
      </c>
      <c r="I572" s="34">
        <v>366</v>
      </c>
      <c r="J572" s="34" t="s">
        <v>116</v>
      </c>
      <c r="K572" s="35" t="s">
        <v>116</v>
      </c>
      <c r="L572" s="34" t="s">
        <v>116</v>
      </c>
      <c r="M572" s="31" t="s">
        <v>1313</v>
      </c>
      <c r="N572" s="31" t="s">
        <v>10</v>
      </c>
      <c r="O572" s="31" t="s">
        <v>4</v>
      </c>
      <c r="P572" s="31" t="s">
        <v>3</v>
      </c>
      <c r="Q572" s="36" t="s">
        <v>1254</v>
      </c>
    </row>
    <row r="573" spans="1:17" x14ac:dyDescent="0.2">
      <c r="A573" s="30" t="e">
        <f>RANK(B573,$B$2:$B$551,1)</f>
        <v>#N/A</v>
      </c>
      <c r="B573" s="46">
        <f>AVERAGE(G573,I573,J573)</f>
        <v>557</v>
      </c>
      <c r="C573" s="31" t="s">
        <v>1204</v>
      </c>
      <c r="D573" s="66">
        <v>1866.5166666666701</v>
      </c>
      <c r="E573" s="66">
        <v>0</v>
      </c>
      <c r="F573" s="66">
        <v>21333.190709677401</v>
      </c>
      <c r="G573" s="33">
        <v>522</v>
      </c>
      <c r="H573" s="32">
        <v>106.21</v>
      </c>
      <c r="I573" s="34">
        <v>592</v>
      </c>
      <c r="J573" s="34" t="s">
        <v>116</v>
      </c>
      <c r="K573" s="35">
        <v>1.6662404092071601</v>
      </c>
      <c r="L573" s="34" t="s">
        <v>26</v>
      </c>
      <c r="M573" s="31" t="s">
        <v>1205</v>
      </c>
      <c r="N573" s="31" t="s">
        <v>9</v>
      </c>
      <c r="O573" s="31" t="s">
        <v>4</v>
      </c>
      <c r="P573" s="31" t="s">
        <v>3</v>
      </c>
      <c r="Q573" s="38" t="s">
        <v>1190</v>
      </c>
    </row>
    <row r="574" spans="1:17" x14ac:dyDescent="0.2">
      <c r="A574" s="30" t="e">
        <f>RANK(B574,$B$2:$B$551,1)</f>
        <v>#N/A</v>
      </c>
      <c r="B574" s="46">
        <f>AVERAGE(G574,I574,J574)</f>
        <v>597.5</v>
      </c>
      <c r="C574" s="31" t="s">
        <v>1355</v>
      </c>
      <c r="D574" s="66">
        <v>34.875</v>
      </c>
      <c r="E574" s="66">
        <v>1.39772727272727</v>
      </c>
      <c r="F574" s="66">
        <v>1657.2555681818201</v>
      </c>
      <c r="G574" s="33">
        <v>599</v>
      </c>
      <c r="H574" s="32">
        <v>103.64</v>
      </c>
      <c r="I574" s="34">
        <v>596</v>
      </c>
      <c r="J574" s="34" t="s">
        <v>116</v>
      </c>
      <c r="K574" s="35" t="s">
        <v>116</v>
      </c>
      <c r="L574" s="34" t="s">
        <v>116</v>
      </c>
      <c r="M574" s="31" t="s">
        <v>1356</v>
      </c>
      <c r="N574" s="31" t="s">
        <v>55</v>
      </c>
      <c r="O574" s="31" t="s">
        <v>4</v>
      </c>
      <c r="P574" s="31" t="s">
        <v>3</v>
      </c>
      <c r="Q574" s="36" t="s">
        <v>1254</v>
      </c>
    </row>
    <row r="575" spans="1:17" x14ac:dyDescent="0.2">
      <c r="A575" s="30" t="e">
        <f>RANK(B575,$B$2:$B$551,1)</f>
        <v>#N/A</v>
      </c>
      <c r="B575" s="46">
        <f>AVERAGE(G575,I575,J575)</f>
        <v>611</v>
      </c>
      <c r="C575" s="31" t="s">
        <v>1279</v>
      </c>
      <c r="D575" s="66">
        <v>0.99438202247190999</v>
      </c>
      <c r="E575" s="66">
        <v>0</v>
      </c>
      <c r="F575" s="66">
        <v>818.98876404494399</v>
      </c>
      <c r="G575" s="33">
        <v>611</v>
      </c>
      <c r="H575" s="32" t="s">
        <v>116</v>
      </c>
      <c r="I575" s="34" t="s">
        <v>116</v>
      </c>
      <c r="J575" s="34" t="s">
        <v>116</v>
      </c>
      <c r="K575" s="35" t="s">
        <v>116</v>
      </c>
      <c r="L575" s="34" t="s">
        <v>116</v>
      </c>
      <c r="M575" s="31" t="s">
        <v>1280</v>
      </c>
      <c r="N575" s="31" t="s">
        <v>52</v>
      </c>
      <c r="O575" s="31" t="s">
        <v>4</v>
      </c>
      <c r="P575" s="31" t="s">
        <v>3</v>
      </c>
      <c r="Q575" s="36" t="s">
        <v>1263</v>
      </c>
    </row>
    <row r="576" spans="1:17" x14ac:dyDescent="0.2">
      <c r="A576" s="30" t="e">
        <f>RANK(B576,$B$2:$B$551,1)</f>
        <v>#N/A</v>
      </c>
      <c r="B576" s="46">
        <f>AVERAGE(G576,I576,J576)</f>
        <v>529</v>
      </c>
      <c r="C576" s="31" t="s">
        <v>1328</v>
      </c>
      <c r="D576" s="66">
        <v>45.196264367816099</v>
      </c>
      <c r="E576" s="66">
        <v>2</v>
      </c>
      <c r="F576" s="66">
        <v>572.186753800519</v>
      </c>
      <c r="G576" s="33">
        <v>523</v>
      </c>
      <c r="H576" s="32">
        <v>113.1</v>
      </c>
      <c r="I576" s="34">
        <v>535</v>
      </c>
      <c r="J576" s="34" t="s">
        <v>116</v>
      </c>
      <c r="K576" s="35" t="s">
        <v>116</v>
      </c>
      <c r="L576" s="34" t="s">
        <v>116</v>
      </c>
      <c r="M576" s="31" t="s">
        <v>1329</v>
      </c>
      <c r="N576" s="31" t="s">
        <v>76</v>
      </c>
      <c r="O576" s="31" t="s">
        <v>4</v>
      </c>
      <c r="P576" s="31" t="s">
        <v>3</v>
      </c>
      <c r="Q576" s="36" t="s">
        <v>1254</v>
      </c>
    </row>
    <row r="577" spans="1:17" x14ac:dyDescent="0.2">
      <c r="A577" s="30" t="e">
        <f>RANK(B577,$B$2:$B$551,1)</f>
        <v>#N/A</v>
      </c>
      <c r="B577" s="46">
        <f>AVERAGE(G577,I577,J577)</f>
        <v>427</v>
      </c>
      <c r="C577" s="31" t="s">
        <v>1309</v>
      </c>
      <c r="D577" s="66">
        <v>48.502857142857103</v>
      </c>
      <c r="E577" s="66">
        <v>0</v>
      </c>
      <c r="F577" s="66">
        <v>839.54547465437804</v>
      </c>
      <c r="G577" s="33">
        <v>571</v>
      </c>
      <c r="H577" s="32">
        <v>115.83</v>
      </c>
      <c r="I577" s="34">
        <v>283</v>
      </c>
      <c r="J577" s="34" t="s">
        <v>116</v>
      </c>
      <c r="K577" s="35" t="s">
        <v>116</v>
      </c>
      <c r="L577" s="34" t="s">
        <v>116</v>
      </c>
      <c r="M577" s="31" t="s">
        <v>1310</v>
      </c>
      <c r="N577" s="31" t="s">
        <v>694</v>
      </c>
      <c r="O577" s="31" t="s">
        <v>4</v>
      </c>
      <c r="P577" s="31" t="s">
        <v>3</v>
      </c>
      <c r="Q577" s="36" t="s">
        <v>1254</v>
      </c>
    </row>
    <row r="578" spans="1:17" x14ac:dyDescent="0.2">
      <c r="A578" s="30" t="e">
        <f>RANK(B578,$B$2:$B$551,1)</f>
        <v>#N/A</v>
      </c>
      <c r="B578" s="46">
        <f>AVERAGE(G578,I578,J578)</f>
        <v>591</v>
      </c>
      <c r="C578" s="31" t="s">
        <v>1357</v>
      </c>
      <c r="D578" s="66">
        <v>29.418225574712601</v>
      </c>
      <c r="E578" s="66">
        <v>0</v>
      </c>
      <c r="F578" s="66">
        <v>672.99929032922705</v>
      </c>
      <c r="G578" s="33">
        <v>588</v>
      </c>
      <c r="H578" s="32">
        <v>105.26</v>
      </c>
      <c r="I578" s="34">
        <v>594</v>
      </c>
      <c r="J578" s="34" t="s">
        <v>116</v>
      </c>
      <c r="K578" s="35" t="s">
        <v>116</v>
      </c>
      <c r="L578" s="34" t="s">
        <v>116</v>
      </c>
      <c r="M578" s="31" t="s">
        <v>1358</v>
      </c>
      <c r="N578" s="31" t="s">
        <v>314</v>
      </c>
      <c r="O578" s="31" t="s">
        <v>4</v>
      </c>
      <c r="P578" s="31" t="s">
        <v>3</v>
      </c>
      <c r="Q578" s="36" t="s">
        <v>1254</v>
      </c>
    </row>
    <row r="579" spans="1:17" ht="22.5" x14ac:dyDescent="0.2">
      <c r="A579" s="30" t="e">
        <f>RANK(B579,$B$2:$B$551,1)</f>
        <v>#N/A</v>
      </c>
      <c r="B579" s="46">
        <f>AVERAGE(G579,I579,J579)</f>
        <v>612</v>
      </c>
      <c r="C579" s="31" t="s">
        <v>1281</v>
      </c>
      <c r="D579" s="66">
        <v>0</v>
      </c>
      <c r="E579" s="66">
        <v>0</v>
      </c>
      <c r="F579" s="66">
        <v>548.51085714285705</v>
      </c>
      <c r="G579" s="33">
        <v>612</v>
      </c>
      <c r="H579" s="32" t="s">
        <v>116</v>
      </c>
      <c r="I579" s="34" t="s">
        <v>116</v>
      </c>
      <c r="J579" s="34" t="s">
        <v>116</v>
      </c>
      <c r="K579" s="35" t="s">
        <v>116</v>
      </c>
      <c r="L579" s="34" t="s">
        <v>116</v>
      </c>
      <c r="M579" s="31" t="s">
        <v>1282</v>
      </c>
      <c r="N579" s="31" t="s">
        <v>289</v>
      </c>
      <c r="O579" s="31" t="s">
        <v>4</v>
      </c>
      <c r="P579" s="31" t="s">
        <v>3</v>
      </c>
      <c r="Q579" s="36" t="s">
        <v>1263</v>
      </c>
    </row>
    <row r="580" spans="1:17" ht="22.5" x14ac:dyDescent="0.2">
      <c r="A580" s="30" t="e">
        <f>RANK(B580,$B$2:$B$551,1)</f>
        <v>#N/A</v>
      </c>
      <c r="B580" s="46">
        <f>AVERAGE(G580,I580,J580)</f>
        <v>417.5</v>
      </c>
      <c r="C580" s="31" t="s">
        <v>1318</v>
      </c>
      <c r="D580" s="66">
        <v>166.98730677267901</v>
      </c>
      <c r="E580" s="66">
        <v>0</v>
      </c>
      <c r="F580" s="66">
        <v>1173.8963663868601</v>
      </c>
      <c r="G580" s="33">
        <v>387</v>
      </c>
      <c r="H580" s="32">
        <v>114.59</v>
      </c>
      <c r="I580" s="34">
        <v>448</v>
      </c>
      <c r="J580" s="34" t="s">
        <v>116</v>
      </c>
      <c r="K580" s="35" t="s">
        <v>116</v>
      </c>
      <c r="L580" s="34" t="s">
        <v>116</v>
      </c>
      <c r="M580" s="31" t="s">
        <v>1319</v>
      </c>
      <c r="N580" s="31" t="s">
        <v>486</v>
      </c>
      <c r="O580" s="31" t="s">
        <v>4</v>
      </c>
      <c r="P580" s="31" t="s">
        <v>3</v>
      </c>
      <c r="Q580" s="36" t="s">
        <v>1254</v>
      </c>
    </row>
    <row r="581" spans="1:17" ht="22.5" x14ac:dyDescent="0.2">
      <c r="A581" s="30" t="e">
        <f>RANK(B581,$B$2:$B$551,1)</f>
        <v>#N/A</v>
      </c>
      <c r="B581" s="46">
        <f>AVERAGE(G581,I581,J581)</f>
        <v>608</v>
      </c>
      <c r="C581" s="31" t="s">
        <v>1273</v>
      </c>
      <c r="D581" s="66">
        <v>14.872628571428599</v>
      </c>
      <c r="E581" s="66">
        <v>1</v>
      </c>
      <c r="F581" s="66">
        <v>1656.20851428571</v>
      </c>
      <c r="G581" s="33">
        <v>608</v>
      </c>
      <c r="H581" s="32" t="s">
        <v>116</v>
      </c>
      <c r="I581" s="34" t="s">
        <v>116</v>
      </c>
      <c r="J581" s="34" t="s">
        <v>116</v>
      </c>
      <c r="K581" s="35" t="s">
        <v>116</v>
      </c>
      <c r="L581" s="34" t="s">
        <v>116</v>
      </c>
      <c r="M581" s="31" t="s">
        <v>1274</v>
      </c>
      <c r="N581" s="31" t="s">
        <v>694</v>
      </c>
      <c r="O581" s="31" t="s">
        <v>4</v>
      </c>
      <c r="P581" s="31" t="s">
        <v>3</v>
      </c>
      <c r="Q581" s="36" t="s">
        <v>1254</v>
      </c>
    </row>
    <row r="582" spans="1:17" x14ac:dyDescent="0.2">
      <c r="A582" s="30" t="e">
        <f>RANK(B582,$B$2:$B$551,1)</f>
        <v>#N/A</v>
      </c>
      <c r="B582" s="46">
        <f>AVERAGE(G582,I582,J582)</f>
        <v>515.5</v>
      </c>
      <c r="C582" s="31" t="s">
        <v>1320</v>
      </c>
      <c r="D582" s="66">
        <v>48.6828438538206</v>
      </c>
      <c r="E582" s="66">
        <v>0</v>
      </c>
      <c r="F582" s="66">
        <v>615.660892174016</v>
      </c>
      <c r="G582" s="33">
        <v>539</v>
      </c>
      <c r="H582" s="32">
        <v>113.9</v>
      </c>
      <c r="I582" s="34">
        <v>492</v>
      </c>
      <c r="J582" s="34" t="s">
        <v>116</v>
      </c>
      <c r="K582" s="35" t="s">
        <v>116</v>
      </c>
      <c r="L582" s="34" t="s">
        <v>116</v>
      </c>
      <c r="M582" s="31" t="s">
        <v>1321</v>
      </c>
      <c r="N582" s="31" t="s">
        <v>71</v>
      </c>
      <c r="O582" s="31" t="s">
        <v>4</v>
      </c>
      <c r="P582" s="31" t="s">
        <v>3</v>
      </c>
      <c r="Q582" s="36" t="s">
        <v>1254</v>
      </c>
    </row>
    <row r="583" spans="1:17" x14ac:dyDescent="0.2">
      <c r="A583" s="30" t="e">
        <f>RANK(B583,$B$2:$B$551,1)</f>
        <v>#N/A</v>
      </c>
      <c r="B583" s="46">
        <f>AVERAGE(G583,I583,J583)</f>
        <v>609</v>
      </c>
      <c r="C583" s="31" t="s">
        <v>1275</v>
      </c>
      <c r="D583" s="66">
        <v>10.657812878074999</v>
      </c>
      <c r="E583" s="66">
        <v>2</v>
      </c>
      <c r="F583" s="66">
        <v>1827.74018793716</v>
      </c>
      <c r="G583" s="33">
        <v>609</v>
      </c>
      <c r="H583" s="32" t="s">
        <v>116</v>
      </c>
      <c r="I583" s="34" t="s">
        <v>116</v>
      </c>
      <c r="J583" s="34" t="s">
        <v>116</v>
      </c>
      <c r="K583" s="35" t="s">
        <v>116</v>
      </c>
      <c r="L583" s="34" t="s">
        <v>116</v>
      </c>
      <c r="M583" s="31" t="s">
        <v>1276</v>
      </c>
      <c r="N583" s="31" t="s">
        <v>182</v>
      </c>
      <c r="O583" s="31" t="s">
        <v>4</v>
      </c>
      <c r="P583" s="31" t="s">
        <v>3</v>
      </c>
      <c r="Q583" s="36" t="s">
        <v>1254</v>
      </c>
    </row>
    <row r="584" spans="1:17" x14ac:dyDescent="0.2">
      <c r="A584" s="30" t="e">
        <f>RANK(B584,$B$2:$B$551,1)</f>
        <v>#N/A</v>
      </c>
      <c r="B584" s="46">
        <f>AVERAGE(G584,I584,J584)</f>
        <v>602</v>
      </c>
      <c r="C584" s="31" t="s">
        <v>496</v>
      </c>
      <c r="D584" s="66">
        <v>7.1662222222222196</v>
      </c>
      <c r="E584" s="66">
        <v>3.8222222222222202</v>
      </c>
      <c r="F584" s="66">
        <v>806.73750537634396</v>
      </c>
      <c r="G584" s="33">
        <v>602</v>
      </c>
      <c r="H584" s="32" t="s">
        <v>116</v>
      </c>
      <c r="I584" s="34" t="s">
        <v>116</v>
      </c>
      <c r="J584" s="34" t="s">
        <v>116</v>
      </c>
      <c r="K584" s="35" t="s">
        <v>116</v>
      </c>
      <c r="L584" s="34" t="s">
        <v>116</v>
      </c>
      <c r="M584" s="31" t="s">
        <v>1268</v>
      </c>
      <c r="N584" s="31" t="s">
        <v>182</v>
      </c>
      <c r="O584" s="31" t="s">
        <v>4</v>
      </c>
      <c r="P584" s="31" t="s">
        <v>3</v>
      </c>
      <c r="Q584" s="36" t="s">
        <v>1263</v>
      </c>
    </row>
    <row r="585" spans="1:17" x14ac:dyDescent="0.2">
      <c r="A585" s="30" t="e">
        <f>RANK(B585,$B$2:$B$551,1)</f>
        <v>#N/A</v>
      </c>
      <c r="B585" s="46">
        <f>AVERAGE(G585,I585,J585)</f>
        <v>440</v>
      </c>
      <c r="C585" s="31" t="s">
        <v>1307</v>
      </c>
      <c r="D585" s="66">
        <v>15.817142857142899</v>
      </c>
      <c r="E585" s="66">
        <v>0</v>
      </c>
      <c r="F585" s="66">
        <v>961.00355267388295</v>
      </c>
      <c r="G585" s="33">
        <v>605</v>
      </c>
      <c r="H585" s="32">
        <v>115.88</v>
      </c>
      <c r="I585" s="34">
        <v>275</v>
      </c>
      <c r="J585" s="34" t="s">
        <v>116</v>
      </c>
      <c r="K585" s="35" t="s">
        <v>116</v>
      </c>
      <c r="L585" s="34" t="s">
        <v>116</v>
      </c>
      <c r="M585" s="31" t="s">
        <v>1308</v>
      </c>
      <c r="N585" s="31" t="s">
        <v>182</v>
      </c>
      <c r="O585" s="31" t="s">
        <v>4</v>
      </c>
      <c r="P585" s="31" t="s">
        <v>3</v>
      </c>
      <c r="Q585" s="36" t="s">
        <v>1254</v>
      </c>
    </row>
    <row r="586" spans="1:17" ht="22.5" x14ac:dyDescent="0.2">
      <c r="A586" s="30" t="e">
        <f>RANK(B586,$B$2:$B$551,1)</f>
        <v>#N/A</v>
      </c>
      <c r="B586" s="46">
        <f>AVERAGE(G586,I586,J586)</f>
        <v>418.5</v>
      </c>
      <c r="C586" s="31" t="s">
        <v>1299</v>
      </c>
      <c r="D586" s="66">
        <v>35.120717971652702</v>
      </c>
      <c r="E586" s="66">
        <v>0</v>
      </c>
      <c r="F586" s="66">
        <v>1046.99103255104</v>
      </c>
      <c r="G586" s="33">
        <v>595</v>
      </c>
      <c r="H586" s="32">
        <v>116.08</v>
      </c>
      <c r="I586" s="34">
        <v>242</v>
      </c>
      <c r="J586" s="34" t="s">
        <v>116</v>
      </c>
      <c r="K586" s="35" t="s">
        <v>116</v>
      </c>
      <c r="L586" s="34" t="s">
        <v>116</v>
      </c>
      <c r="M586" s="31" t="s">
        <v>1300</v>
      </c>
      <c r="N586" s="31" t="s">
        <v>460</v>
      </c>
      <c r="O586" s="31" t="s">
        <v>4</v>
      </c>
      <c r="P586" s="31" t="s">
        <v>3</v>
      </c>
      <c r="Q586" s="36" t="s">
        <v>1254</v>
      </c>
    </row>
    <row r="587" spans="1:17" x14ac:dyDescent="0.2">
      <c r="A587" s="30" t="e">
        <f>RANK(B587,$B$2:$B$551,1)</f>
        <v>#N/A</v>
      </c>
      <c r="B587" s="46">
        <f>AVERAGE(G587,I587,J587)</f>
        <v>405.5</v>
      </c>
      <c r="C587" s="31" t="s">
        <v>1301</v>
      </c>
      <c r="D587" s="66">
        <v>46.533181818181802</v>
      </c>
      <c r="E587" s="66">
        <v>1</v>
      </c>
      <c r="F587" s="66">
        <v>776.31865835777103</v>
      </c>
      <c r="G587" s="33">
        <v>565</v>
      </c>
      <c r="H587" s="32">
        <v>116.07</v>
      </c>
      <c r="I587" s="34">
        <v>246</v>
      </c>
      <c r="J587" s="34" t="s">
        <v>116</v>
      </c>
      <c r="K587" s="35" t="s">
        <v>116</v>
      </c>
      <c r="L587" s="34" t="s">
        <v>116</v>
      </c>
      <c r="M587" s="31" t="s">
        <v>1302</v>
      </c>
      <c r="N587" s="31" t="s">
        <v>359</v>
      </c>
      <c r="O587" s="31" t="s">
        <v>4</v>
      </c>
      <c r="P587" s="31" t="s">
        <v>3</v>
      </c>
      <c r="Q587" s="36" t="s">
        <v>1254</v>
      </c>
    </row>
    <row r="588" spans="1:17" x14ac:dyDescent="0.2">
      <c r="A588" s="30" t="e">
        <f>RANK(B588,$B$2:$B$551,1)</f>
        <v>#N/A</v>
      </c>
      <c r="B588" s="46">
        <f>AVERAGE(G588,I588,J588)</f>
        <v>295</v>
      </c>
      <c r="C588" s="31" t="s">
        <v>1283</v>
      </c>
      <c r="D588" s="66">
        <v>39.329608938547501</v>
      </c>
      <c r="E588" s="66">
        <v>0</v>
      </c>
      <c r="F588" s="66">
        <v>877.25921787709501</v>
      </c>
      <c r="G588" s="33">
        <v>586</v>
      </c>
      <c r="H588" s="32">
        <v>119.03</v>
      </c>
      <c r="I588" s="34">
        <v>4</v>
      </c>
      <c r="J588" s="34" t="s">
        <v>116</v>
      </c>
      <c r="K588" s="35" t="s">
        <v>116</v>
      </c>
      <c r="L588" s="34" t="s">
        <v>116</v>
      </c>
      <c r="M588" s="31" t="s">
        <v>1284</v>
      </c>
      <c r="N588" s="31" t="s">
        <v>19</v>
      </c>
      <c r="O588" s="31" t="s">
        <v>4</v>
      </c>
      <c r="P588" s="31" t="s">
        <v>3</v>
      </c>
      <c r="Q588" s="36" t="s">
        <v>1254</v>
      </c>
    </row>
    <row r="589" spans="1:17" x14ac:dyDescent="0.2">
      <c r="A589" s="30" t="e">
        <f>RANK(B589,$B$2:$B$551,1)</f>
        <v>#N/A</v>
      </c>
      <c r="B589" s="46">
        <f>AVERAGE(G589,I589,J589)</f>
        <v>481.5</v>
      </c>
      <c r="C589" s="31" t="s">
        <v>1340</v>
      </c>
      <c r="D589" s="66">
        <v>57.0547165267648</v>
      </c>
      <c r="E589" s="66">
        <v>0</v>
      </c>
      <c r="F589" s="66">
        <v>432.81548747763901</v>
      </c>
      <c r="G589" s="33">
        <v>410</v>
      </c>
      <c r="H589" s="32">
        <v>112.5</v>
      </c>
      <c r="I589" s="34">
        <v>553</v>
      </c>
      <c r="J589" s="34" t="s">
        <v>116</v>
      </c>
      <c r="K589" s="35" t="s">
        <v>116</v>
      </c>
      <c r="L589" s="34" t="s">
        <v>116</v>
      </c>
      <c r="M589" s="31" t="s">
        <v>1341</v>
      </c>
      <c r="N589" s="31" t="s">
        <v>211</v>
      </c>
      <c r="O589" s="31" t="s">
        <v>4</v>
      </c>
      <c r="P589" s="31" t="s">
        <v>3</v>
      </c>
      <c r="Q589" s="36" t="s">
        <v>1254</v>
      </c>
    </row>
    <row r="590" spans="1:17" x14ac:dyDescent="0.2">
      <c r="A590" s="30" t="e">
        <f>RANK(B590,$B$2:$B$551,1)</f>
        <v>#N/A</v>
      </c>
      <c r="B590" s="46">
        <f>AVERAGE(G590,I590,J590)</f>
        <v>607</v>
      </c>
      <c r="C590" s="31" t="s">
        <v>1271</v>
      </c>
      <c r="D590" s="66">
        <v>8.0057471264367805</v>
      </c>
      <c r="E590" s="66">
        <v>1</v>
      </c>
      <c r="F590" s="66">
        <v>977.77856878012597</v>
      </c>
      <c r="G590" s="33">
        <v>607</v>
      </c>
      <c r="H590" s="32" t="s">
        <v>116</v>
      </c>
      <c r="I590" s="34" t="s">
        <v>116</v>
      </c>
      <c r="J590" s="34" t="s">
        <v>116</v>
      </c>
      <c r="K590" s="35" t="s">
        <v>116</v>
      </c>
      <c r="L590" s="34" t="s">
        <v>116</v>
      </c>
      <c r="M590" s="31" t="s">
        <v>1272</v>
      </c>
      <c r="N590" s="31" t="s">
        <v>273</v>
      </c>
      <c r="O590" s="31" t="s">
        <v>4</v>
      </c>
      <c r="P590" s="31" t="s">
        <v>3</v>
      </c>
      <c r="Q590" s="36" t="s">
        <v>1263</v>
      </c>
    </row>
    <row r="591" spans="1:17" x14ac:dyDescent="0.2">
      <c r="A591" s="30" t="e">
        <f>RANK(B591,$B$2:$B$551,1)</f>
        <v>#N/A</v>
      </c>
      <c r="B591" s="46">
        <f>AVERAGE(G591,I591,J591)</f>
        <v>600</v>
      </c>
      <c r="C591" s="31" t="s">
        <v>1266</v>
      </c>
      <c r="D591" s="66">
        <v>11.2284090909091</v>
      </c>
      <c r="E591" s="66">
        <v>0</v>
      </c>
      <c r="F591" s="66">
        <v>519.22140325219698</v>
      </c>
      <c r="G591" s="33">
        <v>600</v>
      </c>
      <c r="H591" s="32" t="s">
        <v>116</v>
      </c>
      <c r="I591" s="34" t="s">
        <v>116</v>
      </c>
      <c r="J591" s="34" t="s">
        <v>116</v>
      </c>
      <c r="K591" s="35" t="s">
        <v>116</v>
      </c>
      <c r="L591" s="34" t="s">
        <v>116</v>
      </c>
      <c r="M591" s="31" t="s">
        <v>1267</v>
      </c>
      <c r="N591" s="31" t="s">
        <v>273</v>
      </c>
      <c r="O591" s="31" t="s">
        <v>4</v>
      </c>
      <c r="P591" s="31" t="s">
        <v>3</v>
      </c>
      <c r="Q591" s="36" t="s">
        <v>1254</v>
      </c>
    </row>
    <row r="592" spans="1:17" x14ac:dyDescent="0.2">
      <c r="A592" s="30" t="e">
        <f>RANK(B592,$B$2:$B$551,1)</f>
        <v>#N/A</v>
      </c>
      <c r="B592" s="46">
        <f>AVERAGE(G592,I592,J592)</f>
        <v>326.5</v>
      </c>
      <c r="C592" s="31" t="s">
        <v>1291</v>
      </c>
      <c r="D592" s="66">
        <v>28.339121190644899</v>
      </c>
      <c r="E592" s="66">
        <v>0</v>
      </c>
      <c r="F592" s="66">
        <v>707.26850460666196</v>
      </c>
      <c r="G592" s="33">
        <v>591</v>
      </c>
      <c r="H592" s="32">
        <v>117.31</v>
      </c>
      <c r="I592" s="34">
        <v>62</v>
      </c>
      <c r="J592" s="34" t="s">
        <v>116</v>
      </c>
      <c r="K592" s="35" t="s">
        <v>116</v>
      </c>
      <c r="L592" s="34" t="s">
        <v>116</v>
      </c>
      <c r="M592" s="31" t="s">
        <v>1292</v>
      </c>
      <c r="N592" s="31" t="s">
        <v>570</v>
      </c>
      <c r="O592" s="31" t="s">
        <v>4</v>
      </c>
      <c r="P592" s="31" t="s">
        <v>3</v>
      </c>
      <c r="Q592" s="36" t="s">
        <v>1254</v>
      </c>
    </row>
    <row r="593" spans="1:17" x14ac:dyDescent="0.2">
      <c r="A593" s="30" t="e">
        <f>RANK(B593,$B$2:$B$551,1)</f>
        <v>#N/A</v>
      </c>
      <c r="B593" s="46">
        <f>AVERAGE(G593,I593,J593)</f>
        <v>504</v>
      </c>
      <c r="C593" s="31" t="s">
        <v>1255</v>
      </c>
      <c r="D593" s="66">
        <v>23.1978857142857</v>
      </c>
      <c r="E593" s="66">
        <v>0</v>
      </c>
      <c r="F593" s="66">
        <v>241.84240569945399</v>
      </c>
      <c r="G593" s="33">
        <v>504</v>
      </c>
      <c r="H593" s="32" t="s">
        <v>116</v>
      </c>
      <c r="I593" s="34" t="s">
        <v>116</v>
      </c>
      <c r="J593" s="34" t="s">
        <v>116</v>
      </c>
      <c r="K593" s="35" t="s">
        <v>116</v>
      </c>
      <c r="L593" s="34" t="s">
        <v>116</v>
      </c>
      <c r="M593" s="31" t="s">
        <v>1256</v>
      </c>
      <c r="N593" s="31" t="s">
        <v>570</v>
      </c>
      <c r="O593" s="31" t="s">
        <v>4</v>
      </c>
      <c r="P593" s="31" t="s">
        <v>3</v>
      </c>
      <c r="Q593" s="36" t="s">
        <v>1254</v>
      </c>
    </row>
    <row r="594" spans="1:17" x14ac:dyDescent="0.2">
      <c r="A594" s="30" t="e">
        <f>RANK(B594,$B$2:$B$551,1)</f>
        <v>#N/A</v>
      </c>
      <c r="B594" s="46">
        <f>AVERAGE(G594,I594,J594)</f>
        <v>449.5</v>
      </c>
      <c r="C594" s="31" t="s">
        <v>1330</v>
      </c>
      <c r="D594" s="66">
        <v>62.325714285714298</v>
      </c>
      <c r="E594" s="66">
        <v>5</v>
      </c>
      <c r="F594" s="66">
        <v>478.83814060658</v>
      </c>
      <c r="G594" s="33">
        <v>359</v>
      </c>
      <c r="H594" s="32">
        <v>113</v>
      </c>
      <c r="I594" s="34">
        <v>540</v>
      </c>
      <c r="J594" s="34" t="s">
        <v>116</v>
      </c>
      <c r="K594" s="35" t="s">
        <v>116</v>
      </c>
      <c r="L594" s="34" t="s">
        <v>116</v>
      </c>
      <c r="M594" s="31" t="s">
        <v>1331</v>
      </c>
      <c r="N594" s="31" t="s">
        <v>373</v>
      </c>
      <c r="O594" s="31" t="s">
        <v>4</v>
      </c>
      <c r="P594" s="31" t="s">
        <v>3</v>
      </c>
      <c r="Q594" s="36" t="s">
        <v>1254</v>
      </c>
    </row>
    <row r="595" spans="1:17" x14ac:dyDescent="0.2">
      <c r="A595" s="30" t="e">
        <f>RANK(B595,$B$2:$B$551,1)</f>
        <v>#N/A</v>
      </c>
      <c r="B595" s="46">
        <f>AVERAGE(G595,I595,J595)</f>
        <v>521.5</v>
      </c>
      <c r="C595" s="31" t="s">
        <v>1343</v>
      </c>
      <c r="D595" s="66">
        <v>55.674939719240299</v>
      </c>
      <c r="E595" s="66">
        <v>2</v>
      </c>
      <c r="F595" s="66">
        <v>588.81131767400996</v>
      </c>
      <c r="G595" s="33">
        <v>492</v>
      </c>
      <c r="H595" s="32">
        <v>112.58</v>
      </c>
      <c r="I595" s="34">
        <v>551</v>
      </c>
      <c r="J595" s="34" t="s">
        <v>116</v>
      </c>
      <c r="K595" s="35" t="s">
        <v>116</v>
      </c>
      <c r="L595" s="34" t="s">
        <v>116</v>
      </c>
      <c r="M595" s="31" t="s">
        <v>1344</v>
      </c>
      <c r="N595" s="31" t="s">
        <v>373</v>
      </c>
      <c r="O595" s="31" t="s">
        <v>4</v>
      </c>
      <c r="P595" s="31" t="s">
        <v>3</v>
      </c>
      <c r="Q595" s="36" t="s">
        <v>1254</v>
      </c>
    </row>
    <row r="596" spans="1:17" x14ac:dyDescent="0.2">
      <c r="A596" s="30" t="e">
        <f>RANK(B596,$B$2:$B$551,1)</f>
        <v>#N/A</v>
      </c>
      <c r="B596" s="46">
        <f>AVERAGE(G596,I596,J596)</f>
        <v>544</v>
      </c>
      <c r="C596" s="31" t="s">
        <v>1259</v>
      </c>
      <c r="D596" s="66">
        <v>34.139884393063603</v>
      </c>
      <c r="E596" s="66">
        <v>0</v>
      </c>
      <c r="F596" s="66">
        <v>460.39106062642799</v>
      </c>
      <c r="G596" s="33">
        <v>544</v>
      </c>
      <c r="H596" s="32" t="s">
        <v>116</v>
      </c>
      <c r="I596" s="34" t="s">
        <v>116</v>
      </c>
      <c r="J596" s="34" t="s">
        <v>116</v>
      </c>
      <c r="K596" s="35" t="s">
        <v>116</v>
      </c>
      <c r="L596" s="34" t="s">
        <v>116</v>
      </c>
      <c r="M596" s="31" t="s">
        <v>1260</v>
      </c>
      <c r="N596" s="31" t="s">
        <v>482</v>
      </c>
      <c r="O596" s="31" t="s">
        <v>4</v>
      </c>
      <c r="P596" s="31" t="s">
        <v>3</v>
      </c>
      <c r="Q596" s="36" t="s">
        <v>1254</v>
      </c>
    </row>
    <row r="597" spans="1:17" x14ac:dyDescent="0.2">
      <c r="A597" s="30" t="e">
        <f>RANK(B597,$B$2:$B$551,1)</f>
        <v>#N/A</v>
      </c>
      <c r="B597" s="46">
        <f>AVERAGE(G597,I597,J597)</f>
        <v>300</v>
      </c>
      <c r="C597" s="31" t="s">
        <v>1314</v>
      </c>
      <c r="D597" s="66">
        <v>47.420904344193801</v>
      </c>
      <c r="E597" s="66">
        <v>0</v>
      </c>
      <c r="F597" s="66">
        <v>717.45923913557499</v>
      </c>
      <c r="G597" s="33">
        <v>557</v>
      </c>
      <c r="H597" s="32">
        <v>117.5</v>
      </c>
      <c r="I597" s="34">
        <v>43</v>
      </c>
      <c r="J597" s="34" t="s">
        <v>116</v>
      </c>
      <c r="K597" s="35" t="s">
        <v>116</v>
      </c>
      <c r="L597" s="34" t="s">
        <v>116</v>
      </c>
      <c r="M597" s="31" t="s">
        <v>1315</v>
      </c>
      <c r="N597" s="31" t="s">
        <v>370</v>
      </c>
      <c r="O597" s="31" t="s">
        <v>4</v>
      </c>
      <c r="P597" s="31" t="s">
        <v>3</v>
      </c>
      <c r="Q597" s="36" t="s">
        <v>1254</v>
      </c>
    </row>
    <row r="598" spans="1:17" x14ac:dyDescent="0.2">
      <c r="A598" s="30" t="e">
        <f>RANK(B598,$B$2:$B$551,1)</f>
        <v>#N/A</v>
      </c>
      <c r="B598" s="46">
        <f>AVERAGE(G598,I598,J598)</f>
        <v>394.5</v>
      </c>
      <c r="C598" s="31" t="s">
        <v>1336</v>
      </c>
      <c r="D598" s="66">
        <v>32.0632183908046</v>
      </c>
      <c r="E598" s="66">
        <v>0</v>
      </c>
      <c r="F598" s="66">
        <v>808.08278685218795</v>
      </c>
      <c r="G598" s="33">
        <v>592</v>
      </c>
      <c r="H598" s="32">
        <v>116.3</v>
      </c>
      <c r="I598" s="34">
        <v>197</v>
      </c>
      <c r="J598" s="34" t="s">
        <v>116</v>
      </c>
      <c r="K598" s="35" t="s">
        <v>116</v>
      </c>
      <c r="L598" s="34" t="s">
        <v>116</v>
      </c>
      <c r="M598" s="31" t="s">
        <v>1337</v>
      </c>
      <c r="N598" s="31" t="s">
        <v>516</v>
      </c>
      <c r="O598" s="31" t="s">
        <v>4</v>
      </c>
      <c r="P598" s="31" t="s">
        <v>3</v>
      </c>
      <c r="Q598" s="36" t="s">
        <v>1254</v>
      </c>
    </row>
    <row r="599" spans="1:17" x14ac:dyDescent="0.2">
      <c r="A599" s="30" t="e">
        <f>RANK(B599,$B$2:$B$551,1)</f>
        <v>#N/A</v>
      </c>
      <c r="B599" s="46">
        <f>AVERAGE(G599,I599,J599)</f>
        <v>603</v>
      </c>
      <c r="C599" s="31" t="s">
        <v>1269</v>
      </c>
      <c r="D599" s="66">
        <v>20.761286549707599</v>
      </c>
      <c r="E599" s="66">
        <v>0</v>
      </c>
      <c r="F599" s="66">
        <v>1208.4401969667799</v>
      </c>
      <c r="G599" s="33">
        <v>603</v>
      </c>
      <c r="H599" s="32" t="s">
        <v>116</v>
      </c>
      <c r="I599" s="34" t="s">
        <v>116</v>
      </c>
      <c r="J599" s="34" t="s">
        <v>116</v>
      </c>
      <c r="K599" s="35" t="s">
        <v>116</v>
      </c>
      <c r="L599" s="34" t="s">
        <v>116</v>
      </c>
      <c r="M599" s="31" t="s">
        <v>1270</v>
      </c>
      <c r="N599" s="31" t="s">
        <v>115</v>
      </c>
      <c r="O599" s="31" t="s">
        <v>4</v>
      </c>
      <c r="P599" s="31" t="s">
        <v>3</v>
      </c>
      <c r="Q599" s="36" t="s">
        <v>1254</v>
      </c>
    </row>
    <row r="600" spans="1:17" x14ac:dyDescent="0.2">
      <c r="A600" s="30" t="e">
        <f>RANK(B600,$B$2:$B$551,1)</f>
        <v>#N/A</v>
      </c>
      <c r="B600" s="46">
        <f>AVERAGE(G600,I600,J600)</f>
        <v>462</v>
      </c>
      <c r="C600" s="31" t="s">
        <v>530</v>
      </c>
      <c r="D600" s="66">
        <v>47.397727272727302</v>
      </c>
      <c r="E600" s="66">
        <v>0</v>
      </c>
      <c r="F600" s="66">
        <v>718.93409090909097</v>
      </c>
      <c r="G600" s="33">
        <v>558</v>
      </c>
      <c r="H600" s="32">
        <v>115.24</v>
      </c>
      <c r="I600" s="34">
        <v>366</v>
      </c>
      <c r="J600" s="34" t="s">
        <v>116</v>
      </c>
      <c r="K600" s="35" t="s">
        <v>116</v>
      </c>
      <c r="L600" s="34" t="s">
        <v>116</v>
      </c>
      <c r="M600" s="31" t="s">
        <v>1311</v>
      </c>
      <c r="N600" s="31" t="s">
        <v>8</v>
      </c>
      <c r="O600" s="31" t="s">
        <v>4</v>
      </c>
      <c r="P600" s="31" t="s">
        <v>3</v>
      </c>
      <c r="Q600" s="36" t="s">
        <v>1254</v>
      </c>
    </row>
    <row r="601" spans="1:17" x14ac:dyDescent="0.2">
      <c r="A601" s="30" t="e">
        <f>RANK(B601,$B$2:$B$551,1)</f>
        <v>#N/A</v>
      </c>
      <c r="B601" s="46">
        <f>AVERAGE(G601,I601,J601)</f>
        <v>532</v>
      </c>
      <c r="C601" s="31" t="s">
        <v>1257</v>
      </c>
      <c r="D601" s="66">
        <v>17.2921348314607</v>
      </c>
      <c r="E601" s="66">
        <v>6.8539325842696597</v>
      </c>
      <c r="F601" s="66">
        <v>383.79285714285697</v>
      </c>
      <c r="G601" s="33">
        <v>532</v>
      </c>
      <c r="H601" s="32" t="s">
        <v>116</v>
      </c>
      <c r="I601" s="34" t="s">
        <v>116</v>
      </c>
      <c r="J601" s="34" t="s">
        <v>116</v>
      </c>
      <c r="K601" s="35" t="s">
        <v>116</v>
      </c>
      <c r="L601" s="34" t="s">
        <v>116</v>
      </c>
      <c r="M601" s="31" t="s">
        <v>1258</v>
      </c>
      <c r="N601" s="31" t="s">
        <v>200</v>
      </c>
      <c r="O601" s="31" t="s">
        <v>4</v>
      </c>
      <c r="P601" s="31" t="s">
        <v>3</v>
      </c>
      <c r="Q601" s="36" t="s">
        <v>1254</v>
      </c>
    </row>
    <row r="602" spans="1:17" x14ac:dyDescent="0.2">
      <c r="A602" s="30" t="e">
        <f>RANK(B602,$B$2:$B$551,1)</f>
        <v>#N/A</v>
      </c>
      <c r="B602" s="46">
        <f>AVERAGE(G602,I602,J602)</f>
        <v>562</v>
      </c>
      <c r="C602" s="31" t="s">
        <v>483</v>
      </c>
      <c r="D602" s="66">
        <v>80.560243407707901</v>
      </c>
      <c r="E602" s="66">
        <v>15.632183908046001</v>
      </c>
      <c r="F602" s="66">
        <v>1639.1616835699799</v>
      </c>
      <c r="G602" s="33">
        <v>554</v>
      </c>
      <c r="H602" s="32">
        <v>111.73</v>
      </c>
      <c r="I602" s="34">
        <v>570</v>
      </c>
      <c r="J602" s="34" t="s">
        <v>116</v>
      </c>
      <c r="K602" s="35">
        <v>-1.90132752129978</v>
      </c>
      <c r="L602" s="34" t="s">
        <v>116</v>
      </c>
      <c r="M602" s="31" t="s">
        <v>1201</v>
      </c>
      <c r="N602" s="31" t="s">
        <v>200</v>
      </c>
      <c r="O602" s="31" t="s">
        <v>4</v>
      </c>
      <c r="P602" s="31" t="s">
        <v>3</v>
      </c>
      <c r="Q602" s="38" t="s">
        <v>1190</v>
      </c>
    </row>
    <row r="603" spans="1:17" x14ac:dyDescent="0.2">
      <c r="A603" s="30" t="e">
        <f>RANK(B603,$B$2:$B$551,1)</f>
        <v>#N/A</v>
      </c>
      <c r="B603" s="46">
        <f>AVERAGE(G603,I603,J603)</f>
        <v>433.5</v>
      </c>
      <c r="C603" s="31" t="s">
        <v>1351</v>
      </c>
      <c r="D603" s="66">
        <v>103.578651685393</v>
      </c>
      <c r="E603" s="66">
        <v>5.8314606741573103</v>
      </c>
      <c r="F603" s="66">
        <v>766.47482602392199</v>
      </c>
      <c r="G603" s="33">
        <v>365</v>
      </c>
      <c r="H603" s="32">
        <v>113.81</v>
      </c>
      <c r="I603" s="34">
        <v>502</v>
      </c>
      <c r="J603" s="34" t="s">
        <v>116</v>
      </c>
      <c r="K603" s="35" t="s">
        <v>116</v>
      </c>
      <c r="L603" s="34" t="s">
        <v>116</v>
      </c>
      <c r="M603" s="31" t="s">
        <v>1352</v>
      </c>
      <c r="N603" s="31" t="s">
        <v>143</v>
      </c>
      <c r="O603" s="31" t="s">
        <v>4</v>
      </c>
      <c r="P603" s="31" t="s">
        <v>3</v>
      </c>
      <c r="Q603" s="36" t="s">
        <v>1254</v>
      </c>
    </row>
    <row r="604" spans="1:17" x14ac:dyDescent="0.2">
      <c r="A604" s="30" t="e">
        <f>RANK(B604,$B$2:$B$551,1)</f>
        <v>#N/A</v>
      </c>
      <c r="B604" s="46">
        <f>AVERAGE(G604,I604,J604)</f>
        <v>305.5</v>
      </c>
      <c r="C604" s="31" t="s">
        <v>1289</v>
      </c>
      <c r="D604" s="66">
        <v>56.421604010025099</v>
      </c>
      <c r="E604" s="66">
        <v>0</v>
      </c>
      <c r="F604" s="66">
        <v>1199.52789349718</v>
      </c>
      <c r="G604" s="33">
        <v>583</v>
      </c>
      <c r="H604" s="32">
        <v>117.8</v>
      </c>
      <c r="I604" s="34">
        <v>28</v>
      </c>
      <c r="J604" s="34" t="s">
        <v>116</v>
      </c>
      <c r="K604" s="35" t="s">
        <v>116</v>
      </c>
      <c r="L604" s="34" t="s">
        <v>116</v>
      </c>
      <c r="M604" s="31" t="s">
        <v>1290</v>
      </c>
      <c r="N604" s="31" t="s">
        <v>71</v>
      </c>
      <c r="O604" s="31" t="s">
        <v>4</v>
      </c>
      <c r="P604" s="31" t="s">
        <v>3</v>
      </c>
      <c r="Q604" s="36" t="s">
        <v>1254</v>
      </c>
    </row>
    <row r="605" spans="1:17" x14ac:dyDescent="0.2">
      <c r="A605" s="30" t="e">
        <f>RANK(B605,$B$2:$B$551,1)</f>
        <v>#N/A</v>
      </c>
      <c r="B605" s="46">
        <f>AVERAGE(G605,I605,J605)</f>
        <v>593</v>
      </c>
      <c r="C605" s="31" t="s">
        <v>1261</v>
      </c>
      <c r="D605" s="66">
        <v>5.7959770114942604</v>
      </c>
      <c r="E605" s="66">
        <v>0</v>
      </c>
      <c r="F605" s="66">
        <v>166.57187245087201</v>
      </c>
      <c r="G605" s="33">
        <v>593</v>
      </c>
      <c r="H605" s="32" t="s">
        <v>116</v>
      </c>
      <c r="I605" s="34" t="s">
        <v>116</v>
      </c>
      <c r="J605" s="34" t="s">
        <v>116</v>
      </c>
      <c r="K605" s="35" t="s">
        <v>116</v>
      </c>
      <c r="L605" s="34" t="s">
        <v>116</v>
      </c>
      <c r="M605" s="31" t="s">
        <v>1262</v>
      </c>
      <c r="N605" s="31" t="s">
        <v>641</v>
      </c>
      <c r="O605" s="31" t="s">
        <v>4</v>
      </c>
      <c r="P605" s="31" t="s">
        <v>3</v>
      </c>
      <c r="Q605" s="36" t="s">
        <v>1263</v>
      </c>
    </row>
    <row r="606" spans="1:17" x14ac:dyDescent="0.2">
      <c r="A606" s="30" t="e">
        <f>RANK(B606,$B$2:$B$551,1)</f>
        <v>#N/A</v>
      </c>
      <c r="B606" s="46">
        <f>AVERAGE(G606,I606,J606)</f>
        <v>297.5</v>
      </c>
      <c r="C606" s="31" t="s">
        <v>1322</v>
      </c>
      <c r="D606" s="66">
        <v>34.0798940834908</v>
      </c>
      <c r="E606" s="66">
        <v>0</v>
      </c>
      <c r="F606" s="66">
        <v>640.34235858763805</v>
      </c>
      <c r="G606" s="33">
        <v>579</v>
      </c>
      <c r="H606" s="32">
        <v>118.06</v>
      </c>
      <c r="I606" s="34">
        <v>16</v>
      </c>
      <c r="J606" s="34" t="s">
        <v>116</v>
      </c>
      <c r="K606" s="35" t="s">
        <v>116</v>
      </c>
      <c r="L606" s="34" t="s">
        <v>116</v>
      </c>
      <c r="M606" s="31" t="s">
        <v>1323</v>
      </c>
      <c r="N606" s="31" t="s">
        <v>650</v>
      </c>
      <c r="O606" s="31" t="s">
        <v>4</v>
      </c>
      <c r="P606" s="31" t="s">
        <v>3</v>
      </c>
      <c r="Q606" s="36" t="s">
        <v>1254</v>
      </c>
    </row>
    <row r="607" spans="1:17" x14ac:dyDescent="0.2">
      <c r="A607" s="30" t="e">
        <f>RANK(B607,$B$2:$B$551,1)</f>
        <v>#N/A</v>
      </c>
      <c r="B607" s="46">
        <f>AVERAGE(G607,I607,J607)</f>
        <v>292</v>
      </c>
      <c r="C607" s="31" t="s">
        <v>1287</v>
      </c>
      <c r="D607" s="66">
        <v>27.944832369942201</v>
      </c>
      <c r="E607" s="66">
        <v>3</v>
      </c>
      <c r="F607" s="66">
        <v>540.86684733083996</v>
      </c>
      <c r="G607" s="33">
        <v>564</v>
      </c>
      <c r="H607" s="32">
        <v>117.92</v>
      </c>
      <c r="I607" s="34">
        <v>20</v>
      </c>
      <c r="J607" s="34" t="s">
        <v>116</v>
      </c>
      <c r="K607" s="35" t="s">
        <v>116</v>
      </c>
      <c r="L607" s="34" t="s">
        <v>116</v>
      </c>
      <c r="M607" s="31" t="s">
        <v>1288</v>
      </c>
      <c r="N607" s="31" t="s">
        <v>650</v>
      </c>
      <c r="O607" s="31" t="s">
        <v>4</v>
      </c>
      <c r="P607" s="31" t="s">
        <v>3</v>
      </c>
      <c r="Q607" s="36" t="s">
        <v>1254</v>
      </c>
    </row>
    <row r="608" spans="1:17" x14ac:dyDescent="0.2">
      <c r="A608" s="30" t="e">
        <f>RANK(B608,$B$2:$B$551,1)</f>
        <v>#N/A</v>
      </c>
      <c r="B608" s="46">
        <f>AVERAGE(G608,I608,J608)</f>
        <v>306</v>
      </c>
      <c r="C608" s="31" t="s">
        <v>1297</v>
      </c>
      <c r="D608" s="66">
        <v>35.051617198155498</v>
      </c>
      <c r="E608" s="66">
        <v>0</v>
      </c>
      <c r="F608" s="66">
        <v>272.67053311600301</v>
      </c>
      <c r="G608" s="33">
        <v>425</v>
      </c>
      <c r="H608" s="32">
        <v>116.39</v>
      </c>
      <c r="I608" s="34">
        <v>187</v>
      </c>
      <c r="J608" s="34" t="s">
        <v>116</v>
      </c>
      <c r="K608" s="35" t="s">
        <v>116</v>
      </c>
      <c r="L608" s="34" t="s">
        <v>116</v>
      </c>
      <c r="M608" s="31" t="s">
        <v>1298</v>
      </c>
      <c r="N608" s="31" t="s">
        <v>140</v>
      </c>
      <c r="O608" s="31" t="s">
        <v>4</v>
      </c>
      <c r="P608" s="31" t="s">
        <v>3</v>
      </c>
      <c r="Q608" s="36" t="s">
        <v>1254</v>
      </c>
    </row>
    <row r="609" spans="1:17" x14ac:dyDescent="0.2">
      <c r="A609" s="30" t="e">
        <f>RANK(B609,$B$2:$B$551,1)</f>
        <v>#N/A</v>
      </c>
      <c r="B609" s="46">
        <f>AVERAGE(G609,I609,J609)</f>
        <v>461.5</v>
      </c>
      <c r="C609" s="31" t="s">
        <v>1316</v>
      </c>
      <c r="D609" s="66">
        <v>70.994644723093003</v>
      </c>
      <c r="E609" s="66">
        <v>0</v>
      </c>
      <c r="F609" s="66">
        <v>644.31651923854804</v>
      </c>
      <c r="G609" s="33">
        <v>473</v>
      </c>
      <c r="H609" s="32">
        <v>114.52</v>
      </c>
      <c r="I609" s="34">
        <v>450</v>
      </c>
      <c r="J609" s="34" t="s">
        <v>116</v>
      </c>
      <c r="K609" s="35" t="s">
        <v>116</v>
      </c>
      <c r="L609" s="34" t="s">
        <v>116</v>
      </c>
      <c r="M609" s="31" t="s">
        <v>1317</v>
      </c>
      <c r="N609" s="31" t="s">
        <v>29</v>
      </c>
      <c r="O609" s="31" t="s">
        <v>4</v>
      </c>
      <c r="P609" s="31" t="s">
        <v>3</v>
      </c>
      <c r="Q609" s="36" t="s">
        <v>1254</v>
      </c>
    </row>
    <row r="610" spans="1:17" x14ac:dyDescent="0.2">
      <c r="A610" s="30" t="e">
        <f>RANK(B610,$B$2:$B$551,1)</f>
        <v>#N/A</v>
      </c>
      <c r="B610" s="46">
        <f>AVERAGE(G610,I610,J610)</f>
        <v>282</v>
      </c>
      <c r="C610" s="31" t="s">
        <v>1324</v>
      </c>
      <c r="D610" s="66">
        <v>61.334285714285699</v>
      </c>
      <c r="E610" s="66">
        <v>0</v>
      </c>
      <c r="F610" s="66">
        <v>930.59320977065101</v>
      </c>
      <c r="G610" s="33">
        <v>559</v>
      </c>
      <c r="H610" s="32">
        <v>118.96</v>
      </c>
      <c r="I610" s="34">
        <v>5</v>
      </c>
      <c r="J610" s="34" t="s">
        <v>116</v>
      </c>
      <c r="K610" s="35" t="s">
        <v>116</v>
      </c>
      <c r="L610" s="34" t="s">
        <v>116</v>
      </c>
      <c r="M610" s="31" t="s">
        <v>1325</v>
      </c>
      <c r="N610" s="31" t="s">
        <v>32</v>
      </c>
      <c r="O610" s="31" t="s">
        <v>4</v>
      </c>
      <c r="P610" s="31" t="s">
        <v>3</v>
      </c>
      <c r="Q610" s="36" t="s">
        <v>1254</v>
      </c>
    </row>
    <row r="611" spans="1:17" x14ac:dyDescent="0.2">
      <c r="A611" s="30" t="e">
        <f>RANK(B611,$B$2:$B$551,1)</f>
        <v>#N/A</v>
      </c>
      <c r="B611" s="46">
        <f>AVERAGE(G611,I611,J611)</f>
        <v>246</v>
      </c>
      <c r="C611" s="31" t="s">
        <v>1359</v>
      </c>
      <c r="D611" s="66">
        <v>69</v>
      </c>
      <c r="E611" s="66">
        <v>0</v>
      </c>
      <c r="F611" s="66">
        <v>636.41017241379302</v>
      </c>
      <c r="G611" s="33">
        <v>477</v>
      </c>
      <c r="H611" s="32">
        <v>118.1</v>
      </c>
      <c r="I611" s="34">
        <v>15</v>
      </c>
      <c r="J611" s="34" t="s">
        <v>116</v>
      </c>
      <c r="K611" s="35" t="s">
        <v>116</v>
      </c>
      <c r="L611" s="34" t="s">
        <v>116</v>
      </c>
      <c r="M611" s="31" t="s">
        <v>1360</v>
      </c>
      <c r="N611" s="31" t="s">
        <v>339</v>
      </c>
      <c r="O611" s="31" t="s">
        <v>4</v>
      </c>
      <c r="P611" s="31" t="s">
        <v>3</v>
      </c>
      <c r="Q611" s="36" t="s">
        <v>1254</v>
      </c>
    </row>
    <row r="612" spans="1:17" x14ac:dyDescent="0.2">
      <c r="A612" s="30" t="e">
        <f>RANK(B612,$B$2:$B$551,1)</f>
        <v>#N/A</v>
      </c>
      <c r="B612" s="46">
        <f>AVERAGE(G612,I612,J612)</f>
        <v>610</v>
      </c>
      <c r="C612" s="31" t="s">
        <v>1277</v>
      </c>
      <c r="D612" s="66">
        <v>1.01754385964912</v>
      </c>
      <c r="E612" s="66">
        <v>1.01754385964912</v>
      </c>
      <c r="F612" s="66">
        <v>421.55847953216301</v>
      </c>
      <c r="G612" s="33">
        <v>610</v>
      </c>
      <c r="H612" s="32" t="s">
        <v>116</v>
      </c>
      <c r="I612" s="34" t="s">
        <v>116</v>
      </c>
      <c r="J612" s="34" t="s">
        <v>116</v>
      </c>
      <c r="K612" s="35" t="s">
        <v>116</v>
      </c>
      <c r="L612" s="34" t="s">
        <v>116</v>
      </c>
      <c r="M612" s="31" t="s">
        <v>1278</v>
      </c>
      <c r="N612" s="31" t="s">
        <v>339</v>
      </c>
      <c r="O612" s="31" t="s">
        <v>4</v>
      </c>
      <c r="P612" s="31" t="s">
        <v>3</v>
      </c>
      <c r="Q612" s="36" t="s">
        <v>1263</v>
      </c>
    </row>
    <row r="613" spans="1:17" x14ac:dyDescent="0.2">
      <c r="A613" s="30" t="e">
        <f>RANK(B613,$B$2:$B$551,1)</f>
        <v>#N/A</v>
      </c>
      <c r="B613" s="46">
        <f>AVERAGE(G613,I613,J613)</f>
        <v>315</v>
      </c>
      <c r="C613" s="31" t="s">
        <v>1305</v>
      </c>
      <c r="D613" s="66">
        <v>90.141811270125203</v>
      </c>
      <c r="E613" s="66">
        <v>7.3546511627906996</v>
      </c>
      <c r="F613" s="66">
        <v>692.67878844711197</v>
      </c>
      <c r="G613" s="33">
        <v>357</v>
      </c>
      <c r="H613" s="32">
        <v>115.9</v>
      </c>
      <c r="I613" s="34">
        <v>273</v>
      </c>
      <c r="J613" s="34" t="s">
        <v>116</v>
      </c>
      <c r="K613" s="35" t="s">
        <v>116</v>
      </c>
      <c r="L613" s="34" t="s">
        <v>116</v>
      </c>
      <c r="M613" s="31" t="s">
        <v>1306</v>
      </c>
      <c r="N613" s="31" t="s">
        <v>13</v>
      </c>
      <c r="O613" s="31" t="s">
        <v>4</v>
      </c>
      <c r="P613" s="31" t="s">
        <v>3</v>
      </c>
      <c r="Q613" s="36" t="s">
        <v>1254</v>
      </c>
    </row>
  </sheetData>
  <autoFilter ref="A1:R613">
    <sortState ref="A2:AQ613">
      <sortCondition ref="A1:A613"/>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showGridLines="0" zoomScaleNormal="100" workbookViewId="0">
      <selection activeCell="J13" sqref="J13"/>
    </sheetView>
  </sheetViews>
  <sheetFormatPr defaultRowHeight="15" x14ac:dyDescent="0.25"/>
  <cols>
    <col min="1" max="1" width="18.140625" style="1" customWidth="1"/>
    <col min="2" max="2" width="73.28515625" style="1" customWidth="1"/>
  </cols>
  <sheetData>
    <row r="1" spans="1:13" x14ac:dyDescent="0.25">
      <c r="A1" s="10" t="s">
        <v>1173</v>
      </c>
      <c r="B1" s="11"/>
      <c r="C1" s="11"/>
      <c r="D1" s="11"/>
      <c r="E1" s="5"/>
      <c r="F1" s="2"/>
      <c r="G1" s="2"/>
      <c r="H1" s="2"/>
      <c r="I1" s="2"/>
      <c r="J1" s="2"/>
      <c r="K1" s="2"/>
      <c r="L1" s="2"/>
      <c r="M1" s="2"/>
    </row>
    <row r="2" spans="1:13" ht="24" customHeight="1" x14ac:dyDescent="0.25">
      <c r="A2" s="56" t="s">
        <v>1373</v>
      </c>
      <c r="B2" s="56"/>
      <c r="C2" s="11"/>
      <c r="D2" s="11"/>
      <c r="E2" s="5"/>
      <c r="F2" s="2"/>
      <c r="G2" s="2"/>
      <c r="H2" s="2"/>
      <c r="I2" s="2"/>
      <c r="J2" s="2"/>
      <c r="K2" s="2"/>
      <c r="L2" s="2"/>
      <c r="M2" s="2"/>
    </row>
    <row r="3" spans="1:13" x14ac:dyDescent="0.25">
      <c r="A3" s="10"/>
      <c r="B3" s="11"/>
      <c r="C3" s="11"/>
      <c r="D3" s="11"/>
      <c r="E3" s="5"/>
      <c r="F3" s="2"/>
      <c r="G3" s="2"/>
      <c r="H3" s="2"/>
      <c r="I3" s="2"/>
      <c r="J3" s="2"/>
      <c r="K3" s="2"/>
      <c r="L3" s="2"/>
      <c r="M3" s="2"/>
    </row>
    <row r="4" spans="1:13" ht="29.25" customHeight="1" x14ac:dyDescent="0.25">
      <c r="A4" s="56" t="s">
        <v>1211</v>
      </c>
      <c r="B4" s="56"/>
      <c r="C4" s="12"/>
      <c r="D4" s="12"/>
      <c r="E4" s="3"/>
      <c r="F4" s="3"/>
      <c r="G4" s="3"/>
      <c r="H4" s="3"/>
      <c r="I4" s="3"/>
      <c r="J4" s="3"/>
      <c r="K4" s="3"/>
      <c r="L4" s="3"/>
      <c r="M4" s="3"/>
    </row>
    <row r="5" spans="1:13" ht="21.75" customHeight="1" x14ac:dyDescent="0.25">
      <c r="A5" s="56"/>
      <c r="B5" s="56"/>
      <c r="C5" s="12"/>
      <c r="D5" s="12"/>
      <c r="E5" s="3"/>
      <c r="F5" s="3"/>
      <c r="G5" s="3"/>
      <c r="H5" s="3"/>
      <c r="I5" s="3"/>
      <c r="J5" s="3"/>
      <c r="K5" s="3"/>
      <c r="L5" s="3"/>
      <c r="M5" s="3"/>
    </row>
    <row r="6" spans="1:13" ht="12.75" customHeight="1" x14ac:dyDescent="0.25">
      <c r="A6" s="12"/>
      <c r="B6" s="12"/>
      <c r="C6" s="12"/>
      <c r="D6" s="12"/>
      <c r="E6" s="3"/>
      <c r="F6" s="3"/>
      <c r="G6" s="3"/>
      <c r="H6" s="3"/>
      <c r="I6" s="3"/>
      <c r="J6" s="3"/>
      <c r="K6" s="3"/>
      <c r="L6" s="3"/>
      <c r="M6" s="2"/>
    </row>
    <row r="7" spans="1:13" ht="15" customHeight="1" x14ac:dyDescent="0.25">
      <c r="A7" s="56" t="s">
        <v>1212</v>
      </c>
      <c r="B7" s="56"/>
      <c r="C7" s="56"/>
      <c r="D7" s="56"/>
      <c r="E7" s="7"/>
      <c r="F7" s="3"/>
      <c r="G7" s="3"/>
      <c r="H7" s="3"/>
      <c r="I7" s="3"/>
      <c r="J7" s="3"/>
      <c r="K7" s="3"/>
      <c r="L7" s="3"/>
      <c r="M7" s="2"/>
    </row>
    <row r="8" spans="1:13" ht="15" customHeight="1" x14ac:dyDescent="0.25">
      <c r="A8" s="57" t="s">
        <v>1174</v>
      </c>
      <c r="B8" s="57"/>
      <c r="C8" s="12"/>
      <c r="D8" s="12"/>
      <c r="E8" s="3"/>
      <c r="F8" s="3"/>
      <c r="G8" s="3"/>
      <c r="H8" s="3"/>
      <c r="I8" s="3"/>
      <c r="J8" s="3"/>
      <c r="K8" s="3"/>
      <c r="L8" s="3"/>
      <c r="M8" s="2"/>
    </row>
    <row r="9" spans="1:13" ht="9" customHeight="1" x14ac:dyDescent="0.25">
      <c r="A9" s="12"/>
      <c r="B9" s="12"/>
      <c r="C9" s="12"/>
      <c r="D9" s="12"/>
      <c r="E9" s="3"/>
      <c r="F9" s="3"/>
      <c r="G9" s="3"/>
      <c r="H9" s="3"/>
      <c r="I9" s="3"/>
      <c r="J9" s="3"/>
      <c r="K9" s="3"/>
      <c r="L9" s="3"/>
      <c r="M9" s="2"/>
    </row>
    <row r="10" spans="1:13" ht="15" customHeight="1" x14ac:dyDescent="0.25">
      <c r="A10" s="56" t="s">
        <v>1213</v>
      </c>
      <c r="B10" s="56"/>
      <c r="C10" s="56"/>
      <c r="D10" s="56"/>
      <c r="E10" s="54"/>
      <c r="F10" s="55"/>
      <c r="G10" s="54"/>
      <c r="H10" s="55"/>
      <c r="I10" s="54"/>
      <c r="J10" s="55"/>
      <c r="K10" s="3"/>
      <c r="L10" s="3"/>
      <c r="M10" s="2"/>
    </row>
    <row r="11" spans="1:13" ht="8.25" customHeight="1" x14ac:dyDescent="0.25">
      <c r="A11" s="12"/>
      <c r="B11" s="12"/>
      <c r="C11" s="12"/>
      <c r="D11" s="12"/>
      <c r="E11" s="6"/>
      <c r="F11" s="2"/>
      <c r="G11" s="2"/>
      <c r="H11" s="2"/>
      <c r="I11" s="2"/>
      <c r="J11" s="2"/>
      <c r="K11" s="2"/>
      <c r="L11" s="2"/>
      <c r="M11" s="2"/>
    </row>
    <row r="12" spans="1:13" ht="16.5" customHeight="1" x14ac:dyDescent="0.25">
      <c r="A12" s="60" t="s">
        <v>1175</v>
      </c>
      <c r="B12" s="60"/>
      <c r="C12" s="11"/>
      <c r="D12" s="11"/>
      <c r="E12" s="5"/>
      <c r="F12" s="2"/>
      <c r="G12" s="2"/>
      <c r="H12" s="2"/>
      <c r="I12" s="2"/>
      <c r="J12" s="2"/>
      <c r="K12" s="2"/>
      <c r="L12" s="2"/>
      <c r="M12" s="2"/>
    </row>
    <row r="13" spans="1:13" ht="72.75" customHeight="1" x14ac:dyDescent="0.25">
      <c r="A13" s="56" t="s">
        <v>1214</v>
      </c>
      <c r="B13" s="56"/>
      <c r="C13" s="12"/>
      <c r="D13" s="12"/>
      <c r="E13" s="3"/>
      <c r="F13" s="3"/>
      <c r="G13" s="3"/>
      <c r="H13" s="3"/>
      <c r="I13" s="3"/>
      <c r="J13" s="3"/>
      <c r="K13" s="3"/>
      <c r="L13" s="3"/>
      <c r="M13" s="3"/>
    </row>
    <row r="14" spans="1:13" ht="48" customHeight="1" x14ac:dyDescent="0.25">
      <c r="A14" s="56" t="s">
        <v>1249</v>
      </c>
      <c r="B14" s="56"/>
      <c r="C14" s="12"/>
      <c r="D14" s="12"/>
      <c r="E14" s="8"/>
      <c r="F14" s="8"/>
      <c r="G14" s="8"/>
      <c r="H14" s="8"/>
      <c r="I14" s="8"/>
      <c r="J14" s="8"/>
      <c r="K14" s="8"/>
      <c r="L14" s="8"/>
      <c r="M14" s="8"/>
    </row>
    <row r="15" spans="1:13" ht="15" customHeight="1" x14ac:dyDescent="0.25">
      <c r="A15" s="58" t="s">
        <v>1215</v>
      </c>
      <c r="B15" s="58"/>
      <c r="C15" s="12"/>
      <c r="D15" s="12"/>
      <c r="E15" s="3"/>
      <c r="F15" s="3"/>
      <c r="G15" s="3"/>
      <c r="H15" s="3"/>
      <c r="I15" s="3"/>
      <c r="J15" s="3"/>
      <c r="K15" s="3"/>
      <c r="L15" s="3"/>
      <c r="M15" s="3"/>
    </row>
    <row r="16" spans="1:13" ht="15" customHeight="1" x14ac:dyDescent="0.25">
      <c r="A16" s="13"/>
      <c r="B16" s="12"/>
      <c r="C16" s="12"/>
      <c r="D16" s="12"/>
      <c r="E16" s="8"/>
      <c r="F16" s="8"/>
      <c r="G16" s="8"/>
      <c r="H16" s="8"/>
      <c r="I16" s="8"/>
      <c r="J16" s="8"/>
      <c r="K16" s="8"/>
      <c r="L16" s="8"/>
      <c r="M16" s="8"/>
    </row>
    <row r="17" spans="1:13" ht="18.75" customHeight="1" x14ac:dyDescent="0.25">
      <c r="A17" s="61" t="s">
        <v>1183</v>
      </c>
      <c r="B17" s="61"/>
      <c r="C17" s="12"/>
      <c r="D17" s="12"/>
      <c r="E17" s="8"/>
      <c r="F17" s="8"/>
      <c r="G17" s="8"/>
      <c r="H17" s="8"/>
      <c r="I17" s="8"/>
      <c r="J17" s="8"/>
      <c r="K17" s="8"/>
      <c r="L17" s="8"/>
      <c r="M17" s="8"/>
    </row>
    <row r="18" spans="1:13" ht="6.75" customHeight="1" x14ac:dyDescent="0.25">
      <c r="A18"/>
      <c r="B18"/>
      <c r="C18" s="12"/>
      <c r="D18" s="12"/>
      <c r="E18" s="8"/>
      <c r="F18" s="9"/>
      <c r="G18" s="8"/>
      <c r="H18" s="8"/>
      <c r="I18" s="8"/>
      <c r="J18" s="8"/>
      <c r="K18" s="8"/>
      <c r="L18" s="8"/>
      <c r="M18" s="8"/>
    </row>
    <row r="19" spans="1:13" ht="33.75" customHeight="1" x14ac:dyDescent="0.25">
      <c r="A19" s="56" t="s">
        <v>1216</v>
      </c>
      <c r="B19" s="56"/>
      <c r="C19" s="14"/>
      <c r="D19" s="14"/>
      <c r="E19" s="2"/>
      <c r="F19" s="2"/>
      <c r="G19" s="2"/>
      <c r="H19" s="2"/>
      <c r="I19" s="2"/>
      <c r="J19" s="2"/>
      <c r="K19" s="2"/>
      <c r="L19" s="2"/>
      <c r="M19" s="2"/>
    </row>
    <row r="20" spans="1:13" ht="33.75" customHeight="1" x14ac:dyDescent="0.25">
      <c r="A20" s="56" t="s">
        <v>1217</v>
      </c>
      <c r="B20" s="56"/>
      <c r="C20" s="14"/>
      <c r="D20" s="14"/>
      <c r="E20" s="2"/>
      <c r="F20" s="2"/>
      <c r="G20" s="2"/>
      <c r="H20" s="2"/>
      <c r="I20" s="2"/>
      <c r="J20" s="2"/>
      <c r="K20" s="2"/>
      <c r="L20" s="2"/>
      <c r="M20" s="2"/>
    </row>
    <row r="21" spans="1:13" ht="37.5" customHeight="1" x14ac:dyDescent="0.3">
      <c r="A21" s="60" t="s">
        <v>1176</v>
      </c>
      <c r="B21" s="60"/>
      <c r="C21" s="11"/>
      <c r="D21" s="11"/>
      <c r="E21" s="5"/>
      <c r="F21" s="2"/>
      <c r="G21" s="2"/>
      <c r="H21" s="2"/>
      <c r="I21" s="2"/>
      <c r="J21" s="2"/>
      <c r="K21" s="2"/>
      <c r="L21" s="2"/>
      <c r="M21" s="2"/>
    </row>
    <row r="22" spans="1:13" ht="33" customHeight="1" x14ac:dyDescent="0.3">
      <c r="A22" s="56" t="s">
        <v>1251</v>
      </c>
      <c r="B22" s="56"/>
      <c r="C22" s="56"/>
      <c r="D22" s="56"/>
      <c r="E22" s="54"/>
      <c r="F22" s="55"/>
      <c r="G22" s="54"/>
      <c r="H22" s="55"/>
      <c r="I22" s="54"/>
      <c r="J22" s="55"/>
      <c r="K22" s="54"/>
      <c r="L22" s="55"/>
      <c r="M22" s="4"/>
    </row>
    <row r="23" spans="1:13" ht="8.25" customHeight="1" x14ac:dyDescent="0.3">
      <c r="A23" s="12"/>
      <c r="B23" s="12"/>
      <c r="C23" s="12"/>
      <c r="D23" s="12"/>
      <c r="E23" s="3"/>
      <c r="F23" s="2"/>
      <c r="G23" s="2"/>
      <c r="H23" s="2"/>
      <c r="I23" s="2"/>
      <c r="J23" s="2"/>
      <c r="K23" s="2"/>
      <c r="L23" s="2"/>
      <c r="M23" s="2"/>
    </row>
    <row r="24" spans="1:13" ht="29.25" customHeight="1" x14ac:dyDescent="0.3">
      <c r="A24" s="56" t="s">
        <v>1218</v>
      </c>
      <c r="B24" s="56"/>
      <c r="C24" s="56"/>
      <c r="D24" s="56"/>
      <c r="E24" s="54"/>
      <c r="F24" s="55"/>
      <c r="G24" s="54"/>
      <c r="H24" s="55"/>
      <c r="I24" s="54"/>
      <c r="J24" s="55"/>
      <c r="K24" s="54"/>
      <c r="L24" s="55"/>
      <c r="M24" s="4"/>
    </row>
    <row r="25" spans="1:13" x14ac:dyDescent="0.25">
      <c r="A25" s="63" t="s">
        <v>1177</v>
      </c>
      <c r="B25" s="63"/>
      <c r="C25" s="11"/>
      <c r="D25" s="11"/>
      <c r="E25" s="5"/>
      <c r="F25" s="2"/>
      <c r="G25" s="2"/>
      <c r="H25" s="2"/>
      <c r="I25" s="2"/>
      <c r="J25" s="2"/>
      <c r="K25" s="2"/>
      <c r="L25" s="2"/>
      <c r="M25" s="2"/>
    </row>
    <row r="26" spans="1:13" x14ac:dyDescent="0.25">
      <c r="A26" s="15"/>
      <c r="B26" s="11"/>
      <c r="C26" s="11"/>
      <c r="D26" s="11"/>
      <c r="E26" s="5"/>
      <c r="F26" s="2"/>
      <c r="G26" s="2"/>
      <c r="H26" s="2"/>
      <c r="I26" s="2"/>
      <c r="J26" s="2"/>
      <c r="K26" s="2"/>
      <c r="L26" s="2"/>
      <c r="M26" s="2"/>
    </row>
    <row r="27" spans="1:13" x14ac:dyDescent="0.25">
      <c r="A27" s="62" t="s">
        <v>1219</v>
      </c>
      <c r="B27" s="62"/>
      <c r="C27" s="12"/>
      <c r="D27" s="11"/>
      <c r="E27" s="5"/>
      <c r="F27" s="2"/>
      <c r="G27" s="2"/>
      <c r="H27" s="2"/>
      <c r="I27" s="2"/>
      <c r="J27" s="2"/>
      <c r="K27" s="2"/>
      <c r="L27" s="2"/>
      <c r="M27" s="2"/>
    </row>
    <row r="28" spans="1:13" x14ac:dyDescent="0.25">
      <c r="A28" s="56" t="s">
        <v>1220</v>
      </c>
      <c r="B28" s="56"/>
      <c r="C28" s="56"/>
      <c r="D28" s="56"/>
      <c r="E28" s="54"/>
      <c r="F28" s="55"/>
      <c r="G28" s="54"/>
      <c r="H28" s="55"/>
      <c r="I28" s="54"/>
      <c r="J28" s="55"/>
      <c r="K28" s="54"/>
      <c r="L28" s="55"/>
      <c r="M28" s="4"/>
    </row>
    <row r="29" spans="1:13" x14ac:dyDescent="0.25">
      <c r="A29" s="56" t="s">
        <v>1221</v>
      </c>
      <c r="B29" s="56"/>
      <c r="C29" s="56"/>
      <c r="D29" s="14"/>
      <c r="E29" s="2"/>
      <c r="F29" s="2"/>
      <c r="G29" s="2"/>
      <c r="H29" s="2"/>
      <c r="I29" s="2"/>
      <c r="J29" s="2"/>
      <c r="K29" s="2"/>
      <c r="L29" s="2"/>
      <c r="M29" s="2"/>
    </row>
    <row r="30" spans="1:13" x14ac:dyDescent="0.25">
      <c r="A30" s="56" t="s">
        <v>1222</v>
      </c>
      <c r="B30" s="56"/>
      <c r="C30" s="56"/>
      <c r="D30" s="14"/>
      <c r="E30" s="2"/>
      <c r="F30" s="2"/>
      <c r="G30" s="2"/>
      <c r="H30" s="2"/>
      <c r="I30" s="2"/>
      <c r="J30" s="2"/>
      <c r="K30" s="2"/>
      <c r="L30" s="2"/>
      <c r="M30" s="2"/>
    </row>
    <row r="31" spans="1:13" x14ac:dyDescent="0.25">
      <c r="A31" s="53" t="s">
        <v>1178</v>
      </c>
      <c r="B31" s="53"/>
      <c r="C31" s="12"/>
      <c r="D31" s="14"/>
      <c r="E31" s="2"/>
      <c r="F31" s="2"/>
      <c r="G31" s="2"/>
      <c r="H31" s="2"/>
      <c r="I31" s="2"/>
      <c r="J31" s="2"/>
      <c r="K31" s="2"/>
      <c r="L31" s="2"/>
      <c r="M31" s="2"/>
    </row>
    <row r="32" spans="1:13" x14ac:dyDescent="0.25">
      <c r="A32" s="16"/>
      <c r="B32" s="12"/>
      <c r="C32" s="12"/>
      <c r="D32" s="14"/>
      <c r="E32" s="2"/>
      <c r="F32" s="2"/>
      <c r="G32" s="2"/>
      <c r="H32" s="2"/>
      <c r="I32" s="2"/>
      <c r="J32" s="2"/>
      <c r="K32" s="2"/>
      <c r="L32" s="2"/>
      <c r="M32" s="2"/>
    </row>
    <row r="33" spans="1:13" x14ac:dyDescent="0.25">
      <c r="A33" s="62" t="s">
        <v>1179</v>
      </c>
      <c r="B33" s="62"/>
      <c r="C33" s="12"/>
      <c r="D33" s="14"/>
      <c r="E33" s="2"/>
      <c r="F33" s="2"/>
      <c r="G33" s="2"/>
      <c r="H33" s="2"/>
      <c r="I33" s="2"/>
      <c r="J33" s="2"/>
      <c r="K33" s="2"/>
      <c r="L33" s="2"/>
      <c r="M33" s="2"/>
    </row>
    <row r="34" spans="1:13" x14ac:dyDescent="0.25">
      <c r="A34" s="58" t="s">
        <v>1180</v>
      </c>
      <c r="B34" s="58"/>
      <c r="C34" s="12"/>
      <c r="D34" s="14"/>
      <c r="E34" s="2"/>
      <c r="F34" s="2"/>
      <c r="G34" s="2"/>
      <c r="H34" s="2"/>
      <c r="I34" s="2"/>
      <c r="J34" s="2"/>
      <c r="K34" s="2"/>
      <c r="L34" s="2"/>
      <c r="M34" s="2"/>
    </row>
    <row r="35" spans="1:13" ht="15.75" thickBot="1" x14ac:dyDescent="0.3">
      <c r="A35" s="13"/>
      <c r="B35" s="17"/>
      <c r="C35" s="12"/>
      <c r="D35" s="14"/>
      <c r="E35" s="2"/>
      <c r="F35" s="2"/>
      <c r="G35" s="2"/>
      <c r="H35" s="2"/>
      <c r="I35" s="2"/>
      <c r="J35" s="2"/>
      <c r="K35" s="2"/>
      <c r="L35" s="2"/>
      <c r="M35" s="2"/>
    </row>
    <row r="36" spans="1:13" ht="15.75" thickBot="1" x14ac:dyDescent="0.3">
      <c r="A36" s="18" t="s">
        <v>1181</v>
      </c>
      <c r="B36" s="22" t="s">
        <v>1182</v>
      </c>
      <c r="C36" s="12"/>
      <c r="D36" s="14"/>
      <c r="E36" s="2"/>
      <c r="F36" s="2"/>
      <c r="G36" s="2"/>
      <c r="H36" s="2"/>
      <c r="I36" s="2"/>
      <c r="J36" s="2"/>
      <c r="K36" s="2"/>
      <c r="L36" s="2"/>
      <c r="M36" s="2"/>
    </row>
    <row r="37" spans="1:13" ht="23.25" thickBot="1" x14ac:dyDescent="0.3">
      <c r="A37" s="19" t="s">
        <v>1223</v>
      </c>
      <c r="B37" s="20" t="s">
        <v>1184</v>
      </c>
      <c r="C37" s="12"/>
      <c r="D37" s="14"/>
      <c r="E37" s="2"/>
      <c r="F37" s="2"/>
      <c r="G37" s="2"/>
      <c r="H37" s="2"/>
      <c r="I37" s="2"/>
      <c r="J37" s="2"/>
      <c r="K37" s="2"/>
      <c r="L37" s="2"/>
      <c r="M37" s="2"/>
    </row>
    <row r="38" spans="1:13" ht="15.75" thickBot="1" x14ac:dyDescent="0.3">
      <c r="A38" s="21" t="s">
        <v>1224</v>
      </c>
      <c r="B38" s="20" t="s">
        <v>1225</v>
      </c>
    </row>
    <row r="39" spans="1:13" ht="23.25" thickBot="1" x14ac:dyDescent="0.3">
      <c r="A39" s="21" t="s">
        <v>1166</v>
      </c>
      <c r="B39" s="20" t="s">
        <v>1226</v>
      </c>
    </row>
    <row r="40" spans="1:13" ht="15.75" thickBot="1" x14ac:dyDescent="0.3">
      <c r="A40" s="21" t="s">
        <v>1168</v>
      </c>
      <c r="B40" s="20" t="s">
        <v>1172</v>
      </c>
    </row>
    <row r="41" spans="1:13" ht="23.25" thickBot="1" x14ac:dyDescent="0.3">
      <c r="A41" s="21" t="s">
        <v>1227</v>
      </c>
      <c r="B41" s="20" t="s">
        <v>1228</v>
      </c>
    </row>
    <row r="42" spans="1:13" ht="23.25" thickBot="1" x14ac:dyDescent="0.3">
      <c r="A42" s="21" t="s">
        <v>1229</v>
      </c>
      <c r="B42" s="20" t="s">
        <v>1230</v>
      </c>
    </row>
    <row r="43" spans="1:13" ht="57" thickBot="1" x14ac:dyDescent="0.3">
      <c r="A43" s="21" t="s">
        <v>1231</v>
      </c>
      <c r="B43" s="20" t="s">
        <v>1232</v>
      </c>
    </row>
    <row r="44" spans="1:13" ht="23.25" thickBot="1" x14ac:dyDescent="0.3">
      <c r="A44" s="21" t="s">
        <v>1233</v>
      </c>
      <c r="B44" s="20" t="s">
        <v>1234</v>
      </c>
    </row>
    <row r="45" spans="1:13" ht="23.25" thickBot="1" x14ac:dyDescent="0.3">
      <c r="A45" s="21" t="s">
        <v>1235</v>
      </c>
      <c r="B45" s="20" t="s">
        <v>1236</v>
      </c>
    </row>
    <row r="46" spans="1:13" ht="23.25" thickBot="1" x14ac:dyDescent="0.3">
      <c r="A46" s="21" t="s">
        <v>1237</v>
      </c>
      <c r="B46" s="20" t="s">
        <v>1250</v>
      </c>
    </row>
    <row r="47" spans="1:13" ht="45.75" thickBot="1" x14ac:dyDescent="0.3">
      <c r="A47" s="21" t="s">
        <v>1238</v>
      </c>
      <c r="B47" s="20" t="s">
        <v>1239</v>
      </c>
    </row>
    <row r="48" spans="1:13" ht="79.5" thickBot="1" x14ac:dyDescent="0.3">
      <c r="A48" s="21" t="s">
        <v>1169</v>
      </c>
      <c r="B48" s="20" t="s">
        <v>1240</v>
      </c>
    </row>
    <row r="49" spans="1:2" ht="23.25" thickBot="1" x14ac:dyDescent="0.3">
      <c r="A49" s="21" t="s">
        <v>1241</v>
      </c>
      <c r="B49" s="20" t="s">
        <v>1242</v>
      </c>
    </row>
    <row r="50" spans="1:2" ht="79.5" thickBot="1" x14ac:dyDescent="0.3">
      <c r="A50" s="21" t="s">
        <v>1243</v>
      </c>
      <c r="B50" s="20" t="s">
        <v>1244</v>
      </c>
    </row>
    <row r="51" spans="1:2" ht="23.25" thickBot="1" x14ac:dyDescent="0.3">
      <c r="A51" s="21" t="s">
        <v>1245</v>
      </c>
      <c r="B51" s="20" t="s">
        <v>1246</v>
      </c>
    </row>
    <row r="52" spans="1:2" ht="23.25" thickBot="1" x14ac:dyDescent="0.3">
      <c r="A52" s="21" t="s">
        <v>1247</v>
      </c>
      <c r="B52" s="20" t="s">
        <v>1248</v>
      </c>
    </row>
    <row r="53" spans="1:2" x14ac:dyDescent="0.25">
      <c r="A53"/>
      <c r="B53"/>
    </row>
  </sheetData>
  <mergeCells count="43">
    <mergeCell ref="A34:B34"/>
    <mergeCell ref="A2:B2"/>
    <mergeCell ref="A12:B12"/>
    <mergeCell ref="A15:B15"/>
    <mergeCell ref="A17:B17"/>
    <mergeCell ref="A21:B21"/>
    <mergeCell ref="A4:B5"/>
    <mergeCell ref="A30:C30"/>
    <mergeCell ref="A29:C29"/>
    <mergeCell ref="A27:B27"/>
    <mergeCell ref="A28:B28"/>
    <mergeCell ref="C28:D28"/>
    <mergeCell ref="A24:B24"/>
    <mergeCell ref="C24:D24"/>
    <mergeCell ref="A25:B25"/>
    <mergeCell ref="A33:B33"/>
    <mergeCell ref="G10:H10"/>
    <mergeCell ref="I10:J10"/>
    <mergeCell ref="A14:B14"/>
    <mergeCell ref="A7:B7"/>
    <mergeCell ref="C7:D7"/>
    <mergeCell ref="A10:B10"/>
    <mergeCell ref="C10:D10"/>
    <mergeCell ref="E10:F10"/>
    <mergeCell ref="A8:B8"/>
    <mergeCell ref="A13:B13"/>
    <mergeCell ref="G22:H22"/>
    <mergeCell ref="I22:J22"/>
    <mergeCell ref="A19:B19"/>
    <mergeCell ref="A20:B20"/>
    <mergeCell ref="K22:L22"/>
    <mergeCell ref="A22:B22"/>
    <mergeCell ref="C22:D22"/>
    <mergeCell ref="E22:F22"/>
    <mergeCell ref="A31:B31"/>
    <mergeCell ref="K24:L24"/>
    <mergeCell ref="E28:F28"/>
    <mergeCell ref="G28:H28"/>
    <mergeCell ref="I28:J28"/>
    <mergeCell ref="K28:L28"/>
    <mergeCell ref="E24:F24"/>
    <mergeCell ref="G24:H24"/>
    <mergeCell ref="I24:J24"/>
  </mergeCells>
  <hyperlinks>
    <hyperlink ref="A8" r:id="rId1" display="http://codes.ohio.gov/orc/3302.2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topLeftCell="A43" workbookViewId="0">
      <selection activeCell="A54" sqref="A54"/>
    </sheetView>
  </sheetViews>
  <sheetFormatPr defaultRowHeight="15" x14ac:dyDescent="0.25"/>
  <cols>
    <col min="1" max="1" width="18.140625" style="1" customWidth="1"/>
    <col min="2" max="2" width="73.28515625" style="1" customWidth="1"/>
  </cols>
  <sheetData>
    <row r="1" spans="1:13" x14ac:dyDescent="0.25">
      <c r="A1" s="25" t="s">
        <v>1173</v>
      </c>
      <c r="B1" s="24"/>
      <c r="C1" s="24"/>
      <c r="D1" s="24"/>
      <c r="E1" s="5"/>
      <c r="F1" s="2"/>
      <c r="G1" s="2"/>
      <c r="H1" s="2"/>
      <c r="I1" s="2"/>
      <c r="J1" s="2"/>
      <c r="K1" s="2"/>
      <c r="L1" s="2"/>
      <c r="M1" s="2"/>
    </row>
    <row r="2" spans="1:13" x14ac:dyDescent="0.25">
      <c r="A2" s="59" t="s">
        <v>1210</v>
      </c>
      <c r="B2" s="59"/>
      <c r="C2" s="24"/>
      <c r="D2" s="24"/>
      <c r="E2" s="5"/>
      <c r="F2" s="2"/>
      <c r="G2" s="2"/>
      <c r="H2" s="2"/>
      <c r="I2" s="2"/>
      <c r="J2" s="2"/>
      <c r="K2" s="2"/>
      <c r="L2" s="2"/>
      <c r="M2" s="2"/>
    </row>
    <row r="3" spans="1:13" x14ac:dyDescent="0.25">
      <c r="A3" s="25"/>
      <c r="B3" s="24"/>
      <c r="C3" s="24"/>
      <c r="D3" s="24"/>
      <c r="E3" s="5"/>
      <c r="F3" s="2"/>
      <c r="G3" s="2"/>
      <c r="H3" s="2"/>
      <c r="I3" s="2"/>
      <c r="J3" s="2"/>
      <c r="K3" s="2"/>
      <c r="L3" s="2"/>
      <c r="M3" s="2"/>
    </row>
    <row r="4" spans="1:13" ht="29.25" customHeight="1" x14ac:dyDescent="0.25">
      <c r="A4" s="56" t="s">
        <v>1211</v>
      </c>
      <c r="B4" s="56"/>
      <c r="C4" s="27"/>
      <c r="D4" s="27"/>
      <c r="E4" s="8"/>
      <c r="F4" s="8"/>
      <c r="G4" s="8"/>
      <c r="H4" s="8"/>
      <c r="I4" s="8"/>
      <c r="J4" s="8"/>
      <c r="K4" s="8"/>
      <c r="L4" s="8"/>
      <c r="M4" s="8"/>
    </row>
    <row r="5" spans="1:13" ht="21.75" customHeight="1" x14ac:dyDescent="0.25">
      <c r="A5" s="56"/>
      <c r="B5" s="56"/>
      <c r="C5" s="27"/>
      <c r="D5" s="27"/>
      <c r="E5" s="8"/>
      <c r="F5" s="8"/>
      <c r="G5" s="8"/>
      <c r="H5" s="8"/>
      <c r="I5" s="8"/>
      <c r="J5" s="8"/>
      <c r="K5" s="8"/>
      <c r="L5" s="8"/>
      <c r="M5" s="8"/>
    </row>
    <row r="6" spans="1:13" ht="12.75" customHeight="1" x14ac:dyDescent="0.25">
      <c r="A6" s="27"/>
      <c r="B6" s="27"/>
      <c r="C6" s="27"/>
      <c r="D6" s="27"/>
      <c r="E6" s="8"/>
      <c r="F6" s="8"/>
      <c r="G6" s="8"/>
      <c r="H6" s="8"/>
      <c r="I6" s="8"/>
      <c r="J6" s="8"/>
      <c r="K6" s="8"/>
      <c r="L6" s="8"/>
      <c r="M6" s="2"/>
    </row>
    <row r="7" spans="1:13" ht="15" customHeight="1" x14ac:dyDescent="0.25">
      <c r="A7" s="56" t="s">
        <v>1212</v>
      </c>
      <c r="B7" s="56"/>
      <c r="C7" s="56"/>
      <c r="D7" s="56"/>
      <c r="E7" s="26"/>
      <c r="F7" s="8"/>
      <c r="G7" s="8"/>
      <c r="H7" s="8"/>
      <c r="I7" s="8"/>
      <c r="J7" s="8"/>
      <c r="K7" s="8"/>
      <c r="L7" s="8"/>
      <c r="M7" s="2"/>
    </row>
    <row r="8" spans="1:13" ht="15" customHeight="1" x14ac:dyDescent="0.25">
      <c r="A8" s="64" t="s">
        <v>1174</v>
      </c>
      <c r="B8" s="64"/>
      <c r="C8" s="27"/>
      <c r="D8" s="27"/>
      <c r="E8" s="8"/>
      <c r="F8" s="8"/>
      <c r="G8" s="8"/>
      <c r="H8" s="8"/>
      <c r="I8" s="8"/>
      <c r="J8" s="8"/>
      <c r="K8" s="8"/>
      <c r="L8" s="8"/>
      <c r="M8" s="2"/>
    </row>
    <row r="9" spans="1:13" ht="9" customHeight="1" x14ac:dyDescent="0.25">
      <c r="A9" s="27"/>
      <c r="B9" s="27"/>
      <c r="C9" s="27"/>
      <c r="D9" s="27"/>
      <c r="E9" s="8"/>
      <c r="F9" s="8"/>
      <c r="G9" s="8"/>
      <c r="H9" s="8"/>
      <c r="I9" s="8"/>
      <c r="J9" s="8"/>
      <c r="K9" s="8"/>
      <c r="L9" s="8"/>
      <c r="M9" s="2"/>
    </row>
    <row r="10" spans="1:13" ht="15" customHeight="1" x14ac:dyDescent="0.25">
      <c r="A10" s="56" t="s">
        <v>1213</v>
      </c>
      <c r="B10" s="56"/>
      <c r="C10" s="56"/>
      <c r="D10" s="56"/>
      <c r="E10" s="54"/>
      <c r="F10" s="55"/>
      <c r="G10" s="54"/>
      <c r="H10" s="55"/>
      <c r="I10" s="54"/>
      <c r="J10" s="55"/>
      <c r="K10" s="8"/>
      <c r="L10" s="8"/>
      <c r="M10" s="2"/>
    </row>
    <row r="11" spans="1:13" ht="8.25" customHeight="1" x14ac:dyDescent="0.25">
      <c r="A11" s="27"/>
      <c r="B11" s="27"/>
      <c r="C11" s="27"/>
      <c r="D11" s="27"/>
      <c r="E11" s="6"/>
      <c r="F11" s="2"/>
      <c r="G11" s="2"/>
      <c r="H11" s="2"/>
      <c r="I11" s="2"/>
      <c r="J11" s="2"/>
      <c r="K11" s="2"/>
      <c r="L11" s="2"/>
      <c r="M11" s="2"/>
    </row>
    <row r="12" spans="1:13" ht="16.5" customHeight="1" x14ac:dyDescent="0.25">
      <c r="A12" s="60" t="s">
        <v>1175</v>
      </c>
      <c r="B12" s="60"/>
      <c r="C12" s="24"/>
      <c r="D12" s="24"/>
      <c r="E12" s="5"/>
      <c r="F12" s="2"/>
      <c r="G12" s="2"/>
      <c r="H12" s="2"/>
      <c r="I12" s="2"/>
      <c r="J12" s="2"/>
      <c r="K12" s="2"/>
      <c r="L12" s="2"/>
      <c r="M12" s="2"/>
    </row>
    <row r="13" spans="1:13" ht="72.75" customHeight="1" x14ac:dyDescent="0.25">
      <c r="A13" s="56" t="s">
        <v>1214</v>
      </c>
      <c r="B13" s="56"/>
      <c r="C13" s="27"/>
      <c r="D13" s="27"/>
      <c r="E13" s="8"/>
      <c r="F13" s="8"/>
      <c r="G13" s="8"/>
      <c r="H13" s="8"/>
      <c r="I13" s="8"/>
      <c r="J13" s="8"/>
      <c r="K13" s="8"/>
      <c r="L13" s="8"/>
      <c r="M13" s="8"/>
    </row>
    <row r="14" spans="1:13" ht="48" customHeight="1" x14ac:dyDescent="0.25">
      <c r="A14" s="56" t="s">
        <v>1249</v>
      </c>
      <c r="B14" s="56"/>
      <c r="C14" s="27"/>
      <c r="D14" s="27"/>
      <c r="E14" s="8"/>
      <c r="F14" s="8"/>
      <c r="G14" s="8"/>
      <c r="H14" s="8"/>
      <c r="I14" s="8"/>
      <c r="J14" s="8"/>
      <c r="K14" s="8"/>
      <c r="L14" s="8"/>
      <c r="M14" s="8"/>
    </row>
    <row r="15" spans="1:13" ht="15" customHeight="1" x14ac:dyDescent="0.25">
      <c r="A15" s="58" t="s">
        <v>1215</v>
      </c>
      <c r="B15" s="58"/>
      <c r="C15" s="27"/>
      <c r="D15" s="27"/>
      <c r="E15" s="8"/>
      <c r="F15" s="8"/>
      <c r="G15" s="8"/>
      <c r="H15" s="8"/>
      <c r="I15" s="8"/>
      <c r="J15" s="8"/>
      <c r="K15" s="8"/>
      <c r="L15" s="8"/>
      <c r="M15" s="8"/>
    </row>
    <row r="16" spans="1:13" ht="15" customHeight="1" x14ac:dyDescent="0.25">
      <c r="A16" s="23"/>
      <c r="B16" s="27"/>
      <c r="C16" s="27"/>
      <c r="D16" s="27"/>
      <c r="E16" s="8"/>
      <c r="F16" s="8"/>
      <c r="G16" s="8"/>
      <c r="H16" s="8"/>
      <c r="I16" s="8"/>
      <c r="J16" s="8"/>
      <c r="K16" s="8"/>
      <c r="L16" s="8"/>
      <c r="M16" s="8"/>
    </row>
    <row r="17" spans="1:13" ht="18.75" customHeight="1" x14ac:dyDescent="0.25">
      <c r="A17" s="61" t="s">
        <v>1183</v>
      </c>
      <c r="B17" s="61"/>
      <c r="C17" s="27"/>
      <c r="D17" s="27"/>
      <c r="E17" s="8"/>
      <c r="F17" s="8"/>
      <c r="G17" s="8"/>
      <c r="H17" s="8"/>
      <c r="I17" s="8"/>
      <c r="J17" s="8"/>
      <c r="K17" s="8"/>
      <c r="L17" s="8"/>
      <c r="M17" s="8"/>
    </row>
    <row r="18" spans="1:13" ht="6.75" customHeight="1" x14ac:dyDescent="0.25">
      <c r="A18"/>
      <c r="B18"/>
      <c r="C18" s="27"/>
      <c r="D18" s="27"/>
      <c r="E18" s="8"/>
      <c r="F18" s="9"/>
      <c r="G18" s="8"/>
      <c r="H18" s="8"/>
      <c r="I18" s="8"/>
      <c r="J18" s="8"/>
      <c r="K18" s="8"/>
      <c r="L18" s="8"/>
      <c r="M18" s="8"/>
    </row>
    <row r="19" spans="1:13" ht="33.75" customHeight="1" x14ac:dyDescent="0.25">
      <c r="A19" s="56" t="s">
        <v>1361</v>
      </c>
      <c r="B19" s="56"/>
      <c r="C19" s="14"/>
      <c r="D19" s="14"/>
      <c r="E19" s="2"/>
      <c r="F19" s="2"/>
      <c r="G19" s="2"/>
      <c r="H19" s="2"/>
      <c r="I19" s="2"/>
      <c r="J19" s="2"/>
      <c r="K19" s="2"/>
      <c r="L19" s="2"/>
      <c r="M19" s="2"/>
    </row>
    <row r="20" spans="1:13" ht="33.75" customHeight="1" x14ac:dyDescent="0.25">
      <c r="A20" s="56" t="s">
        <v>1217</v>
      </c>
      <c r="B20" s="56"/>
      <c r="C20" s="14"/>
      <c r="D20" s="14"/>
      <c r="E20" s="2"/>
      <c r="F20" s="2"/>
      <c r="G20" s="2"/>
      <c r="H20" s="2"/>
      <c r="I20" s="2"/>
      <c r="J20" s="2"/>
      <c r="K20" s="2"/>
      <c r="L20" s="2"/>
      <c r="M20" s="2"/>
    </row>
    <row r="21" spans="1:13" ht="37.5" customHeight="1" x14ac:dyDescent="0.25">
      <c r="A21" s="60" t="s">
        <v>1176</v>
      </c>
      <c r="B21" s="60"/>
      <c r="C21" s="24"/>
      <c r="D21" s="24"/>
      <c r="E21" s="5"/>
      <c r="F21" s="2"/>
      <c r="G21" s="2"/>
      <c r="H21" s="2"/>
      <c r="I21" s="2"/>
      <c r="J21" s="2"/>
      <c r="K21" s="2"/>
      <c r="L21" s="2"/>
      <c r="M21" s="2"/>
    </row>
    <row r="22" spans="1:13" ht="33" customHeight="1" x14ac:dyDescent="0.25">
      <c r="A22" s="56" t="s">
        <v>1251</v>
      </c>
      <c r="B22" s="56"/>
      <c r="C22" s="56"/>
      <c r="D22" s="56"/>
      <c r="E22" s="54"/>
      <c r="F22" s="55"/>
      <c r="G22" s="54"/>
      <c r="H22" s="55"/>
      <c r="I22" s="54"/>
      <c r="J22" s="55"/>
      <c r="K22" s="54"/>
      <c r="L22" s="55"/>
      <c r="M22" s="26"/>
    </row>
    <row r="23" spans="1:13" ht="8.25" customHeight="1" x14ac:dyDescent="0.25">
      <c r="A23" s="27"/>
      <c r="B23" s="27"/>
      <c r="C23" s="27"/>
      <c r="D23" s="27"/>
      <c r="E23" s="8"/>
      <c r="F23" s="2"/>
      <c r="G23" s="2"/>
      <c r="H23" s="2"/>
      <c r="I23" s="2"/>
      <c r="J23" s="2"/>
      <c r="K23" s="2"/>
      <c r="L23" s="2"/>
      <c r="M23" s="2"/>
    </row>
    <row r="24" spans="1:13" ht="29.25" customHeight="1" x14ac:dyDescent="0.25">
      <c r="A24" s="56" t="s">
        <v>1218</v>
      </c>
      <c r="B24" s="56"/>
      <c r="C24" s="56"/>
      <c r="D24" s="56"/>
      <c r="E24" s="54"/>
      <c r="F24" s="55"/>
      <c r="G24" s="54"/>
      <c r="H24" s="55"/>
      <c r="I24" s="54"/>
      <c r="J24" s="55"/>
      <c r="K24" s="54"/>
      <c r="L24" s="55"/>
      <c r="M24" s="26"/>
    </row>
    <row r="25" spans="1:13" x14ac:dyDescent="0.25">
      <c r="A25" s="63" t="s">
        <v>1177</v>
      </c>
      <c r="B25" s="63"/>
      <c r="C25" s="24"/>
      <c r="D25" s="24"/>
      <c r="E25" s="5"/>
      <c r="F25" s="2"/>
      <c r="G25" s="2"/>
      <c r="H25" s="2"/>
      <c r="I25" s="2"/>
      <c r="J25" s="2"/>
      <c r="K25" s="2"/>
      <c r="L25" s="2"/>
      <c r="M25" s="2"/>
    </row>
    <row r="26" spans="1:13" x14ac:dyDescent="0.25">
      <c r="A26" s="28"/>
      <c r="B26" s="24"/>
      <c r="C26" s="24"/>
      <c r="D26" s="24"/>
      <c r="E26" s="5"/>
      <c r="F26" s="2"/>
      <c r="G26" s="2"/>
      <c r="H26" s="2"/>
      <c r="I26" s="2"/>
      <c r="J26" s="2"/>
      <c r="K26" s="2"/>
      <c r="L26" s="2"/>
      <c r="M26" s="2"/>
    </row>
    <row r="27" spans="1:13" x14ac:dyDescent="0.25">
      <c r="A27" s="62" t="s">
        <v>1219</v>
      </c>
      <c r="B27" s="62"/>
      <c r="C27" s="27"/>
      <c r="D27" s="24"/>
      <c r="E27" s="5"/>
      <c r="F27" s="2"/>
      <c r="G27" s="2"/>
      <c r="H27" s="2"/>
      <c r="I27" s="2"/>
      <c r="J27" s="2"/>
      <c r="K27" s="2"/>
      <c r="L27" s="2"/>
      <c r="M27" s="2"/>
    </row>
    <row r="28" spans="1:13" x14ac:dyDescent="0.25">
      <c r="A28" s="56" t="s">
        <v>1220</v>
      </c>
      <c r="B28" s="56"/>
      <c r="C28" s="56"/>
      <c r="D28" s="56"/>
      <c r="E28" s="54"/>
      <c r="F28" s="55"/>
      <c r="G28" s="54"/>
      <c r="H28" s="55"/>
      <c r="I28" s="54"/>
      <c r="J28" s="55"/>
      <c r="K28" s="54"/>
      <c r="L28" s="55"/>
      <c r="M28" s="26"/>
    </row>
    <row r="29" spans="1:13" x14ac:dyDescent="0.25">
      <c r="A29" s="56" t="s">
        <v>1221</v>
      </c>
      <c r="B29" s="56"/>
      <c r="C29" s="56"/>
      <c r="D29" s="14"/>
      <c r="E29" s="2"/>
      <c r="F29" s="2"/>
      <c r="G29" s="2"/>
      <c r="H29" s="2"/>
      <c r="I29" s="2"/>
      <c r="J29" s="2"/>
      <c r="K29" s="2"/>
      <c r="L29" s="2"/>
      <c r="M29" s="2"/>
    </row>
    <row r="30" spans="1:13" x14ac:dyDescent="0.25">
      <c r="A30" s="56" t="s">
        <v>1222</v>
      </c>
      <c r="B30" s="56"/>
      <c r="C30" s="56"/>
      <c r="D30" s="14"/>
      <c r="E30" s="2"/>
      <c r="F30" s="2"/>
      <c r="G30" s="2"/>
      <c r="H30" s="2"/>
      <c r="I30" s="2"/>
      <c r="J30" s="2"/>
      <c r="K30" s="2"/>
      <c r="L30" s="2"/>
      <c r="M30" s="2"/>
    </row>
    <row r="31" spans="1:13" x14ac:dyDescent="0.25">
      <c r="A31" s="53" t="s">
        <v>1178</v>
      </c>
      <c r="B31" s="53"/>
      <c r="C31" s="27"/>
      <c r="D31" s="14"/>
      <c r="E31" s="2"/>
      <c r="F31" s="2"/>
      <c r="G31" s="2"/>
      <c r="H31" s="2"/>
      <c r="I31" s="2"/>
      <c r="J31" s="2"/>
      <c r="K31" s="2"/>
      <c r="L31" s="2"/>
      <c r="M31" s="2"/>
    </row>
    <row r="32" spans="1:13" x14ac:dyDescent="0.25">
      <c r="A32" s="16"/>
      <c r="B32" s="27"/>
      <c r="C32" s="27"/>
      <c r="D32" s="14"/>
      <c r="E32" s="2"/>
      <c r="F32" s="2"/>
      <c r="G32" s="2"/>
      <c r="H32" s="2"/>
      <c r="I32" s="2"/>
      <c r="J32" s="2"/>
      <c r="K32" s="2"/>
      <c r="L32" s="2"/>
      <c r="M32" s="2"/>
    </row>
    <row r="33" spans="1:13" x14ac:dyDescent="0.25">
      <c r="A33" s="62" t="s">
        <v>1179</v>
      </c>
      <c r="B33" s="62"/>
      <c r="C33" s="27"/>
      <c r="D33" s="14"/>
      <c r="E33" s="2"/>
      <c r="F33" s="2"/>
      <c r="G33" s="2"/>
      <c r="H33" s="2"/>
      <c r="I33" s="2"/>
      <c r="J33" s="2"/>
      <c r="K33" s="2"/>
      <c r="L33" s="2"/>
      <c r="M33" s="2"/>
    </row>
    <row r="34" spans="1:13" x14ac:dyDescent="0.25">
      <c r="A34" s="58" t="s">
        <v>1180</v>
      </c>
      <c r="B34" s="58"/>
      <c r="C34" s="27"/>
      <c r="D34" s="14"/>
      <c r="E34" s="2"/>
      <c r="F34" s="2"/>
      <c r="G34" s="2"/>
      <c r="H34" s="2"/>
      <c r="I34" s="2"/>
      <c r="J34" s="2"/>
      <c r="K34" s="2"/>
      <c r="L34" s="2"/>
      <c r="M34" s="2"/>
    </row>
    <row r="35" spans="1:13" ht="15.75" thickBot="1" x14ac:dyDescent="0.3">
      <c r="A35" s="23"/>
      <c r="B35" s="17"/>
      <c r="C35" s="27"/>
      <c r="D35" s="14"/>
      <c r="E35" s="2"/>
      <c r="F35" s="2"/>
      <c r="G35" s="2"/>
      <c r="H35" s="2"/>
      <c r="I35" s="2"/>
      <c r="J35" s="2"/>
      <c r="K35" s="2"/>
      <c r="L35" s="2"/>
      <c r="M35" s="2"/>
    </row>
    <row r="36" spans="1:13" ht="15.75" thickBot="1" x14ac:dyDescent="0.3">
      <c r="A36" s="18" t="s">
        <v>1181</v>
      </c>
      <c r="B36" s="22" t="s">
        <v>1182</v>
      </c>
      <c r="C36" s="27"/>
      <c r="D36" s="14"/>
      <c r="E36" s="2"/>
      <c r="F36" s="2"/>
      <c r="G36" s="2"/>
      <c r="H36" s="2"/>
      <c r="I36" s="2"/>
      <c r="J36" s="2"/>
      <c r="K36" s="2"/>
      <c r="L36" s="2"/>
      <c r="M36" s="2"/>
    </row>
    <row r="37" spans="1:13" ht="23.25" thickBot="1" x14ac:dyDescent="0.3">
      <c r="A37" s="19" t="s">
        <v>1223</v>
      </c>
      <c r="B37" s="20" t="s">
        <v>1184</v>
      </c>
      <c r="C37" s="27"/>
      <c r="D37" s="14"/>
      <c r="E37" s="2"/>
      <c r="F37" s="2"/>
      <c r="G37" s="2"/>
      <c r="H37" s="2"/>
      <c r="I37" s="2"/>
      <c r="J37" s="2"/>
      <c r="K37" s="2"/>
      <c r="L37" s="2"/>
      <c r="M37" s="2"/>
    </row>
    <row r="38" spans="1:13" ht="15.75" thickBot="1" x14ac:dyDescent="0.3">
      <c r="A38" s="21" t="s">
        <v>1224</v>
      </c>
      <c r="B38" s="20" t="s">
        <v>1225</v>
      </c>
    </row>
    <row r="39" spans="1:13" ht="23.25" thickBot="1" x14ac:dyDescent="0.3">
      <c r="A39" s="21" t="s">
        <v>1166</v>
      </c>
      <c r="B39" s="20" t="s">
        <v>1226</v>
      </c>
    </row>
    <row r="40" spans="1:13" ht="15.75" thickBot="1" x14ac:dyDescent="0.3">
      <c r="A40" s="21" t="s">
        <v>1168</v>
      </c>
      <c r="B40" s="20" t="s">
        <v>1172</v>
      </c>
    </row>
    <row r="41" spans="1:13" ht="23.25" thickBot="1" x14ac:dyDescent="0.3">
      <c r="A41" s="21" t="s">
        <v>1227</v>
      </c>
      <c r="B41" s="20" t="s">
        <v>1228</v>
      </c>
    </row>
    <row r="42" spans="1:13" ht="23.25" thickBot="1" x14ac:dyDescent="0.3">
      <c r="A42" s="21" t="s">
        <v>1229</v>
      </c>
      <c r="B42" s="20" t="s">
        <v>1230</v>
      </c>
    </row>
    <row r="43" spans="1:13" ht="57" thickBot="1" x14ac:dyDescent="0.3">
      <c r="A43" s="21" t="s">
        <v>1231</v>
      </c>
      <c r="B43" s="20" t="s">
        <v>1232</v>
      </c>
    </row>
    <row r="44" spans="1:13" ht="23.25" thickBot="1" x14ac:dyDescent="0.3">
      <c r="A44" s="21" t="s">
        <v>1233</v>
      </c>
      <c r="B44" s="20" t="s">
        <v>1234</v>
      </c>
    </row>
    <row r="45" spans="1:13" ht="23.25" thickBot="1" x14ac:dyDescent="0.3">
      <c r="A45" s="21" t="s">
        <v>1235</v>
      </c>
      <c r="B45" s="20" t="s">
        <v>1236</v>
      </c>
    </row>
    <row r="46" spans="1:13" ht="23.25" thickBot="1" x14ac:dyDescent="0.3">
      <c r="A46" s="21" t="s">
        <v>1237</v>
      </c>
      <c r="B46" s="20" t="s">
        <v>1250</v>
      </c>
    </row>
    <row r="47" spans="1:13" ht="45.75" thickBot="1" x14ac:dyDescent="0.3">
      <c r="A47" s="21" t="s">
        <v>1238</v>
      </c>
      <c r="B47" s="20" t="s">
        <v>1362</v>
      </c>
    </row>
    <row r="48" spans="1:13" ht="79.5" thickBot="1" x14ac:dyDescent="0.3">
      <c r="A48" s="21" t="s">
        <v>1169</v>
      </c>
      <c r="B48" s="20" t="s">
        <v>1240</v>
      </c>
    </row>
    <row r="49" spans="1:2" ht="23.25" thickBot="1" x14ac:dyDescent="0.3">
      <c r="A49" s="21" t="s">
        <v>1241</v>
      </c>
      <c r="B49" s="20" t="s">
        <v>1242</v>
      </c>
    </row>
    <row r="50" spans="1:2" ht="79.5" thickBot="1" x14ac:dyDescent="0.3">
      <c r="A50" s="21" t="s">
        <v>1243</v>
      </c>
      <c r="B50" s="20" t="s">
        <v>1244</v>
      </c>
    </row>
    <row r="51" spans="1:2" ht="23.25" thickBot="1" x14ac:dyDescent="0.3">
      <c r="A51" s="21" t="s">
        <v>1245</v>
      </c>
      <c r="B51" s="20" t="s">
        <v>1246</v>
      </c>
    </row>
    <row r="52" spans="1:2" ht="21" thickBot="1" x14ac:dyDescent="0.35">
      <c r="A52" s="21" t="s">
        <v>1247</v>
      </c>
      <c r="B52" s="20" t="s">
        <v>1248</v>
      </c>
    </row>
    <row r="53" spans="1:2" ht="14.45" x14ac:dyDescent="0.3">
      <c r="A53"/>
      <c r="B53"/>
    </row>
    <row r="54" spans="1:2" x14ac:dyDescent="0.25">
      <c r="A54" s="1" t="s">
        <v>1372</v>
      </c>
    </row>
  </sheetData>
  <mergeCells count="43">
    <mergeCell ref="A29:C29"/>
    <mergeCell ref="A30:C30"/>
    <mergeCell ref="A31:B31"/>
    <mergeCell ref="A33:B33"/>
    <mergeCell ref="A34:B34"/>
    <mergeCell ref="I28:J28"/>
    <mergeCell ref="K28:L28"/>
    <mergeCell ref="A24:B24"/>
    <mergeCell ref="C24:D24"/>
    <mergeCell ref="E24:F24"/>
    <mergeCell ref="G24:H24"/>
    <mergeCell ref="I24:J24"/>
    <mergeCell ref="A27:B27"/>
    <mergeCell ref="A28:B28"/>
    <mergeCell ref="C28:D28"/>
    <mergeCell ref="E28:F28"/>
    <mergeCell ref="G28:H28"/>
    <mergeCell ref="G22:H22"/>
    <mergeCell ref="I22:J22"/>
    <mergeCell ref="K22:L22"/>
    <mergeCell ref="K24:L24"/>
    <mergeCell ref="A25:B25"/>
    <mergeCell ref="A22:B22"/>
    <mergeCell ref="E10:F10"/>
    <mergeCell ref="G10:H10"/>
    <mergeCell ref="I10:J10"/>
    <mergeCell ref="A12:B12"/>
    <mergeCell ref="A13:B13"/>
    <mergeCell ref="A14:B14"/>
    <mergeCell ref="A10:B10"/>
    <mergeCell ref="C10:D10"/>
    <mergeCell ref="A15:B15"/>
    <mergeCell ref="A17:B17"/>
    <mergeCell ref="A19:B19"/>
    <mergeCell ref="A20:B20"/>
    <mergeCell ref="A21:B21"/>
    <mergeCell ref="C22:D22"/>
    <mergeCell ref="E22:F22"/>
    <mergeCell ref="A2:B2"/>
    <mergeCell ref="A4:B5"/>
    <mergeCell ref="A7:B7"/>
    <mergeCell ref="C7:D7"/>
    <mergeCell ref="A8:B8"/>
  </mergeCells>
  <hyperlinks>
    <hyperlink ref="A8" r:id="rId1" display="http://codes.ohio.gov/orc/3302.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Version 3.0</vt:lpstr>
      <vt:lpstr>Notes</vt:lpstr>
      <vt:lpstr>Data Notes</vt:lpstr>
      <vt:lpstr>'Version 3.0'!_FilterDatabase</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Skaggs, Anne</dc:creator>
  <cp:lastModifiedBy>Skaggs, Anne</cp:lastModifiedBy>
  <cp:lastPrinted>2013-08-26T12:08:30Z</cp:lastPrinted>
  <dcterms:created xsi:type="dcterms:W3CDTF">2013-08-23T13:17:10Z</dcterms:created>
  <dcterms:modified xsi:type="dcterms:W3CDTF">2014-02-11T16:30:10Z</dcterms:modified>
</cp:coreProperties>
</file>