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1290" windowWidth="18195" windowHeight="11370" firstSheet="1" activeTab="3"/>
  </bookViews>
  <sheets>
    <sheet name="CrossTabs" sheetId="1" r:id="rId1"/>
    <sheet name="Industrial Formatted for Print" sheetId="8" r:id="rId2"/>
    <sheet name="Downtown Formatted for Print" sheetId="2" r:id="rId3"/>
    <sheet name="Area Data Comparisons" sheetId="7" r:id="rId4"/>
    <sheet name="PTable" sheetId="9" r:id="rId5"/>
    <sheet name="Pivot Table Crosstabs" sheetId="3" r:id="rId6"/>
  </sheets>
  <externalReferences>
    <externalReference r:id="rId7"/>
  </externalReferences>
  <definedNames>
    <definedName name="_xlnm._FilterDatabase" localSheetId="5" hidden="1">'Pivot Table Crosstabs'!$A$1:$B$8</definedName>
    <definedName name="LISTINGS">'[1]Master Data List'!#REF!</definedName>
  </definedNames>
  <calcPr calcId="144525"/>
  <pivotCaches>
    <pivotCache cacheId="44" r:id="rId8"/>
  </pivotCaches>
</workbook>
</file>

<file path=xl/calcChain.xml><?xml version="1.0" encoding="utf-8"?>
<calcChain xmlns="http://schemas.openxmlformats.org/spreadsheetml/2006/main">
  <c r="R134" i="3" l="1"/>
  <c r="R133" i="3"/>
  <c r="R132" i="3"/>
  <c r="R131" i="3"/>
  <c r="R130" i="3"/>
  <c r="R129" i="3"/>
  <c r="R128" i="3"/>
  <c r="R125" i="3"/>
  <c r="R124" i="3"/>
  <c r="R123" i="3"/>
  <c r="R122" i="3"/>
  <c r="R121" i="3"/>
  <c r="R120" i="3"/>
  <c r="R119" i="3"/>
  <c r="R118" i="3"/>
  <c r="R117" i="3"/>
  <c r="R116" i="3"/>
  <c r="R114" i="3"/>
  <c r="R113" i="3"/>
  <c r="R112" i="3"/>
  <c r="R110" i="3"/>
  <c r="R109" i="3"/>
  <c r="R108" i="3"/>
  <c r="R107" i="3"/>
  <c r="R106" i="3"/>
  <c r="R105" i="3"/>
  <c r="R104" i="3"/>
  <c r="R103" i="3"/>
  <c r="R101" i="3"/>
  <c r="R100" i="3"/>
  <c r="R99" i="3"/>
  <c r="R98" i="3"/>
  <c r="R97" i="3"/>
  <c r="R96" i="3"/>
  <c r="R95" i="3"/>
  <c r="R94" i="3"/>
  <c r="R93" i="3"/>
  <c r="R92" i="3"/>
  <c r="R91" i="3"/>
  <c r="R90" i="3"/>
  <c r="R88" i="3"/>
  <c r="R87" i="3"/>
  <c r="R86" i="3"/>
  <c r="R85" i="3"/>
  <c r="R84" i="3"/>
  <c r="R83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4" i="3"/>
  <c r="R63" i="3"/>
  <c r="R62" i="3"/>
  <c r="R61" i="3"/>
  <c r="R60" i="3"/>
  <c r="R59" i="3"/>
  <c r="R57" i="3"/>
  <c r="Q57" i="3"/>
  <c r="R55" i="3"/>
  <c r="R54" i="3"/>
  <c r="R53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2" i="3"/>
  <c r="R11" i="3"/>
  <c r="R10" i="3"/>
  <c r="R9" i="3"/>
  <c r="R8" i="3"/>
  <c r="R7" i="3"/>
  <c r="R6" i="3"/>
  <c r="R5" i="3"/>
  <c r="R4" i="3"/>
  <c r="R3" i="3"/>
  <c r="R2" i="3"/>
  <c r="R40" i="1"/>
  <c r="R8" i="1"/>
  <c r="R23" i="1"/>
  <c r="R38" i="1"/>
  <c r="R14" i="1"/>
  <c r="R49" i="1"/>
  <c r="R45" i="1"/>
  <c r="R43" i="1"/>
  <c r="R42" i="1"/>
  <c r="R98" i="1"/>
  <c r="R63" i="1"/>
  <c r="R117" i="1"/>
  <c r="R11" i="1" l="1"/>
  <c r="R29" i="1" l="1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" i="7"/>
  <c r="R109" i="1"/>
  <c r="R108" i="1"/>
  <c r="R110" i="1"/>
  <c r="R46" i="1"/>
  <c r="R34" i="1"/>
  <c r="H3" i="7" l="1"/>
  <c r="H4" i="7"/>
  <c r="H5" i="7"/>
  <c r="H6" i="7"/>
  <c r="H7" i="7"/>
  <c r="H11" i="7"/>
  <c r="H12" i="7"/>
  <c r="H13" i="7"/>
  <c r="H14" i="7"/>
  <c r="H15" i="7"/>
  <c r="H16" i="7"/>
  <c r="H17" i="7"/>
  <c r="H18" i="7"/>
  <c r="H19" i="7"/>
  <c r="H20" i="7"/>
  <c r="H21" i="7"/>
  <c r="H22" i="7"/>
  <c r="H2" i="7"/>
  <c r="G2" i="7"/>
  <c r="G3" i="7"/>
  <c r="G4" i="7"/>
  <c r="G5" i="7"/>
  <c r="G6" i="7"/>
  <c r="G11" i="7"/>
  <c r="G12" i="7"/>
  <c r="G13" i="7"/>
  <c r="G14" i="7"/>
  <c r="G15" i="7"/>
  <c r="G16" i="7"/>
  <c r="G17" i="7"/>
  <c r="G18" i="7"/>
  <c r="G19" i="7"/>
  <c r="G20" i="7"/>
  <c r="G21" i="7"/>
  <c r="G22" i="7"/>
  <c r="H10" i="7"/>
  <c r="H9" i="7"/>
  <c r="G8" i="7"/>
  <c r="G7" i="7"/>
  <c r="R134" i="1"/>
  <c r="G9" i="7" l="1"/>
  <c r="G10" i="7"/>
  <c r="H8" i="7"/>
  <c r="R60" i="1"/>
  <c r="Q57" i="1" l="1"/>
  <c r="R57" i="1"/>
  <c r="R35" i="1" l="1"/>
  <c r="R90" i="1"/>
  <c r="J3" i="7" l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" i="7"/>
  <c r="R61" i="1" l="1"/>
  <c r="R81" i="1"/>
  <c r="R113" i="1"/>
  <c r="R119" i="1" l="1"/>
  <c r="R122" i="1" l="1"/>
  <c r="R131" i="1"/>
  <c r="R104" i="1"/>
  <c r="R69" i="1"/>
  <c r="R91" i="1"/>
  <c r="R118" i="1"/>
  <c r="R41" i="1"/>
  <c r="R37" i="1" l="1"/>
  <c r="R7" i="1"/>
  <c r="R73" i="1" l="1"/>
  <c r="R101" i="1" l="1"/>
  <c r="R100" i="1"/>
  <c r="R99" i="1"/>
  <c r="R97" i="1"/>
  <c r="R94" i="1"/>
  <c r="R96" i="1"/>
  <c r="R92" i="1"/>
  <c r="R95" i="1"/>
  <c r="R93" i="1"/>
  <c r="R88" i="1"/>
  <c r="R87" i="1"/>
  <c r="R84" i="1"/>
  <c r="R85" i="1"/>
  <c r="R86" i="1"/>
  <c r="R75" i="1"/>
  <c r="R76" i="1"/>
  <c r="R77" i="1"/>
  <c r="R78" i="1"/>
  <c r="R79" i="1"/>
  <c r="R80" i="1"/>
  <c r="R83" i="1"/>
  <c r="R74" i="1"/>
  <c r="R72" i="1"/>
  <c r="R70" i="1"/>
  <c r="R71" i="1"/>
  <c r="R116" i="1"/>
  <c r="R133" i="1"/>
  <c r="R129" i="1"/>
  <c r="R130" i="1"/>
  <c r="R132" i="1"/>
  <c r="R128" i="1"/>
  <c r="R124" i="1"/>
  <c r="R120" i="1"/>
  <c r="R121" i="1"/>
  <c r="R125" i="1"/>
  <c r="R123" i="1"/>
  <c r="R105" i="1"/>
  <c r="R106" i="1"/>
  <c r="R114" i="1"/>
  <c r="R112" i="1"/>
  <c r="R107" i="1"/>
  <c r="R103" i="1"/>
  <c r="R64" i="1"/>
  <c r="R62" i="1"/>
  <c r="R59" i="1"/>
  <c r="R12" i="1"/>
  <c r="R28" i="1"/>
  <c r="R30" i="1"/>
  <c r="R31" i="1"/>
  <c r="R32" i="1"/>
  <c r="R26" i="1"/>
  <c r="R27" i="1"/>
  <c r="R25" i="1"/>
  <c r="R24" i="1"/>
  <c r="R22" i="1"/>
  <c r="R15" i="1"/>
  <c r="R16" i="1"/>
  <c r="R17" i="1"/>
  <c r="R18" i="1"/>
  <c r="R19" i="1"/>
  <c r="R20" i="1"/>
  <c r="R21" i="1"/>
  <c r="R3" i="1"/>
  <c r="R4" i="1"/>
  <c r="R5" i="1"/>
  <c r="R6" i="1"/>
  <c r="R2" i="1"/>
  <c r="R10" i="1"/>
  <c r="R9" i="1"/>
  <c r="R55" i="1"/>
  <c r="R54" i="1"/>
  <c r="R53" i="1"/>
  <c r="R47" i="1"/>
  <c r="R48" i="1"/>
  <c r="R44" i="1"/>
  <c r="R39" i="1"/>
  <c r="R36" i="1"/>
</calcChain>
</file>

<file path=xl/sharedStrings.xml><?xml version="1.0" encoding="utf-8"?>
<sst xmlns="http://schemas.openxmlformats.org/spreadsheetml/2006/main" count="4292" uniqueCount="388">
  <si>
    <t>Datta Khalsa</t>
  </si>
  <si>
    <t>831-818-0181</t>
  </si>
  <si>
    <t>Retail</t>
  </si>
  <si>
    <t>Reuben Helick</t>
  </si>
  <si>
    <t>831-647-2109</t>
  </si>
  <si>
    <t>NNN</t>
  </si>
  <si>
    <t>Gross</t>
  </si>
  <si>
    <t xml:space="preserve">Retail </t>
  </si>
  <si>
    <t xml:space="preserve">Office </t>
  </si>
  <si>
    <t>ctbt.com</t>
  </si>
  <si>
    <t>jrparrish.com</t>
  </si>
  <si>
    <t xml:space="preserve">Gross </t>
  </si>
  <si>
    <t xml:space="preserve">University Town Center </t>
  </si>
  <si>
    <t>Notes</t>
  </si>
  <si>
    <t>Phone</t>
  </si>
  <si>
    <t>Broker</t>
  </si>
  <si>
    <t>Overhead</t>
  </si>
  <si>
    <t>Square Footage</t>
  </si>
  <si>
    <t>sheldonwiseman.com</t>
  </si>
  <si>
    <t xml:space="preserve">Type </t>
  </si>
  <si>
    <t xml:space="preserve">Address </t>
  </si>
  <si>
    <t>Lee Slaff</t>
  </si>
  <si>
    <t>831-425-1419</t>
  </si>
  <si>
    <t>Stated NNN Value</t>
  </si>
  <si>
    <t xml:space="preserve">Suite </t>
  </si>
  <si>
    <t>Office</t>
  </si>
  <si>
    <t>Steve Sheldon or Jim Wiseman</t>
  </si>
  <si>
    <t>Carol Lezin or Carol Canaris</t>
  </si>
  <si>
    <t>831-479-8000</t>
  </si>
  <si>
    <t>408-436-3652</t>
  </si>
  <si>
    <t>terranomics.com</t>
  </si>
  <si>
    <t xml:space="preserve">Stated Rent </t>
  </si>
  <si>
    <t>EC Rittenhouse Building</t>
  </si>
  <si>
    <t xml:space="preserve">Patrick Prindle </t>
  </si>
  <si>
    <t>831-234-0517</t>
  </si>
  <si>
    <t>mcmdiversified.com</t>
  </si>
  <si>
    <t>Cooper House</t>
  </si>
  <si>
    <t>Brian O'Connor</t>
  </si>
  <si>
    <t>831-818-0368</t>
  </si>
  <si>
    <t>wilsonbroscommercial.com</t>
  </si>
  <si>
    <t xml:space="preserve">Pacific </t>
  </si>
  <si>
    <t>Area</t>
  </si>
  <si>
    <t xml:space="preserve">Cooper / Front </t>
  </si>
  <si>
    <t>A</t>
  </si>
  <si>
    <t>E</t>
  </si>
  <si>
    <t>Tracy Jones</t>
  </si>
  <si>
    <t>Fred Antaki</t>
  </si>
  <si>
    <t>831-295-8850</t>
  </si>
  <si>
    <t>mainstreetrealtors.com</t>
  </si>
  <si>
    <t xml:space="preserve">Other Downtown </t>
  </si>
  <si>
    <t>Flex Space</t>
  </si>
  <si>
    <t>C</t>
  </si>
  <si>
    <t>B</t>
  </si>
  <si>
    <t xml:space="preserve">Flex Space </t>
  </si>
  <si>
    <t xml:space="preserve">A </t>
  </si>
  <si>
    <t>A-2</t>
  </si>
  <si>
    <t>A-3</t>
  </si>
  <si>
    <t xml:space="preserve">C </t>
  </si>
  <si>
    <t>175-A</t>
  </si>
  <si>
    <t>175-B</t>
  </si>
  <si>
    <t>Wayne Shaffer</t>
  </si>
  <si>
    <t>831-427-1380</t>
  </si>
  <si>
    <t>wshaffer.com</t>
  </si>
  <si>
    <t xml:space="preserve">Kristen A. Macken </t>
  </si>
  <si>
    <t>Scott Thiebout</t>
  </si>
  <si>
    <t>wavecrestdevelopment.com</t>
  </si>
  <si>
    <t>Glenn Kramer</t>
  </si>
  <si>
    <t>831-724-2343</t>
  </si>
  <si>
    <t>burgstromkramer.com</t>
  </si>
  <si>
    <t>David Cury</t>
  </si>
  <si>
    <t>davidcury@yahoo.com</t>
  </si>
  <si>
    <t>Website / Email</t>
  </si>
  <si>
    <t>LH Selman Building For Sale $1,695,000</t>
  </si>
  <si>
    <t>River / Potrero</t>
  </si>
  <si>
    <t>Warehouse</t>
  </si>
  <si>
    <t>D</t>
  </si>
  <si>
    <t>inc. utilities</t>
  </si>
  <si>
    <t>Leland Zeidler or Michael DiDonato</t>
  </si>
  <si>
    <t>831-423-8331</t>
  </si>
  <si>
    <t>Rentalinfo@lemarco.com</t>
  </si>
  <si>
    <t>sbogdanovich@retailassociates.com</t>
  </si>
  <si>
    <t>Sam Bogdanovich</t>
  </si>
  <si>
    <t>831-886-7802</t>
  </si>
  <si>
    <t>Sue Ellen Gales</t>
  </si>
  <si>
    <t>831-239-5516</t>
  </si>
  <si>
    <t>sue@andersonchristie.com</t>
  </si>
  <si>
    <t>List</t>
  </si>
  <si>
    <t xml:space="preserve">Downtown </t>
  </si>
  <si>
    <t xml:space="preserve">Industrial </t>
  </si>
  <si>
    <t xml:space="preserve">Westside </t>
  </si>
  <si>
    <t>Industrial</t>
  </si>
  <si>
    <t>Almar/Safeway Center</t>
  </si>
  <si>
    <t xml:space="preserve">Warehouse </t>
  </si>
  <si>
    <t>4 Grade Level Doors</t>
  </si>
  <si>
    <t>Good Earth Tea Builiding</t>
  </si>
  <si>
    <t>Wrigley Building</t>
  </si>
  <si>
    <t xml:space="preserve">NNN </t>
  </si>
  <si>
    <t xml:space="preserve"> Gross</t>
  </si>
  <si>
    <t>dock with 2 roll ups. w/Office  and roll ups</t>
  </si>
  <si>
    <t>artworkspacesantacruz.com</t>
  </si>
  <si>
    <t xml:space="preserve">Jackie Copriviza </t>
  </si>
  <si>
    <t>831-476-2222</t>
  </si>
  <si>
    <t>russellgross.com</t>
  </si>
  <si>
    <t>Russell E. Gross</t>
  </si>
  <si>
    <t>appenrodtcommercial.com</t>
  </si>
  <si>
    <t>Joe Appenrodt</t>
  </si>
  <si>
    <t>831-234-5884</t>
  </si>
  <si>
    <t>Randy Parker</t>
  </si>
  <si>
    <t xml:space="preserve">William Ow </t>
  </si>
  <si>
    <t>owproperties.com</t>
  </si>
  <si>
    <t>Matt Shelton</t>
  </si>
  <si>
    <t>831-272-0368</t>
  </si>
  <si>
    <t>Warren Reed</t>
  </si>
  <si>
    <t>831-438-5725</t>
  </si>
  <si>
    <t>wreed@jsco.net</t>
  </si>
  <si>
    <t xml:space="preserve">Harvey West </t>
  </si>
  <si>
    <t>Yard for storage</t>
  </si>
  <si>
    <t>dock, high roll up</t>
  </si>
  <si>
    <t>Garage w/ rollup</t>
  </si>
  <si>
    <t>Rick Melrose</t>
  </si>
  <si>
    <t>831-334-1295</t>
  </si>
  <si>
    <t>rick_melrose@yahoo.com</t>
  </si>
  <si>
    <t>831-454-9400</t>
  </si>
  <si>
    <t>831-247-5550</t>
  </si>
  <si>
    <t>Other Commercial Areas</t>
  </si>
  <si>
    <t>Medical</t>
  </si>
  <si>
    <t>Restaurant</t>
  </si>
  <si>
    <t>C3</t>
  </si>
  <si>
    <t xml:space="preserve">Medical </t>
  </si>
  <si>
    <t>L2</t>
  </si>
  <si>
    <t>mainstreetrelators.com</t>
  </si>
  <si>
    <t>Former Bank</t>
  </si>
  <si>
    <t>Seabright Clocktower Building</t>
  </si>
  <si>
    <t>2 privates , reception</t>
  </si>
  <si>
    <t>9 privates, conference room</t>
  </si>
  <si>
    <t>Gwen or Doug Kaplan</t>
  </si>
  <si>
    <t>831-476-3627</t>
  </si>
  <si>
    <t>allenpginc.com</t>
  </si>
  <si>
    <t>plus utilities</t>
  </si>
  <si>
    <t>Cara Meyers</t>
  </si>
  <si>
    <t>831-295-0749</t>
  </si>
  <si>
    <t>diggardens.com</t>
  </si>
  <si>
    <t>Brad Shelton</t>
  </si>
  <si>
    <t xml:space="preserve"> #3</t>
  </si>
  <si>
    <t xml:space="preserve">Jon Stansbury or James Chung </t>
  </si>
  <si>
    <t>kristen.macken@colliers.com</t>
  </si>
  <si>
    <t>408-282-3878  </t>
  </si>
  <si>
    <t>lee@lslaff.com</t>
  </si>
  <si>
    <t xml:space="preserve">City </t>
  </si>
  <si>
    <t>State</t>
  </si>
  <si>
    <t xml:space="preserve">Zip Code </t>
  </si>
  <si>
    <t xml:space="preserve">Santa Cruz </t>
  </si>
  <si>
    <t>CA</t>
  </si>
  <si>
    <t>Neogotiable Rent</t>
  </si>
  <si>
    <t>Please call for leasing information. Almar / Safeway Center</t>
  </si>
  <si>
    <t>Cooper House. Second floor divisible to 2,500 square foot suites</t>
  </si>
  <si>
    <t>EC Rittenhouse Building Retail Space Divisible to 4,500 square feet</t>
  </si>
  <si>
    <t>Divisible to 150 square feet at $495</t>
  </si>
  <si>
    <t>Divsible to 3,500 square feet</t>
  </si>
  <si>
    <t>Wrigley Building Divisible to 2,400 square feet</t>
  </si>
  <si>
    <t>Per Square Foot (Using Upper Asking Price)</t>
  </si>
  <si>
    <t>plus utilities. Sublease</t>
  </si>
  <si>
    <t xml:space="preserve">All Areas </t>
  </si>
  <si>
    <t xml:space="preserve">All Types </t>
  </si>
  <si>
    <t xml:space="preserve">Pacific Avenue </t>
  </si>
  <si>
    <t xml:space="preserve">831-464-0444 </t>
  </si>
  <si>
    <t>831-464-0444</t>
  </si>
  <si>
    <t>Do not disturb occupant</t>
  </si>
  <si>
    <t>5th Floor</t>
  </si>
  <si>
    <t>4th Floor</t>
  </si>
  <si>
    <t>2d Floor</t>
  </si>
  <si>
    <t>3d Floor</t>
  </si>
  <si>
    <t>1st Floor</t>
  </si>
  <si>
    <t>Tracy Jones - CIFPM</t>
  </si>
  <si>
    <t>tracy@cifpm.com</t>
  </si>
  <si>
    <t>Miller Building - New construction</t>
  </si>
  <si>
    <t>Full Service</t>
  </si>
  <si>
    <t>Divisible to 800 sq. feet</t>
  </si>
  <si>
    <t>Street</t>
  </si>
  <si>
    <t>Cooper Street</t>
  </si>
  <si>
    <t xml:space="preserve">Cooper Street </t>
  </si>
  <si>
    <t>Front Street</t>
  </si>
  <si>
    <t>Cedar Street</t>
  </si>
  <si>
    <t>Locust Street</t>
  </si>
  <si>
    <t>Mission Street</t>
  </si>
  <si>
    <t>Water Street</t>
  </si>
  <si>
    <t>Walnut Avenue</t>
  </si>
  <si>
    <t>Washington Street</t>
  </si>
  <si>
    <t>Laurel Street</t>
  </si>
  <si>
    <t>Pacific Avenue</t>
  </si>
  <si>
    <t>River Street</t>
  </si>
  <si>
    <t>Potrero Street</t>
  </si>
  <si>
    <t xml:space="preserve">River Street </t>
  </si>
  <si>
    <t>Pioneer Street</t>
  </si>
  <si>
    <t>Harvey West Boulevard</t>
  </si>
  <si>
    <t>DuBois Street</t>
  </si>
  <si>
    <t>Fern Street</t>
  </si>
  <si>
    <t>Encinal Street</t>
  </si>
  <si>
    <t>Coral Street</t>
  </si>
  <si>
    <t xml:space="preserve">Doyle Street </t>
  </si>
  <si>
    <t>Soquel Avenue</t>
  </si>
  <si>
    <t>Seabright Avenue</t>
  </si>
  <si>
    <t>Ocean Street</t>
  </si>
  <si>
    <t>Fair Avenue</t>
  </si>
  <si>
    <t>McPherson Street</t>
  </si>
  <si>
    <t>Delaware Avenue</t>
  </si>
  <si>
    <t>Swift Street</t>
  </si>
  <si>
    <t>Limekiln Street</t>
  </si>
  <si>
    <t>Shaffer Road</t>
  </si>
  <si>
    <t>Almar Avenue</t>
  </si>
  <si>
    <t>Negotiable to $2.50</t>
  </si>
  <si>
    <t>J</t>
  </si>
  <si>
    <t>Almar/Safeway Center - call for details</t>
  </si>
  <si>
    <t>Divisible to 1,800. Neogotiable rent. Lipton Building; inc. 1,200 sf office</t>
  </si>
  <si>
    <t>Call for details. Medical officeground floor</t>
  </si>
  <si>
    <t>Lincoln Street</t>
  </si>
  <si>
    <t>Josephine Street</t>
  </si>
  <si>
    <t>Ingalls Street</t>
  </si>
  <si>
    <t xml:space="preserve">Cedar Street </t>
  </si>
  <si>
    <t>831-476-0302</t>
  </si>
  <si>
    <t xml:space="preserve">Rent </t>
  </si>
  <si>
    <t xml:space="preserve">Steve Sheldon or Jim Wiseman </t>
  </si>
  <si>
    <t>DOWNTOWN</t>
  </si>
  <si>
    <t>Mixed Use &amp; Other</t>
  </si>
  <si>
    <t>Cooper/Front/Cedar Streets</t>
  </si>
  <si>
    <t>Other Downtown Locations</t>
  </si>
  <si>
    <t>INDUSTRIAL &amp; OTHER COMMERCIAL</t>
  </si>
  <si>
    <t>Westside</t>
  </si>
  <si>
    <t>Harvey West</t>
  </si>
  <si>
    <t>Other Locations</t>
  </si>
  <si>
    <t>Versus Trailing 3 yr average</t>
  </si>
  <si>
    <t xml:space="preserve">Year </t>
  </si>
  <si>
    <t>Report Period</t>
  </si>
  <si>
    <t xml:space="preserve">Area </t>
  </si>
  <si>
    <t xml:space="preserve">Subarea </t>
  </si>
  <si>
    <t>Available</t>
  </si>
  <si>
    <t>Redtree Building</t>
  </si>
  <si>
    <t>831-423-2100</t>
  </si>
  <si>
    <t>Gault Street</t>
  </si>
  <si>
    <t xml:space="preserve">JR Parrish </t>
  </si>
  <si>
    <t xml:space="preserve">Call for details </t>
  </si>
  <si>
    <t>Cooper/Front</t>
  </si>
  <si>
    <t xml:space="preserve">Deborah Calloway </t>
  </si>
  <si>
    <t>short term lease</t>
  </si>
  <si>
    <t>Divisible to 500 square feet</t>
  </si>
  <si>
    <t>Gary Marietti</t>
  </si>
  <si>
    <t>831-429-1698</t>
  </si>
  <si>
    <t>garmar2@sbcglobal.net</t>
  </si>
  <si>
    <t>Plaza Lane frontage</t>
  </si>
  <si>
    <t>Dan Watson</t>
  </si>
  <si>
    <t>831-476-8194</t>
  </si>
  <si>
    <t>hirschandassociates.com</t>
  </si>
  <si>
    <t>andersonchristie.com</t>
  </si>
  <si>
    <t xml:space="preserve">Modified gross </t>
  </si>
  <si>
    <t>Mark Biagini</t>
  </si>
  <si>
    <t>408-331-2300</t>
  </si>
  <si>
    <t>biaginiproperties.com</t>
  </si>
  <si>
    <t>189-A</t>
  </si>
  <si>
    <t xml:space="preserve">$255 per month </t>
  </si>
  <si>
    <t>Redtree Building - Divisible  1,737 Suites</t>
  </si>
  <si>
    <t>408-781-7815</t>
  </si>
  <si>
    <t>lomakpropertygroup.com</t>
  </si>
  <si>
    <t>A2</t>
  </si>
  <si>
    <t>A3</t>
  </si>
  <si>
    <t xml:space="preserve">Building features 1 Gbps Symmetrical Connection           </t>
  </si>
  <si>
    <t>Fred Vellutini</t>
  </si>
  <si>
    <t>831-423-7611</t>
  </si>
  <si>
    <t xml:space="preserve">February </t>
  </si>
  <si>
    <t>Average of Per Square Foot (Using Upper Asking Price)3</t>
  </si>
  <si>
    <t>Sum of Square Footage2</t>
  </si>
  <si>
    <t>$$$</t>
  </si>
  <si>
    <t xml:space="preserve">Inventory </t>
  </si>
  <si>
    <t>Average</t>
  </si>
  <si>
    <t>Average of Square Footage</t>
  </si>
  <si>
    <t xml:space="preserve">831-464-4700 </t>
  </si>
  <si>
    <t>Latitude</t>
  </si>
  <si>
    <t>Longitude</t>
  </si>
  <si>
    <t>Formatted Address</t>
  </si>
  <si>
    <t>110 Cooper St, Santa Cruz, CA 95060</t>
  </si>
  <si>
    <t>313 Front St, Santa Cruz, CA 95060</t>
  </si>
  <si>
    <t>428 Front St, Santa Cruz, CA 95060</t>
  </si>
  <si>
    <t>701 Front St, Santa Cruz, CA 95060</t>
  </si>
  <si>
    <t>740 Front St, Santa Cruz, CA 95060</t>
  </si>
  <si>
    <t>827 Cedar St, Santa Cruz, CA 95060</t>
  </si>
  <si>
    <t>427 Cedar St, Santa Cruz, CA 95060</t>
  </si>
  <si>
    <t>845 Cedar St, Santa Cruz, CA 95060</t>
  </si>
  <si>
    <t>212 Laurel St, Santa Cruz, CA 95060</t>
  </si>
  <si>
    <t>312 Lincoln St, Santa Cruz, CA 95060</t>
  </si>
  <si>
    <t>123 Locust St, Santa Cruz, CA 95060</t>
  </si>
  <si>
    <t>175 Walnut Ave, Santa Cruz, CA 95060</t>
  </si>
  <si>
    <t>189 Walnut Ave, Santa Cruz, CA 95060</t>
  </si>
  <si>
    <t>200 Washington St, Santa Cruz, CA 95060</t>
  </si>
  <si>
    <t>125 Water St, Santa Cruz, CA 95060</t>
  </si>
  <si>
    <t>819 Pacific Ave, Santa Cruz, CA 95060</t>
  </si>
  <si>
    <t>Santa Cruz, CA</t>
  </si>
  <si>
    <t>1013 Pacific Ave, Santa Cruz, CA 95060</t>
  </si>
  <si>
    <t>1101 Pacific Ave, Santa Cruz, CA 95060</t>
  </si>
  <si>
    <t>1349 Pacific Ave, Santa Cruz, CA 95060</t>
  </si>
  <si>
    <t>1200 Pacific Ave, Santa Cruz, CA 95060</t>
  </si>
  <si>
    <t>1339 Pacific Ave, Santa Cruz, CA 95060</t>
  </si>
  <si>
    <t>1367 Pacific Ave, Santa Cruz, CA 95060</t>
  </si>
  <si>
    <t>1528 Pacific Ave, Santa Cruz, CA 95060</t>
  </si>
  <si>
    <t>1537 Pacific Ave, Santa Cruz, CA 95060</t>
  </si>
  <si>
    <t>1319 Pacific Ave, Santa Cruz, CA 95060</t>
  </si>
  <si>
    <t>1119 Pacific Ave, Santa Cruz, CA 95060</t>
  </si>
  <si>
    <t>55 River St, Santa Cruz, CA 95060</t>
  </si>
  <si>
    <t>223 River St, Santa Cruz, CA 95060</t>
  </si>
  <si>
    <t>149 Josephine St, Santa Cruz, CA 95060</t>
  </si>
  <si>
    <t>303 Potrero St, Santa Cruz, CA 95060</t>
  </si>
  <si>
    <t>256 Potrero St, Santa Cruz, CA 95060</t>
  </si>
  <si>
    <t>720 River St, Santa Cruz, CA 95060</t>
  </si>
  <si>
    <t>600 River St, Santa Cruz, CA 95060</t>
  </si>
  <si>
    <t>350 Coral St, Santa Cruz, CA 95060</t>
  </si>
  <si>
    <t>155 Dubois St, Santa Cruz, CA 95060</t>
  </si>
  <si>
    <t>165 Dubois St, Santa Cruz, CA 95060</t>
  </si>
  <si>
    <t>229 Encinal St, Santa Cruz, CA 95060</t>
  </si>
  <si>
    <t>235 Fern St, Santa Cruz, CA 95060</t>
  </si>
  <si>
    <t>115 Harvey West Blvd, Santa Cruz, CA 95060</t>
  </si>
  <si>
    <t>151 Harvey West Blvd, Santa Cruz, CA 95060</t>
  </si>
  <si>
    <t>100 Pioneer St, Santa Cruz, CA 95060</t>
  </si>
  <si>
    <t>100 Doyle St, Santa Cruz, CA 95062</t>
  </si>
  <si>
    <t>298 Harvey West Blvd, Santa Cruz, CA 95060</t>
  </si>
  <si>
    <t>115 Limekiln St, Santa Cruz, CA 95060</t>
  </si>
  <si>
    <t>347 Gault St, Santa Cruz, CA 95062</t>
  </si>
  <si>
    <t>806 Ocean St, Santa Cruz, CA 95060</t>
  </si>
  <si>
    <t>500 Seabright Ave, Santa Cruz, CA 95062</t>
  </si>
  <si>
    <t>1729 Seabright Ave, Santa Cruz, CA 95062</t>
  </si>
  <si>
    <t>305 Soquel Ave, Santa Cruz, CA 95062</t>
  </si>
  <si>
    <t>317 Soquel Ave, Santa Cruz, CA 95062</t>
  </si>
  <si>
    <t>345 Soquel Ave, Santa Cruz, CA 95062</t>
  </si>
  <si>
    <t>542 Ocean St, Santa Cruz, CA 95060</t>
  </si>
  <si>
    <t>530 Soquel Ave, Santa Cruz, CA 95062</t>
  </si>
  <si>
    <t>619 Soquel Ave, Santa Cruz, CA 95062</t>
  </si>
  <si>
    <t>1414 Soquel Ave, Santa Cruz, CA 95062</t>
  </si>
  <si>
    <t>1723 Soquel Ave, Santa Cruz, CA 95062</t>
  </si>
  <si>
    <t>420 Water St, Santa Cruz, CA 95060</t>
  </si>
  <si>
    <t>303 Water St, Santa Cruz, CA 95060</t>
  </si>
  <si>
    <t>550 Water St, Santa Cruz, CA 95060</t>
  </si>
  <si>
    <t>525 Water St, Santa Cruz, CA 95060</t>
  </si>
  <si>
    <t>831 Almar Ave, Santa Cruz, CA 95060</t>
  </si>
  <si>
    <t>849 Almar Ave, Santa Cruz, CA 95060</t>
  </si>
  <si>
    <t>2117 Delaware Ave, Santa Cruz, CA 95060</t>
  </si>
  <si>
    <t>1010 Fair Ave, Santa Cruz, CA 95060</t>
  </si>
  <si>
    <t>2119 Delaware Ave, Santa Cruz, CA 95060</t>
  </si>
  <si>
    <t>328 Ingalls St, Santa Cruz, CA 95060</t>
  </si>
  <si>
    <t>207 McPherson St, Santa Cruz, CA 95060</t>
  </si>
  <si>
    <t>125 McPherson St, Santa Cruz, CA 95060</t>
  </si>
  <si>
    <t>406 Mission St, Santa Cruz, CA 95060</t>
  </si>
  <si>
    <t>701 Mission St, Santa Cruz, CA 95060</t>
  </si>
  <si>
    <t>730 Mission St, Santa Cruz, CA 95060</t>
  </si>
  <si>
    <t>2006 Mission St, Santa Cruz, CA 95060</t>
  </si>
  <si>
    <t>2117 Mission St, Santa Cruz, CA 95060</t>
  </si>
  <si>
    <t>2521 Mission St, Santa Cruz, CA 95060</t>
  </si>
  <si>
    <t>2801 Mission St, Santa Cruz, CA 95060</t>
  </si>
  <si>
    <t>3004 Mission St, Santa Cruz, CA 95060</t>
  </si>
  <si>
    <t>2931 Mission St, Santa Cruz, CA 95060</t>
  </si>
  <si>
    <t>511 Swift St, Santa Cruz, CA 95060</t>
  </si>
  <si>
    <t>1201 Shaffer Rd, Santa Cruz, CA 95060</t>
  </si>
  <si>
    <t xml:space="preserve">Cathcart Street </t>
  </si>
  <si>
    <t>Modified Gross</t>
  </si>
  <si>
    <t>David Plumlee</t>
  </si>
  <si>
    <t>831-426-5115</t>
  </si>
  <si>
    <t>water &amp; hot water, garbage, sewer included</t>
  </si>
  <si>
    <t>Includes up to 4 parking spaces at $40 per month each</t>
  </si>
  <si>
    <t>April</t>
  </si>
  <si>
    <t>Randy Parker and Matt Shelton</t>
  </si>
  <si>
    <t>rpark101@yahoo.com</t>
  </si>
  <si>
    <t>TI's neg. Building may be for sale</t>
  </si>
  <si>
    <t>plus utilities. Available July 1</t>
  </si>
  <si>
    <t xml:space="preserve">CA </t>
  </si>
  <si>
    <t>pprindle@mcmdiversified.com</t>
  </si>
  <si>
    <t>Nance Conover</t>
  </si>
  <si>
    <t>415-355-7121</t>
  </si>
  <si>
    <t>nconover@mercyhousing.org</t>
  </si>
  <si>
    <t>Former Aqua Bleu</t>
  </si>
  <si>
    <t>(Multiple Items)</t>
  </si>
  <si>
    <t xml:space="preserve">Versus Feb 2013 </t>
  </si>
  <si>
    <t xml:space="preserve">Versus April 2012 </t>
  </si>
  <si>
    <t>Versus April 2011</t>
  </si>
  <si>
    <t>Versus April  2010</t>
  </si>
  <si>
    <t>Plus utilities. Available July 1</t>
  </si>
  <si>
    <t>Short term lease</t>
  </si>
  <si>
    <t>Dock with 2 roll ups. w/Office  and roll ups</t>
  </si>
  <si>
    <t>Plus utilities. Sublease</t>
  </si>
  <si>
    <t>Water &amp; hot water, garbage, sewer included</t>
  </si>
  <si>
    <t>Plus utilities</t>
  </si>
  <si>
    <t>Negotiable Rent</t>
  </si>
  <si>
    <t>Divisible to 1,800.Negotiable rent. Lipton Building; inc. 1,200 sf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</si>
</sst>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_);[Red]\(0\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mbria"/>
      <family val="1"/>
    </font>
    <font>
      <u/>
      <sz val="11"/>
      <color indexed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5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Fill="1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wrapText="1"/>
    </xf>
    <xf numFmtId="0" fontId="2" fillId="0" borderId="0" xfId="1" applyAlignment="1" applyProtection="1">
      <alignment wrapText="1"/>
    </xf>
    <xf numFmtId="3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4" fontId="1" fillId="0" borderId="0" xfId="0" applyNumberFormat="1" applyFont="1" applyAlignment="1">
      <alignment wrapText="1"/>
    </xf>
    <xf numFmtId="0" fontId="0" fillId="0" borderId="0" xfId="0" pivotButton="1"/>
    <xf numFmtId="0" fontId="0" fillId="0" borderId="0" xfId="0" applyNumberFormat="1"/>
    <xf numFmtId="0" fontId="0" fillId="0" borderId="1" xfId="0" applyBorder="1" applyAlignment="1">
      <alignment wrapText="1"/>
    </xf>
    <xf numFmtId="0" fontId="0" fillId="0" borderId="0" xfId="0" applyFill="1" applyAlignment="1">
      <alignment wrapText="1"/>
    </xf>
    <xf numFmtId="164" fontId="1" fillId="0" borderId="0" xfId="0" applyNumberFormat="1" applyFont="1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/>
    <xf numFmtId="0" fontId="0" fillId="2" borderId="0" xfId="0" applyFill="1" applyAlignment="1">
      <alignment wrapText="1"/>
    </xf>
    <xf numFmtId="0" fontId="0" fillId="2" borderId="0" xfId="0" applyFill="1"/>
    <xf numFmtId="3" fontId="0" fillId="0" borderId="2" xfId="0" applyNumberFormat="1" applyBorder="1"/>
    <xf numFmtId="3" fontId="0" fillId="0" borderId="1" xfId="0" applyNumberFormat="1" applyBorder="1"/>
    <xf numFmtId="0" fontId="0" fillId="0" borderId="1" xfId="0" applyBorder="1"/>
    <xf numFmtId="166" fontId="0" fillId="0" borderId="1" xfId="0" applyNumberFormat="1" applyBorder="1" applyAlignment="1">
      <alignment wrapText="1"/>
    </xf>
    <xf numFmtId="164" fontId="0" fillId="0" borderId="0" xfId="0" applyNumberFormat="1"/>
    <xf numFmtId="164" fontId="0" fillId="0" borderId="1" xfId="0" applyNumberFormat="1" applyBorder="1"/>
    <xf numFmtId="3" fontId="0" fillId="0" borderId="0" xfId="0" applyNumberFormat="1" applyFont="1" applyAlignment="1">
      <alignment wrapText="1"/>
    </xf>
    <xf numFmtId="164" fontId="0" fillId="0" borderId="0" xfId="0" applyNumberFormat="1" applyFont="1" applyAlignment="1">
      <alignment wrapText="1"/>
    </xf>
    <xf numFmtId="4" fontId="0" fillId="0" borderId="0" xfId="0" applyNumberFormat="1" applyFont="1" applyAlignment="1">
      <alignment wrapText="1"/>
    </xf>
    <xf numFmtId="0" fontId="0" fillId="0" borderId="0" xfId="0" applyFont="1" applyFill="1" applyAlignment="1">
      <alignment wrapText="1"/>
    </xf>
    <xf numFmtId="0" fontId="0" fillId="0" borderId="0" xfId="0" applyFont="1"/>
    <xf numFmtId="0" fontId="8" fillId="0" borderId="0" xfId="1" applyFont="1" applyAlignment="1" applyProtection="1">
      <alignment wrapText="1"/>
    </xf>
    <xf numFmtId="165" fontId="0" fillId="0" borderId="0" xfId="2" applyNumberFormat="1" applyFont="1" applyFill="1" applyBorder="1"/>
    <xf numFmtId="0" fontId="0" fillId="0" borderId="2" xfId="0" applyBorder="1"/>
    <xf numFmtId="3" fontId="6" fillId="0" borderId="0" xfId="0" applyNumberFormat="1" applyFont="1" applyFill="1" applyBorder="1"/>
    <xf numFmtId="3" fontId="0" fillId="0" borderId="0" xfId="2" applyNumberFormat="1" applyFont="1" applyBorder="1"/>
    <xf numFmtId="3" fontId="0" fillId="0" borderId="2" xfId="2" applyNumberFormat="1" applyFont="1" applyBorder="1"/>
    <xf numFmtId="3" fontId="0" fillId="0" borderId="1" xfId="0" applyNumberFormat="1" applyFill="1" applyBorder="1"/>
    <xf numFmtId="164" fontId="0" fillId="0" borderId="1" xfId="0" applyNumberFormat="1" applyFill="1" applyBorder="1"/>
    <xf numFmtId="0" fontId="7" fillId="0" borderId="1" xfId="0" applyFont="1" applyBorder="1" applyAlignment="1">
      <alignment horizontal="left" vertical="center" wrapText="1"/>
    </xf>
    <xf numFmtId="3" fontId="7" fillId="0" borderId="1" xfId="0" applyNumberFormat="1" applyFont="1" applyBorder="1" applyAlignment="1">
      <alignment horizontal="left" vertical="center" wrapText="1"/>
    </xf>
    <xf numFmtId="4" fontId="7" fillId="0" borderId="1" xfId="0" applyNumberFormat="1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3" fontId="0" fillId="0" borderId="1" xfId="0" applyNumberFormat="1" applyFont="1" applyBorder="1" applyAlignment="1">
      <alignment horizontal="left" vertical="center" wrapText="1"/>
    </xf>
    <xf numFmtId="164" fontId="0" fillId="0" borderId="1" xfId="0" applyNumberFormat="1" applyFont="1" applyBorder="1" applyAlignment="1">
      <alignment horizontal="left" vertical="center" wrapText="1"/>
    </xf>
    <xf numFmtId="4" fontId="0" fillId="0" borderId="1" xfId="0" applyNumberFormat="1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 readingOrder="1"/>
    </xf>
    <xf numFmtId="3" fontId="3" fillId="0" borderId="1" xfId="0" applyNumberFormat="1" applyFont="1" applyBorder="1" applyAlignment="1">
      <alignment horizontal="left" vertical="center" wrapText="1" readingOrder="1"/>
    </xf>
    <xf numFmtId="4" fontId="3" fillId="0" borderId="1" xfId="0" applyNumberFormat="1" applyFont="1" applyBorder="1" applyAlignment="1">
      <alignment horizontal="left" vertical="center" wrapText="1" readingOrder="1"/>
    </xf>
    <xf numFmtId="0" fontId="0" fillId="0" borderId="1" xfId="0" applyFont="1" applyBorder="1" applyAlignment="1">
      <alignment horizontal="left" vertical="center" wrapText="1" readingOrder="1"/>
    </xf>
    <xf numFmtId="3" fontId="0" fillId="0" borderId="1" xfId="0" applyNumberFormat="1" applyFont="1" applyBorder="1" applyAlignment="1">
      <alignment horizontal="left" vertical="center" wrapText="1" readingOrder="1"/>
    </xf>
    <xf numFmtId="164" fontId="0" fillId="0" borderId="1" xfId="0" applyNumberFormat="1" applyFont="1" applyBorder="1" applyAlignment="1">
      <alignment horizontal="left" vertical="center" wrapText="1" readingOrder="1"/>
    </xf>
    <xf numFmtId="0" fontId="0" fillId="0" borderId="1" xfId="0" applyFont="1" applyBorder="1" applyAlignment="1">
      <alignment horizontal="left" vertical="center" readingOrder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RAAD/Economic%20Development/Space%20Available/Data%20Analysis/Spreadsheets/Master%20Data%20Space%20Available%20Tracking_withPivotTable_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 &amp; Table Template"/>
      <sheetName val="Master Data List"/>
      <sheetName val="Lists"/>
    </sheetNames>
    <sheetDataSet>
      <sheetData sheetId="0" refreshError="1"/>
      <sheetData sheetId="1"/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ter Koht" refreshedDate="41362.390047337962" createdVersion="4" refreshedVersion="4" minRefreshableVersion="3" recordCount="133">
  <cacheSource type="worksheet">
    <worksheetSource ref="A1:R134" sheet="Pivot Table Crosstabs"/>
  </cacheSource>
  <cacheFields count="18">
    <cacheField name="List" numFmtId="0">
      <sharedItems/>
    </cacheField>
    <cacheField name="Area" numFmtId="0">
      <sharedItems count="7">
        <s v="Cooper / Front "/>
        <s v="Other Downtown "/>
        <s v="Pacific "/>
        <s v="River / Potrero"/>
        <s v="Harvey West "/>
        <s v="Other Commercial Areas"/>
        <s v="Westside "/>
      </sharedItems>
    </cacheField>
    <cacheField name="Address " numFmtId="0">
      <sharedItems containsSemiMixedTypes="0" containsString="0" containsNumber="1" minValue="55" maxValue="3004"/>
    </cacheField>
    <cacheField name="Street" numFmtId="0">
      <sharedItems/>
    </cacheField>
    <cacheField name="City " numFmtId="0">
      <sharedItems/>
    </cacheField>
    <cacheField name="State" numFmtId="0">
      <sharedItems/>
    </cacheField>
    <cacheField name="Zip Code " numFmtId="0">
      <sharedItems containsSemiMixedTypes="0" containsString="0" containsNumber="1" containsInteger="1" minValue="95060" maxValue="96060"/>
    </cacheField>
    <cacheField name="Type " numFmtId="0">
      <sharedItems count="13">
        <s v="Office"/>
        <s v="Office "/>
        <s v="Retail"/>
        <s v="Retail "/>
        <s v="Flex Space"/>
        <s v="Flex Space "/>
        <s v="Restaurant"/>
        <s v="Warehouse"/>
        <s v="Industrial "/>
        <s v="Medical"/>
        <s v="Medical "/>
        <s v="Industrial"/>
        <s v="Warehouse "/>
      </sharedItems>
    </cacheField>
    <cacheField name="Suite " numFmtId="0">
      <sharedItems containsBlank="1" containsMixedTypes="1" containsNumber="1" containsInteger="1" minValue="105" maxValue="320"/>
    </cacheField>
    <cacheField name="Square Footage" numFmtId="3">
      <sharedItems containsSemiMixedTypes="0" containsString="0" containsNumber="1" containsInteger="1" minValue="0" maxValue="85000"/>
    </cacheField>
    <cacheField name="Stated Rent " numFmtId="164">
      <sharedItems containsString="0" containsBlank="1" containsNumber="1" minValue="0.75" maxValue="9250"/>
    </cacheField>
    <cacheField name="Overhead" numFmtId="0">
      <sharedItems containsBlank="1"/>
    </cacheField>
    <cacheField name="Broker" numFmtId="0">
      <sharedItems/>
    </cacheField>
    <cacheField name="Phone" numFmtId="0">
      <sharedItems/>
    </cacheField>
    <cacheField name="Website / Email" numFmtId="0">
      <sharedItems containsBlank="1"/>
    </cacheField>
    <cacheField name="Notes" numFmtId="0">
      <sharedItems containsBlank="1"/>
    </cacheField>
    <cacheField name="Stated NNN Value" numFmtId="0">
      <sharedItems containsString="0" containsBlank="1" containsNumber="1" minValue="0.16" maxValue="0.55938037865748713"/>
    </cacheField>
    <cacheField name="Per Square Foot (Using Upper Asking Price)" numFmtId="4">
      <sharedItems containsString="0" containsBlank="1" containsNumb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3">
  <r>
    <s v="Downtown "/>
    <x v="0"/>
    <n v="110"/>
    <s v="Cooper Street"/>
    <s v="Santa Cruz "/>
    <s v="CA"/>
    <n v="95060"/>
    <x v="0"/>
    <s v="2d Floor"/>
    <n v="23451"/>
    <n v="1.65"/>
    <s v="NNN"/>
    <s v="Steve Sheldon or Jim Wiseman"/>
    <s v="831-454-9400"/>
    <s v="sheldonwiseman.com"/>
    <s v="Cooper House. Second floor divisible to 2,500 square foot suites"/>
    <m/>
    <n v="1.65"/>
  </r>
  <r>
    <s v="Downtown "/>
    <x v="0"/>
    <n v="110"/>
    <s v="Cooper Street"/>
    <s v="Santa Cruz "/>
    <s v="CA"/>
    <n v="95060"/>
    <x v="0"/>
    <s v="3d Floor"/>
    <n v="23153"/>
    <n v="1.65"/>
    <s v="NNN"/>
    <s v="Steve Sheldon or Jim Wiseman"/>
    <s v="831-454-9400"/>
    <s v="sheldonwiseman.com"/>
    <s v="Cooper House"/>
    <m/>
    <n v="1.65"/>
  </r>
  <r>
    <s v="Downtown "/>
    <x v="0"/>
    <n v="110"/>
    <s v="Cooper Street"/>
    <s v="Santa Cruz "/>
    <s v="CA"/>
    <n v="95060"/>
    <x v="0"/>
    <s v="4th Floor"/>
    <n v="17880"/>
    <n v="1.65"/>
    <s v="NNN"/>
    <s v="Steve Sheldon or Jim Wiseman"/>
    <s v="831-454-9400"/>
    <s v="sheldonwiseman.com"/>
    <s v="Cooper House"/>
    <m/>
    <n v="1.65"/>
  </r>
  <r>
    <s v="Downtown "/>
    <x v="0"/>
    <n v="110"/>
    <s v="Cooper Street"/>
    <s v="Santa Cruz "/>
    <s v="CA"/>
    <n v="95060"/>
    <x v="0"/>
    <s v="5th Floor"/>
    <n v="14669"/>
    <n v="1.65"/>
    <s v="NNN"/>
    <s v="Steve Sheldon or Jim Wiseman"/>
    <s v="831-454-9400"/>
    <s v="sheldonwiseman.com"/>
    <s v="Cooper House"/>
    <m/>
    <n v="1.65"/>
  </r>
  <r>
    <s v="Downtown "/>
    <x v="0"/>
    <n v="313"/>
    <s v="Front Street"/>
    <s v="Santa Cruz "/>
    <s v="CA"/>
    <n v="95060"/>
    <x v="1"/>
    <m/>
    <n v="3200"/>
    <n v="1.1499999999999999"/>
    <s v="NNN"/>
    <s v="Tracy Jones - CIFPM"/>
    <s v="831-464-0444 "/>
    <s v="tracy@cifpm.com"/>
    <m/>
    <m/>
    <n v="1.1499999999999999"/>
  </r>
  <r>
    <s v="Downtown "/>
    <x v="0"/>
    <n v="428"/>
    <s v="Front Street"/>
    <s v="Santa Cruz "/>
    <s v="CA"/>
    <n v="96060"/>
    <x v="2"/>
    <s v="B"/>
    <n v="3170"/>
    <n v="1.25"/>
    <s v="NNN"/>
    <s v="Tracy Jones - CIFPM"/>
    <s v="831-464-0444"/>
    <s v="tracy@cifpm.com"/>
    <s v="Do not disturb occupant"/>
    <m/>
    <n v="1.25"/>
  </r>
  <r>
    <s v="Downtown "/>
    <x v="0"/>
    <n v="701"/>
    <s v="Front Street"/>
    <s v="Santa Cruz "/>
    <s v="CA"/>
    <n v="95060"/>
    <x v="3"/>
    <s v="A"/>
    <n v="1320"/>
    <n v="1650"/>
    <s v="Gross"/>
    <s v="Lee Slaff"/>
    <s v="831-425-1419"/>
    <s v="lee@lslaff.com"/>
    <s v="Modified gross "/>
    <m/>
    <n v="1.25"/>
  </r>
  <r>
    <s v="Downtown "/>
    <x v="0"/>
    <n v="740"/>
    <s v="Front Street"/>
    <s v="Santa Cruz "/>
    <s v="CA"/>
    <n v="95060"/>
    <x v="1"/>
    <n v="170"/>
    <n v="966"/>
    <n v="1.4"/>
    <s v="Full Service"/>
    <s v="Patrick Prindle "/>
    <s v="831-234-0517"/>
    <s v="pprindle@mcmdiversified.com"/>
    <m/>
    <m/>
    <n v="1.4"/>
  </r>
  <r>
    <s v="Downtown "/>
    <x v="0"/>
    <n v="740"/>
    <s v="Front Street"/>
    <s v="Santa Cruz "/>
    <s v="CA"/>
    <n v="95060"/>
    <x v="1"/>
    <n v="315"/>
    <n v="2771"/>
    <n v="1.8"/>
    <s v="Full Service"/>
    <s v="Patrick Prindle "/>
    <s v="831-234-0517"/>
    <s v="pprindle@mcmdiversified.com"/>
    <m/>
    <m/>
    <n v="1.8"/>
  </r>
  <r>
    <s v="Downtown "/>
    <x v="1"/>
    <n v="233"/>
    <s v="Cathcart Street "/>
    <s v="Santa Cruz "/>
    <s v="CA"/>
    <n v="95060"/>
    <x v="2"/>
    <m/>
    <n v="1500"/>
    <n v="1.67"/>
    <s v="Modified Gross"/>
    <s v="David Plumlee"/>
    <s v="831-426-5115"/>
    <m/>
    <s v="water &amp; hot water, garbage, sewer included"/>
    <m/>
    <n v="1.67"/>
  </r>
  <r>
    <s v="Downtown "/>
    <x v="1"/>
    <n v="827"/>
    <s v="Cedar Street"/>
    <s v="Santa Cruz "/>
    <s v="CA"/>
    <n v="95060"/>
    <x v="0"/>
    <s v="2d Floor"/>
    <n v="450"/>
    <n v="900"/>
    <s v="Gross"/>
    <s v="Wayne Shaffer"/>
    <s v="831-427-1380"/>
    <s v="wshaffer.com"/>
    <m/>
    <m/>
    <n v="2"/>
  </r>
  <r>
    <s v="Downtown "/>
    <x v="1"/>
    <n v="845"/>
    <s v="Cedar Street"/>
    <s v="Santa Cruz "/>
    <s v="CA"/>
    <n v="95060"/>
    <x v="1"/>
    <m/>
    <n v="1600"/>
    <n v="1.6"/>
    <s v="Gross"/>
    <s v="Wayne Shaffer"/>
    <s v="831-427-1380"/>
    <s v="wshaffer.com"/>
    <s v="Modified gross "/>
    <m/>
    <n v="1.6"/>
  </r>
  <r>
    <s v="Downtown "/>
    <x v="1"/>
    <n v="427"/>
    <s v="Cedar Street "/>
    <s v="Santa Cruz "/>
    <s v="CA"/>
    <n v="95060"/>
    <x v="1"/>
    <m/>
    <n v="450"/>
    <n v="2"/>
    <s v="Gross"/>
    <s v="Wayne Shaffer"/>
    <s v="831-427-1380"/>
    <s v="wshaffer.com"/>
    <s v="Modified gross "/>
    <m/>
    <n v="2"/>
  </r>
  <r>
    <s v="Downtown "/>
    <x v="1"/>
    <n v="212"/>
    <s v="Laurel Street"/>
    <s v="Santa Cruz "/>
    <s v="CA"/>
    <n v="95060"/>
    <x v="1"/>
    <n v="200"/>
    <n v="520"/>
    <n v="1.54"/>
    <s v="Gross"/>
    <s v="Glenn Kramer"/>
    <s v="831-724-2343"/>
    <s v="burgstromkramer.com"/>
    <m/>
    <m/>
    <n v="1.54"/>
  </r>
  <r>
    <s v="Downtown "/>
    <x v="1"/>
    <n v="212"/>
    <s v="Laurel Street"/>
    <s v="Santa Cruz "/>
    <s v="CA"/>
    <n v="95060"/>
    <x v="0"/>
    <n v="202"/>
    <n v="320"/>
    <n v="1.58"/>
    <s v="Gross"/>
    <s v="Glenn Kramer"/>
    <s v="831-724-2343"/>
    <s v="burgstromkramer.com"/>
    <m/>
    <m/>
    <n v="1.58"/>
  </r>
  <r>
    <s v="Downtown "/>
    <x v="1"/>
    <n v="212"/>
    <s v="Laurel Street"/>
    <s v="Santa Cruz "/>
    <s v="CA"/>
    <n v="95060"/>
    <x v="0"/>
    <n v="203"/>
    <n v="85"/>
    <n v="3.59"/>
    <s v="Gross"/>
    <s v="Glenn Kramer"/>
    <s v="831-724-2343"/>
    <s v="burgstromkramer.com"/>
    <m/>
    <m/>
    <n v="3.59"/>
  </r>
  <r>
    <s v="Downtown "/>
    <x v="1"/>
    <n v="212"/>
    <s v="Laurel Street"/>
    <s v="Santa Cruz "/>
    <s v="CA"/>
    <n v="95060"/>
    <x v="0"/>
    <n v="204"/>
    <n v="250"/>
    <n v="2"/>
    <s v="Gross"/>
    <s v="Glenn Kramer"/>
    <s v="831-724-2343"/>
    <s v="burgstromkramer.com"/>
    <m/>
    <m/>
    <n v="2"/>
  </r>
  <r>
    <s v="Downtown "/>
    <x v="1"/>
    <n v="212"/>
    <s v="Laurel Street"/>
    <s v="Santa Cruz "/>
    <s v="CA"/>
    <n v="95060"/>
    <x v="0"/>
    <n v="205"/>
    <n v="85"/>
    <n v="3.59"/>
    <s v="Gross"/>
    <s v="Glenn Kramer"/>
    <s v="831-724-2343"/>
    <s v="burgstromkramer.com"/>
    <m/>
    <m/>
    <n v="3.59"/>
  </r>
  <r>
    <s v="Downtown "/>
    <x v="1"/>
    <n v="212"/>
    <s v="Laurel Street"/>
    <s v="Santa Cruz "/>
    <s v="CA"/>
    <n v="95060"/>
    <x v="0"/>
    <n v="207"/>
    <n v="85"/>
    <n v="3.59"/>
    <s v="Gross"/>
    <s v="Glenn Kramer"/>
    <s v="831-724-2343"/>
    <s v="burgstromkramer.com"/>
    <m/>
    <m/>
    <n v="3.59"/>
  </r>
  <r>
    <s v="Downtown "/>
    <x v="1"/>
    <n v="212"/>
    <s v="Laurel Street"/>
    <s v="Santa Cruz "/>
    <s v="CA"/>
    <n v="95060"/>
    <x v="0"/>
    <n v="209"/>
    <n v="105"/>
    <n v="3.14"/>
    <s v="Gross"/>
    <s v="Glenn Kramer"/>
    <s v="831-724-2343"/>
    <s v="burgstromkramer.com"/>
    <m/>
    <m/>
    <n v="3.14"/>
  </r>
  <r>
    <s v="Downtown "/>
    <x v="1"/>
    <n v="312"/>
    <s v="Lincoln Street"/>
    <s v="Santa Cruz "/>
    <s v="CA"/>
    <n v="95060"/>
    <x v="1"/>
    <s v="C"/>
    <n v="156"/>
    <n v="1.44"/>
    <s v="Gross "/>
    <s v="Lee Slaff"/>
    <s v="831-425-1419"/>
    <s v="lee@lslaff.com"/>
    <s v="$255 per month "/>
    <m/>
    <n v="1.44"/>
  </r>
  <r>
    <s v="Downtown "/>
    <x v="1"/>
    <n v="312"/>
    <s v="Lincoln Street"/>
    <s v="Santa Cruz "/>
    <s v="CA"/>
    <n v="95060"/>
    <x v="1"/>
    <m/>
    <n v="3000"/>
    <n v="3850"/>
    <s v="Gross "/>
    <s v="Lee Slaff"/>
    <s v="831-425-1419"/>
    <s v="lee@lslaff.com"/>
    <m/>
    <m/>
    <n v="1.2833333333333334"/>
  </r>
  <r>
    <s v="Downtown "/>
    <x v="1"/>
    <n v="123"/>
    <s v="Locust Street"/>
    <s v="Santa Cruz "/>
    <s v="CA"/>
    <n v="95060"/>
    <x v="3"/>
    <s v="1st Floor"/>
    <n v="2300"/>
    <n v="2.25"/>
    <s v="Gross"/>
    <s v="Steve Sheldon or Jim Wiseman "/>
    <s v="831-454-9400"/>
    <s v="sheldonwiseman.com"/>
    <s v="LH Selman Building For Sale $1,695,000"/>
    <m/>
    <n v="2.25"/>
  </r>
  <r>
    <s v="Downtown "/>
    <x v="1"/>
    <n v="123"/>
    <s v="Locust Street"/>
    <s v="Santa Cruz "/>
    <s v="CA"/>
    <n v="95060"/>
    <x v="0"/>
    <s v="2d Floor"/>
    <n v="2800"/>
    <n v="2"/>
    <s v="Gross"/>
    <s v="Steve Sheldon or Jim Wiseman"/>
    <s v="831-454-9400"/>
    <s v="sheldonwiseman.com"/>
    <s v="LH Selman Building For Sale $1,695,000"/>
    <m/>
    <n v="2"/>
  </r>
  <r>
    <s v="Downtown "/>
    <x v="1"/>
    <n v="175"/>
    <s v="Walnut Avenue"/>
    <s v="Santa Cruz "/>
    <s v="CA"/>
    <n v="95060"/>
    <x v="4"/>
    <s v="175-A"/>
    <n v="4000"/>
    <n v="1.25"/>
    <s v="Gross"/>
    <s v="Sue Ellen Gales"/>
    <s v="831-239-5516"/>
    <s v="andersonchristie.com"/>
    <m/>
    <m/>
    <n v="1.25"/>
  </r>
  <r>
    <s v="Downtown "/>
    <x v="1"/>
    <n v="175"/>
    <s v="Walnut Avenue"/>
    <s v="Santa Cruz "/>
    <s v="CA"/>
    <n v="95060"/>
    <x v="4"/>
    <s v="175-B"/>
    <n v="1000"/>
    <n v="1.25"/>
    <s v="Gross"/>
    <s v="Sue Ellen Gales"/>
    <s v="831-239-5516"/>
    <s v="andersonchristie.com"/>
    <m/>
    <m/>
    <n v="1.25"/>
  </r>
  <r>
    <s v="Downtown "/>
    <x v="1"/>
    <n v="189"/>
    <s v="Walnut Avenue"/>
    <s v="Santa Cruz "/>
    <s v="CA"/>
    <n v="95060"/>
    <x v="5"/>
    <s v="189-A"/>
    <n v="5270"/>
    <n v="1.38"/>
    <s v="Gross"/>
    <s v="Sue Ellen Gales"/>
    <s v="831-239-5516"/>
    <s v="andersonchristie.com"/>
    <m/>
    <m/>
    <n v="1.38"/>
  </r>
  <r>
    <s v="Downtown "/>
    <x v="1"/>
    <n v="200"/>
    <s v="Washington Street"/>
    <s v="Santa Cruz "/>
    <s v="CA"/>
    <n v="95060"/>
    <x v="1"/>
    <n v="201"/>
    <n v="820"/>
    <n v="1.45"/>
    <s v="NNN"/>
    <s v="David Cury"/>
    <s v="831-476-0302"/>
    <s v="davidcury@yahoo.com"/>
    <m/>
    <m/>
    <n v="1.45"/>
  </r>
  <r>
    <s v="Downtown "/>
    <x v="1"/>
    <n v="125"/>
    <s v="Water Street"/>
    <s v="Santa Cruz "/>
    <s v="CA"/>
    <n v="95060"/>
    <x v="1"/>
    <s v="A-2"/>
    <n v="2252"/>
    <n v="1.8"/>
    <s v="Gross "/>
    <s v="Randy Parker and Matt Shelton"/>
    <s v="831-476-2222"/>
    <s v="rpark101@yahoo.com"/>
    <m/>
    <m/>
    <n v="1.8"/>
  </r>
  <r>
    <s v="Downtown "/>
    <x v="1"/>
    <n v="125"/>
    <s v="Water Street"/>
    <s v="Santa Cruz "/>
    <s v="CA"/>
    <n v="95060"/>
    <x v="1"/>
    <s v="A-3"/>
    <n v="1286"/>
    <n v="1.8"/>
    <s v="Gross"/>
    <s v="Randy Parker and Matt Shelton"/>
    <s v="831-476-2222"/>
    <s v="rpark101@yahoo.com"/>
    <m/>
    <m/>
    <n v="1.8"/>
  </r>
  <r>
    <s v="Downtown "/>
    <x v="1"/>
    <n v="125"/>
    <s v="Water Street"/>
    <s v="Santa Cruz "/>
    <s v="CA"/>
    <n v="95060"/>
    <x v="0"/>
    <s v="C "/>
    <n v="2215"/>
    <n v="1.8"/>
    <s v="Gross "/>
    <s v="Randy Parker and Matt Shelton"/>
    <s v="831-476-2222"/>
    <s v="rpark101@yahoo.com"/>
    <m/>
    <m/>
    <n v="1.8"/>
  </r>
  <r>
    <s v="Downtown "/>
    <x v="2"/>
    <n v="110"/>
    <s v="Cooper Street "/>
    <s v="Santa Cruz "/>
    <s v="CA"/>
    <n v="95060"/>
    <x v="3"/>
    <m/>
    <n v="1873"/>
    <n v="2"/>
    <s v="NNN"/>
    <s v="Steve Sheldon or Jim Wiseman"/>
    <s v="831-454-9400"/>
    <s v="sheldonwiseman.com"/>
    <s v="Cooper House"/>
    <m/>
    <n v="2"/>
  </r>
  <r>
    <s v="Downtown "/>
    <x v="2"/>
    <n v="1349"/>
    <s v="Pacific Avenue"/>
    <s v="Santa Cruz "/>
    <s v="CA"/>
    <n v="95060"/>
    <x v="3"/>
    <m/>
    <n v="1800"/>
    <n v="2.75"/>
    <s v="NNN"/>
    <s v="Rick Melrose"/>
    <s v="831-334-1295"/>
    <s v="rick_melrose@yahoo.com"/>
    <m/>
    <m/>
    <n v="2.75"/>
  </r>
  <r>
    <s v="Downtown "/>
    <x v="2"/>
    <n v="819"/>
    <s v="Pacific Avenue"/>
    <s v="Santa Cruz "/>
    <s v="CA"/>
    <n v="95060"/>
    <x v="0"/>
    <m/>
    <n v="1385"/>
    <n v="2200"/>
    <s v="Gross"/>
    <s v="Gary Marietti"/>
    <s v="831-429-1698"/>
    <s v="garmar2@sbcglobal.net"/>
    <s v="Includes up to 4 parking spaces at $40 per month each"/>
    <m/>
    <n v="1.5884476534296028"/>
  </r>
  <r>
    <s v="Downtown "/>
    <x v="2"/>
    <n v="819.5"/>
    <s v="Pacific Avenue"/>
    <s v="Santa Cruz "/>
    <s v="CA"/>
    <n v="95060"/>
    <x v="1"/>
    <s v=" #3"/>
    <n v="480"/>
    <n v="700"/>
    <s v="Gross "/>
    <s v="Reuben Helick"/>
    <s v="831-647-2109"/>
    <s v="ctbt.com"/>
    <m/>
    <m/>
    <n v="1.4583333333333333"/>
  </r>
  <r>
    <s v="Downtown "/>
    <x v="2"/>
    <n v="1013"/>
    <s v="Pacific Avenue"/>
    <s v="Santa Cruz "/>
    <s v="CA"/>
    <n v="95060"/>
    <x v="2"/>
    <m/>
    <n v="4500"/>
    <n v="3"/>
    <s v="NNN"/>
    <s v="Reuben Helick"/>
    <s v="831-647-2109"/>
    <s v="terranomics.com"/>
    <s v="Miller Building - New construction"/>
    <m/>
    <n v="3"/>
  </r>
  <r>
    <s v="Downtown "/>
    <x v="2"/>
    <n v="1101"/>
    <s v="Pacific Avenue"/>
    <s v="Santa Cruz "/>
    <s v="CA"/>
    <n v="95060"/>
    <x v="2"/>
    <s v="D"/>
    <n v="1561"/>
    <n v="2.75"/>
    <s v="NNN"/>
    <s v="Steve Sheldon or Jim Wiseman "/>
    <s v="831-454-9400"/>
    <s v="sheldonwiseman.com"/>
    <s v="University Town Center "/>
    <m/>
    <n v="2.75"/>
  </r>
  <r>
    <s v="Downtown "/>
    <x v="2"/>
    <n v="1101"/>
    <s v="Pacific Avenue"/>
    <s v="Santa Cruz "/>
    <s v="CA"/>
    <n v="95060"/>
    <x v="1"/>
    <n v="300"/>
    <n v="3323"/>
    <n v="1.25"/>
    <s v="NNN"/>
    <s v="Steve Sheldon or Jim Wiseman "/>
    <s v="831-454-9400"/>
    <s v="sheldonwiseman.com"/>
    <s v="University Town Center "/>
    <m/>
    <n v="1.25"/>
  </r>
  <r>
    <s v="Downtown "/>
    <x v="2"/>
    <n v="1108"/>
    <s v="Pacific Avenue"/>
    <s v="Santa Cruz "/>
    <s v="CA"/>
    <n v="95060"/>
    <x v="6"/>
    <m/>
    <n v="4000"/>
    <n v="9250"/>
    <s v="NNN"/>
    <s v="Nance Conover"/>
    <s v="415-355-7121"/>
    <s v="nconover@mercyhousing.org"/>
    <s v="Former Aqua Bleu"/>
    <m/>
    <n v="2.3125"/>
  </r>
  <r>
    <s v="Downtown "/>
    <x v="2"/>
    <n v="1101"/>
    <s v="Pacific Avenue"/>
    <s v="Santa Cruz "/>
    <s v="CA"/>
    <n v="95060"/>
    <x v="1"/>
    <n v="308"/>
    <n v="1525"/>
    <n v="1.25"/>
    <s v="NNN"/>
    <s v="Steve Sheldon or Jim Wiseman "/>
    <s v="831-454-9400"/>
    <s v="sheldonwiseman.com"/>
    <s v="University Town Center "/>
    <m/>
    <n v="1.25"/>
  </r>
  <r>
    <s v="Downtown "/>
    <x v="2"/>
    <n v="1101"/>
    <s v="Pacific Avenue"/>
    <s v="Santa Cruz "/>
    <s v="CA"/>
    <n v="95060"/>
    <x v="1"/>
    <n v="320"/>
    <n v="5178"/>
    <n v="1.25"/>
    <s v="NNN"/>
    <s v="Steve Sheldon or Jim Wiseman "/>
    <s v="831-454-9400"/>
    <s v="sheldonwiseman.com"/>
    <s v="University Town Center "/>
    <m/>
    <n v="1.25"/>
  </r>
  <r>
    <s v="Downtown "/>
    <x v="2"/>
    <n v="1101"/>
    <s v="Pacific Avenue"/>
    <s v="Santa Cruz "/>
    <s v="CA"/>
    <n v="95060"/>
    <x v="1"/>
    <n v="210"/>
    <n v="1484"/>
    <n v="1.25"/>
    <s v="NNN"/>
    <s v="Steve Sheldon or Jim Wiseman "/>
    <s v="831-454-9400"/>
    <s v="sheldonwiseman.com"/>
    <s v="University Town Center "/>
    <m/>
    <n v="1.25"/>
  </r>
  <r>
    <s v="Downtown "/>
    <x v="2"/>
    <n v="1119"/>
    <s v="Pacific Avenue"/>
    <s v="Santa Cruz "/>
    <s v="CA"/>
    <n v="95060"/>
    <x v="1"/>
    <m/>
    <n v="6200"/>
    <n v="0.89"/>
    <s v="NNN"/>
    <s v="Lee Slaff"/>
    <s v="831-425-1419"/>
    <s v="lee@lslaff.com"/>
    <m/>
    <n v="0.52"/>
    <n v="0.89"/>
  </r>
  <r>
    <s v="Downtown "/>
    <x v="2"/>
    <n v="1125"/>
    <s v="Pacific Avenue"/>
    <s v="Santa Cruz "/>
    <s v="CA"/>
    <n v="95060"/>
    <x v="2"/>
    <m/>
    <n v="2437"/>
    <n v="2.75"/>
    <s v="NNN"/>
    <s v="Steve Sheldon or Jim Wiseman"/>
    <s v="831-454-9400"/>
    <s v="sheldonwiseman.com"/>
    <m/>
    <m/>
    <n v="2.75"/>
  </r>
  <r>
    <s v="Downtown "/>
    <x v="2"/>
    <n v="1200"/>
    <s v="Pacific Avenue"/>
    <s v="Santa Cruz "/>
    <s v="CA"/>
    <n v="95060"/>
    <x v="1"/>
    <n v="250"/>
    <n v="3463"/>
    <n v="1.75"/>
    <s v="NNN"/>
    <s v="Steve Sheldon or Jim Wiseman"/>
    <s v="831-454-9400"/>
    <s v="sheldonwiseman.com"/>
    <s v="Redtree Building"/>
    <m/>
    <n v="1.75"/>
  </r>
  <r>
    <s v="Downtown "/>
    <x v="2"/>
    <n v="1200"/>
    <s v="Pacific Avenue"/>
    <s v="Santa Cruz "/>
    <s v="CA"/>
    <n v="95060"/>
    <x v="0"/>
    <n v="270"/>
    <n v="3589"/>
    <n v="1.75"/>
    <s v="NNN"/>
    <s v="Steve Sheldon or Jim Wiseman"/>
    <s v="831-454-9400"/>
    <s v="sheldonwiseman.com"/>
    <s v="Redtree Building"/>
    <m/>
    <n v="1.75"/>
  </r>
  <r>
    <s v="Downtown "/>
    <x v="2"/>
    <n v="1200"/>
    <s v="Pacific Avenue"/>
    <s v="Santa Cruz "/>
    <s v="CA"/>
    <n v="95060"/>
    <x v="1"/>
    <n v="290"/>
    <n v="1542"/>
    <n v="1.75"/>
    <s v="NNN"/>
    <s v="Steve Sheldon or Jim Wiseman"/>
    <s v="831-454-9400"/>
    <s v="sheldonwiseman.com"/>
    <s v="Redtree Building - Divisible  1,737 Suites"/>
    <m/>
    <n v="1.75"/>
  </r>
  <r>
    <s v="Downtown "/>
    <x v="2"/>
    <n v="1200"/>
    <s v="Pacific Avenue"/>
    <s v="Santa Cruz "/>
    <s v="CA"/>
    <n v="95060"/>
    <x v="1"/>
    <n v="310"/>
    <n v="2295"/>
    <n v="1.75"/>
    <s v="NNN"/>
    <s v="Steve Sheldon or Jim Wiseman"/>
    <s v="831-454-9400"/>
    <s v="sheldonwiseman.com"/>
    <s v="Redtree Building - Divisible  1,737 Suites"/>
    <m/>
    <n v="1.75"/>
  </r>
  <r>
    <s v="Downtown "/>
    <x v="2"/>
    <n v="1251.5"/>
    <s v="Pacific Avenue"/>
    <s v="Santa Cruz "/>
    <s v="CA"/>
    <n v="95060"/>
    <x v="1"/>
    <s v="2d Floor"/>
    <n v="2863"/>
    <n v="1.4"/>
    <s v="Gross "/>
    <s v="Brian O'Connor"/>
    <s v="831-818-0368"/>
    <s v="wilsonbroscommercial.com"/>
    <m/>
    <m/>
    <n v="1.4"/>
  </r>
  <r>
    <s v="Downtown "/>
    <x v="2"/>
    <n v="1339"/>
    <s v="Pacific Avenue"/>
    <s v="Santa Cruz "/>
    <s v="CA"/>
    <n v="95060"/>
    <x v="2"/>
    <m/>
    <n v="5000"/>
    <n v="2.35"/>
    <s v="Gross"/>
    <s v="Fred Vellutini"/>
    <s v="831-423-7611"/>
    <m/>
    <m/>
    <n v="0.16"/>
    <n v="2.35"/>
  </r>
  <r>
    <s v="Downtown "/>
    <x v="2"/>
    <n v="1367"/>
    <s v="Pacific Avenue"/>
    <s v="Santa Cruz "/>
    <s v="CA"/>
    <n v="95060"/>
    <x v="3"/>
    <s v="1st Floor"/>
    <n v="14945"/>
    <n v="4"/>
    <s v="NNN"/>
    <s v="Jon Stansbury or James Chung "/>
    <s v="408-436-3652"/>
    <s v="terranomics.com"/>
    <s v="EC Rittenhouse Building Retail Space Divisible to 4,500 square feet"/>
    <m/>
    <n v="4"/>
  </r>
  <r>
    <s v="Downtown "/>
    <x v="2"/>
    <n v="1367"/>
    <s v="Pacific Avenue"/>
    <s v="Santa Cruz "/>
    <s v="CA"/>
    <n v="95060"/>
    <x v="0"/>
    <s v="2d Floor"/>
    <n v="16815"/>
    <n v="1.65"/>
    <s v="NNN"/>
    <s v="Carol Lezin or Carol Canaris"/>
    <s v="831-479-8000"/>
    <s v="ctbt.com"/>
    <s v="EC Rittenhouse Building"/>
    <m/>
    <n v="1.65"/>
  </r>
  <r>
    <s v="Downtown "/>
    <x v="2"/>
    <n v="1367"/>
    <s v="Pacific Avenue"/>
    <s v="Santa Cruz "/>
    <s v="CA"/>
    <n v="95060"/>
    <x v="0"/>
    <s v="3d Floor"/>
    <n v="17746"/>
    <n v="1.65"/>
    <s v="NNN"/>
    <s v="Carol Lezin or Carol Canaris"/>
    <s v="831-479-8000"/>
    <s v="ctbt.com"/>
    <s v="EC Rittenhouse Building"/>
    <m/>
    <n v="1.65"/>
  </r>
  <r>
    <s v="Downtown "/>
    <x v="2"/>
    <n v="1367"/>
    <s v="Pacific Avenue"/>
    <s v="Santa Cruz "/>
    <s v="CA"/>
    <n v="95060"/>
    <x v="0"/>
    <s v="4th Floor"/>
    <n v="12675"/>
    <n v="1.65"/>
    <s v="NNN"/>
    <s v="Carol Lezin or Carol Canaris"/>
    <s v="831-479-8000"/>
    <s v="ctbt.com"/>
    <s v="EC Rittenhouse Building"/>
    <m/>
    <n v="1.65"/>
  </r>
  <r>
    <s v="Downtown "/>
    <x v="2"/>
    <n v="1528"/>
    <s v="Pacific Avenue"/>
    <s v="Santa Cruz "/>
    <s v="CA"/>
    <n v="95060"/>
    <x v="3"/>
    <m/>
    <n v="1092"/>
    <n v="2"/>
    <s v="NNN"/>
    <s v="Patrick Prindle "/>
    <s v="831-234-0517"/>
    <s v="mcmdiversified.com"/>
    <m/>
    <m/>
    <n v="2"/>
  </r>
  <r>
    <s v="Downtown "/>
    <x v="2"/>
    <n v="1537"/>
    <s v="Pacific Avenue"/>
    <s v="Santa Cruz "/>
    <s v="CA"/>
    <n v="95060"/>
    <x v="2"/>
    <m/>
    <n v="581"/>
    <n v="1.75"/>
    <s v="NNN"/>
    <s v="Lee Slaff"/>
    <s v="831-425-1419"/>
    <s v="lee@lslaff.com"/>
    <s v="Plaza Lane frontage"/>
    <n v="0.55938037865748713"/>
    <n v="1.75"/>
  </r>
  <r>
    <s v="Downtown "/>
    <x v="2"/>
    <n v="1319"/>
    <s v="Pacific Avenue "/>
    <s v="Santa Cruz "/>
    <s v="CA"/>
    <n v="95060"/>
    <x v="1"/>
    <s v="2d Floor"/>
    <n v="1380"/>
    <n v="1.35"/>
    <s v="NNN"/>
    <s v="Tracy Jones - CIFPM"/>
    <s v="831-464-0444"/>
    <s v="tracy@cifpm.com"/>
    <m/>
    <m/>
    <n v="1.35"/>
  </r>
  <r>
    <s v="Downtown "/>
    <x v="3"/>
    <n v="149"/>
    <s v="Josephine Street"/>
    <s v="Santa Cruz "/>
    <s v="CA"/>
    <n v="95060"/>
    <x v="1"/>
    <m/>
    <n v="625"/>
    <n v="1.25"/>
    <s v="Gross "/>
    <s v="Tracy Jones"/>
    <s v="831-464-0444 "/>
    <s v="tracy@cifpm.com"/>
    <m/>
    <m/>
    <n v="1.25"/>
  </r>
  <r>
    <s v="Downtown "/>
    <x v="3"/>
    <n v="256"/>
    <s v="Potrero Street"/>
    <s v="Santa Cruz "/>
    <s v="CA"/>
    <n v="95060"/>
    <x v="7"/>
    <m/>
    <n v="3200"/>
    <n v="1"/>
    <s v="Gross"/>
    <s v="Lee Slaff"/>
    <s v="831-425-1419"/>
    <s v="lee@lslaff.com"/>
    <m/>
    <m/>
    <n v="1"/>
  </r>
  <r>
    <s v="Downtown "/>
    <x v="3"/>
    <n v="303"/>
    <s v="Potrero Street"/>
    <s v="Santa Cruz "/>
    <s v="CA"/>
    <n v="95060"/>
    <x v="0"/>
    <m/>
    <n v="0"/>
    <n v="0.99"/>
    <s v="NNN"/>
    <s v="Leland Zeidler or Michael DiDonato"/>
    <s v="831-423-8331"/>
    <s v="Rentalinfo@lemarco.com"/>
    <s v="Call for details "/>
    <m/>
    <n v="0.99"/>
  </r>
  <r>
    <s v="Downtown "/>
    <x v="3"/>
    <n v="55"/>
    <s v="River Street"/>
    <s v="Santa Cruz "/>
    <s v="CA"/>
    <n v="95060"/>
    <x v="1"/>
    <n v="230"/>
    <n v="1600"/>
    <n v="1.6"/>
    <s v="NNN"/>
    <s v="Fred Antaki"/>
    <s v="831-295-8850"/>
    <s v="mainstreetrealtors.com"/>
    <s v="plus utilities"/>
    <m/>
    <n v="1.6"/>
  </r>
  <r>
    <s v="Downtown "/>
    <x v="3"/>
    <n v="211"/>
    <s v="River Street "/>
    <s v="Santa Cruz "/>
    <s v="CA"/>
    <n v="95060"/>
    <x v="1"/>
    <m/>
    <n v="6000"/>
    <n v="1.25"/>
    <s v="NNN"/>
    <s v="Fred Antaki"/>
    <s v="831-295-8850"/>
    <s v="mainstreetrealtors.com"/>
    <s v="TI's neg. Building may be for sale"/>
    <n v="0.35"/>
    <n v="1.25"/>
  </r>
  <r>
    <s v="Downtown "/>
    <x v="3"/>
    <n v="223"/>
    <s v="River Street"/>
    <s v="Santa Cruz "/>
    <s v="CA"/>
    <n v="95060"/>
    <x v="0"/>
    <s v="D"/>
    <n v="500"/>
    <n v="900"/>
    <m/>
    <s v="Fred Antaki"/>
    <s v="831-295-8850"/>
    <s v="mainstreetrealtors.com"/>
    <s v="inc. utilities"/>
    <m/>
    <n v="1.8"/>
  </r>
  <r>
    <s v="Downtown "/>
    <x v="3"/>
    <n v="415"/>
    <s v="River Street "/>
    <s v="Santa Cruz "/>
    <s v="CA "/>
    <n v="95060"/>
    <x v="3"/>
    <s v="B"/>
    <n v="7727"/>
    <n v="2.4900000000000002"/>
    <s v="NNN"/>
    <s v="Steve Sheldon or Jim Wiseman"/>
    <s v="831-454-9400"/>
    <s v="sheldonwiseman.com"/>
    <m/>
    <m/>
    <n v="2.4900000000000002"/>
  </r>
  <r>
    <s v="Downtown "/>
    <x v="3"/>
    <n v="720"/>
    <s v="River Street"/>
    <s v="Santa Cruz "/>
    <s v="CA"/>
    <n v="95060"/>
    <x v="0"/>
    <m/>
    <n v="2400"/>
    <n v="3200"/>
    <m/>
    <s v="Sue Ellen Gales"/>
    <s v="831-239-5516"/>
    <s v="sue@andersonchristie.com"/>
    <s v="Divisible to 150 square feet at $495"/>
    <m/>
    <n v="3.3"/>
  </r>
  <r>
    <s v="Downtown "/>
    <x v="3"/>
    <n v="600"/>
    <s v="River Street "/>
    <s v="Santa Cruz "/>
    <s v="CA"/>
    <n v="95060"/>
    <x v="3"/>
    <m/>
    <n v="1150"/>
    <n v="3.25"/>
    <m/>
    <s v="Sam Bogdanovich"/>
    <s v="831-886-7802"/>
    <s v="sbogdanovich@retailassociates.com"/>
    <m/>
    <m/>
    <n v="3.25"/>
  </r>
  <r>
    <s v="Downtown "/>
    <x v="3"/>
    <n v="600"/>
    <s v="River Street "/>
    <s v="Santa Cruz "/>
    <s v="CA"/>
    <n v="95060"/>
    <x v="3"/>
    <m/>
    <n v="2880"/>
    <n v="3.25"/>
    <m/>
    <s v="Sam Bogdanovich"/>
    <s v="831-886-7802"/>
    <s v="sbogdanovich@retailassociates.com"/>
    <s v="Negotiable to $2.50"/>
    <m/>
    <n v="3.25"/>
  </r>
  <r>
    <s v="Industrial "/>
    <x v="4"/>
    <n v="350"/>
    <s v="Coral Street"/>
    <s v="Santa Cruz "/>
    <s v="CA"/>
    <n v="95060"/>
    <x v="0"/>
    <m/>
    <n v="650"/>
    <n v="750"/>
    <m/>
    <s v="Matt Shelton"/>
    <s v="831-476-2222"/>
    <s v="jrparrish.com"/>
    <m/>
    <m/>
    <n v="1.1538461538461537"/>
  </r>
  <r>
    <s v="Industrial "/>
    <x v="4"/>
    <n v="155"/>
    <s v="DuBois Street"/>
    <s v="Santa Cruz "/>
    <s v="CA"/>
    <n v="95060"/>
    <x v="0"/>
    <m/>
    <n v="14700"/>
    <n v="1"/>
    <s v="NNN"/>
    <s v="Dan Watson"/>
    <s v="831-476-8194"/>
    <s v="hirschandassociates.com"/>
    <m/>
    <m/>
    <n v="1"/>
  </r>
  <r>
    <s v="Industrial "/>
    <x v="4"/>
    <n v="165"/>
    <s v="DuBois Street"/>
    <s v="Santa Cruz "/>
    <s v="CA"/>
    <n v="95060"/>
    <x v="0"/>
    <m/>
    <n v="18700"/>
    <n v="1"/>
    <s v="NNN"/>
    <s v="Dan Watson"/>
    <s v="831-476-8194"/>
    <s v="hirschandassociates.com"/>
    <m/>
    <m/>
    <n v="1"/>
  </r>
  <r>
    <s v="Industrial "/>
    <x v="4"/>
    <n v="229"/>
    <s v="Encinal Street"/>
    <s v="Santa Cruz "/>
    <s v="CA"/>
    <n v="95060"/>
    <x v="0"/>
    <s v="2d Floor"/>
    <n v="2800"/>
    <n v="0.85"/>
    <m/>
    <s v="Rick Melrose"/>
    <s v="831-334-1295"/>
    <s v="rick_melrose@yahoo.com"/>
    <m/>
    <m/>
    <n v="0.85"/>
  </r>
  <r>
    <s v="Industrial "/>
    <x v="4"/>
    <n v="235"/>
    <s v="Fern Street"/>
    <s v="Santa Cruz "/>
    <s v="CA"/>
    <n v="95060"/>
    <x v="8"/>
    <m/>
    <n v="5000"/>
    <n v="750"/>
    <m/>
    <s v="Wayne Shaffer"/>
    <s v="831-427-1380"/>
    <s v="wshaffer.com"/>
    <s v="Yard for storage"/>
    <m/>
    <n v="0.15"/>
  </r>
  <r>
    <s v="Industrial "/>
    <x v="4"/>
    <n v="115"/>
    <s v="Harvey West Boulevard"/>
    <s v="Santa Cruz "/>
    <s v="CA"/>
    <n v="95060"/>
    <x v="4"/>
    <m/>
    <n v="4200"/>
    <n v="1"/>
    <s v="Gross "/>
    <s v="Kristen A. Macken "/>
    <s v="408-282-3878  "/>
    <s v="kristen.macken@colliers.com"/>
    <m/>
    <m/>
    <n v="1"/>
  </r>
  <r>
    <s v="Industrial "/>
    <x v="4"/>
    <n v="151"/>
    <s v="Harvey West Boulevard"/>
    <s v="Santa Cruz "/>
    <s v="CA"/>
    <n v="95060"/>
    <x v="7"/>
    <m/>
    <n v="14000"/>
    <n v="1"/>
    <s v="NNN "/>
    <s v="Steve Sheldon or Jim Wiseman"/>
    <s v="831-454-9400"/>
    <s v="sheldonwiseman.com"/>
    <m/>
    <m/>
    <n v="1"/>
  </r>
  <r>
    <s v="Industrial "/>
    <x v="4"/>
    <n v="298"/>
    <s v="Harvey West Boulevard"/>
    <s v="Santa Cruz "/>
    <s v="CA"/>
    <n v="95060"/>
    <x v="7"/>
    <m/>
    <n v="11700"/>
    <n v="1.05"/>
    <s v="Gross "/>
    <s v="Randy Parker"/>
    <s v="831-476-2222"/>
    <s v="jrparrish.com"/>
    <s v="dock, high roll up"/>
    <m/>
    <n v="1.05"/>
  </r>
  <r>
    <s v="Industrial "/>
    <x v="4"/>
    <n v="115"/>
    <s v="Limekiln Street"/>
    <s v="Santa Cruz "/>
    <s v="CA"/>
    <n v="95060"/>
    <x v="1"/>
    <m/>
    <n v="3800"/>
    <n v="1"/>
    <s v="Gross "/>
    <s v="Lee Slaff"/>
    <s v="831-425-1419"/>
    <s v="lee@lslaff.com"/>
    <s v="Garage w/ rollup"/>
    <m/>
    <n v="1"/>
  </r>
  <r>
    <s v="Industrial "/>
    <x v="4"/>
    <n v="100"/>
    <s v="Pioneer Street"/>
    <s v="Santa Cruz "/>
    <s v="CA"/>
    <n v="95060"/>
    <x v="0"/>
    <m/>
    <n v="6500"/>
    <n v="1.1000000000000001"/>
    <s v="NNN "/>
    <s v="William Ow "/>
    <s v="831-247-5550"/>
    <s v="owproperties.com"/>
    <s v="Divsible to 3,500 square feet"/>
    <m/>
    <n v="1.1000000000000001"/>
  </r>
  <r>
    <s v="Industrial "/>
    <x v="5"/>
    <n v="100"/>
    <s v="Doyle Street "/>
    <s v="Santa Cruz "/>
    <s v="CA"/>
    <n v="95062"/>
    <x v="1"/>
    <s v="D"/>
    <n v="685"/>
    <n v="1.6"/>
    <s v="NNN"/>
    <s v="Carol Lezin or Carol Canaris"/>
    <s v="831-479-8000"/>
    <s v="ctbt.com"/>
    <m/>
    <m/>
    <n v="1.6"/>
  </r>
  <r>
    <s v="Industrial "/>
    <x v="5"/>
    <n v="100"/>
    <s v="Doyle Street "/>
    <s v="Santa Cruz "/>
    <s v="CA"/>
    <n v="95062"/>
    <x v="0"/>
    <s v="E"/>
    <n v="872"/>
    <n v="1.6"/>
    <s v="NNN"/>
    <s v="Carol Lezin or Carol Canaris"/>
    <s v="831-479-8000"/>
    <s v="ctbt.com"/>
    <m/>
    <m/>
    <n v="1.6"/>
  </r>
  <r>
    <s v="Industrial "/>
    <x v="5"/>
    <n v="347"/>
    <s v="Gault Street"/>
    <s v="Santa Cruz "/>
    <s v="CA"/>
    <n v="95062"/>
    <x v="0"/>
    <m/>
    <n v="1000"/>
    <n v="1500"/>
    <s v="Gross"/>
    <s v="JR Parrish "/>
    <s v="831-476-2222"/>
    <s v="jrparrish.com"/>
    <m/>
    <m/>
    <n v="1.5"/>
  </r>
  <r>
    <s v="Industrial "/>
    <x v="5"/>
    <n v="530"/>
    <s v="Ocean Street"/>
    <s v="Santa Cruz "/>
    <s v="CA"/>
    <n v="95060"/>
    <x v="0"/>
    <m/>
    <n v="1200"/>
    <n v="1.25"/>
    <s v="NNN"/>
    <s v="Fred Antaki"/>
    <s v="831-295-8850"/>
    <s v="mainstreetrealtors.com"/>
    <m/>
    <m/>
    <n v="1.25"/>
  </r>
  <r>
    <s v="Industrial "/>
    <x v="5"/>
    <n v="542"/>
    <s v="Ocean Street"/>
    <s v="Santa Cruz "/>
    <s v="CA"/>
    <n v="95060"/>
    <x v="9"/>
    <s v="A"/>
    <n v="525"/>
    <n v="1.25"/>
    <s v="NNN"/>
    <s v="Fred Antaki"/>
    <s v="831-295-8850"/>
    <s v="mainstreetrelators.com"/>
    <m/>
    <n v="0.36"/>
    <n v="1.25"/>
  </r>
  <r>
    <s v="Industrial "/>
    <x v="5"/>
    <n v="806"/>
    <s v="Ocean Street"/>
    <s v="Santa Cruz "/>
    <s v="CA"/>
    <n v="95060"/>
    <x v="4"/>
    <m/>
    <n v="6200"/>
    <n v="1.58"/>
    <s v="NNN"/>
    <s v="Brian O'Connor"/>
    <s v="831-818-0368"/>
    <s v="wilsonbroscommercial.com"/>
    <s v="Former Bank"/>
    <m/>
    <n v="1.58"/>
  </r>
  <r>
    <s v="Industrial "/>
    <x v="5"/>
    <n v="500"/>
    <s v="Seabright Avenue"/>
    <s v="Santa Cruz "/>
    <s v="CA"/>
    <n v="95062"/>
    <x v="0"/>
    <n v="105"/>
    <n v="2497"/>
    <n v="1.5"/>
    <s v="NNN "/>
    <s v="Carol Lezin or Carol Canaris"/>
    <s v="831-479-8000"/>
    <s v="ctbt.com"/>
    <s v="Seabright Clocktower Building"/>
    <m/>
    <n v="1.5"/>
  </r>
  <r>
    <s v="Industrial "/>
    <x v="5"/>
    <n v="1729"/>
    <s v="Seabright Avenue"/>
    <s v="Santa Cruz "/>
    <s v="CA"/>
    <n v="95062"/>
    <x v="0"/>
    <s v="B"/>
    <n v="1056"/>
    <n v="1"/>
    <s v="Gross"/>
    <s v="Fred Antaki"/>
    <s v="831-295-8850"/>
    <s v="mainstreetrelators.com"/>
    <m/>
    <m/>
    <n v="1"/>
  </r>
  <r>
    <s v="Industrial "/>
    <x v="5"/>
    <n v="305"/>
    <s v="Soquel Avenue"/>
    <s v="Santa Cruz "/>
    <s v="CA"/>
    <n v="95060"/>
    <x v="3"/>
    <s v="A "/>
    <n v="670"/>
    <n v="1100"/>
    <s v="Gross"/>
    <s v="Brian O'Connor"/>
    <s v="831-818-0368"/>
    <s v="wilsonbroscommercial.com"/>
    <s v="2 privates , reception"/>
    <m/>
    <n v="1.6417910447761195"/>
  </r>
  <r>
    <s v="Industrial "/>
    <x v="5"/>
    <n v="317"/>
    <s v="Soquel Avenue"/>
    <s v="Santa Cruz "/>
    <s v="CA"/>
    <n v="95062"/>
    <x v="1"/>
    <m/>
    <n v="2200"/>
    <n v="1.55"/>
    <s v="Gross"/>
    <s v="Brian O'Connor"/>
    <s v="831-818-0368"/>
    <s v="wilsonbroscommercial.com"/>
    <s v="9 privates, conference room"/>
    <m/>
    <n v="1.55"/>
  </r>
  <r>
    <s v="Industrial "/>
    <x v="5"/>
    <n v="345"/>
    <s v="Soquel Avenue"/>
    <s v="Santa Cruz "/>
    <s v="CA"/>
    <n v="95062"/>
    <x v="3"/>
    <m/>
    <n v="1050"/>
    <m/>
    <m/>
    <s v="Mark Biagini"/>
    <s v="408-331-2300"/>
    <s v="biaginiproperties.com"/>
    <m/>
    <m/>
    <m/>
  </r>
  <r>
    <s v="Industrial "/>
    <x v="5"/>
    <n v="530"/>
    <s v="Soquel Avenue"/>
    <s v="Santa Cruz "/>
    <s v="CA"/>
    <n v="95062"/>
    <x v="0"/>
    <m/>
    <n v="1000"/>
    <n v="1500"/>
    <s v="Gross"/>
    <s v="Fred Antaki"/>
    <s v="831-295-8850"/>
    <s v="mainstreetrelators.com"/>
    <s v="Divisible to 500 square feet"/>
    <m/>
    <n v="1.5"/>
  </r>
  <r>
    <s v="Industrial "/>
    <x v="5"/>
    <n v="619"/>
    <s v="Soquel Avenue"/>
    <s v="Santa Cruz "/>
    <s v="CA"/>
    <n v="95062"/>
    <x v="0"/>
    <m/>
    <n v="1700"/>
    <n v="1900"/>
    <s v="Gross"/>
    <s v="Fred Antaki"/>
    <s v="831-295-8850"/>
    <s v="mainstreetrelators.com"/>
    <m/>
    <m/>
    <n v="1.1176470588235294"/>
  </r>
  <r>
    <s v="Industrial "/>
    <x v="5"/>
    <n v="1414"/>
    <s v="Soquel Avenue"/>
    <s v="Santa Cruz "/>
    <s v="CA"/>
    <n v="95062"/>
    <x v="0"/>
    <n v="105"/>
    <n v="1586"/>
    <n v="3200"/>
    <s v="Gross"/>
    <s v="Gwen or Doug Kaplan"/>
    <s v="831-476-3627"/>
    <s v="lomakpropertygroup.com"/>
    <m/>
    <m/>
    <n v="2.0176544766708702"/>
  </r>
  <r>
    <s v="Industrial "/>
    <x v="5"/>
    <n v="1414"/>
    <s v="Soquel Avenue"/>
    <s v="Santa Cruz "/>
    <s v="CA"/>
    <n v="95062"/>
    <x v="0"/>
    <n v="211"/>
    <n v="1366"/>
    <n v="2730"/>
    <s v="Gross"/>
    <s v="Gwen or Doug Kaplan"/>
    <s v="831-476-3627"/>
    <s v="lomakpropertygroup.com"/>
    <m/>
    <m/>
    <n v="1.9985358711566619"/>
  </r>
  <r>
    <s v="Industrial "/>
    <x v="5"/>
    <n v="1414"/>
    <s v="Soquel Avenue"/>
    <s v="Santa Cruz "/>
    <s v="CA"/>
    <n v="95062"/>
    <x v="0"/>
    <n v="214"/>
    <n v="422"/>
    <n v="850"/>
    <s v="Gross"/>
    <s v="Gwen or Doug Kaplan"/>
    <s v="831-476-3627"/>
    <s v="lomakpropertygroup.com"/>
    <m/>
    <m/>
    <n v="2.014218009478673"/>
  </r>
  <r>
    <s v="Industrial "/>
    <x v="5"/>
    <n v="1414"/>
    <s v="Soquel Avenue"/>
    <s v="Santa Cruz "/>
    <s v="CA"/>
    <n v="95062"/>
    <x v="0"/>
    <n v="216"/>
    <n v="175"/>
    <n v="512"/>
    <s v="Gross"/>
    <s v="Gwen or Doug Kaplan"/>
    <s v="831-476-3627"/>
    <s v="lomakpropertygroup.com"/>
    <m/>
    <m/>
    <n v="2.9257142857142857"/>
  </r>
  <r>
    <s v="Industrial "/>
    <x v="5"/>
    <n v="1414"/>
    <s v="Soquel Avenue"/>
    <s v="Santa Cruz "/>
    <s v="CA"/>
    <n v="95062"/>
    <x v="0"/>
    <n v="226"/>
    <n v="244"/>
    <n v="595"/>
    <s v="Gross"/>
    <s v="Gwen or Doug Kaplan"/>
    <s v="831-476-3627"/>
    <s v="lomakpropertygroup.com"/>
    <m/>
    <m/>
    <n v="2.4385245901639343"/>
  </r>
  <r>
    <s v="Industrial "/>
    <x v="5"/>
    <n v="1723"/>
    <s v="Soquel Avenue"/>
    <s v="Santa Cruz "/>
    <s v="CA"/>
    <n v="95062"/>
    <x v="5"/>
    <m/>
    <n v="3000"/>
    <n v="0.75"/>
    <s v="Gross "/>
    <s v="Deborah Calloway "/>
    <s v="408-781-7815"/>
    <s v="allenpginc.com"/>
    <s v="short term lease"/>
    <m/>
    <n v="0.75"/>
  </r>
  <r>
    <s v="Industrial "/>
    <x v="5"/>
    <n v="303"/>
    <s v="Water Street"/>
    <s v="Santa Cruz "/>
    <s v="CA"/>
    <n v="95060"/>
    <x v="0"/>
    <n v="130"/>
    <n v="400"/>
    <n v="680"/>
    <s v="Gross"/>
    <s v="Fred Antaki"/>
    <s v="831-295-8850"/>
    <s v="mainstreetrelators.com"/>
    <s v="plus utilities. Available July 1"/>
    <n v="0.36"/>
    <n v="1.7"/>
  </r>
  <r>
    <s v="Industrial "/>
    <x v="5"/>
    <n v="420"/>
    <s v="Water Street"/>
    <s v="Santa Cruz "/>
    <s v="CA"/>
    <n v="95060"/>
    <x v="3"/>
    <m/>
    <n v="1150"/>
    <n v="1"/>
    <s v="Gross"/>
    <s v="Cara Meyers"/>
    <s v="831-295-0749"/>
    <s v="diggardens.com"/>
    <s v="plus utilities. Sublease"/>
    <m/>
    <n v="1"/>
  </r>
  <r>
    <s v="Industrial "/>
    <x v="5"/>
    <n v="525"/>
    <s v="Water Street"/>
    <s v="Santa Cruz "/>
    <s v="CA"/>
    <n v="95060"/>
    <x v="6"/>
    <m/>
    <n v="3000"/>
    <n v="1.25"/>
    <s v="Gross"/>
    <s v="Russell E. Gross"/>
    <s v="831-464-4700 "/>
    <s v="russellgross.com"/>
    <m/>
    <m/>
    <n v="1.25"/>
  </r>
  <r>
    <s v="Industrial "/>
    <x v="5"/>
    <n v="550"/>
    <s v="Water Street"/>
    <s v="Santa Cruz "/>
    <s v="CA"/>
    <n v="95060"/>
    <x v="9"/>
    <s v="C3"/>
    <n v="890"/>
    <n v="820"/>
    <s v="Gross"/>
    <s v="Fred Antaki"/>
    <s v="831-295-8850"/>
    <s v="mainstreetrelators.com"/>
    <m/>
    <m/>
    <n v="0.9213483146067416"/>
  </r>
  <r>
    <s v="Industrial "/>
    <x v="5"/>
    <n v="550"/>
    <s v="Water Street"/>
    <s v="Santa Cruz "/>
    <s v="CA"/>
    <n v="95060"/>
    <x v="10"/>
    <s v="L2"/>
    <n v="1756"/>
    <m/>
    <m/>
    <s v="Brad Shelton"/>
    <s v="831-476-2222"/>
    <s v="jrparrish.com"/>
    <s v="Call for details. Medical officeground floor"/>
    <m/>
    <m/>
  </r>
  <r>
    <s v="Industrial "/>
    <x v="6"/>
    <n v="831"/>
    <s v="Almar Avenue"/>
    <s v="Santa Cruz "/>
    <s v="CA"/>
    <n v="95060"/>
    <x v="11"/>
    <m/>
    <n v="44825"/>
    <n v="1"/>
    <s v="NNN"/>
    <s v="Steve Sheldon or Jim Wiseman"/>
    <s v="831-454-9400"/>
    <s v="sheldonwiseman.com"/>
    <s v="Good Earth Tea Builiding"/>
    <m/>
    <n v="1"/>
  </r>
  <r>
    <s v="Industrial "/>
    <x v="6"/>
    <n v="849"/>
    <s v="Almar Avenue"/>
    <s v="Santa Cruz "/>
    <s v="CA"/>
    <n v="95060"/>
    <x v="2"/>
    <s v="B"/>
    <n v="1920"/>
    <m/>
    <s v="NNN"/>
    <s v="Jackie Copriviza "/>
    <s v="831-476-2222"/>
    <s v="jrparrish.com"/>
    <s v="Almar/Safeway Center - call for details"/>
    <m/>
    <n v="0"/>
  </r>
  <r>
    <s v="Industrial "/>
    <x v="6"/>
    <n v="849"/>
    <s v="Almar Avenue"/>
    <s v="Santa Cruz "/>
    <s v="CA"/>
    <n v="95060"/>
    <x v="2"/>
    <s v="J"/>
    <n v="2388"/>
    <n v="2"/>
    <s v="NNN"/>
    <s v="Jackie Copriviza "/>
    <s v="831-476-2222"/>
    <s v="jrparrish.com"/>
    <s v="Almar/Safeway Center"/>
    <m/>
    <n v="2"/>
  </r>
  <r>
    <s v="Industrial "/>
    <x v="6"/>
    <n v="2117"/>
    <s v="Delaware Avenue"/>
    <s v="Santa Cruz "/>
    <s v="CA"/>
    <n v="95060"/>
    <x v="1"/>
    <s v="A"/>
    <n v="3600"/>
    <n v="0.9"/>
    <s v="NNN"/>
    <s v="Russell E. Gross"/>
    <s v="831-464-4700 "/>
    <s v="russellgross.com"/>
    <m/>
    <m/>
    <n v="0.9"/>
  </r>
  <r>
    <s v="Industrial "/>
    <x v="6"/>
    <n v="2119"/>
    <s v="Delaware Avenue"/>
    <s v="Santa Cruz "/>
    <s v="CA"/>
    <n v="95060"/>
    <x v="5"/>
    <m/>
    <n v="10800"/>
    <n v="0.8"/>
    <s v="NNN"/>
    <s v="Russell E. Gross"/>
    <s v="831-464-4700 "/>
    <s v="russellgross.com"/>
    <m/>
    <m/>
    <n v="0.8"/>
  </r>
  <r>
    <s v="Industrial "/>
    <x v="6"/>
    <n v="1010"/>
    <s v="Fair Avenue"/>
    <s v="Santa Cruz "/>
    <s v="CA"/>
    <n v="95060"/>
    <x v="0"/>
    <s v="A2"/>
    <n v="150"/>
    <n v="600"/>
    <s v="NNN"/>
    <s v="Datta Khalsa"/>
    <s v="831-818-0181"/>
    <s v="mainstreetrealtors.com"/>
    <s v="Building features 1 Gbps Symmetrical Connection           "/>
    <n v="0.3"/>
    <n v="4"/>
  </r>
  <r>
    <s v="Industrial "/>
    <x v="6"/>
    <n v="1010"/>
    <s v="Fair Avenue"/>
    <s v="Santa Cruz "/>
    <s v="CA"/>
    <n v="95060"/>
    <x v="0"/>
    <s v="A3"/>
    <n v="150"/>
    <n v="600"/>
    <s v="NNN"/>
    <s v="Datta Khalsa"/>
    <s v="831-818-0181"/>
    <s v="mainstreetrealtors.com"/>
    <s v="Building features 1 Gbps Symmetrical Connection           "/>
    <n v="0.3"/>
    <n v="4"/>
  </r>
  <r>
    <s v="Industrial "/>
    <x v="6"/>
    <n v="1010"/>
    <s v="Fair Avenue"/>
    <s v="Santa Cruz "/>
    <s v="CA"/>
    <n v="95060"/>
    <x v="0"/>
    <s v="B"/>
    <n v="962"/>
    <n v="1.39"/>
    <s v="NNN"/>
    <s v="Datta Khalsa"/>
    <s v="831-818-0181"/>
    <s v="mainstreetrealtors.com"/>
    <s v="Building features 1 Gbps Symmetrical Connection           "/>
    <n v="0.3"/>
    <n v="1.39"/>
  </r>
  <r>
    <s v="Industrial "/>
    <x v="6"/>
    <n v="328"/>
    <s v="Ingalls Street"/>
    <s v="Santa Cruz "/>
    <s v="CA"/>
    <n v="95060"/>
    <x v="8"/>
    <m/>
    <n v="9000"/>
    <n v="0.75"/>
    <s v="NNN"/>
    <s v="Joe Appenrodt"/>
    <s v="831-234-5884"/>
    <s v="appenrodtcommercial.com"/>
    <m/>
    <m/>
    <n v="1"/>
  </r>
  <r>
    <s v="Industrial "/>
    <x v="6"/>
    <n v="125"/>
    <s v="McPherson Street"/>
    <s v="Santa Cruz "/>
    <s v="CA"/>
    <n v="95060"/>
    <x v="8"/>
    <m/>
    <n v="10500"/>
    <n v="1.25"/>
    <s v="NNN"/>
    <s v="Russell E. Gross"/>
    <s v="831-464-4700 "/>
    <s v="russellgross.com"/>
    <m/>
    <m/>
    <n v="1.25"/>
  </r>
  <r>
    <s v="Industrial "/>
    <x v="6"/>
    <n v="207"/>
    <s v="McPherson Street"/>
    <s v="Santa Cruz "/>
    <s v="CA"/>
    <n v="95060"/>
    <x v="0"/>
    <s v="D"/>
    <n v="3273"/>
    <n v="1.1000000000000001"/>
    <s v="NNN"/>
    <s v="Scott Thiebout"/>
    <s v="831-423-2100"/>
    <s v="wavecrestdevelopment.com"/>
    <m/>
    <m/>
    <n v="1.1000000000000001"/>
  </r>
  <r>
    <s v="Industrial "/>
    <x v="6"/>
    <n v="406"/>
    <s v="Mission Street"/>
    <s v="Santa Cruz "/>
    <s v="CA"/>
    <n v="95060"/>
    <x v="0"/>
    <m/>
    <n v="1100"/>
    <m/>
    <m/>
    <s v="Kristen A. Macken "/>
    <s v="408-282-3878  "/>
    <s v="kristen.macken@colliers.com"/>
    <s v="Neogotiable Rent"/>
    <m/>
    <n v="0"/>
  </r>
  <r>
    <s v="Industrial "/>
    <x v="6"/>
    <n v="701"/>
    <s v="Mission Street"/>
    <s v="Santa Cruz "/>
    <s v="CA"/>
    <n v="95060"/>
    <x v="0"/>
    <m/>
    <n v="2279"/>
    <n v="2"/>
    <s v="Gross"/>
    <s v="Randy Parker"/>
    <s v="831-476-2222"/>
    <s v="jrparrish.com"/>
    <m/>
    <m/>
    <n v="2"/>
  </r>
  <r>
    <s v="Industrial "/>
    <x v="6"/>
    <n v="730"/>
    <s v="Mission Street"/>
    <s v="Santa Cruz "/>
    <s v="CA"/>
    <n v="95060"/>
    <x v="0"/>
    <m/>
    <n v="2400"/>
    <n v="1.25"/>
    <s v="NNN"/>
    <s v="Russell E. Gross"/>
    <s v="831-464-4700 "/>
    <s v="russellgross.com"/>
    <s v="Divisible to 800 sq. feet"/>
    <m/>
    <n v="1.25"/>
  </r>
  <r>
    <s v="Industrial "/>
    <x v="6"/>
    <n v="2006"/>
    <s v="Mission Street"/>
    <s v="Santa Cruz "/>
    <s v="CA"/>
    <n v="95060"/>
    <x v="0"/>
    <m/>
    <n v="1000"/>
    <n v="1300"/>
    <s v="Gross"/>
    <s v="Deborah Calloway "/>
    <s v="408-781-7815"/>
    <s v="allenpginc.com"/>
    <m/>
    <m/>
    <n v="1.3"/>
  </r>
  <r>
    <s v="Industrial "/>
    <x v="6"/>
    <n v="2117"/>
    <s v="Mission Street"/>
    <s v="Santa Cruz "/>
    <s v="CA"/>
    <n v="95060"/>
    <x v="3"/>
    <m/>
    <n v="1853"/>
    <n v="3"/>
    <s v="NNN"/>
    <s v="Jackie Copriviza "/>
    <s v="831-476-2222"/>
    <s v="jrparrish.com"/>
    <s v="Please call for leasing information. Almar / Safeway Center"/>
    <m/>
    <n v="3"/>
  </r>
  <r>
    <s v="Industrial "/>
    <x v="6"/>
    <n v="2521"/>
    <s v="Mission Street"/>
    <s v="Santa Cruz "/>
    <s v="CA"/>
    <n v="95060"/>
    <x v="12"/>
    <m/>
    <n v="7912"/>
    <n v="5625"/>
    <m/>
    <s v="Russell E. Gross"/>
    <s v="831-464-4700 "/>
    <s v="russellgross.com"/>
    <m/>
    <m/>
    <n v="0.71094539939332657"/>
  </r>
  <r>
    <s v="Industrial "/>
    <x v="6"/>
    <n v="2801"/>
    <s v="Mission Street"/>
    <s v="Santa Cruz "/>
    <s v="CA"/>
    <n v="95060"/>
    <x v="8"/>
    <m/>
    <n v="2100"/>
    <n v="0.85"/>
    <s v="Gross"/>
    <s v="William Ow "/>
    <s v="831-247-5550"/>
    <s v="owproperties.com"/>
    <s v="Wrigley Building"/>
    <m/>
    <n v="0.85"/>
  </r>
  <r>
    <s v="Industrial "/>
    <x v="6"/>
    <n v="2801"/>
    <s v="Mission Street"/>
    <s v="Santa Cruz "/>
    <s v="CA"/>
    <n v="95060"/>
    <x v="8"/>
    <m/>
    <n v="10000"/>
    <n v="0.85"/>
    <s v="Gross"/>
    <s v="William Ow "/>
    <s v="831-247-5550"/>
    <s v="owproperties.com"/>
    <s v="Wrigley Building Divisible to 2,400 square feet"/>
    <m/>
    <n v="0.85"/>
  </r>
  <r>
    <s v="Industrial "/>
    <x v="6"/>
    <n v="2801"/>
    <s v="Mission Street"/>
    <s v="Santa Cruz "/>
    <s v="CA"/>
    <n v="95060"/>
    <x v="8"/>
    <m/>
    <n v="85000"/>
    <n v="0.75"/>
    <s v="Gross"/>
    <s v="William Ow "/>
    <s v="831-247-5550"/>
    <s v="owproperties.com"/>
    <s v="Wrigley Building"/>
    <m/>
    <n v="0.75"/>
  </r>
  <r>
    <s v="Industrial "/>
    <x v="6"/>
    <n v="2801"/>
    <s v="Mission Street"/>
    <s v="Santa Cruz "/>
    <s v="CA"/>
    <n v="95060"/>
    <x v="8"/>
    <m/>
    <n v="800"/>
    <n v="0.9"/>
    <s v="Gross"/>
    <s v="William Ow "/>
    <s v="831-247-5550"/>
    <s v="owproperties.com"/>
    <s v="Wrigley Building"/>
    <m/>
    <n v="0.9"/>
  </r>
  <r>
    <s v="Industrial "/>
    <x v="6"/>
    <n v="2801"/>
    <s v="Mission Street"/>
    <s v="Santa Cruz "/>
    <s v="CA"/>
    <n v="95060"/>
    <x v="8"/>
    <m/>
    <n v="1600"/>
    <n v="0.85"/>
    <s v=" Gross"/>
    <s v="William Ow "/>
    <s v="831-247-5550"/>
    <s v="owproperties.com"/>
    <s v="Wrigley Building"/>
    <m/>
    <n v="0.85"/>
  </r>
  <r>
    <s v="Industrial "/>
    <x v="6"/>
    <n v="2931"/>
    <s v="Mission Street"/>
    <s v="Santa Cruz "/>
    <s v="CA"/>
    <n v="95060"/>
    <x v="12"/>
    <m/>
    <n v="9000"/>
    <m/>
    <m/>
    <s v="Matt Shelton"/>
    <s v="831-476-2222"/>
    <s v="jrparrish.com"/>
    <s v="Divisible to 1,800. Neogotiable rent. Lipton Building; inc. 1,200 sf office"/>
    <m/>
    <n v="0"/>
  </r>
  <r>
    <s v="Industrial "/>
    <x v="6"/>
    <n v="3004"/>
    <s v="Mission Street"/>
    <s v="Santa Cruz "/>
    <s v="CA"/>
    <n v="95060"/>
    <x v="0"/>
    <n v="120"/>
    <n v="672"/>
    <n v="672"/>
    <s v="Gross"/>
    <s v="Brian O'Connor"/>
    <s v="831-272-0368"/>
    <s v="wilsonbroscommercial.com"/>
    <s v="4 Grade Level Doors"/>
    <m/>
    <n v="1"/>
  </r>
  <r>
    <s v="Industrial "/>
    <x v="6"/>
    <n v="3004"/>
    <s v="Mission Street"/>
    <s v="Santa Cruz "/>
    <s v="CA"/>
    <n v="95060"/>
    <x v="1"/>
    <n v="130"/>
    <n v="2690"/>
    <n v="1.25"/>
    <s v="Gross"/>
    <s v="Brian O'Connor"/>
    <s v="831-272-0368"/>
    <s v="wilsonbroscommercial.com"/>
    <m/>
    <m/>
    <n v="1"/>
  </r>
  <r>
    <s v="Industrial "/>
    <x v="6"/>
    <n v="3004"/>
    <s v="Mission Street"/>
    <s v="Santa Cruz "/>
    <s v="CA"/>
    <n v="95060"/>
    <x v="0"/>
    <n v="150"/>
    <n v="6500"/>
    <n v="1.7"/>
    <s v="Gross"/>
    <s v="Brian O'Connor"/>
    <s v="831-272-0368"/>
    <s v="wilsonbroscommercial.com"/>
    <m/>
    <m/>
    <n v="1.7"/>
  </r>
  <r>
    <s v="Industrial "/>
    <x v="6"/>
    <n v="3004"/>
    <s v="Mission Street"/>
    <s v="Santa Cruz "/>
    <s v="CA"/>
    <n v="95060"/>
    <x v="1"/>
    <n v="170"/>
    <n v="865"/>
    <n v="1.75"/>
    <s v="Gross"/>
    <s v="Brian O'Connor"/>
    <s v="831-272-0368"/>
    <s v="wilsonbroscommercial.com"/>
    <m/>
    <m/>
    <n v="1.75"/>
  </r>
  <r>
    <s v="Industrial "/>
    <x v="6"/>
    <n v="3004"/>
    <s v="Mission Street"/>
    <s v="Santa Cruz "/>
    <s v="CA"/>
    <n v="95060"/>
    <x v="1"/>
    <n v="230"/>
    <n v="1400"/>
    <n v="1.7"/>
    <s v="Gross"/>
    <s v="Brian O'Connor"/>
    <s v="831-272-0368"/>
    <s v="wilsonbroscommercial.com"/>
    <m/>
    <m/>
    <n v="1.7"/>
  </r>
  <r>
    <s v="Industrial "/>
    <x v="6"/>
    <n v="3004"/>
    <s v="Mission Street"/>
    <s v="Santa Cruz "/>
    <s v="CA"/>
    <n v="95060"/>
    <x v="1"/>
    <s v="2d Floor"/>
    <n v="625"/>
    <n v="625"/>
    <s v="Gross"/>
    <s v="Brian O'Connor"/>
    <s v="831-272-0368"/>
    <s v="wilsonbroscommercial.com"/>
    <m/>
    <m/>
    <n v="1"/>
  </r>
  <r>
    <s v="Industrial "/>
    <x v="6"/>
    <n v="3004"/>
    <s v="Mission Street"/>
    <s v="Santa Cruz "/>
    <s v="CA"/>
    <n v="95060"/>
    <x v="1"/>
    <s v="2d Floor"/>
    <n v="13400"/>
    <n v="1.05"/>
    <s v="Gross"/>
    <s v="Brian O'Connor"/>
    <s v="831-272-0368"/>
    <s v="wilsonbroscommercial.com"/>
    <m/>
    <m/>
    <n v="1.05"/>
  </r>
  <r>
    <s v="Industrial "/>
    <x v="6"/>
    <n v="1201"/>
    <s v="Shaffer Road"/>
    <s v="Santa Cruz "/>
    <s v="CA"/>
    <n v="95060"/>
    <x v="12"/>
    <m/>
    <n v="4099"/>
    <n v="0.9"/>
    <s v="NNN "/>
    <s v="Patrick Prindle "/>
    <s v="831-234-0517"/>
    <s v="mcmdiversified.com"/>
    <s v="dock with 2 roll ups. w/Office  and roll ups"/>
    <m/>
    <n v="0.9"/>
  </r>
  <r>
    <s v="Industrial "/>
    <x v="6"/>
    <n v="511"/>
    <s v="Swift Street"/>
    <s v="Santa Cruz "/>
    <s v="CA"/>
    <n v="95060"/>
    <x v="5"/>
    <m/>
    <n v="1425"/>
    <n v="1800"/>
    <s v="NNN"/>
    <s v="Warren Reed"/>
    <s v="831-438-5725"/>
    <s v="wreed@jsco.net"/>
    <s v="artworkspacesantacruz.com"/>
    <m/>
    <n v="1.2631578947368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C5" firstHeaderRow="0" firstDataRow="1" firstDataCol="0" rowPageCount="2" colPageCount="1"/>
  <pivotFields count="18">
    <pivotField showAll="0"/>
    <pivotField axis="axisPage" multipleItemSelectionAllowed="1" showAll="0">
      <items count="8">
        <item h="1" x="0"/>
        <item h="1" x="4"/>
        <item h="1" x="5"/>
        <item h="1" x="1"/>
        <item h="1" x="2"/>
        <item x="3"/>
        <item h="1" x="6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14">
        <item h="1" x="4"/>
        <item h="1" x="5"/>
        <item h="1" x="11"/>
        <item h="1" x="8"/>
        <item x="9"/>
        <item x="10"/>
        <item x="0"/>
        <item x="1"/>
        <item h="1" x="6"/>
        <item h="1" x="2"/>
        <item h="1" x="3"/>
        <item h="1" x="7"/>
        <item h="1" x="12"/>
        <item t="default"/>
      </items>
    </pivotField>
    <pivotField showAll="0"/>
    <pivotField dataField="1" numFmtId="3"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2">
    <pageField fld="1" hier="-1"/>
    <pageField fld="7" hier="-1"/>
  </pageFields>
  <dataFields count="3">
    <dataField name="Average of Per Square Foot (Using Upper Asking Price)3" fld="17" subtotal="average" baseField="0" baseItem="1"/>
    <dataField name="Sum of Square Footage2" fld="9" baseField="0" baseItem="0"/>
    <dataField name="Average of Square Footage" fld="9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rpark101@yahoo.com" TargetMode="External"/><Relationship Id="rId7" Type="http://schemas.openxmlformats.org/officeDocument/2006/relationships/hyperlink" Target="mailto:nconover@mercyhousing.org" TargetMode="External"/><Relationship Id="rId2" Type="http://schemas.openxmlformats.org/officeDocument/2006/relationships/hyperlink" Target="mailto:rpark101@yahoo.com" TargetMode="External"/><Relationship Id="rId1" Type="http://schemas.openxmlformats.org/officeDocument/2006/relationships/hyperlink" Target="mailto:garmar2@sbcglobal.net" TargetMode="External"/><Relationship Id="rId6" Type="http://schemas.openxmlformats.org/officeDocument/2006/relationships/hyperlink" Target="mailto:pprindle@mcmdiversified.com" TargetMode="External"/><Relationship Id="rId5" Type="http://schemas.openxmlformats.org/officeDocument/2006/relationships/hyperlink" Target="mailto:pprindle@mcmdiversified.com" TargetMode="External"/><Relationship Id="rId4" Type="http://schemas.openxmlformats.org/officeDocument/2006/relationships/hyperlink" Target="mailto:rpark101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rpark101@yahoo.com" TargetMode="External"/><Relationship Id="rId7" Type="http://schemas.openxmlformats.org/officeDocument/2006/relationships/hyperlink" Target="mailto:nconover@mercyhousing.org" TargetMode="External"/><Relationship Id="rId2" Type="http://schemas.openxmlformats.org/officeDocument/2006/relationships/hyperlink" Target="mailto:rpark101@yahoo.com" TargetMode="External"/><Relationship Id="rId1" Type="http://schemas.openxmlformats.org/officeDocument/2006/relationships/hyperlink" Target="mailto:garmar2@sbcglobal.net" TargetMode="External"/><Relationship Id="rId6" Type="http://schemas.openxmlformats.org/officeDocument/2006/relationships/hyperlink" Target="mailto:pprindle@mcmdiversified.com" TargetMode="External"/><Relationship Id="rId5" Type="http://schemas.openxmlformats.org/officeDocument/2006/relationships/hyperlink" Target="mailto:pprindle@mcmdiversified.com" TargetMode="External"/><Relationship Id="rId4" Type="http://schemas.openxmlformats.org/officeDocument/2006/relationships/hyperlink" Target="mailto:rpark101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4"/>
  <sheetViews>
    <sheetView topLeftCell="I127" zoomScale="70" zoomScaleNormal="70" workbookViewId="0">
      <selection activeCell="P127" sqref="P127"/>
    </sheetView>
  </sheetViews>
  <sheetFormatPr defaultRowHeight="15" x14ac:dyDescent="0.25"/>
  <cols>
    <col min="1" max="1" width="12.5703125" style="17" customWidth="1"/>
    <col min="2" max="2" width="17.7109375" style="17" customWidth="1"/>
    <col min="3" max="3" width="7.85546875" style="17" customWidth="1"/>
    <col min="4" max="4" width="23.5703125" style="17" customWidth="1"/>
    <col min="5" max="5" width="11.28515625" style="17" customWidth="1"/>
    <col min="6" max="6" width="9.140625" style="17" customWidth="1"/>
    <col min="7" max="7" width="8.42578125" style="17" customWidth="1"/>
    <col min="8" max="8" width="18" style="17"/>
    <col min="9" max="9" width="8.28515625" style="17" customWidth="1"/>
    <col min="10" max="10" width="18.140625" style="40" bestFit="1" customWidth="1"/>
    <col min="11" max="11" width="18.140625" style="41" bestFit="1" customWidth="1"/>
    <col min="12" max="12" width="18" style="17"/>
    <col min="13" max="13" width="23.85546875" style="17" customWidth="1"/>
    <col min="14" max="14" width="18" style="17"/>
    <col min="15" max="15" width="20.85546875" style="17" customWidth="1"/>
    <col min="16" max="16" width="28.5703125" style="17" customWidth="1"/>
    <col min="17" max="17" width="14.28515625" style="17" bestFit="1" customWidth="1"/>
    <col min="18" max="18" width="9.28515625" style="42" bestFit="1" customWidth="1"/>
    <col min="19" max="19" width="14.28515625" style="17" bestFit="1" customWidth="1"/>
    <col min="20" max="20" width="14.85546875" style="17" bestFit="1" customWidth="1"/>
    <col min="21" max="16384" width="9.140625" style="17"/>
  </cols>
  <sheetData>
    <row r="1" spans="1:21" s="22" customFormat="1" ht="105" x14ac:dyDescent="0.25">
      <c r="A1" s="22" t="s">
        <v>86</v>
      </c>
      <c r="B1" s="22" t="s">
        <v>41</v>
      </c>
      <c r="C1" s="22" t="s">
        <v>20</v>
      </c>
      <c r="D1" s="22" t="s">
        <v>178</v>
      </c>
      <c r="E1" s="22" t="s">
        <v>148</v>
      </c>
      <c r="F1" s="22" t="s">
        <v>149</v>
      </c>
      <c r="G1" s="22" t="s">
        <v>150</v>
      </c>
      <c r="H1" s="22" t="s">
        <v>19</v>
      </c>
      <c r="I1" s="22" t="s">
        <v>24</v>
      </c>
      <c r="J1" s="23" t="s">
        <v>17</v>
      </c>
      <c r="K1" s="29" t="s">
        <v>31</v>
      </c>
      <c r="L1" s="22" t="s">
        <v>16</v>
      </c>
      <c r="M1" s="22" t="s">
        <v>15</v>
      </c>
      <c r="N1" s="22" t="s">
        <v>14</v>
      </c>
      <c r="O1" s="22" t="s">
        <v>71</v>
      </c>
      <c r="P1" s="22" t="s">
        <v>13</v>
      </c>
      <c r="Q1" s="22" t="s">
        <v>23</v>
      </c>
      <c r="R1" s="24" t="s">
        <v>160</v>
      </c>
      <c r="S1" s="22" t="s">
        <v>275</v>
      </c>
      <c r="T1" s="22" t="s">
        <v>276</v>
      </c>
      <c r="U1" s="22" t="s">
        <v>277</v>
      </c>
    </row>
    <row r="2" spans="1:21" ht="75" x14ac:dyDescent="0.25">
      <c r="A2" s="17" t="s">
        <v>87</v>
      </c>
      <c r="B2" s="17" t="s">
        <v>42</v>
      </c>
      <c r="C2" s="17">
        <v>110</v>
      </c>
      <c r="D2" s="17" t="s">
        <v>179</v>
      </c>
      <c r="E2" s="17" t="s">
        <v>151</v>
      </c>
      <c r="F2" s="17" t="s">
        <v>152</v>
      </c>
      <c r="G2" s="17">
        <v>95060</v>
      </c>
      <c r="H2" s="17" t="s">
        <v>25</v>
      </c>
      <c r="I2" s="17" t="s">
        <v>170</v>
      </c>
      <c r="J2" s="40">
        <v>23451</v>
      </c>
      <c r="K2" s="41">
        <v>1.65</v>
      </c>
      <c r="L2" s="17" t="s">
        <v>5</v>
      </c>
      <c r="M2" s="17" t="s">
        <v>26</v>
      </c>
      <c r="N2" s="17" t="s">
        <v>122</v>
      </c>
      <c r="O2" s="17" t="s">
        <v>18</v>
      </c>
      <c r="P2" s="17" t="s">
        <v>155</v>
      </c>
      <c r="R2" s="42">
        <f>K2</f>
        <v>1.65</v>
      </c>
      <c r="S2" s="43">
        <v>36.974845886230398</v>
      </c>
      <c r="T2" s="43">
        <v>-122.026008605957</v>
      </c>
      <c r="U2" s="43" t="s">
        <v>278</v>
      </c>
    </row>
    <row r="3" spans="1:21" s="43" customFormat="1" ht="75" x14ac:dyDescent="0.25">
      <c r="A3" s="17" t="s">
        <v>87</v>
      </c>
      <c r="B3" s="17" t="s">
        <v>42</v>
      </c>
      <c r="C3" s="17">
        <v>110</v>
      </c>
      <c r="D3" s="17" t="s">
        <v>179</v>
      </c>
      <c r="E3" s="17" t="s">
        <v>151</v>
      </c>
      <c r="F3" s="17" t="s">
        <v>152</v>
      </c>
      <c r="G3" s="17">
        <v>95060</v>
      </c>
      <c r="H3" s="17" t="s">
        <v>25</v>
      </c>
      <c r="I3" s="17" t="s">
        <v>171</v>
      </c>
      <c r="J3" s="40">
        <v>23153</v>
      </c>
      <c r="K3" s="41">
        <v>1.65</v>
      </c>
      <c r="L3" s="17" t="s">
        <v>5</v>
      </c>
      <c r="M3" s="17" t="s">
        <v>26</v>
      </c>
      <c r="N3" s="17" t="s">
        <v>122</v>
      </c>
      <c r="O3" s="17" t="s">
        <v>18</v>
      </c>
      <c r="P3" s="17" t="s">
        <v>36</v>
      </c>
      <c r="Q3" s="17"/>
      <c r="R3" s="42">
        <f>K3</f>
        <v>1.65</v>
      </c>
      <c r="S3" s="17">
        <v>36.974845886230497</v>
      </c>
      <c r="T3" s="17">
        <v>-122.026008605957</v>
      </c>
      <c r="U3" s="17" t="s">
        <v>278</v>
      </c>
    </row>
    <row r="4" spans="1:21" ht="75" x14ac:dyDescent="0.25">
      <c r="A4" s="17" t="s">
        <v>87</v>
      </c>
      <c r="B4" s="17" t="s">
        <v>42</v>
      </c>
      <c r="C4" s="17">
        <v>110</v>
      </c>
      <c r="D4" s="17" t="s">
        <v>179</v>
      </c>
      <c r="E4" s="17" t="s">
        <v>151</v>
      </c>
      <c r="F4" s="17" t="s">
        <v>152</v>
      </c>
      <c r="G4" s="17">
        <v>95060</v>
      </c>
      <c r="H4" s="17" t="s">
        <v>25</v>
      </c>
      <c r="I4" s="17" t="s">
        <v>169</v>
      </c>
      <c r="J4" s="40">
        <v>17880</v>
      </c>
      <c r="K4" s="41">
        <v>1.65</v>
      </c>
      <c r="L4" s="17" t="s">
        <v>5</v>
      </c>
      <c r="M4" s="17" t="s">
        <v>26</v>
      </c>
      <c r="N4" s="17" t="s">
        <v>122</v>
      </c>
      <c r="O4" s="17" t="s">
        <v>18</v>
      </c>
      <c r="P4" s="17" t="s">
        <v>36</v>
      </c>
      <c r="R4" s="42">
        <f>K4</f>
        <v>1.65</v>
      </c>
      <c r="S4" s="17">
        <v>36.974845886230398</v>
      </c>
      <c r="T4" s="17">
        <v>-122.026008605957</v>
      </c>
      <c r="U4" s="17" t="s">
        <v>278</v>
      </c>
    </row>
    <row r="5" spans="1:21" ht="75" x14ac:dyDescent="0.25">
      <c r="A5" s="17" t="s">
        <v>87</v>
      </c>
      <c r="B5" s="17" t="s">
        <v>42</v>
      </c>
      <c r="C5" s="17">
        <v>110</v>
      </c>
      <c r="D5" s="17" t="s">
        <v>179</v>
      </c>
      <c r="E5" s="17" t="s">
        <v>151</v>
      </c>
      <c r="F5" s="17" t="s">
        <v>152</v>
      </c>
      <c r="G5" s="17">
        <v>95060</v>
      </c>
      <c r="H5" s="17" t="s">
        <v>25</v>
      </c>
      <c r="I5" s="17" t="s">
        <v>168</v>
      </c>
      <c r="J5" s="40">
        <v>14669</v>
      </c>
      <c r="K5" s="41">
        <v>1.65</v>
      </c>
      <c r="L5" s="17" t="s">
        <v>5</v>
      </c>
      <c r="M5" s="17" t="s">
        <v>26</v>
      </c>
      <c r="N5" s="17" t="s">
        <v>122</v>
      </c>
      <c r="O5" s="17" t="s">
        <v>18</v>
      </c>
      <c r="P5" s="17" t="s">
        <v>36</v>
      </c>
      <c r="R5" s="42">
        <f>K5</f>
        <v>1.65</v>
      </c>
      <c r="S5" s="17">
        <v>36.974845886230398</v>
      </c>
      <c r="T5" s="17">
        <v>-122.026008605957</v>
      </c>
      <c r="U5" s="17" t="s">
        <v>278</v>
      </c>
    </row>
    <row r="6" spans="1:21" ht="60" x14ac:dyDescent="0.25">
      <c r="A6" s="17" t="s">
        <v>87</v>
      </c>
      <c r="B6" s="17" t="s">
        <v>42</v>
      </c>
      <c r="C6" s="17">
        <v>313</v>
      </c>
      <c r="D6" s="17" t="s">
        <v>181</v>
      </c>
      <c r="E6" s="17" t="s">
        <v>151</v>
      </c>
      <c r="F6" s="17" t="s">
        <v>152</v>
      </c>
      <c r="G6" s="17">
        <v>95060</v>
      </c>
      <c r="H6" s="17" t="s">
        <v>8</v>
      </c>
      <c r="J6" s="40">
        <v>3200</v>
      </c>
      <c r="K6" s="41">
        <v>1.1499999999999999</v>
      </c>
      <c r="L6" s="17" t="s">
        <v>5</v>
      </c>
      <c r="M6" s="17" t="s">
        <v>173</v>
      </c>
      <c r="N6" s="17" t="s">
        <v>165</v>
      </c>
      <c r="O6" s="45" t="s">
        <v>174</v>
      </c>
      <c r="R6" s="42">
        <f>K6</f>
        <v>1.1499999999999999</v>
      </c>
      <c r="S6" s="17">
        <v>36.969588920474003</v>
      </c>
      <c r="T6" s="17">
        <v>-122.023888528347</v>
      </c>
      <c r="U6" s="17" t="s">
        <v>279</v>
      </c>
    </row>
    <row r="7" spans="1:21" ht="60" x14ac:dyDescent="0.25">
      <c r="A7" s="17" t="s">
        <v>87</v>
      </c>
      <c r="B7" s="17" t="s">
        <v>42</v>
      </c>
      <c r="C7" s="17">
        <v>428</v>
      </c>
      <c r="D7" s="17" t="s">
        <v>181</v>
      </c>
      <c r="E7" s="17" t="s">
        <v>151</v>
      </c>
      <c r="F7" s="17" t="s">
        <v>152</v>
      </c>
      <c r="G7" s="17">
        <v>96060</v>
      </c>
      <c r="H7" s="17" t="s">
        <v>2</v>
      </c>
      <c r="I7" s="17" t="s">
        <v>52</v>
      </c>
      <c r="J7" s="40">
        <v>3170</v>
      </c>
      <c r="K7" s="41">
        <v>1.25</v>
      </c>
      <c r="L7" s="17" t="s">
        <v>5</v>
      </c>
      <c r="M7" s="17" t="s">
        <v>173</v>
      </c>
      <c r="N7" s="17" t="s">
        <v>166</v>
      </c>
      <c r="O7" s="45" t="s">
        <v>174</v>
      </c>
      <c r="P7" s="17" t="s">
        <v>167</v>
      </c>
      <c r="R7" s="42">
        <f>K7</f>
        <v>1.25</v>
      </c>
      <c r="S7" s="17">
        <v>36.971389770507798</v>
      </c>
      <c r="T7" s="17">
        <v>-122.023887634277</v>
      </c>
      <c r="U7" s="17" t="s">
        <v>280</v>
      </c>
    </row>
    <row r="8" spans="1:21" ht="60" x14ac:dyDescent="0.25">
      <c r="A8" s="17" t="s">
        <v>87</v>
      </c>
      <c r="B8" s="17" t="s">
        <v>42</v>
      </c>
      <c r="C8" s="17">
        <v>701</v>
      </c>
      <c r="D8" s="17" t="s">
        <v>181</v>
      </c>
      <c r="E8" s="17" t="s">
        <v>151</v>
      </c>
      <c r="F8" s="17" t="s">
        <v>152</v>
      </c>
      <c r="G8" s="17">
        <v>95060</v>
      </c>
      <c r="H8" s="17" t="s">
        <v>7</v>
      </c>
      <c r="I8" s="17" t="s">
        <v>43</v>
      </c>
      <c r="J8" s="40">
        <v>1320</v>
      </c>
      <c r="K8" s="41">
        <v>1650</v>
      </c>
      <c r="L8" s="17" t="s">
        <v>6</v>
      </c>
      <c r="M8" s="17" t="s">
        <v>21</v>
      </c>
      <c r="N8" s="17" t="s">
        <v>22</v>
      </c>
      <c r="O8" s="45" t="s">
        <v>147</v>
      </c>
      <c r="P8" s="17" t="s">
        <v>253</v>
      </c>
      <c r="R8" s="42">
        <f>K8/J8</f>
        <v>1.25</v>
      </c>
      <c r="S8" s="17">
        <v>36.974159240722699</v>
      </c>
      <c r="T8" s="17">
        <v>-122.025314331055</v>
      </c>
      <c r="U8" s="17" t="s">
        <v>281</v>
      </c>
    </row>
    <row r="9" spans="1:21" ht="60" x14ac:dyDescent="0.25">
      <c r="A9" s="17" t="s">
        <v>87</v>
      </c>
      <c r="B9" s="17" t="s">
        <v>42</v>
      </c>
      <c r="C9" s="17">
        <v>740</v>
      </c>
      <c r="D9" s="17" t="s">
        <v>181</v>
      </c>
      <c r="E9" s="17" t="s">
        <v>151</v>
      </c>
      <c r="F9" s="17" t="s">
        <v>152</v>
      </c>
      <c r="G9" s="17">
        <v>95060</v>
      </c>
      <c r="H9" s="17" t="s">
        <v>8</v>
      </c>
      <c r="I9" s="17">
        <v>170</v>
      </c>
      <c r="J9" s="40">
        <v>966</v>
      </c>
      <c r="K9" s="41">
        <v>1.4</v>
      </c>
      <c r="L9" s="17" t="s">
        <v>176</v>
      </c>
      <c r="M9" s="17" t="s">
        <v>33</v>
      </c>
      <c r="N9" s="17" t="s">
        <v>34</v>
      </c>
      <c r="O9" s="20" t="s">
        <v>370</v>
      </c>
      <c r="R9" s="42">
        <f>K9</f>
        <v>1.4</v>
      </c>
      <c r="S9" s="17">
        <v>36.975505828857401</v>
      </c>
      <c r="T9" s="17">
        <v>-122.024932861328</v>
      </c>
      <c r="U9" s="17" t="s">
        <v>282</v>
      </c>
    </row>
    <row r="10" spans="1:21" ht="60" x14ac:dyDescent="0.25">
      <c r="A10" s="17" t="s">
        <v>87</v>
      </c>
      <c r="B10" s="17" t="s">
        <v>42</v>
      </c>
      <c r="C10" s="17">
        <v>740</v>
      </c>
      <c r="D10" s="17" t="s">
        <v>181</v>
      </c>
      <c r="E10" s="17" t="s">
        <v>151</v>
      </c>
      <c r="F10" s="17" t="s">
        <v>152</v>
      </c>
      <c r="G10" s="17">
        <v>95060</v>
      </c>
      <c r="H10" s="17" t="s">
        <v>8</v>
      </c>
      <c r="I10" s="17">
        <v>315</v>
      </c>
      <c r="J10" s="40">
        <v>2771</v>
      </c>
      <c r="K10" s="41">
        <v>1.8</v>
      </c>
      <c r="L10" s="17" t="s">
        <v>176</v>
      </c>
      <c r="M10" s="17" t="s">
        <v>33</v>
      </c>
      <c r="N10" s="17" t="s">
        <v>34</v>
      </c>
      <c r="O10" s="20" t="s">
        <v>370</v>
      </c>
      <c r="R10" s="42">
        <f>K10</f>
        <v>1.8</v>
      </c>
      <c r="S10" s="17">
        <v>36.975505828857401</v>
      </c>
      <c r="T10" s="17">
        <v>-122.024932861328</v>
      </c>
      <c r="U10" s="17" t="s">
        <v>282</v>
      </c>
    </row>
    <row r="11" spans="1:21" x14ac:dyDescent="0.25">
      <c r="A11" s="17" t="s">
        <v>87</v>
      </c>
      <c r="B11" s="17" t="s">
        <v>49</v>
      </c>
      <c r="C11" s="17">
        <v>233</v>
      </c>
      <c r="D11" s="17" t="s">
        <v>358</v>
      </c>
      <c r="E11" s="17" t="s">
        <v>151</v>
      </c>
      <c r="F11" s="17" t="s">
        <v>152</v>
      </c>
      <c r="G11" s="17">
        <v>95060</v>
      </c>
      <c r="H11" s="17" t="s">
        <v>2</v>
      </c>
      <c r="J11" s="40">
        <v>1500</v>
      </c>
      <c r="K11" s="41">
        <v>1.67</v>
      </c>
      <c r="L11" s="17" t="s">
        <v>359</v>
      </c>
      <c r="M11" s="17" t="s">
        <v>360</v>
      </c>
      <c r="N11" s="17" t="s">
        <v>361</v>
      </c>
      <c r="P11" s="44" t="s">
        <v>362</v>
      </c>
      <c r="R11" s="42">
        <f>K11</f>
        <v>1.67</v>
      </c>
    </row>
    <row r="12" spans="1:21" ht="75" hidden="1" x14ac:dyDescent="0.25">
      <c r="A12" s="17" t="s">
        <v>87</v>
      </c>
      <c r="B12" s="17" t="s">
        <v>49</v>
      </c>
      <c r="C12" s="17">
        <v>827</v>
      </c>
      <c r="D12" s="17" t="s">
        <v>182</v>
      </c>
      <c r="E12" s="17" t="s">
        <v>151</v>
      </c>
      <c r="F12" s="17" t="s">
        <v>152</v>
      </c>
      <c r="G12" s="17">
        <v>95060</v>
      </c>
      <c r="H12" s="17" t="s">
        <v>25</v>
      </c>
      <c r="I12" s="17" t="s">
        <v>170</v>
      </c>
      <c r="J12" s="40">
        <v>450</v>
      </c>
      <c r="K12" s="41">
        <v>900</v>
      </c>
      <c r="L12" s="17" t="s">
        <v>6</v>
      </c>
      <c r="M12" s="17" t="s">
        <v>60</v>
      </c>
      <c r="N12" s="17" t="s">
        <v>61</v>
      </c>
      <c r="O12" s="17" t="s">
        <v>62</v>
      </c>
      <c r="R12" s="42">
        <f>K12/J12</f>
        <v>2</v>
      </c>
      <c r="S12" s="17">
        <v>36.973668560385697</v>
      </c>
      <c r="T12" s="17">
        <v>-122.027319744229</v>
      </c>
      <c r="U12" s="17" t="s">
        <v>283</v>
      </c>
    </row>
    <row r="13" spans="1:21" ht="75" x14ac:dyDescent="0.25">
      <c r="A13" s="17" t="s">
        <v>87</v>
      </c>
      <c r="B13" s="17" t="s">
        <v>49</v>
      </c>
      <c r="C13" s="17">
        <v>845</v>
      </c>
      <c r="D13" s="17" t="s">
        <v>182</v>
      </c>
      <c r="E13" s="17" t="s">
        <v>151</v>
      </c>
      <c r="F13" s="17" t="s">
        <v>152</v>
      </c>
      <c r="G13" s="17">
        <v>95060</v>
      </c>
      <c r="H13" s="17" t="s">
        <v>8</v>
      </c>
      <c r="J13" s="40">
        <v>1600</v>
      </c>
      <c r="K13" s="41">
        <v>1.6</v>
      </c>
      <c r="L13" s="17" t="s">
        <v>6</v>
      </c>
      <c r="M13" s="17" t="s">
        <v>60</v>
      </c>
      <c r="N13" s="17" t="s">
        <v>61</v>
      </c>
      <c r="O13" s="17" t="s">
        <v>62</v>
      </c>
      <c r="P13" s="17" t="s">
        <v>253</v>
      </c>
      <c r="R13" s="42">
        <v>1.6</v>
      </c>
      <c r="S13" s="17">
        <v>36.973820775747299</v>
      </c>
      <c r="T13" s="17">
        <v>-122.027374058961</v>
      </c>
      <c r="U13" s="17" t="s">
        <v>285</v>
      </c>
    </row>
    <row r="14" spans="1:21" ht="75" x14ac:dyDescent="0.25">
      <c r="A14" s="17" t="s">
        <v>87</v>
      </c>
      <c r="B14" s="17" t="s">
        <v>49</v>
      </c>
      <c r="C14" s="17">
        <v>427</v>
      </c>
      <c r="D14" s="17" t="s">
        <v>218</v>
      </c>
      <c r="E14" s="17" t="s">
        <v>151</v>
      </c>
      <c r="F14" s="17" t="s">
        <v>152</v>
      </c>
      <c r="G14" s="17">
        <v>95060</v>
      </c>
      <c r="H14" s="17" t="s">
        <v>8</v>
      </c>
      <c r="J14" s="40">
        <v>450</v>
      </c>
      <c r="K14" s="41">
        <v>2</v>
      </c>
      <c r="L14" s="17" t="s">
        <v>6</v>
      </c>
      <c r="M14" s="17" t="s">
        <v>60</v>
      </c>
      <c r="N14" s="17" t="s">
        <v>61</v>
      </c>
      <c r="O14" s="17" t="s">
        <v>62</v>
      </c>
      <c r="P14" s="17" t="s">
        <v>253</v>
      </c>
      <c r="R14" s="42">
        <f>K14</f>
        <v>2</v>
      </c>
      <c r="S14" s="17">
        <v>36.970274224877301</v>
      </c>
      <c r="T14" s="17">
        <v>-122.02656134963</v>
      </c>
      <c r="U14" s="17" t="s">
        <v>284</v>
      </c>
    </row>
    <row r="15" spans="1:21" ht="75" x14ac:dyDescent="0.25">
      <c r="A15" s="17" t="s">
        <v>87</v>
      </c>
      <c r="B15" s="17" t="s">
        <v>49</v>
      </c>
      <c r="C15" s="17">
        <v>212</v>
      </c>
      <c r="D15" s="17" t="s">
        <v>188</v>
      </c>
      <c r="E15" s="17" t="s">
        <v>151</v>
      </c>
      <c r="F15" s="17" t="s">
        <v>152</v>
      </c>
      <c r="G15" s="17">
        <v>95060</v>
      </c>
      <c r="H15" s="17" t="s">
        <v>8</v>
      </c>
      <c r="I15" s="17">
        <v>200</v>
      </c>
      <c r="J15" s="40">
        <v>520</v>
      </c>
      <c r="K15" s="41">
        <v>1.54</v>
      </c>
      <c r="L15" s="17" t="s">
        <v>6</v>
      </c>
      <c r="M15" s="17" t="s">
        <v>66</v>
      </c>
      <c r="N15" s="17" t="s">
        <v>67</v>
      </c>
      <c r="O15" s="17" t="s">
        <v>68</v>
      </c>
      <c r="R15" s="42">
        <f>K15</f>
        <v>1.54</v>
      </c>
      <c r="S15" s="17">
        <v>36.969216763973201</v>
      </c>
      <c r="T15" s="17">
        <v>-122.025084793567</v>
      </c>
      <c r="U15" s="17" t="s">
        <v>286</v>
      </c>
    </row>
    <row r="16" spans="1:21" ht="75" x14ac:dyDescent="0.25">
      <c r="A16" s="17" t="s">
        <v>87</v>
      </c>
      <c r="B16" s="17" t="s">
        <v>49</v>
      </c>
      <c r="C16" s="17">
        <v>212</v>
      </c>
      <c r="D16" s="17" t="s">
        <v>188</v>
      </c>
      <c r="E16" s="17" t="s">
        <v>151</v>
      </c>
      <c r="F16" s="17" t="s">
        <v>152</v>
      </c>
      <c r="G16" s="17">
        <v>95060</v>
      </c>
      <c r="H16" s="17" t="s">
        <v>25</v>
      </c>
      <c r="I16" s="17">
        <v>202</v>
      </c>
      <c r="J16" s="40">
        <v>320</v>
      </c>
      <c r="K16" s="41">
        <v>1.58</v>
      </c>
      <c r="L16" s="17" t="s">
        <v>6</v>
      </c>
      <c r="M16" s="17" t="s">
        <v>66</v>
      </c>
      <c r="N16" s="17" t="s">
        <v>67</v>
      </c>
      <c r="O16" s="17" t="s">
        <v>68</v>
      </c>
      <c r="R16" s="42">
        <f>K16</f>
        <v>1.58</v>
      </c>
      <c r="S16" s="17">
        <v>36.969216763973201</v>
      </c>
      <c r="T16" s="17">
        <v>-122.025084793567</v>
      </c>
      <c r="U16" s="17" t="s">
        <v>286</v>
      </c>
    </row>
    <row r="17" spans="1:21" ht="75" x14ac:dyDescent="0.25">
      <c r="A17" s="17" t="s">
        <v>87</v>
      </c>
      <c r="B17" s="17" t="s">
        <v>49</v>
      </c>
      <c r="C17" s="17">
        <v>212</v>
      </c>
      <c r="D17" s="17" t="s">
        <v>188</v>
      </c>
      <c r="E17" s="17" t="s">
        <v>151</v>
      </c>
      <c r="F17" s="17" t="s">
        <v>152</v>
      </c>
      <c r="G17" s="17">
        <v>95060</v>
      </c>
      <c r="H17" s="17" t="s">
        <v>25</v>
      </c>
      <c r="I17" s="17">
        <v>203</v>
      </c>
      <c r="J17" s="40">
        <v>85</v>
      </c>
      <c r="K17" s="41">
        <v>3.59</v>
      </c>
      <c r="L17" s="17" t="s">
        <v>6</v>
      </c>
      <c r="M17" s="17" t="s">
        <v>66</v>
      </c>
      <c r="N17" s="17" t="s">
        <v>67</v>
      </c>
      <c r="O17" s="17" t="s">
        <v>68</v>
      </c>
      <c r="R17" s="42">
        <f>K17</f>
        <v>3.59</v>
      </c>
      <c r="S17" s="17">
        <v>36.969216763973201</v>
      </c>
      <c r="T17" s="17">
        <v>-122.025084793567</v>
      </c>
      <c r="U17" s="17" t="s">
        <v>286</v>
      </c>
    </row>
    <row r="18" spans="1:21" ht="75" x14ac:dyDescent="0.25">
      <c r="A18" s="17" t="s">
        <v>87</v>
      </c>
      <c r="B18" s="17" t="s">
        <v>49</v>
      </c>
      <c r="C18" s="17">
        <v>212</v>
      </c>
      <c r="D18" s="17" t="s">
        <v>188</v>
      </c>
      <c r="E18" s="17" t="s">
        <v>151</v>
      </c>
      <c r="F18" s="17" t="s">
        <v>152</v>
      </c>
      <c r="G18" s="17">
        <v>95060</v>
      </c>
      <c r="H18" s="17" t="s">
        <v>25</v>
      </c>
      <c r="I18" s="17">
        <v>204</v>
      </c>
      <c r="J18" s="40">
        <v>250</v>
      </c>
      <c r="K18" s="41">
        <v>2</v>
      </c>
      <c r="L18" s="17" t="s">
        <v>6</v>
      </c>
      <c r="M18" s="17" t="s">
        <v>66</v>
      </c>
      <c r="N18" s="17" t="s">
        <v>67</v>
      </c>
      <c r="O18" s="17" t="s">
        <v>68</v>
      </c>
      <c r="R18" s="42">
        <f>K18</f>
        <v>2</v>
      </c>
      <c r="S18" s="17">
        <v>36.969216763973201</v>
      </c>
      <c r="T18" s="17">
        <v>-122.025084793567</v>
      </c>
      <c r="U18" s="17" t="s">
        <v>286</v>
      </c>
    </row>
    <row r="19" spans="1:21" ht="75" x14ac:dyDescent="0.25">
      <c r="A19" s="17" t="s">
        <v>87</v>
      </c>
      <c r="B19" s="17" t="s">
        <v>49</v>
      </c>
      <c r="C19" s="17">
        <v>212</v>
      </c>
      <c r="D19" s="17" t="s">
        <v>188</v>
      </c>
      <c r="E19" s="17" t="s">
        <v>151</v>
      </c>
      <c r="F19" s="17" t="s">
        <v>152</v>
      </c>
      <c r="G19" s="17">
        <v>95060</v>
      </c>
      <c r="H19" s="17" t="s">
        <v>25</v>
      </c>
      <c r="I19" s="17">
        <v>205</v>
      </c>
      <c r="J19" s="40">
        <v>85</v>
      </c>
      <c r="K19" s="41">
        <v>3.59</v>
      </c>
      <c r="L19" s="17" t="s">
        <v>6</v>
      </c>
      <c r="M19" s="17" t="s">
        <v>66</v>
      </c>
      <c r="N19" s="17" t="s">
        <v>67</v>
      </c>
      <c r="O19" s="17" t="s">
        <v>68</v>
      </c>
      <c r="R19" s="42">
        <f>K19</f>
        <v>3.59</v>
      </c>
      <c r="S19" s="17">
        <v>36.969216763973201</v>
      </c>
      <c r="T19" s="17">
        <v>-122.025084793567</v>
      </c>
      <c r="U19" s="17" t="s">
        <v>286</v>
      </c>
    </row>
    <row r="20" spans="1:21" ht="75" x14ac:dyDescent="0.25">
      <c r="A20" s="17" t="s">
        <v>87</v>
      </c>
      <c r="B20" s="17" t="s">
        <v>49</v>
      </c>
      <c r="C20" s="17">
        <v>212</v>
      </c>
      <c r="D20" s="17" t="s">
        <v>188</v>
      </c>
      <c r="E20" s="17" t="s">
        <v>151</v>
      </c>
      <c r="F20" s="17" t="s">
        <v>152</v>
      </c>
      <c r="G20" s="17">
        <v>95060</v>
      </c>
      <c r="H20" s="17" t="s">
        <v>25</v>
      </c>
      <c r="I20" s="17">
        <v>207</v>
      </c>
      <c r="J20" s="40">
        <v>85</v>
      </c>
      <c r="K20" s="41">
        <v>3.59</v>
      </c>
      <c r="L20" s="17" t="s">
        <v>6</v>
      </c>
      <c r="M20" s="17" t="s">
        <v>66</v>
      </c>
      <c r="N20" s="17" t="s">
        <v>67</v>
      </c>
      <c r="O20" s="17" t="s">
        <v>68</v>
      </c>
      <c r="R20" s="42">
        <f>K20</f>
        <v>3.59</v>
      </c>
      <c r="S20" s="17">
        <v>36.969216763973201</v>
      </c>
      <c r="T20" s="17">
        <v>-122.025084793567</v>
      </c>
      <c r="U20" s="17" t="s">
        <v>286</v>
      </c>
    </row>
    <row r="21" spans="1:21" ht="75" x14ac:dyDescent="0.25">
      <c r="A21" s="17" t="s">
        <v>87</v>
      </c>
      <c r="B21" s="17" t="s">
        <v>49</v>
      </c>
      <c r="C21" s="17">
        <v>212</v>
      </c>
      <c r="D21" s="17" t="s">
        <v>188</v>
      </c>
      <c r="E21" s="17" t="s">
        <v>151</v>
      </c>
      <c r="F21" s="17" t="s">
        <v>152</v>
      </c>
      <c r="G21" s="17">
        <v>95060</v>
      </c>
      <c r="H21" s="17" t="s">
        <v>25</v>
      </c>
      <c r="I21" s="17">
        <v>209</v>
      </c>
      <c r="J21" s="40">
        <v>105</v>
      </c>
      <c r="K21" s="41">
        <v>3.14</v>
      </c>
      <c r="L21" s="17" t="s">
        <v>6</v>
      </c>
      <c r="M21" s="17" t="s">
        <v>66</v>
      </c>
      <c r="N21" s="17" t="s">
        <v>67</v>
      </c>
      <c r="O21" s="17" t="s">
        <v>68</v>
      </c>
      <c r="R21" s="42">
        <f>K21</f>
        <v>3.14</v>
      </c>
      <c r="S21" s="17">
        <v>36.969216763973201</v>
      </c>
      <c r="T21" s="17">
        <v>-122.025084793567</v>
      </c>
      <c r="U21" s="17" t="s">
        <v>286</v>
      </c>
    </row>
    <row r="22" spans="1:21" ht="75" x14ac:dyDescent="0.25">
      <c r="A22" s="17" t="s">
        <v>87</v>
      </c>
      <c r="B22" s="17" t="s">
        <v>49</v>
      </c>
      <c r="C22" s="17">
        <v>312</v>
      </c>
      <c r="D22" s="17" t="s">
        <v>215</v>
      </c>
      <c r="E22" s="17" t="s">
        <v>151</v>
      </c>
      <c r="F22" s="17" t="s">
        <v>152</v>
      </c>
      <c r="G22" s="17">
        <v>95060</v>
      </c>
      <c r="H22" s="17" t="s">
        <v>8</v>
      </c>
      <c r="I22" s="17" t="s">
        <v>51</v>
      </c>
      <c r="J22" s="40">
        <v>156</v>
      </c>
      <c r="K22" s="41">
        <v>1.44</v>
      </c>
      <c r="L22" s="17" t="s">
        <v>11</v>
      </c>
      <c r="M22" s="17" t="s">
        <v>21</v>
      </c>
      <c r="N22" s="17" t="s">
        <v>22</v>
      </c>
      <c r="O22" s="45" t="s">
        <v>147</v>
      </c>
      <c r="P22" s="17" t="s">
        <v>258</v>
      </c>
      <c r="R22" s="42">
        <f>K22</f>
        <v>1.44</v>
      </c>
      <c r="S22" s="17">
        <v>36.972412109375</v>
      </c>
      <c r="T22" s="17">
        <v>-122.028610229492</v>
      </c>
      <c r="U22" s="17" t="s">
        <v>287</v>
      </c>
    </row>
    <row r="23" spans="1:21" ht="75" x14ac:dyDescent="0.25">
      <c r="A23" s="17" t="s">
        <v>87</v>
      </c>
      <c r="B23" s="17" t="s">
        <v>49</v>
      </c>
      <c r="C23" s="17">
        <v>312</v>
      </c>
      <c r="D23" s="17" t="s">
        <v>215</v>
      </c>
      <c r="E23" s="17" t="s">
        <v>151</v>
      </c>
      <c r="F23" s="17" t="s">
        <v>152</v>
      </c>
      <c r="G23" s="17">
        <v>95060</v>
      </c>
      <c r="H23" s="17" t="s">
        <v>8</v>
      </c>
      <c r="J23" s="40">
        <v>3000</v>
      </c>
      <c r="K23" s="41">
        <v>3850</v>
      </c>
      <c r="L23" s="17" t="s">
        <v>11</v>
      </c>
      <c r="M23" s="17" t="s">
        <v>21</v>
      </c>
      <c r="N23" s="17" t="s">
        <v>22</v>
      </c>
      <c r="O23" s="45" t="s">
        <v>147</v>
      </c>
      <c r="R23" s="42">
        <f>K23/J23</f>
        <v>1.2833333333333334</v>
      </c>
      <c r="S23" s="17">
        <v>36.972412109375</v>
      </c>
      <c r="T23" s="17">
        <v>-122.028610229492</v>
      </c>
      <c r="U23" s="17" t="s">
        <v>287</v>
      </c>
    </row>
    <row r="24" spans="1:21" ht="75" x14ac:dyDescent="0.25">
      <c r="A24" s="17" t="s">
        <v>87</v>
      </c>
      <c r="B24" s="17" t="s">
        <v>49</v>
      </c>
      <c r="C24" s="17">
        <v>123</v>
      </c>
      <c r="D24" s="17" t="s">
        <v>183</v>
      </c>
      <c r="E24" s="17" t="s">
        <v>151</v>
      </c>
      <c r="F24" s="17" t="s">
        <v>152</v>
      </c>
      <c r="G24" s="17">
        <v>95060</v>
      </c>
      <c r="H24" s="17" t="s">
        <v>7</v>
      </c>
      <c r="I24" s="17" t="s">
        <v>172</v>
      </c>
      <c r="J24" s="40">
        <v>2300</v>
      </c>
      <c r="K24" s="41">
        <v>2.25</v>
      </c>
      <c r="L24" s="17" t="s">
        <v>6</v>
      </c>
      <c r="M24" s="17" t="s">
        <v>221</v>
      </c>
      <c r="N24" s="17" t="s">
        <v>122</v>
      </c>
      <c r="O24" s="17" t="s">
        <v>18</v>
      </c>
      <c r="P24" s="17" t="s">
        <v>72</v>
      </c>
      <c r="R24" s="42">
        <f>K24</f>
        <v>2.25</v>
      </c>
      <c r="S24" s="17">
        <v>36.9752141833305</v>
      </c>
      <c r="T24" s="17">
        <v>-122.02687986194999</v>
      </c>
      <c r="U24" s="17" t="s">
        <v>288</v>
      </c>
    </row>
    <row r="25" spans="1:21" ht="75" x14ac:dyDescent="0.25">
      <c r="A25" s="17" t="s">
        <v>87</v>
      </c>
      <c r="B25" s="17" t="s">
        <v>49</v>
      </c>
      <c r="C25" s="17">
        <v>123</v>
      </c>
      <c r="D25" s="17" t="s">
        <v>183</v>
      </c>
      <c r="E25" s="17" t="s">
        <v>151</v>
      </c>
      <c r="F25" s="17" t="s">
        <v>152</v>
      </c>
      <c r="G25" s="17">
        <v>95060</v>
      </c>
      <c r="H25" s="17" t="s">
        <v>25</v>
      </c>
      <c r="I25" s="17" t="s">
        <v>170</v>
      </c>
      <c r="J25" s="40">
        <v>2800</v>
      </c>
      <c r="K25" s="41">
        <v>2</v>
      </c>
      <c r="L25" s="17" t="s">
        <v>6</v>
      </c>
      <c r="M25" s="17" t="s">
        <v>26</v>
      </c>
      <c r="N25" s="17" t="s">
        <v>122</v>
      </c>
      <c r="O25" s="17" t="s">
        <v>18</v>
      </c>
      <c r="P25" s="17" t="s">
        <v>72</v>
      </c>
      <c r="R25" s="42">
        <f>K25</f>
        <v>2</v>
      </c>
      <c r="S25" s="17">
        <v>36.9752141833305</v>
      </c>
      <c r="T25" s="17">
        <v>-122.02687986194999</v>
      </c>
      <c r="U25" s="17" t="s">
        <v>288</v>
      </c>
    </row>
    <row r="26" spans="1:21" ht="90" x14ac:dyDescent="0.25">
      <c r="A26" s="17" t="s">
        <v>87</v>
      </c>
      <c r="B26" s="17" t="s">
        <v>49</v>
      </c>
      <c r="C26" s="17">
        <v>175</v>
      </c>
      <c r="D26" s="17" t="s">
        <v>186</v>
      </c>
      <c r="E26" s="17" t="s">
        <v>151</v>
      </c>
      <c r="F26" s="17" t="s">
        <v>152</v>
      </c>
      <c r="G26" s="17">
        <v>95060</v>
      </c>
      <c r="H26" s="17" t="s">
        <v>50</v>
      </c>
      <c r="I26" s="17" t="s">
        <v>58</v>
      </c>
      <c r="J26" s="40">
        <v>4000</v>
      </c>
      <c r="K26" s="41">
        <v>1.25</v>
      </c>
      <c r="L26" s="17" t="s">
        <v>6</v>
      </c>
      <c r="M26" s="17" t="s">
        <v>83</v>
      </c>
      <c r="N26" s="17" t="s">
        <v>84</v>
      </c>
      <c r="O26" s="45" t="s">
        <v>252</v>
      </c>
      <c r="R26" s="42">
        <f>K26</f>
        <v>1.25</v>
      </c>
      <c r="S26" s="17">
        <v>36.972885131835902</v>
      </c>
      <c r="T26" s="17">
        <v>-122.02792358398401</v>
      </c>
      <c r="U26" s="17" t="s">
        <v>289</v>
      </c>
    </row>
    <row r="27" spans="1:21" ht="90" x14ac:dyDescent="0.25">
      <c r="A27" s="17" t="s">
        <v>87</v>
      </c>
      <c r="B27" s="17" t="s">
        <v>49</v>
      </c>
      <c r="C27" s="17">
        <v>175</v>
      </c>
      <c r="D27" s="17" t="s">
        <v>186</v>
      </c>
      <c r="E27" s="17" t="s">
        <v>151</v>
      </c>
      <c r="F27" s="17" t="s">
        <v>152</v>
      </c>
      <c r="G27" s="17">
        <v>95060</v>
      </c>
      <c r="H27" s="17" t="s">
        <v>50</v>
      </c>
      <c r="I27" s="17" t="s">
        <v>59</v>
      </c>
      <c r="J27" s="40">
        <v>1000</v>
      </c>
      <c r="K27" s="41">
        <v>1.25</v>
      </c>
      <c r="L27" s="17" t="s">
        <v>6</v>
      </c>
      <c r="M27" s="17" t="s">
        <v>83</v>
      </c>
      <c r="N27" s="17" t="s">
        <v>84</v>
      </c>
      <c r="O27" s="45" t="s">
        <v>252</v>
      </c>
      <c r="R27" s="42">
        <f>K27</f>
        <v>1.25</v>
      </c>
      <c r="S27" s="17">
        <v>36.972885131835902</v>
      </c>
      <c r="T27" s="17">
        <v>-122.02792358398401</v>
      </c>
      <c r="U27" s="17" t="s">
        <v>289</v>
      </c>
    </row>
    <row r="28" spans="1:21" ht="90" x14ac:dyDescent="0.25">
      <c r="A28" s="17" t="s">
        <v>87</v>
      </c>
      <c r="B28" s="17" t="s">
        <v>49</v>
      </c>
      <c r="C28" s="17">
        <v>189</v>
      </c>
      <c r="D28" s="17" t="s">
        <v>186</v>
      </c>
      <c r="E28" s="17" t="s">
        <v>151</v>
      </c>
      <c r="F28" s="17" t="s">
        <v>152</v>
      </c>
      <c r="G28" s="17">
        <v>95060</v>
      </c>
      <c r="H28" s="17" t="s">
        <v>53</v>
      </c>
      <c r="I28" s="17" t="s">
        <v>257</v>
      </c>
      <c r="J28" s="40">
        <v>5270</v>
      </c>
      <c r="K28" s="41">
        <v>1.38</v>
      </c>
      <c r="L28" s="17" t="s">
        <v>6</v>
      </c>
      <c r="M28" s="17" t="s">
        <v>83</v>
      </c>
      <c r="N28" s="17" t="s">
        <v>84</v>
      </c>
      <c r="O28" s="45" t="s">
        <v>252</v>
      </c>
      <c r="R28" s="42">
        <f>K28</f>
        <v>1.38</v>
      </c>
      <c r="S28" s="17">
        <v>36.973083168268197</v>
      </c>
      <c r="T28" s="17">
        <v>-122.028014436364</v>
      </c>
      <c r="U28" s="17" t="s">
        <v>290</v>
      </c>
    </row>
    <row r="29" spans="1:21" ht="90" x14ac:dyDescent="0.25">
      <c r="A29" s="17" t="s">
        <v>87</v>
      </c>
      <c r="B29" s="17" t="s">
        <v>49</v>
      </c>
      <c r="C29" s="17">
        <v>200</v>
      </c>
      <c r="D29" s="17" t="s">
        <v>187</v>
      </c>
      <c r="E29" s="17" t="s">
        <v>151</v>
      </c>
      <c r="F29" s="17" t="s">
        <v>152</v>
      </c>
      <c r="G29" s="17">
        <v>95060</v>
      </c>
      <c r="H29" s="17" t="s">
        <v>8</v>
      </c>
      <c r="I29" s="17">
        <v>201</v>
      </c>
      <c r="J29" s="40">
        <v>820</v>
      </c>
      <c r="K29" s="41">
        <v>1.45</v>
      </c>
      <c r="L29" s="17" t="s">
        <v>5</v>
      </c>
      <c r="M29" s="17" t="s">
        <v>69</v>
      </c>
      <c r="N29" s="17" t="s">
        <v>219</v>
      </c>
      <c r="O29" s="45" t="s">
        <v>70</v>
      </c>
      <c r="R29" s="42">
        <f>K29</f>
        <v>1.45</v>
      </c>
      <c r="S29" s="17">
        <v>36.966487884521399</v>
      </c>
      <c r="T29" s="17">
        <v>-122.02743530273401</v>
      </c>
      <c r="U29" s="17" t="s">
        <v>291</v>
      </c>
    </row>
    <row r="30" spans="1:21" ht="75" x14ac:dyDescent="0.25">
      <c r="A30" s="17" t="s">
        <v>87</v>
      </c>
      <c r="B30" s="17" t="s">
        <v>49</v>
      </c>
      <c r="C30" s="17">
        <v>125</v>
      </c>
      <c r="D30" s="17" t="s">
        <v>185</v>
      </c>
      <c r="E30" s="17" t="s">
        <v>151</v>
      </c>
      <c r="F30" s="17" t="s">
        <v>152</v>
      </c>
      <c r="G30" s="17">
        <v>95060</v>
      </c>
      <c r="H30" s="17" t="s">
        <v>8</v>
      </c>
      <c r="I30" s="17" t="s">
        <v>55</v>
      </c>
      <c r="J30" s="40">
        <v>2252</v>
      </c>
      <c r="K30" s="41">
        <v>1.8</v>
      </c>
      <c r="L30" s="17" t="s">
        <v>11</v>
      </c>
      <c r="M30" s="17" t="s">
        <v>365</v>
      </c>
      <c r="N30" s="17" t="s">
        <v>101</v>
      </c>
      <c r="O30" s="20" t="s">
        <v>366</v>
      </c>
      <c r="R30" s="42">
        <f>K30</f>
        <v>1.8</v>
      </c>
      <c r="S30" s="17">
        <v>36.977577209472699</v>
      </c>
      <c r="T30" s="17">
        <v>-122.026313781738</v>
      </c>
      <c r="U30" s="17" t="s">
        <v>292</v>
      </c>
    </row>
    <row r="31" spans="1:21" ht="75" x14ac:dyDescent="0.25">
      <c r="A31" s="17" t="s">
        <v>87</v>
      </c>
      <c r="B31" s="17" t="s">
        <v>49</v>
      </c>
      <c r="C31" s="17">
        <v>125</v>
      </c>
      <c r="D31" s="17" t="s">
        <v>185</v>
      </c>
      <c r="E31" s="17" t="s">
        <v>151</v>
      </c>
      <c r="F31" s="17" t="s">
        <v>152</v>
      </c>
      <c r="G31" s="17">
        <v>95060</v>
      </c>
      <c r="H31" s="17" t="s">
        <v>8</v>
      </c>
      <c r="I31" s="17" t="s">
        <v>56</v>
      </c>
      <c r="J31" s="40">
        <v>1286</v>
      </c>
      <c r="K31" s="41">
        <v>1.8</v>
      </c>
      <c r="L31" s="17" t="s">
        <v>6</v>
      </c>
      <c r="M31" s="17" t="s">
        <v>365</v>
      </c>
      <c r="N31" s="17" t="s">
        <v>101</v>
      </c>
      <c r="O31" s="20" t="s">
        <v>366</v>
      </c>
      <c r="R31" s="42">
        <f>K31</f>
        <v>1.8</v>
      </c>
      <c r="S31" s="17">
        <v>36.977577209472699</v>
      </c>
      <c r="T31" s="17">
        <v>-122.026313781738</v>
      </c>
      <c r="U31" s="17" t="s">
        <v>292</v>
      </c>
    </row>
    <row r="32" spans="1:21" ht="75" x14ac:dyDescent="0.25">
      <c r="A32" s="17" t="s">
        <v>87</v>
      </c>
      <c r="B32" s="17" t="s">
        <v>49</v>
      </c>
      <c r="C32" s="17">
        <v>125</v>
      </c>
      <c r="D32" s="17" t="s">
        <v>185</v>
      </c>
      <c r="E32" s="17" t="s">
        <v>151</v>
      </c>
      <c r="F32" s="17" t="s">
        <v>152</v>
      </c>
      <c r="G32" s="17">
        <v>95060</v>
      </c>
      <c r="H32" s="17" t="s">
        <v>25</v>
      </c>
      <c r="I32" s="17" t="s">
        <v>57</v>
      </c>
      <c r="J32" s="40">
        <v>2215</v>
      </c>
      <c r="K32" s="41">
        <v>1.8</v>
      </c>
      <c r="L32" s="17" t="s">
        <v>11</v>
      </c>
      <c r="M32" s="17" t="s">
        <v>365</v>
      </c>
      <c r="N32" s="17" t="s">
        <v>101</v>
      </c>
      <c r="O32" s="20" t="s">
        <v>366</v>
      </c>
      <c r="R32" s="42">
        <f>K32</f>
        <v>1.8</v>
      </c>
      <c r="S32" s="17">
        <v>36.977577209472599</v>
      </c>
      <c r="T32" s="17">
        <v>-122.026313781738</v>
      </c>
      <c r="U32" s="17" t="s">
        <v>292</v>
      </c>
    </row>
    <row r="33" spans="1:21" ht="75" x14ac:dyDescent="0.25">
      <c r="A33" s="17" t="s">
        <v>87</v>
      </c>
      <c r="B33" s="17" t="s">
        <v>40</v>
      </c>
      <c r="C33" s="17">
        <v>110</v>
      </c>
      <c r="D33" s="17" t="s">
        <v>180</v>
      </c>
      <c r="E33" s="17" t="s">
        <v>151</v>
      </c>
      <c r="F33" s="17" t="s">
        <v>152</v>
      </c>
      <c r="G33" s="17">
        <v>95060</v>
      </c>
      <c r="H33" s="17" t="s">
        <v>7</v>
      </c>
      <c r="J33" s="40">
        <v>1873</v>
      </c>
      <c r="K33" s="41">
        <v>2</v>
      </c>
      <c r="L33" s="17" t="s">
        <v>5</v>
      </c>
      <c r="M33" s="17" t="s">
        <v>26</v>
      </c>
      <c r="N33" s="17" t="s">
        <v>122</v>
      </c>
      <c r="O33" s="17" t="s">
        <v>18</v>
      </c>
      <c r="P33" s="17" t="s">
        <v>36</v>
      </c>
      <c r="R33" s="42">
        <v>2</v>
      </c>
      <c r="S33" s="17">
        <v>36.974845886230398</v>
      </c>
      <c r="T33" s="17">
        <v>-122.026008605957</v>
      </c>
      <c r="U33" s="17" t="s">
        <v>278</v>
      </c>
    </row>
    <row r="34" spans="1:21" ht="90" x14ac:dyDescent="0.25">
      <c r="A34" s="17" t="s">
        <v>87</v>
      </c>
      <c r="B34" s="17" t="s">
        <v>40</v>
      </c>
      <c r="C34" s="17">
        <v>1349</v>
      </c>
      <c r="D34" s="17" t="s">
        <v>189</v>
      </c>
      <c r="E34" s="17" t="s">
        <v>151</v>
      </c>
      <c r="F34" s="17" t="s">
        <v>152</v>
      </c>
      <c r="G34" s="17">
        <v>95060</v>
      </c>
      <c r="H34" s="17" t="s">
        <v>7</v>
      </c>
      <c r="J34" s="40">
        <v>1800</v>
      </c>
      <c r="K34" s="41">
        <v>2.75</v>
      </c>
      <c r="L34" s="17" t="s">
        <v>5</v>
      </c>
      <c r="M34" s="17" t="s">
        <v>119</v>
      </c>
      <c r="N34" s="17" t="s">
        <v>120</v>
      </c>
      <c r="O34" s="45" t="s">
        <v>121</v>
      </c>
      <c r="R34" s="42">
        <f>K34</f>
        <v>2.75</v>
      </c>
      <c r="S34" s="17">
        <v>36.974097999999998</v>
      </c>
      <c r="T34" s="17">
        <v>-122.026535</v>
      </c>
      <c r="U34" s="17" t="s">
        <v>297</v>
      </c>
    </row>
    <row r="35" spans="1:21" ht="90" x14ac:dyDescent="0.25">
      <c r="A35" s="17" t="s">
        <v>87</v>
      </c>
      <c r="B35" s="17" t="s">
        <v>40</v>
      </c>
      <c r="C35" s="17">
        <v>819</v>
      </c>
      <c r="D35" s="17" t="s">
        <v>189</v>
      </c>
      <c r="E35" s="17" t="s">
        <v>151</v>
      </c>
      <c r="F35" s="17" t="s">
        <v>152</v>
      </c>
      <c r="G35" s="17">
        <v>95060</v>
      </c>
      <c r="H35" s="17" t="s">
        <v>25</v>
      </c>
      <c r="J35" s="40">
        <v>1385</v>
      </c>
      <c r="K35" s="41">
        <v>2200</v>
      </c>
      <c r="L35" s="17" t="s">
        <v>6</v>
      </c>
      <c r="M35" s="17" t="s">
        <v>245</v>
      </c>
      <c r="N35" s="17" t="s">
        <v>246</v>
      </c>
      <c r="O35" s="45" t="s">
        <v>247</v>
      </c>
      <c r="P35" s="17" t="s">
        <v>363</v>
      </c>
      <c r="R35" s="42">
        <f>K35/J35</f>
        <v>1.5884476534296028</v>
      </c>
      <c r="S35" s="17">
        <v>36.969888657331403</v>
      </c>
      <c r="T35" s="17">
        <v>-122.024984881281</v>
      </c>
      <c r="U35" s="17" t="s">
        <v>293</v>
      </c>
    </row>
    <row r="36" spans="1:21" ht="30" x14ac:dyDescent="0.25">
      <c r="A36" s="17" t="s">
        <v>87</v>
      </c>
      <c r="B36" s="17" t="s">
        <v>40</v>
      </c>
      <c r="C36" s="17">
        <v>819.5</v>
      </c>
      <c r="D36" s="17" t="s">
        <v>189</v>
      </c>
      <c r="E36" s="17" t="s">
        <v>151</v>
      </c>
      <c r="F36" s="17" t="s">
        <v>152</v>
      </c>
      <c r="G36" s="17">
        <v>95060</v>
      </c>
      <c r="H36" s="17" t="s">
        <v>8</v>
      </c>
      <c r="I36" s="17" t="s">
        <v>143</v>
      </c>
      <c r="J36" s="40">
        <v>480</v>
      </c>
      <c r="K36" s="41">
        <v>700</v>
      </c>
      <c r="L36" s="17" t="s">
        <v>11</v>
      </c>
      <c r="M36" s="17" t="s">
        <v>3</v>
      </c>
      <c r="N36" s="17" t="s">
        <v>4</v>
      </c>
      <c r="O36" s="17" t="s">
        <v>9</v>
      </c>
      <c r="R36" s="42">
        <f>K36/J36</f>
        <v>1.4583333333333333</v>
      </c>
      <c r="S36" s="17">
        <v>36.9740180969238</v>
      </c>
      <c r="T36" s="17">
        <v>-122.030952453613</v>
      </c>
      <c r="U36" s="17" t="s">
        <v>294</v>
      </c>
    </row>
    <row r="37" spans="1:21" ht="90" x14ac:dyDescent="0.25">
      <c r="A37" s="17" t="s">
        <v>87</v>
      </c>
      <c r="B37" s="17" t="s">
        <v>40</v>
      </c>
      <c r="C37" s="17">
        <v>1013</v>
      </c>
      <c r="D37" s="17" t="s">
        <v>189</v>
      </c>
      <c r="E37" s="17" t="s">
        <v>151</v>
      </c>
      <c r="F37" s="17" t="s">
        <v>152</v>
      </c>
      <c r="G37" s="17">
        <v>95060</v>
      </c>
      <c r="H37" s="17" t="s">
        <v>2</v>
      </c>
      <c r="J37" s="40">
        <v>4500</v>
      </c>
      <c r="K37" s="41">
        <v>3</v>
      </c>
      <c r="L37" s="17" t="s">
        <v>5</v>
      </c>
      <c r="M37" s="17" t="s">
        <v>3</v>
      </c>
      <c r="N37" s="17" t="s">
        <v>4</v>
      </c>
      <c r="O37" s="17" t="s">
        <v>30</v>
      </c>
      <c r="P37" s="17" t="s">
        <v>175</v>
      </c>
      <c r="R37" s="42">
        <f>K37</f>
        <v>3</v>
      </c>
      <c r="S37" s="17">
        <v>36.971420288085902</v>
      </c>
      <c r="T37" s="17">
        <v>-122.02579498291</v>
      </c>
      <c r="U37" s="17" t="s">
        <v>295</v>
      </c>
    </row>
    <row r="38" spans="1:21" ht="90" x14ac:dyDescent="0.25">
      <c r="A38" s="17" t="s">
        <v>87</v>
      </c>
      <c r="B38" s="17" t="s">
        <v>40</v>
      </c>
      <c r="C38" s="17">
        <v>1101</v>
      </c>
      <c r="D38" s="17" t="s">
        <v>189</v>
      </c>
      <c r="E38" s="17" t="s">
        <v>151</v>
      </c>
      <c r="F38" s="17" t="s">
        <v>152</v>
      </c>
      <c r="G38" s="17">
        <v>95060</v>
      </c>
      <c r="H38" s="17" t="s">
        <v>2</v>
      </c>
      <c r="I38" s="17" t="s">
        <v>75</v>
      </c>
      <c r="J38" s="40">
        <v>1561</v>
      </c>
      <c r="K38" s="41">
        <v>2.75</v>
      </c>
      <c r="L38" s="17" t="s">
        <v>5</v>
      </c>
      <c r="M38" s="17" t="s">
        <v>221</v>
      </c>
      <c r="N38" s="17" t="s">
        <v>122</v>
      </c>
      <c r="O38" s="17" t="s">
        <v>18</v>
      </c>
      <c r="P38" s="17" t="s">
        <v>12</v>
      </c>
      <c r="R38" s="42">
        <f>K38</f>
        <v>2.75</v>
      </c>
      <c r="S38" s="17">
        <v>36.971908569335902</v>
      </c>
      <c r="T38" s="17">
        <v>-122.02589416503901</v>
      </c>
      <c r="U38" s="17" t="s">
        <v>296</v>
      </c>
    </row>
    <row r="39" spans="1:21" ht="90" x14ac:dyDescent="0.25">
      <c r="A39" s="17" t="s">
        <v>87</v>
      </c>
      <c r="B39" s="17" t="s">
        <v>40</v>
      </c>
      <c r="C39" s="17">
        <v>1101</v>
      </c>
      <c r="D39" s="17" t="s">
        <v>189</v>
      </c>
      <c r="E39" s="17" t="s">
        <v>151</v>
      </c>
      <c r="F39" s="17" t="s">
        <v>152</v>
      </c>
      <c r="G39" s="17">
        <v>95060</v>
      </c>
      <c r="H39" s="17" t="s">
        <v>8</v>
      </c>
      <c r="I39" s="17">
        <v>300</v>
      </c>
      <c r="J39" s="40">
        <v>3323</v>
      </c>
      <c r="K39" s="41">
        <v>1.25</v>
      </c>
      <c r="L39" s="17" t="s">
        <v>5</v>
      </c>
      <c r="M39" s="17" t="s">
        <v>221</v>
      </c>
      <c r="N39" s="17" t="s">
        <v>122</v>
      </c>
      <c r="O39" s="17" t="s">
        <v>18</v>
      </c>
      <c r="P39" s="17" t="s">
        <v>12</v>
      </c>
      <c r="R39" s="42">
        <f>K39</f>
        <v>1.25</v>
      </c>
      <c r="S39" s="17">
        <v>36.971908569335902</v>
      </c>
      <c r="T39" s="17">
        <v>-122.02589416503901</v>
      </c>
      <c r="U39" s="17" t="s">
        <v>296</v>
      </c>
    </row>
    <row r="40" spans="1:21" ht="26.25" x14ac:dyDescent="0.25">
      <c r="A40" s="17" t="s">
        <v>87</v>
      </c>
      <c r="B40" s="17" t="s">
        <v>40</v>
      </c>
      <c r="C40" s="17">
        <v>1108</v>
      </c>
      <c r="D40" s="17" t="s">
        <v>189</v>
      </c>
      <c r="E40" s="17" t="s">
        <v>151</v>
      </c>
      <c r="F40" s="17" t="s">
        <v>152</v>
      </c>
      <c r="G40" s="17">
        <v>95060</v>
      </c>
      <c r="H40" s="17" t="s">
        <v>126</v>
      </c>
      <c r="J40" s="40">
        <v>4000</v>
      </c>
      <c r="K40" s="41">
        <v>9250</v>
      </c>
      <c r="L40" s="17" t="s">
        <v>5</v>
      </c>
      <c r="M40" s="17" t="s">
        <v>371</v>
      </c>
      <c r="N40" s="17" t="s">
        <v>372</v>
      </c>
      <c r="O40" s="20" t="s">
        <v>373</v>
      </c>
      <c r="P40" s="17" t="s">
        <v>374</v>
      </c>
      <c r="R40" s="42">
        <f>K40/J40</f>
        <v>2.3125</v>
      </c>
    </row>
    <row r="41" spans="1:21" ht="90" x14ac:dyDescent="0.25">
      <c r="A41" s="17" t="s">
        <v>87</v>
      </c>
      <c r="B41" s="17" t="s">
        <v>40</v>
      </c>
      <c r="C41" s="17">
        <v>1101</v>
      </c>
      <c r="D41" s="17" t="s">
        <v>189</v>
      </c>
      <c r="E41" s="17" t="s">
        <v>151</v>
      </c>
      <c r="F41" s="17" t="s">
        <v>152</v>
      </c>
      <c r="G41" s="17">
        <v>95060</v>
      </c>
      <c r="H41" s="17" t="s">
        <v>8</v>
      </c>
      <c r="I41" s="17">
        <v>308</v>
      </c>
      <c r="J41" s="40">
        <v>1525</v>
      </c>
      <c r="K41" s="41">
        <v>1.25</v>
      </c>
      <c r="L41" s="17" t="s">
        <v>5</v>
      </c>
      <c r="M41" s="17" t="s">
        <v>221</v>
      </c>
      <c r="N41" s="17" t="s">
        <v>122</v>
      </c>
      <c r="O41" s="17" t="s">
        <v>18</v>
      </c>
      <c r="P41" s="17" t="s">
        <v>12</v>
      </c>
      <c r="R41" s="42">
        <f>K41</f>
        <v>1.25</v>
      </c>
      <c r="S41" s="17">
        <v>36.971908569335902</v>
      </c>
      <c r="T41" s="17">
        <v>-122.02589416503901</v>
      </c>
      <c r="U41" s="17" t="s">
        <v>296</v>
      </c>
    </row>
    <row r="42" spans="1:21" ht="90" x14ac:dyDescent="0.25">
      <c r="A42" s="17" t="s">
        <v>87</v>
      </c>
      <c r="B42" s="17" t="s">
        <v>40</v>
      </c>
      <c r="C42" s="17">
        <v>1101</v>
      </c>
      <c r="D42" s="17" t="s">
        <v>189</v>
      </c>
      <c r="E42" s="17" t="s">
        <v>151</v>
      </c>
      <c r="F42" s="17" t="s">
        <v>152</v>
      </c>
      <c r="G42" s="17">
        <v>95060</v>
      </c>
      <c r="H42" s="17" t="s">
        <v>8</v>
      </c>
      <c r="I42" s="17">
        <v>320</v>
      </c>
      <c r="J42" s="40">
        <v>5178</v>
      </c>
      <c r="K42" s="41">
        <v>1.25</v>
      </c>
      <c r="L42" s="17" t="s">
        <v>5</v>
      </c>
      <c r="M42" s="17" t="s">
        <v>221</v>
      </c>
      <c r="N42" s="17" t="s">
        <v>122</v>
      </c>
      <c r="O42" s="17" t="s">
        <v>18</v>
      </c>
      <c r="P42" s="17" t="s">
        <v>12</v>
      </c>
      <c r="R42" s="42">
        <f>K42</f>
        <v>1.25</v>
      </c>
      <c r="S42" s="17">
        <v>36.971908569335902</v>
      </c>
      <c r="T42" s="17">
        <v>-122.02589416503901</v>
      </c>
      <c r="U42" s="17" t="s">
        <v>296</v>
      </c>
    </row>
    <row r="43" spans="1:21" ht="90" x14ac:dyDescent="0.25">
      <c r="A43" s="17" t="s">
        <v>87</v>
      </c>
      <c r="B43" s="17" t="s">
        <v>40</v>
      </c>
      <c r="C43" s="17">
        <v>1101</v>
      </c>
      <c r="D43" s="17" t="s">
        <v>189</v>
      </c>
      <c r="E43" s="17" t="s">
        <v>151</v>
      </c>
      <c r="F43" s="17" t="s">
        <v>152</v>
      </c>
      <c r="G43" s="17">
        <v>95060</v>
      </c>
      <c r="H43" s="17" t="s">
        <v>8</v>
      </c>
      <c r="I43" s="17">
        <v>210</v>
      </c>
      <c r="J43" s="40">
        <v>1484</v>
      </c>
      <c r="K43" s="41">
        <v>1.25</v>
      </c>
      <c r="L43" s="17" t="s">
        <v>5</v>
      </c>
      <c r="M43" s="17" t="s">
        <v>221</v>
      </c>
      <c r="N43" s="17" t="s">
        <v>122</v>
      </c>
      <c r="O43" s="17" t="s">
        <v>18</v>
      </c>
      <c r="P43" s="17" t="s">
        <v>12</v>
      </c>
      <c r="R43" s="42">
        <f>K43</f>
        <v>1.25</v>
      </c>
      <c r="S43" s="17">
        <v>36.971908569335902</v>
      </c>
      <c r="T43" s="17">
        <v>-122.02589416503901</v>
      </c>
      <c r="U43" s="17" t="s">
        <v>296</v>
      </c>
    </row>
    <row r="44" spans="1:21" ht="90" x14ac:dyDescent="0.25">
      <c r="A44" s="17" t="s">
        <v>87</v>
      </c>
      <c r="B44" s="17" t="s">
        <v>40</v>
      </c>
      <c r="C44" s="17">
        <v>1119</v>
      </c>
      <c r="D44" s="17" t="s">
        <v>189</v>
      </c>
      <c r="E44" s="17" t="s">
        <v>151</v>
      </c>
      <c r="F44" s="17" t="s">
        <v>152</v>
      </c>
      <c r="G44" s="17">
        <v>95060</v>
      </c>
      <c r="H44" s="17" t="s">
        <v>8</v>
      </c>
      <c r="J44" s="40">
        <v>6200</v>
      </c>
      <c r="K44" s="41">
        <v>0.89</v>
      </c>
      <c r="L44" s="17" t="s">
        <v>5</v>
      </c>
      <c r="M44" s="17" t="s">
        <v>21</v>
      </c>
      <c r="N44" s="17" t="s">
        <v>22</v>
      </c>
      <c r="O44" s="45" t="s">
        <v>147</v>
      </c>
      <c r="Q44" s="17">
        <v>0.52</v>
      </c>
      <c r="R44" s="42">
        <f>K44</f>
        <v>0.89</v>
      </c>
      <c r="S44" s="17">
        <v>36.972224190831099</v>
      </c>
      <c r="T44" s="17">
        <v>-122.025650739669</v>
      </c>
      <c r="U44" s="17" t="s">
        <v>304</v>
      </c>
    </row>
    <row r="45" spans="1:21" ht="30" x14ac:dyDescent="0.25">
      <c r="A45" s="17" t="s">
        <v>87</v>
      </c>
      <c r="B45" s="17" t="s">
        <v>40</v>
      </c>
      <c r="C45" s="17">
        <v>1125</v>
      </c>
      <c r="D45" s="17" t="s">
        <v>189</v>
      </c>
      <c r="E45" s="17" t="s">
        <v>151</v>
      </c>
      <c r="F45" s="17" t="s">
        <v>152</v>
      </c>
      <c r="G45" s="17">
        <v>95060</v>
      </c>
      <c r="H45" s="17" t="s">
        <v>2</v>
      </c>
      <c r="J45" s="40">
        <v>2437</v>
      </c>
      <c r="K45" s="41">
        <v>2.75</v>
      </c>
      <c r="L45" s="17" t="s">
        <v>5</v>
      </c>
      <c r="M45" s="17" t="s">
        <v>26</v>
      </c>
      <c r="N45" s="17" t="s">
        <v>122</v>
      </c>
      <c r="O45" s="45" t="s">
        <v>18</v>
      </c>
      <c r="R45" s="42">
        <f>K45</f>
        <v>2.75</v>
      </c>
    </row>
    <row r="46" spans="1:21" ht="90" x14ac:dyDescent="0.25">
      <c r="A46" s="17" t="s">
        <v>87</v>
      </c>
      <c r="B46" s="17" t="s">
        <v>40</v>
      </c>
      <c r="C46" s="17">
        <v>1200</v>
      </c>
      <c r="D46" s="17" t="s">
        <v>189</v>
      </c>
      <c r="E46" s="17" t="s">
        <v>151</v>
      </c>
      <c r="F46" s="17" t="s">
        <v>152</v>
      </c>
      <c r="G46" s="17">
        <v>95060</v>
      </c>
      <c r="H46" s="17" t="s">
        <v>8</v>
      </c>
      <c r="I46" s="17">
        <v>250</v>
      </c>
      <c r="J46" s="40">
        <v>3463</v>
      </c>
      <c r="K46" s="41">
        <v>1.75</v>
      </c>
      <c r="L46" s="17" t="s">
        <v>5</v>
      </c>
      <c r="M46" s="17" t="s">
        <v>26</v>
      </c>
      <c r="N46" s="17" t="s">
        <v>122</v>
      </c>
      <c r="O46" s="17" t="s">
        <v>18</v>
      </c>
      <c r="P46" s="17" t="s">
        <v>236</v>
      </c>
      <c r="R46" s="42">
        <f>K46</f>
        <v>1.75</v>
      </c>
      <c r="S46" s="17">
        <v>36.973400115966797</v>
      </c>
      <c r="T46" s="17">
        <v>-122.025550842285</v>
      </c>
      <c r="U46" s="17" t="s">
        <v>298</v>
      </c>
    </row>
    <row r="47" spans="1:21" ht="90" x14ac:dyDescent="0.25">
      <c r="A47" s="17" t="s">
        <v>87</v>
      </c>
      <c r="B47" s="17" t="s">
        <v>40</v>
      </c>
      <c r="C47" s="17">
        <v>1200</v>
      </c>
      <c r="D47" s="17" t="s">
        <v>189</v>
      </c>
      <c r="E47" s="17" t="s">
        <v>151</v>
      </c>
      <c r="F47" s="17" t="s">
        <v>152</v>
      </c>
      <c r="G47" s="17">
        <v>95060</v>
      </c>
      <c r="H47" s="17" t="s">
        <v>25</v>
      </c>
      <c r="I47" s="17">
        <v>270</v>
      </c>
      <c r="J47" s="40">
        <v>3589</v>
      </c>
      <c r="K47" s="41">
        <v>1.75</v>
      </c>
      <c r="L47" s="17" t="s">
        <v>5</v>
      </c>
      <c r="M47" s="17" t="s">
        <v>26</v>
      </c>
      <c r="N47" s="17" t="s">
        <v>122</v>
      </c>
      <c r="O47" s="17" t="s">
        <v>18</v>
      </c>
      <c r="P47" s="17" t="s">
        <v>236</v>
      </c>
      <c r="R47" s="42">
        <f>K47</f>
        <v>1.75</v>
      </c>
      <c r="S47" s="17">
        <v>36.973400115966797</v>
      </c>
      <c r="T47" s="17">
        <v>-122.025550842285</v>
      </c>
      <c r="U47" s="17" t="s">
        <v>298</v>
      </c>
    </row>
    <row r="48" spans="1:21" ht="90" x14ac:dyDescent="0.25">
      <c r="A48" s="17" t="s">
        <v>87</v>
      </c>
      <c r="B48" s="17" t="s">
        <v>40</v>
      </c>
      <c r="C48" s="17">
        <v>1200</v>
      </c>
      <c r="D48" s="17" t="s">
        <v>189</v>
      </c>
      <c r="E48" s="17" t="s">
        <v>151</v>
      </c>
      <c r="F48" s="17" t="s">
        <v>152</v>
      </c>
      <c r="G48" s="17">
        <v>95060</v>
      </c>
      <c r="H48" s="17" t="s">
        <v>8</v>
      </c>
      <c r="I48" s="17">
        <v>290</v>
      </c>
      <c r="J48" s="40">
        <v>1542</v>
      </c>
      <c r="K48" s="41">
        <v>1.75</v>
      </c>
      <c r="L48" s="17" t="s">
        <v>5</v>
      </c>
      <c r="M48" s="17" t="s">
        <v>26</v>
      </c>
      <c r="N48" s="17" t="s">
        <v>122</v>
      </c>
      <c r="O48" s="17" t="s">
        <v>18</v>
      </c>
      <c r="P48" s="17" t="s">
        <v>259</v>
      </c>
      <c r="R48" s="42">
        <f>K48</f>
        <v>1.75</v>
      </c>
      <c r="S48" s="17">
        <v>36.973400115966797</v>
      </c>
      <c r="T48" s="17">
        <v>-122.025550842285</v>
      </c>
      <c r="U48" s="17" t="s">
        <v>298</v>
      </c>
    </row>
    <row r="49" spans="1:21" ht="90" x14ac:dyDescent="0.25">
      <c r="A49" s="17" t="s">
        <v>87</v>
      </c>
      <c r="B49" s="17" t="s">
        <v>40</v>
      </c>
      <c r="C49" s="17">
        <v>1200</v>
      </c>
      <c r="D49" s="17" t="s">
        <v>189</v>
      </c>
      <c r="E49" s="17" t="s">
        <v>151</v>
      </c>
      <c r="F49" s="17" t="s">
        <v>152</v>
      </c>
      <c r="G49" s="17">
        <v>95060</v>
      </c>
      <c r="H49" s="17" t="s">
        <v>8</v>
      </c>
      <c r="I49" s="17">
        <v>310</v>
      </c>
      <c r="J49" s="40">
        <v>2295</v>
      </c>
      <c r="K49" s="41">
        <v>1.75</v>
      </c>
      <c r="L49" s="17" t="s">
        <v>5</v>
      </c>
      <c r="M49" s="17" t="s">
        <v>26</v>
      </c>
      <c r="N49" s="17" t="s">
        <v>122</v>
      </c>
      <c r="O49" s="17" t="s">
        <v>18</v>
      </c>
      <c r="P49" s="17" t="s">
        <v>259</v>
      </c>
      <c r="R49" s="42">
        <f>K49</f>
        <v>1.75</v>
      </c>
      <c r="S49" s="17">
        <v>36.973400115966797</v>
      </c>
      <c r="T49" s="17">
        <v>-122.025550842285</v>
      </c>
      <c r="U49" s="17" t="s">
        <v>298</v>
      </c>
    </row>
    <row r="50" spans="1:21" ht="30" x14ac:dyDescent="0.25">
      <c r="A50" s="17" t="s">
        <v>87</v>
      </c>
      <c r="B50" s="17" t="s">
        <v>40</v>
      </c>
      <c r="C50" s="17">
        <v>1251.5</v>
      </c>
      <c r="D50" s="17" t="s">
        <v>189</v>
      </c>
      <c r="E50" s="17" t="s">
        <v>151</v>
      </c>
      <c r="F50" s="17" t="s">
        <v>152</v>
      </c>
      <c r="G50" s="17">
        <v>95060</v>
      </c>
      <c r="H50" s="17" t="s">
        <v>8</v>
      </c>
      <c r="I50" s="17" t="s">
        <v>170</v>
      </c>
      <c r="J50" s="40">
        <v>2863</v>
      </c>
      <c r="K50" s="41">
        <v>1.4</v>
      </c>
      <c r="L50" s="17" t="s">
        <v>11</v>
      </c>
      <c r="M50" s="17" t="s">
        <v>37</v>
      </c>
      <c r="N50" s="17" t="s">
        <v>38</v>
      </c>
      <c r="O50" s="17" t="s">
        <v>39</v>
      </c>
      <c r="R50" s="42">
        <v>1.4</v>
      </c>
      <c r="S50" s="17">
        <v>36.9740180969238</v>
      </c>
      <c r="T50" s="17">
        <v>-122.030952453613</v>
      </c>
      <c r="U50" s="17" t="s">
        <v>294</v>
      </c>
    </row>
    <row r="51" spans="1:21" ht="90" x14ac:dyDescent="0.25">
      <c r="A51" s="17" t="s">
        <v>87</v>
      </c>
      <c r="B51" s="17" t="s">
        <v>40</v>
      </c>
      <c r="C51" s="17">
        <v>1339</v>
      </c>
      <c r="D51" s="17" t="s">
        <v>189</v>
      </c>
      <c r="E51" s="17" t="s">
        <v>151</v>
      </c>
      <c r="F51" s="17" t="s">
        <v>152</v>
      </c>
      <c r="G51" s="17">
        <v>95060</v>
      </c>
      <c r="H51" s="17" t="s">
        <v>2</v>
      </c>
      <c r="J51" s="40">
        <v>5000</v>
      </c>
      <c r="K51" s="41">
        <v>2.35</v>
      </c>
      <c r="L51" s="17" t="s">
        <v>6</v>
      </c>
      <c r="M51" s="17" t="s">
        <v>265</v>
      </c>
      <c r="N51" s="17" t="s">
        <v>266</v>
      </c>
      <c r="Q51" s="17">
        <v>0.16</v>
      </c>
      <c r="R51" s="42">
        <v>2.35</v>
      </c>
      <c r="S51" s="17">
        <v>36.973987579345703</v>
      </c>
      <c r="T51" s="17">
        <v>-122.02642822265599</v>
      </c>
      <c r="U51" s="17" t="s">
        <v>299</v>
      </c>
    </row>
    <row r="52" spans="1:21" ht="90" x14ac:dyDescent="0.25">
      <c r="A52" s="17" t="s">
        <v>87</v>
      </c>
      <c r="B52" s="17" t="s">
        <v>40</v>
      </c>
      <c r="C52" s="17">
        <v>1367</v>
      </c>
      <c r="D52" s="17" t="s">
        <v>189</v>
      </c>
      <c r="E52" s="17" t="s">
        <v>151</v>
      </c>
      <c r="F52" s="17" t="s">
        <v>152</v>
      </c>
      <c r="G52" s="17">
        <v>95060</v>
      </c>
      <c r="H52" s="17" t="s">
        <v>7</v>
      </c>
      <c r="I52" s="17" t="s">
        <v>172</v>
      </c>
      <c r="J52" s="40">
        <v>14945</v>
      </c>
      <c r="K52" s="41">
        <v>4</v>
      </c>
      <c r="L52" s="17" t="s">
        <v>5</v>
      </c>
      <c r="M52" s="17" t="s">
        <v>144</v>
      </c>
      <c r="N52" s="17" t="s">
        <v>29</v>
      </c>
      <c r="O52" s="17" t="s">
        <v>30</v>
      </c>
      <c r="P52" s="17" t="s">
        <v>156</v>
      </c>
      <c r="R52" s="42">
        <v>4</v>
      </c>
      <c r="S52" s="17">
        <v>36.974271386861801</v>
      </c>
      <c r="T52" s="17">
        <v>-122.026277035474</v>
      </c>
      <c r="U52" s="17" t="s">
        <v>300</v>
      </c>
    </row>
    <row r="53" spans="1:21" ht="90" x14ac:dyDescent="0.25">
      <c r="A53" s="17" t="s">
        <v>87</v>
      </c>
      <c r="B53" s="17" t="s">
        <v>40</v>
      </c>
      <c r="C53" s="17">
        <v>1367</v>
      </c>
      <c r="D53" s="17" t="s">
        <v>189</v>
      </c>
      <c r="E53" s="17" t="s">
        <v>151</v>
      </c>
      <c r="F53" s="17" t="s">
        <v>152</v>
      </c>
      <c r="G53" s="17">
        <v>95060</v>
      </c>
      <c r="H53" s="17" t="s">
        <v>25</v>
      </c>
      <c r="I53" s="17" t="s">
        <v>170</v>
      </c>
      <c r="J53" s="40">
        <v>16815</v>
      </c>
      <c r="K53" s="41">
        <v>1.65</v>
      </c>
      <c r="L53" s="17" t="s">
        <v>5</v>
      </c>
      <c r="M53" s="17" t="s">
        <v>27</v>
      </c>
      <c r="N53" s="17" t="s">
        <v>28</v>
      </c>
      <c r="O53" s="17" t="s">
        <v>9</v>
      </c>
      <c r="P53" s="17" t="s">
        <v>32</v>
      </c>
      <c r="R53" s="42">
        <f>K53</f>
        <v>1.65</v>
      </c>
      <c r="S53" s="17">
        <v>36.974271386861801</v>
      </c>
      <c r="T53" s="17">
        <v>-122.026277035474</v>
      </c>
      <c r="U53" s="17" t="s">
        <v>300</v>
      </c>
    </row>
    <row r="54" spans="1:21" ht="90" x14ac:dyDescent="0.25">
      <c r="A54" s="17" t="s">
        <v>87</v>
      </c>
      <c r="B54" s="17" t="s">
        <v>40</v>
      </c>
      <c r="C54" s="17">
        <v>1367</v>
      </c>
      <c r="D54" s="17" t="s">
        <v>189</v>
      </c>
      <c r="E54" s="17" t="s">
        <v>151</v>
      </c>
      <c r="F54" s="17" t="s">
        <v>152</v>
      </c>
      <c r="G54" s="17">
        <v>95060</v>
      </c>
      <c r="H54" s="17" t="s">
        <v>25</v>
      </c>
      <c r="I54" s="17" t="s">
        <v>171</v>
      </c>
      <c r="J54" s="40">
        <v>17746</v>
      </c>
      <c r="K54" s="41">
        <v>1.65</v>
      </c>
      <c r="L54" s="17" t="s">
        <v>5</v>
      </c>
      <c r="M54" s="17" t="s">
        <v>27</v>
      </c>
      <c r="N54" s="17" t="s">
        <v>28</v>
      </c>
      <c r="O54" s="17" t="s">
        <v>9</v>
      </c>
      <c r="P54" s="17" t="s">
        <v>32</v>
      </c>
      <c r="R54" s="42">
        <f>K54</f>
        <v>1.65</v>
      </c>
      <c r="S54" s="17">
        <v>36.974271386861801</v>
      </c>
      <c r="T54" s="17">
        <v>-122.026277035474</v>
      </c>
      <c r="U54" s="17" t="s">
        <v>300</v>
      </c>
    </row>
    <row r="55" spans="1:21" ht="90" x14ac:dyDescent="0.25">
      <c r="A55" s="17" t="s">
        <v>87</v>
      </c>
      <c r="B55" s="17" t="s">
        <v>40</v>
      </c>
      <c r="C55" s="17">
        <v>1367</v>
      </c>
      <c r="D55" s="17" t="s">
        <v>189</v>
      </c>
      <c r="E55" s="17" t="s">
        <v>151</v>
      </c>
      <c r="F55" s="17" t="s">
        <v>152</v>
      </c>
      <c r="G55" s="17">
        <v>95060</v>
      </c>
      <c r="H55" s="17" t="s">
        <v>25</v>
      </c>
      <c r="I55" s="17" t="s">
        <v>169</v>
      </c>
      <c r="J55" s="40">
        <v>12675</v>
      </c>
      <c r="K55" s="41">
        <v>1.65</v>
      </c>
      <c r="L55" s="17" t="s">
        <v>5</v>
      </c>
      <c r="M55" s="17" t="s">
        <v>27</v>
      </c>
      <c r="N55" s="17" t="s">
        <v>28</v>
      </c>
      <c r="O55" s="17" t="s">
        <v>9</v>
      </c>
      <c r="P55" s="17" t="s">
        <v>32</v>
      </c>
      <c r="R55" s="42">
        <f>K55</f>
        <v>1.65</v>
      </c>
      <c r="S55" s="17">
        <v>36.974271386861801</v>
      </c>
      <c r="T55" s="17">
        <v>-122.026277035474</v>
      </c>
      <c r="U55" s="17" t="s">
        <v>300</v>
      </c>
    </row>
    <row r="56" spans="1:21" ht="90" x14ac:dyDescent="0.25">
      <c r="A56" s="17" t="s">
        <v>87</v>
      </c>
      <c r="B56" s="17" t="s">
        <v>40</v>
      </c>
      <c r="C56" s="17">
        <v>1528</v>
      </c>
      <c r="D56" s="17" t="s">
        <v>189</v>
      </c>
      <c r="E56" s="17" t="s">
        <v>151</v>
      </c>
      <c r="F56" s="17" t="s">
        <v>152</v>
      </c>
      <c r="G56" s="17">
        <v>95060</v>
      </c>
      <c r="H56" s="17" t="s">
        <v>7</v>
      </c>
      <c r="J56" s="40">
        <v>1092</v>
      </c>
      <c r="K56" s="41">
        <v>2</v>
      </c>
      <c r="L56" s="17" t="s">
        <v>5</v>
      </c>
      <c r="M56" s="17" t="s">
        <v>33</v>
      </c>
      <c r="N56" s="17" t="s">
        <v>34</v>
      </c>
      <c r="O56" s="17" t="s">
        <v>35</v>
      </c>
      <c r="R56" s="42">
        <v>2</v>
      </c>
      <c r="S56" s="17">
        <v>36.975706368684698</v>
      </c>
      <c r="T56" s="17">
        <v>-122.02659152448101</v>
      </c>
      <c r="U56" s="17" t="s">
        <v>301</v>
      </c>
    </row>
    <row r="57" spans="1:21" ht="90" x14ac:dyDescent="0.25">
      <c r="A57" s="17" t="s">
        <v>87</v>
      </c>
      <c r="B57" s="17" t="s">
        <v>40</v>
      </c>
      <c r="C57" s="17">
        <v>1537</v>
      </c>
      <c r="D57" s="17" t="s">
        <v>189</v>
      </c>
      <c r="E57" s="17" t="s">
        <v>151</v>
      </c>
      <c r="F57" s="17" t="s">
        <v>152</v>
      </c>
      <c r="G57" s="17">
        <v>95060</v>
      </c>
      <c r="H57" s="17" t="s">
        <v>2</v>
      </c>
      <c r="J57" s="40">
        <v>581</v>
      </c>
      <c r="K57" s="41">
        <v>1.75</v>
      </c>
      <c r="L57" s="17" t="s">
        <v>5</v>
      </c>
      <c r="M57" s="17" t="s">
        <v>21</v>
      </c>
      <c r="N57" s="17" t="s">
        <v>22</v>
      </c>
      <c r="O57" s="45" t="s">
        <v>147</v>
      </c>
      <c r="P57" s="17" t="s">
        <v>248</v>
      </c>
      <c r="Q57" s="17">
        <f>325/J57</f>
        <v>0.55938037865748713</v>
      </c>
      <c r="R57" s="42">
        <f>K57</f>
        <v>1.75</v>
      </c>
      <c r="S57" s="17">
        <v>36.975925445556598</v>
      </c>
      <c r="T57" s="17">
        <v>-122.02700042724599</v>
      </c>
      <c r="U57" s="17" t="s">
        <v>302</v>
      </c>
    </row>
    <row r="58" spans="1:21" ht="90" x14ac:dyDescent="0.25">
      <c r="A58" s="17" t="s">
        <v>87</v>
      </c>
      <c r="B58" s="17" t="s">
        <v>40</v>
      </c>
      <c r="C58" s="17">
        <v>1319</v>
      </c>
      <c r="D58" s="17" t="s">
        <v>164</v>
      </c>
      <c r="E58" s="17" t="s">
        <v>151</v>
      </c>
      <c r="F58" s="17" t="s">
        <v>152</v>
      </c>
      <c r="G58" s="17">
        <v>95060</v>
      </c>
      <c r="H58" s="17" t="s">
        <v>8</v>
      </c>
      <c r="I58" s="17" t="s">
        <v>170</v>
      </c>
      <c r="J58" s="40">
        <v>1380</v>
      </c>
      <c r="K58" s="41">
        <v>1.35</v>
      </c>
      <c r="L58" s="17" t="s">
        <v>5</v>
      </c>
      <c r="M58" s="17" t="s">
        <v>173</v>
      </c>
      <c r="N58" s="17" t="s">
        <v>166</v>
      </c>
      <c r="O58" s="45" t="s">
        <v>174</v>
      </c>
      <c r="R58" s="42">
        <v>1.35</v>
      </c>
      <c r="S58" s="17">
        <v>36.973777770996101</v>
      </c>
      <c r="T58" s="17">
        <v>-122.02630615234401</v>
      </c>
      <c r="U58" s="17" t="s">
        <v>303</v>
      </c>
    </row>
    <row r="59" spans="1:21" ht="90" x14ac:dyDescent="0.25">
      <c r="A59" s="17" t="s">
        <v>87</v>
      </c>
      <c r="B59" s="17" t="s">
        <v>73</v>
      </c>
      <c r="C59" s="17">
        <v>149</v>
      </c>
      <c r="D59" s="17" t="s">
        <v>216</v>
      </c>
      <c r="E59" s="17" t="s">
        <v>151</v>
      </c>
      <c r="F59" s="17" t="s">
        <v>152</v>
      </c>
      <c r="G59" s="17">
        <v>95060</v>
      </c>
      <c r="H59" s="17" t="s">
        <v>8</v>
      </c>
      <c r="J59" s="40">
        <v>625</v>
      </c>
      <c r="K59" s="41">
        <v>1.25</v>
      </c>
      <c r="L59" s="17" t="s">
        <v>11</v>
      </c>
      <c r="M59" s="17" t="s">
        <v>45</v>
      </c>
      <c r="N59" s="17" t="s">
        <v>165</v>
      </c>
      <c r="O59" s="45" t="s">
        <v>174</v>
      </c>
      <c r="R59" s="42">
        <f>K59</f>
        <v>1.25</v>
      </c>
      <c r="S59" s="17">
        <v>36.9817924499512</v>
      </c>
      <c r="T59" s="17">
        <v>-122.02857208252</v>
      </c>
      <c r="U59" s="17" t="s">
        <v>307</v>
      </c>
    </row>
    <row r="60" spans="1:21" ht="75" x14ac:dyDescent="0.25">
      <c r="A60" s="17" t="s">
        <v>87</v>
      </c>
      <c r="B60" s="17" t="s">
        <v>73</v>
      </c>
      <c r="C60" s="17">
        <v>256</v>
      </c>
      <c r="D60" s="17" t="s">
        <v>191</v>
      </c>
      <c r="E60" s="17" t="s">
        <v>151</v>
      </c>
      <c r="F60" s="17" t="s">
        <v>152</v>
      </c>
      <c r="G60" s="17">
        <v>95060</v>
      </c>
      <c r="H60" s="17" t="s">
        <v>74</v>
      </c>
      <c r="J60" s="40">
        <v>3200</v>
      </c>
      <c r="K60" s="41">
        <v>1</v>
      </c>
      <c r="L60" s="17" t="s">
        <v>6</v>
      </c>
      <c r="M60" s="17" t="s">
        <v>21</v>
      </c>
      <c r="N60" s="17" t="s">
        <v>22</v>
      </c>
      <c r="O60" s="45" t="s">
        <v>147</v>
      </c>
      <c r="R60" s="42">
        <f>K60</f>
        <v>1</v>
      </c>
      <c r="S60" s="17">
        <v>36.980588659644098</v>
      </c>
      <c r="T60" s="17">
        <v>-122.03092396259299</v>
      </c>
      <c r="U60" s="17" t="s">
        <v>309</v>
      </c>
    </row>
    <row r="61" spans="1:21" ht="75" x14ac:dyDescent="0.25">
      <c r="A61" s="17" t="s">
        <v>87</v>
      </c>
      <c r="B61" s="17" t="s">
        <v>73</v>
      </c>
      <c r="C61" s="17">
        <v>303</v>
      </c>
      <c r="D61" s="17" t="s">
        <v>191</v>
      </c>
      <c r="E61" s="17" t="s">
        <v>151</v>
      </c>
      <c r="F61" s="17" t="s">
        <v>152</v>
      </c>
      <c r="G61" s="17">
        <v>95060</v>
      </c>
      <c r="H61" s="17" t="s">
        <v>25</v>
      </c>
      <c r="J61" s="40">
        <v>0</v>
      </c>
      <c r="K61" s="41">
        <v>0.99</v>
      </c>
      <c r="L61" s="17" t="s">
        <v>5</v>
      </c>
      <c r="M61" s="17" t="s">
        <v>77</v>
      </c>
      <c r="N61" s="17" t="s">
        <v>78</v>
      </c>
      <c r="O61" s="45" t="s">
        <v>79</v>
      </c>
      <c r="P61" s="17" t="s">
        <v>240</v>
      </c>
      <c r="R61" s="42">
        <f>K61</f>
        <v>0.99</v>
      </c>
      <c r="S61" s="17">
        <v>36.981174468994098</v>
      </c>
      <c r="T61" s="17">
        <v>-122.031280517578</v>
      </c>
      <c r="U61" s="17" t="s">
        <v>308</v>
      </c>
    </row>
    <row r="62" spans="1:21" ht="60" x14ac:dyDescent="0.25">
      <c r="A62" s="17" t="s">
        <v>87</v>
      </c>
      <c r="B62" s="17" t="s">
        <v>73</v>
      </c>
      <c r="C62" s="17">
        <v>55</v>
      </c>
      <c r="D62" s="17" t="s">
        <v>190</v>
      </c>
      <c r="E62" s="17" t="s">
        <v>151</v>
      </c>
      <c r="F62" s="17" t="s">
        <v>152</v>
      </c>
      <c r="G62" s="17">
        <v>95060</v>
      </c>
      <c r="H62" s="17" t="s">
        <v>8</v>
      </c>
      <c r="I62" s="40">
        <v>230</v>
      </c>
      <c r="J62" s="40">
        <v>1600</v>
      </c>
      <c r="K62" s="41">
        <v>1.6</v>
      </c>
      <c r="L62" s="17" t="s">
        <v>5</v>
      </c>
      <c r="M62" s="17" t="s">
        <v>46</v>
      </c>
      <c r="N62" s="17" t="s">
        <v>47</v>
      </c>
      <c r="O62" s="17" t="s">
        <v>48</v>
      </c>
      <c r="P62" s="17" t="s">
        <v>138</v>
      </c>
      <c r="R62" s="42">
        <f>K62</f>
        <v>1.6</v>
      </c>
      <c r="S62" s="17">
        <v>36.976634979247997</v>
      </c>
      <c r="T62" s="17">
        <v>-122.025634765625</v>
      </c>
      <c r="U62" s="17" t="s">
        <v>305</v>
      </c>
    </row>
    <row r="63" spans="1:21" ht="30" x14ac:dyDescent="0.25">
      <c r="A63" s="17" t="s">
        <v>87</v>
      </c>
      <c r="B63" s="17" t="s">
        <v>73</v>
      </c>
      <c r="C63" s="17">
        <v>211</v>
      </c>
      <c r="D63" s="17" t="s">
        <v>192</v>
      </c>
      <c r="E63" s="17" t="s">
        <v>151</v>
      </c>
      <c r="F63" s="17" t="s">
        <v>152</v>
      </c>
      <c r="G63" s="17">
        <v>95060</v>
      </c>
      <c r="H63" s="17" t="s">
        <v>8</v>
      </c>
      <c r="I63" s="40"/>
      <c r="J63" s="40">
        <v>6000</v>
      </c>
      <c r="K63" s="41">
        <v>1.25</v>
      </c>
      <c r="L63" s="17" t="s">
        <v>5</v>
      </c>
      <c r="M63" s="17" t="s">
        <v>46</v>
      </c>
      <c r="N63" s="17" t="s">
        <v>47</v>
      </c>
      <c r="O63" s="17" t="s">
        <v>48</v>
      </c>
      <c r="P63" s="17" t="s">
        <v>367</v>
      </c>
      <c r="Q63" s="17">
        <v>0.35</v>
      </c>
      <c r="R63" s="42">
        <f>K63</f>
        <v>1.25</v>
      </c>
    </row>
    <row r="64" spans="1:21" ht="60" x14ac:dyDescent="0.25">
      <c r="A64" s="17" t="s">
        <v>87</v>
      </c>
      <c r="B64" s="17" t="s">
        <v>73</v>
      </c>
      <c r="C64" s="17">
        <v>223</v>
      </c>
      <c r="D64" s="17" t="s">
        <v>190</v>
      </c>
      <c r="E64" s="17" t="s">
        <v>151</v>
      </c>
      <c r="F64" s="17" t="s">
        <v>152</v>
      </c>
      <c r="G64" s="17">
        <v>95060</v>
      </c>
      <c r="H64" s="17" t="s">
        <v>25</v>
      </c>
      <c r="I64" s="17" t="s">
        <v>75</v>
      </c>
      <c r="J64" s="40">
        <v>500</v>
      </c>
      <c r="K64" s="41">
        <v>900</v>
      </c>
      <c r="M64" s="17" t="s">
        <v>46</v>
      </c>
      <c r="N64" s="17" t="s">
        <v>47</v>
      </c>
      <c r="O64" s="17" t="s">
        <v>48</v>
      </c>
      <c r="P64" s="17" t="s">
        <v>76</v>
      </c>
      <c r="R64" s="42">
        <f>K64/J64</f>
        <v>1.8</v>
      </c>
      <c r="S64" s="17">
        <v>36.978958129882798</v>
      </c>
      <c r="T64" s="17">
        <v>-122.02776336669901</v>
      </c>
      <c r="U64" s="17" t="s">
        <v>306</v>
      </c>
    </row>
    <row r="65" spans="1:21" ht="30" x14ac:dyDescent="0.25">
      <c r="A65" s="17" t="s">
        <v>87</v>
      </c>
      <c r="B65" s="17" t="s">
        <v>73</v>
      </c>
      <c r="C65" s="17">
        <v>415</v>
      </c>
      <c r="D65" s="17" t="s">
        <v>192</v>
      </c>
      <c r="E65" s="17" t="s">
        <v>151</v>
      </c>
      <c r="F65" s="17" t="s">
        <v>369</v>
      </c>
      <c r="G65" s="17">
        <v>95060</v>
      </c>
      <c r="H65" s="17" t="s">
        <v>7</v>
      </c>
      <c r="I65" s="17" t="s">
        <v>52</v>
      </c>
      <c r="J65" s="40">
        <v>7727</v>
      </c>
      <c r="K65" s="41">
        <v>2.4900000000000002</v>
      </c>
      <c r="L65" s="17" t="s">
        <v>5</v>
      </c>
      <c r="M65" s="17" t="s">
        <v>26</v>
      </c>
      <c r="N65" s="17" t="s">
        <v>122</v>
      </c>
      <c r="O65" s="17" t="s">
        <v>18</v>
      </c>
      <c r="R65" s="42">
        <v>2.4900000000000002</v>
      </c>
    </row>
    <row r="66" spans="1:21" ht="60" x14ac:dyDescent="0.25">
      <c r="A66" s="17" t="s">
        <v>87</v>
      </c>
      <c r="B66" s="17" t="s">
        <v>73</v>
      </c>
      <c r="C66" s="17">
        <v>720</v>
      </c>
      <c r="D66" s="17" t="s">
        <v>190</v>
      </c>
      <c r="E66" s="17" t="s">
        <v>151</v>
      </c>
      <c r="F66" s="17" t="s">
        <v>152</v>
      </c>
      <c r="G66" s="17">
        <v>95060</v>
      </c>
      <c r="H66" s="17" t="s">
        <v>25</v>
      </c>
      <c r="J66" s="40">
        <v>2400</v>
      </c>
      <c r="K66" s="41">
        <v>3200</v>
      </c>
      <c r="M66" s="17" t="s">
        <v>83</v>
      </c>
      <c r="N66" s="17" t="s">
        <v>84</v>
      </c>
      <c r="O66" s="45" t="s">
        <v>85</v>
      </c>
      <c r="P66" s="17" t="s">
        <v>157</v>
      </c>
      <c r="R66" s="42">
        <v>3.3</v>
      </c>
      <c r="S66" s="17">
        <v>36.9841137528419</v>
      </c>
      <c r="T66" s="17">
        <v>-122.02965863049</v>
      </c>
      <c r="U66" s="17" t="s">
        <v>310</v>
      </c>
    </row>
    <row r="67" spans="1:21" ht="60" x14ac:dyDescent="0.25">
      <c r="A67" s="17" t="s">
        <v>87</v>
      </c>
      <c r="B67" s="17" t="s">
        <v>73</v>
      </c>
      <c r="C67" s="17">
        <v>600</v>
      </c>
      <c r="D67" s="17" t="s">
        <v>192</v>
      </c>
      <c r="E67" s="17" t="s">
        <v>151</v>
      </c>
      <c r="F67" s="17" t="s">
        <v>152</v>
      </c>
      <c r="G67" s="17">
        <v>95060</v>
      </c>
      <c r="H67" s="17" t="s">
        <v>7</v>
      </c>
      <c r="J67" s="40">
        <v>1150</v>
      </c>
      <c r="K67" s="41">
        <v>3.25</v>
      </c>
      <c r="M67" s="17" t="s">
        <v>81</v>
      </c>
      <c r="N67" s="17" t="s">
        <v>82</v>
      </c>
      <c r="O67" s="17" t="s">
        <v>80</v>
      </c>
      <c r="R67" s="42">
        <v>3.25</v>
      </c>
      <c r="S67" s="17">
        <v>36.982784047722802</v>
      </c>
      <c r="T67" s="17">
        <v>-122.029639855027</v>
      </c>
      <c r="U67" s="17" t="s">
        <v>311</v>
      </c>
    </row>
    <row r="68" spans="1:21" ht="75" x14ac:dyDescent="0.25">
      <c r="A68" s="17" t="s">
        <v>87</v>
      </c>
      <c r="B68" s="17" t="s">
        <v>73</v>
      </c>
      <c r="C68" s="17">
        <v>600</v>
      </c>
      <c r="D68" s="17" t="s">
        <v>192</v>
      </c>
      <c r="E68" s="17" t="s">
        <v>151</v>
      </c>
      <c r="F68" s="17" t="s">
        <v>152</v>
      </c>
      <c r="G68" s="17">
        <v>95060</v>
      </c>
      <c r="H68" s="17" t="s">
        <v>7</v>
      </c>
      <c r="J68" s="40">
        <v>2880</v>
      </c>
      <c r="K68" s="41">
        <v>3.25</v>
      </c>
      <c r="M68" s="17" t="s">
        <v>81</v>
      </c>
      <c r="N68" s="17" t="s">
        <v>82</v>
      </c>
      <c r="O68" s="17" t="s">
        <v>80</v>
      </c>
      <c r="P68" s="17" t="s">
        <v>210</v>
      </c>
      <c r="R68" s="42">
        <v>3.25</v>
      </c>
      <c r="S68" s="17">
        <v>36.982784047722802</v>
      </c>
      <c r="T68" s="17">
        <v>-122.029639855027</v>
      </c>
      <c r="U68" s="17" t="s">
        <v>311</v>
      </c>
    </row>
    <row r="69" spans="1:21" ht="60" x14ac:dyDescent="0.25">
      <c r="A69" s="17" t="s">
        <v>88</v>
      </c>
      <c r="B69" s="17" t="s">
        <v>115</v>
      </c>
      <c r="C69" s="17">
        <v>350</v>
      </c>
      <c r="D69" s="17" t="s">
        <v>198</v>
      </c>
      <c r="E69" s="17" t="s">
        <v>151</v>
      </c>
      <c r="F69" s="17" t="s">
        <v>152</v>
      </c>
      <c r="G69" s="17">
        <v>95060</v>
      </c>
      <c r="H69" s="17" t="s">
        <v>25</v>
      </c>
      <c r="J69" s="40">
        <v>650</v>
      </c>
      <c r="K69" s="41">
        <v>750</v>
      </c>
      <c r="M69" s="17" t="s">
        <v>110</v>
      </c>
      <c r="N69" s="17" t="s">
        <v>101</v>
      </c>
      <c r="O69" s="17" t="s">
        <v>10</v>
      </c>
      <c r="R69" s="42">
        <f>K69/J69</f>
        <v>1.1538461538461537</v>
      </c>
      <c r="S69" s="17">
        <v>36.982200622558601</v>
      </c>
      <c r="T69" s="17">
        <v>-122.033401489258</v>
      </c>
      <c r="U69" s="17" t="s">
        <v>312</v>
      </c>
    </row>
    <row r="70" spans="1:21" ht="75" x14ac:dyDescent="0.25">
      <c r="A70" s="17" t="s">
        <v>88</v>
      </c>
      <c r="B70" s="17" t="s">
        <v>115</v>
      </c>
      <c r="C70" s="17">
        <v>155</v>
      </c>
      <c r="D70" s="17" t="s">
        <v>195</v>
      </c>
      <c r="E70" s="17" t="s">
        <v>151</v>
      </c>
      <c r="F70" s="17" t="s">
        <v>152</v>
      </c>
      <c r="G70" s="17">
        <v>95060</v>
      </c>
      <c r="H70" s="17" t="s">
        <v>25</v>
      </c>
      <c r="J70" s="40">
        <v>14700</v>
      </c>
      <c r="K70" s="41">
        <v>1</v>
      </c>
      <c r="L70" s="17" t="s">
        <v>5</v>
      </c>
      <c r="M70" s="17" t="s">
        <v>249</v>
      </c>
      <c r="N70" s="17" t="s">
        <v>250</v>
      </c>
      <c r="O70" s="17" t="s">
        <v>251</v>
      </c>
      <c r="R70" s="42">
        <f>K70</f>
        <v>1</v>
      </c>
      <c r="S70" s="17">
        <v>36.987018585205099</v>
      </c>
      <c r="T70" s="17">
        <v>-122.03952789306599</v>
      </c>
      <c r="U70" s="17" t="s">
        <v>313</v>
      </c>
    </row>
    <row r="71" spans="1:21" ht="75" x14ac:dyDescent="0.25">
      <c r="A71" s="17" t="s">
        <v>88</v>
      </c>
      <c r="B71" s="17" t="s">
        <v>115</v>
      </c>
      <c r="C71" s="17">
        <v>165</v>
      </c>
      <c r="D71" s="17" t="s">
        <v>195</v>
      </c>
      <c r="E71" s="17" t="s">
        <v>151</v>
      </c>
      <c r="F71" s="17" t="s">
        <v>152</v>
      </c>
      <c r="G71" s="17">
        <v>95060</v>
      </c>
      <c r="H71" s="17" t="s">
        <v>25</v>
      </c>
      <c r="J71" s="40">
        <v>18700</v>
      </c>
      <c r="K71" s="41">
        <v>1</v>
      </c>
      <c r="L71" s="17" t="s">
        <v>5</v>
      </c>
      <c r="M71" s="17" t="s">
        <v>249</v>
      </c>
      <c r="N71" s="17" t="s">
        <v>250</v>
      </c>
      <c r="O71" s="17" t="s">
        <v>251</v>
      </c>
      <c r="R71" s="42">
        <f>K71</f>
        <v>1</v>
      </c>
      <c r="S71" s="17">
        <v>36.986603513360002</v>
      </c>
      <c r="T71" s="17">
        <v>-122.0390933007</v>
      </c>
      <c r="U71" s="17" t="s">
        <v>314</v>
      </c>
    </row>
    <row r="72" spans="1:21" ht="16.5" customHeight="1" x14ac:dyDescent="0.25">
      <c r="A72" s="17" t="s">
        <v>88</v>
      </c>
      <c r="B72" s="17" t="s">
        <v>115</v>
      </c>
      <c r="C72" s="17">
        <v>229</v>
      </c>
      <c r="D72" s="17" t="s">
        <v>197</v>
      </c>
      <c r="E72" s="17" t="s">
        <v>151</v>
      </c>
      <c r="F72" s="17" t="s">
        <v>152</v>
      </c>
      <c r="G72" s="17">
        <v>95060</v>
      </c>
      <c r="H72" s="17" t="s">
        <v>25</v>
      </c>
      <c r="I72" s="17" t="s">
        <v>170</v>
      </c>
      <c r="J72" s="40">
        <v>2800</v>
      </c>
      <c r="K72" s="41">
        <v>0.85</v>
      </c>
      <c r="M72" s="17" t="s">
        <v>119</v>
      </c>
      <c r="N72" s="17" t="s">
        <v>120</v>
      </c>
      <c r="O72" s="45" t="s">
        <v>121</v>
      </c>
      <c r="R72" s="42">
        <f>K72</f>
        <v>0.85</v>
      </c>
      <c r="S72" s="17">
        <v>36.986419677734297</v>
      </c>
      <c r="T72" s="17">
        <v>-122.033546447753</v>
      </c>
      <c r="U72" s="17" t="s">
        <v>315</v>
      </c>
    </row>
    <row r="73" spans="1:21" ht="60" x14ac:dyDescent="0.25">
      <c r="A73" s="17" t="s">
        <v>88</v>
      </c>
      <c r="B73" s="17" t="s">
        <v>115</v>
      </c>
      <c r="C73" s="17">
        <v>235</v>
      </c>
      <c r="D73" s="17" t="s">
        <v>196</v>
      </c>
      <c r="E73" s="17" t="s">
        <v>151</v>
      </c>
      <c r="F73" s="17" t="s">
        <v>152</v>
      </c>
      <c r="G73" s="17">
        <v>95060</v>
      </c>
      <c r="H73" s="17" t="s">
        <v>88</v>
      </c>
      <c r="J73" s="40">
        <v>5000</v>
      </c>
      <c r="K73" s="41">
        <v>750</v>
      </c>
      <c r="M73" s="17" t="s">
        <v>60</v>
      </c>
      <c r="N73" s="17" t="s">
        <v>61</v>
      </c>
      <c r="O73" s="17" t="s">
        <v>62</v>
      </c>
      <c r="P73" s="17" t="s">
        <v>116</v>
      </c>
      <c r="R73" s="42">
        <f>K73/J73</f>
        <v>0.15</v>
      </c>
      <c r="S73" s="17">
        <v>36.985757946968</v>
      </c>
      <c r="T73" s="17">
        <v>-122.032789438962</v>
      </c>
      <c r="U73" s="17" t="s">
        <v>316</v>
      </c>
    </row>
    <row r="74" spans="1:21" ht="105" x14ac:dyDescent="0.25">
      <c r="A74" s="17" t="s">
        <v>88</v>
      </c>
      <c r="B74" s="17" t="s">
        <v>115</v>
      </c>
      <c r="C74" s="17">
        <v>115</v>
      </c>
      <c r="D74" s="17" t="s">
        <v>194</v>
      </c>
      <c r="E74" s="17" t="s">
        <v>151</v>
      </c>
      <c r="F74" s="17" t="s">
        <v>152</v>
      </c>
      <c r="G74" s="17">
        <v>95060</v>
      </c>
      <c r="H74" s="17" t="s">
        <v>50</v>
      </c>
      <c r="J74" s="40">
        <v>4200</v>
      </c>
      <c r="K74" s="41">
        <v>1</v>
      </c>
      <c r="L74" s="17" t="s">
        <v>11</v>
      </c>
      <c r="M74" s="17" t="s">
        <v>63</v>
      </c>
      <c r="N74" s="17" t="s">
        <v>146</v>
      </c>
      <c r="O74" s="17" t="s">
        <v>145</v>
      </c>
      <c r="R74" s="42">
        <f>K74</f>
        <v>1</v>
      </c>
      <c r="S74" s="17">
        <v>36.983203887939503</v>
      </c>
      <c r="T74" s="17">
        <v>-122.03359985351599</v>
      </c>
      <c r="U74" s="17" t="s">
        <v>317</v>
      </c>
    </row>
    <row r="75" spans="1:21" ht="105" x14ac:dyDescent="0.25">
      <c r="A75" s="17" t="s">
        <v>88</v>
      </c>
      <c r="B75" s="17" t="s">
        <v>115</v>
      </c>
      <c r="C75" s="17">
        <v>151</v>
      </c>
      <c r="D75" s="17" t="s">
        <v>194</v>
      </c>
      <c r="E75" s="17" t="s">
        <v>151</v>
      </c>
      <c r="F75" s="17" t="s">
        <v>152</v>
      </c>
      <c r="G75" s="17">
        <v>95060</v>
      </c>
      <c r="H75" s="17" t="s">
        <v>74</v>
      </c>
      <c r="J75" s="40">
        <v>14000</v>
      </c>
      <c r="K75" s="41">
        <v>1</v>
      </c>
      <c r="L75" s="17" t="s">
        <v>96</v>
      </c>
      <c r="M75" s="17" t="s">
        <v>26</v>
      </c>
      <c r="N75" s="17" t="s">
        <v>122</v>
      </c>
      <c r="O75" s="17" t="s">
        <v>18</v>
      </c>
      <c r="R75" s="42">
        <f>K75</f>
        <v>1</v>
      </c>
      <c r="S75" s="17">
        <v>36.983207702636697</v>
      </c>
      <c r="T75" s="17">
        <v>-122.0341796875</v>
      </c>
      <c r="U75" s="17" t="s">
        <v>318</v>
      </c>
    </row>
    <row r="76" spans="1:21" ht="105" x14ac:dyDescent="0.25">
      <c r="A76" s="17" t="s">
        <v>88</v>
      </c>
      <c r="B76" s="17" t="s">
        <v>115</v>
      </c>
      <c r="C76" s="17">
        <v>298</v>
      </c>
      <c r="D76" s="17" t="s">
        <v>194</v>
      </c>
      <c r="E76" s="17" t="s">
        <v>151</v>
      </c>
      <c r="F76" s="17" t="s">
        <v>152</v>
      </c>
      <c r="G76" s="17">
        <v>95060</v>
      </c>
      <c r="H76" s="17" t="s">
        <v>74</v>
      </c>
      <c r="J76" s="40">
        <v>11700</v>
      </c>
      <c r="K76" s="41">
        <v>1.05</v>
      </c>
      <c r="L76" s="42" t="s">
        <v>11</v>
      </c>
      <c r="M76" s="17" t="s">
        <v>107</v>
      </c>
      <c r="N76" s="17" t="s">
        <v>101</v>
      </c>
      <c r="O76" s="17" t="s">
        <v>10</v>
      </c>
      <c r="P76" s="17" t="s">
        <v>117</v>
      </c>
      <c r="R76" s="42">
        <f>K76</f>
        <v>1.05</v>
      </c>
      <c r="S76" s="17">
        <v>36.985080718994098</v>
      </c>
      <c r="T76" s="17">
        <v>-122.039009094238</v>
      </c>
      <c r="U76" s="17" t="s">
        <v>321</v>
      </c>
    </row>
    <row r="77" spans="1:21" ht="75" x14ac:dyDescent="0.25">
      <c r="A77" s="17" t="s">
        <v>88</v>
      </c>
      <c r="B77" s="17" t="s">
        <v>115</v>
      </c>
      <c r="C77" s="17">
        <v>115</v>
      </c>
      <c r="D77" s="17" t="s">
        <v>207</v>
      </c>
      <c r="E77" s="17" t="s">
        <v>151</v>
      </c>
      <c r="F77" s="17" t="s">
        <v>152</v>
      </c>
      <c r="G77" s="17">
        <v>95060</v>
      </c>
      <c r="H77" s="17" t="s">
        <v>8</v>
      </c>
      <c r="J77" s="40">
        <v>3800</v>
      </c>
      <c r="K77" s="41">
        <v>1</v>
      </c>
      <c r="L77" s="17" t="s">
        <v>11</v>
      </c>
      <c r="M77" s="17" t="s">
        <v>21</v>
      </c>
      <c r="N77" s="17" t="s">
        <v>22</v>
      </c>
      <c r="O77" s="45" t="s">
        <v>147</v>
      </c>
      <c r="P77" s="17" t="s">
        <v>118</v>
      </c>
      <c r="R77" s="42">
        <f>K77</f>
        <v>1</v>
      </c>
      <c r="S77" s="17">
        <v>36.985387131571699</v>
      </c>
      <c r="T77" s="17">
        <v>-122.032301276922</v>
      </c>
      <c r="U77" s="17" t="s">
        <v>322</v>
      </c>
    </row>
    <row r="78" spans="1:21" ht="75" x14ac:dyDescent="0.25">
      <c r="A78" s="17" t="s">
        <v>88</v>
      </c>
      <c r="B78" s="17" t="s">
        <v>115</v>
      </c>
      <c r="C78" s="17">
        <v>100</v>
      </c>
      <c r="D78" s="17" t="s">
        <v>193</v>
      </c>
      <c r="E78" s="17" t="s">
        <v>151</v>
      </c>
      <c r="F78" s="17" t="s">
        <v>152</v>
      </c>
      <c r="G78" s="17">
        <v>95060</v>
      </c>
      <c r="H78" s="17" t="s">
        <v>25</v>
      </c>
      <c r="J78" s="40">
        <v>6500</v>
      </c>
      <c r="K78" s="41">
        <v>1.1000000000000001</v>
      </c>
      <c r="L78" s="17" t="s">
        <v>96</v>
      </c>
      <c r="M78" s="17" t="s">
        <v>108</v>
      </c>
      <c r="N78" s="17" t="s">
        <v>123</v>
      </c>
      <c r="O78" s="17" t="s">
        <v>109</v>
      </c>
      <c r="P78" s="17" t="s">
        <v>158</v>
      </c>
      <c r="R78" s="42">
        <f>K78</f>
        <v>1.1000000000000001</v>
      </c>
      <c r="S78" s="17">
        <v>36.988189697265597</v>
      </c>
      <c r="T78" s="17">
        <v>-122.03366851806599</v>
      </c>
      <c r="U78" s="17" t="s">
        <v>319</v>
      </c>
    </row>
    <row r="79" spans="1:21" ht="75" x14ac:dyDescent="0.25">
      <c r="A79" s="17" t="s">
        <v>88</v>
      </c>
      <c r="B79" s="17" t="s">
        <v>124</v>
      </c>
      <c r="C79" s="17">
        <v>100</v>
      </c>
      <c r="D79" s="17" t="s">
        <v>199</v>
      </c>
      <c r="E79" s="17" t="s">
        <v>151</v>
      </c>
      <c r="F79" s="17" t="s">
        <v>152</v>
      </c>
      <c r="G79" s="17">
        <v>95062</v>
      </c>
      <c r="H79" s="17" t="s">
        <v>8</v>
      </c>
      <c r="I79" s="17" t="s">
        <v>75</v>
      </c>
      <c r="J79" s="40">
        <v>685</v>
      </c>
      <c r="K79" s="41">
        <v>1.6</v>
      </c>
      <c r="L79" s="17" t="s">
        <v>5</v>
      </c>
      <c r="M79" s="17" t="s">
        <v>27</v>
      </c>
      <c r="N79" s="17" t="s">
        <v>28</v>
      </c>
      <c r="O79" s="17" t="s">
        <v>9</v>
      </c>
      <c r="R79" s="42">
        <f>K79</f>
        <v>1.6</v>
      </c>
      <c r="S79" s="17">
        <v>36.979202270507798</v>
      </c>
      <c r="T79" s="17">
        <v>-122.012634277343</v>
      </c>
      <c r="U79" s="17" t="s">
        <v>320</v>
      </c>
    </row>
    <row r="80" spans="1:21" ht="75" x14ac:dyDescent="0.25">
      <c r="A80" s="17" t="s">
        <v>88</v>
      </c>
      <c r="B80" s="17" t="s">
        <v>124</v>
      </c>
      <c r="C80" s="17">
        <v>100</v>
      </c>
      <c r="D80" s="17" t="s">
        <v>199</v>
      </c>
      <c r="E80" s="17" t="s">
        <v>151</v>
      </c>
      <c r="F80" s="17" t="s">
        <v>152</v>
      </c>
      <c r="G80" s="17">
        <v>95062</v>
      </c>
      <c r="H80" s="17" t="s">
        <v>25</v>
      </c>
      <c r="I80" s="17" t="s">
        <v>44</v>
      </c>
      <c r="J80" s="40">
        <v>872</v>
      </c>
      <c r="K80" s="41">
        <v>1.6</v>
      </c>
      <c r="L80" s="17" t="s">
        <v>5</v>
      </c>
      <c r="M80" s="17" t="s">
        <v>27</v>
      </c>
      <c r="N80" s="17" t="s">
        <v>28</v>
      </c>
      <c r="O80" s="17" t="s">
        <v>9</v>
      </c>
      <c r="R80" s="42">
        <f>K80</f>
        <v>1.6</v>
      </c>
      <c r="S80" s="17">
        <v>36.979202270507798</v>
      </c>
      <c r="T80" s="17">
        <v>-122.01263427734401</v>
      </c>
      <c r="U80" s="17" t="s">
        <v>320</v>
      </c>
    </row>
    <row r="81" spans="1:21" ht="60" x14ac:dyDescent="0.25">
      <c r="A81" s="17" t="s">
        <v>88</v>
      </c>
      <c r="B81" s="17" t="s">
        <v>124</v>
      </c>
      <c r="C81" s="17">
        <v>347</v>
      </c>
      <c r="D81" s="17" t="s">
        <v>238</v>
      </c>
      <c r="E81" s="17" t="s">
        <v>151</v>
      </c>
      <c r="F81" s="17" t="s">
        <v>152</v>
      </c>
      <c r="G81" s="17">
        <v>95062</v>
      </c>
      <c r="H81" s="17" t="s">
        <v>25</v>
      </c>
      <c r="J81" s="40">
        <v>1000</v>
      </c>
      <c r="K81" s="41">
        <v>1500</v>
      </c>
      <c r="L81" s="17" t="s">
        <v>6</v>
      </c>
      <c r="M81" s="17" t="s">
        <v>239</v>
      </c>
      <c r="N81" s="17" t="s">
        <v>101</v>
      </c>
      <c r="O81" s="17" t="s">
        <v>10</v>
      </c>
      <c r="R81" s="42">
        <f>K81/J81</f>
        <v>1.5</v>
      </c>
      <c r="S81" s="17">
        <v>36.979878544807399</v>
      </c>
      <c r="T81" s="17">
        <v>-122.00568839907601</v>
      </c>
      <c r="U81" s="17" t="s">
        <v>323</v>
      </c>
    </row>
    <row r="82" spans="1:21" ht="30" x14ac:dyDescent="0.25">
      <c r="A82" s="17" t="s">
        <v>88</v>
      </c>
      <c r="B82" s="17" t="s">
        <v>124</v>
      </c>
      <c r="C82" s="17">
        <v>530</v>
      </c>
      <c r="D82" s="17" t="s">
        <v>202</v>
      </c>
      <c r="E82" s="17" t="s">
        <v>151</v>
      </c>
      <c r="F82" s="17" t="s">
        <v>152</v>
      </c>
      <c r="G82" s="17">
        <v>95060</v>
      </c>
      <c r="H82" s="17" t="s">
        <v>25</v>
      </c>
      <c r="J82" s="40">
        <v>1200</v>
      </c>
      <c r="K82" s="41">
        <v>1.25</v>
      </c>
      <c r="L82" s="17" t="s">
        <v>5</v>
      </c>
      <c r="M82" s="17" t="s">
        <v>46</v>
      </c>
      <c r="N82" s="17" t="s">
        <v>47</v>
      </c>
      <c r="O82" s="17" t="s">
        <v>48</v>
      </c>
      <c r="R82" s="42">
        <v>1.25</v>
      </c>
    </row>
    <row r="83" spans="1:21" ht="75" x14ac:dyDescent="0.25">
      <c r="A83" s="17" t="s">
        <v>88</v>
      </c>
      <c r="B83" s="17" t="s">
        <v>124</v>
      </c>
      <c r="C83" s="17">
        <v>542</v>
      </c>
      <c r="D83" s="17" t="s">
        <v>202</v>
      </c>
      <c r="E83" s="17" t="s">
        <v>151</v>
      </c>
      <c r="F83" s="17" t="s">
        <v>152</v>
      </c>
      <c r="G83" s="17">
        <v>95060</v>
      </c>
      <c r="H83" s="17" t="s">
        <v>125</v>
      </c>
      <c r="I83" s="17" t="s">
        <v>43</v>
      </c>
      <c r="J83" s="40">
        <v>525</v>
      </c>
      <c r="K83" s="41">
        <v>1.25</v>
      </c>
      <c r="L83" s="17" t="s">
        <v>5</v>
      </c>
      <c r="M83" s="17" t="s">
        <v>46</v>
      </c>
      <c r="N83" s="17" t="s">
        <v>47</v>
      </c>
      <c r="O83" s="17" t="s">
        <v>130</v>
      </c>
      <c r="Q83" s="17">
        <v>0.36</v>
      </c>
      <c r="R83" s="42">
        <f>K83</f>
        <v>1.25</v>
      </c>
      <c r="S83" s="17">
        <v>36.975860595703097</v>
      </c>
      <c r="T83" s="17">
        <v>-122.019088745117</v>
      </c>
      <c r="U83" s="17" t="s">
        <v>330</v>
      </c>
    </row>
    <row r="84" spans="1:21" ht="75" x14ac:dyDescent="0.25">
      <c r="A84" s="17" t="s">
        <v>88</v>
      </c>
      <c r="B84" s="17" t="s">
        <v>124</v>
      </c>
      <c r="C84" s="17">
        <v>806</v>
      </c>
      <c r="D84" s="17" t="s">
        <v>202</v>
      </c>
      <c r="E84" s="17" t="s">
        <v>151</v>
      </c>
      <c r="F84" s="17" t="s">
        <v>152</v>
      </c>
      <c r="G84" s="17">
        <v>95060</v>
      </c>
      <c r="H84" s="17" t="s">
        <v>50</v>
      </c>
      <c r="J84" s="40">
        <v>6200</v>
      </c>
      <c r="K84" s="41">
        <v>1.58</v>
      </c>
      <c r="L84" s="17" t="s">
        <v>5</v>
      </c>
      <c r="M84" s="17" t="s">
        <v>37</v>
      </c>
      <c r="N84" s="17" t="s">
        <v>38</v>
      </c>
      <c r="O84" s="17" t="s">
        <v>39</v>
      </c>
      <c r="P84" s="17" t="s">
        <v>131</v>
      </c>
      <c r="R84" s="42">
        <f>K84</f>
        <v>1.58</v>
      </c>
      <c r="S84" s="17">
        <v>36.9800605773925</v>
      </c>
      <c r="T84" s="17">
        <v>-122.021072387695</v>
      </c>
      <c r="U84" s="17" t="s">
        <v>324</v>
      </c>
    </row>
    <row r="85" spans="1:21" ht="90" x14ac:dyDescent="0.25">
      <c r="A85" s="17" t="s">
        <v>88</v>
      </c>
      <c r="B85" s="17" t="s">
        <v>124</v>
      </c>
      <c r="C85" s="17">
        <v>500</v>
      </c>
      <c r="D85" s="17" t="s">
        <v>201</v>
      </c>
      <c r="E85" s="17" t="s">
        <v>151</v>
      </c>
      <c r="F85" s="17" t="s">
        <v>152</v>
      </c>
      <c r="G85" s="17">
        <v>95062</v>
      </c>
      <c r="H85" s="17" t="s">
        <v>25</v>
      </c>
      <c r="I85" s="17">
        <v>105</v>
      </c>
      <c r="J85" s="40">
        <v>2497</v>
      </c>
      <c r="K85" s="41">
        <v>1.5</v>
      </c>
      <c r="L85" s="17" t="s">
        <v>96</v>
      </c>
      <c r="M85" s="17" t="s">
        <v>27</v>
      </c>
      <c r="N85" s="17" t="s">
        <v>28</v>
      </c>
      <c r="O85" s="17" t="s">
        <v>9</v>
      </c>
      <c r="P85" s="17" t="s">
        <v>132</v>
      </c>
      <c r="R85" s="42">
        <f>K85</f>
        <v>1.5</v>
      </c>
      <c r="S85" s="17">
        <v>36.967067718505803</v>
      </c>
      <c r="T85" s="17">
        <v>-122.00749969482401</v>
      </c>
      <c r="U85" s="17" t="s">
        <v>325</v>
      </c>
    </row>
    <row r="86" spans="1:21" ht="90" x14ac:dyDescent="0.25">
      <c r="A86" s="17" t="s">
        <v>88</v>
      </c>
      <c r="B86" s="17" t="s">
        <v>124</v>
      </c>
      <c r="C86" s="17">
        <v>1729</v>
      </c>
      <c r="D86" s="17" t="s">
        <v>201</v>
      </c>
      <c r="E86" s="17" t="s">
        <v>151</v>
      </c>
      <c r="F86" s="17" t="s">
        <v>152</v>
      </c>
      <c r="G86" s="17">
        <v>95062</v>
      </c>
      <c r="H86" s="17" t="s">
        <v>25</v>
      </c>
      <c r="I86" s="17" t="s">
        <v>52</v>
      </c>
      <c r="J86" s="40">
        <v>1056</v>
      </c>
      <c r="K86" s="41">
        <v>1</v>
      </c>
      <c r="L86" s="17" t="s">
        <v>6</v>
      </c>
      <c r="M86" s="17" t="s">
        <v>46</v>
      </c>
      <c r="N86" s="17" t="s">
        <v>47</v>
      </c>
      <c r="O86" s="17" t="s">
        <v>130</v>
      </c>
      <c r="R86" s="42">
        <f>K86</f>
        <v>1</v>
      </c>
      <c r="S86" s="17">
        <v>36.9807739257813</v>
      </c>
      <c r="T86" s="17">
        <v>-122.011123657227</v>
      </c>
      <c r="U86" s="17" t="s">
        <v>326</v>
      </c>
    </row>
    <row r="87" spans="1:21" ht="90" x14ac:dyDescent="0.25">
      <c r="A87" s="17" t="s">
        <v>88</v>
      </c>
      <c r="B87" s="17" t="s">
        <v>124</v>
      </c>
      <c r="C87" s="17">
        <v>305</v>
      </c>
      <c r="D87" s="17" t="s">
        <v>200</v>
      </c>
      <c r="E87" s="17" t="s">
        <v>151</v>
      </c>
      <c r="F87" s="17" t="s">
        <v>152</v>
      </c>
      <c r="G87" s="17">
        <v>95060</v>
      </c>
      <c r="H87" s="17" t="s">
        <v>7</v>
      </c>
      <c r="I87" s="17" t="s">
        <v>54</v>
      </c>
      <c r="J87" s="40">
        <v>670</v>
      </c>
      <c r="K87" s="41">
        <v>1100</v>
      </c>
      <c r="L87" s="17" t="s">
        <v>6</v>
      </c>
      <c r="M87" s="17" t="s">
        <v>37</v>
      </c>
      <c r="N87" s="17" t="s">
        <v>38</v>
      </c>
      <c r="O87" s="17" t="s">
        <v>39</v>
      </c>
      <c r="P87" s="17" t="s">
        <v>133</v>
      </c>
      <c r="R87" s="42">
        <f>K87/J87</f>
        <v>1.6417910447761195</v>
      </c>
      <c r="S87" s="17">
        <v>36.9740138947963</v>
      </c>
      <c r="T87" s="17">
        <v>-122.021104395389</v>
      </c>
      <c r="U87" s="17" t="s">
        <v>327</v>
      </c>
    </row>
    <row r="88" spans="1:21" ht="90" x14ac:dyDescent="0.25">
      <c r="A88" s="17" t="s">
        <v>88</v>
      </c>
      <c r="B88" s="17" t="s">
        <v>124</v>
      </c>
      <c r="C88" s="17">
        <v>317</v>
      </c>
      <c r="D88" s="17" t="s">
        <v>200</v>
      </c>
      <c r="E88" s="17" t="s">
        <v>151</v>
      </c>
      <c r="F88" s="17" t="s">
        <v>152</v>
      </c>
      <c r="G88" s="17">
        <v>95062</v>
      </c>
      <c r="H88" s="17" t="s">
        <v>8</v>
      </c>
      <c r="J88" s="40">
        <v>2200</v>
      </c>
      <c r="K88" s="41">
        <v>1.55</v>
      </c>
      <c r="L88" s="17" t="s">
        <v>6</v>
      </c>
      <c r="M88" s="17" t="s">
        <v>37</v>
      </c>
      <c r="N88" s="17" t="s">
        <v>38</v>
      </c>
      <c r="O88" s="17" t="s">
        <v>39</v>
      </c>
      <c r="P88" s="17" t="s">
        <v>134</v>
      </c>
      <c r="R88" s="42">
        <f>K88</f>
        <v>1.55</v>
      </c>
      <c r="S88" s="17">
        <v>36.974119842052403</v>
      </c>
      <c r="T88" s="17">
        <v>-122.020612880587</v>
      </c>
      <c r="U88" s="17" t="s">
        <v>328</v>
      </c>
    </row>
    <row r="89" spans="1:21" ht="90" x14ac:dyDescent="0.25">
      <c r="A89" s="17" t="s">
        <v>88</v>
      </c>
      <c r="B89" s="17" t="s">
        <v>124</v>
      </c>
      <c r="C89" s="17">
        <v>345</v>
      </c>
      <c r="D89" s="17" t="s">
        <v>200</v>
      </c>
      <c r="E89" s="17" t="s">
        <v>151</v>
      </c>
      <c r="F89" s="17" t="s">
        <v>152</v>
      </c>
      <c r="G89" s="17">
        <v>95062</v>
      </c>
      <c r="H89" s="17" t="s">
        <v>7</v>
      </c>
      <c r="J89" s="40">
        <v>1050</v>
      </c>
      <c r="M89" s="17" t="s">
        <v>254</v>
      </c>
      <c r="N89" s="17" t="s">
        <v>255</v>
      </c>
      <c r="O89" s="17" t="s">
        <v>256</v>
      </c>
      <c r="S89" s="17">
        <v>36.974405497312503</v>
      </c>
      <c r="T89" s="17">
        <v>-122.019561454653</v>
      </c>
      <c r="U89" s="17" t="s">
        <v>329</v>
      </c>
    </row>
    <row r="90" spans="1:21" ht="90" x14ac:dyDescent="0.25">
      <c r="A90" s="17" t="s">
        <v>88</v>
      </c>
      <c r="B90" s="17" t="s">
        <v>124</v>
      </c>
      <c r="C90" s="17">
        <v>530</v>
      </c>
      <c r="D90" s="17" t="s">
        <v>200</v>
      </c>
      <c r="E90" s="17" t="s">
        <v>151</v>
      </c>
      <c r="F90" s="17" t="s">
        <v>152</v>
      </c>
      <c r="G90" s="17">
        <v>95062</v>
      </c>
      <c r="H90" s="17" t="s">
        <v>25</v>
      </c>
      <c r="J90" s="40">
        <v>1000</v>
      </c>
      <c r="K90" s="41">
        <v>1500</v>
      </c>
      <c r="L90" s="17" t="s">
        <v>6</v>
      </c>
      <c r="M90" s="17" t="s">
        <v>46</v>
      </c>
      <c r="N90" s="17" t="s">
        <v>47</v>
      </c>
      <c r="O90" s="17" t="s">
        <v>130</v>
      </c>
      <c r="P90" s="17" t="s">
        <v>244</v>
      </c>
      <c r="Q90" s="41"/>
      <c r="R90" s="42">
        <f>K90/J90</f>
        <v>1.5</v>
      </c>
      <c r="S90" s="17">
        <v>36.975799560546797</v>
      </c>
      <c r="T90" s="17">
        <v>-122.016975402832</v>
      </c>
      <c r="U90" s="17" t="s">
        <v>331</v>
      </c>
    </row>
    <row r="91" spans="1:21" ht="90" x14ac:dyDescent="0.25">
      <c r="A91" s="17" t="s">
        <v>88</v>
      </c>
      <c r="B91" s="17" t="s">
        <v>124</v>
      </c>
      <c r="C91" s="17">
        <v>619</v>
      </c>
      <c r="D91" s="17" t="s">
        <v>200</v>
      </c>
      <c r="E91" s="17" t="s">
        <v>151</v>
      </c>
      <c r="F91" s="17" t="s">
        <v>152</v>
      </c>
      <c r="G91" s="17">
        <v>95062</v>
      </c>
      <c r="H91" s="17" t="s">
        <v>25</v>
      </c>
      <c r="J91" s="40">
        <v>1700</v>
      </c>
      <c r="K91" s="41">
        <v>1900</v>
      </c>
      <c r="L91" s="17" t="s">
        <v>6</v>
      </c>
      <c r="M91" s="17" t="s">
        <v>46</v>
      </c>
      <c r="N91" s="17" t="s">
        <v>47</v>
      </c>
      <c r="O91" s="17" t="s">
        <v>130</v>
      </c>
      <c r="R91" s="42">
        <f>K91/J91</f>
        <v>1.1176470588235294</v>
      </c>
      <c r="S91" s="17">
        <v>36.977046966552699</v>
      </c>
      <c r="T91" s="17">
        <v>-122.016471862793</v>
      </c>
      <c r="U91" s="17" t="s">
        <v>332</v>
      </c>
    </row>
    <row r="92" spans="1:21" ht="90" x14ac:dyDescent="0.25">
      <c r="A92" s="17" t="s">
        <v>88</v>
      </c>
      <c r="B92" s="17" t="s">
        <v>124</v>
      </c>
      <c r="C92" s="17">
        <v>1414</v>
      </c>
      <c r="D92" s="17" t="s">
        <v>200</v>
      </c>
      <c r="E92" s="17" t="s">
        <v>151</v>
      </c>
      <c r="F92" s="17" t="s">
        <v>152</v>
      </c>
      <c r="G92" s="17">
        <v>95062</v>
      </c>
      <c r="H92" s="17" t="s">
        <v>25</v>
      </c>
      <c r="I92" s="17">
        <v>105</v>
      </c>
      <c r="J92" s="40">
        <v>1586</v>
      </c>
      <c r="K92" s="41">
        <v>3200</v>
      </c>
      <c r="L92" s="17" t="s">
        <v>6</v>
      </c>
      <c r="M92" s="17" t="s">
        <v>135</v>
      </c>
      <c r="N92" s="17" t="s">
        <v>136</v>
      </c>
      <c r="O92" s="17" t="s">
        <v>261</v>
      </c>
      <c r="R92" s="42">
        <f>K92/J92</f>
        <v>2.0176544766708702</v>
      </c>
      <c r="S92" s="17">
        <v>36.980815887451101</v>
      </c>
      <c r="T92" s="17">
        <v>-122.005744934082</v>
      </c>
      <c r="U92" s="17" t="s">
        <v>333</v>
      </c>
    </row>
    <row r="93" spans="1:21" ht="90" x14ac:dyDescent="0.25">
      <c r="A93" s="17" t="s">
        <v>88</v>
      </c>
      <c r="B93" s="17" t="s">
        <v>124</v>
      </c>
      <c r="C93" s="17">
        <v>1414</v>
      </c>
      <c r="D93" s="17" t="s">
        <v>200</v>
      </c>
      <c r="E93" s="17" t="s">
        <v>151</v>
      </c>
      <c r="F93" s="17" t="s">
        <v>152</v>
      </c>
      <c r="G93" s="17">
        <v>95062</v>
      </c>
      <c r="H93" s="17" t="s">
        <v>25</v>
      </c>
      <c r="I93" s="17">
        <v>211</v>
      </c>
      <c r="J93" s="40">
        <v>1366</v>
      </c>
      <c r="K93" s="41">
        <v>2730</v>
      </c>
      <c r="L93" s="17" t="s">
        <v>6</v>
      </c>
      <c r="M93" s="17" t="s">
        <v>135</v>
      </c>
      <c r="N93" s="17" t="s">
        <v>136</v>
      </c>
      <c r="O93" s="17" t="s">
        <v>261</v>
      </c>
      <c r="R93" s="42">
        <f>K93/J93</f>
        <v>1.9985358711566619</v>
      </c>
      <c r="S93" s="17">
        <v>36.980815887451101</v>
      </c>
      <c r="T93" s="17">
        <v>-122.005744934082</v>
      </c>
      <c r="U93" s="17" t="s">
        <v>333</v>
      </c>
    </row>
    <row r="94" spans="1:21" ht="90" x14ac:dyDescent="0.25">
      <c r="A94" s="17" t="s">
        <v>88</v>
      </c>
      <c r="B94" s="17" t="s">
        <v>124</v>
      </c>
      <c r="C94" s="17">
        <v>1414</v>
      </c>
      <c r="D94" s="17" t="s">
        <v>200</v>
      </c>
      <c r="E94" s="17" t="s">
        <v>151</v>
      </c>
      <c r="F94" s="17" t="s">
        <v>152</v>
      </c>
      <c r="G94" s="17">
        <v>95062</v>
      </c>
      <c r="H94" s="17" t="s">
        <v>25</v>
      </c>
      <c r="I94" s="17">
        <v>214</v>
      </c>
      <c r="J94" s="40">
        <v>422</v>
      </c>
      <c r="K94" s="41">
        <v>850</v>
      </c>
      <c r="L94" s="17" t="s">
        <v>6</v>
      </c>
      <c r="M94" s="17" t="s">
        <v>135</v>
      </c>
      <c r="N94" s="17" t="s">
        <v>136</v>
      </c>
      <c r="O94" s="17" t="s">
        <v>261</v>
      </c>
      <c r="R94" s="42">
        <f>K94/J94</f>
        <v>2.014218009478673</v>
      </c>
      <c r="S94" s="17">
        <v>36.9808158874512</v>
      </c>
      <c r="T94" s="17">
        <v>-122.005744934082</v>
      </c>
      <c r="U94" s="17" t="s">
        <v>333</v>
      </c>
    </row>
    <row r="95" spans="1:21" ht="90" x14ac:dyDescent="0.25">
      <c r="A95" s="17" t="s">
        <v>88</v>
      </c>
      <c r="B95" s="17" t="s">
        <v>124</v>
      </c>
      <c r="C95" s="17">
        <v>1414</v>
      </c>
      <c r="D95" s="17" t="s">
        <v>200</v>
      </c>
      <c r="E95" s="17" t="s">
        <v>151</v>
      </c>
      <c r="F95" s="17" t="s">
        <v>152</v>
      </c>
      <c r="G95" s="17">
        <v>95062</v>
      </c>
      <c r="H95" s="17" t="s">
        <v>25</v>
      </c>
      <c r="I95" s="17">
        <v>216</v>
      </c>
      <c r="J95" s="40">
        <v>175</v>
      </c>
      <c r="K95" s="41">
        <v>512</v>
      </c>
      <c r="L95" s="17" t="s">
        <v>6</v>
      </c>
      <c r="M95" s="17" t="s">
        <v>135</v>
      </c>
      <c r="N95" s="17" t="s">
        <v>136</v>
      </c>
      <c r="O95" s="17" t="s">
        <v>261</v>
      </c>
      <c r="R95" s="42">
        <f>K95/J95</f>
        <v>2.9257142857142857</v>
      </c>
      <c r="S95" s="17">
        <v>36.9808158874512</v>
      </c>
      <c r="T95" s="17">
        <v>-122.005744934082</v>
      </c>
      <c r="U95" s="17" t="s">
        <v>333</v>
      </c>
    </row>
    <row r="96" spans="1:21" ht="90" x14ac:dyDescent="0.25">
      <c r="A96" s="17" t="s">
        <v>88</v>
      </c>
      <c r="B96" s="17" t="s">
        <v>124</v>
      </c>
      <c r="C96" s="17">
        <v>1414</v>
      </c>
      <c r="D96" s="17" t="s">
        <v>200</v>
      </c>
      <c r="E96" s="17" t="s">
        <v>151</v>
      </c>
      <c r="F96" s="17" t="s">
        <v>152</v>
      </c>
      <c r="G96" s="17">
        <v>95062</v>
      </c>
      <c r="H96" s="17" t="s">
        <v>25</v>
      </c>
      <c r="I96" s="17">
        <v>226</v>
      </c>
      <c r="J96" s="40">
        <v>244</v>
      </c>
      <c r="K96" s="41">
        <v>595</v>
      </c>
      <c r="L96" s="17" t="s">
        <v>6</v>
      </c>
      <c r="M96" s="17" t="s">
        <v>135</v>
      </c>
      <c r="N96" s="17" t="s">
        <v>136</v>
      </c>
      <c r="O96" s="17" t="s">
        <v>261</v>
      </c>
      <c r="R96" s="42">
        <f>K96/J96</f>
        <v>2.4385245901639343</v>
      </c>
      <c r="S96" s="17">
        <v>36.9808158874512</v>
      </c>
      <c r="T96" s="17">
        <v>-122.005744934082</v>
      </c>
      <c r="U96" s="17" t="s">
        <v>333</v>
      </c>
    </row>
    <row r="97" spans="1:21" ht="90" x14ac:dyDescent="0.25">
      <c r="A97" s="17" t="s">
        <v>88</v>
      </c>
      <c r="B97" s="17" t="s">
        <v>124</v>
      </c>
      <c r="C97" s="17">
        <v>1723</v>
      </c>
      <c r="D97" s="17" t="s">
        <v>200</v>
      </c>
      <c r="E97" s="17" t="s">
        <v>151</v>
      </c>
      <c r="F97" s="17" t="s">
        <v>152</v>
      </c>
      <c r="G97" s="17">
        <v>95062</v>
      </c>
      <c r="H97" s="17" t="s">
        <v>53</v>
      </c>
      <c r="J97" s="40">
        <v>3000</v>
      </c>
      <c r="K97" s="41">
        <v>0.75</v>
      </c>
      <c r="L97" s="17" t="s">
        <v>11</v>
      </c>
      <c r="M97" s="17" t="s">
        <v>242</v>
      </c>
      <c r="N97" s="17" t="s">
        <v>260</v>
      </c>
      <c r="O97" s="17" t="s">
        <v>137</v>
      </c>
      <c r="P97" s="17" t="s">
        <v>243</v>
      </c>
      <c r="R97" s="42">
        <f>K97</f>
        <v>0.75</v>
      </c>
      <c r="S97" s="17">
        <v>36.981681823730398</v>
      </c>
      <c r="T97" s="17">
        <v>-122.00178527832</v>
      </c>
      <c r="U97" s="17" t="s">
        <v>334</v>
      </c>
    </row>
    <row r="98" spans="1:21" ht="75" x14ac:dyDescent="0.25">
      <c r="A98" s="17" t="s">
        <v>88</v>
      </c>
      <c r="B98" s="17" t="s">
        <v>124</v>
      </c>
      <c r="C98" s="17">
        <v>303</v>
      </c>
      <c r="D98" s="17" t="s">
        <v>185</v>
      </c>
      <c r="E98" s="17" t="s">
        <v>151</v>
      </c>
      <c r="F98" s="17" t="s">
        <v>152</v>
      </c>
      <c r="G98" s="17">
        <v>95060</v>
      </c>
      <c r="H98" s="17" t="s">
        <v>25</v>
      </c>
      <c r="I98" s="17">
        <v>130</v>
      </c>
      <c r="J98" s="40">
        <v>400</v>
      </c>
      <c r="K98" s="41">
        <v>680</v>
      </c>
      <c r="L98" s="17" t="s">
        <v>6</v>
      </c>
      <c r="M98" s="17" t="s">
        <v>46</v>
      </c>
      <c r="N98" s="17" t="s">
        <v>47</v>
      </c>
      <c r="O98" s="17" t="s">
        <v>130</v>
      </c>
      <c r="P98" s="17" t="s">
        <v>368</v>
      </c>
      <c r="Q98" s="17">
        <v>0.36</v>
      </c>
      <c r="R98" s="42">
        <f>K98/J98</f>
        <v>1.7</v>
      </c>
      <c r="S98" s="17">
        <v>36.979824066162102</v>
      </c>
      <c r="T98" s="17">
        <v>-122.022354125977</v>
      </c>
      <c r="U98" s="17" t="s">
        <v>336</v>
      </c>
    </row>
    <row r="99" spans="1:21" ht="75" x14ac:dyDescent="0.25">
      <c r="A99" s="17" t="s">
        <v>88</v>
      </c>
      <c r="B99" s="17" t="s">
        <v>124</v>
      </c>
      <c r="C99" s="17">
        <v>420</v>
      </c>
      <c r="D99" s="17" t="s">
        <v>185</v>
      </c>
      <c r="E99" s="17" t="s">
        <v>151</v>
      </c>
      <c r="F99" s="17" t="s">
        <v>152</v>
      </c>
      <c r="G99" s="17">
        <v>95060</v>
      </c>
      <c r="H99" s="17" t="s">
        <v>7</v>
      </c>
      <c r="J99" s="40">
        <v>1150</v>
      </c>
      <c r="K99" s="41">
        <v>1</v>
      </c>
      <c r="L99" s="17" t="s">
        <v>6</v>
      </c>
      <c r="M99" s="17" t="s">
        <v>139</v>
      </c>
      <c r="N99" s="17" t="s">
        <v>140</v>
      </c>
      <c r="O99" s="17" t="s">
        <v>141</v>
      </c>
      <c r="P99" s="17" t="s">
        <v>161</v>
      </c>
      <c r="R99" s="42">
        <f>K99</f>
        <v>1</v>
      </c>
      <c r="S99" s="17">
        <v>36.979545593261697</v>
      </c>
      <c r="T99" s="17">
        <v>-122.02036285400401</v>
      </c>
      <c r="U99" s="17" t="s">
        <v>335</v>
      </c>
    </row>
    <row r="100" spans="1:21" ht="75" x14ac:dyDescent="0.25">
      <c r="A100" s="17" t="s">
        <v>88</v>
      </c>
      <c r="B100" s="17" t="s">
        <v>124</v>
      </c>
      <c r="C100" s="17">
        <v>525</v>
      </c>
      <c r="D100" s="17" t="s">
        <v>185</v>
      </c>
      <c r="E100" s="17" t="s">
        <v>151</v>
      </c>
      <c r="F100" s="17" t="s">
        <v>152</v>
      </c>
      <c r="G100" s="17">
        <v>95060</v>
      </c>
      <c r="H100" s="17" t="s">
        <v>126</v>
      </c>
      <c r="J100" s="40">
        <v>3000</v>
      </c>
      <c r="K100" s="41">
        <v>1.25</v>
      </c>
      <c r="L100" s="17" t="s">
        <v>6</v>
      </c>
      <c r="M100" s="17" t="s">
        <v>103</v>
      </c>
      <c r="N100" s="44" t="s">
        <v>274</v>
      </c>
      <c r="O100" s="17" t="s">
        <v>102</v>
      </c>
      <c r="R100" s="42">
        <f>K100</f>
        <v>1.25</v>
      </c>
      <c r="S100" s="17">
        <v>36.980499267578097</v>
      </c>
      <c r="T100" s="17">
        <v>-122.01950073242099</v>
      </c>
      <c r="U100" s="17" t="s">
        <v>338</v>
      </c>
    </row>
    <row r="101" spans="1:21" ht="75" x14ac:dyDescent="0.25">
      <c r="A101" s="17" t="s">
        <v>88</v>
      </c>
      <c r="B101" s="17" t="s">
        <v>124</v>
      </c>
      <c r="C101" s="17">
        <v>550</v>
      </c>
      <c r="D101" s="17" t="s">
        <v>185</v>
      </c>
      <c r="E101" s="17" t="s">
        <v>151</v>
      </c>
      <c r="F101" s="17" t="s">
        <v>152</v>
      </c>
      <c r="G101" s="17">
        <v>95060</v>
      </c>
      <c r="H101" s="17" t="s">
        <v>125</v>
      </c>
      <c r="I101" s="17" t="s">
        <v>127</v>
      </c>
      <c r="J101" s="40">
        <v>890</v>
      </c>
      <c r="K101" s="41">
        <v>820</v>
      </c>
      <c r="L101" s="17" t="s">
        <v>6</v>
      </c>
      <c r="M101" s="17" t="s">
        <v>46</v>
      </c>
      <c r="N101" s="17" t="s">
        <v>47</v>
      </c>
      <c r="O101" s="17" t="s">
        <v>130</v>
      </c>
      <c r="R101" s="42">
        <f>K101/J101</f>
        <v>0.9213483146067416</v>
      </c>
      <c r="S101" s="17">
        <v>36.979640960693402</v>
      </c>
      <c r="T101" s="17">
        <v>-122.01912689209</v>
      </c>
      <c r="U101" s="17" t="s">
        <v>337</v>
      </c>
    </row>
    <row r="102" spans="1:21" ht="75" x14ac:dyDescent="0.25">
      <c r="A102" s="17" t="s">
        <v>88</v>
      </c>
      <c r="B102" s="17" t="s">
        <v>124</v>
      </c>
      <c r="C102" s="17">
        <v>550</v>
      </c>
      <c r="D102" s="17" t="s">
        <v>185</v>
      </c>
      <c r="E102" s="17" t="s">
        <v>151</v>
      </c>
      <c r="F102" s="17" t="s">
        <v>152</v>
      </c>
      <c r="G102" s="17">
        <v>95060</v>
      </c>
      <c r="H102" s="17" t="s">
        <v>128</v>
      </c>
      <c r="I102" s="17" t="s">
        <v>129</v>
      </c>
      <c r="J102" s="40">
        <v>1756</v>
      </c>
      <c r="M102" s="17" t="s">
        <v>142</v>
      </c>
      <c r="N102" s="17" t="s">
        <v>101</v>
      </c>
      <c r="O102" s="17" t="s">
        <v>10</v>
      </c>
      <c r="P102" s="17" t="s">
        <v>214</v>
      </c>
      <c r="S102" s="17">
        <v>36.979133605957003</v>
      </c>
      <c r="T102" s="17">
        <v>-122.01880645751901</v>
      </c>
      <c r="U102" s="17" t="s">
        <v>337</v>
      </c>
    </row>
    <row r="103" spans="1:21" ht="90" x14ac:dyDescent="0.25">
      <c r="A103" s="17" t="s">
        <v>88</v>
      </c>
      <c r="B103" s="17" t="s">
        <v>89</v>
      </c>
      <c r="C103" s="17">
        <v>831</v>
      </c>
      <c r="D103" s="17" t="s">
        <v>209</v>
      </c>
      <c r="E103" s="17" t="s">
        <v>151</v>
      </c>
      <c r="F103" s="17" t="s">
        <v>152</v>
      </c>
      <c r="G103" s="17">
        <v>95060</v>
      </c>
      <c r="H103" s="17" t="s">
        <v>90</v>
      </c>
      <c r="J103" s="40">
        <v>44825</v>
      </c>
      <c r="K103" s="41">
        <v>1</v>
      </c>
      <c r="L103" s="17" t="s">
        <v>5</v>
      </c>
      <c r="M103" s="17" t="s">
        <v>26</v>
      </c>
      <c r="N103" s="17" t="s">
        <v>122</v>
      </c>
      <c r="O103" s="17" t="s">
        <v>18</v>
      </c>
      <c r="P103" s="42" t="s">
        <v>94</v>
      </c>
      <c r="R103" s="42">
        <f>K103</f>
        <v>1</v>
      </c>
      <c r="S103" s="17">
        <v>36.960563659667997</v>
      </c>
      <c r="T103" s="17">
        <v>-122.044227600098</v>
      </c>
      <c r="U103" s="17" t="s">
        <v>339</v>
      </c>
    </row>
    <row r="104" spans="1:21" ht="90" x14ac:dyDescent="0.25">
      <c r="A104" s="17" t="s">
        <v>88</v>
      </c>
      <c r="B104" s="17" t="s">
        <v>89</v>
      </c>
      <c r="C104" s="17">
        <v>849</v>
      </c>
      <c r="D104" s="17" t="s">
        <v>209</v>
      </c>
      <c r="E104" s="17" t="s">
        <v>151</v>
      </c>
      <c r="F104" s="17" t="s">
        <v>152</v>
      </c>
      <c r="G104" s="17">
        <v>95060</v>
      </c>
      <c r="H104" s="17" t="s">
        <v>2</v>
      </c>
      <c r="I104" s="17" t="s">
        <v>52</v>
      </c>
      <c r="J104" s="40">
        <v>1920</v>
      </c>
      <c r="L104" s="17" t="s">
        <v>5</v>
      </c>
      <c r="M104" s="17" t="s">
        <v>100</v>
      </c>
      <c r="N104" s="17" t="s">
        <v>101</v>
      </c>
      <c r="O104" s="17" t="s">
        <v>10</v>
      </c>
      <c r="P104" s="17" t="s">
        <v>212</v>
      </c>
      <c r="R104" s="42">
        <f>K104</f>
        <v>0</v>
      </c>
      <c r="S104" s="17">
        <v>36.961211040616</v>
      </c>
      <c r="T104" s="17">
        <v>-122.043668478727</v>
      </c>
      <c r="U104" s="17" t="s">
        <v>340</v>
      </c>
    </row>
    <row r="105" spans="1:21" ht="90" x14ac:dyDescent="0.25">
      <c r="A105" s="17" t="s">
        <v>88</v>
      </c>
      <c r="B105" s="17" t="s">
        <v>89</v>
      </c>
      <c r="C105" s="17">
        <v>849</v>
      </c>
      <c r="D105" s="17" t="s">
        <v>209</v>
      </c>
      <c r="E105" s="17" t="s">
        <v>151</v>
      </c>
      <c r="F105" s="17" t="s">
        <v>152</v>
      </c>
      <c r="G105" s="17">
        <v>95060</v>
      </c>
      <c r="H105" s="17" t="s">
        <v>2</v>
      </c>
      <c r="I105" s="17" t="s">
        <v>211</v>
      </c>
      <c r="J105" s="40">
        <v>2388</v>
      </c>
      <c r="K105" s="41">
        <v>2</v>
      </c>
      <c r="L105" s="17" t="s">
        <v>5</v>
      </c>
      <c r="M105" s="17" t="s">
        <v>100</v>
      </c>
      <c r="N105" s="17" t="s">
        <v>101</v>
      </c>
      <c r="O105" s="17" t="s">
        <v>10</v>
      </c>
      <c r="P105" s="17" t="s">
        <v>91</v>
      </c>
      <c r="R105" s="42">
        <f>K105</f>
        <v>2</v>
      </c>
      <c r="S105" s="17">
        <v>36.961211040616</v>
      </c>
      <c r="T105" s="17">
        <v>-122.043668478727</v>
      </c>
      <c r="U105" s="17" t="s">
        <v>340</v>
      </c>
    </row>
    <row r="106" spans="1:21" ht="90" x14ac:dyDescent="0.25">
      <c r="A106" s="17" t="s">
        <v>88</v>
      </c>
      <c r="B106" s="17" t="s">
        <v>89</v>
      </c>
      <c r="C106" s="17">
        <v>2117</v>
      </c>
      <c r="D106" s="17" t="s">
        <v>205</v>
      </c>
      <c r="E106" s="17" t="s">
        <v>151</v>
      </c>
      <c r="F106" s="17" t="s">
        <v>152</v>
      </c>
      <c r="G106" s="17">
        <v>95060</v>
      </c>
      <c r="H106" s="17" t="s">
        <v>8</v>
      </c>
      <c r="I106" s="17" t="s">
        <v>43</v>
      </c>
      <c r="J106" s="40">
        <v>3600</v>
      </c>
      <c r="K106" s="41">
        <v>0.9</v>
      </c>
      <c r="L106" s="17" t="s">
        <v>5</v>
      </c>
      <c r="M106" s="17" t="s">
        <v>103</v>
      </c>
      <c r="N106" s="44" t="s">
        <v>274</v>
      </c>
      <c r="O106" s="17" t="s">
        <v>102</v>
      </c>
      <c r="R106" s="42">
        <f>K106</f>
        <v>0.9</v>
      </c>
      <c r="S106" s="17">
        <v>36.9551391601562</v>
      </c>
      <c r="T106" s="17">
        <v>-122.04953765869099</v>
      </c>
      <c r="U106" s="17" t="s">
        <v>341</v>
      </c>
    </row>
    <row r="107" spans="1:21" ht="90" x14ac:dyDescent="0.25">
      <c r="A107" s="17" t="s">
        <v>88</v>
      </c>
      <c r="B107" s="17" t="s">
        <v>89</v>
      </c>
      <c r="C107" s="17">
        <v>2119</v>
      </c>
      <c r="D107" s="17" t="s">
        <v>205</v>
      </c>
      <c r="E107" s="17" t="s">
        <v>151</v>
      </c>
      <c r="F107" s="17" t="s">
        <v>152</v>
      </c>
      <c r="G107" s="17">
        <v>95060</v>
      </c>
      <c r="H107" s="17" t="s">
        <v>53</v>
      </c>
      <c r="J107" s="40">
        <v>10800</v>
      </c>
      <c r="K107" s="41">
        <v>0.8</v>
      </c>
      <c r="L107" s="17" t="s">
        <v>5</v>
      </c>
      <c r="M107" s="17" t="s">
        <v>103</v>
      </c>
      <c r="N107" s="44" t="s">
        <v>274</v>
      </c>
      <c r="O107" s="17" t="s">
        <v>102</v>
      </c>
      <c r="R107" s="42">
        <f>K107</f>
        <v>0.8</v>
      </c>
      <c r="S107" s="17">
        <v>36.955477818846703</v>
      </c>
      <c r="T107" s="17">
        <v>-122.049738317728</v>
      </c>
      <c r="U107" s="17" t="s">
        <v>343</v>
      </c>
    </row>
    <row r="108" spans="1:21" ht="75" x14ac:dyDescent="0.25">
      <c r="A108" s="17" t="s">
        <v>88</v>
      </c>
      <c r="B108" s="17" t="s">
        <v>89</v>
      </c>
      <c r="C108" s="17">
        <v>1010</v>
      </c>
      <c r="D108" s="17" t="s">
        <v>203</v>
      </c>
      <c r="E108" s="17" t="s">
        <v>151</v>
      </c>
      <c r="F108" s="17" t="s">
        <v>152</v>
      </c>
      <c r="G108" s="17">
        <v>95060</v>
      </c>
      <c r="H108" s="17" t="s">
        <v>25</v>
      </c>
      <c r="I108" s="17" t="s">
        <v>262</v>
      </c>
      <c r="J108" s="40">
        <v>150</v>
      </c>
      <c r="K108" s="41">
        <v>600</v>
      </c>
      <c r="L108" s="17" t="s">
        <v>5</v>
      </c>
      <c r="M108" s="17" t="s">
        <v>0</v>
      </c>
      <c r="N108" s="17" t="s">
        <v>1</v>
      </c>
      <c r="O108" s="17" t="s">
        <v>48</v>
      </c>
      <c r="P108" s="17" t="s">
        <v>264</v>
      </c>
      <c r="Q108" s="17">
        <v>0.3</v>
      </c>
      <c r="R108" s="42">
        <f>K108/J108</f>
        <v>4</v>
      </c>
      <c r="S108" s="17">
        <v>36.958946228027301</v>
      </c>
      <c r="T108" s="17">
        <v>-122.04522705078099</v>
      </c>
      <c r="U108" s="17" t="s">
        <v>342</v>
      </c>
    </row>
    <row r="109" spans="1:21" ht="75" x14ac:dyDescent="0.25">
      <c r="A109" s="17" t="s">
        <v>88</v>
      </c>
      <c r="B109" s="17" t="s">
        <v>89</v>
      </c>
      <c r="C109" s="17">
        <v>1010</v>
      </c>
      <c r="D109" s="17" t="s">
        <v>203</v>
      </c>
      <c r="E109" s="17" t="s">
        <v>151</v>
      </c>
      <c r="F109" s="17" t="s">
        <v>152</v>
      </c>
      <c r="G109" s="17">
        <v>95060</v>
      </c>
      <c r="H109" s="17" t="s">
        <v>25</v>
      </c>
      <c r="I109" s="17" t="s">
        <v>263</v>
      </c>
      <c r="J109" s="40">
        <v>150</v>
      </c>
      <c r="K109" s="41">
        <v>600</v>
      </c>
      <c r="L109" s="17" t="s">
        <v>5</v>
      </c>
      <c r="M109" s="17" t="s">
        <v>0</v>
      </c>
      <c r="N109" s="17" t="s">
        <v>1</v>
      </c>
      <c r="O109" s="17" t="s">
        <v>48</v>
      </c>
      <c r="P109" s="17" t="s">
        <v>264</v>
      </c>
      <c r="Q109" s="17">
        <v>0.3</v>
      </c>
      <c r="R109" s="42">
        <f>K109/J109</f>
        <v>4</v>
      </c>
      <c r="S109" s="17">
        <v>36.958946228027301</v>
      </c>
      <c r="T109" s="17">
        <v>-122.04522705078099</v>
      </c>
      <c r="U109" s="17" t="s">
        <v>342</v>
      </c>
    </row>
    <row r="110" spans="1:21" ht="75" x14ac:dyDescent="0.25">
      <c r="A110" s="17" t="s">
        <v>88</v>
      </c>
      <c r="B110" s="17" t="s">
        <v>89</v>
      </c>
      <c r="C110" s="17">
        <v>1010</v>
      </c>
      <c r="D110" s="17" t="s">
        <v>203</v>
      </c>
      <c r="E110" s="17" t="s">
        <v>151</v>
      </c>
      <c r="F110" s="17" t="s">
        <v>152</v>
      </c>
      <c r="G110" s="17">
        <v>95060</v>
      </c>
      <c r="H110" s="17" t="s">
        <v>25</v>
      </c>
      <c r="I110" s="17" t="s">
        <v>52</v>
      </c>
      <c r="J110" s="40">
        <v>962</v>
      </c>
      <c r="K110" s="41">
        <v>1.39</v>
      </c>
      <c r="L110" s="17" t="s">
        <v>5</v>
      </c>
      <c r="M110" s="17" t="s">
        <v>0</v>
      </c>
      <c r="N110" s="17" t="s">
        <v>1</v>
      </c>
      <c r="O110" s="17" t="s">
        <v>48</v>
      </c>
      <c r="P110" s="17" t="s">
        <v>264</v>
      </c>
      <c r="Q110" s="17">
        <v>0.3</v>
      </c>
      <c r="R110" s="42">
        <f>K110</f>
        <v>1.39</v>
      </c>
      <c r="S110" s="17">
        <v>36.958946228027301</v>
      </c>
      <c r="T110" s="17">
        <v>-122.04522705078099</v>
      </c>
      <c r="U110" s="17" t="s">
        <v>342</v>
      </c>
    </row>
    <row r="111" spans="1:21" ht="75" x14ac:dyDescent="0.25">
      <c r="A111" s="17" t="s">
        <v>88</v>
      </c>
      <c r="B111" s="17" t="s">
        <v>89</v>
      </c>
      <c r="C111" s="17">
        <v>328</v>
      </c>
      <c r="D111" s="17" t="s">
        <v>217</v>
      </c>
      <c r="E111" s="17" t="s">
        <v>151</v>
      </c>
      <c r="F111" s="17" t="s">
        <v>152</v>
      </c>
      <c r="G111" s="17">
        <v>95060</v>
      </c>
      <c r="H111" s="17" t="s">
        <v>88</v>
      </c>
      <c r="J111" s="40">
        <v>9000</v>
      </c>
      <c r="K111" s="41">
        <v>0.75</v>
      </c>
      <c r="L111" s="17" t="s">
        <v>5</v>
      </c>
      <c r="M111" s="17" t="s">
        <v>105</v>
      </c>
      <c r="N111" s="17" t="s">
        <v>106</v>
      </c>
      <c r="O111" s="17" t="s">
        <v>104</v>
      </c>
      <c r="R111" s="42">
        <v>1</v>
      </c>
      <c r="S111" s="17">
        <v>36.958876848220797</v>
      </c>
      <c r="T111" s="17">
        <v>-122.046390250325</v>
      </c>
      <c r="U111" s="17" t="s">
        <v>344</v>
      </c>
    </row>
    <row r="112" spans="1:21" ht="90" x14ac:dyDescent="0.25">
      <c r="A112" s="17" t="s">
        <v>88</v>
      </c>
      <c r="B112" s="17" t="s">
        <v>89</v>
      </c>
      <c r="C112" s="17">
        <v>125</v>
      </c>
      <c r="D112" s="17" t="s">
        <v>204</v>
      </c>
      <c r="E112" s="17" t="s">
        <v>151</v>
      </c>
      <c r="F112" s="17" t="s">
        <v>152</v>
      </c>
      <c r="G112" s="17">
        <v>95060</v>
      </c>
      <c r="H112" s="17" t="s">
        <v>88</v>
      </c>
      <c r="J112" s="40">
        <v>10500</v>
      </c>
      <c r="K112" s="41">
        <v>1.25</v>
      </c>
      <c r="L112" s="17" t="s">
        <v>5</v>
      </c>
      <c r="M112" s="17" t="s">
        <v>103</v>
      </c>
      <c r="N112" s="44" t="s">
        <v>274</v>
      </c>
      <c r="O112" s="17" t="s">
        <v>102</v>
      </c>
      <c r="R112" s="42">
        <f>K112</f>
        <v>1.25</v>
      </c>
      <c r="S112" s="17">
        <v>36.959987640380803</v>
      </c>
      <c r="T112" s="17">
        <v>-122.04728698730401</v>
      </c>
      <c r="U112" s="17" t="s">
        <v>346</v>
      </c>
    </row>
    <row r="113" spans="1:21" ht="90" x14ac:dyDescent="0.25">
      <c r="A113" s="17" t="s">
        <v>88</v>
      </c>
      <c r="B113" s="17" t="s">
        <v>89</v>
      </c>
      <c r="C113" s="17">
        <v>207</v>
      </c>
      <c r="D113" s="17" t="s">
        <v>204</v>
      </c>
      <c r="E113" s="17" t="s">
        <v>151</v>
      </c>
      <c r="F113" s="17" t="s">
        <v>152</v>
      </c>
      <c r="G113" s="17">
        <v>95060</v>
      </c>
      <c r="H113" s="17" t="s">
        <v>25</v>
      </c>
      <c r="I113" s="17" t="s">
        <v>75</v>
      </c>
      <c r="J113" s="40">
        <v>3273</v>
      </c>
      <c r="K113" s="41">
        <v>1.1000000000000001</v>
      </c>
      <c r="L113" s="17" t="s">
        <v>5</v>
      </c>
      <c r="M113" s="17" t="s">
        <v>64</v>
      </c>
      <c r="N113" s="17" t="s">
        <v>237</v>
      </c>
      <c r="O113" s="17" t="s">
        <v>65</v>
      </c>
      <c r="R113" s="42">
        <f>K113</f>
        <v>1.1000000000000001</v>
      </c>
      <c r="S113" s="17">
        <v>36.959922790527301</v>
      </c>
      <c r="T113" s="17">
        <v>-122.04775238037099</v>
      </c>
      <c r="U113" s="17" t="s">
        <v>345</v>
      </c>
    </row>
    <row r="114" spans="1:21" ht="75" x14ac:dyDescent="0.25">
      <c r="A114" s="17" t="s">
        <v>88</v>
      </c>
      <c r="B114" s="17" t="s">
        <v>89</v>
      </c>
      <c r="C114" s="17">
        <v>406</v>
      </c>
      <c r="D114" s="17" t="s">
        <v>184</v>
      </c>
      <c r="E114" s="17" t="s">
        <v>151</v>
      </c>
      <c r="F114" s="17" t="s">
        <v>152</v>
      </c>
      <c r="G114" s="17">
        <v>95060</v>
      </c>
      <c r="H114" s="17" t="s">
        <v>25</v>
      </c>
      <c r="J114" s="40">
        <v>1100</v>
      </c>
      <c r="M114" s="17" t="s">
        <v>63</v>
      </c>
      <c r="N114" s="17" t="s">
        <v>146</v>
      </c>
      <c r="O114" s="17" t="s">
        <v>145</v>
      </c>
      <c r="P114" s="17" t="s">
        <v>386</v>
      </c>
      <c r="R114" s="42">
        <f>K114</f>
        <v>0</v>
      </c>
      <c r="S114" s="17">
        <v>36.976146697997997</v>
      </c>
      <c r="T114" s="17">
        <v>-122.033096313477</v>
      </c>
      <c r="U114" s="17" t="s">
        <v>347</v>
      </c>
    </row>
    <row r="115" spans="1:21" ht="75" x14ac:dyDescent="0.25">
      <c r="A115" s="17" t="s">
        <v>88</v>
      </c>
      <c r="B115" s="17" t="s">
        <v>89</v>
      </c>
      <c r="C115" s="17">
        <v>701</v>
      </c>
      <c r="D115" s="17" t="s">
        <v>184</v>
      </c>
      <c r="E115" s="17" t="s">
        <v>151</v>
      </c>
      <c r="F115" s="17" t="s">
        <v>152</v>
      </c>
      <c r="G115" s="17">
        <v>95060</v>
      </c>
      <c r="H115" s="17" t="s">
        <v>25</v>
      </c>
      <c r="J115" s="40">
        <v>2279</v>
      </c>
      <c r="K115" s="41">
        <v>2</v>
      </c>
      <c r="L115" s="17" t="s">
        <v>6</v>
      </c>
      <c r="M115" s="17" t="s">
        <v>107</v>
      </c>
      <c r="N115" s="17" t="s">
        <v>101</v>
      </c>
      <c r="O115" s="17" t="s">
        <v>10</v>
      </c>
      <c r="R115" s="42">
        <v>2</v>
      </c>
      <c r="S115" s="17">
        <v>36.973873138427699</v>
      </c>
      <c r="T115" s="17">
        <v>-122.034118652343</v>
      </c>
      <c r="U115" s="17" t="s">
        <v>348</v>
      </c>
    </row>
    <row r="116" spans="1:21" ht="75" x14ac:dyDescent="0.25">
      <c r="A116" s="17" t="s">
        <v>88</v>
      </c>
      <c r="B116" s="17" t="s">
        <v>89</v>
      </c>
      <c r="C116" s="17">
        <v>730</v>
      </c>
      <c r="D116" s="17" t="s">
        <v>184</v>
      </c>
      <c r="E116" s="17" t="s">
        <v>151</v>
      </c>
      <c r="F116" s="17" t="s">
        <v>152</v>
      </c>
      <c r="G116" s="17">
        <v>95060</v>
      </c>
      <c r="H116" s="17" t="s">
        <v>25</v>
      </c>
      <c r="J116" s="40">
        <v>2400</v>
      </c>
      <c r="K116" s="41">
        <v>1.25</v>
      </c>
      <c r="L116" s="17" t="s">
        <v>5</v>
      </c>
      <c r="M116" s="17" t="s">
        <v>103</v>
      </c>
      <c r="N116" s="44" t="s">
        <v>274</v>
      </c>
      <c r="O116" s="17" t="s">
        <v>102</v>
      </c>
      <c r="P116" s="17" t="s">
        <v>177</v>
      </c>
      <c r="R116" s="42">
        <f>K116</f>
        <v>1.25</v>
      </c>
      <c r="S116" s="17">
        <v>36.973289489746101</v>
      </c>
      <c r="T116" s="17">
        <v>-122.03522491455099</v>
      </c>
      <c r="U116" s="17" t="s">
        <v>349</v>
      </c>
    </row>
    <row r="117" spans="1:21" ht="75" x14ac:dyDescent="0.25">
      <c r="A117" s="17" t="s">
        <v>88</v>
      </c>
      <c r="B117" s="17" t="s">
        <v>89</v>
      </c>
      <c r="C117" s="17">
        <v>2006</v>
      </c>
      <c r="D117" s="17" t="s">
        <v>184</v>
      </c>
      <c r="E117" s="17" t="s">
        <v>151</v>
      </c>
      <c r="F117" s="17" t="s">
        <v>152</v>
      </c>
      <c r="G117" s="17">
        <v>95060</v>
      </c>
      <c r="H117" s="17" t="s">
        <v>25</v>
      </c>
      <c r="J117" s="40">
        <v>1000</v>
      </c>
      <c r="K117" s="41">
        <v>1300</v>
      </c>
      <c r="L117" s="17" t="s">
        <v>6</v>
      </c>
      <c r="M117" s="17" t="s">
        <v>242</v>
      </c>
      <c r="N117" s="17" t="s">
        <v>260</v>
      </c>
      <c r="O117" s="17" t="s">
        <v>137</v>
      </c>
      <c r="R117" s="42">
        <f>K117/J117</f>
        <v>1.3</v>
      </c>
      <c r="S117" s="17">
        <v>36.963047027587898</v>
      </c>
      <c r="T117" s="17">
        <v>-122.04376220703099</v>
      </c>
      <c r="U117" s="17" t="s">
        <v>350</v>
      </c>
    </row>
    <row r="118" spans="1:21" ht="75" x14ac:dyDescent="0.25">
      <c r="A118" s="17" t="s">
        <v>88</v>
      </c>
      <c r="B118" s="17" t="s">
        <v>89</v>
      </c>
      <c r="C118" s="17">
        <v>2117</v>
      </c>
      <c r="D118" s="17" t="s">
        <v>184</v>
      </c>
      <c r="E118" s="17" t="s">
        <v>151</v>
      </c>
      <c r="F118" s="17" t="s">
        <v>152</v>
      </c>
      <c r="G118" s="17">
        <v>95060</v>
      </c>
      <c r="H118" s="17" t="s">
        <v>7</v>
      </c>
      <c r="J118" s="40">
        <v>1853</v>
      </c>
      <c r="K118" s="41">
        <v>3</v>
      </c>
      <c r="L118" s="17" t="s">
        <v>5</v>
      </c>
      <c r="M118" s="17" t="s">
        <v>100</v>
      </c>
      <c r="N118" s="17" t="s">
        <v>101</v>
      </c>
      <c r="O118" s="17" t="s">
        <v>10</v>
      </c>
      <c r="P118" s="17" t="s">
        <v>154</v>
      </c>
      <c r="R118" s="42">
        <f>K118</f>
        <v>3</v>
      </c>
      <c r="S118" s="17">
        <v>36.962454244494403</v>
      </c>
      <c r="T118" s="17">
        <v>-122.044017836451</v>
      </c>
      <c r="U118" s="17" t="s">
        <v>351</v>
      </c>
    </row>
    <row r="119" spans="1:21" ht="75" x14ac:dyDescent="0.25">
      <c r="A119" s="17" t="s">
        <v>88</v>
      </c>
      <c r="B119" s="17" t="s">
        <v>89</v>
      </c>
      <c r="C119" s="17">
        <v>2521</v>
      </c>
      <c r="D119" s="17" t="s">
        <v>184</v>
      </c>
      <c r="E119" s="17" t="s">
        <v>151</v>
      </c>
      <c r="F119" s="17" t="s">
        <v>152</v>
      </c>
      <c r="G119" s="17">
        <v>95060</v>
      </c>
      <c r="H119" s="17" t="s">
        <v>92</v>
      </c>
      <c r="J119" s="40">
        <v>7912</v>
      </c>
      <c r="K119" s="41">
        <v>5625</v>
      </c>
      <c r="M119" s="17" t="s">
        <v>103</v>
      </c>
      <c r="N119" s="44" t="s">
        <v>274</v>
      </c>
      <c r="O119" s="17" t="s">
        <v>102</v>
      </c>
      <c r="R119" s="42">
        <f>K119/J119</f>
        <v>0.71094539939332657</v>
      </c>
      <c r="S119" s="17">
        <v>36.960086524486499</v>
      </c>
      <c r="T119" s="17">
        <v>-122.05117598176</v>
      </c>
      <c r="U119" s="17" t="s">
        <v>352</v>
      </c>
    </row>
    <row r="120" spans="1:21" ht="75" x14ac:dyDescent="0.25">
      <c r="A120" s="17" t="s">
        <v>88</v>
      </c>
      <c r="B120" s="17" t="s">
        <v>89</v>
      </c>
      <c r="C120" s="17">
        <v>2801</v>
      </c>
      <c r="D120" s="17" t="s">
        <v>184</v>
      </c>
      <c r="E120" s="17" t="s">
        <v>151</v>
      </c>
      <c r="F120" s="17" t="s">
        <v>152</v>
      </c>
      <c r="G120" s="17">
        <v>95060</v>
      </c>
      <c r="H120" s="17" t="s">
        <v>88</v>
      </c>
      <c r="J120" s="40">
        <v>2100</v>
      </c>
      <c r="K120" s="41">
        <v>0.85</v>
      </c>
      <c r="L120" s="17" t="s">
        <v>6</v>
      </c>
      <c r="M120" s="17" t="s">
        <v>108</v>
      </c>
      <c r="N120" s="17" t="s">
        <v>123</v>
      </c>
      <c r="O120" s="17" t="s">
        <v>109</v>
      </c>
      <c r="P120" s="17" t="s">
        <v>95</v>
      </c>
      <c r="R120" s="42">
        <f>K120</f>
        <v>0.85</v>
      </c>
      <c r="S120" s="17">
        <v>36.960258483886697</v>
      </c>
      <c r="T120" s="17">
        <v>-122.057312011718</v>
      </c>
      <c r="U120" s="17" t="s">
        <v>353</v>
      </c>
    </row>
    <row r="121" spans="1:21" ht="75" x14ac:dyDescent="0.25">
      <c r="A121" s="17" t="s">
        <v>88</v>
      </c>
      <c r="B121" s="17" t="s">
        <v>89</v>
      </c>
      <c r="C121" s="17">
        <v>2801</v>
      </c>
      <c r="D121" s="17" t="s">
        <v>184</v>
      </c>
      <c r="E121" s="17" t="s">
        <v>151</v>
      </c>
      <c r="F121" s="17" t="s">
        <v>152</v>
      </c>
      <c r="G121" s="17">
        <v>95060</v>
      </c>
      <c r="H121" s="17" t="s">
        <v>88</v>
      </c>
      <c r="J121" s="40">
        <v>10000</v>
      </c>
      <c r="K121" s="41">
        <v>0.85</v>
      </c>
      <c r="L121" s="17" t="s">
        <v>6</v>
      </c>
      <c r="M121" s="17" t="s">
        <v>108</v>
      </c>
      <c r="N121" s="17" t="s">
        <v>123</v>
      </c>
      <c r="O121" s="17" t="s">
        <v>109</v>
      </c>
      <c r="P121" s="17" t="s">
        <v>159</v>
      </c>
      <c r="R121" s="42">
        <f>K121</f>
        <v>0.85</v>
      </c>
      <c r="S121" s="17">
        <v>36.960258483886697</v>
      </c>
      <c r="T121" s="17">
        <v>-122.05731201171901</v>
      </c>
      <c r="U121" s="17" t="s">
        <v>353</v>
      </c>
    </row>
    <row r="122" spans="1:21" ht="75" x14ac:dyDescent="0.25">
      <c r="A122" s="17" t="s">
        <v>88</v>
      </c>
      <c r="B122" s="17" t="s">
        <v>89</v>
      </c>
      <c r="C122" s="17">
        <v>2801</v>
      </c>
      <c r="D122" s="17" t="s">
        <v>184</v>
      </c>
      <c r="E122" s="17" t="s">
        <v>151</v>
      </c>
      <c r="F122" s="17" t="s">
        <v>152</v>
      </c>
      <c r="G122" s="17">
        <v>95060</v>
      </c>
      <c r="H122" s="17" t="s">
        <v>88</v>
      </c>
      <c r="J122" s="40">
        <v>85000</v>
      </c>
      <c r="K122" s="41">
        <v>0.75</v>
      </c>
      <c r="L122" s="17" t="s">
        <v>6</v>
      </c>
      <c r="M122" s="17" t="s">
        <v>108</v>
      </c>
      <c r="N122" s="17" t="s">
        <v>123</v>
      </c>
      <c r="O122" s="17" t="s">
        <v>109</v>
      </c>
      <c r="P122" s="17" t="s">
        <v>95</v>
      </c>
      <c r="R122" s="42">
        <f>K122</f>
        <v>0.75</v>
      </c>
      <c r="S122" s="17">
        <v>36.960258483886697</v>
      </c>
      <c r="T122" s="17">
        <v>-122.057312011718</v>
      </c>
      <c r="U122" s="17" t="s">
        <v>353</v>
      </c>
    </row>
    <row r="123" spans="1:21" ht="75" x14ac:dyDescent="0.25">
      <c r="A123" s="17" t="s">
        <v>88</v>
      </c>
      <c r="B123" s="17" t="s">
        <v>89</v>
      </c>
      <c r="C123" s="17">
        <v>2801</v>
      </c>
      <c r="D123" s="17" t="s">
        <v>184</v>
      </c>
      <c r="E123" s="17" t="s">
        <v>151</v>
      </c>
      <c r="F123" s="17" t="s">
        <v>152</v>
      </c>
      <c r="G123" s="17">
        <v>95060</v>
      </c>
      <c r="H123" s="17" t="s">
        <v>88</v>
      </c>
      <c r="J123" s="40">
        <v>800</v>
      </c>
      <c r="K123" s="41">
        <v>0.9</v>
      </c>
      <c r="L123" s="17" t="s">
        <v>6</v>
      </c>
      <c r="M123" s="17" t="s">
        <v>108</v>
      </c>
      <c r="N123" s="17" t="s">
        <v>123</v>
      </c>
      <c r="O123" s="17" t="s">
        <v>109</v>
      </c>
      <c r="P123" s="17" t="s">
        <v>95</v>
      </c>
      <c r="R123" s="42">
        <f>K123</f>
        <v>0.9</v>
      </c>
      <c r="S123" s="17">
        <v>36.960258483886697</v>
      </c>
      <c r="T123" s="17">
        <v>-122.05731201171901</v>
      </c>
      <c r="U123" s="17" t="s">
        <v>353</v>
      </c>
    </row>
    <row r="124" spans="1:21" ht="75" x14ac:dyDescent="0.25">
      <c r="A124" s="17" t="s">
        <v>88</v>
      </c>
      <c r="B124" s="17" t="s">
        <v>89</v>
      </c>
      <c r="C124" s="17">
        <v>2801</v>
      </c>
      <c r="D124" s="17" t="s">
        <v>184</v>
      </c>
      <c r="E124" s="17" t="s">
        <v>151</v>
      </c>
      <c r="F124" s="17" t="s">
        <v>152</v>
      </c>
      <c r="G124" s="17">
        <v>95060</v>
      </c>
      <c r="H124" s="17" t="s">
        <v>88</v>
      </c>
      <c r="J124" s="40">
        <v>1600</v>
      </c>
      <c r="K124" s="41">
        <v>0.85</v>
      </c>
      <c r="L124" s="17" t="s">
        <v>97</v>
      </c>
      <c r="M124" s="17" t="s">
        <v>108</v>
      </c>
      <c r="N124" s="17" t="s">
        <v>123</v>
      </c>
      <c r="O124" s="17" t="s">
        <v>109</v>
      </c>
      <c r="P124" s="17" t="s">
        <v>95</v>
      </c>
      <c r="R124" s="42">
        <f>K124</f>
        <v>0.85</v>
      </c>
      <c r="S124" s="17">
        <v>36.960258483886697</v>
      </c>
      <c r="T124" s="17">
        <v>-122.057312011718</v>
      </c>
      <c r="U124" s="17" t="s">
        <v>353</v>
      </c>
    </row>
    <row r="125" spans="1:21" ht="75" x14ac:dyDescent="0.25">
      <c r="A125" s="17" t="s">
        <v>88</v>
      </c>
      <c r="B125" s="17" t="s">
        <v>89</v>
      </c>
      <c r="C125" s="17">
        <v>2931</v>
      </c>
      <c r="D125" s="17" t="s">
        <v>184</v>
      </c>
      <c r="E125" s="17" t="s">
        <v>151</v>
      </c>
      <c r="F125" s="17" t="s">
        <v>152</v>
      </c>
      <c r="G125" s="17">
        <v>95060</v>
      </c>
      <c r="H125" s="17" t="s">
        <v>92</v>
      </c>
      <c r="J125" s="40">
        <v>9000</v>
      </c>
      <c r="M125" s="17" t="s">
        <v>110</v>
      </c>
      <c r="N125" s="17" t="s">
        <v>101</v>
      </c>
      <c r="O125" s="17" t="s">
        <v>10</v>
      </c>
      <c r="P125" s="17" t="s">
        <v>387</v>
      </c>
      <c r="R125" s="42">
        <f>K125</f>
        <v>0</v>
      </c>
      <c r="S125" s="17">
        <v>36.959117889404297</v>
      </c>
      <c r="T125" s="17">
        <v>-122.05856323242099</v>
      </c>
      <c r="U125" s="17" t="s">
        <v>355</v>
      </c>
    </row>
    <row r="126" spans="1:21" ht="75" x14ac:dyDescent="0.25">
      <c r="A126" s="17" t="s">
        <v>88</v>
      </c>
      <c r="B126" s="17" t="s">
        <v>89</v>
      </c>
      <c r="C126" s="17">
        <v>3004</v>
      </c>
      <c r="D126" s="17" t="s">
        <v>184</v>
      </c>
      <c r="E126" s="17" t="s">
        <v>151</v>
      </c>
      <c r="F126" s="17" t="s">
        <v>152</v>
      </c>
      <c r="G126" s="17">
        <v>95060</v>
      </c>
      <c r="H126" s="17" t="s">
        <v>25</v>
      </c>
      <c r="I126" s="17">
        <v>120</v>
      </c>
      <c r="J126" s="40">
        <v>672</v>
      </c>
      <c r="K126" s="41">
        <v>672</v>
      </c>
      <c r="L126" s="17" t="s">
        <v>6</v>
      </c>
      <c r="M126" s="17" t="s">
        <v>37</v>
      </c>
      <c r="N126" s="17" t="s">
        <v>111</v>
      </c>
      <c r="O126" s="17" t="s">
        <v>39</v>
      </c>
      <c r="P126" s="42" t="s">
        <v>93</v>
      </c>
      <c r="R126" s="42">
        <v>1</v>
      </c>
      <c r="S126" s="17">
        <v>36.960361480712798</v>
      </c>
      <c r="T126" s="17">
        <v>-122.05954742431599</v>
      </c>
      <c r="U126" s="17" t="s">
        <v>354</v>
      </c>
    </row>
    <row r="127" spans="1:21" ht="75" x14ac:dyDescent="0.25">
      <c r="A127" s="17" t="s">
        <v>88</v>
      </c>
      <c r="B127" s="17" t="s">
        <v>89</v>
      </c>
      <c r="C127" s="17">
        <v>3004</v>
      </c>
      <c r="D127" s="17" t="s">
        <v>184</v>
      </c>
      <c r="E127" s="17" t="s">
        <v>151</v>
      </c>
      <c r="F127" s="17" t="s">
        <v>152</v>
      </c>
      <c r="G127" s="17">
        <v>95060</v>
      </c>
      <c r="H127" s="17" t="s">
        <v>8</v>
      </c>
      <c r="I127" s="17">
        <v>130</v>
      </c>
      <c r="J127" s="40">
        <v>2690</v>
      </c>
      <c r="K127" s="41">
        <v>1.25</v>
      </c>
      <c r="L127" s="17" t="s">
        <v>6</v>
      </c>
      <c r="M127" s="17" t="s">
        <v>37</v>
      </c>
      <c r="N127" s="17" t="s">
        <v>111</v>
      </c>
      <c r="O127" s="17" t="s">
        <v>39</v>
      </c>
      <c r="R127" s="42">
        <v>1</v>
      </c>
      <c r="S127" s="17">
        <v>36.960361480712898</v>
      </c>
      <c r="T127" s="17">
        <v>-122.05954742431599</v>
      </c>
      <c r="U127" s="17" t="s">
        <v>354</v>
      </c>
    </row>
    <row r="128" spans="1:21" ht="75" x14ac:dyDescent="0.25">
      <c r="A128" s="17" t="s">
        <v>88</v>
      </c>
      <c r="B128" s="17" t="s">
        <v>89</v>
      </c>
      <c r="C128" s="17">
        <v>3004</v>
      </c>
      <c r="D128" s="17" t="s">
        <v>184</v>
      </c>
      <c r="E128" s="17" t="s">
        <v>151</v>
      </c>
      <c r="F128" s="17" t="s">
        <v>152</v>
      </c>
      <c r="G128" s="17">
        <v>95060</v>
      </c>
      <c r="H128" s="17" t="s">
        <v>25</v>
      </c>
      <c r="I128" s="17">
        <v>150</v>
      </c>
      <c r="J128" s="40">
        <v>6500</v>
      </c>
      <c r="K128" s="41">
        <v>1.7</v>
      </c>
      <c r="L128" s="17" t="s">
        <v>6</v>
      </c>
      <c r="M128" s="17" t="s">
        <v>37</v>
      </c>
      <c r="N128" s="17" t="s">
        <v>111</v>
      </c>
      <c r="O128" s="17" t="s">
        <v>39</v>
      </c>
      <c r="R128" s="42">
        <f>K128</f>
        <v>1.7</v>
      </c>
      <c r="S128" s="17">
        <v>36.960361480712798</v>
      </c>
      <c r="T128" s="17">
        <v>-122.05954742431599</v>
      </c>
      <c r="U128" s="17" t="s">
        <v>354</v>
      </c>
    </row>
    <row r="129" spans="1:21" ht="75" x14ac:dyDescent="0.25">
      <c r="A129" s="17" t="s">
        <v>88</v>
      </c>
      <c r="B129" s="17" t="s">
        <v>89</v>
      </c>
      <c r="C129" s="17">
        <v>3004</v>
      </c>
      <c r="D129" s="17" t="s">
        <v>184</v>
      </c>
      <c r="E129" s="17" t="s">
        <v>151</v>
      </c>
      <c r="F129" s="17" t="s">
        <v>152</v>
      </c>
      <c r="G129" s="17">
        <v>95060</v>
      </c>
      <c r="H129" s="17" t="s">
        <v>8</v>
      </c>
      <c r="I129" s="17">
        <v>170</v>
      </c>
      <c r="J129" s="40">
        <v>865</v>
      </c>
      <c r="K129" s="41">
        <v>1.75</v>
      </c>
      <c r="L129" s="17" t="s">
        <v>6</v>
      </c>
      <c r="M129" s="17" t="s">
        <v>37</v>
      </c>
      <c r="N129" s="17" t="s">
        <v>111</v>
      </c>
      <c r="O129" s="17" t="s">
        <v>39</v>
      </c>
      <c r="R129" s="42">
        <f>K129</f>
        <v>1.75</v>
      </c>
      <c r="S129" s="17">
        <v>36.960361480712898</v>
      </c>
      <c r="T129" s="17">
        <v>-122.05954742431599</v>
      </c>
      <c r="U129" s="17" t="s">
        <v>354</v>
      </c>
    </row>
    <row r="130" spans="1:21" ht="75" x14ac:dyDescent="0.25">
      <c r="A130" s="17" t="s">
        <v>88</v>
      </c>
      <c r="B130" s="17" t="s">
        <v>89</v>
      </c>
      <c r="C130" s="17">
        <v>3004</v>
      </c>
      <c r="D130" s="17" t="s">
        <v>184</v>
      </c>
      <c r="E130" s="17" t="s">
        <v>151</v>
      </c>
      <c r="F130" s="17" t="s">
        <v>152</v>
      </c>
      <c r="G130" s="17">
        <v>95060</v>
      </c>
      <c r="H130" s="17" t="s">
        <v>8</v>
      </c>
      <c r="I130" s="17">
        <v>230</v>
      </c>
      <c r="J130" s="40">
        <v>1400</v>
      </c>
      <c r="K130" s="41">
        <v>1.7</v>
      </c>
      <c r="L130" s="17" t="s">
        <v>6</v>
      </c>
      <c r="M130" s="17" t="s">
        <v>37</v>
      </c>
      <c r="N130" s="17" t="s">
        <v>111</v>
      </c>
      <c r="O130" s="17" t="s">
        <v>39</v>
      </c>
      <c r="R130" s="42">
        <f>K130</f>
        <v>1.7</v>
      </c>
      <c r="S130" s="17">
        <v>36.960361480712898</v>
      </c>
      <c r="T130" s="17">
        <v>-122.05954742431599</v>
      </c>
      <c r="U130" s="17" t="s">
        <v>354</v>
      </c>
    </row>
    <row r="131" spans="1:21" ht="75" x14ac:dyDescent="0.25">
      <c r="A131" s="17" t="s">
        <v>88</v>
      </c>
      <c r="B131" s="17" t="s">
        <v>89</v>
      </c>
      <c r="C131" s="17">
        <v>3004</v>
      </c>
      <c r="D131" s="17" t="s">
        <v>184</v>
      </c>
      <c r="E131" s="17" t="s">
        <v>151</v>
      </c>
      <c r="F131" s="17" t="s">
        <v>152</v>
      </c>
      <c r="G131" s="17">
        <v>95060</v>
      </c>
      <c r="H131" s="17" t="s">
        <v>8</v>
      </c>
      <c r="I131" s="17" t="s">
        <v>170</v>
      </c>
      <c r="J131" s="40">
        <v>625</v>
      </c>
      <c r="K131" s="41">
        <v>625</v>
      </c>
      <c r="L131" s="17" t="s">
        <v>6</v>
      </c>
      <c r="M131" s="17" t="s">
        <v>37</v>
      </c>
      <c r="N131" s="17" t="s">
        <v>111</v>
      </c>
      <c r="O131" s="17" t="s">
        <v>39</v>
      </c>
      <c r="R131" s="42">
        <f>K131/J131</f>
        <v>1</v>
      </c>
      <c r="S131" s="17">
        <v>36.960361480712798</v>
      </c>
      <c r="T131" s="17">
        <v>-122.05954742431599</v>
      </c>
      <c r="U131" s="17" t="s">
        <v>354</v>
      </c>
    </row>
    <row r="132" spans="1:21" ht="75" x14ac:dyDescent="0.25">
      <c r="A132" s="17" t="s">
        <v>88</v>
      </c>
      <c r="B132" s="17" t="s">
        <v>89</v>
      </c>
      <c r="C132" s="17">
        <v>3004</v>
      </c>
      <c r="D132" s="17" t="s">
        <v>184</v>
      </c>
      <c r="E132" s="17" t="s">
        <v>151</v>
      </c>
      <c r="F132" s="17" t="s">
        <v>152</v>
      </c>
      <c r="G132" s="17">
        <v>95060</v>
      </c>
      <c r="H132" s="17" t="s">
        <v>8</v>
      </c>
      <c r="I132" s="17" t="s">
        <v>170</v>
      </c>
      <c r="J132" s="40">
        <v>13400</v>
      </c>
      <c r="K132" s="41">
        <v>1.05</v>
      </c>
      <c r="L132" s="17" t="s">
        <v>6</v>
      </c>
      <c r="M132" s="17" t="s">
        <v>37</v>
      </c>
      <c r="N132" s="17" t="s">
        <v>111</v>
      </c>
      <c r="O132" s="17" t="s">
        <v>39</v>
      </c>
      <c r="R132" s="42">
        <f>K132</f>
        <v>1.05</v>
      </c>
      <c r="S132" s="17">
        <v>36.960361480712898</v>
      </c>
      <c r="T132" s="17">
        <v>-122.05954742431599</v>
      </c>
      <c r="U132" s="17" t="s">
        <v>354</v>
      </c>
    </row>
    <row r="133" spans="1:21" ht="75" x14ac:dyDescent="0.25">
      <c r="A133" s="17" t="s">
        <v>88</v>
      </c>
      <c r="B133" s="17" t="s">
        <v>89</v>
      </c>
      <c r="C133" s="17">
        <v>1201</v>
      </c>
      <c r="D133" s="17" t="s">
        <v>208</v>
      </c>
      <c r="E133" s="17" t="s">
        <v>151</v>
      </c>
      <c r="F133" s="17" t="s">
        <v>152</v>
      </c>
      <c r="G133" s="17">
        <v>95060</v>
      </c>
      <c r="H133" s="17" t="s">
        <v>92</v>
      </c>
      <c r="J133" s="40">
        <v>4099</v>
      </c>
      <c r="K133" s="41">
        <v>0.9</v>
      </c>
      <c r="L133" s="17" t="s">
        <v>96</v>
      </c>
      <c r="M133" s="17" t="s">
        <v>33</v>
      </c>
      <c r="N133" s="17" t="s">
        <v>34</v>
      </c>
      <c r="O133" s="17" t="s">
        <v>35</v>
      </c>
      <c r="P133" s="42" t="s">
        <v>98</v>
      </c>
      <c r="R133" s="42">
        <f>K133</f>
        <v>0.9</v>
      </c>
      <c r="S133" s="17">
        <v>36.958545684814403</v>
      </c>
      <c r="T133" s="17">
        <v>-122.063850402832</v>
      </c>
      <c r="U133" s="17" t="s">
        <v>357</v>
      </c>
    </row>
    <row r="134" spans="1:21" ht="60" x14ac:dyDescent="0.25">
      <c r="A134" s="17" t="s">
        <v>88</v>
      </c>
      <c r="B134" s="17" t="s">
        <v>89</v>
      </c>
      <c r="C134" s="17">
        <v>511</v>
      </c>
      <c r="D134" s="17" t="s">
        <v>206</v>
      </c>
      <c r="E134" s="17" t="s">
        <v>151</v>
      </c>
      <c r="F134" s="17" t="s">
        <v>152</v>
      </c>
      <c r="G134" s="17">
        <v>95060</v>
      </c>
      <c r="H134" s="17" t="s">
        <v>53</v>
      </c>
      <c r="J134" s="40">
        <v>1425</v>
      </c>
      <c r="K134" s="41">
        <v>1800</v>
      </c>
      <c r="L134" s="17" t="s">
        <v>5</v>
      </c>
      <c r="M134" s="17" t="s">
        <v>112</v>
      </c>
      <c r="N134" s="17" t="s">
        <v>113</v>
      </c>
      <c r="O134" s="45" t="s">
        <v>114</v>
      </c>
      <c r="P134" s="17" t="s">
        <v>99</v>
      </c>
      <c r="R134" s="42">
        <f>K134/J134</f>
        <v>1.263157894736842</v>
      </c>
      <c r="S134" s="17">
        <v>36.956935882568402</v>
      </c>
      <c r="T134" s="17">
        <v>-122.049362182617</v>
      </c>
      <c r="U134" s="17" t="s">
        <v>356</v>
      </c>
    </row>
  </sheetData>
  <sortState ref="A2:U133">
    <sortCondition ref="A2:A136"/>
    <sortCondition ref="B2:B136"/>
    <sortCondition ref="D2:D136"/>
    <sortCondition ref="C2:C136"/>
    <sortCondition ref="I2:I136"/>
  </sortState>
  <hyperlinks>
    <hyperlink ref="O62:O64" display="Rentalinfo@lemarco.com"/>
    <hyperlink ref="O44" display="lee@lslaff.com"/>
    <hyperlink ref="O72" display="rick_melrose@yahoo.com"/>
    <hyperlink ref="O134" display="wreed@jsco.net"/>
    <hyperlink ref="O66" display="sue@andersonchristie.com"/>
    <hyperlink ref="O29" display="davidcury@yahoo.com"/>
    <hyperlink ref="O116:O121" display="russellgross.com"/>
    <hyperlink ref="O58" display="tracy@cifpm.com"/>
    <hyperlink ref="O61" display="Rentalinfo@lemarco.com"/>
    <hyperlink ref="O35" r:id="rId1"/>
    <hyperlink ref="O57" display="lee@lslaff.com"/>
    <hyperlink ref="O27" display="dbrentals@gmail.com"/>
    <hyperlink ref="O26" display="dbrentals@gmail.com"/>
    <hyperlink ref="O28" display="dbrentals@gmail.com"/>
    <hyperlink ref="O34" display="rick_melrose@yahoo.com"/>
    <hyperlink ref="O30" r:id="rId2"/>
    <hyperlink ref="O31" r:id="rId3"/>
    <hyperlink ref="O32" r:id="rId4"/>
    <hyperlink ref="O10" r:id="rId5"/>
    <hyperlink ref="O9" r:id="rId6"/>
    <hyperlink ref="O40" r:id="rId7"/>
  </hyperlinks>
  <pageMargins left="0.7" right="0.7" top="0.75" bottom="0.75" header="0.3" footer="0.3"/>
  <pageSetup orientation="portrait" horizontalDpi="1200" verticalDpi="120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opLeftCell="A47" workbookViewId="0">
      <selection sqref="A1:J67"/>
    </sheetView>
  </sheetViews>
  <sheetFormatPr defaultColWidth="19.7109375" defaultRowHeight="12.75" x14ac:dyDescent="0.2"/>
  <cols>
    <col min="1" max="1" width="19.7109375" style="6" customWidth="1"/>
    <col min="2" max="3" width="19.7109375" style="6"/>
    <col min="4" max="4" width="8.42578125" style="6" customWidth="1"/>
    <col min="5" max="5" width="8.28515625" style="6" customWidth="1"/>
    <col min="6" max="6" width="11.7109375" style="6" customWidth="1"/>
    <col min="7" max="7" width="9.140625" style="6" customWidth="1"/>
    <col min="8" max="9" width="19.7109375" style="6"/>
    <col min="10" max="10" width="21.85546875" style="6" customWidth="1"/>
    <col min="11" max="16384" width="19.7109375" style="6"/>
  </cols>
  <sheetData>
    <row r="1" spans="1:10" s="5" customFormat="1" ht="25.5" x14ac:dyDescent="0.2">
      <c r="A1" s="53" t="s">
        <v>20</v>
      </c>
      <c r="B1" s="53" t="s">
        <v>178</v>
      </c>
      <c r="C1" s="53" t="s">
        <v>19</v>
      </c>
      <c r="D1" s="53" t="s">
        <v>24</v>
      </c>
      <c r="E1" s="54" t="s">
        <v>41</v>
      </c>
      <c r="F1" s="55" t="s">
        <v>220</v>
      </c>
      <c r="G1" s="53" t="s">
        <v>16</v>
      </c>
      <c r="H1" s="53" t="s">
        <v>15</v>
      </c>
      <c r="I1" s="53" t="s">
        <v>14</v>
      </c>
      <c r="J1" s="53" t="s">
        <v>13</v>
      </c>
    </row>
    <row r="2" spans="1:10" s="19" customFormat="1" ht="15" x14ac:dyDescent="0.25">
      <c r="A2" s="56">
        <v>350</v>
      </c>
      <c r="B2" s="56" t="s">
        <v>198</v>
      </c>
      <c r="C2" s="56" t="s">
        <v>25</v>
      </c>
      <c r="D2" s="56"/>
      <c r="E2" s="57">
        <v>650</v>
      </c>
      <c r="F2" s="58">
        <v>750</v>
      </c>
      <c r="G2" s="56"/>
      <c r="H2" s="56" t="s">
        <v>110</v>
      </c>
      <c r="I2" s="56" t="s">
        <v>101</v>
      </c>
      <c r="J2" s="56"/>
    </row>
    <row r="3" spans="1:10" s="19" customFormat="1" ht="15" x14ac:dyDescent="0.25">
      <c r="A3" s="56">
        <v>155</v>
      </c>
      <c r="B3" s="56" t="s">
        <v>195</v>
      </c>
      <c r="C3" s="56" t="s">
        <v>25</v>
      </c>
      <c r="D3" s="56"/>
      <c r="E3" s="57">
        <v>14700</v>
      </c>
      <c r="F3" s="58">
        <v>1</v>
      </c>
      <c r="G3" s="56" t="s">
        <v>5</v>
      </c>
      <c r="H3" s="56" t="s">
        <v>249</v>
      </c>
      <c r="I3" s="56" t="s">
        <v>250</v>
      </c>
      <c r="J3" s="56"/>
    </row>
    <row r="4" spans="1:10" s="19" customFormat="1" ht="15" x14ac:dyDescent="0.25">
      <c r="A4" s="56">
        <v>165</v>
      </c>
      <c r="B4" s="56" t="s">
        <v>195</v>
      </c>
      <c r="C4" s="56" t="s">
        <v>25</v>
      </c>
      <c r="D4" s="56"/>
      <c r="E4" s="57">
        <v>18700</v>
      </c>
      <c r="F4" s="58">
        <v>1</v>
      </c>
      <c r="G4" s="56" t="s">
        <v>5</v>
      </c>
      <c r="H4" s="56" t="s">
        <v>249</v>
      </c>
      <c r="I4" s="56" t="s">
        <v>250</v>
      </c>
      <c r="J4" s="56"/>
    </row>
    <row r="5" spans="1:10" s="19" customFormat="1" ht="16.5" customHeight="1" x14ac:dyDescent="0.25">
      <c r="A5" s="56">
        <v>229</v>
      </c>
      <c r="B5" s="56" t="s">
        <v>197</v>
      </c>
      <c r="C5" s="56" t="s">
        <v>25</v>
      </c>
      <c r="D5" s="56" t="s">
        <v>170</v>
      </c>
      <c r="E5" s="57">
        <v>2800</v>
      </c>
      <c r="F5" s="58">
        <v>0.85</v>
      </c>
      <c r="G5" s="56"/>
      <c r="H5" s="56" t="s">
        <v>119</v>
      </c>
      <c r="I5" s="56" t="s">
        <v>120</v>
      </c>
      <c r="J5" s="56"/>
    </row>
    <row r="6" spans="1:10" s="19" customFormat="1" ht="15" x14ac:dyDescent="0.25">
      <c r="A6" s="56">
        <v>235</v>
      </c>
      <c r="B6" s="56" t="s">
        <v>196</v>
      </c>
      <c r="C6" s="56" t="s">
        <v>88</v>
      </c>
      <c r="D6" s="56"/>
      <c r="E6" s="57">
        <v>5000</v>
      </c>
      <c r="F6" s="58">
        <v>750</v>
      </c>
      <c r="G6" s="56"/>
      <c r="H6" s="56" t="s">
        <v>60</v>
      </c>
      <c r="I6" s="56" t="s">
        <v>61</v>
      </c>
      <c r="J6" s="56" t="s">
        <v>116</v>
      </c>
    </row>
    <row r="7" spans="1:10" s="19" customFormat="1" ht="30" x14ac:dyDescent="0.25">
      <c r="A7" s="56">
        <v>115</v>
      </c>
      <c r="B7" s="56" t="s">
        <v>194</v>
      </c>
      <c r="C7" s="56" t="s">
        <v>50</v>
      </c>
      <c r="D7" s="56"/>
      <c r="E7" s="57">
        <v>4200</v>
      </c>
      <c r="F7" s="58">
        <v>1</v>
      </c>
      <c r="G7" s="56" t="s">
        <v>11</v>
      </c>
      <c r="H7" s="56" t="s">
        <v>63</v>
      </c>
      <c r="I7" s="56" t="s">
        <v>146</v>
      </c>
      <c r="J7" s="56"/>
    </row>
    <row r="8" spans="1:10" s="19" customFormat="1" ht="30" x14ac:dyDescent="0.25">
      <c r="A8" s="56">
        <v>151</v>
      </c>
      <c r="B8" s="56" t="s">
        <v>194</v>
      </c>
      <c r="C8" s="56" t="s">
        <v>74</v>
      </c>
      <c r="D8" s="56"/>
      <c r="E8" s="57">
        <v>14000</v>
      </c>
      <c r="F8" s="58">
        <v>1</v>
      </c>
      <c r="G8" s="56" t="s">
        <v>96</v>
      </c>
      <c r="H8" s="56" t="s">
        <v>26</v>
      </c>
      <c r="I8" s="56" t="s">
        <v>122</v>
      </c>
      <c r="J8" s="56"/>
    </row>
    <row r="9" spans="1:10" s="19" customFormat="1" ht="30" x14ac:dyDescent="0.25">
      <c r="A9" s="56">
        <v>298</v>
      </c>
      <c r="B9" s="56" t="s">
        <v>194</v>
      </c>
      <c r="C9" s="56" t="s">
        <v>74</v>
      </c>
      <c r="D9" s="56"/>
      <c r="E9" s="57">
        <v>11700</v>
      </c>
      <c r="F9" s="58">
        <v>1.05</v>
      </c>
      <c r="G9" s="59" t="s">
        <v>11</v>
      </c>
      <c r="H9" s="56" t="s">
        <v>107</v>
      </c>
      <c r="I9" s="56" t="s">
        <v>101</v>
      </c>
      <c r="J9" s="56" t="s">
        <v>117</v>
      </c>
    </row>
    <row r="10" spans="1:10" s="19" customFormat="1" ht="15" x14ac:dyDescent="0.25">
      <c r="A10" s="56">
        <v>115</v>
      </c>
      <c r="B10" s="56" t="s">
        <v>207</v>
      </c>
      <c r="C10" s="56" t="s">
        <v>8</v>
      </c>
      <c r="D10" s="56"/>
      <c r="E10" s="57">
        <v>3800</v>
      </c>
      <c r="F10" s="58">
        <v>1</v>
      </c>
      <c r="G10" s="56" t="s">
        <v>11</v>
      </c>
      <c r="H10" s="56" t="s">
        <v>21</v>
      </c>
      <c r="I10" s="56" t="s">
        <v>22</v>
      </c>
      <c r="J10" s="56" t="s">
        <v>118</v>
      </c>
    </row>
    <row r="11" spans="1:10" s="19" customFormat="1" ht="30" x14ac:dyDescent="0.25">
      <c r="A11" s="56">
        <v>100</v>
      </c>
      <c r="B11" s="56" t="s">
        <v>193</v>
      </c>
      <c r="C11" s="56" t="s">
        <v>25</v>
      </c>
      <c r="D11" s="56"/>
      <c r="E11" s="57">
        <v>6500</v>
      </c>
      <c r="F11" s="58">
        <v>1.1000000000000001</v>
      </c>
      <c r="G11" s="56" t="s">
        <v>96</v>
      </c>
      <c r="H11" s="56" t="s">
        <v>108</v>
      </c>
      <c r="I11" s="56" t="s">
        <v>123</v>
      </c>
      <c r="J11" s="56" t="s">
        <v>158</v>
      </c>
    </row>
    <row r="12" spans="1:10" s="19" customFormat="1" ht="30" x14ac:dyDescent="0.25">
      <c r="A12" s="56">
        <v>100</v>
      </c>
      <c r="B12" s="56" t="s">
        <v>199</v>
      </c>
      <c r="C12" s="56" t="s">
        <v>8</v>
      </c>
      <c r="D12" s="56" t="s">
        <v>75</v>
      </c>
      <c r="E12" s="57">
        <v>685</v>
      </c>
      <c r="F12" s="58">
        <v>1.6</v>
      </c>
      <c r="G12" s="56" t="s">
        <v>5</v>
      </c>
      <c r="H12" s="56" t="s">
        <v>27</v>
      </c>
      <c r="I12" s="56" t="s">
        <v>28</v>
      </c>
      <c r="J12" s="56"/>
    </row>
    <row r="13" spans="1:10" s="19" customFormat="1" ht="30" x14ac:dyDescent="0.25">
      <c r="A13" s="56">
        <v>100</v>
      </c>
      <c r="B13" s="56" t="s">
        <v>199</v>
      </c>
      <c r="C13" s="56" t="s">
        <v>25</v>
      </c>
      <c r="D13" s="56" t="s">
        <v>44</v>
      </c>
      <c r="E13" s="57">
        <v>872</v>
      </c>
      <c r="F13" s="58">
        <v>1.6</v>
      </c>
      <c r="G13" s="56" t="s">
        <v>5</v>
      </c>
      <c r="H13" s="56" t="s">
        <v>27</v>
      </c>
      <c r="I13" s="56" t="s">
        <v>28</v>
      </c>
      <c r="J13" s="56"/>
    </row>
    <row r="14" spans="1:10" s="19" customFormat="1" ht="15" x14ac:dyDescent="0.25">
      <c r="A14" s="56">
        <v>347</v>
      </c>
      <c r="B14" s="56" t="s">
        <v>238</v>
      </c>
      <c r="C14" s="56" t="s">
        <v>25</v>
      </c>
      <c r="D14" s="56"/>
      <c r="E14" s="57">
        <v>1000</v>
      </c>
      <c r="F14" s="58">
        <v>1500</v>
      </c>
      <c r="G14" s="56" t="s">
        <v>6</v>
      </c>
      <c r="H14" s="56" t="s">
        <v>239</v>
      </c>
      <c r="I14" s="56" t="s">
        <v>101</v>
      </c>
      <c r="J14" s="56"/>
    </row>
    <row r="15" spans="1:10" s="19" customFormat="1" ht="15" x14ac:dyDescent="0.25">
      <c r="A15" s="56">
        <v>530</v>
      </c>
      <c r="B15" s="56" t="s">
        <v>202</v>
      </c>
      <c r="C15" s="56" t="s">
        <v>25</v>
      </c>
      <c r="D15" s="56"/>
      <c r="E15" s="57">
        <v>1200</v>
      </c>
      <c r="F15" s="58">
        <v>1.25</v>
      </c>
      <c r="G15" s="56" t="s">
        <v>5</v>
      </c>
      <c r="H15" s="56" t="s">
        <v>46</v>
      </c>
      <c r="I15" s="56" t="s">
        <v>47</v>
      </c>
      <c r="J15" s="56"/>
    </row>
    <row r="16" spans="1:10" s="19" customFormat="1" ht="15" x14ac:dyDescent="0.25">
      <c r="A16" s="56">
        <v>542</v>
      </c>
      <c r="B16" s="56" t="s">
        <v>202</v>
      </c>
      <c r="C16" s="56" t="s">
        <v>125</v>
      </c>
      <c r="D16" s="56" t="s">
        <v>43</v>
      </c>
      <c r="E16" s="57">
        <v>525</v>
      </c>
      <c r="F16" s="58">
        <v>1.25</v>
      </c>
      <c r="G16" s="56" t="s">
        <v>5</v>
      </c>
      <c r="H16" s="56" t="s">
        <v>46</v>
      </c>
      <c r="I16" s="56" t="s">
        <v>47</v>
      </c>
      <c r="J16" s="56"/>
    </row>
    <row r="17" spans="1:10" s="19" customFormat="1" ht="15" x14ac:dyDescent="0.25">
      <c r="A17" s="56">
        <v>806</v>
      </c>
      <c r="B17" s="56" t="s">
        <v>202</v>
      </c>
      <c r="C17" s="56" t="s">
        <v>50</v>
      </c>
      <c r="D17" s="56"/>
      <c r="E17" s="57">
        <v>6200</v>
      </c>
      <c r="F17" s="58">
        <v>1.58</v>
      </c>
      <c r="G17" s="56" t="s">
        <v>5</v>
      </c>
      <c r="H17" s="56" t="s">
        <v>37</v>
      </c>
      <c r="I17" s="56" t="s">
        <v>38</v>
      </c>
      <c r="J17" s="56" t="s">
        <v>131</v>
      </c>
    </row>
    <row r="18" spans="1:10" s="19" customFormat="1" ht="30" x14ac:dyDescent="0.25">
      <c r="A18" s="56">
        <v>500</v>
      </c>
      <c r="B18" s="56" t="s">
        <v>201</v>
      </c>
      <c r="C18" s="56" t="s">
        <v>25</v>
      </c>
      <c r="D18" s="56">
        <v>105</v>
      </c>
      <c r="E18" s="57">
        <v>2497</v>
      </c>
      <c r="F18" s="58">
        <v>1.5</v>
      </c>
      <c r="G18" s="56" t="s">
        <v>96</v>
      </c>
      <c r="H18" s="56" t="s">
        <v>27</v>
      </c>
      <c r="I18" s="56" t="s">
        <v>28</v>
      </c>
      <c r="J18" s="56" t="s">
        <v>132</v>
      </c>
    </row>
    <row r="19" spans="1:10" s="19" customFormat="1" ht="15" x14ac:dyDescent="0.25">
      <c r="A19" s="56">
        <v>1729</v>
      </c>
      <c r="B19" s="56" t="s">
        <v>201</v>
      </c>
      <c r="C19" s="56" t="s">
        <v>25</v>
      </c>
      <c r="D19" s="56" t="s">
        <v>52</v>
      </c>
      <c r="E19" s="57">
        <v>1056</v>
      </c>
      <c r="F19" s="58">
        <v>1</v>
      </c>
      <c r="G19" s="56" t="s">
        <v>6</v>
      </c>
      <c r="H19" s="56" t="s">
        <v>46</v>
      </c>
      <c r="I19" s="56" t="s">
        <v>47</v>
      </c>
      <c r="J19" s="56"/>
    </row>
    <row r="20" spans="1:10" s="19" customFormat="1" ht="15" x14ac:dyDescent="0.25">
      <c r="A20" s="56">
        <v>305</v>
      </c>
      <c r="B20" s="56" t="s">
        <v>200</v>
      </c>
      <c r="C20" s="56" t="s">
        <v>7</v>
      </c>
      <c r="D20" s="56" t="s">
        <v>54</v>
      </c>
      <c r="E20" s="57">
        <v>670</v>
      </c>
      <c r="F20" s="58">
        <v>1100</v>
      </c>
      <c r="G20" s="56" t="s">
        <v>6</v>
      </c>
      <c r="H20" s="56" t="s">
        <v>37</v>
      </c>
      <c r="I20" s="56" t="s">
        <v>38</v>
      </c>
      <c r="J20" s="56" t="s">
        <v>133</v>
      </c>
    </row>
    <row r="21" spans="1:10" s="19" customFormat="1" ht="30" x14ac:dyDescent="0.25">
      <c r="A21" s="56">
        <v>317</v>
      </c>
      <c r="B21" s="56" t="s">
        <v>200</v>
      </c>
      <c r="C21" s="56" t="s">
        <v>8</v>
      </c>
      <c r="D21" s="56"/>
      <c r="E21" s="57">
        <v>2200</v>
      </c>
      <c r="F21" s="58">
        <v>1.55</v>
      </c>
      <c r="G21" s="56" t="s">
        <v>6</v>
      </c>
      <c r="H21" s="56" t="s">
        <v>37</v>
      </c>
      <c r="I21" s="56" t="s">
        <v>38</v>
      </c>
      <c r="J21" s="56" t="s">
        <v>134</v>
      </c>
    </row>
    <row r="22" spans="1:10" s="19" customFormat="1" ht="15" x14ac:dyDescent="0.25">
      <c r="A22" s="56">
        <v>345</v>
      </c>
      <c r="B22" s="56" t="s">
        <v>200</v>
      </c>
      <c r="C22" s="56" t="s">
        <v>7</v>
      </c>
      <c r="D22" s="56"/>
      <c r="E22" s="57">
        <v>1050</v>
      </c>
      <c r="F22" s="58"/>
      <c r="G22" s="56"/>
      <c r="H22" s="56" t="s">
        <v>254</v>
      </c>
      <c r="I22" s="56" t="s">
        <v>255</v>
      </c>
      <c r="J22" s="56"/>
    </row>
    <row r="23" spans="1:10" s="19" customFormat="1" ht="30" x14ac:dyDescent="0.25">
      <c r="A23" s="56">
        <v>530</v>
      </c>
      <c r="B23" s="56" t="s">
        <v>200</v>
      </c>
      <c r="C23" s="56" t="s">
        <v>25</v>
      </c>
      <c r="D23" s="56"/>
      <c r="E23" s="57">
        <v>1000</v>
      </c>
      <c r="F23" s="58">
        <v>1500</v>
      </c>
      <c r="G23" s="56" t="s">
        <v>6</v>
      </c>
      <c r="H23" s="56" t="s">
        <v>46</v>
      </c>
      <c r="I23" s="56" t="s">
        <v>47</v>
      </c>
      <c r="J23" s="56" t="s">
        <v>244</v>
      </c>
    </row>
    <row r="24" spans="1:10" s="19" customFormat="1" ht="15" x14ac:dyDescent="0.25">
      <c r="A24" s="56">
        <v>619</v>
      </c>
      <c r="B24" s="56" t="s">
        <v>200</v>
      </c>
      <c r="C24" s="56" t="s">
        <v>25</v>
      </c>
      <c r="D24" s="56"/>
      <c r="E24" s="57">
        <v>1700</v>
      </c>
      <c r="F24" s="58">
        <v>1900</v>
      </c>
      <c r="G24" s="56" t="s">
        <v>6</v>
      </c>
      <c r="H24" s="56" t="s">
        <v>46</v>
      </c>
      <c r="I24" s="56" t="s">
        <v>47</v>
      </c>
      <c r="J24" s="56"/>
    </row>
    <row r="25" spans="1:10" s="19" customFormat="1" ht="30" x14ac:dyDescent="0.25">
      <c r="A25" s="56">
        <v>1414</v>
      </c>
      <c r="B25" s="56" t="s">
        <v>200</v>
      </c>
      <c r="C25" s="56" t="s">
        <v>25</v>
      </c>
      <c r="D25" s="56">
        <v>105</v>
      </c>
      <c r="E25" s="57">
        <v>1586</v>
      </c>
      <c r="F25" s="58">
        <v>3200</v>
      </c>
      <c r="G25" s="56" t="s">
        <v>6</v>
      </c>
      <c r="H25" s="56" t="s">
        <v>135</v>
      </c>
      <c r="I25" s="56" t="s">
        <v>136</v>
      </c>
      <c r="J25" s="56"/>
    </row>
    <row r="26" spans="1:10" s="19" customFormat="1" ht="30" x14ac:dyDescent="0.25">
      <c r="A26" s="56">
        <v>1414</v>
      </c>
      <c r="B26" s="56" t="s">
        <v>200</v>
      </c>
      <c r="C26" s="56" t="s">
        <v>25</v>
      </c>
      <c r="D26" s="56">
        <v>211</v>
      </c>
      <c r="E26" s="57">
        <v>1366</v>
      </c>
      <c r="F26" s="58">
        <v>2730</v>
      </c>
      <c r="G26" s="56" t="s">
        <v>6</v>
      </c>
      <c r="H26" s="56" t="s">
        <v>135</v>
      </c>
      <c r="I26" s="56" t="s">
        <v>136</v>
      </c>
      <c r="J26" s="56"/>
    </row>
    <row r="27" spans="1:10" s="19" customFormat="1" ht="30" x14ac:dyDescent="0.25">
      <c r="A27" s="56">
        <v>1414</v>
      </c>
      <c r="B27" s="56" t="s">
        <v>200</v>
      </c>
      <c r="C27" s="56" t="s">
        <v>25</v>
      </c>
      <c r="D27" s="56">
        <v>214</v>
      </c>
      <c r="E27" s="57">
        <v>422</v>
      </c>
      <c r="F27" s="58">
        <v>850</v>
      </c>
      <c r="G27" s="56" t="s">
        <v>6</v>
      </c>
      <c r="H27" s="56" t="s">
        <v>135</v>
      </c>
      <c r="I27" s="56" t="s">
        <v>136</v>
      </c>
      <c r="J27" s="56"/>
    </row>
    <row r="28" spans="1:10" s="19" customFormat="1" ht="30" x14ac:dyDescent="0.25">
      <c r="A28" s="56">
        <v>1414</v>
      </c>
      <c r="B28" s="56" t="s">
        <v>200</v>
      </c>
      <c r="C28" s="56" t="s">
        <v>25</v>
      </c>
      <c r="D28" s="56">
        <v>216</v>
      </c>
      <c r="E28" s="57">
        <v>175</v>
      </c>
      <c r="F28" s="58">
        <v>512</v>
      </c>
      <c r="G28" s="56" t="s">
        <v>6</v>
      </c>
      <c r="H28" s="56" t="s">
        <v>135</v>
      </c>
      <c r="I28" s="56" t="s">
        <v>136</v>
      </c>
      <c r="J28" s="56"/>
    </row>
    <row r="29" spans="1:10" s="19" customFormat="1" ht="30" x14ac:dyDescent="0.25">
      <c r="A29" s="56">
        <v>1414</v>
      </c>
      <c r="B29" s="56" t="s">
        <v>200</v>
      </c>
      <c r="C29" s="56" t="s">
        <v>25</v>
      </c>
      <c r="D29" s="56">
        <v>226</v>
      </c>
      <c r="E29" s="57">
        <v>244</v>
      </c>
      <c r="F29" s="58">
        <v>595</v>
      </c>
      <c r="G29" s="56" t="s">
        <v>6</v>
      </c>
      <c r="H29" s="56" t="s">
        <v>135</v>
      </c>
      <c r="I29" s="56" t="s">
        <v>136</v>
      </c>
      <c r="J29" s="56"/>
    </row>
    <row r="30" spans="1:10" s="19" customFormat="1" ht="15" x14ac:dyDescent="0.25">
      <c r="A30" s="56">
        <v>1723</v>
      </c>
      <c r="B30" s="56" t="s">
        <v>200</v>
      </c>
      <c r="C30" s="56" t="s">
        <v>53</v>
      </c>
      <c r="D30" s="56"/>
      <c r="E30" s="57">
        <v>3000</v>
      </c>
      <c r="F30" s="58">
        <v>0.75</v>
      </c>
      <c r="G30" s="56" t="s">
        <v>11</v>
      </c>
      <c r="H30" s="56" t="s">
        <v>242</v>
      </c>
      <c r="I30" s="56" t="s">
        <v>260</v>
      </c>
      <c r="J30" s="56" t="s">
        <v>381</v>
      </c>
    </row>
    <row r="31" spans="1:10" s="19" customFormat="1" ht="30" x14ac:dyDescent="0.25">
      <c r="A31" s="56">
        <v>303</v>
      </c>
      <c r="B31" s="56" t="s">
        <v>185</v>
      </c>
      <c r="C31" s="56" t="s">
        <v>25</v>
      </c>
      <c r="D31" s="56">
        <v>130</v>
      </c>
      <c r="E31" s="57">
        <v>400</v>
      </c>
      <c r="F31" s="58">
        <v>680</v>
      </c>
      <c r="G31" s="56" t="s">
        <v>6</v>
      </c>
      <c r="H31" s="56" t="s">
        <v>46</v>
      </c>
      <c r="I31" s="56" t="s">
        <v>47</v>
      </c>
      <c r="J31" s="56" t="s">
        <v>380</v>
      </c>
    </row>
    <row r="32" spans="1:10" s="19" customFormat="1" ht="15" x14ac:dyDescent="0.25">
      <c r="A32" s="56">
        <v>420</v>
      </c>
      <c r="B32" s="56" t="s">
        <v>185</v>
      </c>
      <c r="C32" s="56" t="s">
        <v>7</v>
      </c>
      <c r="D32" s="56"/>
      <c r="E32" s="57">
        <v>1150</v>
      </c>
      <c r="F32" s="58">
        <v>1</v>
      </c>
      <c r="G32" s="56" t="s">
        <v>6</v>
      </c>
      <c r="H32" s="56" t="s">
        <v>139</v>
      </c>
      <c r="I32" s="56" t="s">
        <v>140</v>
      </c>
      <c r="J32" s="56" t="s">
        <v>383</v>
      </c>
    </row>
    <row r="33" spans="1:10" s="19" customFormat="1" ht="15" x14ac:dyDescent="0.25">
      <c r="A33" s="56">
        <v>525</v>
      </c>
      <c r="B33" s="56" t="s">
        <v>185</v>
      </c>
      <c r="C33" s="56" t="s">
        <v>126</v>
      </c>
      <c r="D33" s="56"/>
      <c r="E33" s="57">
        <v>3000</v>
      </c>
      <c r="F33" s="58">
        <v>1.25</v>
      </c>
      <c r="G33" s="56" t="s">
        <v>6</v>
      </c>
      <c r="H33" s="56" t="s">
        <v>103</v>
      </c>
      <c r="I33" s="60" t="s">
        <v>274</v>
      </c>
      <c r="J33" s="56"/>
    </row>
    <row r="34" spans="1:10" s="19" customFormat="1" ht="15" x14ac:dyDescent="0.25">
      <c r="A34" s="56">
        <v>550</v>
      </c>
      <c r="B34" s="56" t="s">
        <v>185</v>
      </c>
      <c r="C34" s="56" t="s">
        <v>125</v>
      </c>
      <c r="D34" s="56" t="s">
        <v>127</v>
      </c>
      <c r="E34" s="57">
        <v>890</v>
      </c>
      <c r="F34" s="58">
        <v>820</v>
      </c>
      <c r="G34" s="56" t="s">
        <v>6</v>
      </c>
      <c r="H34" s="56" t="s">
        <v>46</v>
      </c>
      <c r="I34" s="56" t="s">
        <v>47</v>
      </c>
      <c r="J34" s="56"/>
    </row>
    <row r="35" spans="1:10" s="19" customFormat="1" ht="45" x14ac:dyDescent="0.25">
      <c r="A35" s="56">
        <v>550</v>
      </c>
      <c r="B35" s="56" t="s">
        <v>185</v>
      </c>
      <c r="C35" s="56" t="s">
        <v>128</v>
      </c>
      <c r="D35" s="56" t="s">
        <v>129</v>
      </c>
      <c r="E35" s="57">
        <v>1756</v>
      </c>
      <c r="F35" s="58"/>
      <c r="G35" s="56"/>
      <c r="H35" s="56" t="s">
        <v>142</v>
      </c>
      <c r="I35" s="56" t="s">
        <v>101</v>
      </c>
      <c r="J35" s="56" t="s">
        <v>214</v>
      </c>
    </row>
    <row r="36" spans="1:10" s="19" customFormat="1" ht="30" x14ac:dyDescent="0.25">
      <c r="A36" s="56">
        <v>831</v>
      </c>
      <c r="B36" s="56" t="s">
        <v>209</v>
      </c>
      <c r="C36" s="56" t="s">
        <v>90</v>
      </c>
      <c r="D36" s="56"/>
      <c r="E36" s="57">
        <v>44825</v>
      </c>
      <c r="F36" s="58">
        <v>1</v>
      </c>
      <c r="G36" s="56" t="s">
        <v>5</v>
      </c>
      <c r="H36" s="56" t="s">
        <v>26</v>
      </c>
      <c r="I36" s="56" t="s">
        <v>122</v>
      </c>
      <c r="J36" s="59" t="s">
        <v>94</v>
      </c>
    </row>
    <row r="37" spans="1:10" s="19" customFormat="1" ht="30" x14ac:dyDescent="0.25">
      <c r="A37" s="56">
        <v>849</v>
      </c>
      <c r="B37" s="56" t="s">
        <v>209</v>
      </c>
      <c r="C37" s="56" t="s">
        <v>2</v>
      </c>
      <c r="D37" s="56" t="s">
        <v>52</v>
      </c>
      <c r="E37" s="57">
        <v>1920</v>
      </c>
      <c r="F37" s="58"/>
      <c r="G37" s="56" t="s">
        <v>5</v>
      </c>
      <c r="H37" s="56" t="s">
        <v>100</v>
      </c>
      <c r="I37" s="56" t="s">
        <v>101</v>
      </c>
      <c r="J37" s="56" t="s">
        <v>212</v>
      </c>
    </row>
    <row r="38" spans="1:10" s="19" customFormat="1" ht="15" x14ac:dyDescent="0.25">
      <c r="A38" s="56">
        <v>849</v>
      </c>
      <c r="B38" s="56" t="s">
        <v>209</v>
      </c>
      <c r="C38" s="56" t="s">
        <v>2</v>
      </c>
      <c r="D38" s="56" t="s">
        <v>211</v>
      </c>
      <c r="E38" s="57">
        <v>2388</v>
      </c>
      <c r="F38" s="58">
        <v>2</v>
      </c>
      <c r="G38" s="56" t="s">
        <v>5</v>
      </c>
      <c r="H38" s="56" t="s">
        <v>100</v>
      </c>
      <c r="I38" s="56" t="s">
        <v>101</v>
      </c>
      <c r="J38" s="56" t="s">
        <v>91</v>
      </c>
    </row>
    <row r="39" spans="1:10" s="19" customFormat="1" ht="15" x14ac:dyDescent="0.25">
      <c r="A39" s="56">
        <v>2117</v>
      </c>
      <c r="B39" s="56" t="s">
        <v>205</v>
      </c>
      <c r="C39" s="56" t="s">
        <v>8</v>
      </c>
      <c r="D39" s="56" t="s">
        <v>43</v>
      </c>
      <c r="E39" s="57">
        <v>3600</v>
      </c>
      <c r="F39" s="58">
        <v>0.9</v>
      </c>
      <c r="G39" s="56" t="s">
        <v>5</v>
      </c>
      <c r="H39" s="56" t="s">
        <v>103</v>
      </c>
      <c r="I39" s="60" t="s">
        <v>274</v>
      </c>
      <c r="J39" s="56"/>
    </row>
    <row r="40" spans="1:10" s="19" customFormat="1" ht="15" x14ac:dyDescent="0.25">
      <c r="A40" s="56">
        <v>2119</v>
      </c>
      <c r="B40" s="56" t="s">
        <v>205</v>
      </c>
      <c r="C40" s="56" t="s">
        <v>53</v>
      </c>
      <c r="D40" s="56"/>
      <c r="E40" s="57">
        <v>10800</v>
      </c>
      <c r="F40" s="58">
        <v>0.8</v>
      </c>
      <c r="G40" s="56" t="s">
        <v>5</v>
      </c>
      <c r="H40" s="56" t="s">
        <v>103</v>
      </c>
      <c r="I40" s="60" t="s">
        <v>274</v>
      </c>
      <c r="J40" s="56"/>
    </row>
    <row r="41" spans="1:10" s="19" customFormat="1" ht="45" x14ac:dyDescent="0.25">
      <c r="A41" s="56">
        <v>1010</v>
      </c>
      <c r="B41" s="56" t="s">
        <v>203</v>
      </c>
      <c r="C41" s="56" t="s">
        <v>25</v>
      </c>
      <c r="D41" s="56" t="s">
        <v>262</v>
      </c>
      <c r="E41" s="57">
        <v>150</v>
      </c>
      <c r="F41" s="58">
        <v>600</v>
      </c>
      <c r="G41" s="56" t="s">
        <v>5</v>
      </c>
      <c r="H41" s="56" t="s">
        <v>0</v>
      </c>
      <c r="I41" s="56" t="s">
        <v>1</v>
      </c>
      <c r="J41" s="56" t="s">
        <v>264</v>
      </c>
    </row>
    <row r="42" spans="1:10" s="19" customFormat="1" ht="45" x14ac:dyDescent="0.25">
      <c r="A42" s="56">
        <v>1010</v>
      </c>
      <c r="B42" s="56" t="s">
        <v>203</v>
      </c>
      <c r="C42" s="56" t="s">
        <v>25</v>
      </c>
      <c r="D42" s="56" t="s">
        <v>263</v>
      </c>
      <c r="E42" s="57">
        <v>150</v>
      </c>
      <c r="F42" s="58">
        <v>600</v>
      </c>
      <c r="G42" s="56" t="s">
        <v>5</v>
      </c>
      <c r="H42" s="56" t="s">
        <v>0</v>
      </c>
      <c r="I42" s="56" t="s">
        <v>1</v>
      </c>
      <c r="J42" s="56" t="s">
        <v>264</v>
      </c>
    </row>
    <row r="43" spans="1:10" s="19" customFormat="1" ht="45" x14ac:dyDescent="0.25">
      <c r="A43" s="56">
        <v>1010</v>
      </c>
      <c r="B43" s="56" t="s">
        <v>203</v>
      </c>
      <c r="C43" s="56" t="s">
        <v>25</v>
      </c>
      <c r="D43" s="56" t="s">
        <v>52</v>
      </c>
      <c r="E43" s="57">
        <v>962</v>
      </c>
      <c r="F43" s="58">
        <v>1.39</v>
      </c>
      <c r="G43" s="56" t="s">
        <v>5</v>
      </c>
      <c r="H43" s="56" t="s">
        <v>0</v>
      </c>
      <c r="I43" s="56" t="s">
        <v>1</v>
      </c>
      <c r="J43" s="56" t="s">
        <v>264</v>
      </c>
    </row>
    <row r="44" spans="1:10" s="19" customFormat="1" ht="15" x14ac:dyDescent="0.25">
      <c r="A44" s="56">
        <v>328</v>
      </c>
      <c r="B44" s="56" t="s">
        <v>217</v>
      </c>
      <c r="C44" s="56" t="s">
        <v>88</v>
      </c>
      <c r="D44" s="56"/>
      <c r="E44" s="57">
        <v>9000</v>
      </c>
      <c r="F44" s="58">
        <v>0.75</v>
      </c>
      <c r="G44" s="56" t="s">
        <v>5</v>
      </c>
      <c r="H44" s="56" t="s">
        <v>105</v>
      </c>
      <c r="I44" s="56" t="s">
        <v>106</v>
      </c>
      <c r="J44" s="56"/>
    </row>
    <row r="45" spans="1:10" s="19" customFormat="1" ht="15" x14ac:dyDescent="0.25">
      <c r="A45" s="56">
        <v>125</v>
      </c>
      <c r="B45" s="56" t="s">
        <v>204</v>
      </c>
      <c r="C45" s="56" t="s">
        <v>88</v>
      </c>
      <c r="D45" s="56"/>
      <c r="E45" s="57">
        <v>10500</v>
      </c>
      <c r="F45" s="58">
        <v>1.25</v>
      </c>
      <c r="G45" s="56" t="s">
        <v>5</v>
      </c>
      <c r="H45" s="56" t="s">
        <v>103</v>
      </c>
      <c r="I45" s="60" t="s">
        <v>274</v>
      </c>
      <c r="J45" s="56"/>
    </row>
    <row r="46" spans="1:10" s="19" customFormat="1" ht="15" x14ac:dyDescent="0.25">
      <c r="A46" s="56">
        <v>207</v>
      </c>
      <c r="B46" s="56" t="s">
        <v>204</v>
      </c>
      <c r="C46" s="56" t="s">
        <v>25</v>
      </c>
      <c r="D46" s="56" t="s">
        <v>75</v>
      </c>
      <c r="E46" s="57">
        <v>3273</v>
      </c>
      <c r="F46" s="58">
        <v>1.1000000000000001</v>
      </c>
      <c r="G46" s="56" t="s">
        <v>5</v>
      </c>
      <c r="H46" s="56" t="s">
        <v>64</v>
      </c>
      <c r="I46" s="56" t="s">
        <v>237</v>
      </c>
      <c r="J46" s="56"/>
    </row>
    <row r="47" spans="1:10" s="19" customFormat="1" ht="15" x14ac:dyDescent="0.25">
      <c r="A47" s="56">
        <v>406</v>
      </c>
      <c r="B47" s="56" t="s">
        <v>184</v>
      </c>
      <c r="C47" s="56" t="s">
        <v>25</v>
      </c>
      <c r="D47" s="56"/>
      <c r="E47" s="57">
        <v>1100</v>
      </c>
      <c r="F47" s="58"/>
      <c r="G47" s="56"/>
      <c r="H47" s="56" t="s">
        <v>63</v>
      </c>
      <c r="I47" s="56" t="s">
        <v>146</v>
      </c>
      <c r="J47" s="56" t="s">
        <v>153</v>
      </c>
    </row>
    <row r="48" spans="1:10" s="19" customFormat="1" ht="15" x14ac:dyDescent="0.25">
      <c r="A48" s="56">
        <v>701</v>
      </c>
      <c r="B48" s="56" t="s">
        <v>184</v>
      </c>
      <c r="C48" s="56" t="s">
        <v>25</v>
      </c>
      <c r="D48" s="56"/>
      <c r="E48" s="57">
        <v>2279</v>
      </c>
      <c r="F48" s="58">
        <v>2</v>
      </c>
      <c r="G48" s="56" t="s">
        <v>6</v>
      </c>
      <c r="H48" s="56" t="s">
        <v>107</v>
      </c>
      <c r="I48" s="56" t="s">
        <v>101</v>
      </c>
      <c r="J48" s="56"/>
    </row>
    <row r="49" spans="1:10" s="19" customFormat="1" ht="30" x14ac:dyDescent="0.25">
      <c r="A49" s="56">
        <v>730</v>
      </c>
      <c r="B49" s="56" t="s">
        <v>184</v>
      </c>
      <c r="C49" s="56" t="s">
        <v>25</v>
      </c>
      <c r="D49" s="56"/>
      <c r="E49" s="57">
        <v>2400</v>
      </c>
      <c r="F49" s="58">
        <v>1.25</v>
      </c>
      <c r="G49" s="56" t="s">
        <v>5</v>
      </c>
      <c r="H49" s="56" t="s">
        <v>103</v>
      </c>
      <c r="I49" s="60" t="s">
        <v>274</v>
      </c>
      <c r="J49" s="56" t="s">
        <v>177</v>
      </c>
    </row>
    <row r="50" spans="1:10" s="19" customFormat="1" ht="15" x14ac:dyDescent="0.25">
      <c r="A50" s="56">
        <v>2006</v>
      </c>
      <c r="B50" s="56" t="s">
        <v>184</v>
      </c>
      <c r="C50" s="56" t="s">
        <v>25</v>
      </c>
      <c r="D50" s="56"/>
      <c r="E50" s="57">
        <v>1000</v>
      </c>
      <c r="F50" s="58">
        <v>1300</v>
      </c>
      <c r="G50" s="56" t="s">
        <v>6</v>
      </c>
      <c r="H50" s="56" t="s">
        <v>242</v>
      </c>
      <c r="I50" s="56" t="s">
        <v>260</v>
      </c>
      <c r="J50" s="56"/>
    </row>
    <row r="51" spans="1:10" s="19" customFormat="1" ht="45" x14ac:dyDescent="0.25">
      <c r="A51" s="56">
        <v>2117</v>
      </c>
      <c r="B51" s="56" t="s">
        <v>184</v>
      </c>
      <c r="C51" s="56" t="s">
        <v>7</v>
      </c>
      <c r="D51" s="56"/>
      <c r="E51" s="57">
        <v>1853</v>
      </c>
      <c r="F51" s="58">
        <v>3</v>
      </c>
      <c r="G51" s="56" t="s">
        <v>5</v>
      </c>
      <c r="H51" s="56" t="s">
        <v>100</v>
      </c>
      <c r="I51" s="56" t="s">
        <v>101</v>
      </c>
      <c r="J51" s="56" t="s">
        <v>154</v>
      </c>
    </row>
    <row r="52" spans="1:10" s="19" customFormat="1" ht="15" x14ac:dyDescent="0.25">
      <c r="A52" s="56">
        <v>2521</v>
      </c>
      <c r="B52" s="56" t="s">
        <v>184</v>
      </c>
      <c r="C52" s="56" t="s">
        <v>92</v>
      </c>
      <c r="D52" s="56"/>
      <c r="E52" s="57">
        <v>7912</v>
      </c>
      <c r="F52" s="58">
        <v>5625</v>
      </c>
      <c r="G52" s="56"/>
      <c r="H52" s="56" t="s">
        <v>103</v>
      </c>
      <c r="I52" s="60" t="s">
        <v>274</v>
      </c>
      <c r="J52" s="56"/>
    </row>
    <row r="53" spans="1:10" s="19" customFormat="1" ht="15" x14ac:dyDescent="0.25">
      <c r="A53" s="56">
        <v>2801</v>
      </c>
      <c r="B53" s="56" t="s">
        <v>184</v>
      </c>
      <c r="C53" s="56" t="s">
        <v>88</v>
      </c>
      <c r="D53" s="56"/>
      <c r="E53" s="57">
        <v>2100</v>
      </c>
      <c r="F53" s="58">
        <v>0.85</v>
      </c>
      <c r="G53" s="56" t="s">
        <v>6</v>
      </c>
      <c r="H53" s="56" t="s">
        <v>108</v>
      </c>
      <c r="I53" s="56" t="s">
        <v>123</v>
      </c>
      <c r="J53" s="56" t="s">
        <v>95</v>
      </c>
    </row>
    <row r="54" spans="1:10" s="19" customFormat="1" ht="45" x14ac:dyDescent="0.25">
      <c r="A54" s="56">
        <v>2801</v>
      </c>
      <c r="B54" s="56" t="s">
        <v>184</v>
      </c>
      <c r="C54" s="56" t="s">
        <v>88</v>
      </c>
      <c r="D54" s="56"/>
      <c r="E54" s="57">
        <v>10000</v>
      </c>
      <c r="F54" s="58">
        <v>0.85</v>
      </c>
      <c r="G54" s="56" t="s">
        <v>6</v>
      </c>
      <c r="H54" s="56" t="s">
        <v>108</v>
      </c>
      <c r="I54" s="56" t="s">
        <v>123</v>
      </c>
      <c r="J54" s="56" t="s">
        <v>159</v>
      </c>
    </row>
    <row r="55" spans="1:10" s="19" customFormat="1" ht="15" x14ac:dyDescent="0.25">
      <c r="A55" s="56">
        <v>2801</v>
      </c>
      <c r="B55" s="56" t="s">
        <v>184</v>
      </c>
      <c r="C55" s="56" t="s">
        <v>88</v>
      </c>
      <c r="D55" s="56"/>
      <c r="E55" s="57">
        <v>85000</v>
      </c>
      <c r="F55" s="58">
        <v>0.75</v>
      </c>
      <c r="G55" s="56" t="s">
        <v>6</v>
      </c>
      <c r="H55" s="56" t="s">
        <v>108</v>
      </c>
      <c r="I55" s="56" t="s">
        <v>123</v>
      </c>
      <c r="J55" s="56" t="s">
        <v>95</v>
      </c>
    </row>
    <row r="56" spans="1:10" s="19" customFormat="1" ht="15" x14ac:dyDescent="0.25">
      <c r="A56" s="56">
        <v>2801</v>
      </c>
      <c r="B56" s="56" t="s">
        <v>184</v>
      </c>
      <c r="C56" s="56" t="s">
        <v>88</v>
      </c>
      <c r="D56" s="56"/>
      <c r="E56" s="57">
        <v>800</v>
      </c>
      <c r="F56" s="58">
        <v>0.9</v>
      </c>
      <c r="G56" s="56" t="s">
        <v>6</v>
      </c>
      <c r="H56" s="56" t="s">
        <v>108</v>
      </c>
      <c r="I56" s="56" t="s">
        <v>123</v>
      </c>
      <c r="J56" s="56" t="s">
        <v>95</v>
      </c>
    </row>
    <row r="57" spans="1:10" s="19" customFormat="1" ht="15" x14ac:dyDescent="0.25">
      <c r="A57" s="56">
        <v>2801</v>
      </c>
      <c r="B57" s="56" t="s">
        <v>184</v>
      </c>
      <c r="C57" s="56" t="s">
        <v>88</v>
      </c>
      <c r="D57" s="56"/>
      <c r="E57" s="57">
        <v>1600</v>
      </c>
      <c r="F57" s="58">
        <v>0.85</v>
      </c>
      <c r="G57" s="56" t="s">
        <v>97</v>
      </c>
      <c r="H57" s="56" t="s">
        <v>108</v>
      </c>
      <c r="I57" s="56" t="s">
        <v>123</v>
      </c>
      <c r="J57" s="56" t="s">
        <v>95</v>
      </c>
    </row>
    <row r="58" spans="1:10" s="19" customFormat="1" ht="60" x14ac:dyDescent="0.25">
      <c r="A58" s="56">
        <v>2931</v>
      </c>
      <c r="B58" s="56" t="s">
        <v>184</v>
      </c>
      <c r="C58" s="56" t="s">
        <v>92</v>
      </c>
      <c r="D58" s="56"/>
      <c r="E58" s="57">
        <v>9000</v>
      </c>
      <c r="F58" s="58"/>
      <c r="G58" s="56"/>
      <c r="H58" s="56" t="s">
        <v>110</v>
      </c>
      <c r="I58" s="56" t="s">
        <v>101</v>
      </c>
      <c r="J58" s="56" t="s">
        <v>213</v>
      </c>
    </row>
    <row r="59" spans="1:10" s="19" customFormat="1" ht="15" x14ac:dyDescent="0.25">
      <c r="A59" s="56">
        <v>3004</v>
      </c>
      <c r="B59" s="56" t="s">
        <v>184</v>
      </c>
      <c r="C59" s="56" t="s">
        <v>25</v>
      </c>
      <c r="D59" s="56">
        <v>120</v>
      </c>
      <c r="E59" s="57">
        <v>672</v>
      </c>
      <c r="F59" s="58">
        <v>672</v>
      </c>
      <c r="G59" s="56" t="s">
        <v>6</v>
      </c>
      <c r="H59" s="56" t="s">
        <v>37</v>
      </c>
      <c r="I59" s="56" t="s">
        <v>111</v>
      </c>
      <c r="J59" s="59" t="s">
        <v>93</v>
      </c>
    </row>
    <row r="60" spans="1:10" s="19" customFormat="1" ht="15" x14ac:dyDescent="0.25">
      <c r="A60" s="56">
        <v>3004</v>
      </c>
      <c r="B60" s="56" t="s">
        <v>184</v>
      </c>
      <c r="C60" s="56" t="s">
        <v>8</v>
      </c>
      <c r="D60" s="56">
        <v>130</v>
      </c>
      <c r="E60" s="57">
        <v>2690</v>
      </c>
      <c r="F60" s="58">
        <v>1.25</v>
      </c>
      <c r="G60" s="56" t="s">
        <v>6</v>
      </c>
      <c r="H60" s="56" t="s">
        <v>37</v>
      </c>
      <c r="I60" s="56" t="s">
        <v>111</v>
      </c>
      <c r="J60" s="56"/>
    </row>
    <row r="61" spans="1:10" s="19" customFormat="1" ht="15" x14ac:dyDescent="0.25">
      <c r="A61" s="56">
        <v>3004</v>
      </c>
      <c r="B61" s="56" t="s">
        <v>184</v>
      </c>
      <c r="C61" s="56" t="s">
        <v>25</v>
      </c>
      <c r="D61" s="56">
        <v>150</v>
      </c>
      <c r="E61" s="57">
        <v>6500</v>
      </c>
      <c r="F61" s="58">
        <v>1.7</v>
      </c>
      <c r="G61" s="56" t="s">
        <v>6</v>
      </c>
      <c r="H61" s="56" t="s">
        <v>37</v>
      </c>
      <c r="I61" s="56" t="s">
        <v>111</v>
      </c>
      <c r="J61" s="56"/>
    </row>
    <row r="62" spans="1:10" s="19" customFormat="1" ht="15" x14ac:dyDescent="0.25">
      <c r="A62" s="56">
        <v>3004</v>
      </c>
      <c r="B62" s="56" t="s">
        <v>184</v>
      </c>
      <c r="C62" s="56" t="s">
        <v>8</v>
      </c>
      <c r="D62" s="56">
        <v>170</v>
      </c>
      <c r="E62" s="57">
        <v>865</v>
      </c>
      <c r="F62" s="58">
        <v>1.75</v>
      </c>
      <c r="G62" s="56" t="s">
        <v>6</v>
      </c>
      <c r="H62" s="56" t="s">
        <v>37</v>
      </c>
      <c r="I62" s="56" t="s">
        <v>111</v>
      </c>
      <c r="J62" s="56"/>
    </row>
    <row r="63" spans="1:10" s="19" customFormat="1" ht="15" x14ac:dyDescent="0.25">
      <c r="A63" s="56">
        <v>3004</v>
      </c>
      <c r="B63" s="56" t="s">
        <v>184</v>
      </c>
      <c r="C63" s="56" t="s">
        <v>8</v>
      </c>
      <c r="D63" s="56">
        <v>230</v>
      </c>
      <c r="E63" s="57">
        <v>1400</v>
      </c>
      <c r="F63" s="58">
        <v>1.7</v>
      </c>
      <c r="G63" s="56" t="s">
        <v>6</v>
      </c>
      <c r="H63" s="56" t="s">
        <v>37</v>
      </c>
      <c r="I63" s="56" t="s">
        <v>111</v>
      </c>
      <c r="J63" s="56"/>
    </row>
    <row r="64" spans="1:10" s="19" customFormat="1" ht="15" x14ac:dyDescent="0.25">
      <c r="A64" s="56">
        <v>3004</v>
      </c>
      <c r="B64" s="56" t="s">
        <v>184</v>
      </c>
      <c r="C64" s="56" t="s">
        <v>8</v>
      </c>
      <c r="D64" s="56" t="s">
        <v>170</v>
      </c>
      <c r="E64" s="57">
        <v>625</v>
      </c>
      <c r="F64" s="58">
        <v>625</v>
      </c>
      <c r="G64" s="56" t="s">
        <v>6</v>
      </c>
      <c r="H64" s="56" t="s">
        <v>37</v>
      </c>
      <c r="I64" s="56" t="s">
        <v>111</v>
      </c>
      <c r="J64" s="56"/>
    </row>
    <row r="65" spans="1:10" s="19" customFormat="1" ht="15" x14ac:dyDescent="0.25">
      <c r="A65" s="56">
        <v>3004</v>
      </c>
      <c r="B65" s="56" t="s">
        <v>184</v>
      </c>
      <c r="C65" s="56" t="s">
        <v>8</v>
      </c>
      <c r="D65" s="56" t="s">
        <v>170</v>
      </c>
      <c r="E65" s="57">
        <v>13400</v>
      </c>
      <c r="F65" s="58">
        <v>1.05</v>
      </c>
      <c r="G65" s="56" t="s">
        <v>6</v>
      </c>
      <c r="H65" s="56" t="s">
        <v>37</v>
      </c>
      <c r="I65" s="56" t="s">
        <v>111</v>
      </c>
      <c r="J65" s="56"/>
    </row>
    <row r="66" spans="1:10" s="19" customFormat="1" ht="30" x14ac:dyDescent="0.25">
      <c r="A66" s="56">
        <v>1201</v>
      </c>
      <c r="B66" s="56" t="s">
        <v>208</v>
      </c>
      <c r="C66" s="56" t="s">
        <v>92</v>
      </c>
      <c r="D66" s="56"/>
      <c r="E66" s="57">
        <v>4099</v>
      </c>
      <c r="F66" s="58">
        <v>0.9</v>
      </c>
      <c r="G66" s="56" t="s">
        <v>96</v>
      </c>
      <c r="H66" s="56" t="s">
        <v>33</v>
      </c>
      <c r="I66" s="56" t="s">
        <v>34</v>
      </c>
      <c r="J66" s="59" t="s">
        <v>382</v>
      </c>
    </row>
    <row r="67" spans="1:10" s="19" customFormat="1" ht="30" x14ac:dyDescent="0.25">
      <c r="A67" s="56">
        <v>511</v>
      </c>
      <c r="B67" s="56" t="s">
        <v>206</v>
      </c>
      <c r="C67" s="56" t="s">
        <v>53</v>
      </c>
      <c r="D67" s="56"/>
      <c r="E67" s="57">
        <v>1425</v>
      </c>
      <c r="F67" s="58">
        <v>1800</v>
      </c>
      <c r="G67" s="56" t="s">
        <v>5</v>
      </c>
      <c r="H67" s="56" t="s">
        <v>112</v>
      </c>
      <c r="I67" s="56" t="s">
        <v>113</v>
      </c>
      <c r="J67" s="56" t="s">
        <v>99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>
      <selection activeCell="J68" sqref="A2:J68"/>
    </sheetView>
  </sheetViews>
  <sheetFormatPr defaultRowHeight="12.75" x14ac:dyDescent="0.2"/>
  <cols>
    <col min="1" max="1" width="8.7109375" style="8" customWidth="1"/>
    <col min="2" max="2" width="14.7109375" style="8" customWidth="1"/>
    <col min="3" max="3" width="12.5703125" style="8" customWidth="1"/>
    <col min="4" max="4" width="9.140625" style="8"/>
    <col min="5" max="5" width="9.28515625" style="8" customWidth="1"/>
    <col min="6" max="6" width="9.140625" style="8" customWidth="1"/>
    <col min="7" max="7" width="12.42578125" style="8" customWidth="1"/>
    <col min="8" max="8" width="29.28515625" style="8" customWidth="1"/>
    <col min="9" max="9" width="17.28515625" style="8" customWidth="1"/>
    <col min="10" max="10" width="38.42578125" style="8" customWidth="1"/>
    <col min="11" max="16384" width="9.140625" style="8"/>
  </cols>
  <sheetData>
    <row r="1" spans="1:10" s="7" customFormat="1" ht="25.5" x14ac:dyDescent="0.2">
      <c r="A1" s="61" t="s">
        <v>20</v>
      </c>
      <c r="B1" s="61" t="s">
        <v>178</v>
      </c>
      <c r="C1" s="61" t="s">
        <v>19</v>
      </c>
      <c r="D1" s="61" t="s">
        <v>24</v>
      </c>
      <c r="E1" s="62" t="s">
        <v>17</v>
      </c>
      <c r="F1" s="63" t="s">
        <v>220</v>
      </c>
      <c r="G1" s="61" t="s">
        <v>16</v>
      </c>
      <c r="H1" s="61" t="s">
        <v>15</v>
      </c>
      <c r="I1" s="61" t="s">
        <v>14</v>
      </c>
      <c r="J1" s="61" t="s">
        <v>13</v>
      </c>
    </row>
    <row r="2" spans="1:10" s="28" customFormat="1" ht="30" x14ac:dyDescent="0.25">
      <c r="A2" s="64">
        <v>110</v>
      </c>
      <c r="B2" s="64" t="s">
        <v>179</v>
      </c>
      <c r="C2" s="64" t="s">
        <v>25</v>
      </c>
      <c r="D2" s="64" t="s">
        <v>170</v>
      </c>
      <c r="E2" s="65">
        <v>23451</v>
      </c>
      <c r="F2" s="66">
        <v>1.65</v>
      </c>
      <c r="G2" s="64" t="s">
        <v>5</v>
      </c>
      <c r="H2" s="64" t="s">
        <v>26</v>
      </c>
      <c r="I2" s="64" t="s">
        <v>122</v>
      </c>
      <c r="J2" s="64" t="s">
        <v>155</v>
      </c>
    </row>
    <row r="3" spans="1:10" s="19" customFormat="1" ht="15" x14ac:dyDescent="0.25">
      <c r="A3" s="64">
        <v>110</v>
      </c>
      <c r="B3" s="64" t="s">
        <v>179</v>
      </c>
      <c r="C3" s="64" t="s">
        <v>25</v>
      </c>
      <c r="D3" s="64" t="s">
        <v>171</v>
      </c>
      <c r="E3" s="65">
        <v>23153</v>
      </c>
      <c r="F3" s="66">
        <v>1.65</v>
      </c>
      <c r="G3" s="64" t="s">
        <v>5</v>
      </c>
      <c r="H3" s="64" t="s">
        <v>26</v>
      </c>
      <c r="I3" s="64" t="s">
        <v>122</v>
      </c>
      <c r="J3" s="64" t="s">
        <v>36</v>
      </c>
    </row>
    <row r="4" spans="1:10" s="19" customFormat="1" ht="15" x14ac:dyDescent="0.25">
      <c r="A4" s="64">
        <v>110</v>
      </c>
      <c r="B4" s="64" t="s">
        <v>179</v>
      </c>
      <c r="C4" s="64" t="s">
        <v>25</v>
      </c>
      <c r="D4" s="64" t="s">
        <v>169</v>
      </c>
      <c r="E4" s="65">
        <v>17880</v>
      </c>
      <c r="F4" s="66">
        <v>1.65</v>
      </c>
      <c r="G4" s="64" t="s">
        <v>5</v>
      </c>
      <c r="H4" s="64" t="s">
        <v>26</v>
      </c>
      <c r="I4" s="64" t="s">
        <v>122</v>
      </c>
      <c r="J4" s="64" t="s">
        <v>36</v>
      </c>
    </row>
    <row r="5" spans="1:10" s="19" customFormat="1" ht="15" x14ac:dyDescent="0.25">
      <c r="A5" s="64">
        <v>110</v>
      </c>
      <c r="B5" s="64" t="s">
        <v>179</v>
      </c>
      <c r="C5" s="64" t="s">
        <v>25</v>
      </c>
      <c r="D5" s="64" t="s">
        <v>168</v>
      </c>
      <c r="E5" s="65">
        <v>14669</v>
      </c>
      <c r="F5" s="66">
        <v>1.65</v>
      </c>
      <c r="G5" s="64" t="s">
        <v>5</v>
      </c>
      <c r="H5" s="64" t="s">
        <v>26</v>
      </c>
      <c r="I5" s="64" t="s">
        <v>122</v>
      </c>
      <c r="J5" s="64" t="s">
        <v>36</v>
      </c>
    </row>
    <row r="6" spans="1:10" s="19" customFormat="1" ht="15" x14ac:dyDescent="0.25">
      <c r="A6" s="64">
        <v>313</v>
      </c>
      <c r="B6" s="64" t="s">
        <v>181</v>
      </c>
      <c r="C6" s="64" t="s">
        <v>8</v>
      </c>
      <c r="D6" s="64"/>
      <c r="E6" s="65">
        <v>3200</v>
      </c>
      <c r="F6" s="66">
        <v>1.1499999999999999</v>
      </c>
      <c r="G6" s="64" t="s">
        <v>5</v>
      </c>
      <c r="H6" s="64" t="s">
        <v>173</v>
      </c>
      <c r="I6" s="64" t="s">
        <v>165</v>
      </c>
      <c r="J6" s="64"/>
    </row>
    <row r="7" spans="1:10" s="19" customFormat="1" ht="15" x14ac:dyDescent="0.25">
      <c r="A7" s="64">
        <v>428</v>
      </c>
      <c r="B7" s="64" t="s">
        <v>181</v>
      </c>
      <c r="C7" s="64" t="s">
        <v>2</v>
      </c>
      <c r="D7" s="64" t="s">
        <v>52</v>
      </c>
      <c r="E7" s="65">
        <v>3170</v>
      </c>
      <c r="F7" s="66">
        <v>1.25</v>
      </c>
      <c r="G7" s="64" t="s">
        <v>5</v>
      </c>
      <c r="H7" s="64" t="s">
        <v>173</v>
      </c>
      <c r="I7" s="64" t="s">
        <v>166</v>
      </c>
      <c r="J7" s="64" t="s">
        <v>167</v>
      </c>
    </row>
    <row r="8" spans="1:10" s="19" customFormat="1" ht="15" x14ac:dyDescent="0.25">
      <c r="A8" s="64">
        <v>701</v>
      </c>
      <c r="B8" s="64" t="s">
        <v>181</v>
      </c>
      <c r="C8" s="64" t="s">
        <v>7</v>
      </c>
      <c r="D8" s="64" t="s">
        <v>43</v>
      </c>
      <c r="E8" s="65">
        <v>1320</v>
      </c>
      <c r="F8" s="66">
        <v>1650</v>
      </c>
      <c r="G8" s="64" t="s">
        <v>6</v>
      </c>
      <c r="H8" s="64" t="s">
        <v>21</v>
      </c>
      <c r="I8" s="64" t="s">
        <v>22</v>
      </c>
      <c r="J8" s="64" t="s">
        <v>253</v>
      </c>
    </row>
    <row r="9" spans="1:10" s="19" customFormat="1" ht="15" x14ac:dyDescent="0.25">
      <c r="A9" s="64">
        <v>740</v>
      </c>
      <c r="B9" s="64" t="s">
        <v>181</v>
      </c>
      <c r="C9" s="64" t="s">
        <v>8</v>
      </c>
      <c r="D9" s="64">
        <v>170</v>
      </c>
      <c r="E9" s="65">
        <v>966</v>
      </c>
      <c r="F9" s="66">
        <v>1.4</v>
      </c>
      <c r="G9" s="64" t="s">
        <v>176</v>
      </c>
      <c r="H9" s="64" t="s">
        <v>33</v>
      </c>
      <c r="I9" s="64" t="s">
        <v>34</v>
      </c>
      <c r="J9" s="64"/>
    </row>
    <row r="10" spans="1:10" s="19" customFormat="1" ht="15" x14ac:dyDescent="0.25">
      <c r="A10" s="64">
        <v>740</v>
      </c>
      <c r="B10" s="64" t="s">
        <v>181</v>
      </c>
      <c r="C10" s="64" t="s">
        <v>8</v>
      </c>
      <c r="D10" s="64">
        <v>315</v>
      </c>
      <c r="E10" s="65">
        <v>2771</v>
      </c>
      <c r="F10" s="66">
        <v>1.8</v>
      </c>
      <c r="G10" s="64" t="s">
        <v>176</v>
      </c>
      <c r="H10" s="64" t="s">
        <v>33</v>
      </c>
      <c r="I10" s="64" t="s">
        <v>34</v>
      </c>
      <c r="J10" s="64"/>
    </row>
    <row r="11" spans="1:10" s="19" customFormat="1" ht="30" x14ac:dyDescent="0.25">
      <c r="A11" s="64">
        <v>233</v>
      </c>
      <c r="B11" s="64" t="s">
        <v>358</v>
      </c>
      <c r="C11" s="64" t="s">
        <v>2</v>
      </c>
      <c r="D11" s="64"/>
      <c r="E11" s="65">
        <v>1500</v>
      </c>
      <c r="F11" s="66">
        <v>1.67</v>
      </c>
      <c r="G11" s="64" t="s">
        <v>359</v>
      </c>
      <c r="H11" s="64" t="s">
        <v>360</v>
      </c>
      <c r="I11" s="64" t="s">
        <v>361</v>
      </c>
      <c r="J11" s="67" t="s">
        <v>384</v>
      </c>
    </row>
    <row r="12" spans="1:10" s="19" customFormat="1" ht="15" x14ac:dyDescent="0.25">
      <c r="A12" s="64">
        <v>827</v>
      </c>
      <c r="B12" s="64" t="s">
        <v>182</v>
      </c>
      <c r="C12" s="64" t="s">
        <v>25</v>
      </c>
      <c r="D12" s="64" t="s">
        <v>170</v>
      </c>
      <c r="E12" s="65">
        <v>450</v>
      </c>
      <c r="F12" s="66">
        <v>900</v>
      </c>
      <c r="G12" s="64" t="s">
        <v>6</v>
      </c>
      <c r="H12" s="64" t="s">
        <v>60</v>
      </c>
      <c r="I12" s="64" t="s">
        <v>61</v>
      </c>
      <c r="J12" s="64"/>
    </row>
    <row r="13" spans="1:10" s="19" customFormat="1" ht="15" x14ac:dyDescent="0.25">
      <c r="A13" s="64">
        <v>845</v>
      </c>
      <c r="B13" s="64" t="s">
        <v>182</v>
      </c>
      <c r="C13" s="64" t="s">
        <v>8</v>
      </c>
      <c r="D13" s="64"/>
      <c r="E13" s="65">
        <v>1600</v>
      </c>
      <c r="F13" s="66">
        <v>1.6</v>
      </c>
      <c r="G13" s="64" t="s">
        <v>6</v>
      </c>
      <c r="H13" s="64" t="s">
        <v>60</v>
      </c>
      <c r="I13" s="64" t="s">
        <v>61</v>
      </c>
      <c r="J13" s="64" t="s">
        <v>253</v>
      </c>
    </row>
    <row r="14" spans="1:10" s="19" customFormat="1" ht="15" x14ac:dyDescent="0.25">
      <c r="A14" s="64">
        <v>427</v>
      </c>
      <c r="B14" s="64" t="s">
        <v>218</v>
      </c>
      <c r="C14" s="64" t="s">
        <v>8</v>
      </c>
      <c r="D14" s="64"/>
      <c r="E14" s="65">
        <v>450</v>
      </c>
      <c r="F14" s="66">
        <v>2</v>
      </c>
      <c r="G14" s="64" t="s">
        <v>6</v>
      </c>
      <c r="H14" s="64" t="s">
        <v>60</v>
      </c>
      <c r="I14" s="64" t="s">
        <v>61</v>
      </c>
      <c r="J14" s="64" t="s">
        <v>253</v>
      </c>
    </row>
    <row r="15" spans="1:10" s="19" customFormat="1" ht="15" hidden="1" x14ac:dyDescent="0.25">
      <c r="A15" s="64">
        <v>212</v>
      </c>
      <c r="B15" s="64" t="s">
        <v>188</v>
      </c>
      <c r="C15" s="64" t="s">
        <v>8</v>
      </c>
      <c r="D15" s="64">
        <v>200</v>
      </c>
      <c r="E15" s="65">
        <v>520</v>
      </c>
      <c r="F15" s="66">
        <v>1.54</v>
      </c>
      <c r="G15" s="64" t="s">
        <v>6</v>
      </c>
      <c r="H15" s="64" t="s">
        <v>66</v>
      </c>
      <c r="I15" s="64" t="s">
        <v>67</v>
      </c>
      <c r="J15" s="64"/>
    </row>
    <row r="16" spans="1:10" s="19" customFormat="1" ht="15" x14ac:dyDescent="0.25">
      <c r="A16" s="64">
        <v>212</v>
      </c>
      <c r="B16" s="64" t="s">
        <v>188</v>
      </c>
      <c r="C16" s="64" t="s">
        <v>25</v>
      </c>
      <c r="D16" s="64">
        <v>202</v>
      </c>
      <c r="E16" s="65">
        <v>320</v>
      </c>
      <c r="F16" s="66">
        <v>1.58</v>
      </c>
      <c r="G16" s="64" t="s">
        <v>6</v>
      </c>
      <c r="H16" s="64" t="s">
        <v>66</v>
      </c>
      <c r="I16" s="64" t="s">
        <v>67</v>
      </c>
      <c r="J16" s="64"/>
    </row>
    <row r="17" spans="1:10" s="19" customFormat="1" ht="15" x14ac:dyDescent="0.25">
      <c r="A17" s="64">
        <v>212</v>
      </c>
      <c r="B17" s="64" t="s">
        <v>188</v>
      </c>
      <c r="C17" s="64" t="s">
        <v>25</v>
      </c>
      <c r="D17" s="64">
        <v>203</v>
      </c>
      <c r="E17" s="65">
        <v>85</v>
      </c>
      <c r="F17" s="66">
        <v>3.59</v>
      </c>
      <c r="G17" s="64" t="s">
        <v>6</v>
      </c>
      <c r="H17" s="64" t="s">
        <v>66</v>
      </c>
      <c r="I17" s="64" t="s">
        <v>67</v>
      </c>
      <c r="J17" s="64"/>
    </row>
    <row r="18" spans="1:10" s="19" customFormat="1" ht="15" x14ac:dyDescent="0.25">
      <c r="A18" s="64">
        <v>212</v>
      </c>
      <c r="B18" s="64" t="s">
        <v>188</v>
      </c>
      <c r="C18" s="64" t="s">
        <v>25</v>
      </c>
      <c r="D18" s="64">
        <v>204</v>
      </c>
      <c r="E18" s="65">
        <v>250</v>
      </c>
      <c r="F18" s="66">
        <v>2</v>
      </c>
      <c r="G18" s="64" t="s">
        <v>6</v>
      </c>
      <c r="H18" s="64" t="s">
        <v>66</v>
      </c>
      <c r="I18" s="64" t="s">
        <v>67</v>
      </c>
      <c r="J18" s="64"/>
    </row>
    <row r="19" spans="1:10" s="19" customFormat="1" ht="15" x14ac:dyDescent="0.25">
      <c r="A19" s="64">
        <v>212</v>
      </c>
      <c r="B19" s="64" t="s">
        <v>188</v>
      </c>
      <c r="C19" s="64" t="s">
        <v>25</v>
      </c>
      <c r="D19" s="64">
        <v>205</v>
      </c>
      <c r="E19" s="65">
        <v>85</v>
      </c>
      <c r="F19" s="66">
        <v>3.59</v>
      </c>
      <c r="G19" s="64" t="s">
        <v>6</v>
      </c>
      <c r="H19" s="64" t="s">
        <v>66</v>
      </c>
      <c r="I19" s="64" t="s">
        <v>67</v>
      </c>
      <c r="J19" s="64"/>
    </row>
    <row r="20" spans="1:10" s="19" customFormat="1" ht="15" x14ac:dyDescent="0.25">
      <c r="A20" s="64">
        <v>212</v>
      </c>
      <c r="B20" s="64" t="s">
        <v>188</v>
      </c>
      <c r="C20" s="64" t="s">
        <v>25</v>
      </c>
      <c r="D20" s="64">
        <v>207</v>
      </c>
      <c r="E20" s="65">
        <v>85</v>
      </c>
      <c r="F20" s="66">
        <v>3.59</v>
      </c>
      <c r="G20" s="64" t="s">
        <v>6</v>
      </c>
      <c r="H20" s="64" t="s">
        <v>66</v>
      </c>
      <c r="I20" s="64" t="s">
        <v>67</v>
      </c>
      <c r="J20" s="64"/>
    </row>
    <row r="21" spans="1:10" s="19" customFormat="1" ht="15" x14ac:dyDescent="0.25">
      <c r="A21" s="64">
        <v>212</v>
      </c>
      <c r="B21" s="64" t="s">
        <v>188</v>
      </c>
      <c r="C21" s="64" t="s">
        <v>25</v>
      </c>
      <c r="D21" s="64">
        <v>209</v>
      </c>
      <c r="E21" s="65">
        <v>105</v>
      </c>
      <c r="F21" s="66">
        <v>3.14</v>
      </c>
      <c r="G21" s="64" t="s">
        <v>6</v>
      </c>
      <c r="H21" s="64" t="s">
        <v>66</v>
      </c>
      <c r="I21" s="64" t="s">
        <v>67</v>
      </c>
      <c r="J21" s="64"/>
    </row>
    <row r="22" spans="1:10" s="19" customFormat="1" ht="15" x14ac:dyDescent="0.25">
      <c r="A22" s="64">
        <v>312</v>
      </c>
      <c r="B22" s="64" t="s">
        <v>215</v>
      </c>
      <c r="C22" s="64" t="s">
        <v>8</v>
      </c>
      <c r="D22" s="64" t="s">
        <v>51</v>
      </c>
      <c r="E22" s="65">
        <v>156</v>
      </c>
      <c r="F22" s="66">
        <v>1.44</v>
      </c>
      <c r="G22" s="64" t="s">
        <v>11</v>
      </c>
      <c r="H22" s="64" t="s">
        <v>21</v>
      </c>
      <c r="I22" s="64" t="s">
        <v>22</v>
      </c>
      <c r="J22" s="64" t="s">
        <v>258</v>
      </c>
    </row>
    <row r="23" spans="1:10" s="19" customFormat="1" ht="15" x14ac:dyDescent="0.25">
      <c r="A23" s="64">
        <v>312</v>
      </c>
      <c r="B23" s="64" t="s">
        <v>215</v>
      </c>
      <c r="C23" s="64" t="s">
        <v>8</v>
      </c>
      <c r="D23" s="64"/>
      <c r="E23" s="65">
        <v>3000</v>
      </c>
      <c r="F23" s="66">
        <v>3850</v>
      </c>
      <c r="G23" s="64" t="s">
        <v>11</v>
      </c>
      <c r="H23" s="64" t="s">
        <v>21</v>
      </c>
      <c r="I23" s="64" t="s">
        <v>22</v>
      </c>
      <c r="J23" s="64"/>
    </row>
    <row r="24" spans="1:10" s="19" customFormat="1" ht="15" x14ac:dyDescent="0.25">
      <c r="A24" s="64">
        <v>123</v>
      </c>
      <c r="B24" s="64" t="s">
        <v>183</v>
      </c>
      <c r="C24" s="64" t="s">
        <v>7</v>
      </c>
      <c r="D24" s="64" t="s">
        <v>172</v>
      </c>
      <c r="E24" s="65">
        <v>2300</v>
      </c>
      <c r="F24" s="66">
        <v>2.25</v>
      </c>
      <c r="G24" s="64" t="s">
        <v>6</v>
      </c>
      <c r="H24" s="64" t="s">
        <v>221</v>
      </c>
      <c r="I24" s="64" t="s">
        <v>122</v>
      </c>
      <c r="J24" s="64" t="s">
        <v>72</v>
      </c>
    </row>
    <row r="25" spans="1:10" s="19" customFormat="1" ht="15" x14ac:dyDescent="0.25">
      <c r="A25" s="64">
        <v>123</v>
      </c>
      <c r="B25" s="64" t="s">
        <v>183</v>
      </c>
      <c r="C25" s="64" t="s">
        <v>25</v>
      </c>
      <c r="D25" s="64" t="s">
        <v>170</v>
      </c>
      <c r="E25" s="65">
        <v>2800</v>
      </c>
      <c r="F25" s="66">
        <v>2</v>
      </c>
      <c r="G25" s="64" t="s">
        <v>6</v>
      </c>
      <c r="H25" s="64" t="s">
        <v>26</v>
      </c>
      <c r="I25" s="64" t="s">
        <v>122</v>
      </c>
      <c r="J25" s="64" t="s">
        <v>72</v>
      </c>
    </row>
    <row r="26" spans="1:10" s="19" customFormat="1" ht="30" x14ac:dyDescent="0.25">
      <c r="A26" s="64">
        <v>175</v>
      </c>
      <c r="B26" s="64" t="s">
        <v>186</v>
      </c>
      <c r="C26" s="64" t="s">
        <v>50</v>
      </c>
      <c r="D26" s="64" t="s">
        <v>58</v>
      </c>
      <c r="E26" s="65">
        <v>4000</v>
      </c>
      <c r="F26" s="66">
        <v>1.25</v>
      </c>
      <c r="G26" s="64" t="s">
        <v>6</v>
      </c>
      <c r="H26" s="64" t="s">
        <v>83</v>
      </c>
      <c r="I26" s="64" t="s">
        <v>84</v>
      </c>
      <c r="J26" s="64"/>
    </row>
    <row r="27" spans="1:10" s="19" customFormat="1" ht="30" x14ac:dyDescent="0.25">
      <c r="A27" s="64">
        <v>175</v>
      </c>
      <c r="B27" s="64" t="s">
        <v>186</v>
      </c>
      <c r="C27" s="64" t="s">
        <v>50</v>
      </c>
      <c r="D27" s="64" t="s">
        <v>59</v>
      </c>
      <c r="E27" s="65">
        <v>1000</v>
      </c>
      <c r="F27" s="66">
        <v>1.25</v>
      </c>
      <c r="G27" s="64" t="s">
        <v>6</v>
      </c>
      <c r="H27" s="64" t="s">
        <v>83</v>
      </c>
      <c r="I27" s="64" t="s">
        <v>84</v>
      </c>
      <c r="J27" s="64"/>
    </row>
    <row r="28" spans="1:10" s="19" customFormat="1" ht="30" x14ac:dyDescent="0.25">
      <c r="A28" s="64">
        <v>189</v>
      </c>
      <c r="B28" s="64" t="s">
        <v>186</v>
      </c>
      <c r="C28" s="64" t="s">
        <v>53</v>
      </c>
      <c r="D28" s="64" t="s">
        <v>257</v>
      </c>
      <c r="E28" s="65">
        <v>5270</v>
      </c>
      <c r="F28" s="66">
        <v>1.38</v>
      </c>
      <c r="G28" s="64" t="s">
        <v>6</v>
      </c>
      <c r="H28" s="64" t="s">
        <v>83</v>
      </c>
      <c r="I28" s="64" t="s">
        <v>84</v>
      </c>
      <c r="J28" s="64"/>
    </row>
    <row r="29" spans="1:10" s="19" customFormat="1" ht="30" x14ac:dyDescent="0.25">
      <c r="A29" s="64">
        <v>200</v>
      </c>
      <c r="B29" s="64" t="s">
        <v>187</v>
      </c>
      <c r="C29" s="64" t="s">
        <v>8</v>
      </c>
      <c r="D29" s="64">
        <v>201</v>
      </c>
      <c r="E29" s="65">
        <v>820</v>
      </c>
      <c r="F29" s="66">
        <v>1.45</v>
      </c>
      <c r="G29" s="64" t="s">
        <v>5</v>
      </c>
      <c r="H29" s="64" t="s">
        <v>69</v>
      </c>
      <c r="I29" s="64" t="s">
        <v>219</v>
      </c>
      <c r="J29" s="64"/>
    </row>
    <row r="30" spans="1:10" s="19" customFormat="1" ht="15" x14ac:dyDescent="0.25">
      <c r="A30" s="64">
        <v>125</v>
      </c>
      <c r="B30" s="64" t="s">
        <v>185</v>
      </c>
      <c r="C30" s="64" t="s">
        <v>8</v>
      </c>
      <c r="D30" s="64" t="s">
        <v>55</v>
      </c>
      <c r="E30" s="65">
        <v>2252</v>
      </c>
      <c r="F30" s="66">
        <v>1.8</v>
      </c>
      <c r="G30" s="64" t="s">
        <v>11</v>
      </c>
      <c r="H30" s="64" t="s">
        <v>365</v>
      </c>
      <c r="I30" s="64" t="s">
        <v>101</v>
      </c>
      <c r="J30" s="64"/>
    </row>
    <row r="31" spans="1:10" s="19" customFormat="1" ht="15" x14ac:dyDescent="0.25">
      <c r="A31" s="64">
        <v>125</v>
      </c>
      <c r="B31" s="64" t="s">
        <v>185</v>
      </c>
      <c r="C31" s="64" t="s">
        <v>8</v>
      </c>
      <c r="D31" s="64" t="s">
        <v>56</v>
      </c>
      <c r="E31" s="65">
        <v>1286</v>
      </c>
      <c r="F31" s="66">
        <v>1.8</v>
      </c>
      <c r="G31" s="64" t="s">
        <v>6</v>
      </c>
      <c r="H31" s="64" t="s">
        <v>365</v>
      </c>
      <c r="I31" s="64" t="s">
        <v>101</v>
      </c>
      <c r="J31" s="64"/>
    </row>
    <row r="32" spans="1:10" s="19" customFormat="1" ht="15" x14ac:dyDescent="0.25">
      <c r="A32" s="64">
        <v>125</v>
      </c>
      <c r="B32" s="64" t="s">
        <v>185</v>
      </c>
      <c r="C32" s="64" t="s">
        <v>25</v>
      </c>
      <c r="D32" s="64" t="s">
        <v>57</v>
      </c>
      <c r="E32" s="65">
        <v>2215</v>
      </c>
      <c r="F32" s="66">
        <v>1.8</v>
      </c>
      <c r="G32" s="64" t="s">
        <v>11</v>
      </c>
      <c r="H32" s="64" t="s">
        <v>365</v>
      </c>
      <c r="I32" s="64" t="s">
        <v>101</v>
      </c>
      <c r="J32" s="64"/>
    </row>
    <row r="33" spans="1:10" s="19" customFormat="1" ht="15" x14ac:dyDescent="0.25">
      <c r="A33" s="64">
        <v>110</v>
      </c>
      <c r="B33" s="64" t="s">
        <v>180</v>
      </c>
      <c r="C33" s="64" t="s">
        <v>7</v>
      </c>
      <c r="D33" s="64"/>
      <c r="E33" s="65">
        <v>1873</v>
      </c>
      <c r="F33" s="66">
        <v>2</v>
      </c>
      <c r="G33" s="64" t="s">
        <v>5</v>
      </c>
      <c r="H33" s="64" t="s">
        <v>26</v>
      </c>
      <c r="I33" s="64" t="s">
        <v>122</v>
      </c>
      <c r="J33" s="64" t="s">
        <v>36</v>
      </c>
    </row>
    <row r="34" spans="1:10" s="19" customFormat="1" ht="15" x14ac:dyDescent="0.25">
      <c r="A34" s="64">
        <v>1349</v>
      </c>
      <c r="B34" s="64" t="s">
        <v>189</v>
      </c>
      <c r="C34" s="64" t="s">
        <v>7</v>
      </c>
      <c r="D34" s="64"/>
      <c r="E34" s="65">
        <v>1800</v>
      </c>
      <c r="F34" s="66">
        <v>2.75</v>
      </c>
      <c r="G34" s="64" t="s">
        <v>5</v>
      </c>
      <c r="H34" s="64" t="s">
        <v>119</v>
      </c>
      <c r="I34" s="64" t="s">
        <v>120</v>
      </c>
      <c r="J34" s="64"/>
    </row>
    <row r="35" spans="1:10" s="19" customFormat="1" ht="30" x14ac:dyDescent="0.25">
      <c r="A35" s="64">
        <v>819</v>
      </c>
      <c r="B35" s="64" t="s">
        <v>189</v>
      </c>
      <c r="C35" s="64" t="s">
        <v>25</v>
      </c>
      <c r="D35" s="64"/>
      <c r="E35" s="65">
        <v>1385</v>
      </c>
      <c r="F35" s="66">
        <v>2200</v>
      </c>
      <c r="G35" s="64" t="s">
        <v>6</v>
      </c>
      <c r="H35" s="64" t="s">
        <v>245</v>
      </c>
      <c r="I35" s="64" t="s">
        <v>246</v>
      </c>
      <c r="J35" s="64" t="s">
        <v>363</v>
      </c>
    </row>
    <row r="36" spans="1:10" s="19" customFormat="1" ht="15" x14ac:dyDescent="0.25">
      <c r="A36" s="64">
        <v>819.5</v>
      </c>
      <c r="B36" s="64" t="s">
        <v>189</v>
      </c>
      <c r="C36" s="64" t="s">
        <v>8</v>
      </c>
      <c r="D36" s="64" t="s">
        <v>143</v>
      </c>
      <c r="E36" s="65">
        <v>480</v>
      </c>
      <c r="F36" s="66">
        <v>700</v>
      </c>
      <c r="G36" s="64" t="s">
        <v>11</v>
      </c>
      <c r="H36" s="64" t="s">
        <v>3</v>
      </c>
      <c r="I36" s="64" t="s">
        <v>4</v>
      </c>
      <c r="J36" s="64"/>
    </row>
    <row r="37" spans="1:10" s="19" customFormat="1" ht="15" x14ac:dyDescent="0.25">
      <c r="A37" s="64">
        <v>1013</v>
      </c>
      <c r="B37" s="64" t="s">
        <v>189</v>
      </c>
      <c r="C37" s="64" t="s">
        <v>2</v>
      </c>
      <c r="D37" s="64"/>
      <c r="E37" s="65">
        <v>4500</v>
      </c>
      <c r="F37" s="66">
        <v>3</v>
      </c>
      <c r="G37" s="64" t="s">
        <v>5</v>
      </c>
      <c r="H37" s="64" t="s">
        <v>3</v>
      </c>
      <c r="I37" s="64" t="s">
        <v>4</v>
      </c>
      <c r="J37" s="64" t="s">
        <v>175</v>
      </c>
    </row>
    <row r="38" spans="1:10" s="19" customFormat="1" ht="15" x14ac:dyDescent="0.25">
      <c r="A38" s="64">
        <v>1101</v>
      </c>
      <c r="B38" s="64" t="s">
        <v>189</v>
      </c>
      <c r="C38" s="64" t="s">
        <v>2</v>
      </c>
      <c r="D38" s="64" t="s">
        <v>75</v>
      </c>
      <c r="E38" s="65">
        <v>1561</v>
      </c>
      <c r="F38" s="66">
        <v>2.75</v>
      </c>
      <c r="G38" s="64" t="s">
        <v>5</v>
      </c>
      <c r="H38" s="64" t="s">
        <v>221</v>
      </c>
      <c r="I38" s="64" t="s">
        <v>122</v>
      </c>
      <c r="J38" s="64" t="s">
        <v>12</v>
      </c>
    </row>
    <row r="39" spans="1:10" s="19" customFormat="1" ht="15" x14ac:dyDescent="0.25">
      <c r="A39" s="64">
        <v>1101</v>
      </c>
      <c r="B39" s="64" t="s">
        <v>189</v>
      </c>
      <c r="C39" s="64" t="s">
        <v>8</v>
      </c>
      <c r="D39" s="64">
        <v>300</v>
      </c>
      <c r="E39" s="65">
        <v>3323</v>
      </c>
      <c r="F39" s="66">
        <v>1.25</v>
      </c>
      <c r="G39" s="64" t="s">
        <v>5</v>
      </c>
      <c r="H39" s="64" t="s">
        <v>221</v>
      </c>
      <c r="I39" s="64" t="s">
        <v>122</v>
      </c>
      <c r="J39" s="64" t="s">
        <v>12</v>
      </c>
    </row>
    <row r="40" spans="1:10" s="19" customFormat="1" ht="15" x14ac:dyDescent="0.25">
      <c r="A40" s="64">
        <v>1108</v>
      </c>
      <c r="B40" s="64" t="s">
        <v>189</v>
      </c>
      <c r="C40" s="64" t="s">
        <v>126</v>
      </c>
      <c r="D40" s="64"/>
      <c r="E40" s="65">
        <v>4000</v>
      </c>
      <c r="F40" s="66">
        <v>9250</v>
      </c>
      <c r="G40" s="64" t="s">
        <v>5</v>
      </c>
      <c r="H40" s="64" t="s">
        <v>371</v>
      </c>
      <c r="I40" s="64" t="s">
        <v>372</v>
      </c>
      <c r="J40" s="64" t="s">
        <v>374</v>
      </c>
    </row>
    <row r="41" spans="1:10" s="19" customFormat="1" ht="15" x14ac:dyDescent="0.25">
      <c r="A41" s="64">
        <v>1101</v>
      </c>
      <c r="B41" s="64" t="s">
        <v>189</v>
      </c>
      <c r="C41" s="64" t="s">
        <v>8</v>
      </c>
      <c r="D41" s="64">
        <v>308</v>
      </c>
      <c r="E41" s="65">
        <v>1525</v>
      </c>
      <c r="F41" s="66">
        <v>1.25</v>
      </c>
      <c r="G41" s="64" t="s">
        <v>5</v>
      </c>
      <c r="H41" s="64" t="s">
        <v>221</v>
      </c>
      <c r="I41" s="64" t="s">
        <v>122</v>
      </c>
      <c r="J41" s="64" t="s">
        <v>12</v>
      </c>
    </row>
    <row r="42" spans="1:10" s="19" customFormat="1" ht="15" x14ac:dyDescent="0.25">
      <c r="A42" s="64">
        <v>1101</v>
      </c>
      <c r="B42" s="64" t="s">
        <v>189</v>
      </c>
      <c r="C42" s="64" t="s">
        <v>8</v>
      </c>
      <c r="D42" s="64">
        <v>320</v>
      </c>
      <c r="E42" s="65">
        <v>5178</v>
      </c>
      <c r="F42" s="66">
        <v>1.25</v>
      </c>
      <c r="G42" s="64" t="s">
        <v>5</v>
      </c>
      <c r="H42" s="64" t="s">
        <v>221</v>
      </c>
      <c r="I42" s="64" t="s">
        <v>122</v>
      </c>
      <c r="J42" s="64" t="s">
        <v>12</v>
      </c>
    </row>
    <row r="43" spans="1:10" s="19" customFormat="1" ht="15" x14ac:dyDescent="0.25">
      <c r="A43" s="64">
        <v>1101</v>
      </c>
      <c r="B43" s="64" t="s">
        <v>189</v>
      </c>
      <c r="C43" s="64" t="s">
        <v>8</v>
      </c>
      <c r="D43" s="64">
        <v>210</v>
      </c>
      <c r="E43" s="65">
        <v>1484</v>
      </c>
      <c r="F43" s="66">
        <v>1.25</v>
      </c>
      <c r="G43" s="64" t="s">
        <v>5</v>
      </c>
      <c r="H43" s="64" t="s">
        <v>221</v>
      </c>
      <c r="I43" s="64" t="s">
        <v>122</v>
      </c>
      <c r="J43" s="64" t="s">
        <v>12</v>
      </c>
    </row>
    <row r="44" spans="1:10" s="19" customFormat="1" ht="15" x14ac:dyDescent="0.25">
      <c r="A44" s="64">
        <v>1119</v>
      </c>
      <c r="B44" s="64" t="s">
        <v>189</v>
      </c>
      <c r="C44" s="64" t="s">
        <v>8</v>
      </c>
      <c r="D44" s="64"/>
      <c r="E44" s="65">
        <v>6200</v>
      </c>
      <c r="F44" s="66">
        <v>0.89</v>
      </c>
      <c r="G44" s="64" t="s">
        <v>5</v>
      </c>
      <c r="H44" s="64" t="s">
        <v>21</v>
      </c>
      <c r="I44" s="64" t="s">
        <v>22</v>
      </c>
      <c r="J44" s="64"/>
    </row>
    <row r="45" spans="1:10" s="19" customFormat="1" ht="15" x14ac:dyDescent="0.25">
      <c r="A45" s="64">
        <v>1125</v>
      </c>
      <c r="B45" s="64" t="s">
        <v>189</v>
      </c>
      <c r="C45" s="64" t="s">
        <v>2</v>
      </c>
      <c r="D45" s="64"/>
      <c r="E45" s="65">
        <v>2437</v>
      </c>
      <c r="F45" s="66">
        <v>2.75</v>
      </c>
      <c r="G45" s="64" t="s">
        <v>5</v>
      </c>
      <c r="H45" s="64" t="s">
        <v>26</v>
      </c>
      <c r="I45" s="64" t="s">
        <v>122</v>
      </c>
      <c r="J45" s="64"/>
    </row>
    <row r="46" spans="1:10" s="19" customFormat="1" ht="15" x14ac:dyDescent="0.25">
      <c r="A46" s="64">
        <v>1200</v>
      </c>
      <c r="B46" s="64" t="s">
        <v>189</v>
      </c>
      <c r="C46" s="64" t="s">
        <v>8</v>
      </c>
      <c r="D46" s="64">
        <v>250</v>
      </c>
      <c r="E46" s="65">
        <v>3463</v>
      </c>
      <c r="F46" s="66">
        <v>1.75</v>
      </c>
      <c r="G46" s="64" t="s">
        <v>5</v>
      </c>
      <c r="H46" s="64" t="s">
        <v>26</v>
      </c>
      <c r="I46" s="64" t="s">
        <v>122</v>
      </c>
      <c r="J46" s="64" t="s">
        <v>236</v>
      </c>
    </row>
    <row r="47" spans="1:10" s="19" customFormat="1" ht="15" x14ac:dyDescent="0.25">
      <c r="A47" s="64">
        <v>1200</v>
      </c>
      <c r="B47" s="64" t="s">
        <v>189</v>
      </c>
      <c r="C47" s="64" t="s">
        <v>25</v>
      </c>
      <c r="D47" s="64">
        <v>270</v>
      </c>
      <c r="E47" s="65">
        <v>3589</v>
      </c>
      <c r="F47" s="66">
        <v>1.75</v>
      </c>
      <c r="G47" s="64" t="s">
        <v>5</v>
      </c>
      <c r="H47" s="64" t="s">
        <v>26</v>
      </c>
      <c r="I47" s="64" t="s">
        <v>122</v>
      </c>
      <c r="J47" s="64" t="s">
        <v>236</v>
      </c>
    </row>
    <row r="48" spans="1:10" s="19" customFormat="1" ht="15" x14ac:dyDescent="0.25">
      <c r="A48" s="64">
        <v>1200</v>
      </c>
      <c r="B48" s="64" t="s">
        <v>189</v>
      </c>
      <c r="C48" s="64" t="s">
        <v>8</v>
      </c>
      <c r="D48" s="64">
        <v>290</v>
      </c>
      <c r="E48" s="65">
        <v>1542</v>
      </c>
      <c r="F48" s="66">
        <v>1.75</v>
      </c>
      <c r="G48" s="64" t="s">
        <v>5</v>
      </c>
      <c r="H48" s="64" t="s">
        <v>26</v>
      </c>
      <c r="I48" s="64" t="s">
        <v>122</v>
      </c>
      <c r="J48" s="64" t="s">
        <v>259</v>
      </c>
    </row>
    <row r="49" spans="1:10" s="19" customFormat="1" ht="15" x14ac:dyDescent="0.25">
      <c r="A49" s="64">
        <v>1200</v>
      </c>
      <c r="B49" s="64" t="s">
        <v>189</v>
      </c>
      <c r="C49" s="64" t="s">
        <v>8</v>
      </c>
      <c r="D49" s="64">
        <v>310</v>
      </c>
      <c r="E49" s="65">
        <v>2295</v>
      </c>
      <c r="F49" s="66">
        <v>1.75</v>
      </c>
      <c r="G49" s="64" t="s">
        <v>5</v>
      </c>
      <c r="H49" s="64" t="s">
        <v>26</v>
      </c>
      <c r="I49" s="64" t="s">
        <v>122</v>
      </c>
      <c r="J49" s="64" t="s">
        <v>259</v>
      </c>
    </row>
    <row r="50" spans="1:10" s="19" customFormat="1" ht="15" x14ac:dyDescent="0.25">
      <c r="A50" s="64">
        <v>1251.5</v>
      </c>
      <c r="B50" s="64" t="s">
        <v>189</v>
      </c>
      <c r="C50" s="64" t="s">
        <v>8</v>
      </c>
      <c r="D50" s="64" t="s">
        <v>170</v>
      </c>
      <c r="E50" s="65">
        <v>2863</v>
      </c>
      <c r="F50" s="66">
        <v>1.4</v>
      </c>
      <c r="G50" s="64" t="s">
        <v>11</v>
      </c>
      <c r="H50" s="64" t="s">
        <v>37</v>
      </c>
      <c r="I50" s="64" t="s">
        <v>38</v>
      </c>
      <c r="J50" s="64"/>
    </row>
    <row r="51" spans="1:10" s="19" customFormat="1" ht="15" x14ac:dyDescent="0.25">
      <c r="A51" s="64">
        <v>1339</v>
      </c>
      <c r="B51" s="64" t="s">
        <v>189</v>
      </c>
      <c r="C51" s="64" t="s">
        <v>2</v>
      </c>
      <c r="D51" s="64"/>
      <c r="E51" s="65">
        <v>5000</v>
      </c>
      <c r="F51" s="66">
        <v>2.35</v>
      </c>
      <c r="G51" s="64" t="s">
        <v>6</v>
      </c>
      <c r="H51" s="64" t="s">
        <v>265</v>
      </c>
      <c r="I51" s="64" t="s">
        <v>266</v>
      </c>
      <c r="J51" s="64"/>
    </row>
    <row r="52" spans="1:10" s="19" customFormat="1" ht="30" x14ac:dyDescent="0.25">
      <c r="A52" s="64">
        <v>1367</v>
      </c>
      <c r="B52" s="64" t="s">
        <v>189</v>
      </c>
      <c r="C52" s="64" t="s">
        <v>7</v>
      </c>
      <c r="D52" s="64" t="s">
        <v>172</v>
      </c>
      <c r="E52" s="65">
        <v>14945</v>
      </c>
      <c r="F52" s="66">
        <v>4</v>
      </c>
      <c r="G52" s="64" t="s">
        <v>5</v>
      </c>
      <c r="H52" s="64" t="s">
        <v>144</v>
      </c>
      <c r="I52" s="64" t="s">
        <v>29</v>
      </c>
      <c r="J52" s="64" t="s">
        <v>156</v>
      </c>
    </row>
    <row r="53" spans="1:10" s="19" customFormat="1" ht="15" x14ac:dyDescent="0.25">
      <c r="A53" s="64">
        <v>1367</v>
      </c>
      <c r="B53" s="64" t="s">
        <v>189</v>
      </c>
      <c r="C53" s="64" t="s">
        <v>25</v>
      </c>
      <c r="D53" s="64" t="s">
        <v>170</v>
      </c>
      <c r="E53" s="65">
        <v>16815</v>
      </c>
      <c r="F53" s="66">
        <v>1.65</v>
      </c>
      <c r="G53" s="64" t="s">
        <v>5</v>
      </c>
      <c r="H53" s="64" t="s">
        <v>27</v>
      </c>
      <c r="I53" s="64" t="s">
        <v>28</v>
      </c>
      <c r="J53" s="64" t="s">
        <v>32</v>
      </c>
    </row>
    <row r="54" spans="1:10" s="19" customFormat="1" ht="15" x14ac:dyDescent="0.25">
      <c r="A54" s="64">
        <v>1367</v>
      </c>
      <c r="B54" s="64" t="s">
        <v>189</v>
      </c>
      <c r="C54" s="64" t="s">
        <v>25</v>
      </c>
      <c r="D54" s="64" t="s">
        <v>171</v>
      </c>
      <c r="E54" s="65">
        <v>17746</v>
      </c>
      <c r="F54" s="66">
        <v>1.65</v>
      </c>
      <c r="G54" s="64" t="s">
        <v>5</v>
      </c>
      <c r="H54" s="64" t="s">
        <v>27</v>
      </c>
      <c r="I54" s="64" t="s">
        <v>28</v>
      </c>
      <c r="J54" s="64" t="s">
        <v>32</v>
      </c>
    </row>
    <row r="55" spans="1:10" s="19" customFormat="1" ht="15" x14ac:dyDescent="0.25">
      <c r="A55" s="64">
        <v>1367</v>
      </c>
      <c r="B55" s="64" t="s">
        <v>189</v>
      </c>
      <c r="C55" s="64" t="s">
        <v>25</v>
      </c>
      <c r="D55" s="64" t="s">
        <v>169</v>
      </c>
      <c r="E55" s="65">
        <v>12675</v>
      </c>
      <c r="F55" s="66">
        <v>1.65</v>
      </c>
      <c r="G55" s="64" t="s">
        <v>5</v>
      </c>
      <c r="H55" s="64" t="s">
        <v>27</v>
      </c>
      <c r="I55" s="64" t="s">
        <v>28</v>
      </c>
      <c r="J55" s="64" t="s">
        <v>32</v>
      </c>
    </row>
    <row r="56" spans="1:10" s="19" customFormat="1" ht="15" x14ac:dyDescent="0.25">
      <c r="A56" s="64">
        <v>1528</v>
      </c>
      <c r="B56" s="64" t="s">
        <v>189</v>
      </c>
      <c r="C56" s="64" t="s">
        <v>7</v>
      </c>
      <c r="D56" s="64"/>
      <c r="E56" s="65">
        <v>1092</v>
      </c>
      <c r="F56" s="66">
        <v>2</v>
      </c>
      <c r="G56" s="64" t="s">
        <v>5</v>
      </c>
      <c r="H56" s="64" t="s">
        <v>33</v>
      </c>
      <c r="I56" s="64" t="s">
        <v>34</v>
      </c>
      <c r="J56" s="64"/>
    </row>
    <row r="57" spans="1:10" s="19" customFormat="1" ht="15" x14ac:dyDescent="0.25">
      <c r="A57" s="64">
        <v>1537</v>
      </c>
      <c r="B57" s="64" t="s">
        <v>189</v>
      </c>
      <c r="C57" s="64" t="s">
        <v>2</v>
      </c>
      <c r="D57" s="64"/>
      <c r="E57" s="65">
        <v>581</v>
      </c>
      <c r="F57" s="66">
        <v>1.75</v>
      </c>
      <c r="G57" s="64" t="s">
        <v>5</v>
      </c>
      <c r="H57" s="64" t="s">
        <v>21</v>
      </c>
      <c r="I57" s="64" t="s">
        <v>22</v>
      </c>
      <c r="J57" s="64" t="s">
        <v>248</v>
      </c>
    </row>
    <row r="58" spans="1:10" s="19" customFormat="1" ht="15" x14ac:dyDescent="0.25">
      <c r="A58" s="64">
        <v>1319</v>
      </c>
      <c r="B58" s="64" t="s">
        <v>164</v>
      </c>
      <c r="C58" s="64" t="s">
        <v>8</v>
      </c>
      <c r="D58" s="64" t="s">
        <v>170</v>
      </c>
      <c r="E58" s="65">
        <v>1380</v>
      </c>
      <c r="F58" s="66">
        <v>1.35</v>
      </c>
      <c r="G58" s="64" t="s">
        <v>5</v>
      </c>
      <c r="H58" s="64" t="s">
        <v>173</v>
      </c>
      <c r="I58" s="64" t="s">
        <v>166</v>
      </c>
      <c r="J58" s="64"/>
    </row>
    <row r="59" spans="1:10" s="19" customFormat="1" ht="30" x14ac:dyDescent="0.25">
      <c r="A59" s="64">
        <v>149</v>
      </c>
      <c r="B59" s="64" t="s">
        <v>216</v>
      </c>
      <c r="C59" s="64" t="s">
        <v>8</v>
      </c>
      <c r="D59" s="64"/>
      <c r="E59" s="65">
        <v>625</v>
      </c>
      <c r="F59" s="66">
        <v>1.25</v>
      </c>
      <c r="G59" s="64" t="s">
        <v>11</v>
      </c>
      <c r="H59" s="64" t="s">
        <v>45</v>
      </c>
      <c r="I59" s="64" t="s">
        <v>165</v>
      </c>
      <c r="J59" s="64"/>
    </row>
    <row r="60" spans="1:10" s="19" customFormat="1" ht="15" x14ac:dyDescent="0.25">
      <c r="A60" s="64">
        <v>256</v>
      </c>
      <c r="B60" s="64" t="s">
        <v>191</v>
      </c>
      <c r="C60" s="64" t="s">
        <v>74</v>
      </c>
      <c r="D60" s="64"/>
      <c r="E60" s="65">
        <v>3200</v>
      </c>
      <c r="F60" s="66">
        <v>1</v>
      </c>
      <c r="G60" s="64" t="s">
        <v>6</v>
      </c>
      <c r="H60" s="64" t="s">
        <v>21</v>
      </c>
      <c r="I60" s="64" t="s">
        <v>22</v>
      </c>
      <c r="J60" s="64"/>
    </row>
    <row r="61" spans="1:10" s="19" customFormat="1" ht="30" x14ac:dyDescent="0.25">
      <c r="A61" s="64">
        <v>303</v>
      </c>
      <c r="B61" s="64" t="s">
        <v>191</v>
      </c>
      <c r="C61" s="64" t="s">
        <v>25</v>
      </c>
      <c r="D61" s="64"/>
      <c r="E61" s="65">
        <v>0</v>
      </c>
      <c r="F61" s="66">
        <v>0.99</v>
      </c>
      <c r="G61" s="64" t="s">
        <v>5</v>
      </c>
      <c r="H61" s="64" t="s">
        <v>77</v>
      </c>
      <c r="I61" s="64" t="s">
        <v>78</v>
      </c>
      <c r="J61" s="64" t="s">
        <v>240</v>
      </c>
    </row>
    <row r="62" spans="1:10" s="19" customFormat="1" ht="15" x14ac:dyDescent="0.25">
      <c r="A62" s="64">
        <v>55</v>
      </c>
      <c r="B62" s="64" t="s">
        <v>190</v>
      </c>
      <c r="C62" s="64" t="s">
        <v>8</v>
      </c>
      <c r="D62" s="65">
        <v>230</v>
      </c>
      <c r="E62" s="65">
        <v>1600</v>
      </c>
      <c r="F62" s="66">
        <v>1.6</v>
      </c>
      <c r="G62" s="64" t="s">
        <v>5</v>
      </c>
      <c r="H62" s="64" t="s">
        <v>46</v>
      </c>
      <c r="I62" s="64" t="s">
        <v>47</v>
      </c>
      <c r="J62" s="64" t="s">
        <v>385</v>
      </c>
    </row>
    <row r="63" spans="1:10" s="19" customFormat="1" ht="15" x14ac:dyDescent="0.25">
      <c r="A63" s="64">
        <v>211</v>
      </c>
      <c r="B63" s="64" t="s">
        <v>192</v>
      </c>
      <c r="C63" s="64" t="s">
        <v>8</v>
      </c>
      <c r="D63" s="65"/>
      <c r="E63" s="65">
        <v>6000</v>
      </c>
      <c r="F63" s="66">
        <v>1.25</v>
      </c>
      <c r="G63" s="64" t="s">
        <v>5</v>
      </c>
      <c r="H63" s="64" t="s">
        <v>46</v>
      </c>
      <c r="I63" s="64" t="s">
        <v>47</v>
      </c>
      <c r="J63" s="64" t="s">
        <v>367</v>
      </c>
    </row>
    <row r="64" spans="1:10" s="19" customFormat="1" ht="15" x14ac:dyDescent="0.25">
      <c r="A64" s="64">
        <v>223</v>
      </c>
      <c r="B64" s="64" t="s">
        <v>190</v>
      </c>
      <c r="C64" s="64" t="s">
        <v>25</v>
      </c>
      <c r="D64" s="64" t="s">
        <v>75</v>
      </c>
      <c r="E64" s="65">
        <v>500</v>
      </c>
      <c r="F64" s="66">
        <v>900</v>
      </c>
      <c r="G64" s="64"/>
      <c r="H64" s="64" t="s">
        <v>46</v>
      </c>
      <c r="I64" s="64" t="s">
        <v>47</v>
      </c>
      <c r="J64" s="64" t="s">
        <v>76</v>
      </c>
    </row>
    <row r="65" spans="1:10" s="19" customFormat="1" ht="15" x14ac:dyDescent="0.25">
      <c r="A65" s="64">
        <v>415</v>
      </c>
      <c r="B65" s="64" t="s">
        <v>192</v>
      </c>
      <c r="C65" s="64" t="s">
        <v>7</v>
      </c>
      <c r="D65" s="64" t="s">
        <v>52</v>
      </c>
      <c r="E65" s="65">
        <v>7727</v>
      </c>
      <c r="F65" s="66">
        <v>2.4900000000000002</v>
      </c>
      <c r="G65" s="64" t="s">
        <v>5</v>
      </c>
      <c r="H65" s="64" t="s">
        <v>26</v>
      </c>
      <c r="I65" s="64" t="s">
        <v>122</v>
      </c>
      <c r="J65" s="64"/>
    </row>
    <row r="66" spans="1:10" s="19" customFormat="1" ht="15" x14ac:dyDescent="0.25">
      <c r="A66" s="64">
        <v>720</v>
      </c>
      <c r="B66" s="64" t="s">
        <v>190</v>
      </c>
      <c r="C66" s="64" t="s">
        <v>25</v>
      </c>
      <c r="D66" s="64"/>
      <c r="E66" s="65">
        <v>2400</v>
      </c>
      <c r="F66" s="66">
        <v>3200</v>
      </c>
      <c r="G66" s="64"/>
      <c r="H66" s="64" t="s">
        <v>83</v>
      </c>
      <c r="I66" s="64" t="s">
        <v>84</v>
      </c>
      <c r="J66" s="64" t="s">
        <v>157</v>
      </c>
    </row>
    <row r="67" spans="1:10" s="19" customFormat="1" ht="15" x14ac:dyDescent="0.25">
      <c r="A67" s="64">
        <v>600</v>
      </c>
      <c r="B67" s="64" t="s">
        <v>192</v>
      </c>
      <c r="C67" s="64" t="s">
        <v>7</v>
      </c>
      <c r="D67" s="64"/>
      <c r="E67" s="65">
        <v>1150</v>
      </c>
      <c r="F67" s="66">
        <v>3.25</v>
      </c>
      <c r="G67" s="64"/>
      <c r="H67" s="64" t="s">
        <v>81</v>
      </c>
      <c r="I67" s="64" t="s">
        <v>82</v>
      </c>
      <c r="J67" s="64"/>
    </row>
    <row r="68" spans="1:10" s="19" customFormat="1" ht="15" x14ac:dyDescent="0.25">
      <c r="A68" s="64">
        <v>600</v>
      </c>
      <c r="B68" s="64" t="s">
        <v>192</v>
      </c>
      <c r="C68" s="64" t="s">
        <v>7</v>
      </c>
      <c r="D68" s="64"/>
      <c r="E68" s="65">
        <v>2880</v>
      </c>
      <c r="F68" s="66">
        <v>3.25</v>
      </c>
      <c r="G68" s="64"/>
      <c r="H68" s="64" t="s">
        <v>81</v>
      </c>
      <c r="I68" s="64" t="s">
        <v>82</v>
      </c>
      <c r="J68" s="64" t="s">
        <v>210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6"/>
  <sheetViews>
    <sheetView tabSelected="1" topLeftCell="D78" zoomScale="85" zoomScaleNormal="85" workbookViewId="0">
      <selection activeCell="F86" sqref="F86:F106"/>
    </sheetView>
  </sheetViews>
  <sheetFormatPr defaultRowHeight="15" x14ac:dyDescent="0.25"/>
  <cols>
    <col min="1" max="1" width="30.5703125" customWidth="1"/>
    <col min="2" max="2" width="37.28515625" customWidth="1"/>
    <col min="3" max="3" width="71" customWidth="1"/>
    <col min="4" max="4" width="36.28515625" customWidth="1"/>
    <col min="5" max="5" width="28.85546875" customWidth="1"/>
    <col min="6" max="6" width="18.42578125" customWidth="1"/>
    <col min="7" max="7" width="20.5703125" customWidth="1"/>
    <col min="8" max="8" width="33.85546875" customWidth="1"/>
    <col min="9" max="9" width="21" customWidth="1"/>
    <col min="10" max="10" width="15" customWidth="1"/>
    <col min="11" max="11" width="12.42578125" customWidth="1"/>
    <col min="13" max="13" width="11" customWidth="1"/>
    <col min="15" max="15" width="12.42578125" customWidth="1"/>
  </cols>
  <sheetData>
    <row r="1" spans="1:11" s="11" customFormat="1" ht="45" x14ac:dyDescent="0.25">
      <c r="A1" s="3" t="s">
        <v>231</v>
      </c>
      <c r="B1" s="3" t="s">
        <v>232</v>
      </c>
      <c r="C1" s="3" t="s">
        <v>233</v>
      </c>
      <c r="D1" s="3" t="s">
        <v>234</v>
      </c>
      <c r="E1" s="3" t="s">
        <v>19</v>
      </c>
      <c r="F1" s="3" t="s">
        <v>235</v>
      </c>
      <c r="G1" s="3" t="s">
        <v>376</v>
      </c>
      <c r="H1" s="3" t="s">
        <v>377</v>
      </c>
      <c r="I1" s="3" t="s">
        <v>378</v>
      </c>
      <c r="J1" s="3" t="s">
        <v>379</v>
      </c>
      <c r="K1" s="3" t="s">
        <v>230</v>
      </c>
    </row>
    <row r="2" spans="1:11" x14ac:dyDescent="0.25">
      <c r="A2" s="15">
        <v>2013</v>
      </c>
      <c r="B2" s="15" t="s">
        <v>364</v>
      </c>
      <c r="C2" s="1" t="s">
        <v>222</v>
      </c>
      <c r="D2" s="1" t="s">
        <v>189</v>
      </c>
      <c r="E2" s="4" t="s">
        <v>2</v>
      </c>
      <c r="F2" s="35">
        <v>37789</v>
      </c>
      <c r="G2" s="37">
        <f>F2-F23</f>
        <v>1448</v>
      </c>
      <c r="H2" s="37">
        <f>F2-F44</f>
        <v>626</v>
      </c>
      <c r="I2" s="37">
        <f t="shared" ref="I2:I22" si="0">F2-F65</f>
        <v>11613</v>
      </c>
      <c r="J2" s="37">
        <f t="shared" ref="J2:J22" si="1">F2-F86</f>
        <v>16784</v>
      </c>
      <c r="K2" s="37">
        <f>F2-AVERAGE(F44,F65, F86)</f>
        <v>9674.3333333333321</v>
      </c>
    </row>
    <row r="3" spans="1:11" x14ac:dyDescent="0.25">
      <c r="A3" s="32">
        <v>2013</v>
      </c>
      <c r="B3" s="32" t="s">
        <v>364</v>
      </c>
      <c r="C3" s="1" t="s">
        <v>222</v>
      </c>
      <c r="D3" s="1" t="s">
        <v>189</v>
      </c>
      <c r="E3" s="4" t="s">
        <v>25</v>
      </c>
      <c r="F3" s="35">
        <v>81943</v>
      </c>
      <c r="G3" s="37">
        <f t="shared" ref="G3:G22" si="2">F3-F24</f>
        <v>-188</v>
      </c>
      <c r="H3" s="37">
        <f t="shared" ref="H3:H22" si="3">F3-F45</f>
        <v>-21237</v>
      </c>
      <c r="I3" s="37">
        <f t="shared" si="0"/>
        <v>-4395</v>
      </c>
      <c r="J3" s="37">
        <f t="shared" si="1"/>
        <v>-14401</v>
      </c>
      <c r="K3" s="37">
        <f t="shared" ref="K3:K22" si="4">F3-AVERAGE(F45,F66, F87)</f>
        <v>-13344.333333333328</v>
      </c>
    </row>
    <row r="4" spans="1:11" x14ac:dyDescent="0.25">
      <c r="A4" s="32">
        <v>2013</v>
      </c>
      <c r="B4" s="32" t="s">
        <v>364</v>
      </c>
      <c r="C4" s="1" t="s">
        <v>222</v>
      </c>
      <c r="D4" s="1" t="s">
        <v>189</v>
      </c>
      <c r="E4" s="4" t="s">
        <v>223</v>
      </c>
      <c r="F4" s="35">
        <v>0</v>
      </c>
      <c r="G4" s="37">
        <f t="shared" si="2"/>
        <v>0</v>
      </c>
      <c r="H4" s="37">
        <f t="shared" si="3"/>
        <v>0</v>
      </c>
      <c r="I4" s="37">
        <f t="shared" si="0"/>
        <v>0</v>
      </c>
      <c r="J4" s="37">
        <f t="shared" si="1"/>
        <v>-4350</v>
      </c>
      <c r="K4" s="37">
        <f t="shared" si="4"/>
        <v>-1450</v>
      </c>
    </row>
    <row r="5" spans="1:11" x14ac:dyDescent="0.25">
      <c r="A5" s="32">
        <v>2013</v>
      </c>
      <c r="B5" s="32" t="s">
        <v>364</v>
      </c>
      <c r="C5" s="1" t="s">
        <v>222</v>
      </c>
      <c r="D5" s="1" t="s">
        <v>241</v>
      </c>
      <c r="E5" s="4" t="s">
        <v>2</v>
      </c>
      <c r="F5" s="35">
        <v>4490</v>
      </c>
      <c r="G5" s="37">
        <f t="shared" si="2"/>
        <v>-2404</v>
      </c>
      <c r="H5" s="37">
        <f t="shared" si="3"/>
        <v>4490</v>
      </c>
      <c r="I5" s="37">
        <f t="shared" si="0"/>
        <v>1066</v>
      </c>
      <c r="J5" s="37">
        <f t="shared" si="1"/>
        <v>-2943</v>
      </c>
      <c r="K5" s="37">
        <f t="shared" si="4"/>
        <v>871</v>
      </c>
    </row>
    <row r="6" spans="1:11" x14ac:dyDescent="0.25">
      <c r="A6" s="32">
        <v>2013</v>
      </c>
      <c r="B6" s="32" t="s">
        <v>364</v>
      </c>
      <c r="C6" s="1" t="s">
        <v>222</v>
      </c>
      <c r="D6" s="1" t="s">
        <v>241</v>
      </c>
      <c r="E6" s="4" t="s">
        <v>25</v>
      </c>
      <c r="F6" s="35">
        <v>86090</v>
      </c>
      <c r="G6" s="37">
        <f t="shared" si="2"/>
        <v>-2163</v>
      </c>
      <c r="H6" s="37">
        <f t="shared" si="3"/>
        <v>28</v>
      </c>
      <c r="I6" s="37">
        <f t="shared" si="0"/>
        <v>-4550</v>
      </c>
      <c r="J6" s="37">
        <f t="shared" si="1"/>
        <v>9167</v>
      </c>
      <c r="K6" s="37">
        <f t="shared" si="4"/>
        <v>1548.3333333333285</v>
      </c>
    </row>
    <row r="7" spans="1:11" x14ac:dyDescent="0.25">
      <c r="A7" s="32">
        <v>2013</v>
      </c>
      <c r="B7" s="32" t="s">
        <v>364</v>
      </c>
      <c r="C7" s="1" t="s">
        <v>222</v>
      </c>
      <c r="D7" s="1" t="s">
        <v>241</v>
      </c>
      <c r="E7" s="4" t="s">
        <v>223</v>
      </c>
      <c r="F7" s="35">
        <v>0</v>
      </c>
      <c r="G7" s="37">
        <f t="shared" si="2"/>
        <v>-4000</v>
      </c>
      <c r="H7" s="37">
        <f t="shared" si="3"/>
        <v>-6080</v>
      </c>
      <c r="I7" s="37">
        <f t="shared" si="0"/>
        <v>-14936</v>
      </c>
      <c r="J7" s="37">
        <f t="shared" si="1"/>
        <v>-9170</v>
      </c>
      <c r="K7" s="37">
        <f t="shared" si="4"/>
        <v>-10062</v>
      </c>
    </row>
    <row r="8" spans="1:11" x14ac:dyDescent="0.25">
      <c r="A8" s="32">
        <v>2013</v>
      </c>
      <c r="B8" s="32" t="s">
        <v>364</v>
      </c>
      <c r="C8" s="1" t="s">
        <v>222</v>
      </c>
      <c r="D8" s="1" t="s">
        <v>225</v>
      </c>
      <c r="E8" s="4" t="s">
        <v>2</v>
      </c>
      <c r="F8" s="35">
        <v>3800</v>
      </c>
      <c r="G8" s="37">
        <f t="shared" si="2"/>
        <v>1500</v>
      </c>
      <c r="H8" s="37">
        <f t="shared" si="3"/>
        <v>3800</v>
      </c>
      <c r="I8" s="37">
        <f t="shared" si="0"/>
        <v>-4600</v>
      </c>
      <c r="J8" s="37">
        <f t="shared" si="1"/>
        <v>-12</v>
      </c>
      <c r="K8" s="37">
        <f t="shared" si="4"/>
        <v>-270.66666666666652</v>
      </c>
    </row>
    <row r="9" spans="1:11" x14ac:dyDescent="0.25">
      <c r="A9" s="32">
        <v>2013</v>
      </c>
      <c r="B9" s="32" t="s">
        <v>364</v>
      </c>
      <c r="C9" s="1" t="s">
        <v>222</v>
      </c>
      <c r="D9" s="1" t="s">
        <v>225</v>
      </c>
      <c r="E9" s="4" t="s">
        <v>25</v>
      </c>
      <c r="F9" s="35">
        <v>16479</v>
      </c>
      <c r="G9" s="37">
        <f t="shared" si="2"/>
        <v>-868</v>
      </c>
      <c r="H9" s="37">
        <f t="shared" si="3"/>
        <v>-6146</v>
      </c>
      <c r="I9" s="37">
        <f t="shared" si="0"/>
        <v>-7968</v>
      </c>
      <c r="J9" s="37">
        <f t="shared" si="1"/>
        <v>2891</v>
      </c>
      <c r="K9" s="37">
        <f t="shared" si="4"/>
        <v>-3741</v>
      </c>
    </row>
    <row r="10" spans="1:11" x14ac:dyDescent="0.25">
      <c r="A10" s="32">
        <v>2013</v>
      </c>
      <c r="B10" s="32" t="s">
        <v>364</v>
      </c>
      <c r="C10" s="1" t="s">
        <v>222</v>
      </c>
      <c r="D10" s="1" t="s">
        <v>225</v>
      </c>
      <c r="E10" s="4" t="s">
        <v>223</v>
      </c>
      <c r="F10" s="35">
        <v>10270</v>
      </c>
      <c r="G10" s="37">
        <f t="shared" si="2"/>
        <v>7070</v>
      </c>
      <c r="H10" s="37">
        <f t="shared" si="3"/>
        <v>-3339</v>
      </c>
      <c r="I10" s="37">
        <f t="shared" si="0"/>
        <v>-14058</v>
      </c>
      <c r="J10" s="37">
        <f t="shared" si="1"/>
        <v>-28230</v>
      </c>
      <c r="K10" s="37">
        <f t="shared" si="4"/>
        <v>-15209</v>
      </c>
    </row>
    <row r="11" spans="1:11" x14ac:dyDescent="0.25">
      <c r="A11" s="32">
        <v>2013</v>
      </c>
      <c r="B11" s="32" t="s">
        <v>364</v>
      </c>
      <c r="C11" s="1" t="s">
        <v>222</v>
      </c>
      <c r="D11" s="1" t="s">
        <v>190</v>
      </c>
      <c r="E11" s="4" t="s">
        <v>2</v>
      </c>
      <c r="F11" s="35">
        <v>11757</v>
      </c>
      <c r="G11" s="37">
        <f t="shared" si="2"/>
        <v>7727</v>
      </c>
      <c r="H11" s="37">
        <f t="shared" si="3"/>
        <v>7357</v>
      </c>
      <c r="I11" s="37">
        <f t="shared" si="0"/>
        <v>7357</v>
      </c>
      <c r="J11" s="37">
        <f t="shared" si="1"/>
        <v>9757</v>
      </c>
      <c r="K11" s="37">
        <f t="shared" si="4"/>
        <v>8157</v>
      </c>
    </row>
    <row r="12" spans="1:11" x14ac:dyDescent="0.25">
      <c r="A12" s="32">
        <v>2013</v>
      </c>
      <c r="B12" s="32" t="s">
        <v>364</v>
      </c>
      <c r="C12" s="1" t="s">
        <v>222</v>
      </c>
      <c r="D12" s="1" t="s">
        <v>190</v>
      </c>
      <c r="E12" s="4" t="s">
        <v>25</v>
      </c>
      <c r="F12" s="35">
        <v>11125</v>
      </c>
      <c r="G12" s="37">
        <f t="shared" si="2"/>
        <v>6000</v>
      </c>
      <c r="H12" s="37">
        <f t="shared" si="3"/>
        <v>-3566</v>
      </c>
      <c r="I12" s="37">
        <f t="shared" si="0"/>
        <v>-7746</v>
      </c>
      <c r="J12" s="37">
        <f t="shared" si="1"/>
        <v>-1566</v>
      </c>
      <c r="K12" s="37">
        <f t="shared" si="4"/>
        <v>-4292.6666666666661</v>
      </c>
    </row>
    <row r="13" spans="1:11" x14ac:dyDescent="0.25">
      <c r="A13" s="32">
        <v>2013</v>
      </c>
      <c r="B13" s="32" t="s">
        <v>364</v>
      </c>
      <c r="C13" s="1" t="s">
        <v>222</v>
      </c>
      <c r="D13" s="1" t="s">
        <v>190</v>
      </c>
      <c r="E13" s="4" t="s">
        <v>223</v>
      </c>
      <c r="F13" s="35">
        <v>3200</v>
      </c>
      <c r="G13" s="37">
        <f t="shared" si="2"/>
        <v>0</v>
      </c>
      <c r="H13" s="37">
        <f t="shared" si="3"/>
        <v>-5100</v>
      </c>
      <c r="I13" s="37">
        <f t="shared" si="0"/>
        <v>-5960</v>
      </c>
      <c r="J13" s="37">
        <f t="shared" si="1"/>
        <v>-5690</v>
      </c>
      <c r="K13" s="37">
        <f t="shared" si="4"/>
        <v>-5583.3333333333339</v>
      </c>
    </row>
    <row r="14" spans="1:11" x14ac:dyDescent="0.25">
      <c r="A14" s="32">
        <v>2013</v>
      </c>
      <c r="B14" s="32" t="s">
        <v>364</v>
      </c>
      <c r="C14" s="1" t="s">
        <v>226</v>
      </c>
      <c r="D14" s="1" t="s">
        <v>227</v>
      </c>
      <c r="E14" s="4" t="s">
        <v>2</v>
      </c>
      <c r="F14" s="35">
        <v>6161</v>
      </c>
      <c r="G14" s="37">
        <f t="shared" si="2"/>
        <v>0</v>
      </c>
      <c r="H14" s="37">
        <f t="shared" si="3"/>
        <v>806</v>
      </c>
      <c r="I14" s="37">
        <f t="shared" si="0"/>
        <v>-25497</v>
      </c>
      <c r="J14" s="37">
        <f t="shared" si="1"/>
        <v>-3578</v>
      </c>
      <c r="K14" s="37">
        <f t="shared" si="4"/>
        <v>-9423</v>
      </c>
    </row>
    <row r="15" spans="1:11" x14ac:dyDescent="0.25">
      <c r="A15" s="32">
        <v>2013</v>
      </c>
      <c r="B15" s="32" t="s">
        <v>364</v>
      </c>
      <c r="C15" s="1" t="s">
        <v>226</v>
      </c>
      <c r="D15" s="1" t="s">
        <v>227</v>
      </c>
      <c r="E15" s="4" t="s">
        <v>25</v>
      </c>
      <c r="F15" s="35">
        <v>41066</v>
      </c>
      <c r="G15" s="37">
        <f t="shared" si="2"/>
        <v>-1100</v>
      </c>
      <c r="H15" s="37">
        <f t="shared" si="3"/>
        <v>22160</v>
      </c>
      <c r="I15" s="37">
        <f t="shared" si="0"/>
        <v>19225</v>
      </c>
      <c r="J15" s="37">
        <f t="shared" si="1"/>
        <v>36031</v>
      </c>
      <c r="K15" s="37">
        <f t="shared" si="4"/>
        <v>25805.333333333336</v>
      </c>
    </row>
    <row r="16" spans="1:11" x14ac:dyDescent="0.25">
      <c r="A16" s="32">
        <v>2013</v>
      </c>
      <c r="B16" s="32" t="s">
        <v>364</v>
      </c>
      <c r="C16" s="1" t="s">
        <v>226</v>
      </c>
      <c r="D16" s="1" t="s">
        <v>227</v>
      </c>
      <c r="E16" s="4" t="s">
        <v>223</v>
      </c>
      <c r="F16" s="35">
        <v>197061</v>
      </c>
      <c r="G16" s="37">
        <f t="shared" si="2"/>
        <v>0</v>
      </c>
      <c r="H16" s="37">
        <f t="shared" si="3"/>
        <v>-85000</v>
      </c>
      <c r="I16" s="37">
        <f t="shared" si="0"/>
        <v>-219771</v>
      </c>
      <c r="J16" s="37">
        <f t="shared" si="1"/>
        <v>-112736</v>
      </c>
      <c r="K16" s="37">
        <f t="shared" si="4"/>
        <v>-139169</v>
      </c>
    </row>
    <row r="17" spans="1:11" x14ac:dyDescent="0.25">
      <c r="A17" s="32">
        <v>2013</v>
      </c>
      <c r="B17" s="32" t="s">
        <v>364</v>
      </c>
      <c r="C17" s="1" t="s">
        <v>226</v>
      </c>
      <c r="D17" s="1" t="s">
        <v>228</v>
      </c>
      <c r="E17" s="4" t="s">
        <v>2</v>
      </c>
      <c r="F17" s="35">
        <v>0</v>
      </c>
      <c r="G17" s="37">
        <f t="shared" si="2"/>
        <v>0</v>
      </c>
      <c r="H17" s="37">
        <f t="shared" si="3"/>
        <v>0</v>
      </c>
      <c r="I17" s="37">
        <f t="shared" si="0"/>
        <v>0</v>
      </c>
      <c r="J17" s="37">
        <f t="shared" si="1"/>
        <v>0</v>
      </c>
      <c r="K17" s="37">
        <f t="shared" si="4"/>
        <v>0</v>
      </c>
    </row>
    <row r="18" spans="1:11" x14ac:dyDescent="0.25">
      <c r="A18" s="32">
        <v>2013</v>
      </c>
      <c r="B18" s="32" t="s">
        <v>364</v>
      </c>
      <c r="C18" s="1" t="s">
        <v>226</v>
      </c>
      <c r="D18" s="1" t="s">
        <v>228</v>
      </c>
      <c r="E18" s="4" t="s">
        <v>25</v>
      </c>
      <c r="F18" s="35">
        <v>47150</v>
      </c>
      <c r="G18" s="37">
        <f t="shared" si="2"/>
        <v>0</v>
      </c>
      <c r="H18" s="37">
        <f t="shared" si="3"/>
        <v>45690</v>
      </c>
      <c r="I18" s="37">
        <f t="shared" si="0"/>
        <v>41134</v>
      </c>
      <c r="J18" s="37">
        <f t="shared" si="1"/>
        <v>40226</v>
      </c>
      <c r="K18" s="37">
        <f t="shared" si="4"/>
        <v>42350</v>
      </c>
    </row>
    <row r="19" spans="1:11" x14ac:dyDescent="0.25">
      <c r="A19" s="32">
        <v>2013</v>
      </c>
      <c r="B19" s="32" t="s">
        <v>364</v>
      </c>
      <c r="C19" s="1" t="s">
        <v>226</v>
      </c>
      <c r="D19" s="1" t="s">
        <v>228</v>
      </c>
      <c r="E19" s="4" t="s">
        <v>223</v>
      </c>
      <c r="F19" s="35">
        <v>34900</v>
      </c>
      <c r="G19" s="37">
        <f t="shared" si="2"/>
        <v>25700</v>
      </c>
      <c r="H19" s="37">
        <f t="shared" si="3"/>
        <v>-43900</v>
      </c>
      <c r="I19" s="37">
        <f t="shared" si="0"/>
        <v>-54600</v>
      </c>
      <c r="J19" s="37">
        <f t="shared" si="1"/>
        <v>-27752</v>
      </c>
      <c r="K19" s="37">
        <f t="shared" si="4"/>
        <v>-42084</v>
      </c>
    </row>
    <row r="20" spans="1:11" x14ac:dyDescent="0.25">
      <c r="A20" s="32">
        <v>2013</v>
      </c>
      <c r="B20" s="32" t="s">
        <v>364</v>
      </c>
      <c r="C20" s="1" t="s">
        <v>226</v>
      </c>
      <c r="D20" s="1" t="s">
        <v>229</v>
      </c>
      <c r="E20" s="4" t="s">
        <v>2</v>
      </c>
      <c r="F20" s="35">
        <v>5870</v>
      </c>
      <c r="G20" s="37">
        <f t="shared" si="2"/>
        <v>0</v>
      </c>
      <c r="H20" s="37">
        <f t="shared" si="3"/>
        <v>4050</v>
      </c>
      <c r="I20" s="37">
        <f t="shared" si="0"/>
        <v>-5310</v>
      </c>
      <c r="J20" s="37">
        <f t="shared" si="1"/>
        <v>4020</v>
      </c>
      <c r="K20" s="37">
        <f t="shared" si="4"/>
        <v>920</v>
      </c>
    </row>
    <row r="21" spans="1:11" x14ac:dyDescent="0.25">
      <c r="A21" s="32">
        <v>2013</v>
      </c>
      <c r="B21" s="32" t="s">
        <v>364</v>
      </c>
      <c r="C21" s="1" t="s">
        <v>226</v>
      </c>
      <c r="D21" s="1" t="s">
        <v>229</v>
      </c>
      <c r="E21" s="4" t="s">
        <v>25</v>
      </c>
      <c r="F21" s="51">
        <v>19574</v>
      </c>
      <c r="G21" s="37">
        <f t="shared" si="2"/>
        <v>-418</v>
      </c>
      <c r="H21" s="37">
        <f t="shared" si="3"/>
        <v>-3831</v>
      </c>
      <c r="I21" s="37">
        <f t="shared" si="0"/>
        <v>3771</v>
      </c>
      <c r="J21" s="37">
        <f t="shared" si="1"/>
        <v>4826</v>
      </c>
      <c r="K21" s="37">
        <f t="shared" si="4"/>
        <v>1588.6666666666679</v>
      </c>
    </row>
    <row r="22" spans="1:11" x14ac:dyDescent="0.25">
      <c r="A22" s="32">
        <v>2013</v>
      </c>
      <c r="B22" s="32" t="s">
        <v>364</v>
      </c>
      <c r="C22" s="1" t="s">
        <v>226</v>
      </c>
      <c r="D22" s="1" t="s">
        <v>229</v>
      </c>
      <c r="E22" s="4" t="s">
        <v>223</v>
      </c>
      <c r="F22" s="35">
        <v>9200</v>
      </c>
      <c r="G22" s="37">
        <f t="shared" si="2"/>
        <v>0</v>
      </c>
      <c r="H22" s="37">
        <f t="shared" si="3"/>
        <v>-5200</v>
      </c>
      <c r="I22" s="37">
        <f t="shared" si="0"/>
        <v>-32373</v>
      </c>
      <c r="J22" s="37">
        <f t="shared" si="1"/>
        <v>-38165</v>
      </c>
      <c r="K22" s="37">
        <f t="shared" si="4"/>
        <v>-25246</v>
      </c>
    </row>
    <row r="23" spans="1:11" x14ac:dyDescent="0.25">
      <c r="A23" s="1">
        <v>2012</v>
      </c>
      <c r="B23" s="12" t="s">
        <v>267</v>
      </c>
      <c r="C23" s="1" t="s">
        <v>222</v>
      </c>
      <c r="D23" s="1" t="s">
        <v>189</v>
      </c>
      <c r="E23" s="1" t="s">
        <v>2</v>
      </c>
      <c r="F23" s="35">
        <v>36341</v>
      </c>
    </row>
    <row r="24" spans="1:11" x14ac:dyDescent="0.25">
      <c r="A24" s="1">
        <v>2012</v>
      </c>
      <c r="B24" s="19" t="s">
        <v>267</v>
      </c>
      <c r="C24" s="1" t="s">
        <v>222</v>
      </c>
      <c r="D24" s="1" t="s">
        <v>189</v>
      </c>
      <c r="E24" s="1" t="s">
        <v>25</v>
      </c>
      <c r="F24" s="35">
        <v>82131</v>
      </c>
    </row>
    <row r="25" spans="1:11" x14ac:dyDescent="0.25">
      <c r="A25" s="1">
        <v>2012</v>
      </c>
      <c r="B25" s="19" t="s">
        <v>267</v>
      </c>
      <c r="C25" s="1" t="s">
        <v>222</v>
      </c>
      <c r="D25" s="1" t="s">
        <v>189</v>
      </c>
      <c r="E25" s="1" t="s">
        <v>223</v>
      </c>
      <c r="F25" s="35">
        <v>0</v>
      </c>
    </row>
    <row r="26" spans="1:11" x14ac:dyDescent="0.25">
      <c r="A26" s="1">
        <v>2012</v>
      </c>
      <c r="B26" s="19" t="s">
        <v>267</v>
      </c>
      <c r="C26" s="1" t="s">
        <v>222</v>
      </c>
      <c r="D26" s="1" t="s">
        <v>224</v>
      </c>
      <c r="E26" s="1" t="s">
        <v>2</v>
      </c>
      <c r="F26" s="35">
        <v>6894</v>
      </c>
    </row>
    <row r="27" spans="1:11" x14ac:dyDescent="0.25">
      <c r="A27" s="1">
        <v>2012</v>
      </c>
      <c r="B27" s="19" t="s">
        <v>267</v>
      </c>
      <c r="C27" s="1" t="s">
        <v>222</v>
      </c>
      <c r="D27" s="1" t="s">
        <v>224</v>
      </c>
      <c r="E27" s="1" t="s">
        <v>25</v>
      </c>
      <c r="F27" s="35">
        <v>88253</v>
      </c>
    </row>
    <row r="28" spans="1:11" x14ac:dyDescent="0.25">
      <c r="A28" s="1">
        <v>2012</v>
      </c>
      <c r="B28" s="19" t="s">
        <v>267</v>
      </c>
      <c r="C28" s="1" t="s">
        <v>222</v>
      </c>
      <c r="D28" s="1" t="s">
        <v>224</v>
      </c>
      <c r="E28" s="1" t="s">
        <v>223</v>
      </c>
      <c r="F28" s="35">
        <v>4000</v>
      </c>
    </row>
    <row r="29" spans="1:11" x14ac:dyDescent="0.25">
      <c r="A29" s="1">
        <v>2012</v>
      </c>
      <c r="B29" s="19" t="s">
        <v>267</v>
      </c>
      <c r="C29" s="1" t="s">
        <v>222</v>
      </c>
      <c r="D29" s="1" t="s">
        <v>225</v>
      </c>
      <c r="E29" s="1" t="s">
        <v>2</v>
      </c>
      <c r="F29" s="35">
        <v>2300</v>
      </c>
    </row>
    <row r="30" spans="1:11" x14ac:dyDescent="0.25">
      <c r="A30" s="1">
        <v>2012</v>
      </c>
      <c r="B30" s="19" t="s">
        <v>267</v>
      </c>
      <c r="C30" s="1" t="s">
        <v>222</v>
      </c>
      <c r="D30" s="1" t="s">
        <v>225</v>
      </c>
      <c r="E30" s="1" t="s">
        <v>25</v>
      </c>
      <c r="F30" s="35">
        <v>17347</v>
      </c>
    </row>
    <row r="31" spans="1:11" x14ac:dyDescent="0.25">
      <c r="A31" s="1">
        <v>2012</v>
      </c>
      <c r="B31" s="19" t="s">
        <v>267</v>
      </c>
      <c r="C31" s="1" t="s">
        <v>222</v>
      </c>
      <c r="D31" s="1" t="s">
        <v>225</v>
      </c>
      <c r="E31" s="1" t="s">
        <v>223</v>
      </c>
      <c r="F31" s="35">
        <v>3200</v>
      </c>
    </row>
    <row r="32" spans="1:11" x14ac:dyDescent="0.25">
      <c r="A32" s="1">
        <v>2012</v>
      </c>
      <c r="B32" s="19" t="s">
        <v>267</v>
      </c>
      <c r="C32" s="1" t="s">
        <v>222</v>
      </c>
      <c r="D32" s="1" t="s">
        <v>190</v>
      </c>
      <c r="E32" s="1" t="s">
        <v>2</v>
      </c>
      <c r="F32" s="35">
        <v>4030</v>
      </c>
    </row>
    <row r="33" spans="1:6" x14ac:dyDescent="0.25">
      <c r="A33" s="1">
        <v>2012</v>
      </c>
      <c r="B33" s="19" t="s">
        <v>267</v>
      </c>
      <c r="C33" s="1" t="s">
        <v>222</v>
      </c>
      <c r="D33" s="1" t="s">
        <v>190</v>
      </c>
      <c r="E33" s="1" t="s">
        <v>25</v>
      </c>
      <c r="F33" s="35">
        <v>5125</v>
      </c>
    </row>
    <row r="34" spans="1:6" x14ac:dyDescent="0.25">
      <c r="A34" s="1">
        <v>2012</v>
      </c>
      <c r="B34" s="19" t="s">
        <v>267</v>
      </c>
      <c r="C34" s="1" t="s">
        <v>222</v>
      </c>
      <c r="D34" s="1" t="s">
        <v>190</v>
      </c>
      <c r="E34" s="1" t="s">
        <v>223</v>
      </c>
      <c r="F34" s="35">
        <v>3200</v>
      </c>
    </row>
    <row r="35" spans="1:6" x14ac:dyDescent="0.25">
      <c r="A35" s="1">
        <v>2012</v>
      </c>
      <c r="B35" s="19" t="s">
        <v>267</v>
      </c>
      <c r="C35" s="1" t="s">
        <v>226</v>
      </c>
      <c r="D35" s="1" t="s">
        <v>227</v>
      </c>
      <c r="E35" s="1" t="s">
        <v>2</v>
      </c>
      <c r="F35" s="35">
        <v>6161</v>
      </c>
    </row>
    <row r="36" spans="1:6" x14ac:dyDescent="0.25">
      <c r="A36" s="1">
        <v>2012</v>
      </c>
      <c r="B36" s="19" t="s">
        <v>267</v>
      </c>
      <c r="C36" s="1" t="s">
        <v>226</v>
      </c>
      <c r="D36" s="1" t="s">
        <v>227</v>
      </c>
      <c r="E36" s="1" t="s">
        <v>25</v>
      </c>
      <c r="F36" s="35">
        <v>42166</v>
      </c>
    </row>
    <row r="37" spans="1:6" x14ac:dyDescent="0.25">
      <c r="A37" s="1">
        <v>2012</v>
      </c>
      <c r="B37" s="19" t="s">
        <v>267</v>
      </c>
      <c r="C37" s="1" t="s">
        <v>226</v>
      </c>
      <c r="D37" s="1" t="s">
        <v>227</v>
      </c>
      <c r="E37" s="1" t="s">
        <v>223</v>
      </c>
      <c r="F37" s="35">
        <v>197061</v>
      </c>
    </row>
    <row r="38" spans="1:6" x14ac:dyDescent="0.25">
      <c r="A38" s="1">
        <v>2012</v>
      </c>
      <c r="B38" s="19" t="s">
        <v>267</v>
      </c>
      <c r="C38" s="1" t="s">
        <v>226</v>
      </c>
      <c r="D38" s="1" t="s">
        <v>228</v>
      </c>
      <c r="E38" s="1" t="s">
        <v>2</v>
      </c>
      <c r="F38" s="35">
        <v>0</v>
      </c>
    </row>
    <row r="39" spans="1:6" x14ac:dyDescent="0.25">
      <c r="A39" s="1">
        <v>2012</v>
      </c>
      <c r="B39" s="19" t="s">
        <v>267</v>
      </c>
      <c r="C39" s="1" t="s">
        <v>226</v>
      </c>
      <c r="D39" s="1" t="s">
        <v>228</v>
      </c>
      <c r="E39" s="1" t="s">
        <v>25</v>
      </c>
      <c r="F39" s="35">
        <v>47150</v>
      </c>
    </row>
    <row r="40" spans="1:6" x14ac:dyDescent="0.25">
      <c r="A40" s="1">
        <v>2012</v>
      </c>
      <c r="B40" s="19" t="s">
        <v>267</v>
      </c>
      <c r="C40" s="1" t="s">
        <v>226</v>
      </c>
      <c r="D40" s="1" t="s">
        <v>228</v>
      </c>
      <c r="E40" s="1" t="s">
        <v>223</v>
      </c>
      <c r="F40" s="35">
        <v>9200</v>
      </c>
    </row>
    <row r="41" spans="1:6" x14ac:dyDescent="0.25">
      <c r="A41" s="1">
        <v>2012</v>
      </c>
      <c r="B41" s="19" t="s">
        <v>267</v>
      </c>
      <c r="C41" s="1" t="s">
        <v>226</v>
      </c>
      <c r="D41" s="1" t="s">
        <v>229</v>
      </c>
      <c r="E41" s="1" t="s">
        <v>2</v>
      </c>
      <c r="F41" s="35">
        <v>5870</v>
      </c>
    </row>
    <row r="42" spans="1:6" x14ac:dyDescent="0.25">
      <c r="A42" s="1">
        <v>2012</v>
      </c>
      <c r="B42" s="19" t="s">
        <v>267</v>
      </c>
      <c r="C42" s="1" t="s">
        <v>226</v>
      </c>
      <c r="D42" s="1" t="s">
        <v>229</v>
      </c>
      <c r="E42" s="1" t="s">
        <v>25</v>
      </c>
      <c r="F42" s="35">
        <v>19992</v>
      </c>
    </row>
    <row r="43" spans="1:6" x14ac:dyDescent="0.25">
      <c r="A43" s="1">
        <v>2012</v>
      </c>
      <c r="B43" s="19" t="s">
        <v>267</v>
      </c>
      <c r="C43" s="1" t="s">
        <v>226</v>
      </c>
      <c r="D43" s="1" t="s">
        <v>229</v>
      </c>
      <c r="E43" s="1" t="s">
        <v>223</v>
      </c>
      <c r="F43" s="35">
        <v>9200</v>
      </c>
    </row>
    <row r="44" spans="1:6" x14ac:dyDescent="0.25">
      <c r="A44" s="16">
        <v>2012</v>
      </c>
      <c r="B44" s="16" t="s">
        <v>364</v>
      </c>
      <c r="C44" s="1" t="s">
        <v>222</v>
      </c>
      <c r="D44" t="s">
        <v>189</v>
      </c>
      <c r="E44" t="s">
        <v>2</v>
      </c>
      <c r="F44" s="46">
        <v>37163</v>
      </c>
    </row>
    <row r="45" spans="1:6" x14ac:dyDescent="0.25">
      <c r="A45" s="33">
        <v>2012</v>
      </c>
      <c r="B45" s="33" t="s">
        <v>364</v>
      </c>
      <c r="C45" s="1" t="s">
        <v>222</v>
      </c>
      <c r="D45" t="s">
        <v>189</v>
      </c>
      <c r="E45" t="s">
        <v>25</v>
      </c>
      <c r="F45" s="46">
        <v>103180</v>
      </c>
    </row>
    <row r="46" spans="1:6" x14ac:dyDescent="0.25">
      <c r="A46" s="33">
        <v>2012</v>
      </c>
      <c r="B46" s="33" t="s">
        <v>364</v>
      </c>
      <c r="C46" s="1" t="s">
        <v>222</v>
      </c>
      <c r="D46" t="s">
        <v>189</v>
      </c>
      <c r="E46" t="s">
        <v>223</v>
      </c>
      <c r="F46" s="46">
        <v>0</v>
      </c>
    </row>
    <row r="47" spans="1:6" x14ac:dyDescent="0.25">
      <c r="A47" s="33">
        <v>2012</v>
      </c>
      <c r="B47" s="33" t="s">
        <v>364</v>
      </c>
      <c r="C47" s="1" t="s">
        <v>222</v>
      </c>
      <c r="D47" t="s">
        <v>224</v>
      </c>
      <c r="E47" t="s">
        <v>2</v>
      </c>
      <c r="F47" s="46">
        <v>0</v>
      </c>
    </row>
    <row r="48" spans="1:6" x14ac:dyDescent="0.25">
      <c r="A48" s="33">
        <v>2012</v>
      </c>
      <c r="B48" s="33" t="s">
        <v>364</v>
      </c>
      <c r="C48" s="1" t="s">
        <v>222</v>
      </c>
      <c r="D48" t="s">
        <v>224</v>
      </c>
      <c r="E48" t="s">
        <v>25</v>
      </c>
      <c r="F48" s="46">
        <v>86062</v>
      </c>
    </row>
    <row r="49" spans="1:6" x14ac:dyDescent="0.25">
      <c r="A49" s="33">
        <v>2012</v>
      </c>
      <c r="B49" s="33" t="s">
        <v>364</v>
      </c>
      <c r="C49" s="1" t="s">
        <v>222</v>
      </c>
      <c r="D49" t="s">
        <v>224</v>
      </c>
      <c r="E49" t="s">
        <v>223</v>
      </c>
      <c r="F49" s="46">
        <v>6080</v>
      </c>
    </row>
    <row r="50" spans="1:6" x14ac:dyDescent="0.25">
      <c r="A50" s="33">
        <v>2012</v>
      </c>
      <c r="B50" s="33" t="s">
        <v>364</v>
      </c>
      <c r="C50" s="1" t="s">
        <v>222</v>
      </c>
      <c r="D50" t="s">
        <v>225</v>
      </c>
      <c r="E50" t="s">
        <v>2</v>
      </c>
      <c r="F50" s="46">
        <v>0</v>
      </c>
    </row>
    <row r="51" spans="1:6" x14ac:dyDescent="0.25">
      <c r="A51" s="33">
        <v>2012</v>
      </c>
      <c r="B51" s="33" t="s">
        <v>364</v>
      </c>
      <c r="C51" s="1" t="s">
        <v>222</v>
      </c>
      <c r="D51" t="s">
        <v>225</v>
      </c>
      <c r="E51" t="s">
        <v>25</v>
      </c>
      <c r="F51" s="46">
        <v>22625</v>
      </c>
    </row>
    <row r="52" spans="1:6" x14ac:dyDescent="0.25">
      <c r="A52" s="33">
        <v>2012</v>
      </c>
      <c r="B52" s="33" t="s">
        <v>364</v>
      </c>
      <c r="C52" s="1" t="s">
        <v>222</v>
      </c>
      <c r="D52" t="s">
        <v>225</v>
      </c>
      <c r="E52" t="s">
        <v>223</v>
      </c>
      <c r="F52" s="46">
        <v>13609</v>
      </c>
    </row>
    <row r="53" spans="1:6" x14ac:dyDescent="0.25">
      <c r="A53" s="33">
        <v>2012</v>
      </c>
      <c r="B53" s="33" t="s">
        <v>364</v>
      </c>
      <c r="C53" s="1" t="s">
        <v>222</v>
      </c>
      <c r="D53" t="s">
        <v>190</v>
      </c>
      <c r="E53" t="s">
        <v>2</v>
      </c>
      <c r="F53" s="46">
        <v>4400</v>
      </c>
    </row>
    <row r="54" spans="1:6" x14ac:dyDescent="0.25">
      <c r="A54" s="33">
        <v>2012</v>
      </c>
      <c r="B54" s="33" t="s">
        <v>364</v>
      </c>
      <c r="C54" s="1" t="s">
        <v>222</v>
      </c>
      <c r="D54" t="s">
        <v>190</v>
      </c>
      <c r="E54" t="s">
        <v>25</v>
      </c>
      <c r="F54" s="46">
        <v>14691</v>
      </c>
    </row>
    <row r="55" spans="1:6" x14ac:dyDescent="0.25">
      <c r="A55" s="33">
        <v>2012</v>
      </c>
      <c r="B55" s="33" t="s">
        <v>364</v>
      </c>
      <c r="C55" s="1" t="s">
        <v>222</v>
      </c>
      <c r="D55" t="s">
        <v>190</v>
      </c>
      <c r="E55" t="s">
        <v>223</v>
      </c>
      <c r="F55" s="46">
        <v>8300</v>
      </c>
    </row>
    <row r="56" spans="1:6" x14ac:dyDescent="0.25">
      <c r="A56" s="33">
        <v>2012</v>
      </c>
      <c r="B56" s="33" t="s">
        <v>364</v>
      </c>
      <c r="C56" s="1" t="s">
        <v>226</v>
      </c>
      <c r="D56" t="s">
        <v>227</v>
      </c>
      <c r="E56" t="s">
        <v>2</v>
      </c>
      <c r="F56" s="46">
        <v>5355</v>
      </c>
    </row>
    <row r="57" spans="1:6" x14ac:dyDescent="0.25">
      <c r="A57" s="33">
        <v>2012</v>
      </c>
      <c r="B57" s="33" t="s">
        <v>364</v>
      </c>
      <c r="C57" s="1" t="s">
        <v>226</v>
      </c>
      <c r="D57" t="s">
        <v>227</v>
      </c>
      <c r="E57" t="s">
        <v>25</v>
      </c>
      <c r="F57" s="46">
        <v>18906</v>
      </c>
    </row>
    <row r="58" spans="1:6" x14ac:dyDescent="0.25">
      <c r="A58" s="33">
        <v>2012</v>
      </c>
      <c r="B58" s="33" t="s">
        <v>364</v>
      </c>
      <c r="C58" s="1" t="s">
        <v>226</v>
      </c>
      <c r="D58" t="s">
        <v>227</v>
      </c>
      <c r="E58" t="s">
        <v>223</v>
      </c>
      <c r="F58" s="46">
        <v>282061</v>
      </c>
    </row>
    <row r="59" spans="1:6" x14ac:dyDescent="0.25">
      <c r="A59" s="33">
        <v>2012</v>
      </c>
      <c r="B59" s="33" t="s">
        <v>364</v>
      </c>
      <c r="C59" s="1" t="s">
        <v>226</v>
      </c>
      <c r="D59" t="s">
        <v>228</v>
      </c>
      <c r="E59" t="s">
        <v>2</v>
      </c>
      <c r="F59" s="46">
        <v>0</v>
      </c>
    </row>
    <row r="60" spans="1:6" x14ac:dyDescent="0.25">
      <c r="A60" s="33">
        <v>2012</v>
      </c>
      <c r="B60" s="33" t="s">
        <v>364</v>
      </c>
      <c r="C60" s="1" t="s">
        <v>226</v>
      </c>
      <c r="D60" t="s">
        <v>228</v>
      </c>
      <c r="E60" t="s">
        <v>25</v>
      </c>
      <c r="F60" s="46">
        <v>1460</v>
      </c>
    </row>
    <row r="61" spans="1:6" x14ac:dyDescent="0.25">
      <c r="A61" s="33">
        <v>2012</v>
      </c>
      <c r="B61" s="33" t="s">
        <v>364</v>
      </c>
      <c r="C61" s="1" t="s">
        <v>226</v>
      </c>
      <c r="D61" t="s">
        <v>228</v>
      </c>
      <c r="E61" t="s">
        <v>223</v>
      </c>
      <c r="F61" s="46">
        <v>78800</v>
      </c>
    </row>
    <row r="62" spans="1:6" x14ac:dyDescent="0.25">
      <c r="A62" s="33">
        <v>2012</v>
      </c>
      <c r="B62" s="33" t="s">
        <v>364</v>
      </c>
      <c r="C62" s="1" t="s">
        <v>226</v>
      </c>
      <c r="D62" t="s">
        <v>229</v>
      </c>
      <c r="E62" t="s">
        <v>2</v>
      </c>
      <c r="F62" s="46">
        <v>1820</v>
      </c>
    </row>
    <row r="63" spans="1:6" x14ac:dyDescent="0.25">
      <c r="A63" s="33">
        <v>2012</v>
      </c>
      <c r="B63" s="33" t="s">
        <v>364</v>
      </c>
      <c r="C63" s="1" t="s">
        <v>226</v>
      </c>
      <c r="D63" t="s">
        <v>229</v>
      </c>
      <c r="E63" t="s">
        <v>25</v>
      </c>
      <c r="F63" s="46">
        <v>23405</v>
      </c>
    </row>
    <row r="64" spans="1:6" x14ac:dyDescent="0.25">
      <c r="A64" s="33">
        <v>2012</v>
      </c>
      <c r="B64" s="33" t="s">
        <v>364</v>
      </c>
      <c r="C64" s="1" t="s">
        <v>226</v>
      </c>
      <c r="D64" t="s">
        <v>229</v>
      </c>
      <c r="E64" t="s">
        <v>223</v>
      </c>
      <c r="F64" s="47">
        <v>14400</v>
      </c>
    </row>
    <row r="65" spans="1:6" x14ac:dyDescent="0.25">
      <c r="A65">
        <v>2011</v>
      </c>
      <c r="B65" t="s">
        <v>364</v>
      </c>
      <c r="C65" s="1" t="s">
        <v>222</v>
      </c>
      <c r="D65" t="s">
        <v>189</v>
      </c>
      <c r="E65" t="s">
        <v>2</v>
      </c>
      <c r="F65" s="48">
        <v>26176</v>
      </c>
    </row>
    <row r="66" spans="1:6" x14ac:dyDescent="0.25">
      <c r="A66" s="18">
        <v>2011</v>
      </c>
      <c r="B66" s="18" t="s">
        <v>364</v>
      </c>
      <c r="C66" s="1" t="s">
        <v>222</v>
      </c>
      <c r="D66" t="s">
        <v>189</v>
      </c>
      <c r="E66" t="s">
        <v>25</v>
      </c>
      <c r="F66" s="49">
        <v>86338</v>
      </c>
    </row>
    <row r="67" spans="1:6" x14ac:dyDescent="0.25">
      <c r="A67" s="18">
        <v>2011</v>
      </c>
      <c r="B67" s="18" t="s">
        <v>364</v>
      </c>
      <c r="C67" s="1" t="s">
        <v>222</v>
      </c>
      <c r="D67" t="s">
        <v>189</v>
      </c>
      <c r="E67" t="s">
        <v>223</v>
      </c>
      <c r="F67" s="49">
        <v>0</v>
      </c>
    </row>
    <row r="68" spans="1:6" x14ac:dyDescent="0.25">
      <c r="A68" s="18">
        <v>2011</v>
      </c>
      <c r="B68" s="18" t="s">
        <v>364</v>
      </c>
      <c r="C68" s="1" t="s">
        <v>222</v>
      </c>
      <c r="D68" t="s">
        <v>224</v>
      </c>
      <c r="E68" t="s">
        <v>2</v>
      </c>
      <c r="F68" s="49">
        <v>3424</v>
      </c>
    </row>
    <row r="69" spans="1:6" x14ac:dyDescent="0.25">
      <c r="A69" s="18">
        <v>2011</v>
      </c>
      <c r="B69" s="18" t="s">
        <v>364</v>
      </c>
      <c r="C69" s="1" t="s">
        <v>222</v>
      </c>
      <c r="D69" t="s">
        <v>224</v>
      </c>
      <c r="E69" t="s">
        <v>25</v>
      </c>
      <c r="F69" s="49">
        <v>90640</v>
      </c>
    </row>
    <row r="70" spans="1:6" x14ac:dyDescent="0.25">
      <c r="A70" s="18">
        <v>2011</v>
      </c>
      <c r="B70" s="18" t="s">
        <v>364</v>
      </c>
      <c r="C70" s="1" t="s">
        <v>222</v>
      </c>
      <c r="D70" t="s">
        <v>224</v>
      </c>
      <c r="E70" t="s">
        <v>223</v>
      </c>
      <c r="F70" s="49">
        <v>14936</v>
      </c>
    </row>
    <row r="71" spans="1:6" x14ac:dyDescent="0.25">
      <c r="A71" s="18">
        <v>2011</v>
      </c>
      <c r="B71" s="18" t="s">
        <v>364</v>
      </c>
      <c r="C71" s="1" t="s">
        <v>222</v>
      </c>
      <c r="D71" t="s">
        <v>225</v>
      </c>
      <c r="E71" t="s">
        <v>2</v>
      </c>
      <c r="F71" s="49">
        <v>8400</v>
      </c>
    </row>
    <row r="72" spans="1:6" x14ac:dyDescent="0.25">
      <c r="A72" s="18">
        <v>2011</v>
      </c>
      <c r="B72" s="18" t="s">
        <v>364</v>
      </c>
      <c r="C72" s="1" t="s">
        <v>222</v>
      </c>
      <c r="D72" t="s">
        <v>225</v>
      </c>
      <c r="E72" t="s">
        <v>25</v>
      </c>
      <c r="F72" s="49">
        <v>24447</v>
      </c>
    </row>
    <row r="73" spans="1:6" x14ac:dyDescent="0.25">
      <c r="A73" s="18">
        <v>2011</v>
      </c>
      <c r="B73" s="18" t="s">
        <v>364</v>
      </c>
      <c r="C73" s="1" t="s">
        <v>222</v>
      </c>
      <c r="D73" t="s">
        <v>225</v>
      </c>
      <c r="E73" t="s">
        <v>223</v>
      </c>
      <c r="F73" s="49">
        <v>24328</v>
      </c>
    </row>
    <row r="74" spans="1:6" x14ac:dyDescent="0.25">
      <c r="A74" s="18">
        <v>2011</v>
      </c>
      <c r="B74" s="18" t="s">
        <v>364</v>
      </c>
      <c r="C74" s="1" t="s">
        <v>222</v>
      </c>
      <c r="D74" t="s">
        <v>190</v>
      </c>
      <c r="E74" t="s">
        <v>2</v>
      </c>
      <c r="F74" s="49">
        <v>4400</v>
      </c>
    </row>
    <row r="75" spans="1:6" x14ac:dyDescent="0.25">
      <c r="A75" s="18">
        <v>2011</v>
      </c>
      <c r="B75" s="18" t="s">
        <v>364</v>
      </c>
      <c r="C75" s="1" t="s">
        <v>222</v>
      </c>
      <c r="D75" t="s">
        <v>190</v>
      </c>
      <c r="E75" t="s">
        <v>25</v>
      </c>
      <c r="F75" s="49">
        <v>18871</v>
      </c>
    </row>
    <row r="76" spans="1:6" x14ac:dyDescent="0.25">
      <c r="A76" s="18">
        <v>2011</v>
      </c>
      <c r="B76" s="18" t="s">
        <v>364</v>
      </c>
      <c r="C76" s="1" t="s">
        <v>222</v>
      </c>
      <c r="D76" t="s">
        <v>190</v>
      </c>
      <c r="E76" t="s">
        <v>223</v>
      </c>
      <c r="F76" s="49">
        <v>9160</v>
      </c>
    </row>
    <row r="77" spans="1:6" x14ac:dyDescent="0.25">
      <c r="A77" s="18">
        <v>2011</v>
      </c>
      <c r="B77" s="18" t="s">
        <v>364</v>
      </c>
      <c r="C77" s="1" t="s">
        <v>226</v>
      </c>
      <c r="D77" t="s">
        <v>227</v>
      </c>
      <c r="E77" t="s">
        <v>2</v>
      </c>
      <c r="F77" s="49">
        <v>31658</v>
      </c>
    </row>
    <row r="78" spans="1:6" x14ac:dyDescent="0.25">
      <c r="A78" s="18">
        <v>2011</v>
      </c>
      <c r="B78" s="18" t="s">
        <v>364</v>
      </c>
      <c r="C78" s="1" t="s">
        <v>226</v>
      </c>
      <c r="D78" t="s">
        <v>227</v>
      </c>
      <c r="E78" t="s">
        <v>25</v>
      </c>
      <c r="F78" s="49">
        <v>21841</v>
      </c>
    </row>
    <row r="79" spans="1:6" x14ac:dyDescent="0.25">
      <c r="A79" s="18">
        <v>2011</v>
      </c>
      <c r="B79" s="18" t="s">
        <v>364</v>
      </c>
      <c r="C79" s="1" t="s">
        <v>226</v>
      </c>
      <c r="D79" t="s">
        <v>227</v>
      </c>
      <c r="E79" t="s">
        <v>223</v>
      </c>
      <c r="F79" s="49">
        <v>416832</v>
      </c>
    </row>
    <row r="80" spans="1:6" x14ac:dyDescent="0.25">
      <c r="A80" s="18">
        <v>2011</v>
      </c>
      <c r="B80" s="18" t="s">
        <v>364</v>
      </c>
      <c r="C80" s="1" t="s">
        <v>226</v>
      </c>
      <c r="D80" t="s">
        <v>228</v>
      </c>
      <c r="E80" t="s">
        <v>2</v>
      </c>
      <c r="F80" s="49">
        <v>0</v>
      </c>
    </row>
    <row r="81" spans="1:6" x14ac:dyDescent="0.25">
      <c r="A81" s="18">
        <v>2011</v>
      </c>
      <c r="B81" s="18" t="s">
        <v>364</v>
      </c>
      <c r="C81" s="1" t="s">
        <v>226</v>
      </c>
      <c r="D81" t="s">
        <v>228</v>
      </c>
      <c r="E81" t="s">
        <v>25</v>
      </c>
      <c r="F81" s="49">
        <v>6016</v>
      </c>
    </row>
    <row r="82" spans="1:6" x14ac:dyDescent="0.25">
      <c r="A82" s="18">
        <v>2011</v>
      </c>
      <c r="B82" s="18" t="s">
        <v>364</v>
      </c>
      <c r="C82" s="1" t="s">
        <v>226</v>
      </c>
      <c r="D82" t="s">
        <v>228</v>
      </c>
      <c r="E82" t="s">
        <v>223</v>
      </c>
      <c r="F82" s="49">
        <v>89500</v>
      </c>
    </row>
    <row r="83" spans="1:6" x14ac:dyDescent="0.25">
      <c r="A83" s="18">
        <v>2011</v>
      </c>
      <c r="B83" s="18" t="s">
        <v>364</v>
      </c>
      <c r="C83" s="1" t="s">
        <v>226</v>
      </c>
      <c r="D83" t="s">
        <v>229</v>
      </c>
      <c r="E83" t="s">
        <v>2</v>
      </c>
      <c r="F83" s="49">
        <v>11180</v>
      </c>
    </row>
    <row r="84" spans="1:6" x14ac:dyDescent="0.25">
      <c r="A84" s="18">
        <v>2011</v>
      </c>
      <c r="B84" s="18" t="s">
        <v>364</v>
      </c>
      <c r="C84" s="1" t="s">
        <v>226</v>
      </c>
      <c r="D84" t="s">
        <v>229</v>
      </c>
      <c r="E84" t="s">
        <v>25</v>
      </c>
      <c r="F84" s="49">
        <v>15803</v>
      </c>
    </row>
    <row r="85" spans="1:6" x14ac:dyDescent="0.25">
      <c r="A85" s="18">
        <v>2011</v>
      </c>
      <c r="B85" s="18" t="s">
        <v>364</v>
      </c>
      <c r="C85" s="1" t="s">
        <v>226</v>
      </c>
      <c r="D85" t="s">
        <v>229</v>
      </c>
      <c r="E85" t="s">
        <v>223</v>
      </c>
      <c r="F85" s="50">
        <v>41573</v>
      </c>
    </row>
    <row r="86" spans="1:6" x14ac:dyDescent="0.25">
      <c r="A86" s="16">
        <v>2010</v>
      </c>
      <c r="B86" s="33" t="s">
        <v>364</v>
      </c>
      <c r="C86" s="1" t="s">
        <v>222</v>
      </c>
      <c r="D86" t="s">
        <v>189</v>
      </c>
      <c r="E86" t="s">
        <v>2</v>
      </c>
      <c r="F86" s="31">
        <v>21005</v>
      </c>
    </row>
    <row r="87" spans="1:6" x14ac:dyDescent="0.25">
      <c r="A87" s="33">
        <v>2010</v>
      </c>
      <c r="B87" s="33" t="s">
        <v>364</v>
      </c>
      <c r="C87" s="1" t="s">
        <v>222</v>
      </c>
      <c r="D87" t="s">
        <v>189</v>
      </c>
      <c r="E87" t="s">
        <v>25</v>
      </c>
      <c r="F87" s="31">
        <v>96344</v>
      </c>
    </row>
    <row r="88" spans="1:6" x14ac:dyDescent="0.25">
      <c r="A88" s="33">
        <v>2010</v>
      </c>
      <c r="B88" s="33" t="s">
        <v>364</v>
      </c>
      <c r="C88" s="1" t="s">
        <v>222</v>
      </c>
      <c r="D88" t="s">
        <v>189</v>
      </c>
      <c r="E88" t="s">
        <v>223</v>
      </c>
      <c r="F88" s="31">
        <v>4350</v>
      </c>
    </row>
    <row r="89" spans="1:6" x14ac:dyDescent="0.25">
      <c r="A89" s="33">
        <v>2010</v>
      </c>
      <c r="B89" s="33" t="s">
        <v>364</v>
      </c>
      <c r="C89" s="1" t="s">
        <v>222</v>
      </c>
      <c r="D89" t="s">
        <v>224</v>
      </c>
      <c r="E89" t="s">
        <v>2</v>
      </c>
      <c r="F89" s="31">
        <v>7433</v>
      </c>
    </row>
    <row r="90" spans="1:6" x14ac:dyDescent="0.25">
      <c r="A90" s="33">
        <v>2010</v>
      </c>
      <c r="B90" s="33" t="s">
        <v>364</v>
      </c>
      <c r="C90" s="1" t="s">
        <v>222</v>
      </c>
      <c r="D90" t="s">
        <v>224</v>
      </c>
      <c r="E90" t="s">
        <v>25</v>
      </c>
      <c r="F90" s="31">
        <v>76923</v>
      </c>
    </row>
    <row r="91" spans="1:6" x14ac:dyDescent="0.25">
      <c r="A91" s="33">
        <v>2010</v>
      </c>
      <c r="B91" s="33" t="s">
        <v>364</v>
      </c>
      <c r="C91" s="1" t="s">
        <v>222</v>
      </c>
      <c r="D91" t="s">
        <v>224</v>
      </c>
      <c r="E91" t="s">
        <v>223</v>
      </c>
      <c r="F91" s="31">
        <v>9170</v>
      </c>
    </row>
    <row r="92" spans="1:6" x14ac:dyDescent="0.25">
      <c r="A92" s="33">
        <v>2010</v>
      </c>
      <c r="B92" s="33" t="s">
        <v>364</v>
      </c>
      <c r="C92" s="1" t="s">
        <v>222</v>
      </c>
      <c r="D92" t="s">
        <v>225</v>
      </c>
      <c r="E92" t="s">
        <v>2</v>
      </c>
      <c r="F92" s="31">
        <v>3812</v>
      </c>
    </row>
    <row r="93" spans="1:6" x14ac:dyDescent="0.25">
      <c r="A93" s="33">
        <v>2010</v>
      </c>
      <c r="B93" s="33" t="s">
        <v>364</v>
      </c>
      <c r="C93" s="1" t="s">
        <v>222</v>
      </c>
      <c r="D93" t="s">
        <v>225</v>
      </c>
      <c r="E93" t="s">
        <v>25</v>
      </c>
      <c r="F93" s="31">
        <v>13588</v>
      </c>
    </row>
    <row r="94" spans="1:6" x14ac:dyDescent="0.25">
      <c r="A94" s="33">
        <v>2010</v>
      </c>
      <c r="B94" s="33" t="s">
        <v>364</v>
      </c>
      <c r="C94" s="1" t="s">
        <v>222</v>
      </c>
      <c r="D94" t="s">
        <v>225</v>
      </c>
      <c r="E94" t="s">
        <v>223</v>
      </c>
      <c r="F94" s="31">
        <v>38500</v>
      </c>
    </row>
    <row r="95" spans="1:6" x14ac:dyDescent="0.25">
      <c r="A95" s="33">
        <v>2010</v>
      </c>
      <c r="B95" s="33" t="s">
        <v>364</v>
      </c>
      <c r="C95" s="1" t="s">
        <v>222</v>
      </c>
      <c r="D95" t="s">
        <v>190</v>
      </c>
      <c r="E95" t="s">
        <v>2</v>
      </c>
      <c r="F95" s="31">
        <v>2000</v>
      </c>
    </row>
    <row r="96" spans="1:6" x14ac:dyDescent="0.25">
      <c r="A96" s="33">
        <v>2010</v>
      </c>
      <c r="B96" s="33" t="s">
        <v>364</v>
      </c>
      <c r="C96" s="1" t="s">
        <v>222</v>
      </c>
      <c r="D96" t="s">
        <v>190</v>
      </c>
      <c r="E96" t="s">
        <v>25</v>
      </c>
      <c r="F96" s="31">
        <v>12691</v>
      </c>
    </row>
    <row r="97" spans="1:6" x14ac:dyDescent="0.25">
      <c r="A97" s="33">
        <v>2010</v>
      </c>
      <c r="B97" s="33" t="s">
        <v>364</v>
      </c>
      <c r="C97" s="1" t="s">
        <v>222</v>
      </c>
      <c r="D97" t="s">
        <v>190</v>
      </c>
      <c r="E97" t="s">
        <v>223</v>
      </c>
      <c r="F97" s="31">
        <v>8890</v>
      </c>
    </row>
    <row r="98" spans="1:6" x14ac:dyDescent="0.25">
      <c r="A98" s="33">
        <v>2010</v>
      </c>
      <c r="B98" s="33" t="s">
        <v>364</v>
      </c>
      <c r="C98" s="1" t="s">
        <v>226</v>
      </c>
      <c r="D98" t="s">
        <v>227</v>
      </c>
      <c r="E98" t="s">
        <v>2</v>
      </c>
      <c r="F98" s="31">
        <v>9739</v>
      </c>
    </row>
    <row r="99" spans="1:6" x14ac:dyDescent="0.25">
      <c r="A99" s="33">
        <v>2010</v>
      </c>
      <c r="B99" s="33" t="s">
        <v>364</v>
      </c>
      <c r="C99" s="1" t="s">
        <v>226</v>
      </c>
      <c r="D99" t="s">
        <v>227</v>
      </c>
      <c r="E99" t="s">
        <v>25</v>
      </c>
      <c r="F99" s="31">
        <v>5035</v>
      </c>
    </row>
    <row r="100" spans="1:6" x14ac:dyDescent="0.25">
      <c r="A100" s="33">
        <v>2010</v>
      </c>
      <c r="B100" s="33" t="s">
        <v>364</v>
      </c>
      <c r="C100" s="1" t="s">
        <v>226</v>
      </c>
      <c r="D100" t="s">
        <v>227</v>
      </c>
      <c r="E100" t="s">
        <v>223</v>
      </c>
      <c r="F100" s="31">
        <v>309797</v>
      </c>
    </row>
    <row r="101" spans="1:6" x14ac:dyDescent="0.25">
      <c r="A101" s="33">
        <v>2010</v>
      </c>
      <c r="B101" s="33" t="s">
        <v>364</v>
      </c>
      <c r="C101" s="1" t="s">
        <v>226</v>
      </c>
      <c r="D101" t="s">
        <v>228</v>
      </c>
      <c r="E101" t="s">
        <v>2</v>
      </c>
      <c r="F101" s="31">
        <v>0</v>
      </c>
    </row>
    <row r="102" spans="1:6" x14ac:dyDescent="0.25">
      <c r="A102" s="33">
        <v>2010</v>
      </c>
      <c r="B102" s="33" t="s">
        <v>364</v>
      </c>
      <c r="C102" s="1" t="s">
        <v>226</v>
      </c>
      <c r="D102" t="s">
        <v>228</v>
      </c>
      <c r="E102" t="s">
        <v>25</v>
      </c>
      <c r="F102" s="31">
        <v>6924</v>
      </c>
    </row>
    <row r="103" spans="1:6" x14ac:dyDescent="0.25">
      <c r="A103" s="33">
        <v>2010</v>
      </c>
      <c r="B103" s="33" t="s">
        <v>364</v>
      </c>
      <c r="C103" s="1" t="s">
        <v>226</v>
      </c>
      <c r="D103" t="s">
        <v>228</v>
      </c>
      <c r="E103" t="s">
        <v>223</v>
      </c>
      <c r="F103" s="31">
        <v>62652</v>
      </c>
    </row>
    <row r="104" spans="1:6" x14ac:dyDescent="0.25">
      <c r="A104" s="33">
        <v>2010</v>
      </c>
      <c r="B104" s="33" t="s">
        <v>364</v>
      </c>
      <c r="C104" s="1" t="s">
        <v>226</v>
      </c>
      <c r="D104" t="s">
        <v>229</v>
      </c>
      <c r="E104" t="s">
        <v>2</v>
      </c>
      <c r="F104" s="31">
        <v>1850</v>
      </c>
    </row>
    <row r="105" spans="1:6" x14ac:dyDescent="0.25">
      <c r="A105" s="33">
        <v>2010</v>
      </c>
      <c r="B105" s="33" t="s">
        <v>364</v>
      </c>
      <c r="C105" s="1" t="s">
        <v>226</v>
      </c>
      <c r="D105" t="s">
        <v>229</v>
      </c>
      <c r="E105" t="s">
        <v>25</v>
      </c>
      <c r="F105" s="31">
        <v>14748</v>
      </c>
    </row>
    <row r="106" spans="1:6" x14ac:dyDescent="0.25">
      <c r="A106" s="33">
        <v>2010</v>
      </c>
      <c r="B106" s="33" t="s">
        <v>364</v>
      </c>
      <c r="C106" s="1" t="s">
        <v>226</v>
      </c>
      <c r="D106" t="s">
        <v>229</v>
      </c>
      <c r="E106" t="s">
        <v>223</v>
      </c>
      <c r="F106" s="34">
        <v>47365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22" workbookViewId="0">
      <selection activeCell="C33" sqref="C33"/>
    </sheetView>
  </sheetViews>
  <sheetFormatPr defaultRowHeight="15" x14ac:dyDescent="0.25"/>
  <cols>
    <col min="1" max="1" width="51.42578125" customWidth="1"/>
    <col min="2" max="2" width="22.7109375" customWidth="1"/>
    <col min="3" max="3" width="25.140625" customWidth="1"/>
    <col min="4" max="4" width="26.28515625" bestFit="1" customWidth="1"/>
    <col min="5" max="5" width="26.28515625" style="38" bestFit="1" customWidth="1"/>
    <col min="6" max="6" width="26.28515625" style="31" bestFit="1" customWidth="1"/>
  </cols>
  <sheetData>
    <row r="1" spans="1:10" x14ac:dyDescent="0.25">
      <c r="A1" s="25" t="s">
        <v>41</v>
      </c>
      <c r="B1" s="18" t="s">
        <v>73</v>
      </c>
    </row>
    <row r="2" spans="1:10" x14ac:dyDescent="0.25">
      <c r="A2" s="25" t="s">
        <v>19</v>
      </c>
      <c r="B2" s="18" t="s">
        <v>375</v>
      </c>
    </row>
    <row r="4" spans="1:10" x14ac:dyDescent="0.25">
      <c r="A4" s="18" t="s">
        <v>268</v>
      </c>
      <c r="B4" s="18" t="s">
        <v>269</v>
      </c>
      <c r="C4" s="18" t="s">
        <v>273</v>
      </c>
    </row>
    <row r="5" spans="1:10" x14ac:dyDescent="0.25">
      <c r="A5" s="26">
        <v>1.6983333333333333</v>
      </c>
      <c r="B5" s="26">
        <v>11125</v>
      </c>
      <c r="C5" s="26">
        <v>1854.1666666666667</v>
      </c>
    </row>
    <row r="7" spans="1:10" x14ac:dyDescent="0.25">
      <c r="C7" s="38" t="s">
        <v>270</v>
      </c>
      <c r="D7" s="31" t="s">
        <v>271</v>
      </c>
      <c r="E7" t="s">
        <v>272</v>
      </c>
    </row>
    <row r="8" spans="1:10" x14ac:dyDescent="0.25">
      <c r="A8" s="36" t="s">
        <v>162</v>
      </c>
      <c r="B8" s="36" t="s">
        <v>163</v>
      </c>
      <c r="C8" s="39">
        <v>1.61</v>
      </c>
      <c r="D8" s="35">
        <v>627925</v>
      </c>
      <c r="E8" s="35">
        <v>4721</v>
      </c>
      <c r="J8" s="31"/>
    </row>
    <row r="9" spans="1:10" s="18" customFormat="1" x14ac:dyDescent="0.25">
      <c r="A9" s="36" t="s">
        <v>162</v>
      </c>
      <c r="B9" s="36" t="s">
        <v>2</v>
      </c>
      <c r="C9" s="39">
        <v>2.17</v>
      </c>
      <c r="D9" s="35">
        <v>69867</v>
      </c>
      <c r="E9" s="35">
        <v>2711</v>
      </c>
    </row>
    <row r="10" spans="1:10" x14ac:dyDescent="0.25">
      <c r="A10" s="36" t="s">
        <v>162</v>
      </c>
      <c r="B10" s="36" t="s">
        <v>25</v>
      </c>
      <c r="C10" s="39">
        <v>1.64</v>
      </c>
      <c r="D10" s="35">
        <v>303427</v>
      </c>
      <c r="E10" s="35">
        <v>3528</v>
      </c>
    </row>
    <row r="11" spans="1:10" x14ac:dyDescent="0.25">
      <c r="A11" s="36" t="s">
        <v>162</v>
      </c>
      <c r="B11" s="36" t="s">
        <v>223</v>
      </c>
      <c r="C11" s="39">
        <v>0.93</v>
      </c>
      <c r="D11" s="35">
        <v>254631</v>
      </c>
      <c r="E11" s="35">
        <v>11070</v>
      </c>
    </row>
    <row r="12" spans="1:10" x14ac:dyDescent="0.25">
      <c r="A12" s="27" t="s">
        <v>189</v>
      </c>
      <c r="B12" s="27" t="s">
        <v>2</v>
      </c>
      <c r="C12" s="39">
        <v>2.56</v>
      </c>
      <c r="D12" s="35">
        <v>37789</v>
      </c>
      <c r="E12" s="35">
        <v>3778.9</v>
      </c>
    </row>
    <row r="13" spans="1:10" x14ac:dyDescent="0.25">
      <c r="A13" s="27" t="s">
        <v>189</v>
      </c>
      <c r="B13" s="27" t="s">
        <v>25</v>
      </c>
      <c r="C13" s="39">
        <v>1.4770000000000001</v>
      </c>
      <c r="D13" s="35">
        <v>81943</v>
      </c>
      <c r="E13" s="35">
        <v>5121.43</v>
      </c>
    </row>
    <row r="14" spans="1:10" x14ac:dyDescent="0.25">
      <c r="A14" s="27" t="s">
        <v>189</v>
      </c>
      <c r="B14" s="27" t="s">
        <v>223</v>
      </c>
      <c r="C14" s="39">
        <v>0</v>
      </c>
      <c r="D14" s="35">
        <v>0</v>
      </c>
      <c r="E14" s="35">
        <v>0</v>
      </c>
    </row>
    <row r="15" spans="1:10" x14ac:dyDescent="0.25">
      <c r="A15" s="27" t="s">
        <v>241</v>
      </c>
      <c r="B15" s="27" t="s">
        <v>2</v>
      </c>
      <c r="C15" s="39">
        <v>1.25</v>
      </c>
      <c r="D15" s="35">
        <v>4490</v>
      </c>
      <c r="E15" s="35">
        <v>2245</v>
      </c>
    </row>
    <row r="16" spans="1:10" x14ac:dyDescent="0.25">
      <c r="A16" s="27" t="s">
        <v>241</v>
      </c>
      <c r="B16" s="27" t="s">
        <v>25</v>
      </c>
      <c r="C16" s="39">
        <v>1.5640000000000001</v>
      </c>
      <c r="D16" s="35">
        <v>86090</v>
      </c>
      <c r="E16" s="35">
        <v>12298.57</v>
      </c>
    </row>
    <row r="17" spans="1:5" x14ac:dyDescent="0.25">
      <c r="A17" s="27" t="s">
        <v>241</v>
      </c>
      <c r="B17" s="27" t="s">
        <v>223</v>
      </c>
      <c r="C17" s="39">
        <v>0</v>
      </c>
      <c r="D17" s="35">
        <v>0</v>
      </c>
      <c r="E17" s="35">
        <v>0</v>
      </c>
    </row>
    <row r="18" spans="1:5" x14ac:dyDescent="0.25">
      <c r="A18" s="27" t="s">
        <v>225</v>
      </c>
      <c r="B18" s="27" t="s">
        <v>2</v>
      </c>
      <c r="C18" s="39">
        <v>1.96</v>
      </c>
      <c r="D18" s="35">
        <v>3800</v>
      </c>
      <c r="E18" s="35">
        <v>1900</v>
      </c>
    </row>
    <row r="19" spans="1:5" x14ac:dyDescent="0.25">
      <c r="A19" s="27" t="s">
        <v>225</v>
      </c>
      <c r="B19" s="27" t="s">
        <v>25</v>
      </c>
      <c r="C19" s="39">
        <v>2.129</v>
      </c>
      <c r="D19" s="35">
        <v>16479</v>
      </c>
      <c r="E19" s="35">
        <v>969.35</v>
      </c>
    </row>
    <row r="20" spans="1:5" x14ac:dyDescent="0.25">
      <c r="A20" s="27" t="s">
        <v>225</v>
      </c>
      <c r="B20" s="27" t="s">
        <v>223</v>
      </c>
      <c r="C20" s="39">
        <v>1.29</v>
      </c>
      <c r="D20" s="35">
        <v>10270</v>
      </c>
      <c r="E20" s="35">
        <v>3423</v>
      </c>
    </row>
    <row r="21" spans="1:5" x14ac:dyDescent="0.25">
      <c r="A21" s="27" t="s">
        <v>190</v>
      </c>
      <c r="B21" s="27" t="s">
        <v>2</v>
      </c>
      <c r="C21" s="39">
        <v>2.99</v>
      </c>
      <c r="D21" s="35">
        <v>11757</v>
      </c>
      <c r="E21" s="35">
        <v>3919</v>
      </c>
    </row>
    <row r="22" spans="1:5" x14ac:dyDescent="0.25">
      <c r="A22" s="27" t="s">
        <v>190</v>
      </c>
      <c r="B22" s="27" t="s">
        <v>25</v>
      </c>
      <c r="C22" s="39">
        <v>1.698</v>
      </c>
      <c r="D22" s="35">
        <v>11125</v>
      </c>
      <c r="E22" s="35">
        <v>1854.1666600000001</v>
      </c>
    </row>
    <row r="23" spans="1:5" x14ac:dyDescent="0.25">
      <c r="A23" s="27" t="s">
        <v>190</v>
      </c>
      <c r="B23" s="27" t="s">
        <v>223</v>
      </c>
      <c r="C23" s="39">
        <v>1</v>
      </c>
      <c r="D23" s="35">
        <v>3200</v>
      </c>
      <c r="E23" s="35">
        <v>3200</v>
      </c>
    </row>
    <row r="24" spans="1:5" x14ac:dyDescent="0.25">
      <c r="A24" s="27" t="s">
        <v>227</v>
      </c>
      <c r="B24" s="27" t="s">
        <v>2</v>
      </c>
      <c r="C24" s="39">
        <v>1.66</v>
      </c>
      <c r="D24" s="35">
        <v>6161</v>
      </c>
      <c r="E24" s="35">
        <v>2053.6669999999999</v>
      </c>
    </row>
    <row r="25" spans="1:5" x14ac:dyDescent="0.25">
      <c r="A25" s="27" t="s">
        <v>227</v>
      </c>
      <c r="B25" s="27" t="s">
        <v>25</v>
      </c>
      <c r="C25" s="39">
        <v>1.57125</v>
      </c>
      <c r="D25" s="35">
        <v>41066</v>
      </c>
      <c r="E25" s="35">
        <v>2566.625</v>
      </c>
    </row>
    <row r="26" spans="1:5" x14ac:dyDescent="0.25">
      <c r="A26" s="27" t="s">
        <v>227</v>
      </c>
      <c r="B26" s="27" t="s">
        <v>223</v>
      </c>
      <c r="C26" s="39">
        <v>0.85</v>
      </c>
      <c r="D26" s="35">
        <v>197061</v>
      </c>
      <c r="E26" s="35">
        <v>15158.53</v>
      </c>
    </row>
    <row r="27" spans="1:5" x14ac:dyDescent="0.25">
      <c r="A27" s="27" t="s">
        <v>228</v>
      </c>
      <c r="B27" s="27" t="s">
        <v>2</v>
      </c>
      <c r="C27" s="39">
        <v>0</v>
      </c>
      <c r="D27" s="35">
        <v>0</v>
      </c>
      <c r="E27" s="35">
        <v>0</v>
      </c>
    </row>
    <row r="28" spans="1:5" x14ac:dyDescent="0.25">
      <c r="A28" s="27" t="s">
        <v>228</v>
      </c>
      <c r="B28" s="27" t="s">
        <v>25</v>
      </c>
      <c r="C28" s="39">
        <v>1.0173000000000001</v>
      </c>
      <c r="D28" s="35">
        <v>47150</v>
      </c>
      <c r="E28" s="35">
        <v>7858.33</v>
      </c>
    </row>
    <row r="29" spans="1:5" x14ac:dyDescent="0.25">
      <c r="A29" s="27" t="s">
        <v>228</v>
      </c>
      <c r="B29" s="27" t="s">
        <v>223</v>
      </c>
      <c r="C29" s="39">
        <v>0.8</v>
      </c>
      <c r="D29" s="35">
        <v>34900</v>
      </c>
      <c r="E29" s="35">
        <v>8725</v>
      </c>
    </row>
    <row r="30" spans="1:5" x14ac:dyDescent="0.25">
      <c r="A30" s="27" t="s">
        <v>229</v>
      </c>
      <c r="B30" s="27" t="s">
        <v>2</v>
      </c>
      <c r="C30" s="39">
        <v>1.2969999999999999</v>
      </c>
      <c r="D30" s="35">
        <v>5870</v>
      </c>
      <c r="E30" s="35">
        <v>1467.5</v>
      </c>
    </row>
    <row r="31" spans="1:5" x14ac:dyDescent="0.25">
      <c r="A31" s="27" t="s">
        <v>229</v>
      </c>
      <c r="B31" s="27" t="s">
        <v>25</v>
      </c>
      <c r="C31" s="52">
        <v>1.64</v>
      </c>
      <c r="D31" s="51">
        <v>19574</v>
      </c>
      <c r="E31" s="35">
        <v>1087.444</v>
      </c>
    </row>
    <row r="32" spans="1:5" x14ac:dyDescent="0.25">
      <c r="A32" s="27" t="s">
        <v>229</v>
      </c>
      <c r="B32" s="27" t="s">
        <v>223</v>
      </c>
      <c r="C32" s="39">
        <v>1.165</v>
      </c>
      <c r="D32" s="35">
        <v>9200</v>
      </c>
      <c r="E32" s="35">
        <v>4600</v>
      </c>
    </row>
  </sheetData>
  <pageMargins left="0.7" right="0.7" top="0.75" bottom="0.75" header="0.3" footer="0.3"/>
  <pageSetup orientation="portrait" horizontalDpi="1200" verticalDpi="1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8"/>
  <sheetViews>
    <sheetView workbookViewId="0">
      <selection activeCell="R5" sqref="R5"/>
    </sheetView>
  </sheetViews>
  <sheetFormatPr defaultColWidth="18" defaultRowHeight="15" x14ac:dyDescent="0.25"/>
  <cols>
    <col min="1" max="3" width="18" style="1"/>
    <col min="4" max="4" width="16" style="1" customWidth="1"/>
    <col min="5" max="5" width="14.7109375" style="1" customWidth="1"/>
    <col min="6" max="6" width="8.42578125" style="1" customWidth="1"/>
    <col min="7" max="7" width="12.28515625" style="1" customWidth="1"/>
    <col min="8" max="8" width="11.7109375" style="1" customWidth="1"/>
    <col min="9" max="16384" width="18" style="1"/>
  </cols>
  <sheetData>
    <row r="1" spans="1:18" ht="45" x14ac:dyDescent="0.25">
      <c r="A1" s="22" t="s">
        <v>86</v>
      </c>
      <c r="B1" s="22" t="s">
        <v>41</v>
      </c>
      <c r="C1" s="22" t="s">
        <v>20</v>
      </c>
      <c r="D1" s="22" t="s">
        <v>178</v>
      </c>
      <c r="E1" s="22" t="s">
        <v>148</v>
      </c>
      <c r="F1" s="22" t="s">
        <v>149</v>
      </c>
      <c r="G1" s="22" t="s">
        <v>150</v>
      </c>
      <c r="H1" s="22" t="s">
        <v>19</v>
      </c>
      <c r="I1" s="22" t="s">
        <v>24</v>
      </c>
      <c r="J1" s="23" t="s">
        <v>17</v>
      </c>
      <c r="K1" s="29" t="s">
        <v>31</v>
      </c>
      <c r="L1" s="22" t="s">
        <v>16</v>
      </c>
      <c r="M1" s="22" t="s">
        <v>15</v>
      </c>
      <c r="N1" s="22" t="s">
        <v>14</v>
      </c>
      <c r="O1" s="22" t="s">
        <v>71</v>
      </c>
      <c r="P1" s="22" t="s">
        <v>13</v>
      </c>
      <c r="Q1" s="22" t="s">
        <v>23</v>
      </c>
      <c r="R1" s="24" t="s">
        <v>160</v>
      </c>
    </row>
    <row r="2" spans="1:18" s="9" customFormat="1" ht="60" x14ac:dyDescent="0.25">
      <c r="A2" s="17" t="s">
        <v>87</v>
      </c>
      <c r="B2" s="17" t="s">
        <v>42</v>
      </c>
      <c r="C2" s="17">
        <v>110</v>
      </c>
      <c r="D2" s="17" t="s">
        <v>179</v>
      </c>
      <c r="E2" s="17" t="s">
        <v>151</v>
      </c>
      <c r="F2" s="17" t="s">
        <v>152</v>
      </c>
      <c r="G2" s="17">
        <v>95060</v>
      </c>
      <c r="H2" s="17" t="s">
        <v>25</v>
      </c>
      <c r="I2" s="17" t="s">
        <v>170</v>
      </c>
      <c r="J2" s="40">
        <v>23451</v>
      </c>
      <c r="K2" s="41">
        <v>1.65</v>
      </c>
      <c r="L2" s="17" t="s">
        <v>5</v>
      </c>
      <c r="M2" s="17" t="s">
        <v>26</v>
      </c>
      <c r="N2" s="17" t="s">
        <v>122</v>
      </c>
      <c r="O2" s="17" t="s">
        <v>18</v>
      </c>
      <c r="P2" s="17" t="s">
        <v>155</v>
      </c>
      <c r="Q2" s="17"/>
      <c r="R2" s="42">
        <f>K2</f>
        <v>1.65</v>
      </c>
    </row>
    <row r="3" spans="1:18" s="12" customFormat="1" ht="30" x14ac:dyDescent="0.25">
      <c r="A3" s="17" t="s">
        <v>87</v>
      </c>
      <c r="B3" s="17" t="s">
        <v>42</v>
      </c>
      <c r="C3" s="17">
        <v>110</v>
      </c>
      <c r="D3" s="17" t="s">
        <v>179</v>
      </c>
      <c r="E3" s="17" t="s">
        <v>151</v>
      </c>
      <c r="F3" s="17" t="s">
        <v>152</v>
      </c>
      <c r="G3" s="17">
        <v>95060</v>
      </c>
      <c r="H3" s="17" t="s">
        <v>25</v>
      </c>
      <c r="I3" s="17" t="s">
        <v>171</v>
      </c>
      <c r="J3" s="40">
        <v>23153</v>
      </c>
      <c r="K3" s="41">
        <v>1.65</v>
      </c>
      <c r="L3" s="17" t="s">
        <v>5</v>
      </c>
      <c r="M3" s="17" t="s">
        <v>26</v>
      </c>
      <c r="N3" s="17" t="s">
        <v>122</v>
      </c>
      <c r="O3" s="17" t="s">
        <v>18</v>
      </c>
      <c r="P3" s="17" t="s">
        <v>36</v>
      </c>
      <c r="Q3" s="17"/>
      <c r="R3" s="42">
        <f>K3</f>
        <v>1.65</v>
      </c>
    </row>
    <row r="4" spans="1:18" s="12" customFormat="1" ht="30" x14ac:dyDescent="0.25">
      <c r="A4" s="17" t="s">
        <v>87</v>
      </c>
      <c r="B4" s="17" t="s">
        <v>42</v>
      </c>
      <c r="C4" s="17">
        <v>110</v>
      </c>
      <c r="D4" s="17" t="s">
        <v>179</v>
      </c>
      <c r="E4" s="17" t="s">
        <v>151</v>
      </c>
      <c r="F4" s="17" t="s">
        <v>152</v>
      </c>
      <c r="G4" s="17">
        <v>95060</v>
      </c>
      <c r="H4" s="17" t="s">
        <v>25</v>
      </c>
      <c r="I4" s="17" t="s">
        <v>169</v>
      </c>
      <c r="J4" s="40">
        <v>17880</v>
      </c>
      <c r="K4" s="41">
        <v>1.65</v>
      </c>
      <c r="L4" s="17" t="s">
        <v>5</v>
      </c>
      <c r="M4" s="17" t="s">
        <v>26</v>
      </c>
      <c r="N4" s="17" t="s">
        <v>122</v>
      </c>
      <c r="O4" s="17" t="s">
        <v>18</v>
      </c>
      <c r="P4" s="17" t="s">
        <v>36</v>
      </c>
      <c r="Q4" s="17"/>
      <c r="R4" s="42">
        <f>K4</f>
        <v>1.65</v>
      </c>
    </row>
    <row r="5" spans="1:18" s="12" customFormat="1" ht="30" x14ac:dyDescent="0.25">
      <c r="A5" s="17" t="s">
        <v>87</v>
      </c>
      <c r="B5" s="17" t="s">
        <v>42</v>
      </c>
      <c r="C5" s="17">
        <v>110</v>
      </c>
      <c r="D5" s="17" t="s">
        <v>179</v>
      </c>
      <c r="E5" s="17" t="s">
        <v>151</v>
      </c>
      <c r="F5" s="17" t="s">
        <v>152</v>
      </c>
      <c r="G5" s="17">
        <v>95060</v>
      </c>
      <c r="H5" s="17" t="s">
        <v>25</v>
      </c>
      <c r="I5" s="17" t="s">
        <v>168</v>
      </c>
      <c r="J5" s="40">
        <v>14669</v>
      </c>
      <c r="K5" s="41">
        <v>1.65</v>
      </c>
      <c r="L5" s="17" t="s">
        <v>5</v>
      </c>
      <c r="M5" s="17" t="s">
        <v>26</v>
      </c>
      <c r="N5" s="17" t="s">
        <v>122</v>
      </c>
      <c r="O5" s="17" t="s">
        <v>18</v>
      </c>
      <c r="P5" s="17" t="s">
        <v>36</v>
      </c>
      <c r="Q5" s="17"/>
      <c r="R5" s="42">
        <f>K5</f>
        <v>1.65</v>
      </c>
    </row>
    <row r="6" spans="1:18" s="12" customFormat="1" ht="30" x14ac:dyDescent="0.25">
      <c r="A6" s="17" t="s">
        <v>87</v>
      </c>
      <c r="B6" s="17" t="s">
        <v>42</v>
      </c>
      <c r="C6" s="17">
        <v>313</v>
      </c>
      <c r="D6" s="17" t="s">
        <v>181</v>
      </c>
      <c r="E6" s="17" t="s">
        <v>151</v>
      </c>
      <c r="F6" s="17" t="s">
        <v>152</v>
      </c>
      <c r="G6" s="17">
        <v>95060</v>
      </c>
      <c r="H6" s="17" t="s">
        <v>8</v>
      </c>
      <c r="I6" s="17"/>
      <c r="J6" s="40">
        <v>3200</v>
      </c>
      <c r="K6" s="41">
        <v>1.1499999999999999</v>
      </c>
      <c r="L6" s="17" t="s">
        <v>5</v>
      </c>
      <c r="M6" s="17" t="s">
        <v>173</v>
      </c>
      <c r="N6" s="17" t="s">
        <v>165</v>
      </c>
      <c r="O6" s="45" t="s">
        <v>174</v>
      </c>
      <c r="P6" s="17"/>
      <c r="Q6" s="17"/>
      <c r="R6" s="42">
        <f>K6</f>
        <v>1.1499999999999999</v>
      </c>
    </row>
    <row r="7" spans="1:18" s="12" customFormat="1" ht="30" x14ac:dyDescent="0.25">
      <c r="A7" s="17" t="s">
        <v>87</v>
      </c>
      <c r="B7" s="17" t="s">
        <v>42</v>
      </c>
      <c r="C7" s="17">
        <v>428</v>
      </c>
      <c r="D7" s="17" t="s">
        <v>181</v>
      </c>
      <c r="E7" s="17" t="s">
        <v>151</v>
      </c>
      <c r="F7" s="17" t="s">
        <v>152</v>
      </c>
      <c r="G7" s="17">
        <v>96060</v>
      </c>
      <c r="H7" s="17" t="s">
        <v>2</v>
      </c>
      <c r="I7" s="17" t="s">
        <v>52</v>
      </c>
      <c r="J7" s="40">
        <v>3170</v>
      </c>
      <c r="K7" s="41">
        <v>1.25</v>
      </c>
      <c r="L7" s="17" t="s">
        <v>5</v>
      </c>
      <c r="M7" s="17" t="s">
        <v>173</v>
      </c>
      <c r="N7" s="17" t="s">
        <v>166</v>
      </c>
      <c r="O7" s="45" t="s">
        <v>174</v>
      </c>
      <c r="P7" s="17" t="s">
        <v>167</v>
      </c>
      <c r="Q7" s="17"/>
      <c r="R7" s="42">
        <f>K7</f>
        <v>1.25</v>
      </c>
    </row>
    <row r="8" spans="1:18" s="12" customFormat="1" x14ac:dyDescent="0.25">
      <c r="A8" s="17" t="s">
        <v>87</v>
      </c>
      <c r="B8" s="17" t="s">
        <v>42</v>
      </c>
      <c r="C8" s="17">
        <v>701</v>
      </c>
      <c r="D8" s="17" t="s">
        <v>181</v>
      </c>
      <c r="E8" s="17" t="s">
        <v>151</v>
      </c>
      <c r="F8" s="17" t="s">
        <v>152</v>
      </c>
      <c r="G8" s="17">
        <v>95060</v>
      </c>
      <c r="H8" s="17" t="s">
        <v>7</v>
      </c>
      <c r="I8" s="17" t="s">
        <v>43</v>
      </c>
      <c r="J8" s="40">
        <v>1320</v>
      </c>
      <c r="K8" s="41">
        <v>1650</v>
      </c>
      <c r="L8" s="17" t="s">
        <v>6</v>
      </c>
      <c r="M8" s="17" t="s">
        <v>21</v>
      </c>
      <c r="N8" s="17" t="s">
        <v>22</v>
      </c>
      <c r="O8" s="45" t="s">
        <v>147</v>
      </c>
      <c r="P8" s="17" t="s">
        <v>253</v>
      </c>
      <c r="Q8" s="17"/>
      <c r="R8" s="42">
        <f>K8/J8</f>
        <v>1.25</v>
      </c>
    </row>
    <row r="9" spans="1:18" s="12" customFormat="1" ht="26.25" x14ac:dyDescent="0.25">
      <c r="A9" s="17" t="s">
        <v>87</v>
      </c>
      <c r="B9" s="17" t="s">
        <v>42</v>
      </c>
      <c r="C9" s="17">
        <v>740</v>
      </c>
      <c r="D9" s="17" t="s">
        <v>181</v>
      </c>
      <c r="E9" s="17" t="s">
        <v>151</v>
      </c>
      <c r="F9" s="17" t="s">
        <v>152</v>
      </c>
      <c r="G9" s="17">
        <v>95060</v>
      </c>
      <c r="H9" s="17" t="s">
        <v>8</v>
      </c>
      <c r="I9" s="17">
        <v>170</v>
      </c>
      <c r="J9" s="40">
        <v>966</v>
      </c>
      <c r="K9" s="41">
        <v>1.4</v>
      </c>
      <c r="L9" s="17" t="s">
        <v>176</v>
      </c>
      <c r="M9" s="17" t="s">
        <v>33</v>
      </c>
      <c r="N9" s="17" t="s">
        <v>34</v>
      </c>
      <c r="O9" s="20" t="s">
        <v>370</v>
      </c>
      <c r="P9" s="17"/>
      <c r="Q9" s="17"/>
      <c r="R9" s="42">
        <f>K9</f>
        <v>1.4</v>
      </c>
    </row>
    <row r="10" spans="1:18" s="12" customFormat="1" ht="26.25" x14ac:dyDescent="0.25">
      <c r="A10" s="17" t="s">
        <v>87</v>
      </c>
      <c r="B10" s="17" t="s">
        <v>42</v>
      </c>
      <c r="C10" s="17">
        <v>740</v>
      </c>
      <c r="D10" s="17" t="s">
        <v>181</v>
      </c>
      <c r="E10" s="17" t="s">
        <v>151</v>
      </c>
      <c r="F10" s="17" t="s">
        <v>152</v>
      </c>
      <c r="G10" s="17">
        <v>95060</v>
      </c>
      <c r="H10" s="17" t="s">
        <v>8</v>
      </c>
      <c r="I10" s="17">
        <v>315</v>
      </c>
      <c r="J10" s="40">
        <v>2771</v>
      </c>
      <c r="K10" s="41">
        <v>1.8</v>
      </c>
      <c r="L10" s="17" t="s">
        <v>176</v>
      </c>
      <c r="M10" s="17" t="s">
        <v>33</v>
      </c>
      <c r="N10" s="17" t="s">
        <v>34</v>
      </c>
      <c r="O10" s="20" t="s">
        <v>370</v>
      </c>
      <c r="P10" s="17"/>
      <c r="Q10" s="17"/>
      <c r="R10" s="42">
        <f>K10</f>
        <v>1.8</v>
      </c>
    </row>
    <row r="11" spans="1:18" s="12" customFormat="1" x14ac:dyDescent="0.25">
      <c r="A11" s="17" t="s">
        <v>87</v>
      </c>
      <c r="B11" s="17" t="s">
        <v>49</v>
      </c>
      <c r="C11" s="17">
        <v>233</v>
      </c>
      <c r="D11" s="17" t="s">
        <v>358</v>
      </c>
      <c r="E11" s="17" t="s">
        <v>151</v>
      </c>
      <c r="F11" s="17" t="s">
        <v>152</v>
      </c>
      <c r="G11" s="17">
        <v>95060</v>
      </c>
      <c r="H11" s="17" t="s">
        <v>2</v>
      </c>
      <c r="I11" s="17"/>
      <c r="J11" s="40">
        <v>1500</v>
      </c>
      <c r="K11" s="41">
        <v>1.67</v>
      </c>
      <c r="L11" s="17" t="s">
        <v>359</v>
      </c>
      <c r="M11" s="17" t="s">
        <v>360</v>
      </c>
      <c r="N11" s="17" t="s">
        <v>361</v>
      </c>
      <c r="O11" s="17"/>
      <c r="P11" s="44" t="s">
        <v>362</v>
      </c>
      <c r="Q11" s="17"/>
      <c r="R11" s="42">
        <f>K11</f>
        <v>1.67</v>
      </c>
    </row>
    <row r="12" spans="1:18" s="12" customFormat="1" x14ac:dyDescent="0.25">
      <c r="A12" s="17" t="s">
        <v>87</v>
      </c>
      <c r="B12" s="17" t="s">
        <v>49</v>
      </c>
      <c r="C12" s="17">
        <v>827</v>
      </c>
      <c r="D12" s="17" t="s">
        <v>182</v>
      </c>
      <c r="E12" s="17" t="s">
        <v>151</v>
      </c>
      <c r="F12" s="17" t="s">
        <v>152</v>
      </c>
      <c r="G12" s="17">
        <v>95060</v>
      </c>
      <c r="H12" s="17" t="s">
        <v>25</v>
      </c>
      <c r="I12" s="17" t="s">
        <v>170</v>
      </c>
      <c r="J12" s="40">
        <v>450</v>
      </c>
      <c r="K12" s="41">
        <v>900</v>
      </c>
      <c r="L12" s="17" t="s">
        <v>6</v>
      </c>
      <c r="M12" s="17" t="s">
        <v>60</v>
      </c>
      <c r="N12" s="17" t="s">
        <v>61</v>
      </c>
      <c r="O12" s="17" t="s">
        <v>62</v>
      </c>
      <c r="P12" s="17"/>
      <c r="Q12" s="17"/>
      <c r="R12" s="42">
        <f>K12/J12</f>
        <v>2</v>
      </c>
    </row>
    <row r="13" spans="1:18" s="12" customFormat="1" x14ac:dyDescent="0.25">
      <c r="A13" s="17" t="s">
        <v>87</v>
      </c>
      <c r="B13" s="17" t="s">
        <v>49</v>
      </c>
      <c r="C13" s="17">
        <v>845</v>
      </c>
      <c r="D13" s="17" t="s">
        <v>182</v>
      </c>
      <c r="E13" s="17" t="s">
        <v>151</v>
      </c>
      <c r="F13" s="17" t="s">
        <v>152</v>
      </c>
      <c r="G13" s="17">
        <v>95060</v>
      </c>
      <c r="H13" s="17" t="s">
        <v>8</v>
      </c>
      <c r="I13" s="17"/>
      <c r="J13" s="40">
        <v>1600</v>
      </c>
      <c r="K13" s="41">
        <v>1.6</v>
      </c>
      <c r="L13" s="17" t="s">
        <v>6</v>
      </c>
      <c r="M13" s="17" t="s">
        <v>60</v>
      </c>
      <c r="N13" s="17" t="s">
        <v>61</v>
      </c>
      <c r="O13" s="17" t="s">
        <v>62</v>
      </c>
      <c r="P13" s="17" t="s">
        <v>253</v>
      </c>
      <c r="Q13" s="17"/>
      <c r="R13" s="42">
        <v>1.6</v>
      </c>
    </row>
    <row r="14" spans="1:18" s="12" customFormat="1" x14ac:dyDescent="0.25">
      <c r="A14" s="17" t="s">
        <v>87</v>
      </c>
      <c r="B14" s="17" t="s">
        <v>49</v>
      </c>
      <c r="C14" s="17">
        <v>427</v>
      </c>
      <c r="D14" s="17" t="s">
        <v>218</v>
      </c>
      <c r="E14" s="17" t="s">
        <v>151</v>
      </c>
      <c r="F14" s="17" t="s">
        <v>152</v>
      </c>
      <c r="G14" s="17">
        <v>95060</v>
      </c>
      <c r="H14" s="17" t="s">
        <v>8</v>
      </c>
      <c r="I14" s="17"/>
      <c r="J14" s="40">
        <v>450</v>
      </c>
      <c r="K14" s="41">
        <v>2</v>
      </c>
      <c r="L14" s="17" t="s">
        <v>6</v>
      </c>
      <c r="M14" s="17" t="s">
        <v>60</v>
      </c>
      <c r="N14" s="17" t="s">
        <v>61</v>
      </c>
      <c r="O14" s="17" t="s">
        <v>62</v>
      </c>
      <c r="P14" s="17" t="s">
        <v>253</v>
      </c>
      <c r="Q14" s="17"/>
      <c r="R14" s="42">
        <f>K14</f>
        <v>2</v>
      </c>
    </row>
    <row r="15" spans="1:18" s="12" customFormat="1" ht="30" hidden="1" x14ac:dyDescent="0.25">
      <c r="A15" s="17" t="s">
        <v>87</v>
      </c>
      <c r="B15" s="17" t="s">
        <v>49</v>
      </c>
      <c r="C15" s="17">
        <v>212</v>
      </c>
      <c r="D15" s="17" t="s">
        <v>188</v>
      </c>
      <c r="E15" s="17" t="s">
        <v>151</v>
      </c>
      <c r="F15" s="17" t="s">
        <v>152</v>
      </c>
      <c r="G15" s="17">
        <v>95060</v>
      </c>
      <c r="H15" s="17" t="s">
        <v>8</v>
      </c>
      <c r="I15" s="17">
        <v>200</v>
      </c>
      <c r="J15" s="40">
        <v>520</v>
      </c>
      <c r="K15" s="41">
        <v>1.54</v>
      </c>
      <c r="L15" s="17" t="s">
        <v>6</v>
      </c>
      <c r="M15" s="17" t="s">
        <v>66</v>
      </c>
      <c r="N15" s="17" t="s">
        <v>67</v>
      </c>
      <c r="O15" s="17" t="s">
        <v>68</v>
      </c>
      <c r="P15" s="17"/>
      <c r="Q15" s="17"/>
      <c r="R15" s="42">
        <f>K15</f>
        <v>1.54</v>
      </c>
    </row>
    <row r="16" spans="1:18" s="12" customFormat="1" ht="30" x14ac:dyDescent="0.25">
      <c r="A16" s="17" t="s">
        <v>87</v>
      </c>
      <c r="B16" s="17" t="s">
        <v>49</v>
      </c>
      <c r="C16" s="17">
        <v>212</v>
      </c>
      <c r="D16" s="17" t="s">
        <v>188</v>
      </c>
      <c r="E16" s="17" t="s">
        <v>151</v>
      </c>
      <c r="F16" s="17" t="s">
        <v>152</v>
      </c>
      <c r="G16" s="17">
        <v>95060</v>
      </c>
      <c r="H16" s="17" t="s">
        <v>25</v>
      </c>
      <c r="I16" s="17">
        <v>202</v>
      </c>
      <c r="J16" s="40">
        <v>320</v>
      </c>
      <c r="K16" s="41">
        <v>1.58</v>
      </c>
      <c r="L16" s="17" t="s">
        <v>6</v>
      </c>
      <c r="M16" s="17" t="s">
        <v>66</v>
      </c>
      <c r="N16" s="17" t="s">
        <v>67</v>
      </c>
      <c r="O16" s="17" t="s">
        <v>68</v>
      </c>
      <c r="P16" s="17"/>
      <c r="Q16" s="17"/>
      <c r="R16" s="42">
        <f>K16</f>
        <v>1.58</v>
      </c>
    </row>
    <row r="17" spans="1:18" s="12" customFormat="1" ht="30" x14ac:dyDescent="0.25">
      <c r="A17" s="17" t="s">
        <v>87</v>
      </c>
      <c r="B17" s="17" t="s">
        <v>49</v>
      </c>
      <c r="C17" s="17">
        <v>212</v>
      </c>
      <c r="D17" s="17" t="s">
        <v>188</v>
      </c>
      <c r="E17" s="17" t="s">
        <v>151</v>
      </c>
      <c r="F17" s="17" t="s">
        <v>152</v>
      </c>
      <c r="G17" s="17">
        <v>95060</v>
      </c>
      <c r="H17" s="17" t="s">
        <v>25</v>
      </c>
      <c r="I17" s="17">
        <v>203</v>
      </c>
      <c r="J17" s="40">
        <v>85</v>
      </c>
      <c r="K17" s="41">
        <v>3.59</v>
      </c>
      <c r="L17" s="17" t="s">
        <v>6</v>
      </c>
      <c r="M17" s="17" t="s">
        <v>66</v>
      </c>
      <c r="N17" s="17" t="s">
        <v>67</v>
      </c>
      <c r="O17" s="17" t="s">
        <v>68</v>
      </c>
      <c r="P17" s="17"/>
      <c r="Q17" s="17"/>
      <c r="R17" s="42">
        <f>K17</f>
        <v>3.59</v>
      </c>
    </row>
    <row r="18" spans="1:18" s="12" customFormat="1" ht="30" x14ac:dyDescent="0.25">
      <c r="A18" s="17" t="s">
        <v>87</v>
      </c>
      <c r="B18" s="17" t="s">
        <v>49</v>
      </c>
      <c r="C18" s="17">
        <v>212</v>
      </c>
      <c r="D18" s="17" t="s">
        <v>188</v>
      </c>
      <c r="E18" s="17" t="s">
        <v>151</v>
      </c>
      <c r="F18" s="17" t="s">
        <v>152</v>
      </c>
      <c r="G18" s="17">
        <v>95060</v>
      </c>
      <c r="H18" s="17" t="s">
        <v>25</v>
      </c>
      <c r="I18" s="17">
        <v>204</v>
      </c>
      <c r="J18" s="40">
        <v>250</v>
      </c>
      <c r="K18" s="41">
        <v>2</v>
      </c>
      <c r="L18" s="17" t="s">
        <v>6</v>
      </c>
      <c r="M18" s="17" t="s">
        <v>66</v>
      </c>
      <c r="N18" s="17" t="s">
        <v>67</v>
      </c>
      <c r="O18" s="17" t="s">
        <v>68</v>
      </c>
      <c r="P18" s="17"/>
      <c r="Q18" s="17"/>
      <c r="R18" s="42">
        <f>K18</f>
        <v>2</v>
      </c>
    </row>
    <row r="19" spans="1:18" s="12" customFormat="1" ht="30" x14ac:dyDescent="0.25">
      <c r="A19" s="17" t="s">
        <v>87</v>
      </c>
      <c r="B19" s="17" t="s">
        <v>49</v>
      </c>
      <c r="C19" s="17">
        <v>212</v>
      </c>
      <c r="D19" s="17" t="s">
        <v>188</v>
      </c>
      <c r="E19" s="17" t="s">
        <v>151</v>
      </c>
      <c r="F19" s="17" t="s">
        <v>152</v>
      </c>
      <c r="G19" s="17">
        <v>95060</v>
      </c>
      <c r="H19" s="17" t="s">
        <v>25</v>
      </c>
      <c r="I19" s="17">
        <v>205</v>
      </c>
      <c r="J19" s="40">
        <v>85</v>
      </c>
      <c r="K19" s="41">
        <v>3.59</v>
      </c>
      <c r="L19" s="17" t="s">
        <v>6</v>
      </c>
      <c r="M19" s="17" t="s">
        <v>66</v>
      </c>
      <c r="N19" s="17" t="s">
        <v>67</v>
      </c>
      <c r="O19" s="17" t="s">
        <v>68</v>
      </c>
      <c r="P19" s="17"/>
      <c r="Q19" s="17"/>
      <c r="R19" s="42">
        <f>K19</f>
        <v>3.59</v>
      </c>
    </row>
    <row r="20" spans="1:18" s="12" customFormat="1" ht="30" x14ac:dyDescent="0.25">
      <c r="A20" s="17" t="s">
        <v>87</v>
      </c>
      <c r="B20" s="17" t="s">
        <v>49</v>
      </c>
      <c r="C20" s="17">
        <v>212</v>
      </c>
      <c r="D20" s="17" t="s">
        <v>188</v>
      </c>
      <c r="E20" s="17" t="s">
        <v>151</v>
      </c>
      <c r="F20" s="17" t="s">
        <v>152</v>
      </c>
      <c r="G20" s="17">
        <v>95060</v>
      </c>
      <c r="H20" s="17" t="s">
        <v>25</v>
      </c>
      <c r="I20" s="17">
        <v>207</v>
      </c>
      <c r="J20" s="40">
        <v>85</v>
      </c>
      <c r="K20" s="41">
        <v>3.59</v>
      </c>
      <c r="L20" s="17" t="s">
        <v>6</v>
      </c>
      <c r="M20" s="17" t="s">
        <v>66</v>
      </c>
      <c r="N20" s="17" t="s">
        <v>67</v>
      </c>
      <c r="O20" s="17" t="s">
        <v>68</v>
      </c>
      <c r="P20" s="17"/>
      <c r="Q20" s="17"/>
      <c r="R20" s="42">
        <f>K20</f>
        <v>3.59</v>
      </c>
    </row>
    <row r="21" spans="1:18" s="12" customFormat="1" ht="30" x14ac:dyDescent="0.25">
      <c r="A21" s="17" t="s">
        <v>87</v>
      </c>
      <c r="B21" s="17" t="s">
        <v>49</v>
      </c>
      <c r="C21" s="17">
        <v>212</v>
      </c>
      <c r="D21" s="17" t="s">
        <v>188</v>
      </c>
      <c r="E21" s="17" t="s">
        <v>151</v>
      </c>
      <c r="F21" s="17" t="s">
        <v>152</v>
      </c>
      <c r="G21" s="17">
        <v>95060</v>
      </c>
      <c r="H21" s="17" t="s">
        <v>25</v>
      </c>
      <c r="I21" s="17">
        <v>209</v>
      </c>
      <c r="J21" s="40">
        <v>105</v>
      </c>
      <c r="K21" s="41">
        <v>3.14</v>
      </c>
      <c r="L21" s="17" t="s">
        <v>6</v>
      </c>
      <c r="M21" s="17" t="s">
        <v>66</v>
      </c>
      <c r="N21" s="17" t="s">
        <v>67</v>
      </c>
      <c r="O21" s="17" t="s">
        <v>68</v>
      </c>
      <c r="P21" s="17"/>
      <c r="Q21" s="17"/>
      <c r="R21" s="42">
        <f>K21</f>
        <v>3.14</v>
      </c>
    </row>
    <row r="22" spans="1:18" s="12" customFormat="1" x14ac:dyDescent="0.25">
      <c r="A22" s="17" t="s">
        <v>87</v>
      </c>
      <c r="B22" s="17" t="s">
        <v>49</v>
      </c>
      <c r="C22" s="17">
        <v>312</v>
      </c>
      <c r="D22" s="17" t="s">
        <v>215</v>
      </c>
      <c r="E22" s="17" t="s">
        <v>151</v>
      </c>
      <c r="F22" s="17" t="s">
        <v>152</v>
      </c>
      <c r="G22" s="17">
        <v>95060</v>
      </c>
      <c r="H22" s="17" t="s">
        <v>8</v>
      </c>
      <c r="I22" s="17" t="s">
        <v>51</v>
      </c>
      <c r="J22" s="40">
        <v>156</v>
      </c>
      <c r="K22" s="41">
        <v>1.44</v>
      </c>
      <c r="L22" s="17" t="s">
        <v>11</v>
      </c>
      <c r="M22" s="17" t="s">
        <v>21</v>
      </c>
      <c r="N22" s="17" t="s">
        <v>22</v>
      </c>
      <c r="O22" s="45" t="s">
        <v>147</v>
      </c>
      <c r="P22" s="17" t="s">
        <v>258</v>
      </c>
      <c r="Q22" s="17"/>
      <c r="R22" s="42">
        <f>K22</f>
        <v>1.44</v>
      </c>
    </row>
    <row r="23" spans="1:18" s="12" customFormat="1" x14ac:dyDescent="0.25">
      <c r="A23" s="17" t="s">
        <v>87</v>
      </c>
      <c r="B23" s="17" t="s">
        <v>49</v>
      </c>
      <c r="C23" s="17">
        <v>312</v>
      </c>
      <c r="D23" s="17" t="s">
        <v>215</v>
      </c>
      <c r="E23" s="17" t="s">
        <v>151</v>
      </c>
      <c r="F23" s="17" t="s">
        <v>152</v>
      </c>
      <c r="G23" s="17">
        <v>95060</v>
      </c>
      <c r="H23" s="17" t="s">
        <v>8</v>
      </c>
      <c r="I23" s="17"/>
      <c r="J23" s="40">
        <v>3000</v>
      </c>
      <c r="K23" s="41">
        <v>3850</v>
      </c>
      <c r="L23" s="17" t="s">
        <v>11</v>
      </c>
      <c r="M23" s="17" t="s">
        <v>21</v>
      </c>
      <c r="N23" s="17" t="s">
        <v>22</v>
      </c>
      <c r="O23" s="45" t="s">
        <v>147</v>
      </c>
      <c r="P23" s="17"/>
      <c r="Q23" s="17"/>
      <c r="R23" s="42">
        <f>K23/J23</f>
        <v>1.2833333333333334</v>
      </c>
    </row>
    <row r="24" spans="1:18" s="12" customFormat="1" ht="45" x14ac:dyDescent="0.25">
      <c r="A24" s="17" t="s">
        <v>87</v>
      </c>
      <c r="B24" s="17" t="s">
        <v>49</v>
      </c>
      <c r="C24" s="17">
        <v>123</v>
      </c>
      <c r="D24" s="17" t="s">
        <v>183</v>
      </c>
      <c r="E24" s="17" t="s">
        <v>151</v>
      </c>
      <c r="F24" s="17" t="s">
        <v>152</v>
      </c>
      <c r="G24" s="17">
        <v>95060</v>
      </c>
      <c r="H24" s="17" t="s">
        <v>7</v>
      </c>
      <c r="I24" s="17" t="s">
        <v>172</v>
      </c>
      <c r="J24" s="40">
        <v>2300</v>
      </c>
      <c r="K24" s="41">
        <v>2.25</v>
      </c>
      <c r="L24" s="17" t="s">
        <v>6</v>
      </c>
      <c r="M24" s="17" t="s">
        <v>221</v>
      </c>
      <c r="N24" s="17" t="s">
        <v>122</v>
      </c>
      <c r="O24" s="17" t="s">
        <v>18</v>
      </c>
      <c r="P24" s="17" t="s">
        <v>72</v>
      </c>
      <c r="Q24" s="17"/>
      <c r="R24" s="42">
        <f>K24</f>
        <v>2.25</v>
      </c>
    </row>
    <row r="25" spans="1:18" s="12" customFormat="1" ht="45" x14ac:dyDescent="0.25">
      <c r="A25" s="17" t="s">
        <v>87</v>
      </c>
      <c r="B25" s="17" t="s">
        <v>49</v>
      </c>
      <c r="C25" s="17">
        <v>123</v>
      </c>
      <c r="D25" s="17" t="s">
        <v>183</v>
      </c>
      <c r="E25" s="17" t="s">
        <v>151</v>
      </c>
      <c r="F25" s="17" t="s">
        <v>152</v>
      </c>
      <c r="G25" s="17">
        <v>95060</v>
      </c>
      <c r="H25" s="17" t="s">
        <v>25</v>
      </c>
      <c r="I25" s="17" t="s">
        <v>170</v>
      </c>
      <c r="J25" s="40">
        <v>2800</v>
      </c>
      <c r="K25" s="41">
        <v>2</v>
      </c>
      <c r="L25" s="17" t="s">
        <v>6</v>
      </c>
      <c r="M25" s="17" t="s">
        <v>26</v>
      </c>
      <c r="N25" s="17" t="s">
        <v>122</v>
      </c>
      <c r="O25" s="17" t="s">
        <v>18</v>
      </c>
      <c r="P25" s="17" t="s">
        <v>72</v>
      </c>
      <c r="Q25" s="17"/>
      <c r="R25" s="42">
        <f>K25</f>
        <v>2</v>
      </c>
    </row>
    <row r="26" spans="1:18" s="12" customFormat="1" ht="30" x14ac:dyDescent="0.25">
      <c r="A26" s="17" t="s">
        <v>87</v>
      </c>
      <c r="B26" s="17" t="s">
        <v>49</v>
      </c>
      <c r="C26" s="17">
        <v>175</v>
      </c>
      <c r="D26" s="17" t="s">
        <v>186</v>
      </c>
      <c r="E26" s="17" t="s">
        <v>151</v>
      </c>
      <c r="F26" s="17" t="s">
        <v>152</v>
      </c>
      <c r="G26" s="17">
        <v>95060</v>
      </c>
      <c r="H26" s="17" t="s">
        <v>50</v>
      </c>
      <c r="I26" s="17" t="s">
        <v>58</v>
      </c>
      <c r="J26" s="40">
        <v>4000</v>
      </c>
      <c r="K26" s="41">
        <v>1.25</v>
      </c>
      <c r="L26" s="17" t="s">
        <v>6</v>
      </c>
      <c r="M26" s="17" t="s">
        <v>83</v>
      </c>
      <c r="N26" s="17" t="s">
        <v>84</v>
      </c>
      <c r="O26" s="45" t="s">
        <v>252</v>
      </c>
      <c r="P26" s="17"/>
      <c r="Q26" s="17"/>
      <c r="R26" s="42">
        <f>K26</f>
        <v>1.25</v>
      </c>
    </row>
    <row r="27" spans="1:18" s="12" customFormat="1" ht="30" x14ac:dyDescent="0.25">
      <c r="A27" s="17" t="s">
        <v>87</v>
      </c>
      <c r="B27" s="17" t="s">
        <v>49</v>
      </c>
      <c r="C27" s="17">
        <v>175</v>
      </c>
      <c r="D27" s="17" t="s">
        <v>186</v>
      </c>
      <c r="E27" s="17" t="s">
        <v>151</v>
      </c>
      <c r="F27" s="17" t="s">
        <v>152</v>
      </c>
      <c r="G27" s="17">
        <v>95060</v>
      </c>
      <c r="H27" s="17" t="s">
        <v>50</v>
      </c>
      <c r="I27" s="17" t="s">
        <v>59</v>
      </c>
      <c r="J27" s="40">
        <v>1000</v>
      </c>
      <c r="K27" s="41">
        <v>1.25</v>
      </c>
      <c r="L27" s="17" t="s">
        <v>6</v>
      </c>
      <c r="M27" s="17" t="s">
        <v>83</v>
      </c>
      <c r="N27" s="17" t="s">
        <v>84</v>
      </c>
      <c r="O27" s="45" t="s">
        <v>252</v>
      </c>
      <c r="P27" s="17"/>
      <c r="Q27" s="17"/>
      <c r="R27" s="42">
        <f>K27</f>
        <v>1.25</v>
      </c>
    </row>
    <row r="28" spans="1:18" s="12" customFormat="1" ht="30" x14ac:dyDescent="0.25">
      <c r="A28" s="17" t="s">
        <v>87</v>
      </c>
      <c r="B28" s="17" t="s">
        <v>49</v>
      </c>
      <c r="C28" s="17">
        <v>189</v>
      </c>
      <c r="D28" s="17" t="s">
        <v>186</v>
      </c>
      <c r="E28" s="17" t="s">
        <v>151</v>
      </c>
      <c r="F28" s="17" t="s">
        <v>152</v>
      </c>
      <c r="G28" s="17">
        <v>95060</v>
      </c>
      <c r="H28" s="17" t="s">
        <v>53</v>
      </c>
      <c r="I28" s="17" t="s">
        <v>257</v>
      </c>
      <c r="J28" s="40">
        <v>5270</v>
      </c>
      <c r="K28" s="41">
        <v>1.38</v>
      </c>
      <c r="L28" s="17" t="s">
        <v>6</v>
      </c>
      <c r="M28" s="17" t="s">
        <v>83</v>
      </c>
      <c r="N28" s="17" t="s">
        <v>84</v>
      </c>
      <c r="O28" s="45" t="s">
        <v>252</v>
      </c>
      <c r="P28" s="17"/>
      <c r="Q28" s="17"/>
      <c r="R28" s="42">
        <f>K28</f>
        <v>1.38</v>
      </c>
    </row>
    <row r="29" spans="1:18" s="12" customFormat="1" ht="30" x14ac:dyDescent="0.25">
      <c r="A29" s="17" t="s">
        <v>87</v>
      </c>
      <c r="B29" s="17" t="s">
        <v>49</v>
      </c>
      <c r="C29" s="17">
        <v>200</v>
      </c>
      <c r="D29" s="17" t="s">
        <v>187</v>
      </c>
      <c r="E29" s="17" t="s">
        <v>151</v>
      </c>
      <c r="F29" s="17" t="s">
        <v>152</v>
      </c>
      <c r="G29" s="17">
        <v>95060</v>
      </c>
      <c r="H29" s="17" t="s">
        <v>8</v>
      </c>
      <c r="I29" s="17">
        <v>201</v>
      </c>
      <c r="J29" s="40">
        <v>820</v>
      </c>
      <c r="K29" s="41">
        <v>1.45</v>
      </c>
      <c r="L29" s="17" t="s">
        <v>5</v>
      </c>
      <c r="M29" s="17" t="s">
        <v>69</v>
      </c>
      <c r="N29" s="17" t="s">
        <v>219</v>
      </c>
      <c r="O29" s="45" t="s">
        <v>70</v>
      </c>
      <c r="P29" s="17"/>
      <c r="Q29" s="17"/>
      <c r="R29" s="42">
        <f>K29</f>
        <v>1.45</v>
      </c>
    </row>
    <row r="30" spans="1:18" s="12" customFormat="1" ht="30" x14ac:dyDescent="0.25">
      <c r="A30" s="17" t="s">
        <v>87</v>
      </c>
      <c r="B30" s="17" t="s">
        <v>49</v>
      </c>
      <c r="C30" s="17">
        <v>125</v>
      </c>
      <c r="D30" s="17" t="s">
        <v>185</v>
      </c>
      <c r="E30" s="17" t="s">
        <v>151</v>
      </c>
      <c r="F30" s="17" t="s">
        <v>152</v>
      </c>
      <c r="G30" s="17">
        <v>95060</v>
      </c>
      <c r="H30" s="17" t="s">
        <v>8</v>
      </c>
      <c r="I30" s="17" t="s">
        <v>55</v>
      </c>
      <c r="J30" s="40">
        <v>2252</v>
      </c>
      <c r="K30" s="41">
        <v>1.8</v>
      </c>
      <c r="L30" s="17" t="s">
        <v>11</v>
      </c>
      <c r="M30" s="17" t="s">
        <v>365</v>
      </c>
      <c r="N30" s="17" t="s">
        <v>101</v>
      </c>
      <c r="O30" s="20" t="s">
        <v>366</v>
      </c>
      <c r="P30" s="17"/>
      <c r="Q30" s="17"/>
      <c r="R30" s="42">
        <f>K30</f>
        <v>1.8</v>
      </c>
    </row>
    <row r="31" spans="1:18" s="12" customFormat="1" ht="30" x14ac:dyDescent="0.25">
      <c r="A31" s="17" t="s">
        <v>87</v>
      </c>
      <c r="B31" s="17" t="s">
        <v>49</v>
      </c>
      <c r="C31" s="17">
        <v>125</v>
      </c>
      <c r="D31" s="17" t="s">
        <v>185</v>
      </c>
      <c r="E31" s="17" t="s">
        <v>151</v>
      </c>
      <c r="F31" s="17" t="s">
        <v>152</v>
      </c>
      <c r="G31" s="17">
        <v>95060</v>
      </c>
      <c r="H31" s="17" t="s">
        <v>8</v>
      </c>
      <c r="I31" s="17" t="s">
        <v>56</v>
      </c>
      <c r="J31" s="40">
        <v>1286</v>
      </c>
      <c r="K31" s="41">
        <v>1.8</v>
      </c>
      <c r="L31" s="17" t="s">
        <v>6</v>
      </c>
      <c r="M31" s="17" t="s">
        <v>365</v>
      </c>
      <c r="N31" s="17" t="s">
        <v>101</v>
      </c>
      <c r="O31" s="20" t="s">
        <v>366</v>
      </c>
      <c r="P31" s="17"/>
      <c r="Q31" s="17"/>
      <c r="R31" s="42">
        <f>K31</f>
        <v>1.8</v>
      </c>
    </row>
    <row r="32" spans="1:18" s="12" customFormat="1" ht="30" x14ac:dyDescent="0.25">
      <c r="A32" s="17" t="s">
        <v>87</v>
      </c>
      <c r="B32" s="17" t="s">
        <v>49</v>
      </c>
      <c r="C32" s="17">
        <v>125</v>
      </c>
      <c r="D32" s="17" t="s">
        <v>185</v>
      </c>
      <c r="E32" s="17" t="s">
        <v>151</v>
      </c>
      <c r="F32" s="17" t="s">
        <v>152</v>
      </c>
      <c r="G32" s="17">
        <v>95060</v>
      </c>
      <c r="H32" s="17" t="s">
        <v>25</v>
      </c>
      <c r="I32" s="17" t="s">
        <v>57</v>
      </c>
      <c r="J32" s="40">
        <v>2215</v>
      </c>
      <c r="K32" s="41">
        <v>1.8</v>
      </c>
      <c r="L32" s="17" t="s">
        <v>11</v>
      </c>
      <c r="M32" s="17" t="s">
        <v>365</v>
      </c>
      <c r="N32" s="17" t="s">
        <v>101</v>
      </c>
      <c r="O32" s="20" t="s">
        <v>366</v>
      </c>
      <c r="P32" s="17"/>
      <c r="Q32" s="17"/>
      <c r="R32" s="42">
        <f>K32</f>
        <v>1.8</v>
      </c>
    </row>
    <row r="33" spans="1:18" s="12" customFormat="1" ht="30" x14ac:dyDescent="0.25">
      <c r="A33" s="17" t="s">
        <v>87</v>
      </c>
      <c r="B33" s="17" t="s">
        <v>40</v>
      </c>
      <c r="C33" s="17">
        <v>110</v>
      </c>
      <c r="D33" s="17" t="s">
        <v>180</v>
      </c>
      <c r="E33" s="17" t="s">
        <v>151</v>
      </c>
      <c r="F33" s="17" t="s">
        <v>152</v>
      </c>
      <c r="G33" s="17">
        <v>95060</v>
      </c>
      <c r="H33" s="17" t="s">
        <v>7</v>
      </c>
      <c r="I33" s="17"/>
      <c r="J33" s="40">
        <v>1873</v>
      </c>
      <c r="K33" s="41">
        <v>2</v>
      </c>
      <c r="L33" s="17" t="s">
        <v>5</v>
      </c>
      <c r="M33" s="17" t="s">
        <v>26</v>
      </c>
      <c r="N33" s="17" t="s">
        <v>122</v>
      </c>
      <c r="O33" s="17" t="s">
        <v>18</v>
      </c>
      <c r="P33" s="17" t="s">
        <v>36</v>
      </c>
      <c r="Q33" s="17"/>
      <c r="R33" s="42">
        <v>2</v>
      </c>
    </row>
    <row r="34" spans="1:18" s="12" customFormat="1" ht="30" x14ac:dyDescent="0.25">
      <c r="A34" s="17" t="s">
        <v>87</v>
      </c>
      <c r="B34" s="17" t="s">
        <v>40</v>
      </c>
      <c r="C34" s="17">
        <v>1349</v>
      </c>
      <c r="D34" s="17" t="s">
        <v>189</v>
      </c>
      <c r="E34" s="17" t="s">
        <v>151</v>
      </c>
      <c r="F34" s="17" t="s">
        <v>152</v>
      </c>
      <c r="G34" s="17">
        <v>95060</v>
      </c>
      <c r="H34" s="17" t="s">
        <v>7</v>
      </c>
      <c r="I34" s="17"/>
      <c r="J34" s="40">
        <v>1800</v>
      </c>
      <c r="K34" s="41">
        <v>2.75</v>
      </c>
      <c r="L34" s="17" t="s">
        <v>5</v>
      </c>
      <c r="M34" s="17" t="s">
        <v>119</v>
      </c>
      <c r="N34" s="17" t="s">
        <v>120</v>
      </c>
      <c r="O34" s="45" t="s">
        <v>121</v>
      </c>
      <c r="P34" s="17"/>
      <c r="Q34" s="17"/>
      <c r="R34" s="42">
        <f>K34</f>
        <v>2.75</v>
      </c>
    </row>
    <row r="35" spans="1:18" s="12" customFormat="1" ht="60" x14ac:dyDescent="0.25">
      <c r="A35" s="17" t="s">
        <v>87</v>
      </c>
      <c r="B35" s="17" t="s">
        <v>40</v>
      </c>
      <c r="C35" s="17">
        <v>819</v>
      </c>
      <c r="D35" s="17" t="s">
        <v>189</v>
      </c>
      <c r="E35" s="17" t="s">
        <v>151</v>
      </c>
      <c r="F35" s="17" t="s">
        <v>152</v>
      </c>
      <c r="G35" s="17">
        <v>95060</v>
      </c>
      <c r="H35" s="17" t="s">
        <v>25</v>
      </c>
      <c r="I35" s="17"/>
      <c r="J35" s="40">
        <v>1385</v>
      </c>
      <c r="K35" s="41">
        <v>2200</v>
      </c>
      <c r="L35" s="17" t="s">
        <v>6</v>
      </c>
      <c r="M35" s="17" t="s">
        <v>245</v>
      </c>
      <c r="N35" s="17" t="s">
        <v>246</v>
      </c>
      <c r="O35" s="45" t="s">
        <v>247</v>
      </c>
      <c r="P35" s="17" t="s">
        <v>363</v>
      </c>
      <c r="Q35" s="17"/>
      <c r="R35" s="42">
        <f>K35/J35</f>
        <v>1.5884476534296028</v>
      </c>
    </row>
    <row r="36" spans="1:18" s="12" customFormat="1" x14ac:dyDescent="0.25">
      <c r="A36" s="17" t="s">
        <v>87</v>
      </c>
      <c r="B36" s="17" t="s">
        <v>40</v>
      </c>
      <c r="C36" s="17">
        <v>819.5</v>
      </c>
      <c r="D36" s="17" t="s">
        <v>189</v>
      </c>
      <c r="E36" s="17" t="s">
        <v>151</v>
      </c>
      <c r="F36" s="17" t="s">
        <v>152</v>
      </c>
      <c r="G36" s="17">
        <v>95060</v>
      </c>
      <c r="H36" s="17" t="s">
        <v>8</v>
      </c>
      <c r="I36" s="17" t="s">
        <v>143</v>
      </c>
      <c r="J36" s="40">
        <v>480</v>
      </c>
      <c r="K36" s="41">
        <v>700</v>
      </c>
      <c r="L36" s="17" t="s">
        <v>11</v>
      </c>
      <c r="M36" s="17" t="s">
        <v>3</v>
      </c>
      <c r="N36" s="17" t="s">
        <v>4</v>
      </c>
      <c r="O36" s="17" t="s">
        <v>9</v>
      </c>
      <c r="P36" s="17"/>
      <c r="Q36" s="17"/>
      <c r="R36" s="42">
        <f>K36/J36</f>
        <v>1.4583333333333333</v>
      </c>
    </row>
    <row r="37" spans="1:18" s="12" customFormat="1" ht="30" x14ac:dyDescent="0.25">
      <c r="A37" s="17" t="s">
        <v>87</v>
      </c>
      <c r="B37" s="17" t="s">
        <v>40</v>
      </c>
      <c r="C37" s="17">
        <v>1013</v>
      </c>
      <c r="D37" s="17" t="s">
        <v>189</v>
      </c>
      <c r="E37" s="17" t="s">
        <v>151</v>
      </c>
      <c r="F37" s="17" t="s">
        <v>152</v>
      </c>
      <c r="G37" s="17">
        <v>95060</v>
      </c>
      <c r="H37" s="17" t="s">
        <v>2</v>
      </c>
      <c r="I37" s="17"/>
      <c r="J37" s="40">
        <v>4500</v>
      </c>
      <c r="K37" s="41">
        <v>3</v>
      </c>
      <c r="L37" s="17" t="s">
        <v>5</v>
      </c>
      <c r="M37" s="17" t="s">
        <v>3</v>
      </c>
      <c r="N37" s="17" t="s">
        <v>4</v>
      </c>
      <c r="O37" s="17" t="s">
        <v>30</v>
      </c>
      <c r="P37" s="17" t="s">
        <v>175</v>
      </c>
      <c r="Q37" s="17"/>
      <c r="R37" s="42">
        <f>K37</f>
        <v>3</v>
      </c>
    </row>
    <row r="38" spans="1:18" s="12" customFormat="1" ht="30" x14ac:dyDescent="0.25">
      <c r="A38" s="17" t="s">
        <v>87</v>
      </c>
      <c r="B38" s="17" t="s">
        <v>40</v>
      </c>
      <c r="C38" s="17">
        <v>1101</v>
      </c>
      <c r="D38" s="17" t="s">
        <v>189</v>
      </c>
      <c r="E38" s="17" t="s">
        <v>151</v>
      </c>
      <c r="F38" s="17" t="s">
        <v>152</v>
      </c>
      <c r="G38" s="17">
        <v>95060</v>
      </c>
      <c r="H38" s="17" t="s">
        <v>2</v>
      </c>
      <c r="I38" s="17" t="s">
        <v>75</v>
      </c>
      <c r="J38" s="40">
        <v>1561</v>
      </c>
      <c r="K38" s="41">
        <v>2.75</v>
      </c>
      <c r="L38" s="17" t="s">
        <v>5</v>
      </c>
      <c r="M38" s="17" t="s">
        <v>221</v>
      </c>
      <c r="N38" s="17" t="s">
        <v>122</v>
      </c>
      <c r="O38" s="17" t="s">
        <v>18</v>
      </c>
      <c r="P38" s="17" t="s">
        <v>12</v>
      </c>
      <c r="Q38" s="17"/>
      <c r="R38" s="42">
        <f>K38</f>
        <v>2.75</v>
      </c>
    </row>
    <row r="39" spans="1:18" s="12" customFormat="1" ht="30" x14ac:dyDescent="0.25">
      <c r="A39" s="17" t="s">
        <v>87</v>
      </c>
      <c r="B39" s="17" t="s">
        <v>40</v>
      </c>
      <c r="C39" s="17">
        <v>1101</v>
      </c>
      <c r="D39" s="17" t="s">
        <v>189</v>
      </c>
      <c r="E39" s="17" t="s">
        <v>151</v>
      </c>
      <c r="F39" s="17" t="s">
        <v>152</v>
      </c>
      <c r="G39" s="17">
        <v>95060</v>
      </c>
      <c r="H39" s="17" t="s">
        <v>8</v>
      </c>
      <c r="I39" s="17">
        <v>300</v>
      </c>
      <c r="J39" s="40">
        <v>3323</v>
      </c>
      <c r="K39" s="41">
        <v>1.25</v>
      </c>
      <c r="L39" s="17" t="s">
        <v>5</v>
      </c>
      <c r="M39" s="17" t="s">
        <v>221</v>
      </c>
      <c r="N39" s="17" t="s">
        <v>122</v>
      </c>
      <c r="O39" s="17" t="s">
        <v>18</v>
      </c>
      <c r="P39" s="17" t="s">
        <v>12</v>
      </c>
      <c r="Q39" s="17"/>
      <c r="R39" s="42">
        <f>K39</f>
        <v>1.25</v>
      </c>
    </row>
    <row r="40" spans="1:18" s="12" customFormat="1" ht="26.25" x14ac:dyDescent="0.25">
      <c r="A40" s="17" t="s">
        <v>87</v>
      </c>
      <c r="B40" s="17" t="s">
        <v>40</v>
      </c>
      <c r="C40" s="17">
        <v>1108</v>
      </c>
      <c r="D40" s="17" t="s">
        <v>189</v>
      </c>
      <c r="E40" s="17" t="s">
        <v>151</v>
      </c>
      <c r="F40" s="17" t="s">
        <v>152</v>
      </c>
      <c r="G40" s="17">
        <v>95060</v>
      </c>
      <c r="H40" s="17" t="s">
        <v>126</v>
      </c>
      <c r="I40" s="17"/>
      <c r="J40" s="40">
        <v>4000</v>
      </c>
      <c r="K40" s="41">
        <v>9250</v>
      </c>
      <c r="L40" s="17" t="s">
        <v>5</v>
      </c>
      <c r="M40" s="17" t="s">
        <v>371</v>
      </c>
      <c r="N40" s="17" t="s">
        <v>372</v>
      </c>
      <c r="O40" s="20" t="s">
        <v>373</v>
      </c>
      <c r="P40" s="17" t="s">
        <v>374</v>
      </c>
      <c r="Q40" s="17"/>
      <c r="R40" s="42">
        <f>K40/J40</f>
        <v>2.3125</v>
      </c>
    </row>
    <row r="41" spans="1:18" s="12" customFormat="1" ht="30" x14ac:dyDescent="0.25">
      <c r="A41" s="17" t="s">
        <v>87</v>
      </c>
      <c r="B41" s="17" t="s">
        <v>40</v>
      </c>
      <c r="C41" s="17">
        <v>1101</v>
      </c>
      <c r="D41" s="17" t="s">
        <v>189</v>
      </c>
      <c r="E41" s="17" t="s">
        <v>151</v>
      </c>
      <c r="F41" s="17" t="s">
        <v>152</v>
      </c>
      <c r="G41" s="17">
        <v>95060</v>
      </c>
      <c r="H41" s="17" t="s">
        <v>8</v>
      </c>
      <c r="I41" s="17">
        <v>308</v>
      </c>
      <c r="J41" s="40">
        <v>1525</v>
      </c>
      <c r="K41" s="41">
        <v>1.25</v>
      </c>
      <c r="L41" s="17" t="s">
        <v>5</v>
      </c>
      <c r="M41" s="17" t="s">
        <v>221</v>
      </c>
      <c r="N41" s="17" t="s">
        <v>122</v>
      </c>
      <c r="O41" s="17" t="s">
        <v>18</v>
      </c>
      <c r="P41" s="17" t="s">
        <v>12</v>
      </c>
      <c r="Q41" s="17"/>
      <c r="R41" s="42">
        <f>K41</f>
        <v>1.25</v>
      </c>
    </row>
    <row r="42" spans="1:18" s="12" customFormat="1" ht="30" x14ac:dyDescent="0.25">
      <c r="A42" s="17" t="s">
        <v>87</v>
      </c>
      <c r="B42" s="17" t="s">
        <v>40</v>
      </c>
      <c r="C42" s="17">
        <v>1101</v>
      </c>
      <c r="D42" s="17" t="s">
        <v>189</v>
      </c>
      <c r="E42" s="17" t="s">
        <v>151</v>
      </c>
      <c r="F42" s="17" t="s">
        <v>152</v>
      </c>
      <c r="G42" s="17">
        <v>95060</v>
      </c>
      <c r="H42" s="17" t="s">
        <v>8</v>
      </c>
      <c r="I42" s="17">
        <v>320</v>
      </c>
      <c r="J42" s="40">
        <v>5178</v>
      </c>
      <c r="K42" s="41">
        <v>1.25</v>
      </c>
      <c r="L42" s="17" t="s">
        <v>5</v>
      </c>
      <c r="M42" s="17" t="s">
        <v>221</v>
      </c>
      <c r="N42" s="17" t="s">
        <v>122</v>
      </c>
      <c r="O42" s="17" t="s">
        <v>18</v>
      </c>
      <c r="P42" s="17" t="s">
        <v>12</v>
      </c>
      <c r="Q42" s="17"/>
      <c r="R42" s="42">
        <f>K42</f>
        <v>1.25</v>
      </c>
    </row>
    <row r="43" spans="1:18" s="12" customFormat="1" ht="30" x14ac:dyDescent="0.25">
      <c r="A43" s="17" t="s">
        <v>87</v>
      </c>
      <c r="B43" s="17" t="s">
        <v>40</v>
      </c>
      <c r="C43" s="17">
        <v>1101</v>
      </c>
      <c r="D43" s="17" t="s">
        <v>189</v>
      </c>
      <c r="E43" s="17" t="s">
        <v>151</v>
      </c>
      <c r="F43" s="17" t="s">
        <v>152</v>
      </c>
      <c r="G43" s="17">
        <v>95060</v>
      </c>
      <c r="H43" s="17" t="s">
        <v>8</v>
      </c>
      <c r="I43" s="17">
        <v>210</v>
      </c>
      <c r="J43" s="40">
        <v>1484</v>
      </c>
      <c r="K43" s="41">
        <v>1.25</v>
      </c>
      <c r="L43" s="17" t="s">
        <v>5</v>
      </c>
      <c r="M43" s="17" t="s">
        <v>221</v>
      </c>
      <c r="N43" s="17" t="s">
        <v>122</v>
      </c>
      <c r="O43" s="17" t="s">
        <v>18</v>
      </c>
      <c r="P43" s="17" t="s">
        <v>12</v>
      </c>
      <c r="Q43" s="17"/>
      <c r="R43" s="42">
        <f>K43</f>
        <v>1.25</v>
      </c>
    </row>
    <row r="44" spans="1:18" s="12" customFormat="1" x14ac:dyDescent="0.25">
      <c r="A44" s="17" t="s">
        <v>87</v>
      </c>
      <c r="B44" s="17" t="s">
        <v>40</v>
      </c>
      <c r="C44" s="17">
        <v>1119</v>
      </c>
      <c r="D44" s="17" t="s">
        <v>189</v>
      </c>
      <c r="E44" s="17" t="s">
        <v>151</v>
      </c>
      <c r="F44" s="17" t="s">
        <v>152</v>
      </c>
      <c r="G44" s="17">
        <v>95060</v>
      </c>
      <c r="H44" s="17" t="s">
        <v>8</v>
      </c>
      <c r="I44" s="17"/>
      <c r="J44" s="40">
        <v>6200</v>
      </c>
      <c r="K44" s="41">
        <v>0.89</v>
      </c>
      <c r="L44" s="17" t="s">
        <v>5</v>
      </c>
      <c r="M44" s="17" t="s">
        <v>21</v>
      </c>
      <c r="N44" s="17" t="s">
        <v>22</v>
      </c>
      <c r="O44" s="45" t="s">
        <v>147</v>
      </c>
      <c r="P44" s="17"/>
      <c r="Q44" s="17">
        <v>0.52</v>
      </c>
      <c r="R44" s="42">
        <f>K44</f>
        <v>0.89</v>
      </c>
    </row>
    <row r="45" spans="1:18" s="12" customFormat="1" ht="30" x14ac:dyDescent="0.25">
      <c r="A45" s="17" t="s">
        <v>87</v>
      </c>
      <c r="B45" s="17" t="s">
        <v>40</v>
      </c>
      <c r="C45" s="17">
        <v>1125</v>
      </c>
      <c r="D45" s="17" t="s">
        <v>189</v>
      </c>
      <c r="E45" s="17" t="s">
        <v>151</v>
      </c>
      <c r="F45" s="17" t="s">
        <v>152</v>
      </c>
      <c r="G45" s="17">
        <v>95060</v>
      </c>
      <c r="H45" s="17" t="s">
        <v>2</v>
      </c>
      <c r="I45" s="17"/>
      <c r="J45" s="40">
        <v>2437</v>
      </c>
      <c r="K45" s="41">
        <v>2.75</v>
      </c>
      <c r="L45" s="17" t="s">
        <v>5</v>
      </c>
      <c r="M45" s="17" t="s">
        <v>26</v>
      </c>
      <c r="N45" s="17" t="s">
        <v>122</v>
      </c>
      <c r="O45" s="45" t="s">
        <v>18</v>
      </c>
      <c r="P45" s="17"/>
      <c r="Q45" s="17"/>
      <c r="R45" s="42">
        <f>K45</f>
        <v>2.75</v>
      </c>
    </row>
    <row r="46" spans="1:18" s="12" customFormat="1" ht="30" x14ac:dyDescent="0.25">
      <c r="A46" s="17" t="s">
        <v>87</v>
      </c>
      <c r="B46" s="17" t="s">
        <v>40</v>
      </c>
      <c r="C46" s="17">
        <v>1200</v>
      </c>
      <c r="D46" s="17" t="s">
        <v>189</v>
      </c>
      <c r="E46" s="17" t="s">
        <v>151</v>
      </c>
      <c r="F46" s="17" t="s">
        <v>152</v>
      </c>
      <c r="G46" s="17">
        <v>95060</v>
      </c>
      <c r="H46" s="17" t="s">
        <v>8</v>
      </c>
      <c r="I46" s="17">
        <v>250</v>
      </c>
      <c r="J46" s="40">
        <v>3463</v>
      </c>
      <c r="K46" s="41">
        <v>1.75</v>
      </c>
      <c r="L46" s="17" t="s">
        <v>5</v>
      </c>
      <c r="M46" s="17" t="s">
        <v>26</v>
      </c>
      <c r="N46" s="17" t="s">
        <v>122</v>
      </c>
      <c r="O46" s="17" t="s">
        <v>18</v>
      </c>
      <c r="P46" s="17" t="s">
        <v>236</v>
      </c>
      <c r="Q46" s="17"/>
      <c r="R46" s="42">
        <f>K46</f>
        <v>1.75</v>
      </c>
    </row>
    <row r="47" spans="1:18" s="12" customFormat="1" ht="30" x14ac:dyDescent="0.25">
      <c r="A47" s="17" t="s">
        <v>87</v>
      </c>
      <c r="B47" s="17" t="s">
        <v>40</v>
      </c>
      <c r="C47" s="17">
        <v>1200</v>
      </c>
      <c r="D47" s="17" t="s">
        <v>189</v>
      </c>
      <c r="E47" s="17" t="s">
        <v>151</v>
      </c>
      <c r="F47" s="17" t="s">
        <v>152</v>
      </c>
      <c r="G47" s="17">
        <v>95060</v>
      </c>
      <c r="H47" s="17" t="s">
        <v>25</v>
      </c>
      <c r="I47" s="17">
        <v>270</v>
      </c>
      <c r="J47" s="40">
        <v>3589</v>
      </c>
      <c r="K47" s="41">
        <v>1.75</v>
      </c>
      <c r="L47" s="17" t="s">
        <v>5</v>
      </c>
      <c r="M47" s="17" t="s">
        <v>26</v>
      </c>
      <c r="N47" s="17" t="s">
        <v>122</v>
      </c>
      <c r="O47" s="17" t="s">
        <v>18</v>
      </c>
      <c r="P47" s="17" t="s">
        <v>236</v>
      </c>
      <c r="Q47" s="17"/>
      <c r="R47" s="42">
        <f>K47</f>
        <v>1.75</v>
      </c>
    </row>
    <row r="48" spans="1:18" s="12" customFormat="1" ht="45" x14ac:dyDescent="0.25">
      <c r="A48" s="17" t="s">
        <v>87</v>
      </c>
      <c r="B48" s="17" t="s">
        <v>40</v>
      </c>
      <c r="C48" s="17">
        <v>1200</v>
      </c>
      <c r="D48" s="17" t="s">
        <v>189</v>
      </c>
      <c r="E48" s="17" t="s">
        <v>151</v>
      </c>
      <c r="F48" s="17" t="s">
        <v>152</v>
      </c>
      <c r="G48" s="17">
        <v>95060</v>
      </c>
      <c r="H48" s="17" t="s">
        <v>8</v>
      </c>
      <c r="I48" s="17">
        <v>290</v>
      </c>
      <c r="J48" s="40">
        <v>1542</v>
      </c>
      <c r="K48" s="41">
        <v>1.75</v>
      </c>
      <c r="L48" s="17" t="s">
        <v>5</v>
      </c>
      <c r="M48" s="17" t="s">
        <v>26</v>
      </c>
      <c r="N48" s="17" t="s">
        <v>122</v>
      </c>
      <c r="O48" s="17" t="s">
        <v>18</v>
      </c>
      <c r="P48" s="17" t="s">
        <v>259</v>
      </c>
      <c r="Q48" s="17"/>
      <c r="R48" s="42">
        <f>K48</f>
        <v>1.75</v>
      </c>
    </row>
    <row r="49" spans="1:18" s="12" customFormat="1" ht="45" x14ac:dyDescent="0.25">
      <c r="A49" s="17" t="s">
        <v>87</v>
      </c>
      <c r="B49" s="17" t="s">
        <v>40</v>
      </c>
      <c r="C49" s="17">
        <v>1200</v>
      </c>
      <c r="D49" s="17" t="s">
        <v>189</v>
      </c>
      <c r="E49" s="17" t="s">
        <v>151</v>
      </c>
      <c r="F49" s="17" t="s">
        <v>152</v>
      </c>
      <c r="G49" s="17">
        <v>95060</v>
      </c>
      <c r="H49" s="17" t="s">
        <v>8</v>
      </c>
      <c r="I49" s="17">
        <v>310</v>
      </c>
      <c r="J49" s="40">
        <v>2295</v>
      </c>
      <c r="K49" s="41">
        <v>1.75</v>
      </c>
      <c r="L49" s="17" t="s">
        <v>5</v>
      </c>
      <c r="M49" s="17" t="s">
        <v>26</v>
      </c>
      <c r="N49" s="17" t="s">
        <v>122</v>
      </c>
      <c r="O49" s="17" t="s">
        <v>18</v>
      </c>
      <c r="P49" s="17" t="s">
        <v>259</v>
      </c>
      <c r="Q49" s="17"/>
      <c r="R49" s="42">
        <f>K49</f>
        <v>1.75</v>
      </c>
    </row>
    <row r="50" spans="1:18" s="12" customFormat="1" ht="30" x14ac:dyDescent="0.25">
      <c r="A50" s="17" t="s">
        <v>87</v>
      </c>
      <c r="B50" s="17" t="s">
        <v>40</v>
      </c>
      <c r="C50" s="17">
        <v>1251.5</v>
      </c>
      <c r="D50" s="17" t="s">
        <v>189</v>
      </c>
      <c r="E50" s="17" t="s">
        <v>151</v>
      </c>
      <c r="F50" s="17" t="s">
        <v>152</v>
      </c>
      <c r="G50" s="17">
        <v>95060</v>
      </c>
      <c r="H50" s="17" t="s">
        <v>8</v>
      </c>
      <c r="I50" s="17" t="s">
        <v>170</v>
      </c>
      <c r="J50" s="40">
        <v>2863</v>
      </c>
      <c r="K50" s="41">
        <v>1.4</v>
      </c>
      <c r="L50" s="17" t="s">
        <v>11</v>
      </c>
      <c r="M50" s="17" t="s">
        <v>37</v>
      </c>
      <c r="N50" s="17" t="s">
        <v>38</v>
      </c>
      <c r="O50" s="17" t="s">
        <v>39</v>
      </c>
      <c r="P50" s="17"/>
      <c r="Q50" s="17"/>
      <c r="R50" s="42">
        <v>1.4</v>
      </c>
    </row>
    <row r="51" spans="1:18" s="12" customFormat="1" x14ac:dyDescent="0.25">
      <c r="A51" s="17" t="s">
        <v>87</v>
      </c>
      <c r="B51" s="17" t="s">
        <v>40</v>
      </c>
      <c r="C51" s="17">
        <v>1339</v>
      </c>
      <c r="D51" s="17" t="s">
        <v>189</v>
      </c>
      <c r="E51" s="17" t="s">
        <v>151</v>
      </c>
      <c r="F51" s="17" t="s">
        <v>152</v>
      </c>
      <c r="G51" s="17">
        <v>95060</v>
      </c>
      <c r="H51" s="17" t="s">
        <v>2</v>
      </c>
      <c r="I51" s="17"/>
      <c r="J51" s="40">
        <v>5000</v>
      </c>
      <c r="K51" s="41">
        <v>2.35</v>
      </c>
      <c r="L51" s="17" t="s">
        <v>6</v>
      </c>
      <c r="M51" s="17" t="s">
        <v>265</v>
      </c>
      <c r="N51" s="17" t="s">
        <v>266</v>
      </c>
      <c r="O51" s="17"/>
      <c r="P51" s="17"/>
      <c r="Q51" s="17">
        <v>0.16</v>
      </c>
      <c r="R51" s="42">
        <v>2.35</v>
      </c>
    </row>
    <row r="52" spans="1:18" s="12" customFormat="1" ht="60" x14ac:dyDescent="0.25">
      <c r="A52" s="17" t="s">
        <v>87</v>
      </c>
      <c r="B52" s="17" t="s">
        <v>40</v>
      </c>
      <c r="C52" s="17">
        <v>1367</v>
      </c>
      <c r="D52" s="17" t="s">
        <v>189</v>
      </c>
      <c r="E52" s="17" t="s">
        <v>151</v>
      </c>
      <c r="F52" s="17" t="s">
        <v>152</v>
      </c>
      <c r="G52" s="17">
        <v>95060</v>
      </c>
      <c r="H52" s="17" t="s">
        <v>7</v>
      </c>
      <c r="I52" s="17" t="s">
        <v>172</v>
      </c>
      <c r="J52" s="40">
        <v>14945</v>
      </c>
      <c r="K52" s="41">
        <v>4</v>
      </c>
      <c r="L52" s="17" t="s">
        <v>5</v>
      </c>
      <c r="M52" s="17" t="s">
        <v>144</v>
      </c>
      <c r="N52" s="17" t="s">
        <v>29</v>
      </c>
      <c r="O52" s="17" t="s">
        <v>30</v>
      </c>
      <c r="P52" s="17" t="s">
        <v>156</v>
      </c>
      <c r="Q52" s="17"/>
      <c r="R52" s="42">
        <v>4</v>
      </c>
    </row>
    <row r="53" spans="1:18" s="12" customFormat="1" ht="30" x14ac:dyDescent="0.25">
      <c r="A53" s="17" t="s">
        <v>87</v>
      </c>
      <c r="B53" s="17" t="s">
        <v>40</v>
      </c>
      <c r="C53" s="17">
        <v>1367</v>
      </c>
      <c r="D53" s="17" t="s">
        <v>189</v>
      </c>
      <c r="E53" s="17" t="s">
        <v>151</v>
      </c>
      <c r="F53" s="17" t="s">
        <v>152</v>
      </c>
      <c r="G53" s="17">
        <v>95060</v>
      </c>
      <c r="H53" s="17" t="s">
        <v>25</v>
      </c>
      <c r="I53" s="17" t="s">
        <v>170</v>
      </c>
      <c r="J53" s="40">
        <v>16815</v>
      </c>
      <c r="K53" s="41">
        <v>1.65</v>
      </c>
      <c r="L53" s="17" t="s">
        <v>5</v>
      </c>
      <c r="M53" s="17" t="s">
        <v>27</v>
      </c>
      <c r="N53" s="17" t="s">
        <v>28</v>
      </c>
      <c r="O53" s="17" t="s">
        <v>9</v>
      </c>
      <c r="P53" s="17" t="s">
        <v>32</v>
      </c>
      <c r="Q53" s="17"/>
      <c r="R53" s="42">
        <f>K53</f>
        <v>1.65</v>
      </c>
    </row>
    <row r="54" spans="1:18" s="12" customFormat="1" ht="30" x14ac:dyDescent="0.25">
      <c r="A54" s="17" t="s">
        <v>87</v>
      </c>
      <c r="B54" s="17" t="s">
        <v>40</v>
      </c>
      <c r="C54" s="17">
        <v>1367</v>
      </c>
      <c r="D54" s="17" t="s">
        <v>189</v>
      </c>
      <c r="E54" s="17" t="s">
        <v>151</v>
      </c>
      <c r="F54" s="17" t="s">
        <v>152</v>
      </c>
      <c r="G54" s="17">
        <v>95060</v>
      </c>
      <c r="H54" s="17" t="s">
        <v>25</v>
      </c>
      <c r="I54" s="17" t="s">
        <v>171</v>
      </c>
      <c r="J54" s="40">
        <v>17746</v>
      </c>
      <c r="K54" s="41">
        <v>1.65</v>
      </c>
      <c r="L54" s="17" t="s">
        <v>5</v>
      </c>
      <c r="M54" s="17" t="s">
        <v>27</v>
      </c>
      <c r="N54" s="17" t="s">
        <v>28</v>
      </c>
      <c r="O54" s="17" t="s">
        <v>9</v>
      </c>
      <c r="P54" s="17" t="s">
        <v>32</v>
      </c>
      <c r="Q54" s="17"/>
      <c r="R54" s="42">
        <f>K54</f>
        <v>1.65</v>
      </c>
    </row>
    <row r="55" spans="1:18" s="12" customFormat="1" ht="30" x14ac:dyDescent="0.25">
      <c r="A55" s="17" t="s">
        <v>87</v>
      </c>
      <c r="B55" s="17" t="s">
        <v>40</v>
      </c>
      <c r="C55" s="17">
        <v>1367</v>
      </c>
      <c r="D55" s="17" t="s">
        <v>189</v>
      </c>
      <c r="E55" s="17" t="s">
        <v>151</v>
      </c>
      <c r="F55" s="17" t="s">
        <v>152</v>
      </c>
      <c r="G55" s="17">
        <v>95060</v>
      </c>
      <c r="H55" s="17" t="s">
        <v>25</v>
      </c>
      <c r="I55" s="17" t="s">
        <v>169</v>
      </c>
      <c r="J55" s="40">
        <v>12675</v>
      </c>
      <c r="K55" s="41">
        <v>1.65</v>
      </c>
      <c r="L55" s="17" t="s">
        <v>5</v>
      </c>
      <c r="M55" s="17" t="s">
        <v>27</v>
      </c>
      <c r="N55" s="17" t="s">
        <v>28</v>
      </c>
      <c r="O55" s="17" t="s">
        <v>9</v>
      </c>
      <c r="P55" s="17" t="s">
        <v>32</v>
      </c>
      <c r="Q55" s="17"/>
      <c r="R55" s="42">
        <f>K55</f>
        <v>1.65</v>
      </c>
    </row>
    <row r="56" spans="1:18" s="12" customFormat="1" ht="30" x14ac:dyDescent="0.25">
      <c r="A56" s="17" t="s">
        <v>87</v>
      </c>
      <c r="B56" s="17" t="s">
        <v>40</v>
      </c>
      <c r="C56" s="17">
        <v>1528</v>
      </c>
      <c r="D56" s="17" t="s">
        <v>189</v>
      </c>
      <c r="E56" s="17" t="s">
        <v>151</v>
      </c>
      <c r="F56" s="17" t="s">
        <v>152</v>
      </c>
      <c r="G56" s="17">
        <v>95060</v>
      </c>
      <c r="H56" s="17" t="s">
        <v>7</v>
      </c>
      <c r="I56" s="17"/>
      <c r="J56" s="40">
        <v>1092</v>
      </c>
      <c r="K56" s="41">
        <v>2</v>
      </c>
      <c r="L56" s="17" t="s">
        <v>5</v>
      </c>
      <c r="M56" s="17" t="s">
        <v>33</v>
      </c>
      <c r="N56" s="17" t="s">
        <v>34</v>
      </c>
      <c r="O56" s="17" t="s">
        <v>35</v>
      </c>
      <c r="P56" s="17"/>
      <c r="Q56" s="17"/>
      <c r="R56" s="42">
        <v>2</v>
      </c>
    </row>
    <row r="57" spans="1:18" s="12" customFormat="1" ht="30" x14ac:dyDescent="0.25">
      <c r="A57" s="17" t="s">
        <v>87</v>
      </c>
      <c r="B57" s="17" t="s">
        <v>40</v>
      </c>
      <c r="C57" s="17">
        <v>1537</v>
      </c>
      <c r="D57" s="17" t="s">
        <v>189</v>
      </c>
      <c r="E57" s="17" t="s">
        <v>151</v>
      </c>
      <c r="F57" s="17" t="s">
        <v>152</v>
      </c>
      <c r="G57" s="17">
        <v>95060</v>
      </c>
      <c r="H57" s="17" t="s">
        <v>2</v>
      </c>
      <c r="I57" s="17"/>
      <c r="J57" s="40">
        <v>581</v>
      </c>
      <c r="K57" s="41">
        <v>1.75</v>
      </c>
      <c r="L57" s="17" t="s">
        <v>5</v>
      </c>
      <c r="M57" s="17" t="s">
        <v>21</v>
      </c>
      <c r="N57" s="17" t="s">
        <v>22</v>
      </c>
      <c r="O57" s="45" t="s">
        <v>147</v>
      </c>
      <c r="P57" s="17" t="s">
        <v>248</v>
      </c>
      <c r="Q57" s="17">
        <f>325/J57</f>
        <v>0.55938037865748713</v>
      </c>
      <c r="R57" s="42">
        <f>K57</f>
        <v>1.75</v>
      </c>
    </row>
    <row r="58" spans="1:18" s="12" customFormat="1" ht="30" x14ac:dyDescent="0.25">
      <c r="A58" s="17" t="s">
        <v>87</v>
      </c>
      <c r="B58" s="17" t="s">
        <v>40</v>
      </c>
      <c r="C58" s="17">
        <v>1319</v>
      </c>
      <c r="D58" s="17" t="s">
        <v>164</v>
      </c>
      <c r="E58" s="17" t="s">
        <v>151</v>
      </c>
      <c r="F58" s="17" t="s">
        <v>152</v>
      </c>
      <c r="G58" s="17">
        <v>95060</v>
      </c>
      <c r="H58" s="17" t="s">
        <v>8</v>
      </c>
      <c r="I58" s="17" t="s">
        <v>170</v>
      </c>
      <c r="J58" s="40">
        <v>1380</v>
      </c>
      <c r="K58" s="41">
        <v>1.35</v>
      </c>
      <c r="L58" s="17" t="s">
        <v>5</v>
      </c>
      <c r="M58" s="17" t="s">
        <v>173</v>
      </c>
      <c r="N58" s="17" t="s">
        <v>166</v>
      </c>
      <c r="O58" s="45" t="s">
        <v>174</v>
      </c>
      <c r="P58" s="17"/>
      <c r="Q58" s="17"/>
      <c r="R58" s="42">
        <v>1.35</v>
      </c>
    </row>
    <row r="59" spans="1:18" s="12" customFormat="1" x14ac:dyDescent="0.25">
      <c r="A59" s="17" t="s">
        <v>87</v>
      </c>
      <c r="B59" s="17" t="s">
        <v>73</v>
      </c>
      <c r="C59" s="17">
        <v>149</v>
      </c>
      <c r="D59" s="17" t="s">
        <v>216</v>
      </c>
      <c r="E59" s="17" t="s">
        <v>151</v>
      </c>
      <c r="F59" s="17" t="s">
        <v>152</v>
      </c>
      <c r="G59" s="17">
        <v>95060</v>
      </c>
      <c r="H59" s="17" t="s">
        <v>8</v>
      </c>
      <c r="I59" s="17"/>
      <c r="J59" s="40">
        <v>625</v>
      </c>
      <c r="K59" s="41">
        <v>1.25</v>
      </c>
      <c r="L59" s="17" t="s">
        <v>11</v>
      </c>
      <c r="M59" s="17" t="s">
        <v>45</v>
      </c>
      <c r="N59" s="17" t="s">
        <v>165</v>
      </c>
      <c r="O59" s="45" t="s">
        <v>174</v>
      </c>
      <c r="P59" s="17"/>
      <c r="Q59" s="17"/>
      <c r="R59" s="42">
        <f>K59</f>
        <v>1.25</v>
      </c>
    </row>
    <row r="60" spans="1:18" s="12" customFormat="1" x14ac:dyDescent="0.25">
      <c r="A60" s="17" t="s">
        <v>87</v>
      </c>
      <c r="B60" s="17" t="s">
        <v>73</v>
      </c>
      <c r="C60" s="17">
        <v>256</v>
      </c>
      <c r="D60" s="17" t="s">
        <v>191</v>
      </c>
      <c r="E60" s="17" t="s">
        <v>151</v>
      </c>
      <c r="F60" s="17" t="s">
        <v>152</v>
      </c>
      <c r="G60" s="17">
        <v>95060</v>
      </c>
      <c r="H60" s="17" t="s">
        <v>74</v>
      </c>
      <c r="I60" s="17"/>
      <c r="J60" s="40">
        <v>3200</v>
      </c>
      <c r="K60" s="41">
        <v>1</v>
      </c>
      <c r="L60" s="17" t="s">
        <v>6</v>
      </c>
      <c r="M60" s="17" t="s">
        <v>21</v>
      </c>
      <c r="N60" s="17" t="s">
        <v>22</v>
      </c>
      <c r="O60" s="45" t="s">
        <v>147</v>
      </c>
      <c r="P60" s="17"/>
      <c r="Q60" s="17"/>
      <c r="R60" s="42">
        <f>K60</f>
        <v>1</v>
      </c>
    </row>
    <row r="61" spans="1:18" s="12" customFormat="1" ht="30" x14ac:dyDescent="0.25">
      <c r="A61" s="17" t="s">
        <v>87</v>
      </c>
      <c r="B61" s="17" t="s">
        <v>73</v>
      </c>
      <c r="C61" s="17">
        <v>303</v>
      </c>
      <c r="D61" s="17" t="s">
        <v>191</v>
      </c>
      <c r="E61" s="17" t="s">
        <v>151</v>
      </c>
      <c r="F61" s="17" t="s">
        <v>152</v>
      </c>
      <c r="G61" s="17">
        <v>95060</v>
      </c>
      <c r="H61" s="17" t="s">
        <v>25</v>
      </c>
      <c r="I61" s="17"/>
      <c r="J61" s="40">
        <v>0</v>
      </c>
      <c r="K61" s="41">
        <v>0.99</v>
      </c>
      <c r="L61" s="17" t="s">
        <v>5</v>
      </c>
      <c r="M61" s="17" t="s">
        <v>77</v>
      </c>
      <c r="N61" s="17" t="s">
        <v>78</v>
      </c>
      <c r="O61" s="45" t="s">
        <v>79</v>
      </c>
      <c r="P61" s="17" t="s">
        <v>240</v>
      </c>
      <c r="Q61" s="17"/>
      <c r="R61" s="42">
        <f>K61</f>
        <v>0.99</v>
      </c>
    </row>
    <row r="62" spans="1:18" s="12" customFormat="1" ht="30" x14ac:dyDescent="0.25">
      <c r="A62" s="17" t="s">
        <v>87</v>
      </c>
      <c r="B62" s="17" t="s">
        <v>73</v>
      </c>
      <c r="C62" s="17">
        <v>55</v>
      </c>
      <c r="D62" s="17" t="s">
        <v>190</v>
      </c>
      <c r="E62" s="17" t="s">
        <v>151</v>
      </c>
      <c r="F62" s="17" t="s">
        <v>152</v>
      </c>
      <c r="G62" s="17">
        <v>95060</v>
      </c>
      <c r="H62" s="17" t="s">
        <v>8</v>
      </c>
      <c r="I62" s="40">
        <v>230</v>
      </c>
      <c r="J62" s="40">
        <v>1600</v>
      </c>
      <c r="K62" s="41">
        <v>1.6</v>
      </c>
      <c r="L62" s="17" t="s">
        <v>5</v>
      </c>
      <c r="M62" s="17" t="s">
        <v>46</v>
      </c>
      <c r="N62" s="17" t="s">
        <v>47</v>
      </c>
      <c r="O62" s="17" t="s">
        <v>48</v>
      </c>
      <c r="P62" s="17" t="s">
        <v>138</v>
      </c>
      <c r="Q62" s="17"/>
      <c r="R62" s="42">
        <f>K62</f>
        <v>1.6</v>
      </c>
    </row>
    <row r="63" spans="1:18" s="12" customFormat="1" ht="30" x14ac:dyDescent="0.25">
      <c r="A63" s="17" t="s">
        <v>87</v>
      </c>
      <c r="B63" s="17" t="s">
        <v>73</v>
      </c>
      <c r="C63" s="17">
        <v>211</v>
      </c>
      <c r="D63" s="17" t="s">
        <v>192</v>
      </c>
      <c r="E63" s="17" t="s">
        <v>151</v>
      </c>
      <c r="F63" s="17" t="s">
        <v>152</v>
      </c>
      <c r="G63" s="17">
        <v>95060</v>
      </c>
      <c r="H63" s="17" t="s">
        <v>8</v>
      </c>
      <c r="I63" s="40"/>
      <c r="J63" s="40">
        <v>6000</v>
      </c>
      <c r="K63" s="41">
        <v>1.25</v>
      </c>
      <c r="L63" s="17" t="s">
        <v>5</v>
      </c>
      <c r="M63" s="17" t="s">
        <v>46</v>
      </c>
      <c r="N63" s="17" t="s">
        <v>47</v>
      </c>
      <c r="O63" s="17" t="s">
        <v>48</v>
      </c>
      <c r="P63" s="17" t="s">
        <v>367</v>
      </c>
      <c r="Q63" s="17">
        <v>0.35</v>
      </c>
      <c r="R63" s="42">
        <f>K63</f>
        <v>1.25</v>
      </c>
    </row>
    <row r="64" spans="1:18" s="12" customFormat="1" ht="30" x14ac:dyDescent="0.25">
      <c r="A64" s="17" t="s">
        <v>87</v>
      </c>
      <c r="B64" s="17" t="s">
        <v>73</v>
      </c>
      <c r="C64" s="17">
        <v>223</v>
      </c>
      <c r="D64" s="17" t="s">
        <v>190</v>
      </c>
      <c r="E64" s="17" t="s">
        <v>151</v>
      </c>
      <c r="F64" s="17" t="s">
        <v>152</v>
      </c>
      <c r="G64" s="17">
        <v>95060</v>
      </c>
      <c r="H64" s="17" t="s">
        <v>25</v>
      </c>
      <c r="I64" s="17" t="s">
        <v>75</v>
      </c>
      <c r="J64" s="40">
        <v>500</v>
      </c>
      <c r="K64" s="41">
        <v>900</v>
      </c>
      <c r="L64" s="17"/>
      <c r="M64" s="17" t="s">
        <v>46</v>
      </c>
      <c r="N64" s="17" t="s">
        <v>47</v>
      </c>
      <c r="O64" s="17" t="s">
        <v>48</v>
      </c>
      <c r="P64" s="17" t="s">
        <v>76</v>
      </c>
      <c r="Q64" s="17"/>
      <c r="R64" s="42">
        <f>K64/J64</f>
        <v>1.8</v>
      </c>
    </row>
    <row r="65" spans="1:18" s="12" customFormat="1" ht="30" x14ac:dyDescent="0.25">
      <c r="A65" s="17" t="s">
        <v>87</v>
      </c>
      <c r="B65" s="17" t="s">
        <v>73</v>
      </c>
      <c r="C65" s="17">
        <v>415</v>
      </c>
      <c r="D65" s="17" t="s">
        <v>192</v>
      </c>
      <c r="E65" s="17" t="s">
        <v>151</v>
      </c>
      <c r="F65" s="17" t="s">
        <v>369</v>
      </c>
      <c r="G65" s="17">
        <v>95060</v>
      </c>
      <c r="H65" s="17" t="s">
        <v>7</v>
      </c>
      <c r="I65" s="17" t="s">
        <v>52</v>
      </c>
      <c r="J65" s="40">
        <v>7727</v>
      </c>
      <c r="K65" s="41">
        <v>2.4900000000000002</v>
      </c>
      <c r="L65" s="17" t="s">
        <v>5</v>
      </c>
      <c r="M65" s="17" t="s">
        <v>26</v>
      </c>
      <c r="N65" s="17" t="s">
        <v>122</v>
      </c>
      <c r="O65" s="17" t="s">
        <v>18</v>
      </c>
      <c r="P65" s="17"/>
      <c r="Q65" s="17"/>
      <c r="R65" s="42">
        <v>2.4900000000000002</v>
      </c>
    </row>
    <row r="66" spans="1:18" s="12" customFormat="1" ht="30" x14ac:dyDescent="0.25">
      <c r="A66" s="17" t="s">
        <v>87</v>
      </c>
      <c r="B66" s="17" t="s">
        <v>73</v>
      </c>
      <c r="C66" s="17">
        <v>720</v>
      </c>
      <c r="D66" s="17" t="s">
        <v>190</v>
      </c>
      <c r="E66" s="17" t="s">
        <v>151</v>
      </c>
      <c r="F66" s="17" t="s">
        <v>152</v>
      </c>
      <c r="G66" s="17">
        <v>95060</v>
      </c>
      <c r="H66" s="17" t="s">
        <v>25</v>
      </c>
      <c r="I66" s="17"/>
      <c r="J66" s="40">
        <v>2400</v>
      </c>
      <c r="K66" s="41">
        <v>3200</v>
      </c>
      <c r="L66" s="17"/>
      <c r="M66" s="17" t="s">
        <v>83</v>
      </c>
      <c r="N66" s="17" t="s">
        <v>84</v>
      </c>
      <c r="O66" s="45" t="s">
        <v>85</v>
      </c>
      <c r="P66" s="17" t="s">
        <v>157</v>
      </c>
      <c r="Q66" s="17"/>
      <c r="R66" s="42">
        <v>3.3</v>
      </c>
    </row>
    <row r="67" spans="1:18" s="12" customFormat="1" ht="30" x14ac:dyDescent="0.25">
      <c r="A67" s="17" t="s">
        <v>87</v>
      </c>
      <c r="B67" s="17" t="s">
        <v>73</v>
      </c>
      <c r="C67" s="17">
        <v>600</v>
      </c>
      <c r="D67" s="17" t="s">
        <v>192</v>
      </c>
      <c r="E67" s="17" t="s">
        <v>151</v>
      </c>
      <c r="F67" s="17" t="s">
        <v>152</v>
      </c>
      <c r="G67" s="17">
        <v>95060</v>
      </c>
      <c r="H67" s="17" t="s">
        <v>7</v>
      </c>
      <c r="I67" s="17"/>
      <c r="J67" s="40">
        <v>1150</v>
      </c>
      <c r="K67" s="41">
        <v>3.25</v>
      </c>
      <c r="L67" s="17"/>
      <c r="M67" s="17" t="s">
        <v>81</v>
      </c>
      <c r="N67" s="17" t="s">
        <v>82</v>
      </c>
      <c r="O67" s="17" t="s">
        <v>80</v>
      </c>
      <c r="P67" s="17"/>
      <c r="Q67" s="17"/>
      <c r="R67" s="42">
        <v>3.25</v>
      </c>
    </row>
    <row r="68" spans="1:18" s="12" customFormat="1" ht="30" x14ac:dyDescent="0.25">
      <c r="A68" s="17" t="s">
        <v>87</v>
      </c>
      <c r="B68" s="17" t="s">
        <v>73</v>
      </c>
      <c r="C68" s="17">
        <v>600</v>
      </c>
      <c r="D68" s="17" t="s">
        <v>192</v>
      </c>
      <c r="E68" s="17" t="s">
        <v>151</v>
      </c>
      <c r="F68" s="17" t="s">
        <v>152</v>
      </c>
      <c r="G68" s="17">
        <v>95060</v>
      </c>
      <c r="H68" s="17" t="s">
        <v>7</v>
      </c>
      <c r="I68" s="17"/>
      <c r="J68" s="40">
        <v>2880</v>
      </c>
      <c r="K68" s="41">
        <v>3.25</v>
      </c>
      <c r="L68" s="17"/>
      <c r="M68" s="17" t="s">
        <v>81</v>
      </c>
      <c r="N68" s="17" t="s">
        <v>82</v>
      </c>
      <c r="O68" s="17" t="s">
        <v>80</v>
      </c>
      <c r="P68" s="17" t="s">
        <v>210</v>
      </c>
      <c r="Q68" s="17"/>
      <c r="R68" s="42">
        <v>3.25</v>
      </c>
    </row>
    <row r="69" spans="1:18" s="12" customFormat="1" x14ac:dyDescent="0.25">
      <c r="A69" s="17" t="s">
        <v>88</v>
      </c>
      <c r="B69" s="17" t="s">
        <v>115</v>
      </c>
      <c r="C69" s="17">
        <v>350</v>
      </c>
      <c r="D69" s="17" t="s">
        <v>198</v>
      </c>
      <c r="E69" s="17" t="s">
        <v>151</v>
      </c>
      <c r="F69" s="17" t="s">
        <v>152</v>
      </c>
      <c r="G69" s="17">
        <v>95060</v>
      </c>
      <c r="H69" s="17" t="s">
        <v>25</v>
      </c>
      <c r="I69" s="17"/>
      <c r="J69" s="40">
        <v>650</v>
      </c>
      <c r="K69" s="41">
        <v>750</v>
      </c>
      <c r="L69" s="17"/>
      <c r="M69" s="17" t="s">
        <v>110</v>
      </c>
      <c r="N69" s="17" t="s">
        <v>101</v>
      </c>
      <c r="O69" s="17" t="s">
        <v>10</v>
      </c>
      <c r="P69" s="17"/>
      <c r="Q69" s="17"/>
      <c r="R69" s="42">
        <f>K69/J69</f>
        <v>1.1538461538461537</v>
      </c>
    </row>
    <row r="70" spans="1:18" s="12" customFormat="1" ht="30" x14ac:dyDescent="0.25">
      <c r="A70" s="17" t="s">
        <v>88</v>
      </c>
      <c r="B70" s="17" t="s">
        <v>115</v>
      </c>
      <c r="C70" s="17">
        <v>155</v>
      </c>
      <c r="D70" s="17" t="s">
        <v>195</v>
      </c>
      <c r="E70" s="17" t="s">
        <v>151</v>
      </c>
      <c r="F70" s="17" t="s">
        <v>152</v>
      </c>
      <c r="G70" s="17">
        <v>95060</v>
      </c>
      <c r="H70" s="17" t="s">
        <v>25</v>
      </c>
      <c r="I70" s="17"/>
      <c r="J70" s="40">
        <v>14700</v>
      </c>
      <c r="K70" s="41">
        <v>1</v>
      </c>
      <c r="L70" s="17" t="s">
        <v>5</v>
      </c>
      <c r="M70" s="17" t="s">
        <v>249</v>
      </c>
      <c r="N70" s="17" t="s">
        <v>250</v>
      </c>
      <c r="O70" s="17" t="s">
        <v>251</v>
      </c>
      <c r="P70" s="17"/>
      <c r="Q70" s="17"/>
      <c r="R70" s="42">
        <f>K70</f>
        <v>1</v>
      </c>
    </row>
    <row r="71" spans="1:18" s="12" customFormat="1" ht="30" x14ac:dyDescent="0.25">
      <c r="A71" s="17" t="s">
        <v>88</v>
      </c>
      <c r="B71" s="17" t="s">
        <v>115</v>
      </c>
      <c r="C71" s="17">
        <v>165</v>
      </c>
      <c r="D71" s="17" t="s">
        <v>195</v>
      </c>
      <c r="E71" s="17" t="s">
        <v>151</v>
      </c>
      <c r="F71" s="17" t="s">
        <v>152</v>
      </c>
      <c r="G71" s="17">
        <v>95060</v>
      </c>
      <c r="H71" s="17" t="s">
        <v>25</v>
      </c>
      <c r="I71" s="17"/>
      <c r="J71" s="40">
        <v>18700</v>
      </c>
      <c r="K71" s="41">
        <v>1</v>
      </c>
      <c r="L71" s="17" t="s">
        <v>5</v>
      </c>
      <c r="M71" s="17" t="s">
        <v>249</v>
      </c>
      <c r="N71" s="17" t="s">
        <v>250</v>
      </c>
      <c r="O71" s="17" t="s">
        <v>251</v>
      </c>
      <c r="P71" s="17"/>
      <c r="Q71" s="17"/>
      <c r="R71" s="42">
        <f>K71</f>
        <v>1</v>
      </c>
    </row>
    <row r="72" spans="1:18" s="12" customFormat="1" ht="30" x14ac:dyDescent="0.25">
      <c r="A72" s="17" t="s">
        <v>88</v>
      </c>
      <c r="B72" s="17" t="s">
        <v>115</v>
      </c>
      <c r="C72" s="17">
        <v>229</v>
      </c>
      <c r="D72" s="17" t="s">
        <v>197</v>
      </c>
      <c r="E72" s="17" t="s">
        <v>151</v>
      </c>
      <c r="F72" s="17" t="s">
        <v>152</v>
      </c>
      <c r="G72" s="17">
        <v>95060</v>
      </c>
      <c r="H72" s="17" t="s">
        <v>25</v>
      </c>
      <c r="I72" s="17" t="s">
        <v>170</v>
      </c>
      <c r="J72" s="40">
        <v>2800</v>
      </c>
      <c r="K72" s="41">
        <v>0.85</v>
      </c>
      <c r="L72" s="17"/>
      <c r="M72" s="17" t="s">
        <v>119</v>
      </c>
      <c r="N72" s="17" t="s">
        <v>120</v>
      </c>
      <c r="O72" s="45" t="s">
        <v>121</v>
      </c>
      <c r="P72" s="17"/>
      <c r="Q72" s="17"/>
      <c r="R72" s="42">
        <f>K72</f>
        <v>0.85</v>
      </c>
    </row>
    <row r="73" spans="1:18" s="12" customFormat="1" x14ac:dyDescent="0.25">
      <c r="A73" s="17" t="s">
        <v>88</v>
      </c>
      <c r="B73" s="17" t="s">
        <v>115</v>
      </c>
      <c r="C73" s="17">
        <v>235</v>
      </c>
      <c r="D73" s="17" t="s">
        <v>196</v>
      </c>
      <c r="E73" s="17" t="s">
        <v>151</v>
      </c>
      <c r="F73" s="17" t="s">
        <v>152</v>
      </c>
      <c r="G73" s="17">
        <v>95060</v>
      </c>
      <c r="H73" s="17" t="s">
        <v>88</v>
      </c>
      <c r="I73" s="17"/>
      <c r="J73" s="40">
        <v>5000</v>
      </c>
      <c r="K73" s="41">
        <v>750</v>
      </c>
      <c r="L73" s="17"/>
      <c r="M73" s="17" t="s">
        <v>60</v>
      </c>
      <c r="N73" s="17" t="s">
        <v>61</v>
      </c>
      <c r="O73" s="17" t="s">
        <v>62</v>
      </c>
      <c r="P73" s="17" t="s">
        <v>116</v>
      </c>
      <c r="Q73" s="17"/>
      <c r="R73" s="42">
        <f>K73/J73</f>
        <v>0.15</v>
      </c>
    </row>
    <row r="74" spans="1:18" s="12" customFormat="1" ht="30" x14ac:dyDescent="0.25">
      <c r="A74" s="17" t="s">
        <v>88</v>
      </c>
      <c r="B74" s="17" t="s">
        <v>115</v>
      </c>
      <c r="C74" s="17">
        <v>115</v>
      </c>
      <c r="D74" s="17" t="s">
        <v>194</v>
      </c>
      <c r="E74" s="17" t="s">
        <v>151</v>
      </c>
      <c r="F74" s="17" t="s">
        <v>152</v>
      </c>
      <c r="G74" s="17">
        <v>95060</v>
      </c>
      <c r="H74" s="17" t="s">
        <v>50</v>
      </c>
      <c r="I74" s="17"/>
      <c r="J74" s="40">
        <v>4200</v>
      </c>
      <c r="K74" s="41">
        <v>1</v>
      </c>
      <c r="L74" s="17" t="s">
        <v>11</v>
      </c>
      <c r="M74" s="17" t="s">
        <v>63</v>
      </c>
      <c r="N74" s="17" t="s">
        <v>146</v>
      </c>
      <c r="O74" s="17" t="s">
        <v>145</v>
      </c>
      <c r="P74" s="17"/>
      <c r="Q74" s="17"/>
      <c r="R74" s="42">
        <f>K74</f>
        <v>1</v>
      </c>
    </row>
    <row r="75" spans="1:18" s="12" customFormat="1" ht="16.5" customHeight="1" x14ac:dyDescent="0.25">
      <c r="A75" s="17" t="s">
        <v>88</v>
      </c>
      <c r="B75" s="17" t="s">
        <v>115</v>
      </c>
      <c r="C75" s="17">
        <v>151</v>
      </c>
      <c r="D75" s="17" t="s">
        <v>194</v>
      </c>
      <c r="E75" s="17" t="s">
        <v>151</v>
      </c>
      <c r="F75" s="17" t="s">
        <v>152</v>
      </c>
      <c r="G75" s="17">
        <v>95060</v>
      </c>
      <c r="H75" s="17" t="s">
        <v>74</v>
      </c>
      <c r="I75" s="17"/>
      <c r="J75" s="40">
        <v>14000</v>
      </c>
      <c r="K75" s="41">
        <v>1</v>
      </c>
      <c r="L75" s="17" t="s">
        <v>96</v>
      </c>
      <c r="M75" s="17" t="s">
        <v>26</v>
      </c>
      <c r="N75" s="17" t="s">
        <v>122</v>
      </c>
      <c r="O75" s="17" t="s">
        <v>18</v>
      </c>
      <c r="P75" s="17"/>
      <c r="Q75" s="17"/>
      <c r="R75" s="42">
        <f>K75</f>
        <v>1</v>
      </c>
    </row>
    <row r="76" spans="1:18" s="12" customFormat="1" ht="30" x14ac:dyDescent="0.25">
      <c r="A76" s="17" t="s">
        <v>88</v>
      </c>
      <c r="B76" s="17" t="s">
        <v>115</v>
      </c>
      <c r="C76" s="17">
        <v>298</v>
      </c>
      <c r="D76" s="17" t="s">
        <v>194</v>
      </c>
      <c r="E76" s="17" t="s">
        <v>151</v>
      </c>
      <c r="F76" s="17" t="s">
        <v>152</v>
      </c>
      <c r="G76" s="17">
        <v>95060</v>
      </c>
      <c r="H76" s="17" t="s">
        <v>74</v>
      </c>
      <c r="I76" s="17"/>
      <c r="J76" s="40">
        <v>11700</v>
      </c>
      <c r="K76" s="41">
        <v>1.05</v>
      </c>
      <c r="L76" s="42" t="s">
        <v>11</v>
      </c>
      <c r="M76" s="17" t="s">
        <v>107</v>
      </c>
      <c r="N76" s="17" t="s">
        <v>101</v>
      </c>
      <c r="O76" s="17" t="s">
        <v>10</v>
      </c>
      <c r="P76" s="17" t="s">
        <v>117</v>
      </c>
      <c r="Q76" s="17"/>
      <c r="R76" s="42">
        <f>K76</f>
        <v>1.05</v>
      </c>
    </row>
    <row r="77" spans="1:18" s="12" customFormat="1" x14ac:dyDescent="0.25">
      <c r="A77" s="17" t="s">
        <v>88</v>
      </c>
      <c r="B77" s="17" t="s">
        <v>115</v>
      </c>
      <c r="C77" s="17">
        <v>115</v>
      </c>
      <c r="D77" s="17" t="s">
        <v>207</v>
      </c>
      <c r="E77" s="17" t="s">
        <v>151</v>
      </c>
      <c r="F77" s="17" t="s">
        <v>152</v>
      </c>
      <c r="G77" s="17">
        <v>95060</v>
      </c>
      <c r="H77" s="17" t="s">
        <v>8</v>
      </c>
      <c r="I77" s="17"/>
      <c r="J77" s="40">
        <v>3800</v>
      </c>
      <c r="K77" s="41">
        <v>1</v>
      </c>
      <c r="L77" s="17" t="s">
        <v>11</v>
      </c>
      <c r="M77" s="17" t="s">
        <v>21</v>
      </c>
      <c r="N77" s="17" t="s">
        <v>22</v>
      </c>
      <c r="O77" s="45" t="s">
        <v>147</v>
      </c>
      <c r="P77" s="17" t="s">
        <v>118</v>
      </c>
      <c r="Q77" s="17"/>
      <c r="R77" s="42">
        <f>K77</f>
        <v>1</v>
      </c>
    </row>
    <row r="78" spans="1:18" s="12" customFormat="1" ht="30" x14ac:dyDescent="0.25">
      <c r="A78" s="17" t="s">
        <v>88</v>
      </c>
      <c r="B78" s="17" t="s">
        <v>115</v>
      </c>
      <c r="C78" s="17">
        <v>100</v>
      </c>
      <c r="D78" s="17" t="s">
        <v>193</v>
      </c>
      <c r="E78" s="17" t="s">
        <v>151</v>
      </c>
      <c r="F78" s="17" t="s">
        <v>152</v>
      </c>
      <c r="G78" s="17">
        <v>95060</v>
      </c>
      <c r="H78" s="17" t="s">
        <v>25</v>
      </c>
      <c r="I78" s="17"/>
      <c r="J78" s="40">
        <v>6500</v>
      </c>
      <c r="K78" s="41">
        <v>1.1000000000000001</v>
      </c>
      <c r="L78" s="17" t="s">
        <v>96</v>
      </c>
      <c r="M78" s="17" t="s">
        <v>108</v>
      </c>
      <c r="N78" s="17" t="s">
        <v>123</v>
      </c>
      <c r="O78" s="17" t="s">
        <v>109</v>
      </c>
      <c r="P78" s="17" t="s">
        <v>158</v>
      </c>
      <c r="Q78" s="17"/>
      <c r="R78" s="42">
        <f>K78</f>
        <v>1.1000000000000001</v>
      </c>
    </row>
    <row r="79" spans="1:18" s="12" customFormat="1" ht="30" x14ac:dyDescent="0.25">
      <c r="A79" s="17" t="s">
        <v>88</v>
      </c>
      <c r="B79" s="17" t="s">
        <v>124</v>
      </c>
      <c r="C79" s="17">
        <v>100</v>
      </c>
      <c r="D79" s="17" t="s">
        <v>199</v>
      </c>
      <c r="E79" s="17" t="s">
        <v>151</v>
      </c>
      <c r="F79" s="17" t="s">
        <v>152</v>
      </c>
      <c r="G79" s="17">
        <v>95062</v>
      </c>
      <c r="H79" s="17" t="s">
        <v>8</v>
      </c>
      <c r="I79" s="17" t="s">
        <v>75</v>
      </c>
      <c r="J79" s="40">
        <v>685</v>
      </c>
      <c r="K79" s="41">
        <v>1.6</v>
      </c>
      <c r="L79" s="17" t="s">
        <v>5</v>
      </c>
      <c r="M79" s="17" t="s">
        <v>27</v>
      </c>
      <c r="N79" s="17" t="s">
        <v>28</v>
      </c>
      <c r="O79" s="17" t="s">
        <v>9</v>
      </c>
      <c r="P79" s="17"/>
      <c r="Q79" s="17"/>
      <c r="R79" s="42">
        <f>K79</f>
        <v>1.6</v>
      </c>
    </row>
    <row r="80" spans="1:18" s="12" customFormat="1" ht="30" x14ac:dyDescent="0.25">
      <c r="A80" s="17" t="s">
        <v>88</v>
      </c>
      <c r="B80" s="17" t="s">
        <v>124</v>
      </c>
      <c r="C80" s="17">
        <v>100</v>
      </c>
      <c r="D80" s="17" t="s">
        <v>199</v>
      </c>
      <c r="E80" s="17" t="s">
        <v>151</v>
      </c>
      <c r="F80" s="17" t="s">
        <v>152</v>
      </c>
      <c r="G80" s="17">
        <v>95062</v>
      </c>
      <c r="H80" s="17" t="s">
        <v>25</v>
      </c>
      <c r="I80" s="17" t="s">
        <v>44</v>
      </c>
      <c r="J80" s="40">
        <v>872</v>
      </c>
      <c r="K80" s="41">
        <v>1.6</v>
      </c>
      <c r="L80" s="17" t="s">
        <v>5</v>
      </c>
      <c r="M80" s="17" t="s">
        <v>27</v>
      </c>
      <c r="N80" s="17" t="s">
        <v>28</v>
      </c>
      <c r="O80" s="17" t="s">
        <v>9</v>
      </c>
      <c r="P80" s="17"/>
      <c r="Q80" s="17"/>
      <c r="R80" s="42">
        <f>K80</f>
        <v>1.6</v>
      </c>
    </row>
    <row r="81" spans="1:18" s="12" customFormat="1" ht="30" x14ac:dyDescent="0.25">
      <c r="A81" s="17" t="s">
        <v>88</v>
      </c>
      <c r="B81" s="17" t="s">
        <v>124</v>
      </c>
      <c r="C81" s="17">
        <v>347</v>
      </c>
      <c r="D81" s="17" t="s">
        <v>238</v>
      </c>
      <c r="E81" s="17" t="s">
        <v>151</v>
      </c>
      <c r="F81" s="17" t="s">
        <v>152</v>
      </c>
      <c r="G81" s="17">
        <v>95062</v>
      </c>
      <c r="H81" s="17" t="s">
        <v>25</v>
      </c>
      <c r="I81" s="17"/>
      <c r="J81" s="40">
        <v>1000</v>
      </c>
      <c r="K81" s="41">
        <v>1500</v>
      </c>
      <c r="L81" s="17" t="s">
        <v>6</v>
      </c>
      <c r="M81" s="17" t="s">
        <v>239</v>
      </c>
      <c r="N81" s="17" t="s">
        <v>101</v>
      </c>
      <c r="O81" s="17" t="s">
        <v>10</v>
      </c>
      <c r="P81" s="17"/>
      <c r="Q81" s="17"/>
      <c r="R81" s="42">
        <f>K81/J81</f>
        <v>1.5</v>
      </c>
    </row>
    <row r="82" spans="1:18" s="12" customFormat="1" ht="30" x14ac:dyDescent="0.25">
      <c r="A82" s="17" t="s">
        <v>88</v>
      </c>
      <c r="B82" s="17" t="s">
        <v>124</v>
      </c>
      <c r="C82" s="17">
        <v>530</v>
      </c>
      <c r="D82" s="17" t="s">
        <v>202</v>
      </c>
      <c r="E82" s="17" t="s">
        <v>151</v>
      </c>
      <c r="F82" s="17" t="s">
        <v>152</v>
      </c>
      <c r="G82" s="17">
        <v>95060</v>
      </c>
      <c r="H82" s="17" t="s">
        <v>25</v>
      </c>
      <c r="I82" s="17"/>
      <c r="J82" s="40">
        <v>1200</v>
      </c>
      <c r="K82" s="41">
        <v>1.25</v>
      </c>
      <c r="L82" s="17" t="s">
        <v>5</v>
      </c>
      <c r="M82" s="17" t="s">
        <v>46</v>
      </c>
      <c r="N82" s="17" t="s">
        <v>47</v>
      </c>
      <c r="O82" s="17" t="s">
        <v>48</v>
      </c>
      <c r="P82" s="17"/>
      <c r="Q82" s="17"/>
      <c r="R82" s="42">
        <v>1.25</v>
      </c>
    </row>
    <row r="83" spans="1:18" s="12" customFormat="1" ht="30" x14ac:dyDescent="0.25">
      <c r="A83" s="17" t="s">
        <v>88</v>
      </c>
      <c r="B83" s="17" t="s">
        <v>124</v>
      </c>
      <c r="C83" s="17">
        <v>542</v>
      </c>
      <c r="D83" s="17" t="s">
        <v>202</v>
      </c>
      <c r="E83" s="17" t="s">
        <v>151</v>
      </c>
      <c r="F83" s="17" t="s">
        <v>152</v>
      </c>
      <c r="G83" s="17">
        <v>95060</v>
      </c>
      <c r="H83" s="17" t="s">
        <v>125</v>
      </c>
      <c r="I83" s="17" t="s">
        <v>43</v>
      </c>
      <c r="J83" s="40">
        <v>525</v>
      </c>
      <c r="K83" s="41">
        <v>1.25</v>
      </c>
      <c r="L83" s="17" t="s">
        <v>5</v>
      </c>
      <c r="M83" s="17" t="s">
        <v>46</v>
      </c>
      <c r="N83" s="17" t="s">
        <v>47</v>
      </c>
      <c r="O83" s="17" t="s">
        <v>130</v>
      </c>
      <c r="P83" s="17"/>
      <c r="Q83" s="17">
        <v>0.36</v>
      </c>
      <c r="R83" s="42">
        <f>K83</f>
        <v>1.25</v>
      </c>
    </row>
    <row r="84" spans="1:18" s="12" customFormat="1" ht="30" x14ac:dyDescent="0.25">
      <c r="A84" s="17" t="s">
        <v>88</v>
      </c>
      <c r="B84" s="17" t="s">
        <v>124</v>
      </c>
      <c r="C84" s="17">
        <v>806</v>
      </c>
      <c r="D84" s="17" t="s">
        <v>202</v>
      </c>
      <c r="E84" s="17" t="s">
        <v>151</v>
      </c>
      <c r="F84" s="17" t="s">
        <v>152</v>
      </c>
      <c r="G84" s="17">
        <v>95060</v>
      </c>
      <c r="H84" s="17" t="s">
        <v>50</v>
      </c>
      <c r="I84" s="17"/>
      <c r="J84" s="40">
        <v>6200</v>
      </c>
      <c r="K84" s="41">
        <v>1.58</v>
      </c>
      <c r="L84" s="17" t="s">
        <v>5</v>
      </c>
      <c r="M84" s="17" t="s">
        <v>37</v>
      </c>
      <c r="N84" s="17" t="s">
        <v>38</v>
      </c>
      <c r="O84" s="17" t="s">
        <v>39</v>
      </c>
      <c r="P84" s="17" t="s">
        <v>131</v>
      </c>
      <c r="Q84" s="17"/>
      <c r="R84" s="42">
        <f>K84</f>
        <v>1.58</v>
      </c>
    </row>
    <row r="85" spans="1:18" s="12" customFormat="1" ht="45" x14ac:dyDescent="0.25">
      <c r="A85" s="17" t="s">
        <v>88</v>
      </c>
      <c r="B85" s="17" t="s">
        <v>124</v>
      </c>
      <c r="C85" s="17">
        <v>500</v>
      </c>
      <c r="D85" s="17" t="s">
        <v>201</v>
      </c>
      <c r="E85" s="17" t="s">
        <v>151</v>
      </c>
      <c r="F85" s="17" t="s">
        <v>152</v>
      </c>
      <c r="G85" s="17">
        <v>95062</v>
      </c>
      <c r="H85" s="17" t="s">
        <v>25</v>
      </c>
      <c r="I85" s="17">
        <v>105</v>
      </c>
      <c r="J85" s="40">
        <v>2497</v>
      </c>
      <c r="K85" s="41">
        <v>1.5</v>
      </c>
      <c r="L85" s="17" t="s">
        <v>96</v>
      </c>
      <c r="M85" s="17" t="s">
        <v>27</v>
      </c>
      <c r="N85" s="17" t="s">
        <v>28</v>
      </c>
      <c r="O85" s="17" t="s">
        <v>9</v>
      </c>
      <c r="P85" s="17" t="s">
        <v>132</v>
      </c>
      <c r="Q85" s="17"/>
      <c r="R85" s="42">
        <f>K85</f>
        <v>1.5</v>
      </c>
    </row>
    <row r="86" spans="1:18" s="12" customFormat="1" ht="30" x14ac:dyDescent="0.25">
      <c r="A86" s="17" t="s">
        <v>88</v>
      </c>
      <c r="B86" s="17" t="s">
        <v>124</v>
      </c>
      <c r="C86" s="17">
        <v>1729</v>
      </c>
      <c r="D86" s="17" t="s">
        <v>201</v>
      </c>
      <c r="E86" s="17" t="s">
        <v>151</v>
      </c>
      <c r="F86" s="17" t="s">
        <v>152</v>
      </c>
      <c r="G86" s="17">
        <v>95062</v>
      </c>
      <c r="H86" s="17" t="s">
        <v>25</v>
      </c>
      <c r="I86" s="17" t="s">
        <v>52</v>
      </c>
      <c r="J86" s="40">
        <v>1056</v>
      </c>
      <c r="K86" s="41">
        <v>1</v>
      </c>
      <c r="L86" s="17" t="s">
        <v>6</v>
      </c>
      <c r="M86" s="17" t="s">
        <v>46</v>
      </c>
      <c r="N86" s="17" t="s">
        <v>47</v>
      </c>
      <c r="O86" s="17" t="s">
        <v>130</v>
      </c>
      <c r="P86" s="17"/>
      <c r="Q86" s="17"/>
      <c r="R86" s="42">
        <f>K86</f>
        <v>1</v>
      </c>
    </row>
    <row r="87" spans="1:18" s="12" customFormat="1" ht="30" x14ac:dyDescent="0.25">
      <c r="A87" s="17" t="s">
        <v>88</v>
      </c>
      <c r="B87" s="17" t="s">
        <v>124</v>
      </c>
      <c r="C87" s="17">
        <v>305</v>
      </c>
      <c r="D87" s="17" t="s">
        <v>200</v>
      </c>
      <c r="E87" s="17" t="s">
        <v>151</v>
      </c>
      <c r="F87" s="17" t="s">
        <v>152</v>
      </c>
      <c r="G87" s="17">
        <v>95060</v>
      </c>
      <c r="H87" s="17" t="s">
        <v>7</v>
      </c>
      <c r="I87" s="17" t="s">
        <v>54</v>
      </c>
      <c r="J87" s="40">
        <v>670</v>
      </c>
      <c r="K87" s="41">
        <v>1100</v>
      </c>
      <c r="L87" s="17" t="s">
        <v>6</v>
      </c>
      <c r="M87" s="17" t="s">
        <v>37</v>
      </c>
      <c r="N87" s="17" t="s">
        <v>38</v>
      </c>
      <c r="O87" s="17" t="s">
        <v>39</v>
      </c>
      <c r="P87" s="17" t="s">
        <v>133</v>
      </c>
      <c r="Q87" s="17"/>
      <c r="R87" s="42">
        <f>K87/J87</f>
        <v>1.6417910447761195</v>
      </c>
    </row>
    <row r="88" spans="1:18" s="12" customFormat="1" ht="30" x14ac:dyDescent="0.25">
      <c r="A88" s="17" t="s">
        <v>88</v>
      </c>
      <c r="B88" s="17" t="s">
        <v>124</v>
      </c>
      <c r="C88" s="17">
        <v>317</v>
      </c>
      <c r="D88" s="17" t="s">
        <v>200</v>
      </c>
      <c r="E88" s="17" t="s">
        <v>151</v>
      </c>
      <c r="F88" s="17" t="s">
        <v>152</v>
      </c>
      <c r="G88" s="17">
        <v>95062</v>
      </c>
      <c r="H88" s="17" t="s">
        <v>8</v>
      </c>
      <c r="I88" s="17"/>
      <c r="J88" s="40">
        <v>2200</v>
      </c>
      <c r="K88" s="41">
        <v>1.55</v>
      </c>
      <c r="L88" s="17" t="s">
        <v>6</v>
      </c>
      <c r="M88" s="17" t="s">
        <v>37</v>
      </c>
      <c r="N88" s="17" t="s">
        <v>38</v>
      </c>
      <c r="O88" s="17" t="s">
        <v>39</v>
      </c>
      <c r="P88" s="17" t="s">
        <v>134</v>
      </c>
      <c r="Q88" s="17"/>
      <c r="R88" s="42">
        <f>K88</f>
        <v>1.55</v>
      </c>
    </row>
    <row r="89" spans="1:18" s="12" customFormat="1" ht="30" x14ac:dyDescent="0.25">
      <c r="A89" s="17" t="s">
        <v>88</v>
      </c>
      <c r="B89" s="17" t="s">
        <v>124</v>
      </c>
      <c r="C89" s="17">
        <v>345</v>
      </c>
      <c r="D89" s="17" t="s">
        <v>200</v>
      </c>
      <c r="E89" s="17" t="s">
        <v>151</v>
      </c>
      <c r="F89" s="17" t="s">
        <v>152</v>
      </c>
      <c r="G89" s="17">
        <v>95062</v>
      </c>
      <c r="H89" s="17" t="s">
        <v>7</v>
      </c>
      <c r="I89" s="17"/>
      <c r="J89" s="40">
        <v>1050</v>
      </c>
      <c r="K89" s="41"/>
      <c r="L89" s="17"/>
      <c r="M89" s="17" t="s">
        <v>254</v>
      </c>
      <c r="N89" s="17" t="s">
        <v>255</v>
      </c>
      <c r="O89" s="17" t="s">
        <v>256</v>
      </c>
      <c r="P89" s="17"/>
      <c r="Q89" s="17"/>
      <c r="R89" s="42"/>
    </row>
    <row r="90" spans="1:18" s="12" customFormat="1" ht="30" x14ac:dyDescent="0.25">
      <c r="A90" s="17" t="s">
        <v>88</v>
      </c>
      <c r="B90" s="17" t="s">
        <v>124</v>
      </c>
      <c r="C90" s="17">
        <v>530</v>
      </c>
      <c r="D90" s="17" t="s">
        <v>200</v>
      </c>
      <c r="E90" s="17" t="s">
        <v>151</v>
      </c>
      <c r="F90" s="17" t="s">
        <v>152</v>
      </c>
      <c r="G90" s="17">
        <v>95062</v>
      </c>
      <c r="H90" s="17" t="s">
        <v>25</v>
      </c>
      <c r="I90" s="17"/>
      <c r="J90" s="40">
        <v>1000</v>
      </c>
      <c r="K90" s="41">
        <v>1500</v>
      </c>
      <c r="L90" s="17" t="s">
        <v>6</v>
      </c>
      <c r="M90" s="17" t="s">
        <v>46</v>
      </c>
      <c r="N90" s="17" t="s">
        <v>47</v>
      </c>
      <c r="O90" s="17" t="s">
        <v>130</v>
      </c>
      <c r="P90" s="17" t="s">
        <v>244</v>
      </c>
      <c r="Q90" s="41"/>
      <c r="R90" s="42">
        <f>K90/J90</f>
        <v>1.5</v>
      </c>
    </row>
    <row r="91" spans="1:18" s="12" customFormat="1" ht="30" x14ac:dyDescent="0.25">
      <c r="A91" s="17" t="s">
        <v>88</v>
      </c>
      <c r="B91" s="17" t="s">
        <v>124</v>
      </c>
      <c r="C91" s="17">
        <v>619</v>
      </c>
      <c r="D91" s="17" t="s">
        <v>200</v>
      </c>
      <c r="E91" s="17" t="s">
        <v>151</v>
      </c>
      <c r="F91" s="17" t="s">
        <v>152</v>
      </c>
      <c r="G91" s="17">
        <v>95062</v>
      </c>
      <c r="H91" s="17" t="s">
        <v>25</v>
      </c>
      <c r="I91" s="17"/>
      <c r="J91" s="40">
        <v>1700</v>
      </c>
      <c r="K91" s="41">
        <v>1900</v>
      </c>
      <c r="L91" s="17" t="s">
        <v>6</v>
      </c>
      <c r="M91" s="17" t="s">
        <v>46</v>
      </c>
      <c r="N91" s="17" t="s">
        <v>47</v>
      </c>
      <c r="O91" s="17" t="s">
        <v>130</v>
      </c>
      <c r="P91" s="17"/>
      <c r="Q91" s="17"/>
      <c r="R91" s="42">
        <f>K91/J91</f>
        <v>1.1176470588235294</v>
      </c>
    </row>
    <row r="92" spans="1:18" s="12" customFormat="1" ht="30" x14ac:dyDescent="0.25">
      <c r="A92" s="17" t="s">
        <v>88</v>
      </c>
      <c r="B92" s="17" t="s">
        <v>124</v>
      </c>
      <c r="C92" s="17">
        <v>1414</v>
      </c>
      <c r="D92" s="17" t="s">
        <v>200</v>
      </c>
      <c r="E92" s="17" t="s">
        <v>151</v>
      </c>
      <c r="F92" s="17" t="s">
        <v>152</v>
      </c>
      <c r="G92" s="17">
        <v>95062</v>
      </c>
      <c r="H92" s="17" t="s">
        <v>25</v>
      </c>
      <c r="I92" s="17">
        <v>105</v>
      </c>
      <c r="J92" s="40">
        <v>1586</v>
      </c>
      <c r="K92" s="41">
        <v>3200</v>
      </c>
      <c r="L92" s="17" t="s">
        <v>6</v>
      </c>
      <c r="M92" s="17" t="s">
        <v>135</v>
      </c>
      <c r="N92" s="17" t="s">
        <v>136</v>
      </c>
      <c r="O92" s="17" t="s">
        <v>261</v>
      </c>
      <c r="P92" s="17"/>
      <c r="Q92" s="17"/>
      <c r="R92" s="42">
        <f>K92/J92</f>
        <v>2.0176544766708702</v>
      </c>
    </row>
    <row r="93" spans="1:18" s="12" customFormat="1" ht="30" x14ac:dyDescent="0.25">
      <c r="A93" s="17" t="s">
        <v>88</v>
      </c>
      <c r="B93" s="17" t="s">
        <v>124</v>
      </c>
      <c r="C93" s="17">
        <v>1414</v>
      </c>
      <c r="D93" s="17" t="s">
        <v>200</v>
      </c>
      <c r="E93" s="17" t="s">
        <v>151</v>
      </c>
      <c r="F93" s="17" t="s">
        <v>152</v>
      </c>
      <c r="G93" s="17">
        <v>95062</v>
      </c>
      <c r="H93" s="17" t="s">
        <v>25</v>
      </c>
      <c r="I93" s="17">
        <v>211</v>
      </c>
      <c r="J93" s="40">
        <v>1366</v>
      </c>
      <c r="K93" s="41">
        <v>2730</v>
      </c>
      <c r="L93" s="17" t="s">
        <v>6</v>
      </c>
      <c r="M93" s="17" t="s">
        <v>135</v>
      </c>
      <c r="N93" s="17" t="s">
        <v>136</v>
      </c>
      <c r="O93" s="17" t="s">
        <v>261</v>
      </c>
      <c r="P93" s="17"/>
      <c r="Q93" s="17"/>
      <c r="R93" s="42">
        <f>K93/J93</f>
        <v>1.9985358711566619</v>
      </c>
    </row>
    <row r="94" spans="1:18" s="12" customFormat="1" ht="30" x14ac:dyDescent="0.25">
      <c r="A94" s="17" t="s">
        <v>88</v>
      </c>
      <c r="B94" s="17" t="s">
        <v>124</v>
      </c>
      <c r="C94" s="17">
        <v>1414</v>
      </c>
      <c r="D94" s="17" t="s">
        <v>200</v>
      </c>
      <c r="E94" s="17" t="s">
        <v>151</v>
      </c>
      <c r="F94" s="17" t="s">
        <v>152</v>
      </c>
      <c r="G94" s="17">
        <v>95062</v>
      </c>
      <c r="H94" s="17" t="s">
        <v>25</v>
      </c>
      <c r="I94" s="17">
        <v>214</v>
      </c>
      <c r="J94" s="40">
        <v>422</v>
      </c>
      <c r="K94" s="41">
        <v>850</v>
      </c>
      <c r="L94" s="17" t="s">
        <v>6</v>
      </c>
      <c r="M94" s="17" t="s">
        <v>135</v>
      </c>
      <c r="N94" s="17" t="s">
        <v>136</v>
      </c>
      <c r="O94" s="17" t="s">
        <v>261</v>
      </c>
      <c r="P94" s="17"/>
      <c r="Q94" s="17"/>
      <c r="R94" s="42">
        <f>K94/J94</f>
        <v>2.014218009478673</v>
      </c>
    </row>
    <row r="95" spans="1:18" s="12" customFormat="1" ht="30" x14ac:dyDescent="0.25">
      <c r="A95" s="17" t="s">
        <v>88</v>
      </c>
      <c r="B95" s="17" t="s">
        <v>124</v>
      </c>
      <c r="C95" s="17">
        <v>1414</v>
      </c>
      <c r="D95" s="17" t="s">
        <v>200</v>
      </c>
      <c r="E95" s="17" t="s">
        <v>151</v>
      </c>
      <c r="F95" s="17" t="s">
        <v>152</v>
      </c>
      <c r="G95" s="17">
        <v>95062</v>
      </c>
      <c r="H95" s="17" t="s">
        <v>25</v>
      </c>
      <c r="I95" s="17">
        <v>216</v>
      </c>
      <c r="J95" s="40">
        <v>175</v>
      </c>
      <c r="K95" s="41">
        <v>512</v>
      </c>
      <c r="L95" s="17" t="s">
        <v>6</v>
      </c>
      <c r="M95" s="17" t="s">
        <v>135</v>
      </c>
      <c r="N95" s="17" t="s">
        <v>136</v>
      </c>
      <c r="O95" s="17" t="s">
        <v>261</v>
      </c>
      <c r="P95" s="17"/>
      <c r="Q95" s="17"/>
      <c r="R95" s="42">
        <f>K95/J95</f>
        <v>2.9257142857142857</v>
      </c>
    </row>
    <row r="96" spans="1:18" s="12" customFormat="1" ht="30" x14ac:dyDescent="0.25">
      <c r="A96" s="17" t="s">
        <v>88</v>
      </c>
      <c r="B96" s="17" t="s">
        <v>124</v>
      </c>
      <c r="C96" s="17">
        <v>1414</v>
      </c>
      <c r="D96" s="17" t="s">
        <v>200</v>
      </c>
      <c r="E96" s="17" t="s">
        <v>151</v>
      </c>
      <c r="F96" s="17" t="s">
        <v>152</v>
      </c>
      <c r="G96" s="17">
        <v>95062</v>
      </c>
      <c r="H96" s="17" t="s">
        <v>25</v>
      </c>
      <c r="I96" s="17">
        <v>226</v>
      </c>
      <c r="J96" s="40">
        <v>244</v>
      </c>
      <c r="K96" s="41">
        <v>595</v>
      </c>
      <c r="L96" s="17" t="s">
        <v>6</v>
      </c>
      <c r="M96" s="17" t="s">
        <v>135</v>
      </c>
      <c r="N96" s="17" t="s">
        <v>136</v>
      </c>
      <c r="O96" s="17" t="s">
        <v>261</v>
      </c>
      <c r="P96" s="17"/>
      <c r="Q96" s="17"/>
      <c r="R96" s="42">
        <f>K96/J96</f>
        <v>2.4385245901639343</v>
      </c>
    </row>
    <row r="97" spans="1:18" s="12" customFormat="1" ht="30" x14ac:dyDescent="0.25">
      <c r="A97" s="17" t="s">
        <v>88</v>
      </c>
      <c r="B97" s="17" t="s">
        <v>124</v>
      </c>
      <c r="C97" s="17">
        <v>1723</v>
      </c>
      <c r="D97" s="17" t="s">
        <v>200</v>
      </c>
      <c r="E97" s="17" t="s">
        <v>151</v>
      </c>
      <c r="F97" s="17" t="s">
        <v>152</v>
      </c>
      <c r="G97" s="17">
        <v>95062</v>
      </c>
      <c r="H97" s="17" t="s">
        <v>53</v>
      </c>
      <c r="I97" s="17"/>
      <c r="J97" s="40">
        <v>3000</v>
      </c>
      <c r="K97" s="41">
        <v>0.75</v>
      </c>
      <c r="L97" s="17" t="s">
        <v>11</v>
      </c>
      <c r="M97" s="17" t="s">
        <v>242</v>
      </c>
      <c r="N97" s="17" t="s">
        <v>260</v>
      </c>
      <c r="O97" s="17" t="s">
        <v>137</v>
      </c>
      <c r="P97" s="17" t="s">
        <v>243</v>
      </c>
      <c r="Q97" s="17"/>
      <c r="R97" s="42">
        <f>K97</f>
        <v>0.75</v>
      </c>
    </row>
    <row r="98" spans="1:18" s="12" customFormat="1" ht="30" x14ac:dyDescent="0.25">
      <c r="A98" s="17" t="s">
        <v>88</v>
      </c>
      <c r="B98" s="17" t="s">
        <v>124</v>
      </c>
      <c r="C98" s="17">
        <v>303</v>
      </c>
      <c r="D98" s="17" t="s">
        <v>185</v>
      </c>
      <c r="E98" s="17" t="s">
        <v>151</v>
      </c>
      <c r="F98" s="17" t="s">
        <v>152</v>
      </c>
      <c r="G98" s="17">
        <v>95060</v>
      </c>
      <c r="H98" s="17" t="s">
        <v>25</v>
      </c>
      <c r="I98" s="17">
        <v>130</v>
      </c>
      <c r="J98" s="40">
        <v>400</v>
      </c>
      <c r="K98" s="41">
        <v>680</v>
      </c>
      <c r="L98" s="17" t="s">
        <v>6</v>
      </c>
      <c r="M98" s="17" t="s">
        <v>46</v>
      </c>
      <c r="N98" s="17" t="s">
        <v>47</v>
      </c>
      <c r="O98" s="17" t="s">
        <v>130</v>
      </c>
      <c r="P98" s="17" t="s">
        <v>368</v>
      </c>
      <c r="Q98" s="17">
        <v>0.36</v>
      </c>
      <c r="R98" s="42">
        <f>K98/J98</f>
        <v>1.7</v>
      </c>
    </row>
    <row r="99" spans="1:18" s="12" customFormat="1" ht="30" x14ac:dyDescent="0.25">
      <c r="A99" s="17" t="s">
        <v>88</v>
      </c>
      <c r="B99" s="17" t="s">
        <v>124</v>
      </c>
      <c r="C99" s="17">
        <v>420</v>
      </c>
      <c r="D99" s="17" t="s">
        <v>185</v>
      </c>
      <c r="E99" s="17" t="s">
        <v>151</v>
      </c>
      <c r="F99" s="17" t="s">
        <v>152</v>
      </c>
      <c r="G99" s="17">
        <v>95060</v>
      </c>
      <c r="H99" s="17" t="s">
        <v>7</v>
      </c>
      <c r="I99" s="17"/>
      <c r="J99" s="40">
        <v>1150</v>
      </c>
      <c r="K99" s="41">
        <v>1</v>
      </c>
      <c r="L99" s="17" t="s">
        <v>6</v>
      </c>
      <c r="M99" s="17" t="s">
        <v>139</v>
      </c>
      <c r="N99" s="17" t="s">
        <v>140</v>
      </c>
      <c r="O99" s="17" t="s">
        <v>141</v>
      </c>
      <c r="P99" s="17" t="s">
        <v>161</v>
      </c>
      <c r="Q99" s="17"/>
      <c r="R99" s="42">
        <f>K99</f>
        <v>1</v>
      </c>
    </row>
    <row r="100" spans="1:18" s="12" customFormat="1" ht="30" x14ac:dyDescent="0.25">
      <c r="A100" s="17" t="s">
        <v>88</v>
      </c>
      <c r="B100" s="17" t="s">
        <v>124</v>
      </c>
      <c r="C100" s="17">
        <v>525</v>
      </c>
      <c r="D100" s="17" t="s">
        <v>185</v>
      </c>
      <c r="E100" s="17" t="s">
        <v>151</v>
      </c>
      <c r="F100" s="17" t="s">
        <v>152</v>
      </c>
      <c r="G100" s="17">
        <v>95060</v>
      </c>
      <c r="H100" s="17" t="s">
        <v>126</v>
      </c>
      <c r="I100" s="17"/>
      <c r="J100" s="40">
        <v>3000</v>
      </c>
      <c r="K100" s="41">
        <v>1.25</v>
      </c>
      <c r="L100" s="17" t="s">
        <v>6</v>
      </c>
      <c r="M100" s="17" t="s">
        <v>103</v>
      </c>
      <c r="N100" s="44" t="s">
        <v>274</v>
      </c>
      <c r="O100" s="17" t="s">
        <v>102</v>
      </c>
      <c r="P100" s="17"/>
      <c r="Q100" s="17"/>
      <c r="R100" s="42">
        <f>K100</f>
        <v>1.25</v>
      </c>
    </row>
    <row r="101" spans="1:18" s="12" customFormat="1" ht="30" x14ac:dyDescent="0.25">
      <c r="A101" s="17" t="s">
        <v>88</v>
      </c>
      <c r="B101" s="17" t="s">
        <v>124</v>
      </c>
      <c r="C101" s="17">
        <v>550</v>
      </c>
      <c r="D101" s="17" t="s">
        <v>185</v>
      </c>
      <c r="E101" s="17" t="s">
        <v>151</v>
      </c>
      <c r="F101" s="17" t="s">
        <v>152</v>
      </c>
      <c r="G101" s="17">
        <v>95060</v>
      </c>
      <c r="H101" s="17" t="s">
        <v>125</v>
      </c>
      <c r="I101" s="17" t="s">
        <v>127</v>
      </c>
      <c r="J101" s="40">
        <v>890</v>
      </c>
      <c r="K101" s="41">
        <v>820</v>
      </c>
      <c r="L101" s="17" t="s">
        <v>6</v>
      </c>
      <c r="M101" s="17" t="s">
        <v>46</v>
      </c>
      <c r="N101" s="17" t="s">
        <v>47</v>
      </c>
      <c r="O101" s="17" t="s">
        <v>130</v>
      </c>
      <c r="P101" s="17"/>
      <c r="Q101" s="17"/>
      <c r="R101" s="42">
        <f>K101/J101</f>
        <v>0.9213483146067416</v>
      </c>
    </row>
    <row r="102" spans="1:18" s="12" customFormat="1" ht="45" x14ac:dyDescent="0.25">
      <c r="A102" s="17" t="s">
        <v>88</v>
      </c>
      <c r="B102" s="17" t="s">
        <v>124</v>
      </c>
      <c r="C102" s="17">
        <v>550</v>
      </c>
      <c r="D102" s="17" t="s">
        <v>185</v>
      </c>
      <c r="E102" s="17" t="s">
        <v>151</v>
      </c>
      <c r="F102" s="17" t="s">
        <v>152</v>
      </c>
      <c r="G102" s="17">
        <v>95060</v>
      </c>
      <c r="H102" s="17" t="s">
        <v>128</v>
      </c>
      <c r="I102" s="17" t="s">
        <v>129</v>
      </c>
      <c r="J102" s="40">
        <v>1756</v>
      </c>
      <c r="K102" s="41"/>
      <c r="L102" s="17"/>
      <c r="M102" s="17" t="s">
        <v>142</v>
      </c>
      <c r="N102" s="17" t="s">
        <v>101</v>
      </c>
      <c r="O102" s="17" t="s">
        <v>10</v>
      </c>
      <c r="P102" s="17" t="s">
        <v>214</v>
      </c>
      <c r="Q102" s="17"/>
      <c r="R102" s="42"/>
    </row>
    <row r="103" spans="1:18" s="12" customFormat="1" ht="30" x14ac:dyDescent="0.25">
      <c r="A103" s="17" t="s">
        <v>88</v>
      </c>
      <c r="B103" s="17" t="s">
        <v>89</v>
      </c>
      <c r="C103" s="17">
        <v>831</v>
      </c>
      <c r="D103" s="17" t="s">
        <v>209</v>
      </c>
      <c r="E103" s="17" t="s">
        <v>151</v>
      </c>
      <c r="F103" s="17" t="s">
        <v>152</v>
      </c>
      <c r="G103" s="17">
        <v>95060</v>
      </c>
      <c r="H103" s="17" t="s">
        <v>90</v>
      </c>
      <c r="I103" s="17"/>
      <c r="J103" s="40">
        <v>44825</v>
      </c>
      <c r="K103" s="41">
        <v>1</v>
      </c>
      <c r="L103" s="17" t="s">
        <v>5</v>
      </c>
      <c r="M103" s="17" t="s">
        <v>26</v>
      </c>
      <c r="N103" s="17" t="s">
        <v>122</v>
      </c>
      <c r="O103" s="17" t="s">
        <v>18</v>
      </c>
      <c r="P103" s="42" t="s">
        <v>94</v>
      </c>
      <c r="Q103" s="17"/>
      <c r="R103" s="42">
        <f>K103</f>
        <v>1</v>
      </c>
    </row>
    <row r="104" spans="1:18" s="12" customFormat="1" ht="45" x14ac:dyDescent="0.25">
      <c r="A104" s="17" t="s">
        <v>88</v>
      </c>
      <c r="B104" s="17" t="s">
        <v>89</v>
      </c>
      <c r="C104" s="17">
        <v>849</v>
      </c>
      <c r="D104" s="17" t="s">
        <v>209</v>
      </c>
      <c r="E104" s="17" t="s">
        <v>151</v>
      </c>
      <c r="F104" s="17" t="s">
        <v>152</v>
      </c>
      <c r="G104" s="17">
        <v>95060</v>
      </c>
      <c r="H104" s="17" t="s">
        <v>2</v>
      </c>
      <c r="I104" s="17" t="s">
        <v>52</v>
      </c>
      <c r="J104" s="40">
        <v>1920</v>
      </c>
      <c r="K104" s="41"/>
      <c r="L104" s="17" t="s">
        <v>5</v>
      </c>
      <c r="M104" s="17" t="s">
        <v>100</v>
      </c>
      <c r="N104" s="17" t="s">
        <v>101</v>
      </c>
      <c r="O104" s="17" t="s">
        <v>10</v>
      </c>
      <c r="P104" s="17" t="s">
        <v>212</v>
      </c>
      <c r="Q104" s="17"/>
      <c r="R104" s="42">
        <f>K104</f>
        <v>0</v>
      </c>
    </row>
    <row r="105" spans="1:18" s="12" customFormat="1" ht="30" x14ac:dyDescent="0.25">
      <c r="A105" s="17" t="s">
        <v>88</v>
      </c>
      <c r="B105" s="17" t="s">
        <v>89</v>
      </c>
      <c r="C105" s="17">
        <v>849</v>
      </c>
      <c r="D105" s="17" t="s">
        <v>209</v>
      </c>
      <c r="E105" s="17" t="s">
        <v>151</v>
      </c>
      <c r="F105" s="17" t="s">
        <v>152</v>
      </c>
      <c r="G105" s="17">
        <v>95060</v>
      </c>
      <c r="H105" s="17" t="s">
        <v>2</v>
      </c>
      <c r="I105" s="17" t="s">
        <v>211</v>
      </c>
      <c r="J105" s="40">
        <v>2388</v>
      </c>
      <c r="K105" s="41">
        <v>2</v>
      </c>
      <c r="L105" s="17" t="s">
        <v>5</v>
      </c>
      <c r="M105" s="17" t="s">
        <v>100</v>
      </c>
      <c r="N105" s="17" t="s">
        <v>101</v>
      </c>
      <c r="O105" s="17" t="s">
        <v>10</v>
      </c>
      <c r="P105" s="17" t="s">
        <v>91</v>
      </c>
      <c r="Q105" s="17"/>
      <c r="R105" s="42">
        <f>K105</f>
        <v>2</v>
      </c>
    </row>
    <row r="106" spans="1:18" s="12" customFormat="1" ht="30" x14ac:dyDescent="0.25">
      <c r="A106" s="17" t="s">
        <v>88</v>
      </c>
      <c r="B106" s="17" t="s">
        <v>89</v>
      </c>
      <c r="C106" s="17">
        <v>2117</v>
      </c>
      <c r="D106" s="17" t="s">
        <v>205</v>
      </c>
      <c r="E106" s="17" t="s">
        <v>151</v>
      </c>
      <c r="F106" s="17" t="s">
        <v>152</v>
      </c>
      <c r="G106" s="17">
        <v>95060</v>
      </c>
      <c r="H106" s="17" t="s">
        <v>8</v>
      </c>
      <c r="I106" s="17" t="s">
        <v>43</v>
      </c>
      <c r="J106" s="40">
        <v>3600</v>
      </c>
      <c r="K106" s="41">
        <v>0.9</v>
      </c>
      <c r="L106" s="17" t="s">
        <v>5</v>
      </c>
      <c r="M106" s="17" t="s">
        <v>103</v>
      </c>
      <c r="N106" s="44" t="s">
        <v>274</v>
      </c>
      <c r="O106" s="17" t="s">
        <v>102</v>
      </c>
      <c r="P106" s="17"/>
      <c r="Q106" s="17"/>
      <c r="R106" s="42">
        <f>K106</f>
        <v>0.9</v>
      </c>
    </row>
    <row r="107" spans="1:18" s="12" customFormat="1" ht="30" x14ac:dyDescent="0.25">
      <c r="A107" s="17" t="s">
        <v>88</v>
      </c>
      <c r="B107" s="17" t="s">
        <v>89</v>
      </c>
      <c r="C107" s="17">
        <v>2119</v>
      </c>
      <c r="D107" s="17" t="s">
        <v>205</v>
      </c>
      <c r="E107" s="17" t="s">
        <v>151</v>
      </c>
      <c r="F107" s="17" t="s">
        <v>152</v>
      </c>
      <c r="G107" s="17">
        <v>95060</v>
      </c>
      <c r="H107" s="17" t="s">
        <v>53</v>
      </c>
      <c r="I107" s="17"/>
      <c r="J107" s="40">
        <v>10800</v>
      </c>
      <c r="K107" s="41">
        <v>0.8</v>
      </c>
      <c r="L107" s="17" t="s">
        <v>5</v>
      </c>
      <c r="M107" s="17" t="s">
        <v>103</v>
      </c>
      <c r="N107" s="44" t="s">
        <v>274</v>
      </c>
      <c r="O107" s="17" t="s">
        <v>102</v>
      </c>
      <c r="P107" s="17"/>
      <c r="Q107" s="17"/>
      <c r="R107" s="42">
        <f>K107</f>
        <v>0.8</v>
      </c>
    </row>
    <row r="108" spans="1:18" s="12" customFormat="1" ht="45" x14ac:dyDescent="0.25">
      <c r="A108" s="17" t="s">
        <v>88</v>
      </c>
      <c r="B108" s="17" t="s">
        <v>89</v>
      </c>
      <c r="C108" s="17">
        <v>1010</v>
      </c>
      <c r="D108" s="17" t="s">
        <v>203</v>
      </c>
      <c r="E108" s="17" t="s">
        <v>151</v>
      </c>
      <c r="F108" s="17" t="s">
        <v>152</v>
      </c>
      <c r="G108" s="17">
        <v>95060</v>
      </c>
      <c r="H108" s="17" t="s">
        <v>25</v>
      </c>
      <c r="I108" s="17" t="s">
        <v>262</v>
      </c>
      <c r="J108" s="40">
        <v>150</v>
      </c>
      <c r="K108" s="41">
        <v>600</v>
      </c>
      <c r="L108" s="17" t="s">
        <v>5</v>
      </c>
      <c r="M108" s="17" t="s">
        <v>0</v>
      </c>
      <c r="N108" s="17" t="s">
        <v>1</v>
      </c>
      <c r="O108" s="17" t="s">
        <v>48</v>
      </c>
      <c r="P108" s="17" t="s">
        <v>264</v>
      </c>
      <c r="Q108" s="17">
        <v>0.3</v>
      </c>
      <c r="R108" s="42">
        <f>K108/J108</f>
        <v>4</v>
      </c>
    </row>
    <row r="109" spans="1:18" s="12" customFormat="1" ht="45" x14ac:dyDescent="0.25">
      <c r="A109" s="17" t="s">
        <v>88</v>
      </c>
      <c r="B109" s="17" t="s">
        <v>89</v>
      </c>
      <c r="C109" s="17">
        <v>1010</v>
      </c>
      <c r="D109" s="17" t="s">
        <v>203</v>
      </c>
      <c r="E109" s="17" t="s">
        <v>151</v>
      </c>
      <c r="F109" s="17" t="s">
        <v>152</v>
      </c>
      <c r="G109" s="17">
        <v>95060</v>
      </c>
      <c r="H109" s="17" t="s">
        <v>25</v>
      </c>
      <c r="I109" s="17" t="s">
        <v>263</v>
      </c>
      <c r="J109" s="40">
        <v>150</v>
      </c>
      <c r="K109" s="41">
        <v>600</v>
      </c>
      <c r="L109" s="17" t="s">
        <v>5</v>
      </c>
      <c r="M109" s="17" t="s">
        <v>0</v>
      </c>
      <c r="N109" s="17" t="s">
        <v>1</v>
      </c>
      <c r="O109" s="17" t="s">
        <v>48</v>
      </c>
      <c r="P109" s="17" t="s">
        <v>264</v>
      </c>
      <c r="Q109" s="17">
        <v>0.3</v>
      </c>
      <c r="R109" s="42">
        <f>K109/J109</f>
        <v>4</v>
      </c>
    </row>
    <row r="110" spans="1:18" s="12" customFormat="1" ht="45" x14ac:dyDescent="0.25">
      <c r="A110" s="17" t="s">
        <v>88</v>
      </c>
      <c r="B110" s="17" t="s">
        <v>89</v>
      </c>
      <c r="C110" s="17">
        <v>1010</v>
      </c>
      <c r="D110" s="17" t="s">
        <v>203</v>
      </c>
      <c r="E110" s="17" t="s">
        <v>151</v>
      </c>
      <c r="F110" s="17" t="s">
        <v>152</v>
      </c>
      <c r="G110" s="17">
        <v>95060</v>
      </c>
      <c r="H110" s="17" t="s">
        <v>25</v>
      </c>
      <c r="I110" s="17" t="s">
        <v>52</v>
      </c>
      <c r="J110" s="40">
        <v>962</v>
      </c>
      <c r="K110" s="41">
        <v>1.39</v>
      </c>
      <c r="L110" s="17" t="s">
        <v>5</v>
      </c>
      <c r="M110" s="17" t="s">
        <v>0</v>
      </c>
      <c r="N110" s="17" t="s">
        <v>1</v>
      </c>
      <c r="O110" s="17" t="s">
        <v>48</v>
      </c>
      <c r="P110" s="17" t="s">
        <v>264</v>
      </c>
      <c r="Q110" s="17">
        <v>0.3</v>
      </c>
      <c r="R110" s="42">
        <f>K110</f>
        <v>1.39</v>
      </c>
    </row>
    <row r="111" spans="1:18" s="12" customFormat="1" ht="30" x14ac:dyDescent="0.25">
      <c r="A111" s="17" t="s">
        <v>88</v>
      </c>
      <c r="B111" s="17" t="s">
        <v>89</v>
      </c>
      <c r="C111" s="17">
        <v>328</v>
      </c>
      <c r="D111" s="17" t="s">
        <v>217</v>
      </c>
      <c r="E111" s="17" t="s">
        <v>151</v>
      </c>
      <c r="F111" s="17" t="s">
        <v>152</v>
      </c>
      <c r="G111" s="17">
        <v>95060</v>
      </c>
      <c r="H111" s="17" t="s">
        <v>88</v>
      </c>
      <c r="I111" s="17"/>
      <c r="J111" s="40">
        <v>9000</v>
      </c>
      <c r="K111" s="41">
        <v>0.75</v>
      </c>
      <c r="L111" s="17" t="s">
        <v>5</v>
      </c>
      <c r="M111" s="17" t="s">
        <v>105</v>
      </c>
      <c r="N111" s="17" t="s">
        <v>106</v>
      </c>
      <c r="O111" s="17" t="s">
        <v>104</v>
      </c>
      <c r="P111" s="17"/>
      <c r="Q111" s="17"/>
      <c r="R111" s="42">
        <v>1</v>
      </c>
    </row>
    <row r="112" spans="1:18" s="12" customFormat="1" ht="30" x14ac:dyDescent="0.25">
      <c r="A112" s="17" t="s">
        <v>88</v>
      </c>
      <c r="B112" s="17" t="s">
        <v>89</v>
      </c>
      <c r="C112" s="17">
        <v>125</v>
      </c>
      <c r="D112" s="17" t="s">
        <v>204</v>
      </c>
      <c r="E112" s="17" t="s">
        <v>151</v>
      </c>
      <c r="F112" s="17" t="s">
        <v>152</v>
      </c>
      <c r="G112" s="17">
        <v>95060</v>
      </c>
      <c r="H112" s="17" t="s">
        <v>88</v>
      </c>
      <c r="I112" s="17"/>
      <c r="J112" s="40">
        <v>10500</v>
      </c>
      <c r="K112" s="41">
        <v>1.25</v>
      </c>
      <c r="L112" s="17" t="s">
        <v>5</v>
      </c>
      <c r="M112" s="17" t="s">
        <v>103</v>
      </c>
      <c r="N112" s="44" t="s">
        <v>274</v>
      </c>
      <c r="O112" s="17" t="s">
        <v>102</v>
      </c>
      <c r="P112" s="17"/>
      <c r="Q112" s="17"/>
      <c r="R112" s="42">
        <f>K112</f>
        <v>1.25</v>
      </c>
    </row>
    <row r="113" spans="1:18" s="12" customFormat="1" ht="30" x14ac:dyDescent="0.25">
      <c r="A113" s="17" t="s">
        <v>88</v>
      </c>
      <c r="B113" s="17" t="s">
        <v>89</v>
      </c>
      <c r="C113" s="17">
        <v>207</v>
      </c>
      <c r="D113" s="17" t="s">
        <v>204</v>
      </c>
      <c r="E113" s="17" t="s">
        <v>151</v>
      </c>
      <c r="F113" s="17" t="s">
        <v>152</v>
      </c>
      <c r="G113" s="17">
        <v>95060</v>
      </c>
      <c r="H113" s="17" t="s">
        <v>25</v>
      </c>
      <c r="I113" s="17" t="s">
        <v>75</v>
      </c>
      <c r="J113" s="40">
        <v>3273</v>
      </c>
      <c r="K113" s="41">
        <v>1.1000000000000001</v>
      </c>
      <c r="L113" s="17" t="s">
        <v>5</v>
      </c>
      <c r="M113" s="17" t="s">
        <v>64</v>
      </c>
      <c r="N113" s="17" t="s">
        <v>237</v>
      </c>
      <c r="O113" s="17" t="s">
        <v>65</v>
      </c>
      <c r="P113" s="17"/>
      <c r="Q113" s="17"/>
      <c r="R113" s="42">
        <f>K113</f>
        <v>1.1000000000000001</v>
      </c>
    </row>
    <row r="114" spans="1:18" s="12" customFormat="1" ht="30" x14ac:dyDescent="0.25">
      <c r="A114" s="17" t="s">
        <v>88</v>
      </c>
      <c r="B114" s="17" t="s">
        <v>89</v>
      </c>
      <c r="C114" s="17">
        <v>406</v>
      </c>
      <c r="D114" s="17" t="s">
        <v>184</v>
      </c>
      <c r="E114" s="17" t="s">
        <v>151</v>
      </c>
      <c r="F114" s="17" t="s">
        <v>152</v>
      </c>
      <c r="G114" s="17">
        <v>95060</v>
      </c>
      <c r="H114" s="17" t="s">
        <v>25</v>
      </c>
      <c r="I114" s="17"/>
      <c r="J114" s="40">
        <v>1100</v>
      </c>
      <c r="K114" s="41"/>
      <c r="L114" s="17"/>
      <c r="M114" s="17" t="s">
        <v>63</v>
      </c>
      <c r="N114" s="17" t="s">
        <v>146</v>
      </c>
      <c r="O114" s="17" t="s">
        <v>145</v>
      </c>
      <c r="P114" s="17" t="s">
        <v>153</v>
      </c>
      <c r="Q114" s="17"/>
      <c r="R114" s="42">
        <f>K114</f>
        <v>0</v>
      </c>
    </row>
    <row r="115" spans="1:18" s="12" customFormat="1" x14ac:dyDescent="0.25">
      <c r="A115" s="17" t="s">
        <v>88</v>
      </c>
      <c r="B115" s="17" t="s">
        <v>89</v>
      </c>
      <c r="C115" s="17">
        <v>701</v>
      </c>
      <c r="D115" s="17" t="s">
        <v>184</v>
      </c>
      <c r="E115" s="17" t="s">
        <v>151</v>
      </c>
      <c r="F115" s="17" t="s">
        <v>152</v>
      </c>
      <c r="G115" s="17">
        <v>95060</v>
      </c>
      <c r="H115" s="17" t="s">
        <v>25</v>
      </c>
      <c r="I115" s="17"/>
      <c r="J115" s="40">
        <v>2279</v>
      </c>
      <c r="K115" s="41">
        <v>2</v>
      </c>
      <c r="L115" s="17" t="s">
        <v>6</v>
      </c>
      <c r="M115" s="17" t="s">
        <v>107</v>
      </c>
      <c r="N115" s="17" t="s">
        <v>101</v>
      </c>
      <c r="O115" s="17" t="s">
        <v>10</v>
      </c>
      <c r="P115" s="17"/>
      <c r="Q115" s="17"/>
      <c r="R115" s="42">
        <v>2</v>
      </c>
    </row>
    <row r="116" spans="1:18" s="12" customFormat="1" ht="30" x14ac:dyDescent="0.25">
      <c r="A116" s="17" t="s">
        <v>88</v>
      </c>
      <c r="B116" s="17" t="s">
        <v>89</v>
      </c>
      <c r="C116" s="17">
        <v>730</v>
      </c>
      <c r="D116" s="17" t="s">
        <v>184</v>
      </c>
      <c r="E116" s="17" t="s">
        <v>151</v>
      </c>
      <c r="F116" s="17" t="s">
        <v>152</v>
      </c>
      <c r="G116" s="17">
        <v>95060</v>
      </c>
      <c r="H116" s="17" t="s">
        <v>25</v>
      </c>
      <c r="I116" s="17"/>
      <c r="J116" s="40">
        <v>2400</v>
      </c>
      <c r="K116" s="41">
        <v>1.25</v>
      </c>
      <c r="L116" s="17" t="s">
        <v>5</v>
      </c>
      <c r="M116" s="17" t="s">
        <v>103</v>
      </c>
      <c r="N116" s="44" t="s">
        <v>274</v>
      </c>
      <c r="O116" s="17" t="s">
        <v>102</v>
      </c>
      <c r="P116" s="17" t="s">
        <v>177</v>
      </c>
      <c r="Q116" s="17"/>
      <c r="R116" s="42">
        <f>K116</f>
        <v>1.25</v>
      </c>
    </row>
    <row r="117" spans="1:18" s="12" customFormat="1" x14ac:dyDescent="0.25">
      <c r="A117" s="17" t="s">
        <v>88</v>
      </c>
      <c r="B117" s="17" t="s">
        <v>89</v>
      </c>
      <c r="C117" s="17">
        <v>2006</v>
      </c>
      <c r="D117" s="17" t="s">
        <v>184</v>
      </c>
      <c r="E117" s="17" t="s">
        <v>151</v>
      </c>
      <c r="F117" s="17" t="s">
        <v>152</v>
      </c>
      <c r="G117" s="17">
        <v>95060</v>
      </c>
      <c r="H117" s="17" t="s">
        <v>25</v>
      </c>
      <c r="I117" s="17"/>
      <c r="J117" s="40">
        <v>1000</v>
      </c>
      <c r="K117" s="41">
        <v>1300</v>
      </c>
      <c r="L117" s="17" t="s">
        <v>6</v>
      </c>
      <c r="M117" s="17" t="s">
        <v>242</v>
      </c>
      <c r="N117" s="17" t="s">
        <v>260</v>
      </c>
      <c r="O117" s="17" t="s">
        <v>137</v>
      </c>
      <c r="P117" s="17"/>
      <c r="Q117" s="17"/>
      <c r="R117" s="42">
        <f>K117/J117</f>
        <v>1.3</v>
      </c>
    </row>
    <row r="118" spans="1:18" s="12" customFormat="1" ht="75" x14ac:dyDescent="0.25">
      <c r="A118" s="17" t="s">
        <v>88</v>
      </c>
      <c r="B118" s="17" t="s">
        <v>89</v>
      </c>
      <c r="C118" s="17">
        <v>2117</v>
      </c>
      <c r="D118" s="17" t="s">
        <v>184</v>
      </c>
      <c r="E118" s="17" t="s">
        <v>151</v>
      </c>
      <c r="F118" s="17" t="s">
        <v>152</v>
      </c>
      <c r="G118" s="17">
        <v>95060</v>
      </c>
      <c r="H118" s="17" t="s">
        <v>7</v>
      </c>
      <c r="I118" s="17"/>
      <c r="J118" s="40">
        <v>1853</v>
      </c>
      <c r="K118" s="41">
        <v>3</v>
      </c>
      <c r="L118" s="17" t="s">
        <v>5</v>
      </c>
      <c r="M118" s="17" t="s">
        <v>100</v>
      </c>
      <c r="N118" s="17" t="s">
        <v>101</v>
      </c>
      <c r="O118" s="17" t="s">
        <v>10</v>
      </c>
      <c r="P118" s="17" t="s">
        <v>154</v>
      </c>
      <c r="Q118" s="17"/>
      <c r="R118" s="42">
        <f>K118</f>
        <v>3</v>
      </c>
    </row>
    <row r="119" spans="1:18" s="12" customFormat="1" x14ac:dyDescent="0.25">
      <c r="A119" s="17" t="s">
        <v>88</v>
      </c>
      <c r="B119" s="17" t="s">
        <v>89</v>
      </c>
      <c r="C119" s="17">
        <v>2521</v>
      </c>
      <c r="D119" s="17" t="s">
        <v>184</v>
      </c>
      <c r="E119" s="17" t="s">
        <v>151</v>
      </c>
      <c r="F119" s="17" t="s">
        <v>152</v>
      </c>
      <c r="G119" s="17">
        <v>95060</v>
      </c>
      <c r="H119" s="17" t="s">
        <v>92</v>
      </c>
      <c r="I119" s="17"/>
      <c r="J119" s="40">
        <v>7912</v>
      </c>
      <c r="K119" s="41">
        <v>5625</v>
      </c>
      <c r="L119" s="17"/>
      <c r="M119" s="17" t="s">
        <v>103</v>
      </c>
      <c r="N119" s="44" t="s">
        <v>274</v>
      </c>
      <c r="O119" s="17" t="s">
        <v>102</v>
      </c>
      <c r="P119" s="17"/>
      <c r="Q119" s="17"/>
      <c r="R119" s="42">
        <f>K119/J119</f>
        <v>0.71094539939332657</v>
      </c>
    </row>
    <row r="120" spans="1:18" s="12" customFormat="1" x14ac:dyDescent="0.25">
      <c r="A120" s="17" t="s">
        <v>88</v>
      </c>
      <c r="B120" s="17" t="s">
        <v>89</v>
      </c>
      <c r="C120" s="17">
        <v>2801</v>
      </c>
      <c r="D120" s="17" t="s">
        <v>184</v>
      </c>
      <c r="E120" s="17" t="s">
        <v>151</v>
      </c>
      <c r="F120" s="17" t="s">
        <v>152</v>
      </c>
      <c r="G120" s="17">
        <v>95060</v>
      </c>
      <c r="H120" s="17" t="s">
        <v>88</v>
      </c>
      <c r="I120" s="17"/>
      <c r="J120" s="40">
        <v>2100</v>
      </c>
      <c r="K120" s="41">
        <v>0.85</v>
      </c>
      <c r="L120" s="17" t="s">
        <v>6</v>
      </c>
      <c r="M120" s="17" t="s">
        <v>108</v>
      </c>
      <c r="N120" s="17" t="s">
        <v>123</v>
      </c>
      <c r="O120" s="17" t="s">
        <v>109</v>
      </c>
      <c r="P120" s="17" t="s">
        <v>95</v>
      </c>
      <c r="Q120" s="17"/>
      <c r="R120" s="42">
        <f>K120</f>
        <v>0.85</v>
      </c>
    </row>
    <row r="121" spans="1:18" s="12" customFormat="1" ht="45" x14ac:dyDescent="0.25">
      <c r="A121" s="17" t="s">
        <v>88</v>
      </c>
      <c r="B121" s="17" t="s">
        <v>89</v>
      </c>
      <c r="C121" s="17">
        <v>2801</v>
      </c>
      <c r="D121" s="17" t="s">
        <v>184</v>
      </c>
      <c r="E121" s="17" t="s">
        <v>151</v>
      </c>
      <c r="F121" s="17" t="s">
        <v>152</v>
      </c>
      <c r="G121" s="17">
        <v>95060</v>
      </c>
      <c r="H121" s="17" t="s">
        <v>88</v>
      </c>
      <c r="I121" s="17"/>
      <c r="J121" s="40">
        <v>10000</v>
      </c>
      <c r="K121" s="41">
        <v>0.85</v>
      </c>
      <c r="L121" s="17" t="s">
        <v>6</v>
      </c>
      <c r="M121" s="17" t="s">
        <v>108</v>
      </c>
      <c r="N121" s="17" t="s">
        <v>123</v>
      </c>
      <c r="O121" s="17" t="s">
        <v>109</v>
      </c>
      <c r="P121" s="17" t="s">
        <v>159</v>
      </c>
      <c r="Q121" s="17"/>
      <c r="R121" s="42">
        <f>K121</f>
        <v>0.85</v>
      </c>
    </row>
    <row r="122" spans="1:18" s="12" customFormat="1" x14ac:dyDescent="0.25">
      <c r="A122" s="17" t="s">
        <v>88</v>
      </c>
      <c r="B122" s="17" t="s">
        <v>89</v>
      </c>
      <c r="C122" s="17">
        <v>2801</v>
      </c>
      <c r="D122" s="17" t="s">
        <v>184</v>
      </c>
      <c r="E122" s="17" t="s">
        <v>151</v>
      </c>
      <c r="F122" s="17" t="s">
        <v>152</v>
      </c>
      <c r="G122" s="17">
        <v>95060</v>
      </c>
      <c r="H122" s="17" t="s">
        <v>88</v>
      </c>
      <c r="I122" s="17"/>
      <c r="J122" s="40">
        <v>85000</v>
      </c>
      <c r="K122" s="41">
        <v>0.75</v>
      </c>
      <c r="L122" s="17" t="s">
        <v>6</v>
      </c>
      <c r="M122" s="17" t="s">
        <v>108</v>
      </c>
      <c r="N122" s="17" t="s">
        <v>123</v>
      </c>
      <c r="O122" s="17" t="s">
        <v>109</v>
      </c>
      <c r="P122" s="17" t="s">
        <v>95</v>
      </c>
      <c r="Q122" s="17"/>
      <c r="R122" s="42">
        <f>K122</f>
        <v>0.75</v>
      </c>
    </row>
    <row r="123" spans="1:18" s="12" customFormat="1" x14ac:dyDescent="0.25">
      <c r="A123" s="17" t="s">
        <v>88</v>
      </c>
      <c r="B123" s="17" t="s">
        <v>89</v>
      </c>
      <c r="C123" s="17">
        <v>2801</v>
      </c>
      <c r="D123" s="17" t="s">
        <v>184</v>
      </c>
      <c r="E123" s="17" t="s">
        <v>151</v>
      </c>
      <c r="F123" s="17" t="s">
        <v>152</v>
      </c>
      <c r="G123" s="17">
        <v>95060</v>
      </c>
      <c r="H123" s="17" t="s">
        <v>88</v>
      </c>
      <c r="I123" s="17"/>
      <c r="J123" s="40">
        <v>800</v>
      </c>
      <c r="K123" s="41">
        <v>0.9</v>
      </c>
      <c r="L123" s="17" t="s">
        <v>6</v>
      </c>
      <c r="M123" s="17" t="s">
        <v>108</v>
      </c>
      <c r="N123" s="17" t="s">
        <v>123</v>
      </c>
      <c r="O123" s="17" t="s">
        <v>109</v>
      </c>
      <c r="P123" s="17" t="s">
        <v>95</v>
      </c>
      <c r="Q123" s="17"/>
      <c r="R123" s="42">
        <f>K123</f>
        <v>0.9</v>
      </c>
    </row>
    <row r="124" spans="1:18" s="12" customFormat="1" x14ac:dyDescent="0.25">
      <c r="A124" s="17" t="s">
        <v>88</v>
      </c>
      <c r="B124" s="17" t="s">
        <v>89</v>
      </c>
      <c r="C124" s="17">
        <v>2801</v>
      </c>
      <c r="D124" s="17" t="s">
        <v>184</v>
      </c>
      <c r="E124" s="17" t="s">
        <v>151</v>
      </c>
      <c r="F124" s="17" t="s">
        <v>152</v>
      </c>
      <c r="G124" s="17">
        <v>95060</v>
      </c>
      <c r="H124" s="17" t="s">
        <v>88</v>
      </c>
      <c r="I124" s="17"/>
      <c r="J124" s="40">
        <v>1600</v>
      </c>
      <c r="K124" s="41">
        <v>0.85</v>
      </c>
      <c r="L124" s="17" t="s">
        <v>97</v>
      </c>
      <c r="M124" s="17" t="s">
        <v>108</v>
      </c>
      <c r="N124" s="17" t="s">
        <v>123</v>
      </c>
      <c r="O124" s="17" t="s">
        <v>109</v>
      </c>
      <c r="P124" s="17" t="s">
        <v>95</v>
      </c>
      <c r="Q124" s="17"/>
      <c r="R124" s="42">
        <f>K124</f>
        <v>0.85</v>
      </c>
    </row>
    <row r="125" spans="1:18" s="12" customFormat="1" ht="60" x14ac:dyDescent="0.25">
      <c r="A125" s="17" t="s">
        <v>88</v>
      </c>
      <c r="B125" s="17" t="s">
        <v>89</v>
      </c>
      <c r="C125" s="17">
        <v>2931</v>
      </c>
      <c r="D125" s="17" t="s">
        <v>184</v>
      </c>
      <c r="E125" s="17" t="s">
        <v>151</v>
      </c>
      <c r="F125" s="17" t="s">
        <v>152</v>
      </c>
      <c r="G125" s="17">
        <v>95060</v>
      </c>
      <c r="H125" s="17" t="s">
        <v>92</v>
      </c>
      <c r="I125" s="17"/>
      <c r="J125" s="40">
        <v>9000</v>
      </c>
      <c r="K125" s="41"/>
      <c r="L125" s="17"/>
      <c r="M125" s="17" t="s">
        <v>110</v>
      </c>
      <c r="N125" s="17" t="s">
        <v>101</v>
      </c>
      <c r="O125" s="17" t="s">
        <v>10</v>
      </c>
      <c r="P125" s="17" t="s">
        <v>213</v>
      </c>
      <c r="Q125" s="17"/>
      <c r="R125" s="42">
        <f>K125</f>
        <v>0</v>
      </c>
    </row>
    <row r="126" spans="1:18" s="12" customFormat="1" ht="30" x14ac:dyDescent="0.25">
      <c r="A126" s="17" t="s">
        <v>88</v>
      </c>
      <c r="B126" s="17" t="s">
        <v>89</v>
      </c>
      <c r="C126" s="17">
        <v>3004</v>
      </c>
      <c r="D126" s="17" t="s">
        <v>184</v>
      </c>
      <c r="E126" s="17" t="s">
        <v>151</v>
      </c>
      <c r="F126" s="17" t="s">
        <v>152</v>
      </c>
      <c r="G126" s="17">
        <v>95060</v>
      </c>
      <c r="H126" s="17" t="s">
        <v>25</v>
      </c>
      <c r="I126" s="17">
        <v>120</v>
      </c>
      <c r="J126" s="40">
        <v>672</v>
      </c>
      <c r="K126" s="41">
        <v>672</v>
      </c>
      <c r="L126" s="17" t="s">
        <v>6</v>
      </c>
      <c r="M126" s="17" t="s">
        <v>37</v>
      </c>
      <c r="N126" s="17" t="s">
        <v>111</v>
      </c>
      <c r="O126" s="17" t="s">
        <v>39</v>
      </c>
      <c r="P126" s="42" t="s">
        <v>93</v>
      </c>
      <c r="Q126" s="17"/>
      <c r="R126" s="42">
        <v>1</v>
      </c>
    </row>
    <row r="127" spans="1:18" s="12" customFormat="1" ht="30" x14ac:dyDescent="0.25">
      <c r="A127" s="17" t="s">
        <v>88</v>
      </c>
      <c r="B127" s="17" t="s">
        <v>89</v>
      </c>
      <c r="C127" s="17">
        <v>3004</v>
      </c>
      <c r="D127" s="17" t="s">
        <v>184</v>
      </c>
      <c r="E127" s="17" t="s">
        <v>151</v>
      </c>
      <c r="F127" s="17" t="s">
        <v>152</v>
      </c>
      <c r="G127" s="17">
        <v>95060</v>
      </c>
      <c r="H127" s="17" t="s">
        <v>8</v>
      </c>
      <c r="I127" s="17">
        <v>130</v>
      </c>
      <c r="J127" s="40">
        <v>2690</v>
      </c>
      <c r="K127" s="41">
        <v>1.25</v>
      </c>
      <c r="L127" s="17" t="s">
        <v>6</v>
      </c>
      <c r="M127" s="17" t="s">
        <v>37</v>
      </c>
      <c r="N127" s="17" t="s">
        <v>111</v>
      </c>
      <c r="O127" s="17" t="s">
        <v>39</v>
      </c>
      <c r="P127" s="17"/>
      <c r="Q127" s="17"/>
      <c r="R127" s="42">
        <v>1</v>
      </c>
    </row>
    <row r="128" spans="1:18" s="12" customFormat="1" ht="30" x14ac:dyDescent="0.25">
      <c r="A128" s="17" t="s">
        <v>88</v>
      </c>
      <c r="B128" s="17" t="s">
        <v>89</v>
      </c>
      <c r="C128" s="17">
        <v>3004</v>
      </c>
      <c r="D128" s="17" t="s">
        <v>184</v>
      </c>
      <c r="E128" s="17" t="s">
        <v>151</v>
      </c>
      <c r="F128" s="17" t="s">
        <v>152</v>
      </c>
      <c r="G128" s="17">
        <v>95060</v>
      </c>
      <c r="H128" s="17" t="s">
        <v>25</v>
      </c>
      <c r="I128" s="17">
        <v>150</v>
      </c>
      <c r="J128" s="40">
        <v>6500</v>
      </c>
      <c r="K128" s="41">
        <v>1.7</v>
      </c>
      <c r="L128" s="17" t="s">
        <v>6</v>
      </c>
      <c r="M128" s="17" t="s">
        <v>37</v>
      </c>
      <c r="N128" s="17" t="s">
        <v>111</v>
      </c>
      <c r="O128" s="17" t="s">
        <v>39</v>
      </c>
      <c r="P128" s="17"/>
      <c r="Q128" s="17"/>
      <c r="R128" s="42">
        <f>K128</f>
        <v>1.7</v>
      </c>
    </row>
    <row r="129" spans="1:18" s="12" customFormat="1" ht="30" x14ac:dyDescent="0.25">
      <c r="A129" s="17" t="s">
        <v>88</v>
      </c>
      <c r="B129" s="17" t="s">
        <v>89</v>
      </c>
      <c r="C129" s="17">
        <v>3004</v>
      </c>
      <c r="D129" s="17" t="s">
        <v>184</v>
      </c>
      <c r="E129" s="17" t="s">
        <v>151</v>
      </c>
      <c r="F129" s="17" t="s">
        <v>152</v>
      </c>
      <c r="G129" s="17">
        <v>95060</v>
      </c>
      <c r="H129" s="17" t="s">
        <v>8</v>
      </c>
      <c r="I129" s="17">
        <v>170</v>
      </c>
      <c r="J129" s="40">
        <v>865</v>
      </c>
      <c r="K129" s="41">
        <v>1.75</v>
      </c>
      <c r="L129" s="17" t="s">
        <v>6</v>
      </c>
      <c r="M129" s="17" t="s">
        <v>37</v>
      </c>
      <c r="N129" s="17" t="s">
        <v>111</v>
      </c>
      <c r="O129" s="17" t="s">
        <v>39</v>
      </c>
      <c r="P129" s="17"/>
      <c r="Q129" s="17"/>
      <c r="R129" s="42">
        <f>K129</f>
        <v>1.75</v>
      </c>
    </row>
    <row r="130" spans="1:18" s="12" customFormat="1" ht="30" x14ac:dyDescent="0.25">
      <c r="A130" s="17" t="s">
        <v>88</v>
      </c>
      <c r="B130" s="17" t="s">
        <v>89</v>
      </c>
      <c r="C130" s="17">
        <v>3004</v>
      </c>
      <c r="D130" s="17" t="s">
        <v>184</v>
      </c>
      <c r="E130" s="17" t="s">
        <v>151</v>
      </c>
      <c r="F130" s="17" t="s">
        <v>152</v>
      </c>
      <c r="G130" s="17">
        <v>95060</v>
      </c>
      <c r="H130" s="17" t="s">
        <v>8</v>
      </c>
      <c r="I130" s="17">
        <v>230</v>
      </c>
      <c r="J130" s="40">
        <v>1400</v>
      </c>
      <c r="K130" s="41">
        <v>1.7</v>
      </c>
      <c r="L130" s="17" t="s">
        <v>6</v>
      </c>
      <c r="M130" s="17" t="s">
        <v>37</v>
      </c>
      <c r="N130" s="17" t="s">
        <v>111</v>
      </c>
      <c r="O130" s="17" t="s">
        <v>39</v>
      </c>
      <c r="P130" s="17"/>
      <c r="Q130" s="17"/>
      <c r="R130" s="42">
        <f>K130</f>
        <v>1.7</v>
      </c>
    </row>
    <row r="131" spans="1:18" s="12" customFormat="1" ht="30" x14ac:dyDescent="0.25">
      <c r="A131" s="17" t="s">
        <v>88</v>
      </c>
      <c r="B131" s="17" t="s">
        <v>89</v>
      </c>
      <c r="C131" s="17">
        <v>3004</v>
      </c>
      <c r="D131" s="17" t="s">
        <v>184</v>
      </c>
      <c r="E131" s="17" t="s">
        <v>151</v>
      </c>
      <c r="F131" s="17" t="s">
        <v>152</v>
      </c>
      <c r="G131" s="17">
        <v>95060</v>
      </c>
      <c r="H131" s="17" t="s">
        <v>8</v>
      </c>
      <c r="I131" s="17" t="s">
        <v>170</v>
      </c>
      <c r="J131" s="40">
        <v>625</v>
      </c>
      <c r="K131" s="41">
        <v>625</v>
      </c>
      <c r="L131" s="17" t="s">
        <v>6</v>
      </c>
      <c r="M131" s="17" t="s">
        <v>37</v>
      </c>
      <c r="N131" s="17" t="s">
        <v>111</v>
      </c>
      <c r="O131" s="17" t="s">
        <v>39</v>
      </c>
      <c r="P131" s="17"/>
      <c r="Q131" s="17"/>
      <c r="R131" s="42">
        <f>K131/J131</f>
        <v>1</v>
      </c>
    </row>
    <row r="132" spans="1:18" s="12" customFormat="1" ht="30" x14ac:dyDescent="0.25">
      <c r="A132" s="17" t="s">
        <v>88</v>
      </c>
      <c r="B132" s="17" t="s">
        <v>89</v>
      </c>
      <c r="C132" s="17">
        <v>3004</v>
      </c>
      <c r="D132" s="17" t="s">
        <v>184</v>
      </c>
      <c r="E132" s="17" t="s">
        <v>151</v>
      </c>
      <c r="F132" s="17" t="s">
        <v>152</v>
      </c>
      <c r="G132" s="17">
        <v>95060</v>
      </c>
      <c r="H132" s="17" t="s">
        <v>8</v>
      </c>
      <c r="I132" s="17" t="s">
        <v>170</v>
      </c>
      <c r="J132" s="40">
        <v>13400</v>
      </c>
      <c r="K132" s="41">
        <v>1.05</v>
      </c>
      <c r="L132" s="17" t="s">
        <v>6</v>
      </c>
      <c r="M132" s="17" t="s">
        <v>37</v>
      </c>
      <c r="N132" s="17" t="s">
        <v>111</v>
      </c>
      <c r="O132" s="17" t="s">
        <v>39</v>
      </c>
      <c r="P132" s="17"/>
      <c r="Q132" s="17"/>
      <c r="R132" s="42">
        <f>K132</f>
        <v>1.05</v>
      </c>
    </row>
    <row r="133" spans="1:18" s="12" customFormat="1" ht="45" x14ac:dyDescent="0.25">
      <c r="A133" s="17" t="s">
        <v>88</v>
      </c>
      <c r="B133" s="17" t="s">
        <v>89</v>
      </c>
      <c r="C133" s="17">
        <v>1201</v>
      </c>
      <c r="D133" s="17" t="s">
        <v>208</v>
      </c>
      <c r="E133" s="17" t="s">
        <v>151</v>
      </c>
      <c r="F133" s="17" t="s">
        <v>152</v>
      </c>
      <c r="G133" s="17">
        <v>95060</v>
      </c>
      <c r="H133" s="17" t="s">
        <v>92</v>
      </c>
      <c r="I133" s="17"/>
      <c r="J133" s="40">
        <v>4099</v>
      </c>
      <c r="K133" s="41">
        <v>0.9</v>
      </c>
      <c r="L133" s="17" t="s">
        <v>96</v>
      </c>
      <c r="M133" s="17" t="s">
        <v>33</v>
      </c>
      <c r="N133" s="17" t="s">
        <v>34</v>
      </c>
      <c r="O133" s="17" t="s">
        <v>35</v>
      </c>
      <c r="P133" s="42" t="s">
        <v>98</v>
      </c>
      <c r="Q133" s="17"/>
      <c r="R133" s="42">
        <f>K133</f>
        <v>0.9</v>
      </c>
    </row>
    <row r="134" spans="1:18" s="12" customFormat="1" ht="30" x14ac:dyDescent="0.25">
      <c r="A134" s="17" t="s">
        <v>88</v>
      </c>
      <c r="B134" s="17" t="s">
        <v>89</v>
      </c>
      <c r="C134" s="17">
        <v>511</v>
      </c>
      <c r="D134" s="17" t="s">
        <v>206</v>
      </c>
      <c r="E134" s="17" t="s">
        <v>151</v>
      </c>
      <c r="F134" s="17" t="s">
        <v>152</v>
      </c>
      <c r="G134" s="17">
        <v>95060</v>
      </c>
      <c r="H134" s="17" t="s">
        <v>53</v>
      </c>
      <c r="I134" s="17"/>
      <c r="J134" s="40">
        <v>1425</v>
      </c>
      <c r="K134" s="41">
        <v>1800</v>
      </c>
      <c r="L134" s="17" t="s">
        <v>5</v>
      </c>
      <c r="M134" s="17" t="s">
        <v>112</v>
      </c>
      <c r="N134" s="17" t="s">
        <v>113</v>
      </c>
      <c r="O134" s="45" t="s">
        <v>114</v>
      </c>
      <c r="P134" s="17" t="s">
        <v>99</v>
      </c>
      <c r="Q134" s="17"/>
      <c r="R134" s="42">
        <f>K134/J134</f>
        <v>1.263157894736842</v>
      </c>
    </row>
    <row r="135" spans="1:18" s="12" customFormat="1" x14ac:dyDescent="0.25">
      <c r="A135" s="19"/>
      <c r="B135" s="19"/>
      <c r="C135" s="19"/>
      <c r="D135" s="19"/>
      <c r="E135" s="19"/>
      <c r="F135" s="19"/>
      <c r="G135" s="19"/>
      <c r="H135" s="19"/>
      <c r="I135" s="19"/>
      <c r="J135" s="21"/>
      <c r="K135" s="30"/>
      <c r="L135" s="19"/>
      <c r="M135" s="19"/>
    </row>
    <row r="136" spans="1:18" s="12" customFormat="1" x14ac:dyDescent="0.25">
      <c r="A136" s="19"/>
      <c r="B136" s="19"/>
      <c r="C136" s="19"/>
      <c r="D136" s="19"/>
      <c r="E136" s="19"/>
      <c r="F136" s="19"/>
      <c r="G136" s="19"/>
      <c r="H136" s="19"/>
      <c r="I136" s="19"/>
      <c r="J136" s="21"/>
      <c r="K136" s="30"/>
      <c r="L136" s="19"/>
      <c r="M136" s="19"/>
    </row>
    <row r="137" spans="1:18" s="12" customFormat="1" x14ac:dyDescent="0.25">
      <c r="J137" s="13"/>
      <c r="K137" s="14"/>
    </row>
    <row r="138" spans="1:18" s="12" customFormat="1" x14ac:dyDescent="0.25">
      <c r="J138" s="13"/>
      <c r="K138" s="14"/>
    </row>
    <row r="139" spans="1:18" s="12" customFormat="1" x14ac:dyDescent="0.25">
      <c r="J139" s="13"/>
      <c r="K139" s="14"/>
    </row>
    <row r="140" spans="1:18" s="12" customFormat="1" x14ac:dyDescent="0.25">
      <c r="J140" s="13"/>
      <c r="K140" s="14"/>
    </row>
    <row r="141" spans="1:18" s="12" customFormat="1" x14ac:dyDescent="0.25">
      <c r="J141" s="13"/>
      <c r="K141" s="14"/>
    </row>
    <row r="142" spans="1:18" s="12" customFormat="1" x14ac:dyDescent="0.25">
      <c r="J142" s="13"/>
      <c r="K142" s="14"/>
    </row>
    <row r="143" spans="1:18" x14ac:dyDescent="0.25">
      <c r="J143" s="2"/>
      <c r="K143" s="10"/>
    </row>
    <row r="144" spans="1:18" x14ac:dyDescent="0.25">
      <c r="J144" s="2"/>
      <c r="K144" s="10"/>
    </row>
    <row r="145" spans="10:11" x14ac:dyDescent="0.25">
      <c r="J145" s="2"/>
      <c r="K145" s="10"/>
    </row>
    <row r="146" spans="10:11" x14ac:dyDescent="0.25">
      <c r="J146" s="2"/>
      <c r="K146" s="10"/>
    </row>
    <row r="147" spans="10:11" x14ac:dyDescent="0.25">
      <c r="J147" s="2"/>
      <c r="K147" s="10"/>
    </row>
    <row r="148" spans="10:11" x14ac:dyDescent="0.25">
      <c r="J148" s="2"/>
      <c r="K148" s="10"/>
    </row>
  </sheetData>
  <hyperlinks>
    <hyperlink ref="O62:O64" display="Rentalinfo@lemarco.com"/>
    <hyperlink ref="O44" display="lee@lslaff.com"/>
    <hyperlink ref="O72" display="rick_melrose@yahoo.com"/>
    <hyperlink ref="O134" display="wreed@jsco.net"/>
    <hyperlink ref="O66" display="sue@andersonchristie.com"/>
    <hyperlink ref="O29" display="davidcury@yahoo.com"/>
    <hyperlink ref="O116:O121" display="russellgross.com"/>
    <hyperlink ref="O58" display="tracy@cifpm.com"/>
    <hyperlink ref="O61" display="Rentalinfo@lemarco.com"/>
    <hyperlink ref="O35" r:id="rId1"/>
    <hyperlink ref="O57" display="lee@lslaff.com"/>
    <hyperlink ref="O27" display="dbrentals@gmail.com"/>
    <hyperlink ref="O26" display="dbrentals@gmail.com"/>
    <hyperlink ref="O28" display="dbrentals@gmail.com"/>
    <hyperlink ref="O34" display="rick_melrose@yahoo.com"/>
    <hyperlink ref="O30" r:id="rId2"/>
    <hyperlink ref="O31" r:id="rId3"/>
    <hyperlink ref="O32" r:id="rId4"/>
    <hyperlink ref="O10" r:id="rId5"/>
    <hyperlink ref="O9" r:id="rId6"/>
    <hyperlink ref="O40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CrossTabs</vt:lpstr>
      <vt:lpstr>Industrial Formatted for Print</vt:lpstr>
      <vt:lpstr>Downtown Formatted for Print</vt:lpstr>
      <vt:lpstr>Area Data Comparisons</vt:lpstr>
      <vt:lpstr>PTable</vt:lpstr>
      <vt:lpstr>Pivot Table Crosstabs</vt:lpstr>
    </vt:vector>
  </TitlesOfParts>
  <Company>City of Santa Cruz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Koht</dc:creator>
  <cp:lastModifiedBy>Peter Koht</cp:lastModifiedBy>
  <dcterms:created xsi:type="dcterms:W3CDTF">2012-08-07T17:57:47Z</dcterms:created>
  <dcterms:modified xsi:type="dcterms:W3CDTF">2013-03-29T17:38:35Z</dcterms:modified>
</cp:coreProperties>
</file>