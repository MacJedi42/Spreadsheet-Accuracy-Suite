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fileVersion appName="xl" lastEdited="5" lowestEdited="5" rupBuild="22624"/>
  <workbookPr autoCompressPictures="0"/>
  <bookViews>
    <workbookView xWindow="0" yWindow="120" windowWidth="31780" windowHeight="22380"/>
  </bookViews>
  <sheets>
    <sheet name="CMC Rifle 28" sheetId="3" r:id="rId1"/>
  </sheets>
  <definedNames>
    <definedName name="_xlnm.Print_Area" localSheetId="0">'CMC Rifle 28'!$A$1:$H$77</definedName>
    <definedName name="_xlnm.Print_Titles" localSheetId="0">'CMC Rifle 28'!$A:$B,'CMC Rifle 28'!$4:$9</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D76" i="3" l="1"/>
  <c r="F76" i="3"/>
  <c r="A17" i="3"/>
  <c r="A18" i="3"/>
  <c r="A19" i="3"/>
  <c r="A20" i="3"/>
  <c r="A21" i="3"/>
  <c r="A22" i="3"/>
  <c r="A23" i="3"/>
  <c r="A24" i="3"/>
  <c r="A25" i="3"/>
  <c r="A26" i="3"/>
  <c r="A27" i="3"/>
  <c r="A28" i="3"/>
  <c r="A29" i="3"/>
  <c r="A30" i="3"/>
  <c r="A31" i="3"/>
  <c r="A32" i="3"/>
  <c r="A33" i="3"/>
  <c r="A34" i="3"/>
  <c r="A35" i="3"/>
  <c r="A36" i="3"/>
  <c r="A37" i="3"/>
  <c r="A38" i="3"/>
  <c r="A39" i="3"/>
  <c r="A40" i="3"/>
  <c r="A41" i="3"/>
  <c r="A42" i="3"/>
  <c r="A46" i="3"/>
  <c r="A47" i="3"/>
  <c r="A48" i="3"/>
  <c r="A49" i="3"/>
  <c r="A50" i="3"/>
  <c r="A51" i="3"/>
  <c r="A52" i="3"/>
  <c r="A53" i="3"/>
  <c r="A54" i="3"/>
  <c r="A57" i="3"/>
  <c r="A58" i="3"/>
  <c r="A59" i="3"/>
  <c r="F59" i="3"/>
  <c r="A60" i="3"/>
  <c r="F60" i="3"/>
  <c r="A61" i="3"/>
  <c r="F61" i="3"/>
  <c r="F57" i="3"/>
  <c r="F49" i="3"/>
  <c r="F50" i="3"/>
  <c r="F47" i="3"/>
  <c r="F17" i="3"/>
  <c r="F18" i="3"/>
  <c r="F19" i="3"/>
  <c r="F20" i="3"/>
  <c r="F21" i="3"/>
  <c r="F22" i="3"/>
  <c r="F23" i="3"/>
  <c r="F24" i="3"/>
  <c r="F25" i="3"/>
  <c r="F26" i="3"/>
  <c r="F27" i="3"/>
  <c r="F28" i="3"/>
  <c r="F29" i="3"/>
  <c r="F30" i="3"/>
  <c r="F31" i="3"/>
  <c r="F32" i="3"/>
  <c r="F33" i="3"/>
  <c r="F34" i="3"/>
  <c r="F35" i="3"/>
  <c r="F36" i="3"/>
  <c r="F37" i="3"/>
  <c r="F38" i="3"/>
  <c r="F39" i="3"/>
  <c r="F40" i="3"/>
  <c r="F41" i="3"/>
  <c r="F42" i="3"/>
  <c r="F46" i="3"/>
  <c r="F48" i="3"/>
  <c r="F58" i="3"/>
  <c r="F65" i="3"/>
  <c r="F66" i="3"/>
  <c r="F69" i="3"/>
  <c r="F72" i="3"/>
  <c r="F73" i="3"/>
  <c r="F16" i="3"/>
  <c r="A62" i="3"/>
  <c r="F62" i="3"/>
  <c r="F52" i="3"/>
  <c r="F51" i="3"/>
  <c r="F54" i="3"/>
  <c r="F53" i="3"/>
</calcChain>
</file>

<file path=xl/comments1.xml><?xml version="1.0" encoding="utf-8"?>
<comments xmlns="http://schemas.openxmlformats.org/spreadsheetml/2006/main">
  <authors>
    <author>Boyd, Steve</author>
  </authors>
  <commentList>
    <comment ref="D16" authorId="0">
      <text>
        <r>
          <rPr>
            <sz val="13"/>
            <color indexed="81"/>
            <rFont val="Arial"/>
            <family val="2"/>
          </rPr>
          <t>Enter price into pale yellow cells.  Please do not add rows or columns to this spreadsheet.  You do not need to worry about the formatting or print area.  The product that you bid must be equivalent to or better than in quality and performance than the product specified.  If you are uncertain of what the college is looking for, make your best guess and state your assumption in the "notes' section.  Type as much as you like, it may not be visible when you leave that cell but the selection committee will read your entire notes column and will contact you for clarification or more information if necessary.  Email your bid to sboyd@coloradomtn.edu before the closing date and time.  You may send a hardcopy with backup information to Steve Boyd, 802 Grand Avenue, Glenwood Springs, CO 81601 if it arrives prior to the deadline.</t>
        </r>
      </text>
    </comment>
  </commentList>
</comments>
</file>

<file path=xl/sharedStrings.xml><?xml version="1.0" encoding="utf-8"?>
<sst xmlns="http://schemas.openxmlformats.org/spreadsheetml/2006/main" count="70" uniqueCount="68">
  <si>
    <t>Qty</t>
  </si>
  <si>
    <t>Trailer</t>
  </si>
  <si>
    <t>5200# Tandem Torsion Axles w/ Electric Brakes</t>
  </si>
  <si>
    <t>Tow Behind Configuration with 2-5/16" Coupler and Electric Tongue Jack</t>
  </si>
  <si>
    <t>5000# Scissor Jack</t>
  </si>
  <si>
    <t>Electric Brakes</t>
  </si>
  <si>
    <t>15" Radial Tires with Split Spoke Aluminum Wheels</t>
  </si>
  <si>
    <t>3/8" Plywood Sidewalls</t>
  </si>
  <si>
    <t>3/4" Plywood Flooring</t>
  </si>
  <si>
    <t>Aluminum Roof</t>
  </si>
  <si>
    <t>.030 Aluminum Exterior/Interior</t>
  </si>
  <si>
    <t>Stainless Steel Front Corners</t>
  </si>
  <si>
    <t>Polished Cast Corners w/Stainless Steel Insert</t>
  </si>
  <si>
    <t>Black Aluminum Wheel Box Wrap</t>
  </si>
  <si>
    <t>Extra Wide HD Rear Ramp Door and Flap</t>
  </si>
  <si>
    <t>Spring Assist &amp; Keyed Paddle Latches</t>
  </si>
  <si>
    <t>Black Coin Floor and Ramp Door</t>
  </si>
  <si>
    <t>Rubber Ramps Door Hinge Cover</t>
  </si>
  <si>
    <t>Clear Lens LED Exterior Lighting</t>
  </si>
  <si>
    <t>36" Side Door w/Flush Lock</t>
  </si>
  <si>
    <t>4 x Dome Lights</t>
  </si>
  <si>
    <t>2 Three Way Wall Switches</t>
  </si>
  <si>
    <t>45 Amp Converter w/Battery Charger</t>
  </si>
  <si>
    <t>Angle Mount Florescent Lights</t>
  </si>
  <si>
    <t>Variable Items</t>
  </si>
  <si>
    <t>12V Electric Tongue Jack</t>
  </si>
  <si>
    <t>2 x 500W Recessed Quartz Lights Outside</t>
  </si>
  <si>
    <t>50amp Panel Electrical Package w/110V Recepticals with Lifeline, Cable Hatch</t>
  </si>
  <si>
    <t>Recessed Floor E-Track @ 4 Rows of 22' long</t>
  </si>
  <si>
    <t>Recessed Wall E-Track @ 2 Rows of 22' long</t>
  </si>
  <si>
    <t>15K BTU Air Conditioning Unit w/Heatstrip</t>
  </si>
  <si>
    <t>Analog A/C Thermostat</t>
  </si>
  <si>
    <t>Media Options</t>
  </si>
  <si>
    <t>24" x 12" Plate Projector Mount</t>
  </si>
  <si>
    <t>1 x VGA Instructor Hook Up Connection</t>
  </si>
  <si>
    <t>CAT 5 Connection Bundle (Network Extra)</t>
  </si>
  <si>
    <t>Printer/Copier/Scanner Based on Dell Current Small Business Unit</t>
  </si>
  <si>
    <t>24 Port /gigabit Smart Switch Based on Dell Current Small Business Unit</t>
  </si>
  <si>
    <t>Dell Latitude 17" Laptop Win 7 Professional, Microsoft Office Suite and Mouse</t>
  </si>
  <si>
    <t>Furniture</t>
  </si>
  <si>
    <t>Instructors Computer Desk w/Slide Out Tray for Keyboard and Drawer</t>
  </si>
  <si>
    <t>Student Desk, 2 station desk 24" x 60" and Office type chairs</t>
  </si>
  <si>
    <t>Graphics</t>
  </si>
  <si>
    <t>Custom designed printed, mounted full wrap graphics</t>
  </si>
  <si>
    <t>Delivery</t>
  </si>
  <si>
    <t>TOTAL:</t>
  </si>
  <si>
    <t>Mobile Classroom Trailer, Internal Floor Plan of 8'Wide x 8'High x 28'Long</t>
  </si>
  <si>
    <t>Spare Tire</t>
  </si>
  <si>
    <t>Electrical Bracket</t>
  </si>
  <si>
    <t>28" Stonegard</t>
  </si>
  <si>
    <t>Price</t>
  </si>
  <si>
    <r>
      <rPr>
        <sz val="11"/>
        <rFont val="Arial"/>
        <family val="2"/>
      </rPr>
      <t>Product Quoted:</t>
    </r>
    <r>
      <rPr>
        <b/>
        <sz val="11"/>
        <rFont val="Arial"/>
        <family val="2"/>
      </rPr>
      <t xml:space="preserve">  Lab Volt</t>
    </r>
  </si>
  <si>
    <r>
      <rPr>
        <sz val="11"/>
        <rFont val="Arial"/>
        <family val="2"/>
      </rPr>
      <t>Bid:</t>
    </r>
    <r>
      <rPr>
        <b/>
        <sz val="11"/>
        <rFont val="Arial"/>
        <family val="2"/>
      </rPr>
      <t xml:space="preserve">  Equivalent to or greater than</t>
    </r>
  </si>
  <si>
    <t>Due:  Monday, December 10, 2012 at 2:00 pm</t>
  </si>
  <si>
    <t>Company Name:</t>
  </si>
  <si>
    <t>Contact Person Name:</t>
  </si>
  <si>
    <t>Phone</t>
  </si>
  <si>
    <t>Address 2:</t>
  </si>
  <si>
    <t xml:space="preserve">Address 1 </t>
  </si>
  <si>
    <t>Model/Link:  IC8524TA3</t>
  </si>
  <si>
    <t>Other Costs</t>
  </si>
  <si>
    <t>White Vinyl Ceiling</t>
  </si>
  <si>
    <t>Notes:</t>
  </si>
  <si>
    <t>RFQ 539-12 Mobile Classroom Trailer</t>
  </si>
  <si>
    <t>Total Cost</t>
  </si>
  <si>
    <t>42" Aluminum Slideout Step</t>
  </si>
  <si>
    <t>&gt;12" Extra Height to give interior height of 1' Height Increments</t>
  </si>
  <si>
    <t>Earliest guaranteed delivery 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</si>
</sst>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43" formatCode="_(* #,##0.00_);_(* \(#,##0.00\);_(* &quot;-&quot;??_);_(@_)"/>
    <numFmt numFmtId="164" formatCode="&quot;$&quot;#,##0.00"/>
  </numFmts>
  <fonts count="28" x14ac:knownFonts="1">
    <font>
      <sz val="10"/>
      <name val="Arial"/>
      <family val="2"/>
    </font>
    <font>
      <sz val="11"/>
      <color theme="0"/>
      <name val="Calibri"/>
      <family val="2"/>
      <scheme val="minor"/>
    </font>
    <font>
      <sz val="10"/>
      <name val="Arial"/>
      <family val="2"/>
    </font>
    <font>
      <sz val="11"/>
      <name val="Arial"/>
      <family val="2"/>
    </font>
    <font>
      <sz val="11"/>
      <color theme="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1"/>
      <name val="Arial"/>
      <family val="2"/>
    </font>
    <font>
      <b/>
      <sz val="10"/>
      <name val="Arial"/>
      <family val="2"/>
    </font>
    <font>
      <b/>
      <sz val="14"/>
      <name val="Arial"/>
      <family val="2"/>
    </font>
    <font>
      <sz val="9"/>
      <name val="Arial"/>
      <family val="2"/>
    </font>
    <font>
      <sz val="13"/>
      <color indexed="81"/>
      <name val="Arial"/>
      <family val="2"/>
    </font>
  </fonts>
  <fills count="30">
    <fill>
      <patternFill patternType="none"/>
    </fill>
    <fill>
      <patternFill patternType="gray125"/>
    </fill>
    <fill>
      <patternFill patternType="solid">
        <fgColor theme="4"/>
      </patternFill>
    </fill>
    <fill>
      <patternFill patternType="solid">
        <fgColor theme="5"/>
      </patternFill>
    </fill>
    <fill>
      <patternFill patternType="solid">
        <fgColor theme="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CC"/>
        <bgColor indexed="64"/>
      </patternFill>
    </fill>
    <fill>
      <patternFill patternType="solid">
        <fgColor theme="0" tint="-0.249977111117893"/>
        <bgColor indexed="64"/>
      </patternFill>
    </fill>
    <fill>
      <patternFill patternType="solid">
        <fgColor theme="0" tint="-0.14999847407452621"/>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96">
    <xf numFmtId="0" fontId="0" fillId="0" borderId="0"/>
    <xf numFmtId="0" fontId="1" fillId="2" borderId="0" applyNumberFormat="0" applyBorder="0" applyAlignment="0" applyProtection="0"/>
    <xf numFmtId="0" fontId="1" fillId="3" borderId="0" applyNumberFormat="0" applyBorder="0" applyAlignment="0" applyProtection="0"/>
    <xf numFmtId="0" fontId="5" fillId="0" borderId="0" applyNumberFormat="0" applyFill="0" applyBorder="0" applyAlignment="0" applyProtection="0">
      <alignment vertical="top"/>
      <protection locked="0"/>
    </xf>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22" borderId="0" applyNumberFormat="0" applyBorder="0" applyAlignment="0" applyProtection="0"/>
    <xf numFmtId="0" fontId="8" fillId="6" borderId="0" applyNumberFormat="0" applyBorder="0" applyAlignment="0" applyProtection="0"/>
    <xf numFmtId="0" fontId="9" fillId="23" borderId="1" applyNumberFormat="0" applyAlignment="0" applyProtection="0"/>
    <xf numFmtId="0" fontId="10" fillId="24" borderId="2"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1" fillId="0" borderId="0" applyNumberFormat="0" applyFill="0" applyBorder="0" applyAlignment="0" applyProtection="0"/>
    <xf numFmtId="0" fontId="12" fillId="7"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5" fillId="0" borderId="0" applyNumberFormat="0" applyFill="0" applyBorder="0" applyAlignment="0" applyProtection="0">
      <alignment vertical="top"/>
      <protection locked="0"/>
    </xf>
    <xf numFmtId="0" fontId="16" fillId="10" borderId="1" applyNumberFormat="0" applyAlignment="0" applyProtection="0"/>
    <xf numFmtId="0" fontId="17" fillId="0" borderId="6" applyNumberFormat="0" applyFill="0" applyAlignment="0" applyProtection="0"/>
    <xf numFmtId="0" fontId="18" fillId="25"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26" borderId="7" applyNumberFormat="0" applyFont="0" applyAlignment="0" applyProtection="0"/>
    <xf numFmtId="0" fontId="2" fillId="26" borderId="7" applyNumberFormat="0" applyFont="0" applyAlignment="0" applyProtection="0"/>
    <xf numFmtId="0" fontId="19" fillId="23" borderId="8" applyNumberForma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44" fontId="2" fillId="0" borderId="0" applyFont="0" applyFill="0" applyBorder="0" applyAlignment="0" applyProtection="0"/>
  </cellStyleXfs>
  <cellXfs count="67">
    <xf numFmtId="0" fontId="0" fillId="0" borderId="0" xfId="0"/>
    <xf numFmtId="0" fontId="3" fillId="0" borderId="0" xfId="0" applyFont="1" applyAlignment="1">
      <alignment horizontal="center" vertical="top"/>
    </xf>
    <xf numFmtId="4" fontId="3" fillId="0" borderId="0" xfId="0" applyNumberFormat="1" applyFont="1" applyAlignment="1">
      <alignment horizontal="right" vertical="top"/>
    </xf>
    <xf numFmtId="0" fontId="0" fillId="0" borderId="0" xfId="0" applyAlignment="1">
      <alignment horizontal="left" vertical="top"/>
    </xf>
    <xf numFmtId="0" fontId="3" fillId="0" borderId="0" xfId="0" applyFont="1" applyFill="1" applyAlignment="1">
      <alignment horizontal="left" vertical="top"/>
    </xf>
    <xf numFmtId="0" fontId="3" fillId="0" borderId="0" xfId="0" applyFont="1" applyAlignment="1">
      <alignment horizontal="left"/>
    </xf>
    <xf numFmtId="0" fontId="3" fillId="0" borderId="0" xfId="0" applyFont="1" applyAlignment="1">
      <alignment horizontal="center"/>
    </xf>
    <xf numFmtId="4" fontId="3" fillId="0" borderId="0" xfId="0" applyNumberFormat="1" applyFont="1" applyAlignment="1">
      <alignment horizontal="right"/>
    </xf>
    <xf numFmtId="0" fontId="3" fillId="0" borderId="0" xfId="0" applyFont="1"/>
    <xf numFmtId="0" fontId="3" fillId="0" borderId="0" xfId="0" applyFont="1" applyFill="1" applyBorder="1" applyAlignment="1">
      <alignment horizontal="center" vertical="top"/>
    </xf>
    <xf numFmtId="4" fontId="3" fillId="0" borderId="0" xfId="0" applyNumberFormat="1" applyFont="1" applyFill="1" applyBorder="1" applyAlignment="1">
      <alignment horizontal="right" vertical="top"/>
    </xf>
    <xf numFmtId="0" fontId="24" fillId="0" borderId="0" xfId="0" applyFont="1" applyAlignment="1">
      <alignment horizontal="center"/>
    </xf>
    <xf numFmtId="0" fontId="3" fillId="27" borderId="10" xfId="0" applyFont="1" applyFill="1" applyBorder="1" applyAlignment="1">
      <alignment horizontal="left" vertical="top"/>
    </xf>
    <xf numFmtId="0" fontId="23" fillId="0" borderId="0" xfId="0" applyFont="1" applyFill="1" applyBorder="1" applyAlignment="1">
      <alignment horizontal="center" vertical="top"/>
    </xf>
    <xf numFmtId="0" fontId="3" fillId="0" borderId="0" xfId="2" applyFont="1" applyFill="1" applyBorder="1" applyAlignment="1">
      <alignment horizontal="center" vertical="top"/>
    </xf>
    <xf numFmtId="4" fontId="3" fillId="0" borderId="0" xfId="2" applyNumberFormat="1" applyFont="1" applyFill="1" applyBorder="1" applyAlignment="1">
      <alignment horizontal="center" vertical="top"/>
    </xf>
    <xf numFmtId="0" fontId="4" fillId="0" borderId="0" xfId="0" applyFont="1" applyFill="1" applyBorder="1" applyAlignment="1">
      <alignment horizontal="left" vertical="top"/>
    </xf>
    <xf numFmtId="0" fontId="3" fillId="0" borderId="0" xfId="0" applyFont="1" applyFill="1" applyBorder="1" applyAlignment="1">
      <alignment horizontal="left" vertical="top"/>
    </xf>
    <xf numFmtId="0" fontId="24" fillId="27" borderId="12" xfId="0" applyFont="1" applyFill="1" applyBorder="1" applyAlignment="1">
      <alignment horizontal="left" vertical="center"/>
    </xf>
    <xf numFmtId="0" fontId="24" fillId="27" borderId="13" xfId="0" applyFont="1" applyFill="1" applyBorder="1" applyAlignment="1">
      <alignment horizontal="left" vertical="center"/>
    </xf>
    <xf numFmtId="164" fontId="3" fillId="27" borderId="12" xfId="0" applyNumberFormat="1" applyFont="1" applyFill="1" applyBorder="1" applyAlignment="1">
      <alignment horizontal="right" vertical="top"/>
    </xf>
    <xf numFmtId="164" fontId="3" fillId="27" borderId="14" xfId="0" applyNumberFormat="1" applyFont="1" applyFill="1" applyBorder="1" applyAlignment="1">
      <alignment horizontal="right" vertical="top"/>
    </xf>
    <xf numFmtId="164" fontId="3" fillId="27" borderId="11" xfId="0" applyNumberFormat="1" applyFont="1" applyFill="1" applyBorder="1" applyAlignment="1">
      <alignment horizontal="right" vertical="top"/>
    </xf>
    <xf numFmtId="164" fontId="3" fillId="27" borderId="13" xfId="0" applyNumberFormat="1" applyFont="1" applyFill="1" applyBorder="1" applyAlignment="1">
      <alignment horizontal="right" vertical="top"/>
    </xf>
    <xf numFmtId="0" fontId="23" fillId="0" borderId="0" xfId="0" applyFont="1" applyFill="1" applyBorder="1" applyAlignment="1">
      <alignment horizontal="left" vertical="center"/>
    </xf>
    <xf numFmtId="0" fontId="3" fillId="27" borderId="12" xfId="0" applyFont="1" applyFill="1" applyBorder="1" applyAlignment="1">
      <alignment horizontal="left" vertical="top"/>
    </xf>
    <xf numFmtId="0" fontId="3" fillId="27" borderId="14" xfId="0" applyFont="1" applyFill="1" applyBorder="1" applyAlignment="1">
      <alignment horizontal="left" vertical="top"/>
    </xf>
    <xf numFmtId="0" fontId="3" fillId="27" borderId="13" xfId="0" applyFont="1" applyFill="1" applyBorder="1" applyAlignment="1">
      <alignment horizontal="left" vertical="top"/>
    </xf>
    <xf numFmtId="0" fontId="3" fillId="27" borderId="12" xfId="0" applyFont="1" applyFill="1" applyBorder="1" applyAlignment="1">
      <alignment horizontal="left" vertical="center" wrapText="1"/>
    </xf>
    <xf numFmtId="0" fontId="3" fillId="27" borderId="13" xfId="0" applyFont="1" applyFill="1" applyBorder="1" applyAlignment="1">
      <alignment horizontal="left" vertical="center" wrapText="1"/>
    </xf>
    <xf numFmtId="0" fontId="3" fillId="27" borderId="14" xfId="0" applyFont="1" applyFill="1" applyBorder="1" applyAlignment="1">
      <alignment horizontal="left" vertical="center" wrapText="1"/>
    </xf>
    <xf numFmtId="0" fontId="3" fillId="27" borderId="11" xfId="0" applyFont="1" applyFill="1" applyBorder="1" applyAlignment="1">
      <alignment horizontal="left" vertical="center" wrapText="1"/>
    </xf>
    <xf numFmtId="0" fontId="24" fillId="0" borderId="0" xfId="0" applyFont="1" applyAlignment="1">
      <alignment horizontal="center" vertical="center"/>
    </xf>
    <xf numFmtId="0" fontId="25" fillId="0" borderId="0" xfId="0" applyFont="1" applyAlignment="1">
      <alignment horizontal="center" vertical="center"/>
    </xf>
    <xf numFmtId="164" fontId="23" fillId="0" borderId="0" xfId="95" applyNumberFormat="1" applyFont="1" applyFill="1" applyBorder="1" applyAlignment="1">
      <alignment horizontal="right" vertical="top"/>
    </xf>
    <xf numFmtId="164" fontId="3" fillId="0" borderId="0" xfId="0" applyNumberFormat="1" applyFont="1" applyFill="1" applyBorder="1" applyAlignment="1">
      <alignment horizontal="right" vertical="top"/>
    </xf>
    <xf numFmtId="0" fontId="3" fillId="0" borderId="0" xfId="0" applyFont="1" applyAlignment="1">
      <alignment horizontal="right" vertical="center"/>
    </xf>
    <xf numFmtId="0" fontId="3" fillId="0" borderId="0" xfId="0" applyFont="1" applyFill="1" applyBorder="1" applyAlignment="1">
      <alignment horizontal="right" vertical="center"/>
    </xf>
    <xf numFmtId="0" fontId="3" fillId="0" borderId="0" xfId="2" applyFont="1" applyFill="1" applyBorder="1" applyAlignment="1">
      <alignment horizontal="right" vertical="center"/>
    </xf>
    <xf numFmtId="0" fontId="4" fillId="0" borderId="0" xfId="2" applyFont="1" applyFill="1" applyBorder="1" applyAlignment="1">
      <alignment horizontal="right" vertical="center"/>
    </xf>
    <xf numFmtId="0" fontId="26" fillId="0" borderId="0" xfId="0" applyFont="1" applyFill="1" applyBorder="1" applyAlignment="1">
      <alignment horizontal="right" vertical="center"/>
    </xf>
    <xf numFmtId="0" fontId="26" fillId="0" borderId="0" xfId="3" applyFont="1" applyFill="1" applyBorder="1" applyAlignment="1" applyProtection="1">
      <alignment horizontal="right" vertical="center"/>
    </xf>
    <xf numFmtId="0" fontId="0" fillId="0" borderId="0" xfId="0" applyBorder="1" applyAlignment="1">
      <alignment horizontal="left" vertical="top"/>
    </xf>
    <xf numFmtId="0" fontId="4" fillId="4" borderId="0" xfId="0" applyFont="1" applyFill="1" applyBorder="1" applyAlignment="1">
      <alignment horizontal="left" vertical="center"/>
    </xf>
    <xf numFmtId="0" fontId="3" fillId="4" borderId="0" xfId="0" applyFont="1" applyFill="1" applyBorder="1" applyAlignment="1">
      <alignment horizontal="left" vertical="top"/>
    </xf>
    <xf numFmtId="4" fontId="3" fillId="4" borderId="0" xfId="0" applyNumberFormat="1" applyFont="1" applyFill="1" applyBorder="1" applyAlignment="1">
      <alignment horizontal="right" vertical="top"/>
    </xf>
    <xf numFmtId="0" fontId="3" fillId="0" borderId="0" xfId="0" applyFont="1" applyFill="1" applyBorder="1" applyAlignment="1">
      <alignment horizontal="left" vertical="center" wrapText="1"/>
    </xf>
    <xf numFmtId="0" fontId="3" fillId="4" borderId="0" xfId="0" applyFont="1" applyFill="1" applyBorder="1" applyAlignment="1">
      <alignment horizontal="center" vertical="top"/>
    </xf>
    <xf numFmtId="0" fontId="3" fillId="0" borderId="0" xfId="0" applyFont="1" applyFill="1" applyBorder="1" applyAlignment="1">
      <alignment horizontal="left" vertical="top" wrapText="1"/>
    </xf>
    <xf numFmtId="0" fontId="24" fillId="27" borderId="16" xfId="0" applyFont="1" applyFill="1" applyBorder="1" applyAlignment="1">
      <alignment horizontal="left" vertical="center"/>
    </xf>
    <xf numFmtId="0" fontId="3" fillId="0" borderId="0" xfId="0" applyFont="1" applyBorder="1" applyAlignment="1">
      <alignment horizontal="center" vertical="top"/>
    </xf>
    <xf numFmtId="4" fontId="3" fillId="0" borderId="0" xfId="0" applyNumberFormat="1" applyFont="1" applyBorder="1" applyAlignment="1">
      <alignment horizontal="right" vertical="top"/>
    </xf>
    <xf numFmtId="0" fontId="25" fillId="0" borderId="0" xfId="0" applyFont="1" applyBorder="1" applyAlignment="1">
      <alignment horizontal="center" vertical="center"/>
    </xf>
    <xf numFmtId="0" fontId="3" fillId="0" borderId="0" xfId="0" applyFont="1" applyBorder="1" applyAlignment="1">
      <alignment horizontal="left"/>
    </xf>
    <xf numFmtId="0" fontId="3" fillId="0" borderId="0" xfId="0" applyFont="1" applyBorder="1" applyAlignment="1">
      <alignment horizontal="center"/>
    </xf>
    <xf numFmtId="4" fontId="3" fillId="0" borderId="0" xfId="0" applyNumberFormat="1" applyFont="1" applyBorder="1" applyAlignment="1">
      <alignment horizontal="right"/>
    </xf>
    <xf numFmtId="0" fontId="0" fillId="0" borderId="0" xfId="0" applyBorder="1"/>
    <xf numFmtId="0" fontId="3" fillId="0" borderId="0" xfId="0" applyFont="1" applyBorder="1" applyAlignment="1">
      <alignment horizontal="right" vertical="center" wrapText="1"/>
    </xf>
    <xf numFmtId="14" fontId="23" fillId="27" borderId="14" xfId="0" applyNumberFormat="1" applyFont="1" applyFill="1" applyBorder="1" applyAlignment="1">
      <alignment horizontal="left" vertical="center"/>
    </xf>
    <xf numFmtId="0" fontId="3" fillId="28" borderId="15" xfId="2" applyFont="1" applyFill="1" applyBorder="1" applyAlignment="1">
      <alignment horizontal="center" vertical="top"/>
    </xf>
    <xf numFmtId="4" fontId="3" fillId="28" borderId="17" xfId="2" applyNumberFormat="1" applyFont="1" applyFill="1" applyBorder="1" applyAlignment="1">
      <alignment horizontal="center" vertical="top"/>
    </xf>
    <xf numFmtId="164" fontId="3" fillId="27" borderId="10" xfId="0" applyNumberFormat="1" applyFont="1" applyFill="1" applyBorder="1" applyAlignment="1">
      <alignment horizontal="right" vertical="top"/>
    </xf>
    <xf numFmtId="0" fontId="3" fillId="0" borderId="0" xfId="0" applyFont="1" applyBorder="1" applyAlignment="1">
      <alignment horizontal="right" vertical="center"/>
    </xf>
    <xf numFmtId="0" fontId="23" fillId="29" borderId="18" xfId="1" applyFont="1" applyFill="1" applyBorder="1" applyAlignment="1">
      <alignment horizontal="right" vertical="top"/>
    </xf>
    <xf numFmtId="0" fontId="23" fillId="29" borderId="19" xfId="2" applyFont="1" applyFill="1" applyBorder="1" applyAlignment="1">
      <alignment horizontal="right" vertical="top"/>
    </xf>
    <xf numFmtId="0" fontId="4" fillId="4" borderId="20" xfId="0" applyFont="1" applyFill="1" applyBorder="1" applyAlignment="1">
      <alignment horizontal="left" vertical="top"/>
    </xf>
    <xf numFmtId="164" fontId="23" fillId="0" borderId="0" xfId="95" applyNumberFormat="1" applyFont="1" applyFill="1" applyBorder="1" applyAlignment="1" applyProtection="1">
      <alignment horizontal="right" vertical="top"/>
      <protection locked="0"/>
    </xf>
  </cellXfs>
  <cellStyles count="96">
    <cellStyle name="20% - Accent1 2" xfId="4"/>
    <cellStyle name="20% - Accent2 2" xfId="5"/>
    <cellStyle name="20% - Accent3 2" xfId="6"/>
    <cellStyle name="20% - Accent4 2" xfId="7"/>
    <cellStyle name="20% - Accent5 2" xfId="8"/>
    <cellStyle name="20% - Accent6 2" xfId="9"/>
    <cellStyle name="40% - Accent1 2" xfId="10"/>
    <cellStyle name="40% - Accent2 2" xfId="11"/>
    <cellStyle name="40% - Accent3 2" xfId="12"/>
    <cellStyle name="40% - Accent4 2" xfId="13"/>
    <cellStyle name="40% - Accent5 2" xfId="14"/>
    <cellStyle name="40% - Accent6 2" xfId="15"/>
    <cellStyle name="60% - Accent1 2" xfId="16"/>
    <cellStyle name="60% - Accent2 2" xfId="17"/>
    <cellStyle name="60% - Accent3 2" xfId="18"/>
    <cellStyle name="60% - Accent4 2" xfId="19"/>
    <cellStyle name="60% - Accent5 2" xfId="20"/>
    <cellStyle name="60% - Accent6 2" xfId="21"/>
    <cellStyle name="Accent1" xfId="1" builtinId="29"/>
    <cellStyle name="Accent1 2" xfId="22"/>
    <cellStyle name="Accent2" xfId="2" builtinId="33"/>
    <cellStyle name="Accent2 2" xfId="23"/>
    <cellStyle name="Accent3 2" xfId="24"/>
    <cellStyle name="Accent4 2" xfId="25"/>
    <cellStyle name="Accent5 2" xfId="26"/>
    <cellStyle name="Accent6 2" xfId="27"/>
    <cellStyle name="Bad 2" xfId="28"/>
    <cellStyle name="Calculation 2" xfId="29"/>
    <cellStyle name="Check Cell 2" xfId="30"/>
    <cellStyle name="Comma 10" xfId="31"/>
    <cellStyle name="Comma 11" xfId="32"/>
    <cellStyle name="Comma 12" xfId="33"/>
    <cellStyle name="Comma 13" xfId="34"/>
    <cellStyle name="Comma 14" xfId="35"/>
    <cellStyle name="Comma 15" xfId="36"/>
    <cellStyle name="Comma 16" xfId="37"/>
    <cellStyle name="Comma 17" xfId="38"/>
    <cellStyle name="Comma 18" xfId="39"/>
    <cellStyle name="Comma 19" xfId="40"/>
    <cellStyle name="Comma 2" xfId="41"/>
    <cellStyle name="Comma 20" xfId="42"/>
    <cellStyle name="Comma 21" xfId="43"/>
    <cellStyle name="Comma 22" xfId="44"/>
    <cellStyle name="Comma 23" xfId="45"/>
    <cellStyle name="Comma 24" xfId="46"/>
    <cellStyle name="Comma 3" xfId="47"/>
    <cellStyle name="Comma 4" xfId="48"/>
    <cellStyle name="Comma 5" xfId="49"/>
    <cellStyle name="Comma 6" xfId="50"/>
    <cellStyle name="Comma 7" xfId="51"/>
    <cellStyle name="Comma 8" xfId="52"/>
    <cellStyle name="Comma 9" xfId="53"/>
    <cellStyle name="Currency" xfId="95" builtinId="4"/>
    <cellStyle name="Explanatory Text 2" xfId="54"/>
    <cellStyle name="Good 2" xfId="55"/>
    <cellStyle name="Heading 1 2" xfId="56"/>
    <cellStyle name="Heading 2 2" xfId="57"/>
    <cellStyle name="Heading 3 2" xfId="58"/>
    <cellStyle name="Heading 4 2" xfId="59"/>
    <cellStyle name="Hyperlink" xfId="3" builtinId="8"/>
    <cellStyle name="Hyperlink 2" xfId="60"/>
    <cellStyle name="Input 2" xfId="61"/>
    <cellStyle name="Linked Cell 2" xfId="62"/>
    <cellStyle name="Neutral 2" xfId="63"/>
    <cellStyle name="Normal" xfId="0" builtinId="0"/>
    <cellStyle name="Normal 10" xfId="64"/>
    <cellStyle name="Normal 11" xfId="65"/>
    <cellStyle name="Normal 12" xfId="66"/>
    <cellStyle name="Normal 13" xfId="67"/>
    <cellStyle name="Normal 14" xfId="68"/>
    <cellStyle name="Normal 15" xfId="69"/>
    <cellStyle name="Normal 16" xfId="70"/>
    <cellStyle name="Normal 17" xfId="71"/>
    <cellStyle name="Normal 18" xfId="72"/>
    <cellStyle name="Normal 19" xfId="73"/>
    <cellStyle name="Normal 2" xfId="74"/>
    <cellStyle name="Normal 2 2" xfId="75"/>
    <cellStyle name="Normal 20" xfId="76"/>
    <cellStyle name="Normal 21" xfId="77"/>
    <cellStyle name="Normal 22" xfId="78"/>
    <cellStyle name="Normal 23" xfId="79"/>
    <cellStyle name="Normal 24" xfId="80"/>
    <cellStyle name="Normal 25" xfId="81"/>
    <cellStyle name="Normal 3" xfId="82"/>
    <cellStyle name="Normal 4" xfId="83"/>
    <cellStyle name="Normal 5" xfId="84"/>
    <cellStyle name="Normal 6" xfId="85"/>
    <cellStyle name="Normal 7" xfId="86"/>
    <cellStyle name="Normal 8" xfId="87"/>
    <cellStyle name="Normal 9" xfId="88"/>
    <cellStyle name="Note 2" xfId="89"/>
    <cellStyle name="Note 3" xfId="90"/>
    <cellStyle name="Output 2" xfId="91"/>
    <cellStyle name="Title 2" xfId="92"/>
    <cellStyle name="Total 2" xfId="93"/>
    <cellStyle name="Warning Text 2" xfId="94"/>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104774</xdr:colOff>
      <xdr:row>4</xdr:row>
      <xdr:rowOff>104774</xdr:rowOff>
    </xdr:from>
    <xdr:to>
      <xdr:col>3</xdr:col>
      <xdr:colOff>819150</xdr:colOff>
      <xdr:row>8</xdr:row>
      <xdr:rowOff>190500</xdr:rowOff>
    </xdr:to>
    <xdr:pic>
      <xdr:nvPicPr>
        <xdr:cNvPr id="2" name="Picture 1" descr="PurchasingLOGO.gif"/>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2449" y="952499"/>
          <a:ext cx="1371601" cy="1076326"/>
        </a:xfrm>
        <a:prstGeom prst="rect">
          <a:avLst/>
        </a:prstGeom>
        <a:solidFill>
          <a:schemeClr val="bg1"/>
        </a:solidFill>
        <a:ln>
          <a:solidFill>
            <a:sysClr val="windowText" lastClr="000000"/>
          </a:solidFill>
        </a:ln>
        <a:effectLst>
          <a:outerShdw blurRad="50800" dist="50800" dir="5400000" algn="ctr" rotWithShape="0">
            <a:srgbClr val="000000"/>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66"/>
  <sheetViews>
    <sheetView tabSelected="1" zoomScaleSheetLayoutView="65" workbookViewId="0">
      <selection activeCell="G8" sqref="G8"/>
    </sheetView>
  </sheetViews>
  <sheetFormatPr baseColWidth="10" defaultColWidth="8.83203125" defaultRowHeight="13" x14ac:dyDescent="0"/>
  <cols>
    <col min="1" max="1" width="23" style="36" customWidth="1"/>
    <col min="2" max="2" width="98" style="8" customWidth="1"/>
    <col min="3" max="3" width="9.83203125" style="6" customWidth="1"/>
    <col min="4" max="4" width="13" style="7" customWidth="1"/>
    <col min="5" max="5" width="3" style="7" customWidth="1"/>
    <col min="6" max="6" width="4.6640625" customWidth="1"/>
    <col min="7" max="7" width="81" customWidth="1"/>
    <col min="8" max="8" width="2.33203125" customWidth="1"/>
  </cols>
  <sheetData>
    <row r="1" spans="1:8" ht="17">
      <c r="B1" s="33" t="s">
        <v>63</v>
      </c>
    </row>
    <row r="2" spans="1:8">
      <c r="B2" s="32" t="s">
        <v>53</v>
      </c>
    </row>
    <row r="3" spans="1:8" ht="14" thickBot="1">
      <c r="B3" s="11"/>
    </row>
    <row r="4" spans="1:8" ht="20" customHeight="1">
      <c r="A4" s="62" t="s">
        <v>54</v>
      </c>
      <c r="B4" s="18"/>
    </row>
    <row r="5" spans="1:8" ht="20" customHeight="1">
      <c r="A5" s="62" t="s">
        <v>55</v>
      </c>
      <c r="B5" s="19"/>
    </row>
    <row r="6" spans="1:8" ht="20" customHeight="1">
      <c r="A6" s="62" t="s">
        <v>58</v>
      </c>
      <c r="B6" s="19"/>
    </row>
    <row r="7" spans="1:8" ht="20" customHeight="1">
      <c r="A7" s="62" t="s">
        <v>57</v>
      </c>
      <c r="B7" s="19"/>
    </row>
    <row r="8" spans="1:8" ht="20" customHeight="1">
      <c r="A8" s="62" t="s">
        <v>56</v>
      </c>
      <c r="B8" s="49"/>
    </row>
    <row r="9" spans="1:8" s="3" customFormat="1" ht="40.5" customHeight="1" thickBot="1">
      <c r="A9" s="57" t="s">
        <v>67</v>
      </c>
      <c r="B9" s="58"/>
      <c r="C9" s="1"/>
      <c r="D9" s="2"/>
      <c r="E9" s="2"/>
    </row>
    <row r="10" spans="1:8" s="3" customFormat="1" ht="20" customHeight="1">
      <c r="A10" s="62"/>
      <c r="B10" s="24"/>
      <c r="C10" s="50"/>
      <c r="D10" s="51"/>
      <c r="E10" s="51"/>
      <c r="F10" s="42"/>
      <c r="G10" s="42"/>
      <c r="H10" s="42"/>
    </row>
    <row r="11" spans="1:8" s="3" customFormat="1">
      <c r="A11" s="37"/>
      <c r="B11" s="63" t="s">
        <v>51</v>
      </c>
      <c r="C11" s="9"/>
      <c r="D11" s="10"/>
      <c r="E11" s="10"/>
      <c r="F11" s="42"/>
      <c r="G11" s="42"/>
      <c r="H11" s="42"/>
    </row>
    <row r="12" spans="1:8" s="3" customFormat="1">
      <c r="A12" s="38"/>
      <c r="B12" s="64" t="s">
        <v>52</v>
      </c>
      <c r="C12" s="42"/>
      <c r="D12" s="42"/>
      <c r="E12" s="42"/>
      <c r="F12" s="42"/>
      <c r="G12" s="42"/>
      <c r="H12" s="42"/>
    </row>
    <row r="13" spans="1:8" s="3" customFormat="1">
      <c r="A13" s="38"/>
      <c r="B13" s="64" t="s">
        <v>59</v>
      </c>
      <c r="C13" s="42"/>
      <c r="D13" s="42"/>
      <c r="E13" s="42"/>
      <c r="F13" s="42"/>
      <c r="G13" s="42"/>
      <c r="H13" s="42"/>
    </row>
    <row r="14" spans="1:8" s="3" customFormat="1">
      <c r="A14" s="39"/>
      <c r="B14" s="65" t="s">
        <v>1</v>
      </c>
      <c r="C14" s="59" t="s">
        <v>0</v>
      </c>
      <c r="D14" s="60" t="s">
        <v>50</v>
      </c>
      <c r="E14" s="15"/>
      <c r="F14" s="42"/>
      <c r="G14" s="42"/>
      <c r="H14" s="42"/>
    </row>
    <row r="15" spans="1:8" s="3" customFormat="1" ht="18" thickBot="1">
      <c r="A15" s="39"/>
      <c r="B15" s="16"/>
      <c r="C15" s="14"/>
      <c r="D15" s="15"/>
      <c r="E15" s="15"/>
      <c r="F15" s="42"/>
      <c r="G15" s="52" t="s">
        <v>62</v>
      </c>
      <c r="H15" s="42"/>
    </row>
    <row r="16" spans="1:8" s="4" customFormat="1" ht="15.75" customHeight="1">
      <c r="A16" s="40">
        <v>1</v>
      </c>
      <c r="B16" s="17" t="s">
        <v>46</v>
      </c>
      <c r="C16" s="9">
        <v>1</v>
      </c>
      <c r="D16" s="61"/>
      <c r="E16" s="35"/>
      <c r="F16" s="40">
        <f>A16</f>
        <v>1</v>
      </c>
      <c r="G16" s="25"/>
      <c r="H16" s="17"/>
    </row>
    <row r="17" spans="1:8" s="4" customFormat="1" ht="15.75" customHeight="1">
      <c r="A17" s="40">
        <f>A16+1</f>
        <v>2</v>
      </c>
      <c r="B17" s="17" t="s">
        <v>2</v>
      </c>
      <c r="C17" s="9"/>
      <c r="D17" s="10"/>
      <c r="E17" s="10"/>
      <c r="F17" s="40">
        <f t="shared" ref="F17:F76" si="0">A17</f>
        <v>2</v>
      </c>
      <c r="G17" s="27"/>
      <c r="H17" s="17"/>
    </row>
    <row r="18" spans="1:8" s="4" customFormat="1" ht="15.75" customHeight="1">
      <c r="A18" s="40">
        <f t="shared" ref="A18:A42" si="1">A17+1</f>
        <v>3</v>
      </c>
      <c r="B18" s="17" t="s">
        <v>3</v>
      </c>
      <c r="C18" s="9"/>
      <c r="D18" s="10"/>
      <c r="E18" s="10"/>
      <c r="F18" s="40">
        <f t="shared" si="0"/>
        <v>3</v>
      </c>
      <c r="G18" s="27"/>
      <c r="H18" s="17"/>
    </row>
    <row r="19" spans="1:8" s="4" customFormat="1" ht="15.75" customHeight="1">
      <c r="A19" s="40">
        <f t="shared" si="1"/>
        <v>4</v>
      </c>
      <c r="B19" s="17" t="s">
        <v>4</v>
      </c>
      <c r="C19" s="9"/>
      <c r="D19" s="10"/>
      <c r="E19" s="10"/>
      <c r="F19" s="40">
        <f t="shared" si="0"/>
        <v>4</v>
      </c>
      <c r="G19" s="27"/>
      <c r="H19" s="17"/>
    </row>
    <row r="20" spans="1:8" s="4" customFormat="1" ht="15.75" customHeight="1">
      <c r="A20" s="40">
        <f t="shared" si="1"/>
        <v>5</v>
      </c>
      <c r="B20" s="17" t="s">
        <v>5</v>
      </c>
      <c r="C20" s="9"/>
      <c r="D20" s="10"/>
      <c r="E20" s="10"/>
      <c r="F20" s="40">
        <f t="shared" si="0"/>
        <v>5</v>
      </c>
      <c r="G20" s="27"/>
      <c r="H20" s="17"/>
    </row>
    <row r="21" spans="1:8" s="4" customFormat="1" ht="15.75" customHeight="1">
      <c r="A21" s="40">
        <f t="shared" si="1"/>
        <v>6</v>
      </c>
      <c r="B21" s="17" t="s">
        <v>6</v>
      </c>
      <c r="C21" s="9"/>
      <c r="D21" s="10"/>
      <c r="E21" s="10"/>
      <c r="F21" s="40">
        <f t="shared" si="0"/>
        <v>6</v>
      </c>
      <c r="G21" s="27"/>
      <c r="H21" s="17"/>
    </row>
    <row r="22" spans="1:8" s="4" customFormat="1" ht="15.75" customHeight="1">
      <c r="A22" s="40">
        <f t="shared" si="1"/>
        <v>7</v>
      </c>
      <c r="B22" s="17" t="s">
        <v>9</v>
      </c>
      <c r="C22" s="9"/>
      <c r="D22" s="10"/>
      <c r="E22" s="10"/>
      <c r="F22" s="40">
        <f t="shared" si="0"/>
        <v>7</v>
      </c>
      <c r="G22" s="27"/>
      <c r="H22" s="17"/>
    </row>
    <row r="23" spans="1:8" s="4" customFormat="1" ht="15.75" customHeight="1">
      <c r="A23" s="40">
        <f t="shared" si="1"/>
        <v>8</v>
      </c>
      <c r="B23" s="17" t="s">
        <v>12</v>
      </c>
      <c r="C23" s="9"/>
      <c r="D23" s="10"/>
      <c r="E23" s="10"/>
      <c r="F23" s="40">
        <f t="shared" si="0"/>
        <v>8</v>
      </c>
      <c r="G23" s="27"/>
      <c r="H23" s="17"/>
    </row>
    <row r="24" spans="1:8" s="4" customFormat="1" ht="15.75" customHeight="1">
      <c r="A24" s="40">
        <f t="shared" si="1"/>
        <v>9</v>
      </c>
      <c r="B24" s="17" t="s">
        <v>10</v>
      </c>
      <c r="C24" s="9"/>
      <c r="D24" s="10"/>
      <c r="E24" s="10"/>
      <c r="F24" s="40">
        <f t="shared" si="0"/>
        <v>9</v>
      </c>
      <c r="G24" s="27"/>
      <c r="H24" s="17"/>
    </row>
    <row r="25" spans="1:8" s="4" customFormat="1" ht="15.75" customHeight="1">
      <c r="A25" s="40">
        <f t="shared" si="1"/>
        <v>10</v>
      </c>
      <c r="B25" s="17" t="s">
        <v>13</v>
      </c>
      <c r="C25" s="9"/>
      <c r="D25" s="10"/>
      <c r="E25" s="10"/>
      <c r="F25" s="40">
        <f t="shared" si="0"/>
        <v>10</v>
      </c>
      <c r="G25" s="27"/>
      <c r="H25" s="17"/>
    </row>
    <row r="26" spans="1:8" s="4" customFormat="1" ht="15.75" customHeight="1">
      <c r="A26" s="40">
        <f t="shared" si="1"/>
        <v>11</v>
      </c>
      <c r="B26" s="17" t="s">
        <v>18</v>
      </c>
      <c r="C26" s="9"/>
      <c r="D26" s="10"/>
      <c r="E26" s="10"/>
      <c r="F26" s="40">
        <f t="shared" si="0"/>
        <v>11</v>
      </c>
      <c r="G26" s="27"/>
      <c r="H26" s="17"/>
    </row>
    <row r="27" spans="1:8" s="4" customFormat="1" ht="15.75" customHeight="1">
      <c r="A27" s="40">
        <f t="shared" si="1"/>
        <v>12</v>
      </c>
      <c r="B27" s="17" t="s">
        <v>11</v>
      </c>
      <c r="C27" s="9"/>
      <c r="D27" s="10"/>
      <c r="E27" s="10"/>
      <c r="F27" s="40">
        <f t="shared" si="0"/>
        <v>12</v>
      </c>
      <c r="G27" s="27"/>
      <c r="H27" s="17"/>
    </row>
    <row r="28" spans="1:8" s="4" customFormat="1" ht="15.75" customHeight="1">
      <c r="A28" s="40">
        <f t="shared" si="1"/>
        <v>13</v>
      </c>
      <c r="B28" s="17" t="s">
        <v>61</v>
      </c>
      <c r="C28" s="9"/>
      <c r="D28" s="10"/>
      <c r="E28" s="10"/>
      <c r="F28" s="40">
        <f t="shared" si="0"/>
        <v>13</v>
      </c>
      <c r="G28" s="27"/>
      <c r="H28" s="17"/>
    </row>
    <row r="29" spans="1:8" s="4" customFormat="1" ht="15.75" customHeight="1">
      <c r="A29" s="40">
        <f t="shared" si="1"/>
        <v>14</v>
      </c>
      <c r="B29" s="17" t="s">
        <v>7</v>
      </c>
      <c r="C29" s="9"/>
      <c r="D29" s="10"/>
      <c r="E29" s="10"/>
      <c r="F29" s="40">
        <f t="shared" si="0"/>
        <v>14</v>
      </c>
      <c r="G29" s="27"/>
      <c r="H29" s="17"/>
    </row>
    <row r="30" spans="1:8" s="4" customFormat="1" ht="15.75" customHeight="1">
      <c r="A30" s="40">
        <f t="shared" si="1"/>
        <v>15</v>
      </c>
      <c r="B30" s="17" t="s">
        <v>8</v>
      </c>
      <c r="C30" s="9"/>
      <c r="D30" s="10"/>
      <c r="E30" s="10"/>
      <c r="F30" s="40">
        <f t="shared" si="0"/>
        <v>15</v>
      </c>
      <c r="G30" s="27"/>
      <c r="H30" s="17"/>
    </row>
    <row r="31" spans="1:8" s="4" customFormat="1" ht="15.75" customHeight="1">
      <c r="A31" s="40">
        <f t="shared" si="1"/>
        <v>16</v>
      </c>
      <c r="B31" s="17" t="s">
        <v>14</v>
      </c>
      <c r="C31" s="9"/>
      <c r="D31" s="10"/>
      <c r="E31" s="10"/>
      <c r="F31" s="40">
        <f t="shared" si="0"/>
        <v>16</v>
      </c>
      <c r="G31" s="27"/>
      <c r="H31" s="17"/>
    </row>
    <row r="32" spans="1:8" s="4" customFormat="1" ht="15.75" customHeight="1">
      <c r="A32" s="40">
        <f t="shared" si="1"/>
        <v>17</v>
      </c>
      <c r="B32" s="17" t="s">
        <v>15</v>
      </c>
      <c r="C32" s="9"/>
      <c r="D32" s="10"/>
      <c r="E32" s="10"/>
      <c r="F32" s="40">
        <f t="shared" si="0"/>
        <v>17</v>
      </c>
      <c r="G32" s="27"/>
      <c r="H32" s="17"/>
    </row>
    <row r="33" spans="1:8" s="4" customFormat="1" ht="15.75" customHeight="1">
      <c r="A33" s="40">
        <f t="shared" si="1"/>
        <v>18</v>
      </c>
      <c r="B33" s="17" t="s">
        <v>16</v>
      </c>
      <c r="C33" s="9"/>
      <c r="D33" s="10"/>
      <c r="E33" s="10"/>
      <c r="F33" s="40">
        <f t="shared" si="0"/>
        <v>18</v>
      </c>
      <c r="G33" s="27"/>
      <c r="H33" s="17"/>
    </row>
    <row r="34" spans="1:8" s="4" customFormat="1" ht="15.75" customHeight="1">
      <c r="A34" s="40">
        <f t="shared" si="1"/>
        <v>19</v>
      </c>
      <c r="B34" s="17" t="s">
        <v>17</v>
      </c>
      <c r="C34" s="9"/>
      <c r="D34" s="10"/>
      <c r="E34" s="10"/>
      <c r="F34" s="40">
        <f t="shared" si="0"/>
        <v>19</v>
      </c>
      <c r="G34" s="27"/>
      <c r="H34" s="17"/>
    </row>
    <row r="35" spans="1:8" s="4" customFormat="1" ht="15.75" customHeight="1">
      <c r="A35" s="40">
        <f t="shared" si="1"/>
        <v>20</v>
      </c>
      <c r="B35" s="17" t="s">
        <v>19</v>
      </c>
      <c r="C35" s="9"/>
      <c r="D35" s="10"/>
      <c r="E35" s="10"/>
      <c r="F35" s="40">
        <f t="shared" si="0"/>
        <v>20</v>
      </c>
      <c r="G35" s="27"/>
      <c r="H35" s="17"/>
    </row>
    <row r="36" spans="1:8" s="4" customFormat="1" ht="15.75" customHeight="1">
      <c r="A36" s="40">
        <f t="shared" si="1"/>
        <v>21</v>
      </c>
      <c r="B36" s="17" t="s">
        <v>20</v>
      </c>
      <c r="C36" s="9"/>
      <c r="D36" s="10"/>
      <c r="E36" s="10"/>
      <c r="F36" s="40">
        <f t="shared" si="0"/>
        <v>21</v>
      </c>
      <c r="G36" s="27"/>
      <c r="H36" s="17"/>
    </row>
    <row r="37" spans="1:8" s="4" customFormat="1" ht="15.75" customHeight="1">
      <c r="A37" s="40">
        <f t="shared" si="1"/>
        <v>22</v>
      </c>
      <c r="B37" s="17" t="s">
        <v>21</v>
      </c>
      <c r="C37" s="9"/>
      <c r="D37" s="10"/>
      <c r="E37" s="10"/>
      <c r="F37" s="40">
        <f t="shared" si="0"/>
        <v>22</v>
      </c>
      <c r="G37" s="27"/>
      <c r="H37" s="17"/>
    </row>
    <row r="38" spans="1:8" s="4" customFormat="1" ht="15.75" customHeight="1">
      <c r="A38" s="40">
        <f t="shared" si="1"/>
        <v>23</v>
      </c>
      <c r="B38" s="17" t="s">
        <v>49</v>
      </c>
      <c r="C38" s="9"/>
      <c r="D38" s="10"/>
      <c r="E38" s="10"/>
      <c r="F38" s="40">
        <f t="shared" si="0"/>
        <v>23</v>
      </c>
      <c r="G38" s="27"/>
      <c r="H38" s="17"/>
    </row>
    <row r="39" spans="1:8" s="4" customFormat="1">
      <c r="A39" s="40">
        <f t="shared" si="1"/>
        <v>24</v>
      </c>
      <c r="B39" s="17" t="s">
        <v>47</v>
      </c>
      <c r="C39" s="9"/>
      <c r="D39" s="10"/>
      <c r="E39" s="10"/>
      <c r="F39" s="40">
        <f t="shared" si="0"/>
        <v>24</v>
      </c>
      <c r="G39" s="27"/>
      <c r="H39" s="17"/>
    </row>
    <row r="40" spans="1:8" s="4" customFormat="1">
      <c r="A40" s="40">
        <f t="shared" si="1"/>
        <v>25</v>
      </c>
      <c r="B40" s="17" t="s">
        <v>22</v>
      </c>
      <c r="C40" s="9"/>
      <c r="D40" s="10"/>
      <c r="E40" s="10"/>
      <c r="F40" s="40">
        <f t="shared" si="0"/>
        <v>25</v>
      </c>
      <c r="G40" s="27"/>
      <c r="H40" s="17"/>
    </row>
    <row r="41" spans="1:8" s="4" customFormat="1">
      <c r="A41" s="40">
        <f t="shared" si="1"/>
        <v>26</v>
      </c>
      <c r="B41" s="17" t="s">
        <v>48</v>
      </c>
      <c r="C41" s="9"/>
      <c r="D41" s="10"/>
      <c r="E41" s="10"/>
      <c r="F41" s="40">
        <f t="shared" si="0"/>
        <v>26</v>
      </c>
      <c r="G41" s="27"/>
      <c r="H41" s="17"/>
    </row>
    <row r="42" spans="1:8" s="4" customFormat="1" ht="14" thickBot="1">
      <c r="A42" s="40">
        <f t="shared" si="1"/>
        <v>27</v>
      </c>
      <c r="B42" s="17" t="s">
        <v>23</v>
      </c>
      <c r="C42" s="9"/>
      <c r="D42" s="10"/>
      <c r="E42" s="10"/>
      <c r="F42" s="40">
        <f t="shared" si="0"/>
        <v>27</v>
      </c>
      <c r="G42" s="26"/>
      <c r="H42" s="17"/>
    </row>
    <row r="43" spans="1:8" s="4" customFormat="1">
      <c r="A43" s="41"/>
      <c r="B43" s="17"/>
      <c r="C43" s="9"/>
      <c r="D43" s="10"/>
      <c r="E43" s="10"/>
      <c r="F43" s="40"/>
      <c r="G43" s="17"/>
      <c r="H43" s="17"/>
    </row>
    <row r="44" spans="1:8" s="4" customFormat="1">
      <c r="A44" s="41"/>
      <c r="B44" s="17"/>
      <c r="C44" s="9"/>
      <c r="D44" s="10"/>
      <c r="E44" s="10"/>
      <c r="F44" s="40"/>
      <c r="G44" s="17"/>
      <c r="H44" s="17"/>
    </row>
    <row r="45" spans="1:8" s="4" customFormat="1" ht="18" thickBot="1">
      <c r="A45" s="41"/>
      <c r="B45" s="43" t="s">
        <v>24</v>
      </c>
      <c r="C45" s="44"/>
      <c r="D45" s="45"/>
      <c r="E45" s="45"/>
      <c r="F45" s="40"/>
      <c r="G45" s="52" t="s">
        <v>62</v>
      </c>
      <c r="H45" s="17"/>
    </row>
    <row r="46" spans="1:8" s="4" customFormat="1" ht="15.75" customHeight="1">
      <c r="A46" s="40">
        <f>A42+1</f>
        <v>28</v>
      </c>
      <c r="B46" s="17" t="s">
        <v>25</v>
      </c>
      <c r="C46" s="9">
        <v>1</v>
      </c>
      <c r="D46" s="20"/>
      <c r="E46" s="35"/>
      <c r="F46" s="40">
        <f t="shared" si="0"/>
        <v>28</v>
      </c>
      <c r="G46" s="28"/>
      <c r="H46" s="17"/>
    </row>
    <row r="47" spans="1:8" s="4" customFormat="1">
      <c r="A47" s="41">
        <f>A46+1</f>
        <v>29</v>
      </c>
      <c r="B47" s="17" t="s">
        <v>26</v>
      </c>
      <c r="C47" s="9">
        <v>1</v>
      </c>
      <c r="D47" s="23"/>
      <c r="E47" s="35"/>
      <c r="F47" s="40">
        <f t="shared" si="0"/>
        <v>29</v>
      </c>
      <c r="G47" s="29"/>
      <c r="H47" s="17"/>
    </row>
    <row r="48" spans="1:8" s="4" customFormat="1" ht="15.75" customHeight="1">
      <c r="A48" s="41">
        <f t="shared" ref="A48:A54" si="2">A47+1</f>
        <v>30</v>
      </c>
      <c r="B48" s="17" t="s">
        <v>65</v>
      </c>
      <c r="C48" s="9">
        <v>1</v>
      </c>
      <c r="D48" s="23"/>
      <c r="E48" s="35"/>
      <c r="F48" s="40">
        <f t="shared" si="0"/>
        <v>30</v>
      </c>
      <c r="G48" s="29"/>
      <c r="H48" s="17"/>
    </row>
    <row r="49" spans="1:8" s="4" customFormat="1">
      <c r="A49" s="41">
        <f t="shared" si="2"/>
        <v>31</v>
      </c>
      <c r="B49" s="17" t="s">
        <v>27</v>
      </c>
      <c r="C49" s="9">
        <v>1</v>
      </c>
      <c r="D49" s="23"/>
      <c r="E49" s="35"/>
      <c r="F49" s="40">
        <f t="shared" si="0"/>
        <v>31</v>
      </c>
      <c r="G49" s="29"/>
      <c r="H49" s="17"/>
    </row>
    <row r="50" spans="1:8" s="4" customFormat="1">
      <c r="A50" s="41">
        <f t="shared" si="2"/>
        <v>32</v>
      </c>
      <c r="B50" s="17" t="s">
        <v>66</v>
      </c>
      <c r="C50" s="9">
        <v>1</v>
      </c>
      <c r="D50" s="23"/>
      <c r="E50" s="35"/>
      <c r="F50" s="40">
        <f t="shared" si="0"/>
        <v>32</v>
      </c>
      <c r="G50" s="29"/>
      <c r="H50" s="17"/>
    </row>
    <row r="51" spans="1:8" s="4" customFormat="1">
      <c r="A51" s="41">
        <f t="shared" si="2"/>
        <v>33</v>
      </c>
      <c r="B51" s="17" t="s">
        <v>28</v>
      </c>
      <c r="C51" s="9">
        <v>1</v>
      </c>
      <c r="D51" s="23"/>
      <c r="E51" s="35"/>
      <c r="F51" s="40">
        <f t="shared" si="0"/>
        <v>33</v>
      </c>
      <c r="G51" s="29"/>
      <c r="H51" s="17"/>
    </row>
    <row r="52" spans="1:8" s="4" customFormat="1">
      <c r="A52" s="41">
        <f t="shared" si="2"/>
        <v>34</v>
      </c>
      <c r="B52" s="17" t="s">
        <v>29</v>
      </c>
      <c r="C52" s="9">
        <v>1</v>
      </c>
      <c r="D52" s="23"/>
      <c r="E52" s="35"/>
      <c r="F52" s="40">
        <f t="shared" si="0"/>
        <v>34</v>
      </c>
      <c r="G52" s="29"/>
      <c r="H52" s="17"/>
    </row>
    <row r="53" spans="1:8" s="4" customFormat="1">
      <c r="A53" s="41">
        <f t="shared" si="2"/>
        <v>35</v>
      </c>
      <c r="B53" s="17" t="s">
        <v>30</v>
      </c>
      <c r="C53" s="9">
        <v>1</v>
      </c>
      <c r="D53" s="23"/>
      <c r="E53" s="35"/>
      <c r="F53" s="40">
        <f t="shared" si="0"/>
        <v>35</v>
      </c>
      <c r="G53" s="29"/>
      <c r="H53" s="17"/>
    </row>
    <row r="54" spans="1:8" s="4" customFormat="1" ht="14" thickBot="1">
      <c r="A54" s="41">
        <f t="shared" si="2"/>
        <v>36</v>
      </c>
      <c r="B54" s="17" t="s">
        <v>31</v>
      </c>
      <c r="C54" s="9">
        <v>1</v>
      </c>
      <c r="D54" s="21"/>
      <c r="E54" s="35"/>
      <c r="F54" s="40">
        <f t="shared" si="0"/>
        <v>36</v>
      </c>
      <c r="G54" s="30"/>
      <c r="H54" s="17"/>
    </row>
    <row r="55" spans="1:8" s="4" customFormat="1">
      <c r="A55" s="41"/>
      <c r="B55" s="17"/>
      <c r="C55" s="9"/>
      <c r="D55" s="10"/>
      <c r="E55" s="10"/>
      <c r="F55" s="40"/>
      <c r="G55" s="46"/>
      <c r="H55" s="17"/>
    </row>
    <row r="56" spans="1:8" s="4" customFormat="1" ht="14" thickBot="1">
      <c r="A56" s="41"/>
      <c r="B56" s="43" t="s">
        <v>32</v>
      </c>
      <c r="C56" s="47"/>
      <c r="D56" s="45"/>
      <c r="E56" s="45"/>
      <c r="F56" s="40"/>
      <c r="G56" s="46"/>
      <c r="H56" s="17"/>
    </row>
    <row r="57" spans="1:8" s="4" customFormat="1">
      <c r="A57" s="41">
        <f>A54+1</f>
        <v>37</v>
      </c>
      <c r="B57" s="17" t="s">
        <v>33</v>
      </c>
      <c r="C57" s="9">
        <v>1</v>
      </c>
      <c r="D57" s="20"/>
      <c r="E57" s="35"/>
      <c r="F57" s="40">
        <f t="shared" si="0"/>
        <v>37</v>
      </c>
      <c r="G57" s="28"/>
      <c r="H57" s="17"/>
    </row>
    <row r="58" spans="1:8" s="4" customFormat="1">
      <c r="A58" s="41">
        <f>A57+1</f>
        <v>38</v>
      </c>
      <c r="B58" s="17" t="s">
        <v>34</v>
      </c>
      <c r="C58" s="9">
        <v>1</v>
      </c>
      <c r="D58" s="23"/>
      <c r="E58" s="35"/>
      <c r="F58" s="40">
        <f t="shared" si="0"/>
        <v>38</v>
      </c>
      <c r="G58" s="29"/>
      <c r="H58" s="17"/>
    </row>
    <row r="59" spans="1:8" s="4" customFormat="1">
      <c r="A59" s="41">
        <f t="shared" ref="A59:A62" si="3">A58+1</f>
        <v>39</v>
      </c>
      <c r="B59" s="17" t="s">
        <v>35</v>
      </c>
      <c r="C59" s="9">
        <v>1</v>
      </c>
      <c r="D59" s="23"/>
      <c r="E59" s="35"/>
      <c r="F59" s="40">
        <f t="shared" si="0"/>
        <v>39</v>
      </c>
      <c r="G59" s="29"/>
      <c r="H59" s="17"/>
    </row>
    <row r="60" spans="1:8" s="4" customFormat="1">
      <c r="A60" s="41">
        <f t="shared" si="3"/>
        <v>40</v>
      </c>
      <c r="B60" s="48" t="s">
        <v>36</v>
      </c>
      <c r="C60" s="9">
        <v>1</v>
      </c>
      <c r="D60" s="23"/>
      <c r="E60" s="35"/>
      <c r="F60" s="40">
        <f t="shared" si="0"/>
        <v>40</v>
      </c>
      <c r="G60" s="29"/>
      <c r="H60" s="17"/>
    </row>
    <row r="61" spans="1:8" s="4" customFormat="1">
      <c r="A61" s="41">
        <f t="shared" si="3"/>
        <v>41</v>
      </c>
      <c r="B61" s="17" t="s">
        <v>37</v>
      </c>
      <c r="C61" s="9">
        <v>1</v>
      </c>
      <c r="D61" s="23"/>
      <c r="E61" s="35"/>
      <c r="F61" s="40">
        <f t="shared" si="0"/>
        <v>41</v>
      </c>
      <c r="G61" s="29"/>
      <c r="H61" s="17"/>
    </row>
    <row r="62" spans="1:8" s="4" customFormat="1" ht="14" thickBot="1">
      <c r="A62" s="41">
        <f t="shared" si="3"/>
        <v>42</v>
      </c>
      <c r="B62" s="17" t="s">
        <v>38</v>
      </c>
      <c r="C62" s="9">
        <v>1</v>
      </c>
      <c r="D62" s="21"/>
      <c r="E62" s="35"/>
      <c r="F62" s="40">
        <f t="shared" si="0"/>
        <v>42</v>
      </c>
      <c r="G62" s="30"/>
      <c r="H62" s="17"/>
    </row>
    <row r="63" spans="1:8" s="4" customFormat="1">
      <c r="A63" s="41"/>
      <c r="B63" s="17"/>
      <c r="C63" s="9"/>
      <c r="D63" s="10"/>
      <c r="E63" s="10"/>
      <c r="F63" s="40"/>
      <c r="G63" s="46"/>
      <c r="H63" s="17"/>
    </row>
    <row r="64" spans="1:8" s="4" customFormat="1" ht="14" thickBot="1">
      <c r="A64" s="41"/>
      <c r="B64" s="43" t="s">
        <v>39</v>
      </c>
      <c r="C64" s="47"/>
      <c r="D64" s="45"/>
      <c r="E64" s="45"/>
      <c r="F64" s="40"/>
      <c r="G64" s="46"/>
      <c r="H64" s="17"/>
    </row>
    <row r="65" spans="1:8" s="4" customFormat="1">
      <c r="A65" s="41">
        <v>43</v>
      </c>
      <c r="B65" s="17" t="s">
        <v>40</v>
      </c>
      <c r="C65" s="9">
        <v>1</v>
      </c>
      <c r="D65" s="20"/>
      <c r="E65" s="35"/>
      <c r="F65" s="40">
        <f t="shared" si="0"/>
        <v>43</v>
      </c>
      <c r="G65" s="28"/>
      <c r="H65" s="17"/>
    </row>
    <row r="66" spans="1:8" s="4" customFormat="1" ht="14" thickBot="1">
      <c r="A66" s="41">
        <v>44</v>
      </c>
      <c r="B66" s="17" t="s">
        <v>41</v>
      </c>
      <c r="C66" s="9">
        <v>1</v>
      </c>
      <c r="D66" s="21"/>
      <c r="E66" s="35"/>
      <c r="F66" s="40">
        <f t="shared" si="0"/>
        <v>44</v>
      </c>
      <c r="G66" s="30"/>
      <c r="H66" s="17"/>
    </row>
    <row r="67" spans="1:8" s="4" customFormat="1">
      <c r="A67" s="41"/>
      <c r="B67" s="17"/>
      <c r="C67" s="9"/>
      <c r="D67" s="10"/>
      <c r="E67" s="10"/>
      <c r="F67" s="40"/>
      <c r="G67" s="46"/>
      <c r="H67" s="17"/>
    </row>
    <row r="68" spans="1:8" s="4" customFormat="1" ht="14" thickBot="1">
      <c r="A68" s="41"/>
      <c r="B68" s="43" t="s">
        <v>42</v>
      </c>
      <c r="C68" s="47"/>
      <c r="D68" s="45"/>
      <c r="E68" s="45"/>
      <c r="F68" s="40"/>
      <c r="G68" s="46"/>
      <c r="H68" s="17"/>
    </row>
    <row r="69" spans="1:8" s="4" customFormat="1" ht="14" thickBot="1">
      <c r="A69" s="41">
        <v>45</v>
      </c>
      <c r="B69" s="17" t="s">
        <v>43</v>
      </c>
      <c r="C69" s="9">
        <v>1</v>
      </c>
      <c r="D69" s="22"/>
      <c r="E69" s="35"/>
      <c r="F69" s="40">
        <f t="shared" si="0"/>
        <v>45</v>
      </c>
      <c r="G69" s="31"/>
      <c r="H69" s="17"/>
    </row>
    <row r="70" spans="1:8" s="4" customFormat="1">
      <c r="A70" s="41"/>
      <c r="B70" s="17"/>
      <c r="C70" s="9"/>
      <c r="D70" s="17"/>
      <c r="E70" s="17"/>
      <c r="F70" s="40"/>
      <c r="G70" s="46"/>
      <c r="H70" s="17"/>
    </row>
    <row r="71" spans="1:8" s="4" customFormat="1" ht="14" thickBot="1">
      <c r="A71" s="41"/>
      <c r="B71" s="43" t="s">
        <v>44</v>
      </c>
      <c r="C71" s="47"/>
      <c r="D71" s="45"/>
      <c r="E71" s="45"/>
      <c r="F71" s="40"/>
      <c r="G71" s="46"/>
      <c r="H71" s="17"/>
    </row>
    <row r="72" spans="1:8" s="4" customFormat="1">
      <c r="A72" s="41">
        <v>46</v>
      </c>
      <c r="B72" s="17" t="s">
        <v>44</v>
      </c>
      <c r="C72" s="9">
        <v>1</v>
      </c>
      <c r="D72" s="20"/>
      <c r="E72" s="35"/>
      <c r="F72" s="40">
        <f t="shared" si="0"/>
        <v>46</v>
      </c>
      <c r="G72" s="28"/>
      <c r="H72" s="17"/>
    </row>
    <row r="73" spans="1:8" s="4" customFormat="1" ht="14" thickBot="1">
      <c r="A73" s="41">
        <v>47</v>
      </c>
      <c r="B73" s="17" t="s">
        <v>60</v>
      </c>
      <c r="C73" s="9"/>
      <c r="D73" s="21"/>
      <c r="E73" s="35"/>
      <c r="F73" s="40">
        <f t="shared" si="0"/>
        <v>47</v>
      </c>
      <c r="G73" s="30"/>
      <c r="H73" s="17"/>
    </row>
    <row r="74" spans="1:8" s="4" customFormat="1">
      <c r="A74" s="41"/>
      <c r="B74" s="17"/>
      <c r="C74" s="9"/>
      <c r="D74" s="10"/>
      <c r="E74" s="10"/>
      <c r="F74" s="40"/>
      <c r="G74" s="17"/>
      <c r="H74" s="17"/>
    </row>
    <row r="75" spans="1:8" s="4" customFormat="1">
      <c r="A75" s="41"/>
      <c r="B75" s="17"/>
      <c r="C75" s="9"/>
      <c r="D75" s="10"/>
      <c r="E75" s="10"/>
      <c r="F75" s="40"/>
      <c r="G75" s="17"/>
      <c r="H75" s="17"/>
    </row>
    <row r="76" spans="1:8" s="4" customFormat="1" ht="15.75" customHeight="1">
      <c r="A76" s="41">
        <v>48</v>
      </c>
      <c r="B76" s="17" t="s">
        <v>64</v>
      </c>
      <c r="C76" s="13" t="s">
        <v>45</v>
      </c>
      <c r="D76" s="66">
        <f>SUM(D16:D73)</f>
        <v>0</v>
      </c>
      <c r="E76" s="34"/>
      <c r="F76" s="40">
        <f t="shared" si="0"/>
        <v>48</v>
      </c>
      <c r="G76" s="12"/>
      <c r="H76" s="17"/>
    </row>
    <row r="77" spans="1:8">
      <c r="A77" s="62"/>
      <c r="B77" s="53"/>
      <c r="C77" s="54"/>
      <c r="D77" s="55"/>
      <c r="E77" s="55"/>
      <c r="F77" s="56"/>
      <c r="G77" s="56"/>
      <c r="H77" s="56"/>
    </row>
    <row r="78" spans="1:8">
      <c r="A78" s="62"/>
      <c r="B78" s="5"/>
    </row>
    <row r="79" spans="1:8">
      <c r="B79" s="5"/>
    </row>
    <row r="80" spans="1:8">
      <c r="B80" s="5"/>
    </row>
    <row r="81" spans="2:2">
      <c r="B81" s="5"/>
    </row>
    <row r="82" spans="2:2">
      <c r="B82" s="5"/>
    </row>
    <row r="83" spans="2:2">
      <c r="B83" s="5"/>
    </row>
    <row r="84" spans="2:2">
      <c r="B84" s="5"/>
    </row>
    <row r="85" spans="2:2">
      <c r="B85" s="5"/>
    </row>
    <row r="86" spans="2:2">
      <c r="B86" s="5"/>
    </row>
    <row r="87" spans="2:2">
      <c r="B87" s="5"/>
    </row>
    <row r="88" spans="2:2">
      <c r="B88" s="5"/>
    </row>
    <row r="89" spans="2:2">
      <c r="B89" s="5"/>
    </row>
    <row r="90" spans="2:2">
      <c r="B90" s="5"/>
    </row>
    <row r="91" spans="2:2">
      <c r="B91" s="5"/>
    </row>
    <row r="92" spans="2:2">
      <c r="B92" s="5"/>
    </row>
    <row r="93" spans="2:2">
      <c r="B93" s="5"/>
    </row>
    <row r="94" spans="2:2">
      <c r="B94" s="5"/>
    </row>
    <row r="95" spans="2:2">
      <c r="B95" s="5"/>
    </row>
    <row r="96" spans="2:2">
      <c r="B96" s="5"/>
    </row>
    <row r="97" spans="2:2">
      <c r="B97" s="5"/>
    </row>
    <row r="98" spans="2:2">
      <c r="B98" s="5"/>
    </row>
    <row r="99" spans="2:2">
      <c r="B99" s="5"/>
    </row>
    <row r="100" spans="2:2">
      <c r="B100" s="5"/>
    </row>
    <row r="101" spans="2:2">
      <c r="B101" s="5"/>
    </row>
    <row r="102" spans="2:2">
      <c r="B102" s="5"/>
    </row>
    <row r="103" spans="2:2">
      <c r="B103" s="5"/>
    </row>
    <row r="104" spans="2:2">
      <c r="B104" s="5"/>
    </row>
    <row r="105" spans="2:2">
      <c r="B105" s="5"/>
    </row>
    <row r="106" spans="2:2">
      <c r="B106" s="5"/>
    </row>
    <row r="107" spans="2:2">
      <c r="B107" s="5"/>
    </row>
    <row r="108" spans="2:2">
      <c r="B108" s="5"/>
    </row>
    <row r="109" spans="2:2">
      <c r="B109" s="5"/>
    </row>
    <row r="110" spans="2:2">
      <c r="B110" s="5"/>
    </row>
    <row r="111" spans="2:2">
      <c r="B111" s="5"/>
    </row>
    <row r="112" spans="2:2">
      <c r="B112" s="5"/>
    </row>
    <row r="113" spans="2:2">
      <c r="B113" s="5"/>
    </row>
    <row r="114" spans="2:2">
      <c r="B114" s="5"/>
    </row>
    <row r="115" spans="2:2">
      <c r="B115" s="5"/>
    </row>
    <row r="116" spans="2:2">
      <c r="B116" s="5"/>
    </row>
    <row r="117" spans="2:2">
      <c r="B117" s="5"/>
    </row>
    <row r="118" spans="2:2">
      <c r="B118" s="5"/>
    </row>
    <row r="119" spans="2:2">
      <c r="B119" s="5"/>
    </row>
    <row r="120" spans="2:2">
      <c r="B120" s="5"/>
    </row>
    <row r="121" spans="2:2">
      <c r="B121" s="5"/>
    </row>
    <row r="122" spans="2:2">
      <c r="B122" s="5"/>
    </row>
    <row r="123" spans="2:2">
      <c r="B123" s="5"/>
    </row>
    <row r="124" spans="2:2">
      <c r="B124" s="5"/>
    </row>
    <row r="125" spans="2:2">
      <c r="B125" s="5"/>
    </row>
    <row r="126" spans="2:2">
      <c r="B126" s="5"/>
    </row>
    <row r="127" spans="2:2">
      <c r="B127" s="5"/>
    </row>
    <row r="128" spans="2:2">
      <c r="B128" s="5"/>
    </row>
    <row r="129" spans="2:2">
      <c r="B129" s="5"/>
    </row>
    <row r="130" spans="2:2">
      <c r="B130" s="5"/>
    </row>
    <row r="131" spans="2:2">
      <c r="B131" s="5"/>
    </row>
    <row r="132" spans="2:2">
      <c r="B132" s="5"/>
    </row>
    <row r="133" spans="2:2">
      <c r="B133" s="5"/>
    </row>
    <row r="134" spans="2:2">
      <c r="B134" s="5"/>
    </row>
    <row r="135" spans="2:2">
      <c r="B135" s="5"/>
    </row>
    <row r="136" spans="2:2">
      <c r="B136" s="5"/>
    </row>
    <row r="137" spans="2:2">
      <c r="B137" s="5"/>
    </row>
    <row r="138" spans="2:2">
      <c r="B138" s="5"/>
    </row>
    <row r="139" spans="2:2">
      <c r="B139" s="5"/>
    </row>
    <row r="140" spans="2:2">
      <c r="B140" s="5"/>
    </row>
    <row r="141" spans="2:2">
      <c r="B141" s="5"/>
    </row>
    <row r="142" spans="2:2">
      <c r="B142" s="5"/>
    </row>
    <row r="143" spans="2:2">
      <c r="B143" s="5"/>
    </row>
    <row r="144" spans="2:2">
      <c r="B144" s="5"/>
    </row>
    <row r="145" spans="2:2">
      <c r="B145" s="5"/>
    </row>
    <row r="146" spans="2:2">
      <c r="B146" s="5"/>
    </row>
    <row r="147" spans="2:2">
      <c r="B147" s="5"/>
    </row>
    <row r="148" spans="2:2">
      <c r="B148" s="5"/>
    </row>
    <row r="149" spans="2:2">
      <c r="B149" s="5"/>
    </row>
    <row r="150" spans="2:2">
      <c r="B150" s="5"/>
    </row>
    <row r="151" spans="2:2">
      <c r="B151" s="5"/>
    </row>
    <row r="152" spans="2:2">
      <c r="B152" s="5"/>
    </row>
    <row r="153" spans="2:2">
      <c r="B153" s="5"/>
    </row>
    <row r="154" spans="2:2">
      <c r="B154" s="5"/>
    </row>
    <row r="155" spans="2:2">
      <c r="B155" s="5"/>
    </row>
    <row r="156" spans="2:2">
      <c r="B156" s="5"/>
    </row>
    <row r="157" spans="2:2">
      <c r="B157" s="5"/>
    </row>
    <row r="158" spans="2:2">
      <c r="B158" s="5"/>
    </row>
    <row r="159" spans="2:2">
      <c r="B159" s="5"/>
    </row>
    <row r="160" spans="2:2">
      <c r="B160" s="5"/>
    </row>
    <row r="161" spans="2:2">
      <c r="B161" s="5"/>
    </row>
    <row r="162" spans="2:2">
      <c r="B162" s="5"/>
    </row>
    <row r="163" spans="2:2">
      <c r="B163" s="5"/>
    </row>
    <row r="164" spans="2:2">
      <c r="B164" s="5"/>
    </row>
    <row r="165" spans="2:2">
      <c r="B165" s="5"/>
    </row>
    <row r="166" spans="2:2">
      <c r="B166" s="5"/>
    </row>
  </sheetData>
  <printOptions horizontalCentered="1"/>
  <pageMargins left="0.25" right="0.25" top="0.75" bottom="0.75" header="0.3" footer="0.3"/>
  <pageSetup scale="65" fitToHeight="4" orientation="landscape"/>
  <headerFooter alignWithMargins="0"/>
  <rowBreaks count="1" manualBreakCount="1">
    <brk id="42" max="7" man="1"/>
  </rowBreaks>
  <colBreaks count="1" manualBreakCount="1">
    <brk id="5" max="76" man="1"/>
  </colBreaks>
  <drawing r:id="rId1"/>
  <legacy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CMC Rifle 28</vt:lpstr>
    </vt:vector>
  </TitlesOfParts>
  <Company>Toshiba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Simpson</dc:creator>
  <cp:lastModifiedBy>Frank Martin</cp:lastModifiedBy>
  <cp:lastPrinted>2012-12-04T20:12:56Z</cp:lastPrinted>
  <dcterms:created xsi:type="dcterms:W3CDTF">2012-10-04T20:47:20Z</dcterms:created>
  <dcterms:modified xsi:type="dcterms:W3CDTF">2012-12-05T18:29:33Z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