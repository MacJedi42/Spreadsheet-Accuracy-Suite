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105" windowWidth="14355" windowHeight="5190"/>
  </bookViews>
  <sheets>
    <sheet name="Sheet1" sheetId="1" r:id="rId1"/>
  </sheets>
  <definedNames>
    <definedName name="_xlnm._FilterDatabase" localSheetId="0" hidden="1">Sheet1!$A$2:$H$72</definedName>
  </definedNames>
  <calcPr calcId="145621"/>
</workbook>
</file>

<file path=xl/calcChain.xml><?xml version="1.0" encoding="utf-8"?>
<calcChain xmlns="http://schemas.openxmlformats.org/spreadsheetml/2006/main">
  <c r="E72" i="1" l="1"/>
  <c r="F72" i="1" s="1"/>
  <c r="E71" i="1"/>
  <c r="E70" i="1"/>
  <c r="E69" i="1"/>
  <c r="E68" i="1"/>
  <c r="F68" i="1" s="1"/>
  <c r="E67" i="1"/>
  <c r="E66" i="1"/>
  <c r="F66" i="1" s="1"/>
  <c r="E65" i="1"/>
  <c r="E64" i="1"/>
  <c r="F64" i="1" s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6" i="1"/>
  <c r="E44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16" i="1"/>
  <c r="E15" i="1"/>
  <c r="E14" i="1"/>
  <c r="E13" i="1"/>
  <c r="E7" i="1"/>
  <c r="E6" i="1"/>
  <c r="E5" i="1"/>
  <c r="E4" i="1"/>
  <c r="E3" i="1"/>
  <c r="D43" i="1"/>
  <c r="E43" i="1" s="1"/>
  <c r="D42" i="1"/>
  <c r="E42" i="1" s="1"/>
  <c r="D41" i="1"/>
  <c r="E41" i="1" s="1"/>
  <c r="D40" i="1"/>
  <c r="E40" i="1" s="1"/>
  <c r="D39" i="1"/>
  <c r="E39" i="1" s="1"/>
  <c r="D38" i="1"/>
  <c r="E38" i="1" s="1"/>
  <c r="D37" i="1"/>
  <c r="E37" i="1" s="1"/>
  <c r="D21" i="1"/>
  <c r="E21" i="1" s="1"/>
  <c r="F21" i="1" s="1"/>
  <c r="D20" i="1"/>
  <c r="E20" i="1" s="1"/>
  <c r="F20" i="1" s="1"/>
  <c r="D19" i="1"/>
  <c r="E19" i="1" s="1"/>
  <c r="F19" i="1" s="1"/>
  <c r="F71" i="1"/>
  <c r="F70" i="1"/>
  <c r="F69" i="1"/>
  <c r="F67" i="1"/>
  <c r="F65" i="1"/>
  <c r="D45" i="1" l="1"/>
  <c r="E45" i="1" s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E18" i="1"/>
  <c r="F18" i="1" s="1"/>
  <c r="E17" i="1"/>
  <c r="F17" i="1" s="1"/>
  <c r="F16" i="1"/>
  <c r="F15" i="1"/>
  <c r="F14" i="1"/>
  <c r="F13" i="1"/>
  <c r="E12" i="1"/>
  <c r="F12" i="1" s="1"/>
  <c r="E11" i="1"/>
  <c r="F11" i="1" s="1"/>
  <c r="E10" i="1"/>
  <c r="F10" i="1" s="1"/>
  <c r="E9" i="1"/>
  <c r="F9" i="1" s="1"/>
  <c r="E8" i="1"/>
  <c r="F8" i="1" s="1"/>
  <c r="F7" i="1"/>
  <c r="F6" i="1"/>
  <c r="F5" i="1"/>
  <c r="F4" i="1"/>
  <c r="F3" i="1"/>
</calcChain>
</file>

<file path=xl/sharedStrings.xml><?xml version="1.0" encoding="utf-8"?>
<sst xmlns="http://schemas.openxmlformats.org/spreadsheetml/2006/main" count="364" uniqueCount="169">
  <si>
    <t>CA Application Performance Management</t>
  </si>
  <si>
    <t>APMNGM990</t>
  </si>
  <si>
    <t>per processor</t>
  </si>
  <si>
    <t>State Price (Annual Maintenance Fee)</t>
  </si>
  <si>
    <t>THIS WILL BE HIDDEN FROM THE STATE (our LIST price)</t>
  </si>
  <si>
    <t>CA Customer Experience Manager Upgrade Distributed</t>
  </si>
  <si>
    <t>CEMUGD990</t>
  </si>
  <si>
    <t>CA CEM Transaction Impact Monitor soft Appliance with RHEL</t>
  </si>
  <si>
    <t>CEMTIS563</t>
  </si>
  <si>
    <t>per software appliance</t>
  </si>
  <si>
    <t>CA Introscope</t>
  </si>
  <si>
    <t>ITRCPM990</t>
  </si>
  <si>
    <t>CA Application Performance Manager for CA SiteMinder</t>
  </si>
  <si>
    <t>CA Business Process Performance Analytics</t>
  </si>
  <si>
    <t>CA Database Performance</t>
  </si>
  <si>
    <t>CA Application Delivery Analysis Management Console</t>
  </si>
  <si>
    <t>CA Application Delivery Analysis Collector Software Only</t>
  </si>
  <si>
    <t>CA Application Delivery Analysis GigaStor Connector</t>
  </si>
  <si>
    <t>SAGSCN990</t>
  </si>
  <si>
    <t>ADACOL990</t>
  </si>
  <si>
    <t>SAMGCN990</t>
  </si>
  <si>
    <t>CADBPF990</t>
  </si>
  <si>
    <t>BPPANA990</t>
  </si>
  <si>
    <t>INTSMW990</t>
  </si>
  <si>
    <t>per server</t>
  </si>
  <si>
    <t>per named user</t>
  </si>
  <si>
    <t>Royalty product</t>
  </si>
  <si>
    <t>THIS WILL NOT BE SHOWN TO THE STATE- my internal notes</t>
  </si>
  <si>
    <t>No</t>
  </si>
  <si>
    <t>Yes</t>
  </si>
  <si>
    <t>CA Application Delivery Analysis Multi-Port Monitor 2 Link (4 Port) TX for APM</t>
  </si>
  <si>
    <t>CA Application Delivery Analysis Multi-Port Monitor 2 Link (4 Port) SX for APM</t>
  </si>
  <si>
    <t>CA Application Delivery Analysis Multi-Port Monitor 4 Link (8 Port) TX for APM</t>
  </si>
  <si>
    <t>CA Application Delivery Analysis 10Gb Multi-Port Monitor 1 Link (2 Port) SR for APM</t>
  </si>
  <si>
    <t>CA Application Delivery Analysis Virtual Monitor for VMware 5 Pack for APM</t>
  </si>
  <si>
    <t>CA Application Delivery Analysis NAM Monitor 5 Pack for APM</t>
  </si>
  <si>
    <t>SACNAP990</t>
  </si>
  <si>
    <t>SAVCAP990</t>
  </si>
  <si>
    <t>SA1SRA990</t>
  </si>
  <si>
    <t>SA48TA990</t>
  </si>
  <si>
    <t>SA24SA990</t>
  </si>
  <si>
    <t>SA24TA990</t>
  </si>
  <si>
    <t>per appliance</t>
  </si>
  <si>
    <t>per pack</t>
  </si>
  <si>
    <t>max discount 50%</t>
  </si>
  <si>
    <t>CA Customer Experience Manager Upgrade Mainframe</t>
  </si>
  <si>
    <t>CA Application Performance Management for ZAAP</t>
  </si>
  <si>
    <t>CA Customer Experience Manager Upgrade ZAAP</t>
  </si>
  <si>
    <t>CA Introscope for ZAAP</t>
  </si>
  <si>
    <t>CA Customer Experience Manager Upgrade zLinux</t>
  </si>
  <si>
    <t>ITRCPM564</t>
  </si>
  <si>
    <t>CEMUGD564</t>
  </si>
  <si>
    <t>APMNGM564</t>
  </si>
  <si>
    <t>ITRZAA002</t>
  </si>
  <si>
    <t>CEMZGD002</t>
  </si>
  <si>
    <t>APMZAP002</t>
  </si>
  <si>
    <t>ITRCPM002</t>
  </si>
  <si>
    <t>CEMUGD002</t>
  </si>
  <si>
    <t>APMNGM002</t>
  </si>
  <si>
    <t>per MSU</t>
  </si>
  <si>
    <t>per engine</t>
  </si>
  <si>
    <t>This will not be shown to the state On GSA?</t>
  </si>
  <si>
    <t>CA Nimsoft Monitor Server Pack- On Prem</t>
  </si>
  <si>
    <t>CA Nimsoft Monitor Server and Application Pack- On Prem</t>
  </si>
  <si>
    <t>CA Nimsoft Monitor Ping Pack- On Prem</t>
  </si>
  <si>
    <t>CA Nimsoft Monitor Network Advanced Pack- On Prem</t>
  </si>
  <si>
    <t>CA Nimsoft Monitor ecoMeter Pack- On Prem</t>
  </si>
  <si>
    <t>CA Nimsoft Monitor Service Response Time Advanced Pack- On Prem</t>
  </si>
  <si>
    <t>CA Nimsoft Monitor Storage Pack- On Prem</t>
  </si>
  <si>
    <t>CA Nimsoft Monitor SAP Pack- On Prem</t>
  </si>
  <si>
    <t>CA Nimsoft Monitor Flow Analysis- On Prem</t>
  </si>
  <si>
    <t>CNMFAP990</t>
  </si>
  <si>
    <t>CNMAPP990</t>
  </si>
  <si>
    <t>CNMTPP990</t>
  </si>
  <si>
    <t>CNMRAP990</t>
  </si>
  <si>
    <t>CNMEMP990</t>
  </si>
  <si>
    <t>CNMNAP990</t>
  </si>
  <si>
    <t>CNMPPP990</t>
  </si>
  <si>
    <t>CNMSAP990</t>
  </si>
  <si>
    <t>CNMSPP990</t>
  </si>
  <si>
    <t xml:space="preserve"> </t>
  </si>
  <si>
    <t>per device</t>
  </si>
  <si>
    <t>per site</t>
  </si>
  <si>
    <t>per terabyte</t>
  </si>
  <si>
    <t>Royalty product &amp; max dis 30%</t>
  </si>
  <si>
    <t>CNMSPS990</t>
  </si>
  <si>
    <t>CNMSAS990</t>
  </si>
  <si>
    <t>CNMNAS990</t>
  </si>
  <si>
    <t>CNMEMS990</t>
  </si>
  <si>
    <t>CNMRAS990</t>
  </si>
  <si>
    <t>CNMAPS990</t>
  </si>
  <si>
    <t>CNMFAS990</t>
  </si>
  <si>
    <t>included</t>
  </si>
  <si>
    <t>Ala Carte Per Unit Pricing
Pre-requisite: must be licensed for one of the Nimsoft Cloud User Experience Bundles listed above to license any Ala Carte NCUE Monitors.</t>
  </si>
  <si>
    <t>NCUMFA990</t>
  </si>
  <si>
    <t>NCUMMA990</t>
  </si>
  <si>
    <t>NCUEAF990</t>
  </si>
  <si>
    <t>NCUEMA990</t>
  </si>
  <si>
    <t>NCUEMP990</t>
  </si>
  <si>
    <t>NCUETP990</t>
  </si>
  <si>
    <t>NCUETB990</t>
  </si>
  <si>
    <t>NCUEBP990</t>
  </si>
  <si>
    <t>NCUBMF990</t>
  </si>
  <si>
    <t>NCUBMT990</t>
  </si>
  <si>
    <t>NCUEMM990</t>
  </si>
  <si>
    <t>NCUEBM990</t>
  </si>
  <si>
    <t>NCUMAM990</t>
  </si>
  <si>
    <t>NCUMBM990</t>
  </si>
  <si>
    <t>NCUMSB990</t>
  </si>
  <si>
    <t>NCUMCB990</t>
  </si>
  <si>
    <t>NCUMEB990</t>
  </si>
  <si>
    <t>per basic monitor</t>
  </si>
  <si>
    <t>per advanced monitor</t>
  </si>
  <si>
    <t>NSFXSA990</t>
  </si>
  <si>
    <t>NSFLSA990</t>
  </si>
  <si>
    <t>per concurrent user</t>
  </si>
  <si>
    <t>CA LISA® for Development</t>
  </si>
  <si>
    <t>CA LISA Service Virtualization</t>
  </si>
  <si>
    <t>CA LISA Service Virtualization for Performance</t>
  </si>
  <si>
    <t>CA LISA Workstation</t>
  </si>
  <si>
    <t>CA LISA Virtual User</t>
  </si>
  <si>
    <t>CA LISA Pathfinder</t>
  </si>
  <si>
    <t>CA LISA DevCloud Manager</t>
  </si>
  <si>
    <t>CA LISA Virtual Services Environment up to 50K transactions per day upgrade to CA LISA Service Virtualization</t>
  </si>
  <si>
    <t>CA LISA Service Virtualization upgrade to CA LISA Service Virtualization for Performance</t>
  </si>
  <si>
    <t>LSAUSP990</t>
  </si>
  <si>
    <t>LSAUSV990</t>
  </si>
  <si>
    <t>LSADCM990</t>
  </si>
  <si>
    <t>LSACYP990</t>
  </si>
  <si>
    <t>LSAVRU990</t>
  </si>
  <si>
    <t>LSAWST990</t>
  </si>
  <si>
    <t>LSASVP990</t>
  </si>
  <si>
    <t>LSASRV990</t>
  </si>
  <si>
    <t>LSADEV990</t>
  </si>
  <si>
    <t>per copy</t>
  </si>
  <si>
    <t>per 250 virtual user pack</t>
  </si>
  <si>
    <t>Pricing Valid through 3/30/2014</t>
  </si>
  <si>
    <t>Royalty product- no discount restriction (we pay $215)</t>
  </si>
  <si>
    <t xml:space="preserve">Royalty product- no discount restrictions </t>
  </si>
  <si>
    <t>CA Nimsoft Monitor Server Pack- SaaS- price per monthly subscription; minimum 12 month term</t>
  </si>
  <si>
    <t>CA Nimsoft Monitor Server and Application Pack-SaaS- price per monthly subscription; minimum 12 month term</t>
  </si>
  <si>
    <t>CA Nimsoft Monitor Network Advanced Pack- SaaS- price per monthly subscription; minimum 12 month term</t>
  </si>
  <si>
    <t>CA Nimsoft Monitor ecoMeter Pack-SaaS- price per annual subscription; minimum 12 month term</t>
  </si>
  <si>
    <t>CA Nimsoft Monitor Service Response Time Advanced Pack- SaaS- price per monthly subscription; minimum 12 month term</t>
  </si>
  <si>
    <t>CA Nimsoft Monitor SAP Pack- SaaS- price per monthlysubscription; minimum 12 month term</t>
  </si>
  <si>
    <t>CA Nimsoft Monitor Flow Analysis- SaaS- price per monthly subscription; minimum 12 month term</t>
  </si>
  <si>
    <t>Nimsoft Cloud User Experience Monitor Multi-Site Bundle- price per monthly subscription; minimum 12 month term</t>
  </si>
  <si>
    <t>Nimsoft Cloud User Experience Monitor Corporate Bundle- price per monthly subscription; minimum 12 month term</t>
  </si>
  <si>
    <t>Nimsoft Cloud User Experience Monitor Enterprise Bundle- price per monthly subscription; minimum 12 month term</t>
  </si>
  <si>
    <t>Nimsoft Cloud User Experience Monitor 1 Minute Basic Monitor 10 pack- price per monthly subscription; minimum 12 month term</t>
  </si>
  <si>
    <t>Nimsoft Cloud User Experience Monitor 5 Minute Advanced Monitor (10 GB) 10 pack- price per monthly subscription; minimum 12 month term</t>
  </si>
  <si>
    <t>Nimsoft Cloud User Experience Monitor 1 Minute Basic Monitor 1- price per monthly subscription; minimum 12 month term</t>
  </si>
  <si>
    <t>Nimsoft Cloud User Experience Monitor 5 Minute Basic Monitor 1- price per monthly subscription; minimum 12 month term</t>
  </si>
  <si>
    <t>Nimsoft Cloud User Experience Monitor 5 Minute Basic Monitor 3 pack-price per monthly subscription; minimum 12 month term</t>
  </si>
  <si>
    <t>Nimsoft Cloud User Experience Monitor 5 Minute Basic Monitor 10 pack- price per monthly subscription; minimum 12 month term</t>
  </si>
  <si>
    <t>Nimsoft Cloud User Experience Monitor 5 Minute Basic Monitor 25 pack- price per monthly subscription; minimum 12 month term</t>
  </si>
  <si>
    <t>Nimsoft Cloud User Experience Monitor 10 Minute Basic Monitor 3 pack- price per monthly subscription; minimum 12 month term</t>
  </si>
  <si>
    <t>Nimsoft Cloud User Experience Monitor 10 Minute Basic Monitor 10 pack- price per monthly subscription; minimum 12 month term</t>
  </si>
  <si>
    <t>Nimsoft Cloud User Experience Monitor 15 Minute Advanced Monitor (5 GB) 1- price per monthly subscription; minimum 12 month term</t>
  </si>
  <si>
    <t>Nimsoft Cloud User Experience Monitor 5 Minute Advanced Monitor (10 GB) 1- price per monthly subscription; minimum 12 month term</t>
  </si>
  <si>
    <t>Nimsoft Cloud User Experience Monitor 5 Minute Advanced Monitor (20 GB) 1- price per monthly subscription; minimum 12 month term</t>
  </si>
  <si>
    <t>Nimsoft Cloud User Experience Monitor 5 Minute Advanced Monitor (40 GB) 1- price per monthly subscription; minimum 12 month term</t>
  </si>
  <si>
    <t>CA Nimsoft Service Desk Named User License - SaaS- price per monthly subscription; minimum 12 month term</t>
  </si>
  <si>
    <t>CA Nimsoft Service Desk Concurrent User License - SaaS- price per monthly subscription; minimum 12 month term</t>
  </si>
  <si>
    <t>Nimsoft Cloud User Experience Monitor 10 Minute Basic Monitor 1- price per monthly subscription; minimum 12 month term</t>
  </si>
  <si>
    <t xml:space="preserve">Product Code
</t>
  </si>
  <si>
    <t xml:space="preserve">Product Name
</t>
  </si>
  <si>
    <t xml:space="preserve">Licensing Type
</t>
  </si>
  <si>
    <t xml:space="preserve">State Price (License Fee/
Subscription Fee)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</si>
</sst>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4" fontId="3" fillId="2" borderId="1" xfId="1" applyNumberFormat="1" applyFont="1" applyFill="1" applyBorder="1"/>
    <xf numFmtId="4" fontId="3" fillId="0" borderId="1" xfId="1" applyNumberFormat="1" applyFont="1" applyBorder="1"/>
    <xf numFmtId="4" fontId="3" fillId="0" borderId="1" xfId="0" applyNumberFormat="1" applyFont="1" applyBorder="1"/>
    <xf numFmtId="0" fontId="3" fillId="2" borderId="1" xfId="0" applyFont="1" applyFill="1" applyBorder="1"/>
    <xf numFmtId="4" fontId="3" fillId="2" borderId="1" xfId="0" applyNumberFormat="1" applyFont="1" applyFill="1" applyBorder="1"/>
    <xf numFmtId="0" fontId="2" fillId="2" borderId="1" xfId="0" applyFont="1" applyFill="1" applyBorder="1"/>
    <xf numFmtId="0" fontId="6" fillId="0" borderId="1" xfId="0" applyFont="1" applyBorder="1" applyAlignment="1">
      <alignment wrapText="1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72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47" sqref="A47:F47"/>
    </sheetView>
  </sheetViews>
  <sheetFormatPr defaultRowHeight="12.75" x14ac:dyDescent="0.2"/>
  <cols>
    <col min="1" max="1" width="12.5703125" style="4" bestFit="1" customWidth="1"/>
    <col min="2" max="2" width="113.28515625" style="4" customWidth="1"/>
    <col min="3" max="3" width="21" style="4" bestFit="1" customWidth="1"/>
    <col min="4" max="4" width="14.85546875" style="8" hidden="1" customWidth="1"/>
    <col min="5" max="5" width="11.28515625" style="4" bestFit="1" customWidth="1"/>
    <col min="6" max="6" width="13.7109375" style="4" customWidth="1"/>
    <col min="7" max="7" width="45" style="10" hidden="1" customWidth="1"/>
    <col min="8" max="8" width="0" style="10" hidden="1" customWidth="1"/>
    <col min="9" max="16384" width="9.140625" style="4"/>
  </cols>
  <sheetData>
    <row r="1" spans="1:8" x14ac:dyDescent="0.2">
      <c r="A1" s="12" t="s">
        <v>136</v>
      </c>
      <c r="B1" s="13"/>
      <c r="C1" s="13"/>
      <c r="D1" s="13"/>
      <c r="E1" s="13"/>
      <c r="F1" s="14"/>
    </row>
    <row r="2" spans="1:8" s="3" customFormat="1" ht="63.75" x14ac:dyDescent="0.2">
      <c r="A2" s="1" t="s">
        <v>165</v>
      </c>
      <c r="B2" s="1" t="s">
        <v>166</v>
      </c>
      <c r="C2" s="1" t="s">
        <v>167</v>
      </c>
      <c r="D2" s="2" t="s">
        <v>4</v>
      </c>
      <c r="E2" s="11" t="s">
        <v>168</v>
      </c>
      <c r="F2" s="1" t="s">
        <v>3</v>
      </c>
      <c r="G2" s="2" t="s">
        <v>27</v>
      </c>
      <c r="H2" s="2" t="s">
        <v>61</v>
      </c>
    </row>
    <row r="3" spans="1:8" x14ac:dyDescent="0.2">
      <c r="A3" s="4" t="s">
        <v>1</v>
      </c>
      <c r="B3" s="4" t="s">
        <v>0</v>
      </c>
      <c r="C3" s="4" t="s">
        <v>2</v>
      </c>
      <c r="D3" s="5">
        <v>13000</v>
      </c>
      <c r="E3" s="6">
        <f>D3*0.9</f>
        <v>11700</v>
      </c>
      <c r="F3" s="7">
        <f t="shared" ref="F3:F21" si="0">E3*0.2</f>
        <v>2340</v>
      </c>
      <c r="G3" s="8"/>
      <c r="H3" s="8" t="s">
        <v>28</v>
      </c>
    </row>
    <row r="4" spans="1:8" x14ac:dyDescent="0.2">
      <c r="A4" s="4" t="s">
        <v>6</v>
      </c>
      <c r="B4" s="4" t="s">
        <v>5</v>
      </c>
      <c r="C4" s="4" t="s">
        <v>2</v>
      </c>
      <c r="D4" s="5">
        <v>6000</v>
      </c>
      <c r="E4" s="6">
        <f t="shared" ref="E4:E7" si="1">D4*0.9</f>
        <v>5400</v>
      </c>
      <c r="F4" s="7">
        <f t="shared" si="0"/>
        <v>1080</v>
      </c>
      <c r="G4" s="8"/>
      <c r="H4" s="8" t="s">
        <v>28</v>
      </c>
    </row>
    <row r="5" spans="1:8" x14ac:dyDescent="0.2">
      <c r="A5" s="4" t="s">
        <v>8</v>
      </c>
      <c r="B5" s="4" t="s">
        <v>7</v>
      </c>
      <c r="C5" s="4" t="s">
        <v>9</v>
      </c>
      <c r="D5" s="5">
        <v>5000</v>
      </c>
      <c r="E5" s="6">
        <f t="shared" si="1"/>
        <v>4500</v>
      </c>
      <c r="F5" s="7">
        <f t="shared" si="0"/>
        <v>900</v>
      </c>
      <c r="G5" s="8" t="s">
        <v>137</v>
      </c>
      <c r="H5" s="8" t="s">
        <v>28</v>
      </c>
    </row>
    <row r="6" spans="1:8" x14ac:dyDescent="0.2">
      <c r="A6" s="4" t="s">
        <v>11</v>
      </c>
      <c r="B6" s="4" t="s">
        <v>10</v>
      </c>
      <c r="C6" s="4" t="s">
        <v>2</v>
      </c>
      <c r="D6" s="5">
        <v>9600</v>
      </c>
      <c r="E6" s="6">
        <f t="shared" si="1"/>
        <v>8640</v>
      </c>
      <c r="F6" s="7">
        <f t="shared" si="0"/>
        <v>1728</v>
      </c>
      <c r="G6" s="8"/>
      <c r="H6" s="8" t="s">
        <v>28</v>
      </c>
    </row>
    <row r="7" spans="1:8" x14ac:dyDescent="0.2">
      <c r="A7" s="4" t="s">
        <v>23</v>
      </c>
      <c r="B7" s="4" t="s">
        <v>12</v>
      </c>
      <c r="C7" s="4" t="s">
        <v>25</v>
      </c>
      <c r="D7" s="5">
        <v>2.4</v>
      </c>
      <c r="E7" s="6">
        <f t="shared" si="1"/>
        <v>2.16</v>
      </c>
      <c r="F7" s="7">
        <f t="shared" si="0"/>
        <v>0.43200000000000005</v>
      </c>
      <c r="G7" s="8"/>
      <c r="H7" s="8" t="s">
        <v>28</v>
      </c>
    </row>
    <row r="8" spans="1:8" hidden="1" x14ac:dyDescent="0.2">
      <c r="A8" s="4" t="s">
        <v>22</v>
      </c>
      <c r="B8" s="4" t="s">
        <v>13</v>
      </c>
      <c r="C8" s="4" t="s">
        <v>25</v>
      </c>
      <c r="D8" s="5">
        <v>100000</v>
      </c>
      <c r="E8" s="6">
        <f t="shared" ref="E8:E18" si="2">D8*0.8</f>
        <v>80000</v>
      </c>
      <c r="F8" s="7">
        <f t="shared" si="0"/>
        <v>16000</v>
      </c>
      <c r="G8" s="8" t="s">
        <v>26</v>
      </c>
      <c r="H8" s="8" t="s">
        <v>29</v>
      </c>
    </row>
    <row r="9" spans="1:8" hidden="1" x14ac:dyDescent="0.2">
      <c r="A9" s="4" t="s">
        <v>21</v>
      </c>
      <c r="B9" s="4" t="s">
        <v>14</v>
      </c>
      <c r="C9" s="4" t="s">
        <v>2</v>
      </c>
      <c r="D9" s="5">
        <v>3000</v>
      </c>
      <c r="E9" s="6">
        <f t="shared" si="2"/>
        <v>2400</v>
      </c>
      <c r="F9" s="7">
        <f t="shared" si="0"/>
        <v>480</v>
      </c>
      <c r="G9" s="8"/>
      <c r="H9" s="8" t="s">
        <v>29</v>
      </c>
    </row>
    <row r="10" spans="1:8" hidden="1" x14ac:dyDescent="0.2">
      <c r="A10" s="4" t="s">
        <v>20</v>
      </c>
      <c r="B10" s="4" t="s">
        <v>15</v>
      </c>
      <c r="C10" s="4" t="s">
        <v>24</v>
      </c>
      <c r="D10" s="5">
        <v>67500</v>
      </c>
      <c r="E10" s="6">
        <f t="shared" si="2"/>
        <v>54000</v>
      </c>
      <c r="F10" s="7">
        <f t="shared" si="0"/>
        <v>10800</v>
      </c>
      <c r="G10" s="8"/>
      <c r="H10" s="8" t="s">
        <v>29</v>
      </c>
    </row>
    <row r="11" spans="1:8" hidden="1" x14ac:dyDescent="0.2">
      <c r="A11" s="4" t="s">
        <v>19</v>
      </c>
      <c r="B11" s="4" t="s">
        <v>16</v>
      </c>
      <c r="C11" s="4" t="s">
        <v>24</v>
      </c>
      <c r="D11" s="5">
        <v>40000</v>
      </c>
      <c r="E11" s="6">
        <f t="shared" si="2"/>
        <v>32000</v>
      </c>
      <c r="F11" s="7">
        <f t="shared" si="0"/>
        <v>6400</v>
      </c>
      <c r="G11" s="8"/>
      <c r="H11" s="8" t="s">
        <v>29</v>
      </c>
    </row>
    <row r="12" spans="1:8" hidden="1" x14ac:dyDescent="0.2">
      <c r="A12" s="4" t="s">
        <v>18</v>
      </c>
      <c r="B12" s="4" t="s">
        <v>17</v>
      </c>
      <c r="C12" s="4" t="s">
        <v>24</v>
      </c>
      <c r="D12" s="5">
        <v>10000</v>
      </c>
      <c r="E12" s="6">
        <f t="shared" si="2"/>
        <v>8000</v>
      </c>
      <c r="F12" s="7">
        <f t="shared" si="0"/>
        <v>1600</v>
      </c>
      <c r="G12" s="8"/>
      <c r="H12" s="8" t="s">
        <v>29</v>
      </c>
    </row>
    <row r="13" spans="1:8" x14ac:dyDescent="0.2">
      <c r="A13" s="4" t="s">
        <v>41</v>
      </c>
      <c r="B13" s="4" t="s">
        <v>30</v>
      </c>
      <c r="C13" s="4" t="s">
        <v>42</v>
      </c>
      <c r="D13" s="5">
        <v>104500</v>
      </c>
      <c r="E13" s="6">
        <f t="shared" ref="E13:E16" si="3">D13*0.9</f>
        <v>94050</v>
      </c>
      <c r="F13" s="7">
        <f t="shared" si="0"/>
        <v>18810</v>
      </c>
      <c r="G13" s="8" t="s">
        <v>44</v>
      </c>
      <c r="H13" s="8" t="s">
        <v>28</v>
      </c>
    </row>
    <row r="14" spans="1:8" x14ac:dyDescent="0.2">
      <c r="A14" s="4" t="s">
        <v>40</v>
      </c>
      <c r="B14" s="4" t="s">
        <v>31</v>
      </c>
      <c r="C14" s="4" t="s">
        <v>42</v>
      </c>
      <c r="D14" s="5">
        <v>104500</v>
      </c>
      <c r="E14" s="6">
        <f t="shared" si="3"/>
        <v>94050</v>
      </c>
      <c r="F14" s="7">
        <f t="shared" si="0"/>
        <v>18810</v>
      </c>
      <c r="G14" s="8" t="s">
        <v>44</v>
      </c>
      <c r="H14" s="8" t="s">
        <v>28</v>
      </c>
    </row>
    <row r="15" spans="1:8" x14ac:dyDescent="0.2">
      <c r="A15" s="4" t="s">
        <v>39</v>
      </c>
      <c r="B15" s="4" t="s">
        <v>32</v>
      </c>
      <c r="C15" s="4" t="s">
        <v>42</v>
      </c>
      <c r="D15" s="5">
        <v>132000</v>
      </c>
      <c r="E15" s="6">
        <f t="shared" si="3"/>
        <v>118800</v>
      </c>
      <c r="F15" s="7">
        <f t="shared" si="0"/>
        <v>23760</v>
      </c>
      <c r="G15" s="8" t="s">
        <v>44</v>
      </c>
      <c r="H15" s="8" t="s">
        <v>28</v>
      </c>
    </row>
    <row r="16" spans="1:8" x14ac:dyDescent="0.2">
      <c r="A16" s="4" t="s">
        <v>38</v>
      </c>
      <c r="B16" s="4" t="s">
        <v>33</v>
      </c>
      <c r="C16" s="4" t="s">
        <v>42</v>
      </c>
      <c r="D16" s="5">
        <v>165000</v>
      </c>
      <c r="E16" s="6">
        <f t="shared" si="3"/>
        <v>148500</v>
      </c>
      <c r="F16" s="7">
        <f t="shared" si="0"/>
        <v>29700</v>
      </c>
      <c r="G16" s="8" t="s">
        <v>44</v>
      </c>
      <c r="H16" s="8" t="s">
        <v>28</v>
      </c>
    </row>
    <row r="17" spans="1:8" hidden="1" x14ac:dyDescent="0.2">
      <c r="A17" s="4" t="s">
        <v>37</v>
      </c>
      <c r="B17" s="4" t="s">
        <v>34</v>
      </c>
      <c r="C17" s="4" t="s">
        <v>43</v>
      </c>
      <c r="D17" s="5">
        <v>55000</v>
      </c>
      <c r="E17" s="7">
        <f t="shared" si="2"/>
        <v>44000</v>
      </c>
      <c r="F17" s="7">
        <f t="shared" si="0"/>
        <v>8800</v>
      </c>
      <c r="G17" s="8"/>
      <c r="H17" s="8" t="s">
        <v>29</v>
      </c>
    </row>
    <row r="18" spans="1:8" hidden="1" x14ac:dyDescent="0.2">
      <c r="A18" s="4" t="s">
        <v>36</v>
      </c>
      <c r="B18" s="4" t="s">
        <v>35</v>
      </c>
      <c r="C18" s="4" t="s">
        <v>43</v>
      </c>
      <c r="D18" s="9">
        <v>55000</v>
      </c>
      <c r="E18" s="7">
        <f t="shared" si="2"/>
        <v>44000</v>
      </c>
      <c r="F18" s="7">
        <f t="shared" si="0"/>
        <v>8800</v>
      </c>
      <c r="G18" s="8"/>
      <c r="H18" s="8" t="s">
        <v>29</v>
      </c>
    </row>
    <row r="19" spans="1:8" x14ac:dyDescent="0.2">
      <c r="A19" s="4" t="s">
        <v>58</v>
      </c>
      <c r="B19" s="4" t="s">
        <v>0</v>
      </c>
      <c r="C19" s="4" t="s">
        <v>59</v>
      </c>
      <c r="D19" s="9">
        <f>63983*0.0672</f>
        <v>4299.6575999999995</v>
      </c>
      <c r="E19" s="6">
        <f t="shared" ref="E19:E72" si="4">D19*0.9</f>
        <v>3869.6918399999995</v>
      </c>
      <c r="F19" s="7">
        <f t="shared" si="0"/>
        <v>773.93836799999997</v>
      </c>
      <c r="G19" s="8"/>
      <c r="H19" s="8" t="s">
        <v>28</v>
      </c>
    </row>
    <row r="20" spans="1:8" x14ac:dyDescent="0.2">
      <c r="A20" s="4" t="s">
        <v>57</v>
      </c>
      <c r="B20" s="4" t="s">
        <v>45</v>
      </c>
      <c r="C20" s="4" t="s">
        <v>59</v>
      </c>
      <c r="D20" s="9">
        <f>28711*0.0672</f>
        <v>1929.3791999999999</v>
      </c>
      <c r="E20" s="6">
        <f t="shared" si="4"/>
        <v>1736.44128</v>
      </c>
      <c r="F20" s="7">
        <f t="shared" si="0"/>
        <v>347.28825600000005</v>
      </c>
      <c r="G20" s="8"/>
      <c r="H20" s="8" t="s">
        <v>28</v>
      </c>
    </row>
    <row r="21" spans="1:8" x14ac:dyDescent="0.2">
      <c r="A21" s="4" t="s">
        <v>56</v>
      </c>
      <c r="B21" s="4" t="s">
        <v>10</v>
      </c>
      <c r="C21" s="4" t="s">
        <v>59</v>
      </c>
      <c r="D21" s="9">
        <f>45937*0.0672</f>
        <v>3086.9663999999998</v>
      </c>
      <c r="E21" s="6">
        <f t="shared" si="4"/>
        <v>2778.2697599999997</v>
      </c>
      <c r="F21" s="7">
        <f t="shared" si="0"/>
        <v>555.653952</v>
      </c>
      <c r="G21" s="8"/>
      <c r="H21" s="8" t="s">
        <v>28</v>
      </c>
    </row>
    <row r="22" spans="1:8" x14ac:dyDescent="0.2">
      <c r="A22" s="4" t="s">
        <v>55</v>
      </c>
      <c r="B22" s="4" t="s">
        <v>46</v>
      </c>
      <c r="C22" s="4" t="s">
        <v>60</v>
      </c>
      <c r="D22" s="9">
        <v>53471</v>
      </c>
      <c r="E22" s="6">
        <f t="shared" si="4"/>
        <v>48123.9</v>
      </c>
      <c r="F22" s="7">
        <f t="shared" ref="F22:F36" si="5">E22*0.2</f>
        <v>9624.7800000000007</v>
      </c>
      <c r="G22" s="8"/>
      <c r="H22" s="8" t="s">
        <v>28</v>
      </c>
    </row>
    <row r="23" spans="1:8" x14ac:dyDescent="0.2">
      <c r="A23" s="4" t="s">
        <v>54</v>
      </c>
      <c r="B23" s="4" t="s">
        <v>47</v>
      </c>
      <c r="C23" s="4" t="s">
        <v>60</v>
      </c>
      <c r="D23" s="9">
        <v>23100</v>
      </c>
      <c r="E23" s="6">
        <f t="shared" si="4"/>
        <v>20790</v>
      </c>
      <c r="F23" s="7">
        <f t="shared" si="5"/>
        <v>4158</v>
      </c>
      <c r="G23" s="8" t="s">
        <v>80</v>
      </c>
      <c r="H23" s="8" t="s">
        <v>28</v>
      </c>
    </row>
    <row r="24" spans="1:8" x14ac:dyDescent="0.2">
      <c r="A24" s="4" t="s">
        <v>53</v>
      </c>
      <c r="B24" s="4" t="s">
        <v>48</v>
      </c>
      <c r="C24" s="4" t="s">
        <v>60</v>
      </c>
      <c r="D24" s="9">
        <v>38587</v>
      </c>
      <c r="E24" s="6">
        <f t="shared" si="4"/>
        <v>34728.300000000003</v>
      </c>
      <c r="F24" s="7">
        <f t="shared" si="5"/>
        <v>6945.6600000000008</v>
      </c>
      <c r="G24" s="8"/>
      <c r="H24" s="8" t="s">
        <v>28</v>
      </c>
    </row>
    <row r="25" spans="1:8" x14ac:dyDescent="0.2">
      <c r="A25" s="4" t="s">
        <v>52</v>
      </c>
      <c r="B25" s="4" t="s">
        <v>0</v>
      </c>
      <c r="C25" s="4" t="s">
        <v>60</v>
      </c>
      <c r="D25" s="9">
        <v>48500</v>
      </c>
      <c r="E25" s="6">
        <f t="shared" si="4"/>
        <v>43650</v>
      </c>
      <c r="F25" s="7">
        <f t="shared" si="5"/>
        <v>8730</v>
      </c>
      <c r="G25" s="8"/>
      <c r="H25" s="8" t="s">
        <v>28</v>
      </c>
    </row>
    <row r="26" spans="1:8" x14ac:dyDescent="0.2">
      <c r="A26" s="4" t="s">
        <v>51</v>
      </c>
      <c r="B26" s="4" t="s">
        <v>49</v>
      </c>
      <c r="C26" s="4" t="s">
        <v>60</v>
      </c>
      <c r="D26" s="9">
        <v>22000</v>
      </c>
      <c r="E26" s="6">
        <f t="shared" si="4"/>
        <v>19800</v>
      </c>
      <c r="F26" s="7">
        <f t="shared" si="5"/>
        <v>3960</v>
      </c>
      <c r="G26" s="8"/>
      <c r="H26" s="8" t="s">
        <v>28</v>
      </c>
    </row>
    <row r="27" spans="1:8" x14ac:dyDescent="0.2">
      <c r="A27" s="4" t="s">
        <v>50</v>
      </c>
      <c r="B27" s="4" t="s">
        <v>10</v>
      </c>
      <c r="C27" s="4" t="s">
        <v>60</v>
      </c>
      <c r="D27" s="9">
        <v>35000</v>
      </c>
      <c r="E27" s="6">
        <f t="shared" si="4"/>
        <v>31500</v>
      </c>
      <c r="F27" s="7">
        <f t="shared" si="5"/>
        <v>6300</v>
      </c>
      <c r="G27" s="8"/>
      <c r="H27" s="8" t="s">
        <v>28</v>
      </c>
    </row>
    <row r="28" spans="1:8" x14ac:dyDescent="0.2">
      <c r="A28" s="4" t="s">
        <v>79</v>
      </c>
      <c r="B28" s="4" t="s">
        <v>62</v>
      </c>
      <c r="C28" s="4" t="s">
        <v>24</v>
      </c>
      <c r="D28" s="9">
        <v>750</v>
      </c>
      <c r="E28" s="6">
        <f t="shared" si="4"/>
        <v>675</v>
      </c>
      <c r="F28" s="7">
        <f t="shared" si="5"/>
        <v>135</v>
      </c>
      <c r="G28" s="8" t="s">
        <v>138</v>
      </c>
      <c r="H28" s="8" t="s">
        <v>28</v>
      </c>
    </row>
    <row r="29" spans="1:8" x14ac:dyDescent="0.2">
      <c r="A29" s="4" t="s">
        <v>78</v>
      </c>
      <c r="B29" s="4" t="s">
        <v>63</v>
      </c>
      <c r="C29" s="4" t="s">
        <v>24</v>
      </c>
      <c r="D29" s="9">
        <v>1250</v>
      </c>
      <c r="E29" s="6">
        <f t="shared" si="4"/>
        <v>1125</v>
      </c>
      <c r="F29" s="7">
        <f t="shared" si="5"/>
        <v>225</v>
      </c>
      <c r="G29" s="8" t="s">
        <v>138</v>
      </c>
      <c r="H29" s="8" t="s">
        <v>28</v>
      </c>
    </row>
    <row r="30" spans="1:8" x14ac:dyDescent="0.2">
      <c r="A30" s="4" t="s">
        <v>77</v>
      </c>
      <c r="B30" s="4" t="s">
        <v>64</v>
      </c>
      <c r="C30" s="4" t="s">
        <v>81</v>
      </c>
      <c r="D30" s="9">
        <v>55</v>
      </c>
      <c r="E30" s="6">
        <f t="shared" si="4"/>
        <v>49.5</v>
      </c>
      <c r="F30" s="7">
        <f t="shared" si="5"/>
        <v>9.9</v>
      </c>
      <c r="G30" s="8" t="s">
        <v>138</v>
      </c>
      <c r="H30" s="8" t="s">
        <v>28</v>
      </c>
    </row>
    <row r="31" spans="1:8" x14ac:dyDescent="0.2">
      <c r="A31" s="4" t="s">
        <v>76</v>
      </c>
      <c r="B31" s="4" t="s">
        <v>65</v>
      </c>
      <c r="C31" s="4" t="s">
        <v>81</v>
      </c>
      <c r="D31" s="9">
        <v>250</v>
      </c>
      <c r="E31" s="6">
        <f t="shared" si="4"/>
        <v>225</v>
      </c>
      <c r="F31" s="7">
        <f t="shared" si="5"/>
        <v>45</v>
      </c>
      <c r="G31" s="8" t="s">
        <v>138</v>
      </c>
      <c r="H31" s="8" t="s">
        <v>28</v>
      </c>
    </row>
    <row r="32" spans="1:8" x14ac:dyDescent="0.2">
      <c r="A32" s="4" t="s">
        <v>75</v>
      </c>
      <c r="B32" s="4" t="s">
        <v>66</v>
      </c>
      <c r="C32" s="4" t="s">
        <v>81</v>
      </c>
      <c r="D32" s="9">
        <v>2900</v>
      </c>
      <c r="E32" s="6">
        <f t="shared" si="4"/>
        <v>2610</v>
      </c>
      <c r="F32" s="7">
        <f t="shared" si="5"/>
        <v>522</v>
      </c>
      <c r="G32" s="8" t="s">
        <v>138</v>
      </c>
      <c r="H32" s="8" t="s">
        <v>28</v>
      </c>
    </row>
    <row r="33" spans="1:8" x14ac:dyDescent="0.2">
      <c r="A33" s="4" t="s">
        <v>74</v>
      </c>
      <c r="B33" s="4" t="s">
        <v>67</v>
      </c>
      <c r="C33" s="4" t="s">
        <v>82</v>
      </c>
      <c r="D33" s="9">
        <v>4350</v>
      </c>
      <c r="E33" s="6">
        <f t="shared" si="4"/>
        <v>3915</v>
      </c>
      <c r="F33" s="7">
        <f t="shared" si="5"/>
        <v>783</v>
      </c>
      <c r="G33" s="8" t="s">
        <v>138</v>
      </c>
      <c r="H33" s="8" t="s">
        <v>28</v>
      </c>
    </row>
    <row r="34" spans="1:8" x14ac:dyDescent="0.2">
      <c r="A34" s="4" t="s">
        <v>73</v>
      </c>
      <c r="B34" s="4" t="s">
        <v>68</v>
      </c>
      <c r="C34" s="4" t="s">
        <v>83</v>
      </c>
      <c r="D34" s="9">
        <v>120</v>
      </c>
      <c r="E34" s="6">
        <f t="shared" si="4"/>
        <v>108</v>
      </c>
      <c r="F34" s="7">
        <f t="shared" si="5"/>
        <v>21.6</v>
      </c>
      <c r="G34" s="8" t="s">
        <v>138</v>
      </c>
      <c r="H34" s="8" t="s">
        <v>28</v>
      </c>
    </row>
    <row r="35" spans="1:8" x14ac:dyDescent="0.2">
      <c r="A35" s="4" t="s">
        <v>72</v>
      </c>
      <c r="B35" s="4" t="s">
        <v>69</v>
      </c>
      <c r="C35" s="4" t="s">
        <v>24</v>
      </c>
      <c r="D35" s="9">
        <v>9250</v>
      </c>
      <c r="E35" s="6">
        <f t="shared" si="4"/>
        <v>8325</v>
      </c>
      <c r="F35" s="7">
        <f t="shared" si="5"/>
        <v>1665</v>
      </c>
      <c r="G35" s="8" t="s">
        <v>84</v>
      </c>
      <c r="H35" s="8" t="s">
        <v>28</v>
      </c>
    </row>
    <row r="36" spans="1:8" x14ac:dyDescent="0.2">
      <c r="A36" s="4" t="s">
        <v>71</v>
      </c>
      <c r="B36" s="4" t="s">
        <v>70</v>
      </c>
      <c r="C36" s="4" t="s">
        <v>81</v>
      </c>
      <c r="D36" s="9">
        <v>195</v>
      </c>
      <c r="E36" s="6">
        <f t="shared" si="4"/>
        <v>175.5</v>
      </c>
      <c r="F36" s="7">
        <f t="shared" si="5"/>
        <v>35.1</v>
      </c>
      <c r="G36" s="8" t="s">
        <v>138</v>
      </c>
      <c r="H36" s="8" t="s">
        <v>28</v>
      </c>
    </row>
    <row r="37" spans="1:8" x14ac:dyDescent="0.2">
      <c r="A37" s="4" t="s">
        <v>85</v>
      </c>
      <c r="B37" s="4" t="s">
        <v>139</v>
      </c>
      <c r="C37" s="4" t="s">
        <v>24</v>
      </c>
      <c r="D37" s="9">
        <f>33.15/12</f>
        <v>2.7624999999999997</v>
      </c>
      <c r="E37" s="6">
        <f t="shared" si="4"/>
        <v>2.4862499999999996</v>
      </c>
      <c r="F37" s="7" t="s">
        <v>92</v>
      </c>
      <c r="G37" s="8" t="s">
        <v>138</v>
      </c>
      <c r="H37" s="8" t="s">
        <v>28</v>
      </c>
    </row>
    <row r="38" spans="1:8" x14ac:dyDescent="0.2">
      <c r="A38" s="4" t="s">
        <v>86</v>
      </c>
      <c r="B38" s="4" t="s">
        <v>140</v>
      </c>
      <c r="C38" s="4" t="s">
        <v>24</v>
      </c>
      <c r="D38" s="9">
        <f>55.3/12</f>
        <v>4.6083333333333334</v>
      </c>
      <c r="E38" s="6">
        <f t="shared" si="4"/>
        <v>4.1475</v>
      </c>
      <c r="F38" s="7" t="s">
        <v>92</v>
      </c>
      <c r="G38" s="8" t="s">
        <v>138</v>
      </c>
      <c r="H38" s="8" t="s">
        <v>28</v>
      </c>
    </row>
    <row r="39" spans="1:8" x14ac:dyDescent="0.2">
      <c r="A39" s="4" t="s">
        <v>87</v>
      </c>
      <c r="B39" s="4" t="s">
        <v>141</v>
      </c>
      <c r="C39" s="4" t="s">
        <v>81</v>
      </c>
      <c r="D39" s="9">
        <f>11.1/12</f>
        <v>0.92499999999999993</v>
      </c>
      <c r="E39" s="6">
        <f t="shared" si="4"/>
        <v>0.83249999999999991</v>
      </c>
      <c r="F39" s="7" t="s">
        <v>92</v>
      </c>
      <c r="G39" s="8" t="s">
        <v>138</v>
      </c>
      <c r="H39" s="8" t="s">
        <v>28</v>
      </c>
    </row>
    <row r="40" spans="1:8" x14ac:dyDescent="0.2">
      <c r="A40" s="4" t="s">
        <v>88</v>
      </c>
      <c r="B40" s="4" t="s">
        <v>142</v>
      </c>
      <c r="C40" s="4" t="s">
        <v>81</v>
      </c>
      <c r="D40" s="9">
        <f>128.1/12</f>
        <v>10.674999999999999</v>
      </c>
      <c r="E40" s="6">
        <f t="shared" si="4"/>
        <v>9.6074999999999999</v>
      </c>
      <c r="F40" s="7" t="s">
        <v>92</v>
      </c>
      <c r="G40" s="8" t="s">
        <v>138</v>
      </c>
      <c r="H40" s="8" t="s">
        <v>28</v>
      </c>
    </row>
    <row r="41" spans="1:8" x14ac:dyDescent="0.2">
      <c r="A41" s="4" t="s">
        <v>89</v>
      </c>
      <c r="B41" s="4" t="s">
        <v>143</v>
      </c>
      <c r="C41" s="4" t="s">
        <v>82</v>
      </c>
      <c r="D41" s="9">
        <f>192.2/12</f>
        <v>16.016666666666666</v>
      </c>
      <c r="E41" s="6">
        <f t="shared" si="4"/>
        <v>14.414999999999999</v>
      </c>
      <c r="F41" s="7" t="s">
        <v>92</v>
      </c>
      <c r="G41" s="8" t="s">
        <v>138</v>
      </c>
      <c r="H41" s="8" t="s">
        <v>28</v>
      </c>
    </row>
    <row r="42" spans="1:8" x14ac:dyDescent="0.2">
      <c r="A42" s="4" t="s">
        <v>90</v>
      </c>
      <c r="B42" s="4" t="s">
        <v>144</v>
      </c>
      <c r="C42" s="4" t="s">
        <v>24</v>
      </c>
      <c r="D42" s="9">
        <f>409/12</f>
        <v>34.083333333333336</v>
      </c>
      <c r="E42" s="6">
        <f t="shared" si="4"/>
        <v>30.675000000000004</v>
      </c>
      <c r="F42" s="7" t="s">
        <v>92</v>
      </c>
      <c r="G42" s="8" t="s">
        <v>84</v>
      </c>
      <c r="H42" s="8" t="s">
        <v>28</v>
      </c>
    </row>
    <row r="43" spans="1:8" x14ac:dyDescent="0.2">
      <c r="A43" s="4" t="s">
        <v>91</v>
      </c>
      <c r="B43" s="4" t="s">
        <v>145</v>
      </c>
      <c r="C43" s="4" t="s">
        <v>81</v>
      </c>
      <c r="D43" s="9">
        <f>8.7/12</f>
        <v>0.72499999999999998</v>
      </c>
      <c r="E43" s="6">
        <f t="shared" si="4"/>
        <v>0.65249999999999997</v>
      </c>
      <c r="F43" s="7" t="s">
        <v>92</v>
      </c>
      <c r="G43" s="8" t="s">
        <v>138</v>
      </c>
      <c r="H43" s="8" t="s">
        <v>28</v>
      </c>
    </row>
    <row r="44" spans="1:8" x14ac:dyDescent="0.2">
      <c r="A44" s="4" t="s">
        <v>108</v>
      </c>
      <c r="B44" s="4" t="s">
        <v>146</v>
      </c>
      <c r="C44" s="4" t="s">
        <v>43</v>
      </c>
      <c r="D44" s="9">
        <v>99</v>
      </c>
      <c r="E44" s="6">
        <f t="shared" si="4"/>
        <v>89.100000000000009</v>
      </c>
      <c r="F44" s="7" t="s">
        <v>92</v>
      </c>
      <c r="G44" s="8" t="s">
        <v>138</v>
      </c>
      <c r="H44" s="8" t="s">
        <v>28</v>
      </c>
    </row>
    <row r="45" spans="1:8" x14ac:dyDescent="0.2">
      <c r="A45" s="4" t="s">
        <v>109</v>
      </c>
      <c r="B45" s="4" t="s">
        <v>147</v>
      </c>
      <c r="C45" s="4" t="s">
        <v>43</v>
      </c>
      <c r="D45" s="9">
        <f>5940/12</f>
        <v>495</v>
      </c>
      <c r="E45" s="6">
        <f t="shared" si="4"/>
        <v>445.5</v>
      </c>
      <c r="F45" s="7" t="s">
        <v>92</v>
      </c>
      <c r="G45" s="8" t="s">
        <v>138</v>
      </c>
      <c r="H45" s="8" t="s">
        <v>28</v>
      </c>
    </row>
    <row r="46" spans="1:8" x14ac:dyDescent="0.2">
      <c r="A46" s="4" t="s">
        <v>110</v>
      </c>
      <c r="B46" s="4" t="s">
        <v>148</v>
      </c>
      <c r="C46" s="4" t="s">
        <v>43</v>
      </c>
      <c r="D46" s="9">
        <v>1500</v>
      </c>
      <c r="E46" s="6">
        <f t="shared" si="4"/>
        <v>1350</v>
      </c>
      <c r="F46" s="7" t="s">
        <v>92</v>
      </c>
      <c r="G46" s="8" t="s">
        <v>138</v>
      </c>
      <c r="H46" s="8" t="s">
        <v>28</v>
      </c>
    </row>
    <row r="47" spans="1:8" ht="20.25" customHeight="1" x14ac:dyDescent="0.2">
      <c r="A47" s="15" t="s">
        <v>93</v>
      </c>
      <c r="B47" s="16"/>
      <c r="C47" s="16"/>
      <c r="D47" s="17"/>
      <c r="E47" s="16"/>
      <c r="F47" s="18"/>
      <c r="H47" s="8" t="s">
        <v>28</v>
      </c>
    </row>
    <row r="48" spans="1:8" x14ac:dyDescent="0.2">
      <c r="A48" s="4" t="s">
        <v>107</v>
      </c>
      <c r="B48" s="4" t="s">
        <v>149</v>
      </c>
      <c r="C48" s="4" t="s">
        <v>111</v>
      </c>
      <c r="D48" s="9">
        <v>900</v>
      </c>
      <c r="E48" s="6">
        <f t="shared" si="4"/>
        <v>810</v>
      </c>
      <c r="F48" s="7" t="s">
        <v>92</v>
      </c>
      <c r="G48" s="8" t="s">
        <v>138</v>
      </c>
      <c r="H48" s="8" t="s">
        <v>28</v>
      </c>
    </row>
    <row r="49" spans="1:8" x14ac:dyDescent="0.2">
      <c r="A49" s="4" t="s">
        <v>106</v>
      </c>
      <c r="B49" s="4" t="s">
        <v>150</v>
      </c>
      <c r="C49" s="4" t="s">
        <v>112</v>
      </c>
      <c r="D49" s="9">
        <v>500</v>
      </c>
      <c r="E49" s="6">
        <f t="shared" si="4"/>
        <v>450</v>
      </c>
      <c r="F49" s="7" t="s">
        <v>92</v>
      </c>
      <c r="G49" s="8" t="s">
        <v>138</v>
      </c>
      <c r="H49" s="8" t="s">
        <v>28</v>
      </c>
    </row>
    <row r="50" spans="1:8" x14ac:dyDescent="0.2">
      <c r="A50" s="4" t="s">
        <v>105</v>
      </c>
      <c r="B50" s="4" t="s">
        <v>151</v>
      </c>
      <c r="C50" s="4" t="s">
        <v>111</v>
      </c>
      <c r="D50" s="9">
        <v>90</v>
      </c>
      <c r="E50" s="6">
        <f t="shared" si="4"/>
        <v>81</v>
      </c>
      <c r="F50" s="7" t="s">
        <v>92</v>
      </c>
      <c r="G50" s="8" t="s">
        <v>138</v>
      </c>
      <c r="H50" s="8" t="s">
        <v>28</v>
      </c>
    </row>
    <row r="51" spans="1:8" x14ac:dyDescent="0.2">
      <c r="A51" s="4" t="s">
        <v>104</v>
      </c>
      <c r="B51" s="4" t="s">
        <v>152</v>
      </c>
      <c r="C51" s="4" t="s">
        <v>111</v>
      </c>
      <c r="D51" s="9">
        <v>18</v>
      </c>
      <c r="E51" s="6">
        <f t="shared" si="4"/>
        <v>16.2</v>
      </c>
      <c r="F51" s="7" t="s">
        <v>92</v>
      </c>
      <c r="G51" s="8" t="s">
        <v>138</v>
      </c>
      <c r="H51" s="8" t="s">
        <v>28</v>
      </c>
    </row>
    <row r="52" spans="1:8" x14ac:dyDescent="0.2">
      <c r="A52" s="4" t="s">
        <v>103</v>
      </c>
      <c r="B52" s="4" t="s">
        <v>153</v>
      </c>
      <c r="C52" s="4" t="s">
        <v>111</v>
      </c>
      <c r="D52" s="9">
        <v>45</v>
      </c>
      <c r="E52" s="6">
        <f t="shared" si="4"/>
        <v>40.5</v>
      </c>
      <c r="F52" s="7" t="s">
        <v>92</v>
      </c>
      <c r="G52" s="8" t="s">
        <v>138</v>
      </c>
      <c r="H52" s="8" t="s">
        <v>28</v>
      </c>
    </row>
    <row r="53" spans="1:8" x14ac:dyDescent="0.2">
      <c r="A53" s="4" t="s">
        <v>102</v>
      </c>
      <c r="B53" s="4" t="s">
        <v>154</v>
      </c>
      <c r="C53" s="4" t="s">
        <v>111</v>
      </c>
      <c r="D53" s="9">
        <v>145</v>
      </c>
      <c r="E53" s="6">
        <f t="shared" si="4"/>
        <v>130.5</v>
      </c>
      <c r="F53" s="7" t="s">
        <v>92</v>
      </c>
      <c r="G53" s="8" t="s">
        <v>138</v>
      </c>
      <c r="H53" s="8" t="s">
        <v>28</v>
      </c>
    </row>
    <row r="54" spans="1:8" x14ac:dyDescent="0.2">
      <c r="A54" s="4" t="s">
        <v>101</v>
      </c>
      <c r="B54" s="4" t="s">
        <v>155</v>
      </c>
      <c r="C54" s="4" t="s">
        <v>111</v>
      </c>
      <c r="D54" s="9">
        <v>325</v>
      </c>
      <c r="E54" s="6">
        <f t="shared" si="4"/>
        <v>292.5</v>
      </c>
      <c r="F54" s="7" t="s">
        <v>92</v>
      </c>
      <c r="G54" s="8" t="s">
        <v>138</v>
      </c>
      <c r="H54" s="8" t="s">
        <v>28</v>
      </c>
    </row>
    <row r="55" spans="1:8" x14ac:dyDescent="0.2">
      <c r="A55" s="4" t="s">
        <v>100</v>
      </c>
      <c r="B55" s="4" t="s">
        <v>164</v>
      </c>
      <c r="C55" s="4" t="s">
        <v>111</v>
      </c>
      <c r="D55" s="9">
        <v>9</v>
      </c>
      <c r="E55" s="6">
        <f t="shared" si="4"/>
        <v>8.1</v>
      </c>
      <c r="F55" s="7" t="s">
        <v>92</v>
      </c>
      <c r="G55" s="8" t="s">
        <v>138</v>
      </c>
      <c r="H55" s="8" t="s">
        <v>28</v>
      </c>
    </row>
    <row r="56" spans="1:8" x14ac:dyDescent="0.2">
      <c r="A56" s="4" t="s">
        <v>99</v>
      </c>
      <c r="B56" s="4" t="s">
        <v>156</v>
      </c>
      <c r="C56" s="4" t="s">
        <v>111</v>
      </c>
      <c r="D56" s="9">
        <v>24</v>
      </c>
      <c r="E56" s="6">
        <f t="shared" si="4"/>
        <v>21.6</v>
      </c>
      <c r="F56" s="7" t="s">
        <v>92</v>
      </c>
      <c r="G56" s="8" t="s">
        <v>138</v>
      </c>
      <c r="H56" s="8" t="s">
        <v>28</v>
      </c>
    </row>
    <row r="57" spans="1:8" x14ac:dyDescent="0.2">
      <c r="A57" s="4" t="s">
        <v>98</v>
      </c>
      <c r="B57" s="4" t="s">
        <v>157</v>
      </c>
      <c r="C57" s="4" t="s">
        <v>111</v>
      </c>
      <c r="D57" s="9">
        <v>78</v>
      </c>
      <c r="E57" s="6">
        <f t="shared" si="4"/>
        <v>70.2</v>
      </c>
      <c r="F57" s="7" t="s">
        <v>92</v>
      </c>
      <c r="G57" s="8" t="s">
        <v>138</v>
      </c>
      <c r="H57" s="8" t="s">
        <v>28</v>
      </c>
    </row>
    <row r="58" spans="1:8" x14ac:dyDescent="0.2">
      <c r="A58" s="4" t="s">
        <v>97</v>
      </c>
      <c r="B58" s="4" t="s">
        <v>158</v>
      </c>
      <c r="C58" s="4" t="s">
        <v>112</v>
      </c>
      <c r="D58" s="9">
        <v>29</v>
      </c>
      <c r="E58" s="6">
        <f t="shared" si="4"/>
        <v>26.1</v>
      </c>
      <c r="F58" s="7" t="s">
        <v>92</v>
      </c>
      <c r="G58" s="8" t="s">
        <v>138</v>
      </c>
      <c r="H58" s="8" t="s">
        <v>28</v>
      </c>
    </row>
    <row r="59" spans="1:8" x14ac:dyDescent="0.2">
      <c r="A59" s="4" t="s">
        <v>96</v>
      </c>
      <c r="B59" s="4" t="s">
        <v>159</v>
      </c>
      <c r="C59" s="4" t="s">
        <v>112</v>
      </c>
      <c r="D59" s="9">
        <v>59</v>
      </c>
      <c r="E59" s="6">
        <f t="shared" si="4"/>
        <v>53.1</v>
      </c>
      <c r="F59" s="7" t="s">
        <v>92</v>
      </c>
      <c r="G59" s="8" t="s">
        <v>138</v>
      </c>
      <c r="H59" s="8" t="s">
        <v>28</v>
      </c>
    </row>
    <row r="60" spans="1:8" x14ac:dyDescent="0.2">
      <c r="A60" s="4" t="s">
        <v>95</v>
      </c>
      <c r="B60" s="4" t="s">
        <v>160</v>
      </c>
      <c r="C60" s="4" t="s">
        <v>112</v>
      </c>
      <c r="D60" s="9">
        <v>90</v>
      </c>
      <c r="E60" s="6">
        <f t="shared" si="4"/>
        <v>81</v>
      </c>
      <c r="F60" s="7" t="s">
        <v>92</v>
      </c>
      <c r="G60" s="8" t="s">
        <v>138</v>
      </c>
      <c r="H60" s="8" t="s">
        <v>28</v>
      </c>
    </row>
    <row r="61" spans="1:8" x14ac:dyDescent="0.2">
      <c r="A61" s="4" t="s">
        <v>94</v>
      </c>
      <c r="B61" s="4" t="s">
        <v>161</v>
      </c>
      <c r="C61" s="4" t="s">
        <v>112</v>
      </c>
      <c r="D61" s="9">
        <v>150</v>
      </c>
      <c r="E61" s="6">
        <f t="shared" si="4"/>
        <v>135</v>
      </c>
      <c r="F61" s="7" t="s">
        <v>92</v>
      </c>
      <c r="G61" s="8" t="s">
        <v>138</v>
      </c>
      <c r="H61" s="8" t="s">
        <v>28</v>
      </c>
    </row>
    <row r="62" spans="1:8" x14ac:dyDescent="0.2">
      <c r="A62" s="4" t="s">
        <v>113</v>
      </c>
      <c r="B62" s="4" t="s">
        <v>162</v>
      </c>
      <c r="C62" s="4" t="s">
        <v>25</v>
      </c>
      <c r="D62" s="9">
        <v>95</v>
      </c>
      <c r="E62" s="6">
        <f t="shared" si="4"/>
        <v>85.5</v>
      </c>
      <c r="F62" s="7" t="s">
        <v>92</v>
      </c>
      <c r="G62" s="8" t="s">
        <v>44</v>
      </c>
      <c r="H62" s="8" t="s">
        <v>28</v>
      </c>
    </row>
    <row r="63" spans="1:8" x14ac:dyDescent="0.2">
      <c r="A63" s="4" t="s">
        <v>114</v>
      </c>
      <c r="B63" s="4" t="s">
        <v>163</v>
      </c>
      <c r="C63" s="4" t="s">
        <v>115</v>
      </c>
      <c r="D63" s="9">
        <v>250</v>
      </c>
      <c r="E63" s="6">
        <f t="shared" si="4"/>
        <v>225</v>
      </c>
      <c r="F63" s="7" t="s">
        <v>92</v>
      </c>
      <c r="G63" s="8" t="s">
        <v>44</v>
      </c>
      <c r="H63" s="8" t="s">
        <v>28</v>
      </c>
    </row>
    <row r="64" spans="1:8" x14ac:dyDescent="0.2">
      <c r="A64" s="4" t="s">
        <v>133</v>
      </c>
      <c r="B64" s="4" t="s">
        <v>116</v>
      </c>
      <c r="C64" s="4" t="s">
        <v>43</v>
      </c>
      <c r="D64" s="9">
        <v>225000</v>
      </c>
      <c r="E64" s="6">
        <f t="shared" si="4"/>
        <v>202500</v>
      </c>
      <c r="F64" s="7">
        <f t="shared" ref="F64:F72" si="6">E64*0.2</f>
        <v>40500</v>
      </c>
      <c r="G64" s="8" t="s">
        <v>44</v>
      </c>
      <c r="H64" s="8" t="s">
        <v>28</v>
      </c>
    </row>
    <row r="65" spans="1:8" x14ac:dyDescent="0.2">
      <c r="A65" s="4" t="s">
        <v>132</v>
      </c>
      <c r="B65" s="4" t="s">
        <v>117</v>
      </c>
      <c r="C65" s="4" t="s">
        <v>134</v>
      </c>
      <c r="D65" s="9">
        <v>475000</v>
      </c>
      <c r="E65" s="6">
        <f t="shared" si="4"/>
        <v>427500</v>
      </c>
      <c r="F65" s="7">
        <f t="shared" si="6"/>
        <v>85500</v>
      </c>
      <c r="G65" s="8" t="s">
        <v>44</v>
      </c>
      <c r="H65" s="8" t="s">
        <v>28</v>
      </c>
    </row>
    <row r="66" spans="1:8" x14ac:dyDescent="0.2">
      <c r="A66" s="4" t="s">
        <v>131</v>
      </c>
      <c r="B66" s="4" t="s">
        <v>118</v>
      </c>
      <c r="C66" s="4" t="s">
        <v>134</v>
      </c>
      <c r="D66" s="9">
        <v>625000</v>
      </c>
      <c r="E66" s="6">
        <f t="shared" si="4"/>
        <v>562500</v>
      </c>
      <c r="F66" s="7">
        <f t="shared" si="6"/>
        <v>112500</v>
      </c>
      <c r="G66" s="8" t="s">
        <v>44</v>
      </c>
      <c r="H66" s="8" t="s">
        <v>28</v>
      </c>
    </row>
    <row r="67" spans="1:8" x14ac:dyDescent="0.2">
      <c r="A67" s="4" t="s">
        <v>130</v>
      </c>
      <c r="B67" s="4" t="s">
        <v>119</v>
      </c>
      <c r="C67" s="4" t="s">
        <v>115</v>
      </c>
      <c r="D67" s="9">
        <v>22000</v>
      </c>
      <c r="E67" s="6">
        <f t="shared" si="4"/>
        <v>19800</v>
      </c>
      <c r="F67" s="7">
        <f t="shared" si="6"/>
        <v>3960</v>
      </c>
      <c r="G67" s="8" t="s">
        <v>44</v>
      </c>
      <c r="H67" s="8" t="s">
        <v>28</v>
      </c>
    </row>
    <row r="68" spans="1:8" x14ac:dyDescent="0.2">
      <c r="A68" s="4" t="s">
        <v>129</v>
      </c>
      <c r="B68" s="4" t="s">
        <v>120</v>
      </c>
      <c r="C68" s="4" t="s">
        <v>135</v>
      </c>
      <c r="D68" s="9">
        <v>22000</v>
      </c>
      <c r="E68" s="6">
        <f t="shared" si="4"/>
        <v>19800</v>
      </c>
      <c r="F68" s="7">
        <f t="shared" si="6"/>
        <v>3960</v>
      </c>
      <c r="G68" s="8" t="s">
        <v>44</v>
      </c>
      <c r="H68" s="8" t="s">
        <v>28</v>
      </c>
    </row>
    <row r="69" spans="1:8" x14ac:dyDescent="0.2">
      <c r="A69" s="4" t="s">
        <v>128</v>
      </c>
      <c r="B69" s="4" t="s">
        <v>121</v>
      </c>
      <c r="C69" s="4" t="s">
        <v>134</v>
      </c>
      <c r="D69" s="9">
        <v>20000</v>
      </c>
      <c r="E69" s="6">
        <f t="shared" si="4"/>
        <v>18000</v>
      </c>
      <c r="F69" s="7">
        <f t="shared" si="6"/>
        <v>3600</v>
      </c>
      <c r="G69" s="8" t="s">
        <v>44</v>
      </c>
      <c r="H69" s="8" t="s">
        <v>28</v>
      </c>
    </row>
    <row r="70" spans="1:8" x14ac:dyDescent="0.2">
      <c r="A70" s="4" t="s">
        <v>127</v>
      </c>
      <c r="B70" s="4" t="s">
        <v>122</v>
      </c>
      <c r="C70" s="4" t="s">
        <v>134</v>
      </c>
      <c r="D70" s="9">
        <v>150000</v>
      </c>
      <c r="E70" s="6">
        <f t="shared" si="4"/>
        <v>135000</v>
      </c>
      <c r="F70" s="7">
        <f t="shared" si="6"/>
        <v>27000</v>
      </c>
      <c r="G70" s="8" t="s">
        <v>44</v>
      </c>
      <c r="H70" s="8" t="s">
        <v>28</v>
      </c>
    </row>
    <row r="71" spans="1:8" x14ac:dyDescent="0.2">
      <c r="A71" s="4" t="s">
        <v>126</v>
      </c>
      <c r="B71" s="4" t="s">
        <v>123</v>
      </c>
      <c r="C71" s="4" t="s">
        <v>134</v>
      </c>
      <c r="D71" s="9">
        <v>225000</v>
      </c>
      <c r="E71" s="6">
        <f t="shared" si="4"/>
        <v>202500</v>
      </c>
      <c r="F71" s="7">
        <f t="shared" si="6"/>
        <v>40500</v>
      </c>
      <c r="G71" s="8" t="s">
        <v>44</v>
      </c>
      <c r="H71" s="8" t="s">
        <v>28</v>
      </c>
    </row>
    <row r="72" spans="1:8" x14ac:dyDescent="0.2">
      <c r="A72" s="4" t="s">
        <v>125</v>
      </c>
      <c r="B72" s="4" t="s">
        <v>124</v>
      </c>
      <c r="C72" s="4" t="s">
        <v>134</v>
      </c>
      <c r="D72" s="9">
        <v>150000</v>
      </c>
      <c r="E72" s="6">
        <f t="shared" si="4"/>
        <v>135000</v>
      </c>
      <c r="F72" s="7">
        <f t="shared" si="6"/>
        <v>27000</v>
      </c>
      <c r="G72" s="8" t="s">
        <v>44</v>
      </c>
      <c r="H72" s="8" t="s">
        <v>28</v>
      </c>
    </row>
  </sheetData>
  <sheetProtection password="DD53" sheet="1" objects="1" scenarios="1"/>
  <autoFilter ref="A2:H72">
    <filterColumn colId="7">
      <filters>
        <filter val="No"/>
      </filters>
    </filterColumn>
  </autoFilter>
  <mergeCells count="2">
    <mergeCell ref="A1:F1"/>
    <mergeCell ref="A47:F47"/>
  </mergeCells>
  <pageMargins left="0.7" right="0.7" top="0.75" bottom="0.75" header="0.3" footer="0.3"/>
  <pageSetup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Harding</dc:creator>
  <cp:lastModifiedBy>Margaret Hutchison</cp:lastModifiedBy>
  <cp:lastPrinted>2013-02-12T23:02:55Z</cp:lastPrinted>
  <dcterms:created xsi:type="dcterms:W3CDTF">2013-02-12T19:59:13Z</dcterms:created>
  <dcterms:modified xsi:type="dcterms:W3CDTF">2013-02-26T18:17:42Z</dcterms:modified>
</cp:coreProperties>
</file>