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heckCompatibility="1" defaultThemeVersion="124226"/>
  <bookViews>
    <workbookView xWindow="360" yWindow="1260" windowWidth="11340" windowHeight="5145" firstSheet="14" activeTab="23"/>
  </bookViews>
  <sheets>
    <sheet name="1990" sheetId="16" r:id="rId1"/>
    <sheet name="1991" sheetId="19" r:id="rId2"/>
    <sheet name="1992" sheetId="20" r:id="rId3"/>
    <sheet name="1993" sheetId="21" r:id="rId4"/>
    <sheet name="1994" sheetId="22" r:id="rId5"/>
    <sheet name="1995" sheetId="23" r:id="rId6"/>
    <sheet name="1996" sheetId="24" r:id="rId7"/>
    <sheet name="1997" sheetId="9" r:id="rId8"/>
    <sheet name="1998" sheetId="8" r:id="rId9"/>
    <sheet name="1999" sheetId="7" r:id="rId10"/>
    <sheet name="2000" sheetId="5" r:id="rId11"/>
    <sheet name="2001" sheetId="4" r:id="rId12"/>
    <sheet name="2002" sheetId="1" r:id="rId13"/>
    <sheet name="2003" sheetId="2" r:id="rId14"/>
    <sheet name="2004" sheetId="3" r:id="rId15"/>
    <sheet name="2005" sheetId="18" r:id="rId16"/>
    <sheet name="2006" sheetId="17" r:id="rId17"/>
    <sheet name="2007" sheetId="26" r:id="rId18"/>
    <sheet name="2008" sheetId="27" r:id="rId19"/>
    <sheet name="2009" sheetId="28" r:id="rId20"/>
    <sheet name="2010" sheetId="29" r:id="rId21"/>
    <sheet name="2011" sheetId="30" r:id="rId22"/>
    <sheet name="2012" sheetId="32" r:id="rId23"/>
    <sheet name="2013" sheetId="33" r:id="rId24"/>
  </sheets>
  <calcPr calcId="145621"/>
</workbook>
</file>

<file path=xl/calcChain.xml><?xml version="1.0" encoding="utf-8"?>
<calcChain xmlns="http://schemas.openxmlformats.org/spreadsheetml/2006/main">
  <c r="F47" i="33" l="1"/>
  <c r="F46" i="33"/>
  <c r="M47" i="33" l="1"/>
  <c r="L47" i="33"/>
  <c r="K47" i="33"/>
  <c r="J47" i="33"/>
  <c r="I47" i="33"/>
  <c r="H47" i="33"/>
  <c r="G47" i="33"/>
  <c r="E47" i="33"/>
  <c r="D47" i="33"/>
  <c r="C47" i="33"/>
  <c r="B47" i="33"/>
  <c r="M46" i="33"/>
  <c r="L46" i="33"/>
  <c r="K46" i="33"/>
  <c r="J46" i="33"/>
  <c r="I46" i="33"/>
  <c r="H46" i="33"/>
  <c r="G46" i="33"/>
  <c r="E46" i="33"/>
  <c r="D46" i="33"/>
  <c r="C46" i="33"/>
  <c r="B46" i="33"/>
  <c r="N44" i="33"/>
  <c r="N43" i="33"/>
  <c r="N42" i="33"/>
  <c r="N41" i="33"/>
  <c r="N40" i="33"/>
  <c r="N39" i="33"/>
  <c r="N38" i="33"/>
  <c r="N37" i="33"/>
  <c r="N36" i="33"/>
  <c r="N35" i="33"/>
  <c r="N34" i="33"/>
  <c r="N33" i="33"/>
  <c r="N32" i="33"/>
  <c r="N31" i="33"/>
  <c r="N30" i="33"/>
  <c r="N29" i="33"/>
  <c r="N28" i="33"/>
  <c r="N27" i="33"/>
  <c r="N26" i="33"/>
  <c r="N25" i="33"/>
  <c r="N24" i="33"/>
  <c r="N23" i="33"/>
  <c r="N22" i="33"/>
  <c r="N21" i="33"/>
  <c r="N20" i="33"/>
  <c r="N19" i="33"/>
  <c r="N18" i="33"/>
  <c r="N17" i="33"/>
  <c r="N16" i="33"/>
  <c r="N15" i="33"/>
  <c r="N14" i="33"/>
  <c r="N13" i="33"/>
  <c r="N12" i="33"/>
  <c r="N11" i="33"/>
  <c r="N10" i="33"/>
  <c r="N9" i="33"/>
  <c r="N8" i="33"/>
  <c r="N7" i="33"/>
  <c r="N6" i="33"/>
  <c r="N5" i="33"/>
  <c r="N4" i="33"/>
  <c r="N3" i="33"/>
  <c r="N47" i="33" l="1"/>
  <c r="N46" i="33"/>
  <c r="M47" i="32"/>
  <c r="L47" i="32"/>
  <c r="K47" i="32"/>
  <c r="J47" i="32"/>
  <c r="I47" i="32"/>
  <c r="H47" i="32"/>
  <c r="G47" i="32"/>
  <c r="F47" i="32"/>
  <c r="E47" i="32"/>
  <c r="D47" i="32"/>
  <c r="C47" i="32"/>
  <c r="B47" i="32"/>
  <c r="M46" i="32"/>
  <c r="L46" i="32"/>
  <c r="K46" i="32"/>
  <c r="J46" i="32"/>
  <c r="I46" i="32"/>
  <c r="H46" i="32"/>
  <c r="G46" i="32"/>
  <c r="F46" i="32"/>
  <c r="E46" i="32"/>
  <c r="D46" i="32"/>
  <c r="C46" i="32"/>
  <c r="B46" i="32"/>
  <c r="N44" i="32"/>
  <c r="N43" i="32"/>
  <c r="N42" i="32"/>
  <c r="N41" i="32"/>
  <c r="N40" i="32"/>
  <c r="N39" i="32"/>
  <c r="N38" i="32"/>
  <c r="N37" i="32"/>
  <c r="N36" i="32"/>
  <c r="N35" i="32"/>
  <c r="N34" i="32"/>
  <c r="N33" i="32"/>
  <c r="N32" i="32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8" i="32"/>
  <c r="N17" i="32"/>
  <c r="N16" i="32"/>
  <c r="N15" i="32"/>
  <c r="N14" i="32"/>
  <c r="N13" i="32"/>
  <c r="N12" i="32"/>
  <c r="N11" i="32"/>
  <c r="N10" i="32"/>
  <c r="N9" i="32"/>
  <c r="N8" i="32"/>
  <c r="N7" i="32"/>
  <c r="N6" i="32"/>
  <c r="N5" i="32"/>
  <c r="N4" i="32"/>
  <c r="N3" i="32"/>
  <c r="B47" i="30"/>
  <c r="L47" i="30"/>
  <c r="K46" i="30"/>
  <c r="M47" i="30"/>
  <c r="M46" i="30"/>
  <c r="L46" i="30"/>
  <c r="K47" i="30"/>
  <c r="J47" i="30"/>
  <c r="J46" i="30"/>
  <c r="I47" i="30"/>
  <c r="I46" i="30"/>
  <c r="H47" i="30"/>
  <c r="H46" i="30"/>
  <c r="G47" i="30"/>
  <c r="G46" i="30"/>
  <c r="F47" i="30"/>
  <c r="F46" i="30"/>
  <c r="E47" i="30"/>
  <c r="E46" i="30"/>
  <c r="D47" i="30"/>
  <c r="D46" i="30"/>
  <c r="C47" i="30"/>
  <c r="N47" i="30" s="1"/>
  <c r="C46" i="30"/>
  <c r="N46" i="30" s="1"/>
  <c r="B46" i="30"/>
  <c r="N26" i="30"/>
  <c r="N25" i="30"/>
  <c r="M47" i="29"/>
  <c r="M46" i="29"/>
  <c r="L47" i="29"/>
  <c r="L46" i="29"/>
  <c r="K47" i="29"/>
  <c r="K46" i="29"/>
  <c r="J47" i="29"/>
  <c r="J46" i="29"/>
  <c r="I47" i="29"/>
  <c r="I46" i="29"/>
  <c r="H47" i="29"/>
  <c r="H46" i="29"/>
  <c r="G47" i="29"/>
  <c r="G46" i="29"/>
  <c r="F47" i="29"/>
  <c r="F46" i="29"/>
  <c r="E47" i="29"/>
  <c r="E46" i="29"/>
  <c r="D47" i="29"/>
  <c r="D46" i="29"/>
  <c r="C47" i="29"/>
  <c r="C46" i="29"/>
  <c r="B47" i="29"/>
  <c r="B46" i="29"/>
  <c r="N26" i="29"/>
  <c r="N25" i="29"/>
  <c r="N44" i="30"/>
  <c r="N43" i="30"/>
  <c r="N42" i="30"/>
  <c r="N41" i="30"/>
  <c r="N40" i="30"/>
  <c r="N39" i="30"/>
  <c r="N38" i="30"/>
  <c r="N37" i="30"/>
  <c r="N36" i="30"/>
  <c r="N35" i="30"/>
  <c r="N34" i="30"/>
  <c r="N33" i="30"/>
  <c r="N32" i="30"/>
  <c r="N31" i="30"/>
  <c r="N30" i="30"/>
  <c r="N29" i="30"/>
  <c r="N28" i="30"/>
  <c r="N27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N11" i="30"/>
  <c r="N10" i="30"/>
  <c r="N9" i="30"/>
  <c r="N8" i="30"/>
  <c r="N7" i="30"/>
  <c r="N6" i="30"/>
  <c r="N5" i="30"/>
  <c r="N4" i="30"/>
  <c r="N3" i="30"/>
  <c r="N17" i="29"/>
  <c r="N44" i="29"/>
  <c r="N43" i="29"/>
  <c r="N42" i="29"/>
  <c r="N41" i="29"/>
  <c r="N40" i="29"/>
  <c r="N39" i="29"/>
  <c r="N38" i="29"/>
  <c r="N37" i="29"/>
  <c r="N36" i="29"/>
  <c r="N35" i="29"/>
  <c r="N34" i="29"/>
  <c r="N33" i="29"/>
  <c r="N32" i="29"/>
  <c r="N31" i="29"/>
  <c r="N30" i="29"/>
  <c r="N29" i="29"/>
  <c r="N27" i="29"/>
  <c r="N24" i="29"/>
  <c r="N23" i="29"/>
  <c r="N22" i="29"/>
  <c r="N21" i="29"/>
  <c r="N20" i="29"/>
  <c r="N19" i="29"/>
  <c r="N18" i="29"/>
  <c r="N16" i="29"/>
  <c r="N15" i="29"/>
  <c r="N14" i="29"/>
  <c r="N13" i="29"/>
  <c r="N12" i="29"/>
  <c r="N11" i="29"/>
  <c r="N10" i="29"/>
  <c r="N9" i="29"/>
  <c r="N8" i="29"/>
  <c r="N7" i="29"/>
  <c r="N6" i="29"/>
  <c r="N5" i="29"/>
  <c r="N4" i="29"/>
  <c r="N3" i="29"/>
  <c r="M45" i="28"/>
  <c r="L45" i="28"/>
  <c r="K45" i="28"/>
  <c r="J45" i="28"/>
  <c r="I45" i="28"/>
  <c r="H45" i="28"/>
  <c r="G45" i="28"/>
  <c r="F45" i="28"/>
  <c r="E45" i="28"/>
  <c r="D45" i="28"/>
  <c r="C45" i="28"/>
  <c r="B45" i="28"/>
  <c r="N45" i="28" s="1"/>
  <c r="M44" i="28"/>
  <c r="L44" i="28"/>
  <c r="K44" i="28"/>
  <c r="J44" i="28"/>
  <c r="I44" i="28"/>
  <c r="H44" i="28"/>
  <c r="G44" i="28"/>
  <c r="F44" i="28"/>
  <c r="E44" i="28"/>
  <c r="D44" i="28"/>
  <c r="C44" i="28"/>
  <c r="B44" i="28"/>
  <c r="N42" i="28"/>
  <c r="N41" i="28"/>
  <c r="N40" i="28"/>
  <c r="N39" i="28"/>
  <c r="N38" i="28"/>
  <c r="N37" i="28"/>
  <c r="N36" i="28"/>
  <c r="N35" i="28"/>
  <c r="N34" i="28"/>
  <c r="N33" i="28"/>
  <c r="N32" i="28"/>
  <c r="N31" i="28"/>
  <c r="N30" i="28"/>
  <c r="N29" i="28"/>
  <c r="N28" i="28"/>
  <c r="N27" i="28"/>
  <c r="N26" i="28"/>
  <c r="N25" i="28"/>
  <c r="N24" i="28"/>
  <c r="N23" i="28"/>
  <c r="N22" i="28"/>
  <c r="N21" i="28"/>
  <c r="N20" i="28"/>
  <c r="N19" i="28"/>
  <c r="N18" i="28"/>
  <c r="N16" i="28"/>
  <c r="N15" i="28"/>
  <c r="N14" i="28"/>
  <c r="N13" i="28"/>
  <c r="N12" i="28"/>
  <c r="N11" i="28"/>
  <c r="N10" i="28"/>
  <c r="N9" i="28"/>
  <c r="N8" i="28"/>
  <c r="N7" i="28"/>
  <c r="N6" i="28"/>
  <c r="N5" i="28"/>
  <c r="N4" i="28"/>
  <c r="N3" i="28"/>
  <c r="B45" i="27"/>
  <c r="C45" i="27"/>
  <c r="D45" i="27"/>
  <c r="E45" i="27"/>
  <c r="F45" i="27"/>
  <c r="G45" i="27"/>
  <c r="H45" i="27"/>
  <c r="I45" i="27"/>
  <c r="J45" i="27"/>
  <c r="K45" i="27"/>
  <c r="L45" i="27"/>
  <c r="M45" i="27"/>
  <c r="N45" i="27"/>
  <c r="B44" i="27"/>
  <c r="C44" i="27"/>
  <c r="D44" i="27"/>
  <c r="E44" i="27"/>
  <c r="F44" i="27"/>
  <c r="G44" i="27"/>
  <c r="H44" i="27"/>
  <c r="I44" i="27"/>
  <c r="J44" i="27"/>
  <c r="K44" i="27"/>
  <c r="L44" i="27"/>
  <c r="M44" i="27"/>
  <c r="N42" i="27"/>
  <c r="N41" i="27"/>
  <c r="N40" i="27"/>
  <c r="N39" i="27"/>
  <c r="N38" i="27"/>
  <c r="N37" i="27"/>
  <c r="N36" i="27"/>
  <c r="N35" i="27"/>
  <c r="N34" i="27"/>
  <c r="N33" i="27"/>
  <c r="N32" i="27"/>
  <c r="N31" i="27"/>
  <c r="N30" i="27"/>
  <c r="N29" i="27"/>
  <c r="N28" i="27"/>
  <c r="N27" i="27"/>
  <c r="N26" i="27"/>
  <c r="N25" i="27"/>
  <c r="N24" i="27"/>
  <c r="N23" i="27"/>
  <c r="N22" i="27"/>
  <c r="N21" i="27"/>
  <c r="N20" i="27"/>
  <c r="N19" i="27"/>
  <c r="N18" i="27"/>
  <c r="N16" i="27"/>
  <c r="N15" i="27"/>
  <c r="N14" i="27"/>
  <c r="N13" i="27"/>
  <c r="N12" i="27"/>
  <c r="N11" i="27"/>
  <c r="N10" i="27"/>
  <c r="N9" i="27"/>
  <c r="N8" i="27"/>
  <c r="N7" i="27"/>
  <c r="N6" i="27"/>
  <c r="N5" i="27"/>
  <c r="N4" i="27"/>
  <c r="N3" i="27"/>
  <c r="N3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B45" i="26"/>
  <c r="C45" i="26"/>
  <c r="D45" i="26"/>
  <c r="E45" i="26"/>
  <c r="F45" i="26"/>
  <c r="G45" i="26"/>
  <c r="H45" i="26"/>
  <c r="I45" i="26"/>
  <c r="J45" i="26"/>
  <c r="K45" i="26"/>
  <c r="N45" i="26" s="1"/>
  <c r="L45" i="26"/>
  <c r="M45" i="26"/>
  <c r="I45" i="18"/>
  <c r="H45" i="18"/>
  <c r="I44" i="18"/>
  <c r="H44" i="18"/>
  <c r="N26" i="2"/>
  <c r="N24" i="2"/>
  <c r="N22" i="2"/>
  <c r="N40" i="23"/>
  <c r="N38" i="23"/>
  <c r="N36" i="23"/>
  <c r="N34" i="23"/>
  <c r="N32" i="23"/>
  <c r="N30" i="23"/>
  <c r="N28" i="23"/>
  <c r="N26" i="23"/>
  <c r="N24" i="23"/>
  <c r="N22" i="23"/>
  <c r="N20" i="23"/>
  <c r="N18" i="23"/>
  <c r="N16" i="23"/>
  <c r="N40" i="16"/>
  <c r="N38" i="16"/>
  <c r="N36" i="16"/>
  <c r="N34" i="16"/>
  <c r="N32" i="16"/>
  <c r="N30" i="16"/>
  <c r="N28" i="16"/>
  <c r="N26" i="16"/>
  <c r="N24" i="16"/>
  <c r="N22" i="16"/>
  <c r="N20" i="16"/>
  <c r="N18" i="16"/>
  <c r="N16" i="16"/>
  <c r="N14" i="16"/>
  <c r="N12" i="16"/>
  <c r="N10" i="16"/>
  <c r="N8" i="16"/>
  <c r="H43" i="16"/>
  <c r="C42" i="16"/>
  <c r="N7" i="16"/>
  <c r="N7" i="19"/>
  <c r="N40" i="19"/>
  <c r="N38" i="19"/>
  <c r="N36" i="19"/>
  <c r="N34" i="19"/>
  <c r="N32" i="19"/>
  <c r="N30" i="19"/>
  <c r="N28" i="19"/>
  <c r="N26" i="19"/>
  <c r="N24" i="19"/>
  <c r="N22" i="19"/>
  <c r="N20" i="19"/>
  <c r="N18" i="19"/>
  <c r="N16" i="19"/>
  <c r="N14" i="19"/>
  <c r="N12" i="19"/>
  <c r="N10" i="19"/>
  <c r="N8" i="19"/>
  <c r="N6" i="19"/>
  <c r="N40" i="20"/>
  <c r="N38" i="20"/>
  <c r="N36" i="20"/>
  <c r="N34" i="20"/>
  <c r="N32" i="20"/>
  <c r="N30" i="20"/>
  <c r="N28" i="20"/>
  <c r="N26" i="20"/>
  <c r="N24" i="20"/>
  <c r="N22" i="20"/>
  <c r="N20" i="20"/>
  <c r="N18" i="20"/>
  <c r="N16" i="20"/>
  <c r="N14" i="20"/>
  <c r="N12" i="20"/>
  <c r="N10" i="20"/>
  <c r="N8" i="20"/>
  <c r="N6" i="20"/>
  <c r="N7" i="20"/>
  <c r="N7" i="21"/>
  <c r="N40" i="21"/>
  <c r="N38" i="21"/>
  <c r="N36" i="21"/>
  <c r="N34" i="21"/>
  <c r="N32" i="21"/>
  <c r="N30" i="21"/>
  <c r="N28" i="21"/>
  <c r="N26" i="21"/>
  <c r="N24" i="21"/>
  <c r="N22" i="21"/>
  <c r="N20" i="21"/>
  <c r="N18" i="21"/>
  <c r="N16" i="21"/>
  <c r="N14" i="21"/>
  <c r="N12" i="21"/>
  <c r="N10" i="21"/>
  <c r="N8" i="21"/>
  <c r="N6" i="21"/>
  <c r="N14" i="23"/>
  <c r="N12" i="23"/>
  <c r="N10" i="23"/>
  <c r="N8" i="23"/>
  <c r="N6" i="23"/>
  <c r="N40" i="22"/>
  <c r="N38" i="22"/>
  <c r="N36" i="22"/>
  <c r="N34" i="22"/>
  <c r="N32" i="22"/>
  <c r="N30" i="22"/>
  <c r="N28" i="22"/>
  <c r="N26" i="22"/>
  <c r="N24" i="22"/>
  <c r="N22" i="22"/>
  <c r="N20" i="22"/>
  <c r="N18" i="22"/>
  <c r="N16" i="22"/>
  <c r="N14" i="22"/>
  <c r="N10" i="22"/>
  <c r="N8" i="22"/>
  <c r="N7" i="22"/>
  <c r="N7" i="23"/>
  <c r="N18" i="24"/>
  <c r="N8" i="24"/>
  <c r="N7" i="24"/>
  <c r="N42" i="9"/>
  <c r="N40" i="9"/>
  <c r="N38" i="9"/>
  <c r="N36" i="9"/>
  <c r="N34" i="9"/>
  <c r="N32" i="9"/>
  <c r="N30" i="9"/>
  <c r="N24" i="9"/>
  <c r="N22" i="9"/>
  <c r="N20" i="9"/>
  <c r="N18" i="9"/>
  <c r="N16" i="9"/>
  <c r="N14" i="9"/>
  <c r="N12" i="9"/>
  <c r="N10" i="9"/>
  <c r="N8" i="9"/>
  <c r="N6" i="9"/>
  <c r="N27" i="2"/>
  <c r="N42" i="2"/>
  <c r="N40" i="2"/>
  <c r="N38" i="2"/>
  <c r="N36" i="2"/>
  <c r="N34" i="2"/>
  <c r="N32" i="2"/>
  <c r="N30" i="2"/>
  <c r="N28" i="2"/>
  <c r="N20" i="2"/>
  <c r="N18" i="2"/>
  <c r="N16" i="2"/>
  <c r="N14" i="2"/>
  <c r="N12" i="2"/>
  <c r="N10" i="2"/>
  <c r="N8" i="2"/>
  <c r="N6" i="2"/>
  <c r="N20" i="1"/>
  <c r="N22" i="1"/>
  <c r="N43" i="4"/>
  <c r="N3" i="24"/>
  <c r="N4" i="24"/>
  <c r="N5" i="24"/>
  <c r="N6" i="24"/>
  <c r="N9" i="24"/>
  <c r="N10" i="24"/>
  <c r="N11" i="24"/>
  <c r="N12" i="24"/>
  <c r="N13" i="24"/>
  <c r="N14" i="24"/>
  <c r="N15" i="24"/>
  <c r="N16" i="24"/>
  <c r="N17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B42" i="24"/>
  <c r="C42" i="24"/>
  <c r="D42" i="24"/>
  <c r="E42" i="24"/>
  <c r="F42" i="24"/>
  <c r="G42" i="24"/>
  <c r="H42" i="24"/>
  <c r="I42" i="24"/>
  <c r="J42" i="24"/>
  <c r="K42" i="24"/>
  <c r="L42" i="24"/>
  <c r="M42" i="24"/>
  <c r="N42" i="24"/>
  <c r="B43" i="24"/>
  <c r="C43" i="24"/>
  <c r="D43" i="24"/>
  <c r="E43" i="24"/>
  <c r="F43" i="24"/>
  <c r="G43" i="24"/>
  <c r="H43" i="24"/>
  <c r="I43" i="24"/>
  <c r="J43" i="24"/>
  <c r="K43" i="24"/>
  <c r="L43" i="24"/>
  <c r="M43" i="24"/>
  <c r="N43" i="24"/>
  <c r="N3" i="23"/>
  <c r="N4" i="23"/>
  <c r="N5" i="23"/>
  <c r="N9" i="23"/>
  <c r="N11" i="23"/>
  <c r="N13" i="23"/>
  <c r="N15" i="23"/>
  <c r="N17" i="23"/>
  <c r="N19" i="23"/>
  <c r="N21" i="23"/>
  <c r="N23" i="23"/>
  <c r="N25" i="23"/>
  <c r="N27" i="23"/>
  <c r="N29" i="23"/>
  <c r="N31" i="23"/>
  <c r="N33" i="23"/>
  <c r="N35" i="23"/>
  <c r="N37" i="23"/>
  <c r="N39" i="23"/>
  <c r="B42" i="23"/>
  <c r="C42" i="23"/>
  <c r="D42" i="23"/>
  <c r="E42" i="23"/>
  <c r="F42" i="23"/>
  <c r="G42" i="23"/>
  <c r="H42" i="23"/>
  <c r="I42" i="23"/>
  <c r="J42" i="23"/>
  <c r="K42" i="23"/>
  <c r="L42" i="23"/>
  <c r="M42" i="23"/>
  <c r="N42" i="23"/>
  <c r="B43" i="23"/>
  <c r="C43" i="23"/>
  <c r="N43" i="23" s="1"/>
  <c r="D43" i="23"/>
  <c r="E43" i="23"/>
  <c r="F43" i="23"/>
  <c r="G43" i="23"/>
  <c r="H43" i="23"/>
  <c r="I43" i="23"/>
  <c r="J43" i="23"/>
  <c r="K43" i="23"/>
  <c r="L43" i="23"/>
  <c r="M43" i="23"/>
  <c r="N3" i="22"/>
  <c r="N4" i="22"/>
  <c r="N5" i="22"/>
  <c r="N6" i="22"/>
  <c r="N9" i="22"/>
  <c r="N11" i="22"/>
  <c r="N12" i="22"/>
  <c r="N13" i="22"/>
  <c r="N15" i="22"/>
  <c r="N17" i="22"/>
  <c r="N19" i="22"/>
  <c r="N21" i="22"/>
  <c r="N23" i="22"/>
  <c r="N25" i="22"/>
  <c r="N27" i="22"/>
  <c r="N29" i="22"/>
  <c r="N31" i="22"/>
  <c r="N33" i="22"/>
  <c r="N35" i="22"/>
  <c r="N37" i="22"/>
  <c r="N39" i="22"/>
  <c r="B42" i="22"/>
  <c r="C42" i="22"/>
  <c r="D42" i="22"/>
  <c r="E42" i="22"/>
  <c r="F42" i="22"/>
  <c r="N42" i="22" s="1"/>
  <c r="G42" i="22"/>
  <c r="H42" i="22"/>
  <c r="I42" i="22"/>
  <c r="J42" i="22"/>
  <c r="K42" i="22"/>
  <c r="L42" i="22"/>
  <c r="M42" i="22"/>
  <c r="B43" i="22"/>
  <c r="C43" i="22"/>
  <c r="D43" i="22"/>
  <c r="E43" i="22"/>
  <c r="F43" i="22"/>
  <c r="G43" i="22"/>
  <c r="H43" i="22"/>
  <c r="I43" i="22"/>
  <c r="J43" i="22"/>
  <c r="K43" i="22"/>
  <c r="L43" i="22"/>
  <c r="N43" i="22" s="1"/>
  <c r="M43" i="22"/>
  <c r="N3" i="21"/>
  <c r="N4" i="21"/>
  <c r="N5" i="21"/>
  <c r="N9" i="21"/>
  <c r="N11" i="21"/>
  <c r="N13" i="21"/>
  <c r="N15" i="21"/>
  <c r="N17" i="21"/>
  <c r="N19" i="21"/>
  <c r="N21" i="21"/>
  <c r="N23" i="21"/>
  <c r="N25" i="21"/>
  <c r="N27" i="21"/>
  <c r="N29" i="21"/>
  <c r="N31" i="21"/>
  <c r="N33" i="21"/>
  <c r="N35" i="21"/>
  <c r="N37" i="21"/>
  <c r="N39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 s="1"/>
  <c r="B43" i="21"/>
  <c r="C43" i="21"/>
  <c r="N43" i="21" s="1"/>
  <c r="D43" i="21"/>
  <c r="E43" i="21"/>
  <c r="F43" i="21"/>
  <c r="G43" i="21"/>
  <c r="H43" i="21"/>
  <c r="I43" i="21"/>
  <c r="J43" i="21"/>
  <c r="K43" i="21"/>
  <c r="L43" i="21"/>
  <c r="M43" i="21"/>
  <c r="N3" i="20"/>
  <c r="N4" i="20"/>
  <c r="N5" i="20"/>
  <c r="N9" i="20"/>
  <c r="N11" i="20"/>
  <c r="N13" i="20"/>
  <c r="N15" i="20"/>
  <c r="N17" i="20"/>
  <c r="N19" i="20"/>
  <c r="N21" i="20"/>
  <c r="N23" i="20"/>
  <c r="N25" i="20"/>
  <c r="N27" i="20"/>
  <c r="N29" i="20"/>
  <c r="N31" i="20"/>
  <c r="N33" i="20"/>
  <c r="N35" i="20"/>
  <c r="N37" i="20"/>
  <c r="N39" i="20"/>
  <c r="B42" i="20"/>
  <c r="C42" i="20"/>
  <c r="N42" i="20" s="1"/>
  <c r="D42" i="20"/>
  <c r="E42" i="20"/>
  <c r="F42" i="20"/>
  <c r="G42" i="20"/>
  <c r="H42" i="20"/>
  <c r="I42" i="20"/>
  <c r="J42" i="20"/>
  <c r="K42" i="20"/>
  <c r="L42" i="20"/>
  <c r="M42" i="20"/>
  <c r="B43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N3" i="19"/>
  <c r="N4" i="19"/>
  <c r="N5" i="19"/>
  <c r="N9" i="19"/>
  <c r="N11" i="19"/>
  <c r="N13" i="19"/>
  <c r="N15" i="19"/>
  <c r="N17" i="19"/>
  <c r="N19" i="19"/>
  <c r="N21" i="19"/>
  <c r="N23" i="19"/>
  <c r="N25" i="19"/>
  <c r="N27" i="19"/>
  <c r="N29" i="19"/>
  <c r="N31" i="19"/>
  <c r="N33" i="19"/>
  <c r="N35" i="19"/>
  <c r="N37" i="19"/>
  <c r="N39" i="19"/>
  <c r="B42" i="19"/>
  <c r="C42" i="19"/>
  <c r="D42" i="19"/>
  <c r="E42" i="19"/>
  <c r="F42" i="19"/>
  <c r="G42" i="19"/>
  <c r="H42" i="19"/>
  <c r="I42" i="19"/>
  <c r="J42" i="19"/>
  <c r="K42" i="19"/>
  <c r="L42" i="19"/>
  <c r="M42" i="19"/>
  <c r="N42" i="19"/>
  <c r="B43" i="19"/>
  <c r="N43" i="19" s="1"/>
  <c r="C43" i="19"/>
  <c r="D43" i="19"/>
  <c r="E43" i="19"/>
  <c r="F43" i="19"/>
  <c r="G43" i="19"/>
  <c r="H43" i="19"/>
  <c r="I43" i="19"/>
  <c r="J43" i="19"/>
  <c r="K43" i="19"/>
  <c r="L43" i="19"/>
  <c r="M43" i="19"/>
  <c r="M43" i="16"/>
  <c r="L43" i="16"/>
  <c r="K43" i="16"/>
  <c r="J43" i="16"/>
  <c r="I43" i="16"/>
  <c r="G43" i="16"/>
  <c r="F43" i="16"/>
  <c r="E43" i="16"/>
  <c r="D43" i="16"/>
  <c r="C43" i="16"/>
  <c r="B43" i="16"/>
  <c r="M42" i="16"/>
  <c r="L42" i="16"/>
  <c r="K42" i="16"/>
  <c r="J42" i="16"/>
  <c r="I42" i="16"/>
  <c r="H42" i="16"/>
  <c r="G42" i="16"/>
  <c r="F42" i="16"/>
  <c r="E42" i="16"/>
  <c r="D42" i="16"/>
  <c r="N42" i="16" s="1"/>
  <c r="B42" i="16"/>
  <c r="N13" i="16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B44" i="18"/>
  <c r="C44" i="18"/>
  <c r="D44" i="18"/>
  <c r="E44" i="18"/>
  <c r="F44" i="18"/>
  <c r="G44" i="18"/>
  <c r="J44" i="18"/>
  <c r="K44" i="18"/>
  <c r="N44" i="18" s="1"/>
  <c r="L44" i="18"/>
  <c r="M44" i="18"/>
  <c r="B45" i="18"/>
  <c r="C45" i="18"/>
  <c r="D45" i="18"/>
  <c r="E45" i="18"/>
  <c r="F45" i="18"/>
  <c r="N45" i="18" s="1"/>
  <c r="G45" i="18"/>
  <c r="J45" i="18"/>
  <c r="K45" i="18"/>
  <c r="L45" i="18"/>
  <c r="M45" i="18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B44" i="17"/>
  <c r="C44" i="17"/>
  <c r="D44" i="17"/>
  <c r="E44" i="17"/>
  <c r="F44" i="17"/>
  <c r="G44" i="17"/>
  <c r="H44" i="17"/>
  <c r="I44" i="17"/>
  <c r="J44" i="17"/>
  <c r="K44" i="17"/>
  <c r="N44" i="17" s="1"/>
  <c r="L44" i="17"/>
  <c r="M44" i="17"/>
  <c r="B45" i="17"/>
  <c r="N45" i="17" s="1"/>
  <c r="C45" i="17"/>
  <c r="D45" i="17"/>
  <c r="E45" i="17"/>
  <c r="F45" i="17"/>
  <c r="G45" i="17"/>
  <c r="H45" i="17"/>
  <c r="I45" i="17"/>
  <c r="J45" i="17"/>
  <c r="K45" i="17"/>
  <c r="L45" i="17"/>
  <c r="M45" i="17"/>
  <c r="N3" i="16"/>
  <c r="N4" i="16"/>
  <c r="N5" i="16"/>
  <c r="N6" i="16"/>
  <c r="N9" i="16"/>
  <c r="N11" i="16"/>
  <c r="N15" i="16"/>
  <c r="N17" i="16"/>
  <c r="N19" i="16"/>
  <c r="N21" i="16"/>
  <c r="N23" i="16"/>
  <c r="N25" i="16"/>
  <c r="N27" i="16"/>
  <c r="N29" i="16"/>
  <c r="N31" i="16"/>
  <c r="N33" i="16"/>
  <c r="N35" i="16"/>
  <c r="N37" i="16"/>
  <c r="N39" i="16"/>
  <c r="N43" i="16"/>
  <c r="N3" i="9"/>
  <c r="N5" i="9"/>
  <c r="N7" i="9"/>
  <c r="N9" i="9"/>
  <c r="N11" i="9"/>
  <c r="N13" i="9"/>
  <c r="N15" i="9"/>
  <c r="N17" i="9"/>
  <c r="N19" i="9"/>
  <c r="N21" i="9"/>
  <c r="N23" i="9"/>
  <c r="N25" i="9"/>
  <c r="N26" i="9"/>
  <c r="N27" i="9"/>
  <c r="N28" i="9"/>
  <c r="N29" i="9"/>
  <c r="N31" i="9"/>
  <c r="N33" i="9"/>
  <c r="N35" i="9"/>
  <c r="N37" i="9"/>
  <c r="N39" i="9"/>
  <c r="N41" i="9"/>
  <c r="B44" i="9"/>
  <c r="C44" i="9"/>
  <c r="D44" i="9"/>
  <c r="E44" i="9"/>
  <c r="F44" i="9"/>
  <c r="G44" i="9"/>
  <c r="N44" i="9" s="1"/>
  <c r="H44" i="9"/>
  <c r="I44" i="9"/>
  <c r="J44" i="9"/>
  <c r="K44" i="9"/>
  <c r="L44" i="9"/>
  <c r="M44" i="9"/>
  <c r="B45" i="9"/>
  <c r="C45" i="9"/>
  <c r="D45" i="9"/>
  <c r="E45" i="9"/>
  <c r="F45" i="9"/>
  <c r="G45" i="9"/>
  <c r="H45" i="9"/>
  <c r="I45" i="9"/>
  <c r="J45" i="9"/>
  <c r="K45" i="9"/>
  <c r="L45" i="9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B44" i="8"/>
  <c r="C44" i="8"/>
  <c r="N44" i="8" s="1"/>
  <c r="D44" i="8"/>
  <c r="E44" i="8"/>
  <c r="F44" i="8"/>
  <c r="G44" i="8"/>
  <c r="H44" i="8"/>
  <c r="I44" i="8"/>
  <c r="J44" i="8"/>
  <c r="K44" i="8"/>
  <c r="L44" i="8"/>
  <c r="M44" i="8"/>
  <c r="B45" i="8"/>
  <c r="C45" i="8"/>
  <c r="D45" i="8"/>
  <c r="E45" i="8"/>
  <c r="F45" i="8"/>
  <c r="G45" i="8"/>
  <c r="H45" i="8"/>
  <c r="I45" i="8"/>
  <c r="J45" i="8"/>
  <c r="N45" i="8" s="1"/>
  <c r="K45" i="8"/>
  <c r="L45" i="8"/>
  <c r="M45" i="8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 s="1"/>
  <c r="B45" i="7"/>
  <c r="C45" i="7"/>
  <c r="D45" i="7"/>
  <c r="N45" i="7" s="1"/>
  <c r="E45" i="7"/>
  <c r="F45" i="7"/>
  <c r="G45" i="7"/>
  <c r="H45" i="7"/>
  <c r="I45" i="7"/>
  <c r="J45" i="7"/>
  <c r="K45" i="7"/>
  <c r="L45" i="7"/>
  <c r="M45" i="7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B44" i="5"/>
  <c r="C44" i="5"/>
  <c r="N44" i="5" s="1"/>
  <c r="D44" i="5"/>
  <c r="E44" i="5"/>
  <c r="F44" i="5"/>
  <c r="G44" i="5"/>
  <c r="H44" i="5"/>
  <c r="I44" i="5"/>
  <c r="J44" i="5"/>
  <c r="K44" i="5"/>
  <c r="L44" i="5"/>
  <c r="M44" i="5"/>
  <c r="B45" i="5"/>
  <c r="C45" i="5"/>
  <c r="D45" i="5"/>
  <c r="E45" i="5"/>
  <c r="F45" i="5"/>
  <c r="G45" i="5"/>
  <c r="H45" i="5"/>
  <c r="I45" i="5"/>
  <c r="J45" i="5"/>
  <c r="N45" i="5" s="1"/>
  <c r="K45" i="5"/>
  <c r="L45" i="5"/>
  <c r="M45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 s="1"/>
  <c r="B45" i="4"/>
  <c r="C45" i="4"/>
  <c r="D45" i="4"/>
  <c r="N45" i="4" s="1"/>
  <c r="E45" i="4"/>
  <c r="F45" i="4"/>
  <c r="G45" i="4"/>
  <c r="H45" i="4"/>
  <c r="I45" i="4"/>
  <c r="J45" i="4"/>
  <c r="K45" i="4"/>
  <c r="L45" i="4"/>
  <c r="M45" i="4"/>
  <c r="J45" i="3"/>
  <c r="D44" i="1"/>
  <c r="B45" i="1"/>
  <c r="C45" i="1"/>
  <c r="D45" i="1"/>
  <c r="E45" i="1"/>
  <c r="F45" i="1"/>
  <c r="G45" i="1"/>
  <c r="H45" i="1"/>
  <c r="I45" i="1"/>
  <c r="N45" i="1" s="1"/>
  <c r="J45" i="1"/>
  <c r="K45" i="1"/>
  <c r="L45" i="1"/>
  <c r="M45" i="1"/>
  <c r="B44" i="1"/>
  <c r="C44" i="1"/>
  <c r="E44" i="1"/>
  <c r="F44" i="1"/>
  <c r="G44" i="1"/>
  <c r="H44" i="1"/>
  <c r="I44" i="1"/>
  <c r="N44" i="1" s="1"/>
  <c r="J44" i="1"/>
  <c r="K44" i="1"/>
  <c r="L44" i="1"/>
  <c r="M44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1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B44" i="2"/>
  <c r="C44" i="2"/>
  <c r="D44" i="2"/>
  <c r="E44" i="2"/>
  <c r="F44" i="2"/>
  <c r="G44" i="2"/>
  <c r="H44" i="2"/>
  <c r="I44" i="2"/>
  <c r="N44" i="2" s="1"/>
  <c r="J44" i="2"/>
  <c r="K44" i="2"/>
  <c r="L44" i="2"/>
  <c r="M44" i="2"/>
  <c r="N41" i="2"/>
  <c r="N39" i="2"/>
  <c r="N37" i="2"/>
  <c r="N35" i="2"/>
  <c r="N33" i="2"/>
  <c r="N31" i="2"/>
  <c r="N29" i="2"/>
  <c r="N23" i="2"/>
  <c r="N21" i="2"/>
  <c r="N19" i="2"/>
  <c r="N17" i="2"/>
  <c r="N15" i="2"/>
  <c r="N13" i="2"/>
  <c r="N11" i="2"/>
  <c r="N9" i="2"/>
  <c r="N7" i="2"/>
  <c r="N5" i="2"/>
  <c r="N4" i="2"/>
  <c r="N3" i="2"/>
  <c r="B45" i="3"/>
  <c r="C45" i="3"/>
  <c r="D45" i="3"/>
  <c r="E45" i="3"/>
  <c r="F45" i="3"/>
  <c r="G45" i="3"/>
  <c r="H45" i="3"/>
  <c r="I45" i="3"/>
  <c r="K45" i="3"/>
  <c r="L45" i="3"/>
  <c r="M45" i="3"/>
  <c r="N45" i="3"/>
  <c r="B44" i="3"/>
  <c r="C44" i="3"/>
  <c r="D44" i="3"/>
  <c r="E44" i="3"/>
  <c r="F44" i="3"/>
  <c r="G44" i="3"/>
  <c r="H44" i="3"/>
  <c r="I44" i="3"/>
  <c r="N44" i="3" s="1"/>
  <c r="J44" i="3"/>
  <c r="K44" i="3"/>
  <c r="L44" i="3"/>
  <c r="M44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4" i="9"/>
  <c r="M45" i="9"/>
  <c r="N45" i="9"/>
  <c r="N44" i="27"/>
  <c r="N44" i="28"/>
  <c r="N46" i="29"/>
  <c r="N47" i="29"/>
  <c r="N47" i="32" l="1"/>
  <c r="N46" i="32"/>
</calcChain>
</file>

<file path=xl/sharedStrings.xml><?xml version="1.0" encoding="utf-8"?>
<sst xmlns="http://schemas.openxmlformats.org/spreadsheetml/2006/main" count="1674" uniqueCount="51">
  <si>
    <t>TYPE OF PERMIT</t>
  </si>
  <si>
    <t>JAN</t>
  </si>
  <si>
    <t>FEB</t>
  </si>
  <si>
    <t>MAR</t>
  </si>
  <si>
    <t>APR</t>
  </si>
  <si>
    <t>MAY</t>
  </si>
  <si>
    <t>JUN*</t>
  </si>
  <si>
    <t>JUL</t>
  </si>
  <si>
    <t>AUG</t>
  </si>
  <si>
    <t>SEP</t>
  </si>
  <si>
    <t>OCT</t>
  </si>
  <si>
    <t>NOV</t>
  </si>
  <si>
    <t>DEC</t>
  </si>
  <si>
    <t>YR TOTAL</t>
  </si>
  <si>
    <t>--------------</t>
  </si>
  <si>
    <t>---</t>
  </si>
  <si>
    <t>--------</t>
  </si>
  <si>
    <t>SINGLE FAMILY DET.</t>
  </si>
  <si>
    <t xml:space="preserve">  $ VALUE</t>
  </si>
  <si>
    <t xml:space="preserve">DUPLEX       </t>
  </si>
  <si>
    <t>MULTI FAMILY UNITS</t>
  </si>
  <si>
    <t>RESID. ALTERATIONS</t>
  </si>
  <si>
    <t>RESIDENTIAL ADD.</t>
  </si>
  <si>
    <t>COMM. ALTERATIONS</t>
  </si>
  <si>
    <t>COMMERCIAL, NEW</t>
  </si>
  <si>
    <t>COMMERCIAL, ADD</t>
  </si>
  <si>
    <t>INDUSTRIAL</t>
  </si>
  <si>
    <t>PUBLIC BUILDINGS</t>
  </si>
  <si>
    <t>PUBLIC BLDG. ADD.</t>
  </si>
  <si>
    <t>TEMPORARY OFFICE</t>
  </si>
  <si>
    <t>ACCESSORY BLDG.</t>
  </si>
  <si>
    <t>POOLS</t>
  </si>
  <si>
    <t>SPAS</t>
  </si>
  <si>
    <t>FENCES</t>
  </si>
  <si>
    <t>SPRINKLER</t>
  </si>
  <si>
    <t>SIGNS</t>
  </si>
  <si>
    <t>MOVING</t>
  </si>
  <si>
    <t>DEMOLITION</t>
  </si>
  <si>
    <t>TOTAL PERMITS</t>
  </si>
  <si>
    <t>TOTAL DOLLAR VALUE</t>
  </si>
  <si>
    <t>COMMERCIAL ADD/FO</t>
  </si>
  <si>
    <t>RESID. ALT/REPAIRS</t>
  </si>
  <si>
    <t>COMM. ALT/REPAIRS</t>
  </si>
  <si>
    <t>SINGLE FAMILY ATTACH</t>
  </si>
  <si>
    <t>SINGLE FAMILY ATT.</t>
  </si>
  <si>
    <t>DUPLEX</t>
  </si>
  <si>
    <t>COMMERCIAL</t>
  </si>
  <si>
    <t>COMMERCIAL ADD/F.O.</t>
  </si>
  <si>
    <t>JUN</t>
  </si>
  <si>
    <t xml:space="preserve">PUBLIC BLDG. ALT. </t>
  </si>
  <si>
    <t>PUBLIC BLDG. ALT.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</si>
</sst>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(&quot;$&quot;* #,##0_);_(&quot;$&quot;* \(#,##0\);_(&quot;$&quot;* &quot;-&quot;_);_(@_)"/>
    <numFmt numFmtId="164" formatCode="&quot;$&quot;#,##0"/>
    <numFmt numFmtId="165" formatCode="&quot;$&quot;#,##0.00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2" fontId="0" fillId="0" borderId="1" xfId="0" applyNumberFormat="1" applyBorder="1"/>
    <xf numFmtId="165" fontId="0" fillId="0" borderId="1" xfId="0" applyNumberFormat="1" applyBorder="1"/>
    <xf numFmtId="3" fontId="1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  <xf numFmtId="164" fontId="0" fillId="0" borderId="1" xfId="0" quotePrefix="1" applyNumberForma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3" fillId="0" borderId="1" xfId="0" applyFont="1" applyBorder="1"/>
    <xf numFmtId="0" fontId="3" fillId="0" borderId="1" xfId="0" applyFont="1" applyFill="1" applyBorder="1"/>
    <xf numFmtId="164" fontId="3" fillId="0" borderId="1" xfId="0" applyNumberFormat="1" applyFont="1" applyFill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164" fontId="5" fillId="0" borderId="1" xfId="0" applyNumberFormat="1" applyFont="1" applyBorder="1"/>
    <xf numFmtId="164" fontId="4" fillId="0" borderId="1" xfId="0" quotePrefix="1" applyNumberFormat="1" applyFont="1" applyBorder="1"/>
    <xf numFmtId="0" fontId="5" fillId="0" borderId="1" xfId="0" applyNumberFormat="1" applyFont="1" applyBorder="1"/>
    <xf numFmtId="0" fontId="4" fillId="0" borderId="0" xfId="0" applyNumberFormat="1" applyFont="1"/>
    <xf numFmtId="0" fontId="4" fillId="0" borderId="1" xfId="0" applyFont="1" applyFill="1" applyBorder="1"/>
    <xf numFmtId="164" fontId="4" fillId="0" borderId="1" xfId="0" applyNumberFormat="1" applyFont="1" applyFill="1" applyBorder="1"/>
    <xf numFmtId="0" fontId="4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P41" sqref="P41"/>
    </sheetView>
  </sheetViews>
  <sheetFormatPr defaultRowHeight="12.75" x14ac:dyDescent="0.2"/>
  <cols>
    <col min="1" max="1" width="22.5703125" style="5" customWidth="1"/>
    <col min="2" max="7" width="13.5703125" customWidth="1"/>
    <col min="8" max="8" width="14.42578125" customWidth="1"/>
    <col min="9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15</v>
      </c>
      <c r="C3" s="1">
        <v>16</v>
      </c>
      <c r="D3" s="1">
        <v>52</v>
      </c>
      <c r="E3" s="1">
        <v>36</v>
      </c>
      <c r="F3" s="1">
        <v>33</v>
      </c>
      <c r="G3" s="1">
        <v>26</v>
      </c>
      <c r="H3" s="1">
        <v>24</v>
      </c>
      <c r="I3" s="1">
        <v>29</v>
      </c>
      <c r="J3" s="1">
        <v>19</v>
      </c>
      <c r="K3" s="1">
        <v>27</v>
      </c>
      <c r="L3" s="1">
        <v>30</v>
      </c>
      <c r="M3" s="1">
        <v>12</v>
      </c>
      <c r="N3" s="1">
        <f t="shared" ref="N3:N40" si="0">SUM(B3:M3)</f>
        <v>319</v>
      </c>
    </row>
    <row r="4" spans="1:14" x14ac:dyDescent="0.2">
      <c r="A4" s="4" t="s">
        <v>18</v>
      </c>
      <c r="B4" s="1">
        <v>1736850</v>
      </c>
      <c r="C4" s="1">
        <v>1978300</v>
      </c>
      <c r="D4" s="1">
        <v>5817856</v>
      </c>
      <c r="E4" s="1">
        <v>3829163</v>
      </c>
      <c r="F4" s="1">
        <v>3880719</v>
      </c>
      <c r="G4" s="1">
        <v>3005510</v>
      </c>
      <c r="H4" s="1">
        <v>2986357</v>
      </c>
      <c r="I4" s="1">
        <v>3308813</v>
      </c>
      <c r="J4" s="1">
        <v>2126670</v>
      </c>
      <c r="K4" s="1">
        <v>3284995</v>
      </c>
      <c r="L4" s="1">
        <v>3646230</v>
      </c>
      <c r="M4" s="1">
        <v>1372977</v>
      </c>
      <c r="N4" s="2">
        <f t="shared" si="0"/>
        <v>36974440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x14ac:dyDescent="0.2">
      <c r="A11" s="4" t="s">
        <v>22</v>
      </c>
      <c r="B11" s="1">
        <v>4</v>
      </c>
      <c r="C11" s="1">
        <v>7</v>
      </c>
      <c r="D11" s="1">
        <v>8</v>
      </c>
      <c r="E11" s="1">
        <v>14</v>
      </c>
      <c r="F11" s="1">
        <v>9</v>
      </c>
      <c r="G11" s="1">
        <v>14</v>
      </c>
      <c r="H11" s="1">
        <v>7</v>
      </c>
      <c r="I11" s="1">
        <v>4</v>
      </c>
      <c r="J11" s="1">
        <v>8</v>
      </c>
      <c r="K11" s="1">
        <v>1</v>
      </c>
      <c r="L11" s="1">
        <v>6</v>
      </c>
      <c r="M11" s="1">
        <v>6</v>
      </c>
      <c r="N11" s="1">
        <f t="shared" si="0"/>
        <v>88</v>
      </c>
    </row>
    <row r="12" spans="1:14" x14ac:dyDescent="0.2">
      <c r="A12" s="4" t="s">
        <v>18</v>
      </c>
      <c r="B12" s="1">
        <v>18800</v>
      </c>
      <c r="C12" s="1">
        <v>12940</v>
      </c>
      <c r="D12" s="1">
        <v>51635</v>
      </c>
      <c r="E12" s="1">
        <v>28897</v>
      </c>
      <c r="F12" s="1">
        <v>6755</v>
      </c>
      <c r="G12" s="1">
        <v>20016</v>
      </c>
      <c r="H12" s="1">
        <v>7595</v>
      </c>
      <c r="I12" s="1">
        <v>28100</v>
      </c>
      <c r="J12" s="1">
        <v>17659</v>
      </c>
      <c r="K12" s="1">
        <v>9000</v>
      </c>
      <c r="L12" s="1">
        <v>30900</v>
      </c>
      <c r="M12" s="1">
        <v>6600</v>
      </c>
      <c r="N12" s="2">
        <f t="shared" si="0"/>
        <v>238897</v>
      </c>
    </row>
    <row r="13" spans="1:14" x14ac:dyDescent="0.2">
      <c r="A13" s="4" t="s">
        <v>46</v>
      </c>
      <c r="B13" s="1">
        <v>0</v>
      </c>
      <c r="C13" s="1">
        <v>3</v>
      </c>
      <c r="D13" s="1">
        <v>1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f>SUM(B13:M13)</f>
        <v>7</v>
      </c>
    </row>
    <row r="14" spans="1:14" x14ac:dyDescent="0.2">
      <c r="A14" s="4" t="s">
        <v>18</v>
      </c>
      <c r="B14" s="1">
        <v>0</v>
      </c>
      <c r="C14" s="1">
        <v>390000</v>
      </c>
      <c r="D14" s="1">
        <v>11000</v>
      </c>
      <c r="E14" s="1">
        <v>0</v>
      </c>
      <c r="F14" s="1">
        <v>0</v>
      </c>
      <c r="G14" s="1">
        <v>0</v>
      </c>
      <c r="H14" s="1">
        <v>300000</v>
      </c>
      <c r="I14" s="1">
        <v>0</v>
      </c>
      <c r="J14" s="1">
        <v>0</v>
      </c>
      <c r="K14" s="1">
        <v>0</v>
      </c>
      <c r="L14" s="1">
        <v>650000</v>
      </c>
      <c r="M14" s="1">
        <v>335000</v>
      </c>
      <c r="N14" s="2">
        <f t="shared" si="0"/>
        <v>1686000</v>
      </c>
    </row>
    <row r="15" spans="1:14" x14ac:dyDescent="0.2">
      <c r="A15" s="4" t="s">
        <v>47</v>
      </c>
      <c r="B15" s="1">
        <v>1</v>
      </c>
      <c r="C15" s="1">
        <v>2</v>
      </c>
      <c r="D15" s="1">
        <v>0</v>
      </c>
      <c r="E15" s="1">
        <v>3</v>
      </c>
      <c r="F15" s="1">
        <v>2</v>
      </c>
      <c r="G15" s="1">
        <v>4</v>
      </c>
      <c r="H15" s="1">
        <v>4</v>
      </c>
      <c r="I15" s="1">
        <v>1</v>
      </c>
      <c r="J15" s="1">
        <v>7</v>
      </c>
      <c r="K15" s="1">
        <v>4</v>
      </c>
      <c r="L15" s="1">
        <v>1</v>
      </c>
      <c r="M15" s="1">
        <v>4</v>
      </c>
      <c r="N15" s="1">
        <f t="shared" ref="N15:N39" si="1">SUM(B15:M15)</f>
        <v>33</v>
      </c>
    </row>
    <row r="16" spans="1:14" x14ac:dyDescent="0.2">
      <c r="A16" s="4" t="s">
        <v>18</v>
      </c>
      <c r="B16" s="1">
        <v>2000</v>
      </c>
      <c r="C16" s="1">
        <v>3775</v>
      </c>
      <c r="D16" s="1">
        <v>0</v>
      </c>
      <c r="E16" s="1">
        <v>29050</v>
      </c>
      <c r="F16" s="1">
        <v>6000</v>
      </c>
      <c r="G16" s="1">
        <v>65000</v>
      </c>
      <c r="H16" s="1">
        <v>130000</v>
      </c>
      <c r="I16" s="1">
        <v>1500</v>
      </c>
      <c r="J16" s="1">
        <v>558374</v>
      </c>
      <c r="K16" s="1">
        <v>97980</v>
      </c>
      <c r="L16" s="1">
        <v>19000</v>
      </c>
      <c r="M16" s="1">
        <v>56000</v>
      </c>
      <c r="N16" s="2">
        <f t="shared" si="0"/>
        <v>968679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 t="shared" si="0"/>
        <v>0</v>
      </c>
    </row>
    <row r="19" spans="1:14" x14ac:dyDescent="0.2">
      <c r="A19" s="4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x14ac:dyDescent="0.2">
      <c r="A21" s="4" t="s">
        <v>28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0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0"/>
        <v>0</v>
      </c>
    </row>
    <row r="23" spans="1:14" x14ac:dyDescent="0.2">
      <c r="A23" s="4" t="s">
        <v>29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3</v>
      </c>
      <c r="L23" s="1">
        <v>0</v>
      </c>
      <c r="M23" s="1">
        <v>0</v>
      </c>
      <c r="N23" s="1">
        <f t="shared" si="1"/>
        <v>3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0</v>
      </c>
    </row>
    <row r="25" spans="1:14" x14ac:dyDescent="0.2">
      <c r="A25" s="4" t="s">
        <v>30</v>
      </c>
      <c r="B25" s="1">
        <v>1</v>
      </c>
      <c r="C25" s="1">
        <v>2</v>
      </c>
      <c r="D25" s="1">
        <v>5</v>
      </c>
      <c r="E25" s="1">
        <v>4</v>
      </c>
      <c r="F25" s="1">
        <v>6</v>
      </c>
      <c r="G25" s="1">
        <v>2</v>
      </c>
      <c r="H25" s="1">
        <v>5</v>
      </c>
      <c r="I25" s="1">
        <v>4</v>
      </c>
      <c r="J25" s="1">
        <v>3</v>
      </c>
      <c r="K25" s="1">
        <v>3</v>
      </c>
      <c r="L25" s="1">
        <v>3</v>
      </c>
      <c r="M25" s="1">
        <v>5</v>
      </c>
      <c r="N25" s="1">
        <f t="shared" si="1"/>
        <v>43</v>
      </c>
    </row>
    <row r="26" spans="1:14" x14ac:dyDescent="0.2">
      <c r="A26" s="4" t="s">
        <v>18</v>
      </c>
      <c r="B26" s="1">
        <v>1139.5</v>
      </c>
      <c r="C26" s="1">
        <v>1507</v>
      </c>
      <c r="D26" s="1">
        <v>4650</v>
      </c>
      <c r="E26" s="1">
        <v>4185</v>
      </c>
      <c r="F26" s="1">
        <v>4316</v>
      </c>
      <c r="G26" s="1">
        <v>964</v>
      </c>
      <c r="H26" s="1">
        <v>3050</v>
      </c>
      <c r="I26" s="1">
        <v>3511</v>
      </c>
      <c r="J26" s="1">
        <v>1200</v>
      </c>
      <c r="K26" s="1">
        <v>1300</v>
      </c>
      <c r="L26" s="1">
        <v>5252</v>
      </c>
      <c r="M26" s="1">
        <v>5443.31</v>
      </c>
      <c r="N26" s="10">
        <f t="shared" si="0"/>
        <v>36517.81</v>
      </c>
    </row>
    <row r="27" spans="1:14" x14ac:dyDescent="0.2">
      <c r="A27" s="4" t="s">
        <v>31</v>
      </c>
      <c r="B27" s="1">
        <v>5</v>
      </c>
      <c r="C27" s="1">
        <v>1</v>
      </c>
      <c r="D27" s="1">
        <v>3</v>
      </c>
      <c r="E27" s="1">
        <v>2</v>
      </c>
      <c r="F27" s="1">
        <v>14</v>
      </c>
      <c r="G27" s="1">
        <v>6</v>
      </c>
      <c r="H27" s="1">
        <v>6</v>
      </c>
      <c r="I27" s="1">
        <v>6</v>
      </c>
      <c r="J27" s="1">
        <v>2</v>
      </c>
      <c r="K27" s="1">
        <v>2</v>
      </c>
      <c r="L27" s="1">
        <v>2</v>
      </c>
      <c r="M27" s="1">
        <v>0</v>
      </c>
      <c r="N27" s="1">
        <f t="shared" si="1"/>
        <v>49</v>
      </c>
    </row>
    <row r="28" spans="1:14" x14ac:dyDescent="0.2">
      <c r="A28" s="4" t="s">
        <v>18</v>
      </c>
      <c r="B28" s="1">
        <v>71200</v>
      </c>
      <c r="C28" s="1">
        <v>10500</v>
      </c>
      <c r="D28" s="1">
        <v>55213</v>
      </c>
      <c r="E28" s="1">
        <v>27248</v>
      </c>
      <c r="F28" s="1">
        <v>197614</v>
      </c>
      <c r="G28" s="1">
        <v>73325</v>
      </c>
      <c r="H28" s="1">
        <v>100500</v>
      </c>
      <c r="I28" s="1">
        <v>104225</v>
      </c>
      <c r="J28" s="1">
        <v>40700</v>
      </c>
      <c r="K28" s="1">
        <v>44000</v>
      </c>
      <c r="L28" s="1">
        <v>34000</v>
      </c>
      <c r="M28" s="1">
        <v>0</v>
      </c>
      <c r="N28" s="2">
        <f t="shared" si="0"/>
        <v>758525</v>
      </c>
    </row>
    <row r="29" spans="1:14" x14ac:dyDescent="0.2">
      <c r="A29" s="4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f t="shared" si="1"/>
        <v>2</v>
      </c>
    </row>
    <row r="30" spans="1:14" x14ac:dyDescent="0.2">
      <c r="A30" s="4" t="s">
        <v>18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8300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8300</v>
      </c>
    </row>
    <row r="31" spans="1:14" x14ac:dyDescent="0.2">
      <c r="A31" s="4" t="s">
        <v>33</v>
      </c>
      <c r="B31" s="1">
        <v>15</v>
      </c>
      <c r="C31" s="1">
        <v>11</v>
      </c>
      <c r="D31" s="1">
        <v>48</v>
      </c>
      <c r="E31" s="1">
        <v>32</v>
      </c>
      <c r="F31" s="1">
        <v>23</v>
      </c>
      <c r="G31" s="1">
        <v>33</v>
      </c>
      <c r="H31" s="1">
        <v>34</v>
      </c>
      <c r="I31" s="1">
        <v>28</v>
      </c>
      <c r="J31" s="1">
        <v>23</v>
      </c>
      <c r="K31" s="1">
        <v>18</v>
      </c>
      <c r="L31" s="1">
        <v>22</v>
      </c>
      <c r="M31" s="1">
        <v>11</v>
      </c>
      <c r="N31" s="1">
        <f t="shared" si="1"/>
        <v>298</v>
      </c>
    </row>
    <row r="32" spans="1:14" x14ac:dyDescent="0.2">
      <c r="A32" s="4" t="s">
        <v>18</v>
      </c>
      <c r="B32" s="1">
        <v>10120</v>
      </c>
      <c r="C32" s="1">
        <v>9185</v>
      </c>
      <c r="D32" s="1">
        <v>38630</v>
      </c>
      <c r="E32" s="1">
        <v>24613</v>
      </c>
      <c r="F32" s="1">
        <v>15609</v>
      </c>
      <c r="G32" s="1">
        <v>25536</v>
      </c>
      <c r="H32" s="1">
        <v>23978</v>
      </c>
      <c r="I32" s="1">
        <v>19812.5</v>
      </c>
      <c r="J32" s="1">
        <v>21709</v>
      </c>
      <c r="K32" s="1">
        <v>20320</v>
      </c>
      <c r="L32" s="1">
        <v>14374</v>
      </c>
      <c r="M32" s="1">
        <v>7350</v>
      </c>
      <c r="N32" s="10">
        <f t="shared" si="0"/>
        <v>231236.5</v>
      </c>
    </row>
    <row r="33" spans="1:14" x14ac:dyDescent="0.2">
      <c r="A33" s="4" t="s">
        <v>34</v>
      </c>
      <c r="B33" s="1">
        <v>1</v>
      </c>
      <c r="C33" s="1">
        <v>9</v>
      </c>
      <c r="D33" s="1">
        <v>17</v>
      </c>
      <c r="E33" s="1">
        <v>18</v>
      </c>
      <c r="F33" s="1">
        <v>12</v>
      </c>
      <c r="G33" s="1">
        <v>18</v>
      </c>
      <c r="H33" s="1">
        <v>9</v>
      </c>
      <c r="I33" s="1">
        <v>10</v>
      </c>
      <c r="J33" s="1">
        <v>2</v>
      </c>
      <c r="K33" s="1">
        <v>5</v>
      </c>
      <c r="L33" s="1">
        <v>11</v>
      </c>
      <c r="M33" s="1">
        <v>1</v>
      </c>
      <c r="N33" s="1">
        <f t="shared" si="1"/>
        <v>113</v>
      </c>
    </row>
    <row r="34" spans="1:14" x14ac:dyDescent="0.2">
      <c r="A34" s="4" t="s">
        <v>18</v>
      </c>
      <c r="B34" s="1">
        <v>75</v>
      </c>
      <c r="C34" s="1">
        <v>7625</v>
      </c>
      <c r="D34" s="1">
        <v>17775</v>
      </c>
      <c r="E34" s="1">
        <v>17646</v>
      </c>
      <c r="F34" s="1">
        <v>14640</v>
      </c>
      <c r="G34" s="1">
        <v>21670</v>
      </c>
      <c r="H34" s="1">
        <v>10950</v>
      </c>
      <c r="I34" s="1">
        <v>11625</v>
      </c>
      <c r="J34" s="1">
        <v>2000</v>
      </c>
      <c r="K34" s="1">
        <v>6395</v>
      </c>
      <c r="L34" s="1">
        <v>13502</v>
      </c>
      <c r="M34" s="1">
        <v>1000</v>
      </c>
      <c r="N34" s="2">
        <f t="shared" si="0"/>
        <v>124903</v>
      </c>
    </row>
    <row r="35" spans="1:14" x14ac:dyDescent="0.2">
      <c r="A35" s="4" t="s">
        <v>35</v>
      </c>
      <c r="B35" s="1">
        <v>11</v>
      </c>
      <c r="C35" s="1">
        <v>8</v>
      </c>
      <c r="D35" s="1">
        <v>9</v>
      </c>
      <c r="E35" s="1">
        <v>7</v>
      </c>
      <c r="F35" s="1">
        <v>4</v>
      </c>
      <c r="G35" s="1">
        <v>2</v>
      </c>
      <c r="H35" s="1">
        <v>10</v>
      </c>
      <c r="I35" s="1">
        <v>0</v>
      </c>
      <c r="J35" s="1">
        <v>10</v>
      </c>
      <c r="K35" s="1">
        <v>16</v>
      </c>
      <c r="L35" s="1">
        <v>4</v>
      </c>
      <c r="M35" s="1">
        <v>4</v>
      </c>
      <c r="N35" s="1">
        <f t="shared" si="1"/>
        <v>85</v>
      </c>
    </row>
    <row r="36" spans="1:14" x14ac:dyDescent="0.2">
      <c r="A36" s="4" t="s">
        <v>18</v>
      </c>
      <c r="B36" s="1">
        <v>6545</v>
      </c>
      <c r="C36" s="1">
        <v>6347</v>
      </c>
      <c r="D36" s="1">
        <v>15475</v>
      </c>
      <c r="E36" s="1">
        <v>8775</v>
      </c>
      <c r="F36" s="1">
        <v>2610</v>
      </c>
      <c r="G36" s="1">
        <v>900</v>
      </c>
      <c r="H36" s="1">
        <v>5408</v>
      </c>
      <c r="I36" s="1">
        <v>0</v>
      </c>
      <c r="J36" s="1">
        <v>3211</v>
      </c>
      <c r="K36" s="1">
        <v>16275</v>
      </c>
      <c r="L36" s="1">
        <v>5500</v>
      </c>
      <c r="M36" s="1">
        <v>525</v>
      </c>
      <c r="N36" s="2">
        <f t="shared" si="0"/>
        <v>71571</v>
      </c>
    </row>
    <row r="37" spans="1:14" x14ac:dyDescent="0.2">
      <c r="A37" s="4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1"/>
        <v>0</v>
      </c>
    </row>
    <row r="38" spans="1:14" x14ac:dyDescent="0.2">
      <c r="A38" s="4" t="s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 t="shared" si="0"/>
        <v>0</v>
      </c>
    </row>
    <row r="39" spans="1:14" x14ac:dyDescent="0.2">
      <c r="A39" s="4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f t="shared" si="1"/>
        <v>1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0"/>
        <v>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>SUM(B3+B5+B7+B9+B11+B13+B15+B17+B19+B21+B23+B25+B27+B29+B31+B33+B35+B37+B39)</f>
        <v>53</v>
      </c>
      <c r="C42" s="1">
        <f t="shared" ref="C42:M42" si="2">SUM(C3+C5+C7+C9+C11+C13+C15+C17+C19+C21+C23+C25+C27+C29+C31+C33+C35+C37+C39)</f>
        <v>59</v>
      </c>
      <c r="D42" s="1">
        <f t="shared" si="2"/>
        <v>143</v>
      </c>
      <c r="E42" s="1">
        <f t="shared" si="2"/>
        <v>116</v>
      </c>
      <c r="F42" s="1">
        <f t="shared" si="2"/>
        <v>103</v>
      </c>
      <c r="G42" s="1">
        <f t="shared" si="2"/>
        <v>107</v>
      </c>
      <c r="H42" s="1">
        <f t="shared" si="2"/>
        <v>100</v>
      </c>
      <c r="I42" s="1">
        <f t="shared" si="2"/>
        <v>82</v>
      </c>
      <c r="J42" s="1">
        <f t="shared" si="2"/>
        <v>74</v>
      </c>
      <c r="K42" s="1">
        <f t="shared" si="2"/>
        <v>79</v>
      </c>
      <c r="L42" s="1">
        <f t="shared" si="2"/>
        <v>80</v>
      </c>
      <c r="M42" s="1">
        <f t="shared" si="2"/>
        <v>45</v>
      </c>
      <c r="N42" s="1">
        <f>SUM(B42:M42)</f>
        <v>1041</v>
      </c>
    </row>
    <row r="43" spans="1:14" s="3" customFormat="1" x14ac:dyDescent="0.2">
      <c r="A43" s="6" t="s">
        <v>39</v>
      </c>
      <c r="B43" s="2">
        <f>SUM(B4+B6+B8+B10+B12+B14+B16+B18+B20+B22+B24+B26+B28+B30+B32+B34+B36+B38+B40)</f>
        <v>1846729.5</v>
      </c>
      <c r="C43" s="2">
        <f t="shared" ref="C43:M43" si="3">SUM(C4+C6+C8+C10+C12+C14+C16+C18+C20+C22+C24+C26+C28+C30+C32+C34+C36+C38+C40)</f>
        <v>2420179</v>
      </c>
      <c r="D43" s="2">
        <f t="shared" si="3"/>
        <v>6012234</v>
      </c>
      <c r="E43" s="2">
        <f t="shared" si="3"/>
        <v>3969577</v>
      </c>
      <c r="F43" s="2">
        <f t="shared" si="3"/>
        <v>4128263</v>
      </c>
      <c r="G43" s="2">
        <f t="shared" si="3"/>
        <v>3221221</v>
      </c>
      <c r="H43" s="2">
        <f t="shared" si="3"/>
        <v>3567838</v>
      </c>
      <c r="I43" s="2">
        <f t="shared" si="3"/>
        <v>3477586.5</v>
      </c>
      <c r="J43" s="2">
        <f t="shared" si="3"/>
        <v>2771523</v>
      </c>
      <c r="K43" s="2">
        <f t="shared" si="3"/>
        <v>3480265</v>
      </c>
      <c r="L43" s="2">
        <f t="shared" si="3"/>
        <v>4418758</v>
      </c>
      <c r="M43" s="2">
        <f t="shared" si="3"/>
        <v>1784895.31</v>
      </c>
      <c r="N43" s="10">
        <f>SUM(B43:M43)</f>
        <v>41099069.310000002</v>
      </c>
    </row>
  </sheetData>
  <phoneticPr fontId="0" type="noConversion"/>
  <printOptions horizontalCentered="1"/>
  <pageMargins left="0.5" right="0.5" top="1" bottom="1" header="0.5" footer="0.5"/>
  <pageSetup paperSize="5" scale="82" orientation="landscape" r:id="rId1"/>
  <headerFooter alignWithMargins="0">
    <oddHeader>&amp;LPERMIT SUMMARY
CALANDAR YEAR 1990&amp;CCITY OF ALLEN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N26" activePane="bottomRight" state="frozen"/>
      <selection pane="topRight" activeCell="B1" sqref="B1"/>
      <selection pane="bottomLeft" activeCell="A2" sqref="A2"/>
      <selection pane="bottomRight" activeCell="N44" sqref="N44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26</v>
      </c>
      <c r="C3" s="1">
        <v>29</v>
      </c>
      <c r="D3" s="1">
        <v>51</v>
      </c>
      <c r="E3" s="1">
        <v>27</v>
      </c>
      <c r="F3" s="1">
        <v>55</v>
      </c>
      <c r="G3" s="1">
        <v>28</v>
      </c>
      <c r="H3" s="1">
        <v>32</v>
      </c>
      <c r="I3" s="1">
        <v>36</v>
      </c>
      <c r="J3" s="1">
        <v>41</v>
      </c>
      <c r="K3" s="1">
        <v>43</v>
      </c>
      <c r="L3" s="1">
        <v>24</v>
      </c>
      <c r="M3" s="1">
        <v>37</v>
      </c>
      <c r="N3" s="1">
        <f t="shared" ref="N3:N12" si="0">SUM(B3:M3)</f>
        <v>429</v>
      </c>
    </row>
    <row r="4" spans="1:14" x14ac:dyDescent="0.2">
      <c r="A4" s="4" t="s">
        <v>18</v>
      </c>
      <c r="B4" s="1">
        <v>2794840</v>
      </c>
      <c r="C4" s="1">
        <v>3314535</v>
      </c>
      <c r="D4" s="1">
        <v>5476194</v>
      </c>
      <c r="E4" s="1">
        <v>2984405</v>
      </c>
      <c r="F4" s="1">
        <v>6306770</v>
      </c>
      <c r="G4" s="1">
        <v>3183081</v>
      </c>
      <c r="H4" s="1">
        <v>3496892</v>
      </c>
      <c r="I4" s="1">
        <v>4022551</v>
      </c>
      <c r="J4" s="1">
        <v>4359269</v>
      </c>
      <c r="K4" s="1">
        <v>4474858</v>
      </c>
      <c r="L4" s="1">
        <v>2531658</v>
      </c>
      <c r="M4" s="1">
        <v>4027480</v>
      </c>
      <c r="N4" s="2">
        <f t="shared" si="0"/>
        <v>46972533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x14ac:dyDescent="0.2">
      <c r="A11" s="4" t="s">
        <v>22</v>
      </c>
      <c r="B11" s="1">
        <v>1</v>
      </c>
      <c r="C11" s="1">
        <v>0</v>
      </c>
      <c r="D11" s="1">
        <v>3</v>
      </c>
      <c r="E11" s="1">
        <v>3</v>
      </c>
      <c r="F11" s="1">
        <v>4</v>
      </c>
      <c r="G11" s="1">
        <v>3</v>
      </c>
      <c r="H11" s="1">
        <v>2</v>
      </c>
      <c r="I11" s="1">
        <v>1</v>
      </c>
      <c r="J11" s="1">
        <v>7</v>
      </c>
      <c r="K11" s="1">
        <v>2</v>
      </c>
      <c r="L11" s="1">
        <v>0</v>
      </c>
      <c r="M11" s="1">
        <v>0</v>
      </c>
      <c r="N11" s="1">
        <f t="shared" si="0"/>
        <v>26</v>
      </c>
    </row>
    <row r="12" spans="1:14" x14ac:dyDescent="0.2">
      <c r="A12" s="4" t="s">
        <v>18</v>
      </c>
      <c r="B12" s="1">
        <v>20000</v>
      </c>
      <c r="C12" s="1">
        <v>0</v>
      </c>
      <c r="D12" s="1">
        <v>65849</v>
      </c>
      <c r="E12" s="1">
        <v>59770</v>
      </c>
      <c r="F12" s="1">
        <v>37850</v>
      </c>
      <c r="G12" s="1">
        <v>32500</v>
      </c>
      <c r="H12" s="1">
        <v>23000</v>
      </c>
      <c r="I12" s="1">
        <v>1000</v>
      </c>
      <c r="J12" s="1">
        <v>24535</v>
      </c>
      <c r="K12" s="1">
        <v>11963</v>
      </c>
      <c r="L12" s="1">
        <v>0</v>
      </c>
      <c r="M12" s="1">
        <v>0</v>
      </c>
      <c r="N12" s="2">
        <f t="shared" si="0"/>
        <v>276467</v>
      </c>
    </row>
    <row r="13" spans="1:14" x14ac:dyDescent="0.2">
      <c r="A13" s="4" t="s">
        <v>46</v>
      </c>
      <c r="B13" s="1">
        <v>3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f>SUM(B13:M13)</f>
        <v>5</v>
      </c>
    </row>
    <row r="14" spans="1:14" x14ac:dyDescent="0.2">
      <c r="A14" s="4" t="s">
        <v>18</v>
      </c>
      <c r="B14" s="1">
        <v>1361000</v>
      </c>
      <c r="C14" s="1">
        <v>0</v>
      </c>
      <c r="D14" s="1">
        <v>500000</v>
      </c>
      <c r="E14" s="1">
        <v>0</v>
      </c>
      <c r="F14" s="1">
        <v>0</v>
      </c>
      <c r="G14" s="1">
        <v>0</v>
      </c>
      <c r="H14" s="1">
        <v>0</v>
      </c>
      <c r="I14" s="1">
        <v>1500000</v>
      </c>
      <c r="J14" s="1">
        <v>0</v>
      </c>
      <c r="K14" s="1">
        <v>0</v>
      </c>
      <c r="L14" s="1">
        <v>0</v>
      </c>
      <c r="M14" s="1">
        <v>0</v>
      </c>
      <c r="N14" s="2">
        <f>SUM(B14:M14)</f>
        <v>3361000</v>
      </c>
    </row>
    <row r="15" spans="1:14" x14ac:dyDescent="0.2">
      <c r="A15" s="4" t="s">
        <v>47</v>
      </c>
      <c r="B15" s="1">
        <v>2</v>
      </c>
      <c r="C15" s="1">
        <v>1</v>
      </c>
      <c r="D15" s="1">
        <v>2</v>
      </c>
      <c r="E15" s="1">
        <v>1</v>
      </c>
      <c r="F15" s="1">
        <v>0</v>
      </c>
      <c r="G15" s="1">
        <v>5</v>
      </c>
      <c r="H15" s="1">
        <v>1</v>
      </c>
      <c r="I15" s="1">
        <v>2</v>
      </c>
      <c r="J15" s="1">
        <v>2</v>
      </c>
      <c r="K15" s="1">
        <v>0</v>
      </c>
      <c r="L15" s="1">
        <v>3</v>
      </c>
      <c r="M15" s="1">
        <v>2</v>
      </c>
      <c r="N15" s="1">
        <f t="shared" ref="N15:N39" si="1">SUM(B15:M15)</f>
        <v>21</v>
      </c>
    </row>
    <row r="16" spans="1:14" x14ac:dyDescent="0.2">
      <c r="A16" s="4" t="s">
        <v>18</v>
      </c>
      <c r="B16" s="1">
        <v>7800</v>
      </c>
      <c r="C16" s="1">
        <v>73000</v>
      </c>
      <c r="D16" s="1">
        <v>19500</v>
      </c>
      <c r="E16" s="1">
        <v>51000</v>
      </c>
      <c r="F16" s="1">
        <v>0</v>
      </c>
      <c r="G16" s="1">
        <v>97650</v>
      </c>
      <c r="H16" s="1">
        <v>2000</v>
      </c>
      <c r="I16" s="1">
        <v>50000</v>
      </c>
      <c r="J16" s="1">
        <v>41500</v>
      </c>
      <c r="K16" s="1">
        <v>0</v>
      </c>
      <c r="L16" s="1">
        <v>9450</v>
      </c>
      <c r="M16" s="1">
        <v>15249</v>
      </c>
      <c r="N16" s="2">
        <f>SUM(B16:M16)</f>
        <v>367149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>SUM(B18:M18)</f>
        <v>0</v>
      </c>
    </row>
    <row r="19" spans="1:14" x14ac:dyDescent="0.2">
      <c r="A19" s="4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>SUM(B20:M20)</f>
        <v>0</v>
      </c>
    </row>
    <row r="21" spans="1:14" x14ac:dyDescent="0.2">
      <c r="A21" s="4" t="s">
        <v>28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1</v>
      </c>
      <c r="L21" s="1">
        <v>0</v>
      </c>
      <c r="M21" s="1">
        <v>0</v>
      </c>
      <c r="N21" s="1">
        <f t="shared" si="1"/>
        <v>3</v>
      </c>
    </row>
    <row r="22" spans="1:14" x14ac:dyDescent="0.2">
      <c r="A22" s="4" t="s">
        <v>18</v>
      </c>
      <c r="B22" s="1">
        <v>500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400</v>
      </c>
      <c r="K22" s="1">
        <v>25000</v>
      </c>
      <c r="L22" s="1">
        <v>0</v>
      </c>
      <c r="M22" s="1">
        <v>0</v>
      </c>
      <c r="N22" s="2">
        <f>SUM(B22:M22)</f>
        <v>25900</v>
      </c>
    </row>
    <row r="23" spans="1:14" x14ac:dyDescent="0.2">
      <c r="A23" s="4" t="s">
        <v>29</v>
      </c>
      <c r="B23" s="1">
        <v>2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2</v>
      </c>
      <c r="I23" s="1">
        <v>0</v>
      </c>
      <c r="J23" s="1">
        <v>2</v>
      </c>
      <c r="K23" s="1">
        <v>3</v>
      </c>
      <c r="L23" s="1">
        <v>1</v>
      </c>
      <c r="M23" s="1">
        <v>3</v>
      </c>
      <c r="N23" s="1">
        <f t="shared" si="1"/>
        <v>14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>SUM(B24:M24)</f>
        <v>0</v>
      </c>
    </row>
    <row r="25" spans="1:14" x14ac:dyDescent="0.2">
      <c r="A25" s="4" t="s">
        <v>30</v>
      </c>
      <c r="B25" s="1">
        <v>1</v>
      </c>
      <c r="C25" s="1">
        <v>4</v>
      </c>
      <c r="D25" s="1">
        <v>5</v>
      </c>
      <c r="E25" s="1">
        <v>5</v>
      </c>
      <c r="F25" s="1">
        <v>5</v>
      </c>
      <c r="G25" s="1">
        <v>3</v>
      </c>
      <c r="H25" s="1">
        <v>1</v>
      </c>
      <c r="I25" s="1">
        <v>5</v>
      </c>
      <c r="J25" s="1">
        <v>4</v>
      </c>
      <c r="K25" s="1">
        <v>5</v>
      </c>
      <c r="L25" s="1">
        <v>2</v>
      </c>
      <c r="M25" s="1">
        <v>5</v>
      </c>
      <c r="N25" s="1">
        <f t="shared" si="1"/>
        <v>45</v>
      </c>
    </row>
    <row r="26" spans="1:14" x14ac:dyDescent="0.2">
      <c r="A26" s="4" t="s">
        <v>18</v>
      </c>
      <c r="B26" s="1">
        <v>100</v>
      </c>
      <c r="C26" s="1">
        <v>2705</v>
      </c>
      <c r="D26" s="1">
        <v>4800</v>
      </c>
      <c r="E26" s="1">
        <v>2370</v>
      </c>
      <c r="F26" s="1">
        <v>5895</v>
      </c>
      <c r="G26" s="1">
        <v>2575</v>
      </c>
      <c r="H26" s="1">
        <v>500</v>
      </c>
      <c r="I26" s="1">
        <v>3292</v>
      </c>
      <c r="J26" s="1">
        <v>3350</v>
      </c>
      <c r="K26" s="1">
        <v>4348</v>
      </c>
      <c r="L26" s="1">
        <v>1913</v>
      </c>
      <c r="M26" s="1">
        <v>4395</v>
      </c>
      <c r="N26" s="2">
        <f>SUM(B26:M26)</f>
        <v>36243</v>
      </c>
    </row>
    <row r="27" spans="1:14" x14ac:dyDescent="0.2">
      <c r="A27" s="4" t="s">
        <v>31</v>
      </c>
      <c r="B27" s="1">
        <v>1</v>
      </c>
      <c r="C27" s="1">
        <v>6</v>
      </c>
      <c r="D27" s="1">
        <v>5</v>
      </c>
      <c r="E27" s="1">
        <v>4</v>
      </c>
      <c r="F27" s="1">
        <v>2</v>
      </c>
      <c r="G27" s="1">
        <v>11</v>
      </c>
      <c r="H27" s="1">
        <v>7</v>
      </c>
      <c r="I27" s="1">
        <v>4</v>
      </c>
      <c r="J27" s="1">
        <v>1</v>
      </c>
      <c r="K27" s="1">
        <v>0</v>
      </c>
      <c r="L27" s="1">
        <v>2</v>
      </c>
      <c r="M27" s="1">
        <v>3</v>
      </c>
      <c r="N27" s="1">
        <f t="shared" si="1"/>
        <v>46</v>
      </c>
    </row>
    <row r="28" spans="1:14" x14ac:dyDescent="0.2">
      <c r="A28" s="4" t="s">
        <v>18</v>
      </c>
      <c r="B28" s="1">
        <v>15000</v>
      </c>
      <c r="C28" s="1">
        <v>104500</v>
      </c>
      <c r="D28" s="1">
        <v>86250</v>
      </c>
      <c r="E28" s="1">
        <v>29450</v>
      </c>
      <c r="F28" s="1">
        <v>38000</v>
      </c>
      <c r="G28" s="1">
        <v>160338</v>
      </c>
      <c r="H28" s="1">
        <v>108519</v>
      </c>
      <c r="I28" s="1">
        <v>67400</v>
      </c>
      <c r="J28" s="1">
        <v>18600</v>
      </c>
      <c r="K28" s="1">
        <v>0</v>
      </c>
      <c r="L28" s="1">
        <v>27500</v>
      </c>
      <c r="M28" s="1">
        <v>56375</v>
      </c>
      <c r="N28" s="2">
        <f>SUM(B28:M28)</f>
        <v>711932</v>
      </c>
    </row>
    <row r="29" spans="1:14" x14ac:dyDescent="0.2">
      <c r="A29" s="4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f t="shared" si="1"/>
        <v>0</v>
      </c>
    </row>
    <row r="30" spans="1:14" x14ac:dyDescent="0.2">
      <c r="A30" s="4" t="s">
        <v>18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>SUM(B30:M30)</f>
        <v>0</v>
      </c>
    </row>
    <row r="31" spans="1:14" x14ac:dyDescent="0.2">
      <c r="A31" s="4" t="s">
        <v>33</v>
      </c>
      <c r="B31" s="1">
        <v>24</v>
      </c>
      <c r="C31" s="1">
        <v>15</v>
      </c>
      <c r="D31" s="1">
        <v>50</v>
      </c>
      <c r="E31" s="1">
        <v>36</v>
      </c>
      <c r="F31" s="1">
        <v>43</v>
      </c>
      <c r="G31" s="1">
        <v>19</v>
      </c>
      <c r="H31" s="1">
        <v>28</v>
      </c>
      <c r="I31" s="1">
        <v>27</v>
      </c>
      <c r="J31" s="1">
        <v>22</v>
      </c>
      <c r="K31" s="1">
        <v>22</v>
      </c>
      <c r="L31" s="1">
        <v>22</v>
      </c>
      <c r="M31" s="1">
        <v>28</v>
      </c>
      <c r="N31" s="1">
        <f t="shared" si="1"/>
        <v>336</v>
      </c>
    </row>
    <row r="32" spans="1:14" x14ac:dyDescent="0.2">
      <c r="A32" s="4" t="s">
        <v>18</v>
      </c>
      <c r="B32" s="1">
        <v>14381</v>
      </c>
      <c r="C32" s="1">
        <v>15801</v>
      </c>
      <c r="D32" s="1">
        <v>67706</v>
      </c>
      <c r="E32" s="1">
        <v>28826</v>
      </c>
      <c r="F32" s="1">
        <v>27865</v>
      </c>
      <c r="G32" s="1">
        <v>16510</v>
      </c>
      <c r="H32" s="1">
        <v>17855</v>
      </c>
      <c r="I32" s="1">
        <v>22783</v>
      </c>
      <c r="J32" s="1">
        <v>37930</v>
      </c>
      <c r="K32" s="1">
        <v>19950</v>
      </c>
      <c r="L32" s="1">
        <v>14400</v>
      </c>
      <c r="M32" s="1">
        <v>20000</v>
      </c>
      <c r="N32" s="2">
        <f>SUM(B32:M32)</f>
        <v>304007</v>
      </c>
    </row>
    <row r="33" spans="1:14" x14ac:dyDescent="0.2">
      <c r="A33" s="4" t="s">
        <v>34</v>
      </c>
      <c r="B33" s="1">
        <v>5</v>
      </c>
      <c r="C33" s="1">
        <v>4</v>
      </c>
      <c r="D33" s="1">
        <v>23</v>
      </c>
      <c r="E33" s="1">
        <v>19</v>
      </c>
      <c r="F33" s="1">
        <v>8</v>
      </c>
      <c r="G33" s="1">
        <v>13</v>
      </c>
      <c r="H33" s="1">
        <v>11</v>
      </c>
      <c r="I33" s="1">
        <v>13</v>
      </c>
      <c r="J33" s="1">
        <v>4</v>
      </c>
      <c r="K33" s="1">
        <v>6</v>
      </c>
      <c r="L33" s="1">
        <v>6</v>
      </c>
      <c r="M33" s="1">
        <v>5</v>
      </c>
      <c r="N33" s="1">
        <f t="shared" si="1"/>
        <v>117</v>
      </c>
    </row>
    <row r="34" spans="1:14" x14ac:dyDescent="0.2">
      <c r="A34" s="4" t="s">
        <v>18</v>
      </c>
      <c r="B34" s="1">
        <v>7570</v>
      </c>
      <c r="C34" s="1">
        <v>3666</v>
      </c>
      <c r="D34" s="1">
        <v>27313</v>
      </c>
      <c r="E34" s="1">
        <v>16628</v>
      </c>
      <c r="F34" s="1">
        <v>8875</v>
      </c>
      <c r="G34" s="1">
        <v>20867</v>
      </c>
      <c r="H34" s="1">
        <v>45400</v>
      </c>
      <c r="I34" s="1">
        <v>12328</v>
      </c>
      <c r="J34" s="1">
        <v>4400</v>
      </c>
      <c r="K34" s="1">
        <v>7625</v>
      </c>
      <c r="L34" s="1">
        <v>8450</v>
      </c>
      <c r="M34" s="1">
        <v>6050</v>
      </c>
      <c r="N34" s="2">
        <f>SUM(B34:M34)</f>
        <v>169172</v>
      </c>
    </row>
    <row r="35" spans="1:14" x14ac:dyDescent="0.2">
      <c r="A35" s="4" t="s">
        <v>35</v>
      </c>
      <c r="B35" s="1">
        <v>10</v>
      </c>
      <c r="C35" s="1">
        <v>10</v>
      </c>
      <c r="D35" s="1">
        <v>12</v>
      </c>
      <c r="E35" s="1">
        <v>11</v>
      </c>
      <c r="F35" s="1">
        <v>10</v>
      </c>
      <c r="G35" s="1">
        <v>6</v>
      </c>
      <c r="H35" s="1">
        <v>6</v>
      </c>
      <c r="I35" s="1">
        <v>11</v>
      </c>
      <c r="J35" s="1">
        <v>8</v>
      </c>
      <c r="K35" s="1">
        <v>10</v>
      </c>
      <c r="L35" s="1">
        <v>7</v>
      </c>
      <c r="M35" s="1">
        <v>5</v>
      </c>
      <c r="N35" s="1">
        <f t="shared" si="1"/>
        <v>106</v>
      </c>
    </row>
    <row r="36" spans="1:14" x14ac:dyDescent="0.2">
      <c r="A36" s="4" t="s">
        <v>18</v>
      </c>
      <c r="B36" s="1">
        <v>7090</v>
      </c>
      <c r="C36" s="1">
        <v>13486</v>
      </c>
      <c r="D36" s="1">
        <v>37995</v>
      </c>
      <c r="E36" s="1">
        <v>3650</v>
      </c>
      <c r="F36" s="1">
        <v>1750</v>
      </c>
      <c r="G36" s="1">
        <v>3760</v>
      </c>
      <c r="H36" s="1">
        <v>3550</v>
      </c>
      <c r="I36" s="1">
        <v>4550</v>
      </c>
      <c r="J36" s="1">
        <v>3400</v>
      </c>
      <c r="K36" s="1">
        <v>6095</v>
      </c>
      <c r="L36" s="1">
        <v>1875</v>
      </c>
      <c r="M36" s="1">
        <v>630</v>
      </c>
      <c r="N36" s="2">
        <f>SUM(B36:M36)</f>
        <v>87831</v>
      </c>
    </row>
    <row r="37" spans="1:14" x14ac:dyDescent="0.2">
      <c r="A37" s="4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1"/>
        <v>0</v>
      </c>
    </row>
    <row r="38" spans="1:14" x14ac:dyDescent="0.2">
      <c r="A38" s="4" t="s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>SUM(B38:M38)</f>
        <v>0</v>
      </c>
    </row>
    <row r="39" spans="1:14" x14ac:dyDescent="0.2">
      <c r="A39" s="4" t="s">
        <v>37</v>
      </c>
      <c r="B39" s="1">
        <v>1</v>
      </c>
      <c r="C39" s="1">
        <v>0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f t="shared" si="1"/>
        <v>4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>SUM(B40:M40)</f>
        <v>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 t="shared" ref="B42:M42" si="2">SUM(B3+B5+B7+B9+B11+B13+B15+B17+B19+B21+B23+B25+B27+B29+B31+B33+B35+B37+B39)</f>
        <v>77</v>
      </c>
      <c r="C42" s="1">
        <f t="shared" si="2"/>
        <v>69</v>
      </c>
      <c r="D42" s="1">
        <f t="shared" si="2"/>
        <v>153</v>
      </c>
      <c r="E42" s="1">
        <f t="shared" si="2"/>
        <v>108</v>
      </c>
      <c r="F42" s="1">
        <f t="shared" si="2"/>
        <v>127</v>
      </c>
      <c r="G42" s="1">
        <f t="shared" si="2"/>
        <v>88</v>
      </c>
      <c r="H42" s="1">
        <f t="shared" si="2"/>
        <v>90</v>
      </c>
      <c r="I42" s="1">
        <f t="shared" si="2"/>
        <v>100</v>
      </c>
      <c r="J42" s="1">
        <f t="shared" si="2"/>
        <v>92</v>
      </c>
      <c r="K42" s="1">
        <f t="shared" si="2"/>
        <v>92</v>
      </c>
      <c r="L42" s="1">
        <f t="shared" si="2"/>
        <v>68</v>
      </c>
      <c r="M42" s="1">
        <f t="shared" si="2"/>
        <v>88</v>
      </c>
      <c r="N42" s="1">
        <f>SUM(B42:M42)</f>
        <v>1152</v>
      </c>
    </row>
    <row r="43" spans="1:14" s="3" customFormat="1" x14ac:dyDescent="0.2">
      <c r="A43" s="6" t="s">
        <v>39</v>
      </c>
      <c r="B43" s="2">
        <f t="shared" ref="B43:M43" si="3">SUM(B4+B6+B8+B10+B12+B14+B16+B18+B20+B22+B24+B26+B28+B30+B32+B34+B36+B38+B40)</f>
        <v>4228281</v>
      </c>
      <c r="C43" s="2">
        <f t="shared" si="3"/>
        <v>3527693</v>
      </c>
      <c r="D43" s="2">
        <f t="shared" si="3"/>
        <v>6285607</v>
      </c>
      <c r="E43" s="2">
        <f t="shared" si="3"/>
        <v>3176099</v>
      </c>
      <c r="F43" s="2">
        <f t="shared" si="3"/>
        <v>6427005</v>
      </c>
      <c r="G43" s="2">
        <f t="shared" si="3"/>
        <v>3517281</v>
      </c>
      <c r="H43" s="2">
        <f t="shared" si="3"/>
        <v>3697716</v>
      </c>
      <c r="I43" s="2">
        <f t="shared" si="3"/>
        <v>5683904</v>
      </c>
      <c r="J43" s="2">
        <f t="shared" si="3"/>
        <v>4493384</v>
      </c>
      <c r="K43" s="2">
        <f t="shared" si="3"/>
        <v>4549839</v>
      </c>
      <c r="L43" s="2">
        <f t="shared" si="3"/>
        <v>2595246</v>
      </c>
      <c r="M43" s="2">
        <f t="shared" si="3"/>
        <v>4130179</v>
      </c>
      <c r="N43" s="2">
        <f>SUM(B43:M43)</f>
        <v>52312234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1991&amp;CCITY OF ALLEN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M30" activePane="bottomRight" state="frozen"/>
      <selection pane="topRight" activeCell="B1" sqref="B1"/>
      <selection pane="bottomLeft" activeCell="A2" sqref="A2"/>
      <selection pane="bottomRight" activeCell="N40" sqref="N40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37</v>
      </c>
      <c r="C3" s="1">
        <v>46</v>
      </c>
      <c r="D3" s="1">
        <v>66</v>
      </c>
      <c r="E3" s="1">
        <v>55</v>
      </c>
      <c r="F3" s="1">
        <v>45</v>
      </c>
      <c r="G3" s="1">
        <v>27</v>
      </c>
      <c r="H3" s="1">
        <v>52</v>
      </c>
      <c r="I3" s="1">
        <v>42</v>
      </c>
      <c r="J3" s="1">
        <v>46</v>
      </c>
      <c r="K3" s="1">
        <v>44</v>
      </c>
      <c r="L3" s="1">
        <v>25</v>
      </c>
      <c r="M3" s="1">
        <v>27</v>
      </c>
      <c r="N3" s="1">
        <f t="shared" ref="N3:N12" si="0">SUM(B3:M3)</f>
        <v>512</v>
      </c>
    </row>
    <row r="4" spans="1:14" x14ac:dyDescent="0.2">
      <c r="A4" s="4" t="s">
        <v>18</v>
      </c>
      <c r="B4" s="1">
        <v>4116425</v>
      </c>
      <c r="C4" s="1">
        <v>4793235</v>
      </c>
      <c r="D4" s="1">
        <v>7064750</v>
      </c>
      <c r="E4" s="1">
        <v>5754147</v>
      </c>
      <c r="F4" s="1">
        <v>4742026</v>
      </c>
      <c r="G4" s="1">
        <v>3255698</v>
      </c>
      <c r="H4" s="1">
        <v>5799705</v>
      </c>
      <c r="I4" s="1">
        <v>4112580</v>
      </c>
      <c r="J4" s="1">
        <v>5551781</v>
      </c>
      <c r="K4" s="1">
        <v>4889239</v>
      </c>
      <c r="L4" s="1">
        <v>2808605</v>
      </c>
      <c r="M4" s="1">
        <v>2740740</v>
      </c>
      <c r="N4" s="2">
        <f t="shared" si="0"/>
        <v>55628931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x14ac:dyDescent="0.2">
      <c r="A11" s="4" t="s">
        <v>22</v>
      </c>
      <c r="B11" s="1">
        <v>1</v>
      </c>
      <c r="C11" s="1">
        <v>1</v>
      </c>
      <c r="D11" s="1">
        <v>2</v>
      </c>
      <c r="E11" s="1">
        <v>0</v>
      </c>
      <c r="F11" s="1">
        <v>0</v>
      </c>
      <c r="G11" s="1">
        <v>0</v>
      </c>
      <c r="H11" s="1">
        <v>10</v>
      </c>
      <c r="I11" s="1">
        <v>13</v>
      </c>
      <c r="J11" s="1">
        <v>6</v>
      </c>
      <c r="K11" s="1">
        <v>8</v>
      </c>
      <c r="L11" s="1">
        <v>3</v>
      </c>
      <c r="M11" s="1">
        <v>8</v>
      </c>
      <c r="N11" s="1">
        <f t="shared" si="0"/>
        <v>52</v>
      </c>
    </row>
    <row r="12" spans="1:14" x14ac:dyDescent="0.2">
      <c r="A12" s="4" t="s">
        <v>18</v>
      </c>
      <c r="B12" s="1">
        <v>18000</v>
      </c>
      <c r="C12" s="1">
        <v>15000</v>
      </c>
      <c r="D12" s="1">
        <v>9300</v>
      </c>
      <c r="E12" s="1">
        <v>0</v>
      </c>
      <c r="F12" s="1">
        <v>0</v>
      </c>
      <c r="G12" s="1">
        <v>0</v>
      </c>
      <c r="H12" s="1">
        <v>9425</v>
      </c>
      <c r="I12" s="1">
        <v>26638</v>
      </c>
      <c r="J12" s="1">
        <v>13306</v>
      </c>
      <c r="K12" s="1">
        <v>41070</v>
      </c>
      <c r="L12" s="1">
        <v>25500</v>
      </c>
      <c r="M12" s="1">
        <v>31100</v>
      </c>
      <c r="N12" s="2">
        <f t="shared" si="0"/>
        <v>189339</v>
      </c>
    </row>
    <row r="13" spans="1:14" x14ac:dyDescent="0.2">
      <c r="A13" s="4" t="s">
        <v>46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2</v>
      </c>
      <c r="M13" s="1">
        <v>0</v>
      </c>
      <c r="N13" s="1">
        <f>SUM(B13:M13)</f>
        <v>2</v>
      </c>
    </row>
    <row r="14" spans="1:14" x14ac:dyDescent="0.2">
      <c r="A14" s="4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50000</v>
      </c>
      <c r="M14" s="1">
        <v>0</v>
      </c>
      <c r="N14" s="2">
        <f>SUM(B14:M14)</f>
        <v>50000</v>
      </c>
    </row>
    <row r="15" spans="1:14" x14ac:dyDescent="0.2">
      <c r="A15" s="4" t="s">
        <v>47</v>
      </c>
      <c r="B15" s="1">
        <v>2</v>
      </c>
      <c r="C15" s="1">
        <v>1</v>
      </c>
      <c r="D15" s="1">
        <v>1</v>
      </c>
      <c r="E15" s="1">
        <v>2</v>
      </c>
      <c r="F15" s="1">
        <v>2</v>
      </c>
      <c r="G15" s="1">
        <v>4</v>
      </c>
      <c r="H15" s="1">
        <v>2</v>
      </c>
      <c r="I15" s="1">
        <v>4</v>
      </c>
      <c r="J15" s="1">
        <v>2</v>
      </c>
      <c r="K15" s="1">
        <v>3</v>
      </c>
      <c r="L15" s="1">
        <v>6</v>
      </c>
      <c r="M15" s="1">
        <v>4</v>
      </c>
      <c r="N15" s="1">
        <f t="shared" ref="N15:N39" si="1">SUM(B15:M15)</f>
        <v>33</v>
      </c>
    </row>
    <row r="16" spans="1:14" x14ac:dyDescent="0.2">
      <c r="A16" s="4" t="s">
        <v>18</v>
      </c>
      <c r="B16" s="1">
        <v>56500</v>
      </c>
      <c r="C16" s="1">
        <v>22000</v>
      </c>
      <c r="D16" s="1">
        <v>20000</v>
      </c>
      <c r="E16" s="1">
        <v>81000</v>
      </c>
      <c r="F16" s="1">
        <v>76000</v>
      </c>
      <c r="G16" s="1">
        <v>999000</v>
      </c>
      <c r="H16" s="1">
        <v>21500</v>
      </c>
      <c r="I16" s="1">
        <v>60000</v>
      </c>
      <c r="J16" s="1">
        <v>42000</v>
      </c>
      <c r="K16" s="1">
        <v>87750</v>
      </c>
      <c r="L16" s="1">
        <v>286795</v>
      </c>
      <c r="M16" s="1">
        <v>78200</v>
      </c>
      <c r="N16" s="2">
        <f>SUM(B16:M16)</f>
        <v>1830745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>SUM(B18:M18)</f>
        <v>0</v>
      </c>
    </row>
    <row r="19" spans="1:14" x14ac:dyDescent="0.2">
      <c r="A19" s="4" t="s">
        <v>27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1</v>
      </c>
    </row>
    <row r="20" spans="1:14" x14ac:dyDescent="0.2">
      <c r="A20" s="4" t="s">
        <v>18</v>
      </c>
      <c r="B20" s="1">
        <v>737720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>SUM(B20:M20)</f>
        <v>737720</v>
      </c>
    </row>
    <row r="21" spans="1:14" x14ac:dyDescent="0.2">
      <c r="A21" s="4" t="s">
        <v>28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3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4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9754</v>
      </c>
      <c r="H22" s="1">
        <v>0</v>
      </c>
      <c r="I22" s="1">
        <v>3100</v>
      </c>
      <c r="J22" s="1">
        <v>0</v>
      </c>
      <c r="K22" s="1">
        <v>0</v>
      </c>
      <c r="L22" s="1">
        <v>0</v>
      </c>
      <c r="M22" s="1">
        <v>0</v>
      </c>
      <c r="N22" s="2">
        <f>SUM(B22:M22)</f>
        <v>12854</v>
      </c>
    </row>
    <row r="23" spans="1:14" x14ac:dyDescent="0.2">
      <c r="A23" s="4" t="s">
        <v>29</v>
      </c>
      <c r="B23" s="1">
        <v>0</v>
      </c>
      <c r="C23" s="1">
        <v>0</v>
      </c>
      <c r="D23" s="1">
        <v>1</v>
      </c>
      <c r="E23" s="1">
        <v>3</v>
      </c>
      <c r="F23" s="1">
        <v>0</v>
      </c>
      <c r="G23" s="1">
        <v>0</v>
      </c>
      <c r="H23" s="1">
        <v>1</v>
      </c>
      <c r="I23" s="1">
        <v>2</v>
      </c>
      <c r="J23" s="1">
        <v>1</v>
      </c>
      <c r="K23" s="1">
        <v>1</v>
      </c>
      <c r="L23" s="1">
        <v>0</v>
      </c>
      <c r="M23" s="1">
        <v>2</v>
      </c>
      <c r="N23" s="1">
        <f t="shared" si="1"/>
        <v>11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5000</v>
      </c>
      <c r="L24" s="1">
        <v>0</v>
      </c>
      <c r="M24" s="1">
        <v>9000</v>
      </c>
      <c r="N24" s="2">
        <f>SUM(B24:M24)</f>
        <v>14000</v>
      </c>
    </row>
    <row r="25" spans="1:14" x14ac:dyDescent="0.2">
      <c r="A25" s="4" t="s">
        <v>30</v>
      </c>
      <c r="B25" s="1">
        <v>3</v>
      </c>
      <c r="C25" s="1">
        <v>2</v>
      </c>
      <c r="D25" s="1">
        <v>3</v>
      </c>
      <c r="E25" s="1">
        <v>5</v>
      </c>
      <c r="F25" s="1">
        <v>6</v>
      </c>
      <c r="G25" s="1">
        <v>3</v>
      </c>
      <c r="H25" s="1">
        <v>7</v>
      </c>
      <c r="I25" s="1">
        <v>3</v>
      </c>
      <c r="J25" s="1">
        <v>3</v>
      </c>
      <c r="K25" s="1">
        <v>3</v>
      </c>
      <c r="L25" s="1">
        <v>5</v>
      </c>
      <c r="M25" s="1">
        <v>0</v>
      </c>
      <c r="N25" s="1">
        <f t="shared" si="1"/>
        <v>43</v>
      </c>
    </row>
    <row r="26" spans="1:14" x14ac:dyDescent="0.2">
      <c r="A26" s="4" t="s">
        <v>18</v>
      </c>
      <c r="B26" s="1">
        <v>3650</v>
      </c>
      <c r="C26" s="1">
        <v>2340</v>
      </c>
      <c r="D26" s="1">
        <v>1900</v>
      </c>
      <c r="E26" s="1">
        <v>3800</v>
      </c>
      <c r="F26" s="1">
        <v>6750</v>
      </c>
      <c r="G26" s="1">
        <v>2434</v>
      </c>
      <c r="H26" s="1">
        <v>5959</v>
      </c>
      <c r="I26" s="1">
        <v>1650</v>
      </c>
      <c r="J26" s="1">
        <v>3390</v>
      </c>
      <c r="K26" s="1">
        <v>5900</v>
      </c>
      <c r="L26" s="1">
        <v>9693</v>
      </c>
      <c r="M26" s="1">
        <v>0</v>
      </c>
      <c r="N26" s="2">
        <f>SUM(B26:M26)</f>
        <v>47466</v>
      </c>
    </row>
    <row r="27" spans="1:14" x14ac:dyDescent="0.2">
      <c r="A27" s="4" t="s">
        <v>31</v>
      </c>
      <c r="B27" s="1">
        <v>1</v>
      </c>
      <c r="C27" s="1">
        <v>5</v>
      </c>
      <c r="D27" s="1">
        <v>5</v>
      </c>
      <c r="E27" s="1">
        <v>6</v>
      </c>
      <c r="F27" s="1">
        <v>4</v>
      </c>
      <c r="G27" s="1">
        <v>6</v>
      </c>
      <c r="H27" s="1">
        <v>6</v>
      </c>
      <c r="I27" s="1">
        <v>4</v>
      </c>
      <c r="J27" s="1">
        <v>3</v>
      </c>
      <c r="K27" s="1">
        <v>3</v>
      </c>
      <c r="L27" s="1">
        <v>5</v>
      </c>
      <c r="M27" s="1">
        <v>1</v>
      </c>
      <c r="N27" s="1">
        <f t="shared" si="1"/>
        <v>49</v>
      </c>
    </row>
    <row r="28" spans="1:14" x14ac:dyDescent="0.2">
      <c r="A28" s="4" t="s">
        <v>18</v>
      </c>
      <c r="B28" s="1">
        <v>11000</v>
      </c>
      <c r="C28" s="1">
        <v>82284</v>
      </c>
      <c r="D28" s="1">
        <v>82506</v>
      </c>
      <c r="E28" s="1">
        <v>97825</v>
      </c>
      <c r="F28" s="1">
        <v>63800</v>
      </c>
      <c r="G28" s="1">
        <v>88075</v>
      </c>
      <c r="H28" s="1">
        <v>84500</v>
      </c>
      <c r="I28" s="1">
        <v>73058</v>
      </c>
      <c r="J28" s="1">
        <v>66500</v>
      </c>
      <c r="K28" s="1">
        <v>50500</v>
      </c>
      <c r="L28" s="1">
        <v>93791</v>
      </c>
      <c r="M28" s="1">
        <v>22000</v>
      </c>
      <c r="N28" s="2">
        <f>SUM(B28:M28)</f>
        <v>815839</v>
      </c>
    </row>
    <row r="29" spans="1:14" x14ac:dyDescent="0.2">
      <c r="A29" s="4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f t="shared" si="1"/>
        <v>4</v>
      </c>
    </row>
    <row r="30" spans="1:14" x14ac:dyDescent="0.2">
      <c r="A30" s="4" t="s">
        <v>18</v>
      </c>
      <c r="B30" s="1">
        <v>0</v>
      </c>
      <c r="C30" s="1">
        <v>0</v>
      </c>
      <c r="D30" s="1">
        <v>0</v>
      </c>
      <c r="E30" s="1">
        <v>0</v>
      </c>
      <c r="F30" s="1">
        <v>2500</v>
      </c>
      <c r="G30" s="1">
        <v>17000</v>
      </c>
      <c r="H30" s="1">
        <v>0</v>
      </c>
      <c r="I30" s="1">
        <v>0</v>
      </c>
      <c r="J30" s="1">
        <v>0</v>
      </c>
      <c r="K30" s="1">
        <v>0</v>
      </c>
      <c r="L30" s="1">
        <v>1000</v>
      </c>
      <c r="M30" s="1">
        <v>0</v>
      </c>
      <c r="N30" s="2">
        <f>SUM(B30:M30)</f>
        <v>20500</v>
      </c>
    </row>
    <row r="31" spans="1:14" x14ac:dyDescent="0.2">
      <c r="A31" s="4" t="s">
        <v>33</v>
      </c>
      <c r="B31" s="1">
        <v>25</v>
      </c>
      <c r="C31" s="1">
        <v>42</v>
      </c>
      <c r="D31" s="1">
        <v>42</v>
      </c>
      <c r="E31" s="1">
        <v>57</v>
      </c>
      <c r="F31" s="1">
        <v>41</v>
      </c>
      <c r="G31" s="1">
        <v>39</v>
      </c>
      <c r="H31" s="1">
        <v>64</v>
      </c>
      <c r="I31" s="1">
        <v>47</v>
      </c>
      <c r="J31" s="1">
        <v>54</v>
      </c>
      <c r="K31" s="1">
        <v>37</v>
      </c>
      <c r="L31" s="1">
        <v>30</v>
      </c>
      <c r="M31" s="1">
        <v>25</v>
      </c>
      <c r="N31" s="1">
        <f t="shared" si="1"/>
        <v>503</v>
      </c>
    </row>
    <row r="32" spans="1:14" x14ac:dyDescent="0.2">
      <c r="A32" s="4" t="s">
        <v>18</v>
      </c>
      <c r="B32" s="1">
        <v>19798</v>
      </c>
      <c r="C32" s="1">
        <v>31166</v>
      </c>
      <c r="D32" s="1">
        <v>37938</v>
      </c>
      <c r="E32" s="1">
        <v>43748</v>
      </c>
      <c r="F32" s="1">
        <v>34305</v>
      </c>
      <c r="G32" s="1">
        <v>34890</v>
      </c>
      <c r="H32" s="1">
        <v>53361</v>
      </c>
      <c r="I32" s="1">
        <v>154379</v>
      </c>
      <c r="J32" s="1">
        <v>51840</v>
      </c>
      <c r="K32" s="1">
        <v>32640</v>
      </c>
      <c r="L32" s="1">
        <v>22900</v>
      </c>
      <c r="M32" s="1">
        <v>18154</v>
      </c>
      <c r="N32" s="2">
        <f>SUM(B32:M32)</f>
        <v>535119</v>
      </c>
    </row>
    <row r="33" spans="1:14" x14ac:dyDescent="0.2">
      <c r="A33" s="4" t="s">
        <v>34</v>
      </c>
      <c r="B33" s="1">
        <v>7</v>
      </c>
      <c r="C33" s="1">
        <v>10</v>
      </c>
      <c r="D33" s="1">
        <v>9</v>
      </c>
      <c r="E33" s="1">
        <v>6</v>
      </c>
      <c r="F33" s="1">
        <v>12</v>
      </c>
      <c r="G33" s="1">
        <v>15</v>
      </c>
      <c r="H33" s="1">
        <v>15</v>
      </c>
      <c r="I33" s="1">
        <v>17</v>
      </c>
      <c r="J33" s="1">
        <v>11</v>
      </c>
      <c r="K33" s="1">
        <v>11</v>
      </c>
      <c r="L33" s="1">
        <v>13</v>
      </c>
      <c r="M33" s="1">
        <v>17</v>
      </c>
      <c r="N33" s="1">
        <f t="shared" si="1"/>
        <v>143</v>
      </c>
    </row>
    <row r="34" spans="1:14" x14ac:dyDescent="0.2">
      <c r="A34" s="4" t="s">
        <v>18</v>
      </c>
      <c r="B34" s="1">
        <v>8175</v>
      </c>
      <c r="C34" s="1">
        <v>11425</v>
      </c>
      <c r="D34" s="1">
        <v>16645</v>
      </c>
      <c r="E34" s="1">
        <v>6149</v>
      </c>
      <c r="F34" s="1">
        <v>14515</v>
      </c>
      <c r="G34" s="1">
        <v>17175</v>
      </c>
      <c r="H34" s="1">
        <v>24000</v>
      </c>
      <c r="I34" s="1">
        <v>24500</v>
      </c>
      <c r="J34" s="1">
        <v>14900</v>
      </c>
      <c r="K34" s="1">
        <v>17750</v>
      </c>
      <c r="L34" s="1">
        <v>16400</v>
      </c>
      <c r="M34" s="1">
        <v>19600</v>
      </c>
      <c r="N34" s="2">
        <f>SUM(B34:M34)</f>
        <v>191234</v>
      </c>
    </row>
    <row r="35" spans="1:14" x14ac:dyDescent="0.2">
      <c r="A35" s="4" t="s">
        <v>35</v>
      </c>
      <c r="B35" s="1">
        <v>9</v>
      </c>
      <c r="C35" s="1">
        <v>5</v>
      </c>
      <c r="D35" s="1">
        <v>10</v>
      </c>
      <c r="E35" s="1">
        <v>11</v>
      </c>
      <c r="F35" s="1">
        <v>16</v>
      </c>
      <c r="G35" s="1">
        <v>10</v>
      </c>
      <c r="H35" s="1">
        <v>15</v>
      </c>
      <c r="I35" s="1">
        <v>4</v>
      </c>
      <c r="J35" s="1">
        <v>5</v>
      </c>
      <c r="K35" s="1">
        <v>14</v>
      </c>
      <c r="L35" s="1">
        <v>11</v>
      </c>
      <c r="M35" s="1">
        <v>14</v>
      </c>
      <c r="N35" s="1">
        <f t="shared" si="1"/>
        <v>124</v>
      </c>
    </row>
    <row r="36" spans="1:14" x14ac:dyDescent="0.2">
      <c r="A36" s="4" t="s">
        <v>18</v>
      </c>
      <c r="B36" s="1">
        <v>4200</v>
      </c>
      <c r="C36" s="1">
        <v>2500</v>
      </c>
      <c r="D36" s="1">
        <v>15529</v>
      </c>
      <c r="E36" s="1">
        <v>6330</v>
      </c>
      <c r="F36" s="1">
        <v>30870</v>
      </c>
      <c r="G36" s="1">
        <v>3485</v>
      </c>
      <c r="H36" s="1">
        <v>11750</v>
      </c>
      <c r="I36" s="1">
        <v>450</v>
      </c>
      <c r="J36" s="1">
        <v>1400</v>
      </c>
      <c r="K36" s="1">
        <v>2165</v>
      </c>
      <c r="L36" s="1">
        <v>6250</v>
      </c>
      <c r="M36" s="1">
        <v>12981</v>
      </c>
      <c r="N36" s="2">
        <f>SUM(B36:M36)</f>
        <v>97910</v>
      </c>
    </row>
    <row r="37" spans="1:14" x14ac:dyDescent="0.2">
      <c r="A37" s="4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1"/>
        <v>0</v>
      </c>
    </row>
    <row r="38" spans="1:14" x14ac:dyDescent="0.2">
      <c r="A38" s="4" t="s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>SUM(B38:M38)</f>
        <v>0</v>
      </c>
    </row>
    <row r="39" spans="1:14" x14ac:dyDescent="0.2">
      <c r="A39" s="4" t="s">
        <v>37</v>
      </c>
      <c r="B39" s="1">
        <v>1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f t="shared" si="1"/>
        <v>3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>SUM(B40:M40)</f>
        <v>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 t="shared" ref="B42:M42" si="2">SUM(B3+B5+B7+B9+B11+B13+B15+B17+B19+B21+B23+B25+B27+B29+B31+B33+B35+B37+B39)</f>
        <v>87</v>
      </c>
      <c r="C42" s="1">
        <f t="shared" si="2"/>
        <v>112</v>
      </c>
      <c r="D42" s="1">
        <f t="shared" si="2"/>
        <v>139</v>
      </c>
      <c r="E42" s="1">
        <f t="shared" si="2"/>
        <v>146</v>
      </c>
      <c r="F42" s="1">
        <f t="shared" si="2"/>
        <v>127</v>
      </c>
      <c r="G42" s="1">
        <f t="shared" si="2"/>
        <v>107</v>
      </c>
      <c r="H42" s="1">
        <f t="shared" si="2"/>
        <v>172</v>
      </c>
      <c r="I42" s="1">
        <f t="shared" si="2"/>
        <v>139</v>
      </c>
      <c r="J42" s="1">
        <f t="shared" si="2"/>
        <v>131</v>
      </c>
      <c r="K42" s="1">
        <f t="shared" si="2"/>
        <v>124</v>
      </c>
      <c r="L42" s="1">
        <f t="shared" si="2"/>
        <v>102</v>
      </c>
      <c r="M42" s="1">
        <f t="shared" si="2"/>
        <v>98</v>
      </c>
      <c r="N42" s="1">
        <f>SUM(B42:M42)</f>
        <v>1484</v>
      </c>
    </row>
    <row r="43" spans="1:14" s="3" customFormat="1" x14ac:dyDescent="0.2">
      <c r="A43" s="6" t="s">
        <v>39</v>
      </c>
      <c r="B43" s="2">
        <f t="shared" ref="B43:M43" si="3">SUM(B4+B6+B8+B10+B12+B14+B16+B18+B20+B22+B24+B26+B28+B30+B32+B34+B36+B38+B40)</f>
        <v>4975468</v>
      </c>
      <c r="C43" s="2">
        <f t="shared" si="3"/>
        <v>4959950</v>
      </c>
      <c r="D43" s="2">
        <f t="shared" si="3"/>
        <v>7248568</v>
      </c>
      <c r="E43" s="2">
        <f t="shared" si="3"/>
        <v>5992999</v>
      </c>
      <c r="F43" s="2">
        <f t="shared" si="3"/>
        <v>4970766</v>
      </c>
      <c r="G43" s="2">
        <f t="shared" si="3"/>
        <v>4427511</v>
      </c>
      <c r="H43" s="2">
        <f t="shared" si="3"/>
        <v>6010200</v>
      </c>
      <c r="I43" s="2">
        <f t="shared" si="3"/>
        <v>4456355</v>
      </c>
      <c r="J43" s="2">
        <f t="shared" si="3"/>
        <v>5745117</v>
      </c>
      <c r="K43" s="2">
        <f t="shared" si="3"/>
        <v>5132014</v>
      </c>
      <c r="L43" s="2">
        <f t="shared" si="3"/>
        <v>3320934</v>
      </c>
      <c r="M43" s="2">
        <f t="shared" si="3"/>
        <v>2931775</v>
      </c>
      <c r="N43" s="2">
        <f>SUM(B43:M43)</f>
        <v>60171657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1992&amp;CCITY OF ALLEN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K32" activePane="bottomRight" state="frozen"/>
      <selection pane="topRight" activeCell="B1" sqref="B1"/>
      <selection pane="bottomLeft" activeCell="A2" sqref="A2"/>
      <selection pane="bottomRight" activeCell="N40" sqref="N40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42</v>
      </c>
      <c r="C3" s="1">
        <v>51</v>
      </c>
      <c r="D3" s="1">
        <v>58</v>
      </c>
      <c r="E3" s="1">
        <v>53</v>
      </c>
      <c r="F3" s="1">
        <v>53</v>
      </c>
      <c r="G3" s="1">
        <v>40</v>
      </c>
      <c r="H3" s="1">
        <v>67</v>
      </c>
      <c r="I3" s="1">
        <v>66</v>
      </c>
      <c r="J3" s="1">
        <v>90</v>
      </c>
      <c r="K3" s="1">
        <v>59</v>
      </c>
      <c r="L3" s="1">
        <v>60</v>
      </c>
      <c r="M3" s="1">
        <v>56</v>
      </c>
      <c r="N3" s="1">
        <f t="shared" ref="N3:N12" si="0">SUM(B3:M3)</f>
        <v>695</v>
      </c>
    </row>
    <row r="4" spans="1:14" x14ac:dyDescent="0.2">
      <c r="A4" s="4" t="s">
        <v>18</v>
      </c>
      <c r="B4" s="1">
        <v>4840676</v>
      </c>
      <c r="C4" s="1">
        <v>5965912</v>
      </c>
      <c r="D4" s="1">
        <v>6690845</v>
      </c>
      <c r="E4" s="1">
        <v>6389225</v>
      </c>
      <c r="F4" s="1">
        <v>6152896</v>
      </c>
      <c r="G4" s="1">
        <v>4666444</v>
      </c>
      <c r="H4" s="1">
        <v>7798903</v>
      </c>
      <c r="I4" s="1">
        <v>7645780</v>
      </c>
      <c r="J4" s="1">
        <v>11180353</v>
      </c>
      <c r="K4" s="1">
        <v>6786375</v>
      </c>
      <c r="L4" s="1">
        <v>7218565</v>
      </c>
      <c r="M4" s="1">
        <v>6993617</v>
      </c>
      <c r="N4" s="2">
        <f t="shared" si="0"/>
        <v>82329591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x14ac:dyDescent="0.2">
      <c r="A11" s="4" t="s">
        <v>22</v>
      </c>
      <c r="B11" s="1">
        <v>7</v>
      </c>
      <c r="C11" s="1">
        <v>4</v>
      </c>
      <c r="D11" s="1">
        <v>14</v>
      </c>
      <c r="E11" s="1">
        <v>8</v>
      </c>
      <c r="F11" s="1">
        <v>14</v>
      </c>
      <c r="G11" s="1">
        <v>8</v>
      </c>
      <c r="H11" s="1">
        <v>16</v>
      </c>
      <c r="I11" s="1">
        <v>8</v>
      </c>
      <c r="J11" s="1">
        <v>17</v>
      </c>
      <c r="K11" s="1">
        <v>18</v>
      </c>
      <c r="L11" s="1">
        <v>16</v>
      </c>
      <c r="M11" s="1">
        <v>4</v>
      </c>
      <c r="N11" s="1">
        <f t="shared" si="0"/>
        <v>134</v>
      </c>
    </row>
    <row r="12" spans="1:14" x14ac:dyDescent="0.2">
      <c r="A12" s="4" t="s">
        <v>18</v>
      </c>
      <c r="B12" s="1">
        <v>102625</v>
      </c>
      <c r="C12" s="1">
        <v>71972</v>
      </c>
      <c r="D12" s="1">
        <v>136265</v>
      </c>
      <c r="E12" s="1">
        <v>27975</v>
      </c>
      <c r="F12" s="1">
        <v>49317</v>
      </c>
      <c r="G12" s="1">
        <v>95888</v>
      </c>
      <c r="H12" s="1">
        <v>100500</v>
      </c>
      <c r="I12" s="1">
        <v>10595</v>
      </c>
      <c r="J12" s="1">
        <v>39655</v>
      </c>
      <c r="K12" s="1">
        <v>84098</v>
      </c>
      <c r="L12" s="1">
        <v>73790</v>
      </c>
      <c r="M12" s="1">
        <v>10023</v>
      </c>
      <c r="N12" s="2">
        <f t="shared" si="0"/>
        <v>802703</v>
      </c>
    </row>
    <row r="13" spans="1:14" x14ac:dyDescent="0.2">
      <c r="A13" s="4" t="s">
        <v>46</v>
      </c>
      <c r="B13" s="1">
        <v>0</v>
      </c>
      <c r="C13" s="1">
        <v>0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f>SUM(B13:M13)</f>
        <v>2</v>
      </c>
    </row>
    <row r="14" spans="1:14" x14ac:dyDescent="0.2">
      <c r="A14" s="4" t="s">
        <v>18</v>
      </c>
      <c r="B14" s="1">
        <v>0</v>
      </c>
      <c r="C14" s="1">
        <v>0</v>
      </c>
      <c r="D14" s="1">
        <v>0</v>
      </c>
      <c r="E14" s="1">
        <v>320000</v>
      </c>
      <c r="F14" s="1">
        <v>4477000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>SUM(B14:M14)</f>
        <v>4797000</v>
      </c>
    </row>
    <row r="15" spans="1:14" x14ac:dyDescent="0.2">
      <c r="A15" s="4" t="s">
        <v>47</v>
      </c>
      <c r="B15" s="1">
        <v>4</v>
      </c>
      <c r="C15" s="1">
        <v>3</v>
      </c>
      <c r="D15" s="1">
        <v>6</v>
      </c>
      <c r="E15" s="1">
        <v>5</v>
      </c>
      <c r="F15" s="1">
        <v>9</v>
      </c>
      <c r="G15" s="1">
        <v>4</v>
      </c>
      <c r="H15" s="1">
        <v>4</v>
      </c>
      <c r="I15" s="1">
        <v>6</v>
      </c>
      <c r="J15" s="1">
        <v>8</v>
      </c>
      <c r="K15" s="1">
        <v>3</v>
      </c>
      <c r="L15" s="1">
        <v>2</v>
      </c>
      <c r="M15" s="1">
        <v>3</v>
      </c>
      <c r="N15" s="1">
        <f t="shared" ref="N15:N39" si="1">SUM(B15:M15)</f>
        <v>57</v>
      </c>
    </row>
    <row r="16" spans="1:14" x14ac:dyDescent="0.2">
      <c r="A16" s="4" t="s">
        <v>18</v>
      </c>
      <c r="B16" s="1">
        <v>86800</v>
      </c>
      <c r="C16" s="1">
        <v>6944</v>
      </c>
      <c r="D16" s="1">
        <v>46204</v>
      </c>
      <c r="E16" s="1">
        <v>54100</v>
      </c>
      <c r="F16" s="1">
        <v>81494</v>
      </c>
      <c r="G16" s="1">
        <v>231000</v>
      </c>
      <c r="H16" s="1">
        <v>5112300</v>
      </c>
      <c r="I16" s="1">
        <v>89587</v>
      </c>
      <c r="J16" s="1">
        <v>452275</v>
      </c>
      <c r="K16" s="1">
        <v>40900</v>
      </c>
      <c r="L16" s="1">
        <v>28000</v>
      </c>
      <c r="M16" s="1">
        <v>67000</v>
      </c>
      <c r="N16" s="2">
        <f>SUM(B16:M16)</f>
        <v>6296604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>SUM(B18:M18)</f>
        <v>0</v>
      </c>
    </row>
    <row r="19" spans="1:14" x14ac:dyDescent="0.2">
      <c r="A19" s="4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1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11145000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>SUM(B20:M20)</f>
        <v>11145000</v>
      </c>
    </row>
    <row r="21" spans="1:14" x14ac:dyDescent="0.2">
      <c r="A21" s="4" t="s">
        <v>28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2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92000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>SUM(B22:M22)</f>
        <v>92000</v>
      </c>
    </row>
    <row r="23" spans="1:14" x14ac:dyDescent="0.2">
      <c r="A23" s="4" t="s">
        <v>29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  <c r="G23" s="1">
        <v>4</v>
      </c>
      <c r="H23" s="1">
        <v>0</v>
      </c>
      <c r="I23" s="1">
        <v>3</v>
      </c>
      <c r="J23" s="1">
        <v>2</v>
      </c>
      <c r="K23" s="1">
        <v>1</v>
      </c>
      <c r="L23" s="1">
        <v>2</v>
      </c>
      <c r="M23" s="1">
        <v>1</v>
      </c>
      <c r="N23" s="1">
        <f t="shared" si="1"/>
        <v>16</v>
      </c>
    </row>
    <row r="24" spans="1:14" x14ac:dyDescent="0.2">
      <c r="A24" s="4" t="s">
        <v>18</v>
      </c>
      <c r="B24" s="1">
        <v>0</v>
      </c>
      <c r="C24" s="1">
        <v>15000</v>
      </c>
      <c r="D24" s="1">
        <v>0</v>
      </c>
      <c r="E24" s="1">
        <v>1000</v>
      </c>
      <c r="F24" s="1">
        <v>750000</v>
      </c>
      <c r="G24" s="1">
        <v>50000</v>
      </c>
      <c r="H24" s="1">
        <v>0</v>
      </c>
      <c r="I24" s="1">
        <v>21360</v>
      </c>
      <c r="J24" s="1">
        <v>2500</v>
      </c>
      <c r="K24" s="1">
        <v>1000</v>
      </c>
      <c r="L24" s="1">
        <v>14000</v>
      </c>
      <c r="M24" s="1">
        <v>14000</v>
      </c>
      <c r="N24" s="2">
        <f>SUM(B24:M24)</f>
        <v>868860</v>
      </c>
    </row>
    <row r="25" spans="1:14" x14ac:dyDescent="0.2">
      <c r="A25" s="4" t="s">
        <v>30</v>
      </c>
      <c r="B25" s="1">
        <v>3</v>
      </c>
      <c r="C25" s="1">
        <v>3</v>
      </c>
      <c r="D25" s="1">
        <v>5</v>
      </c>
      <c r="E25" s="1">
        <v>6</v>
      </c>
      <c r="F25" s="1">
        <v>7</v>
      </c>
      <c r="G25" s="1">
        <v>5</v>
      </c>
      <c r="H25" s="1">
        <v>7</v>
      </c>
      <c r="I25" s="1">
        <v>6</v>
      </c>
      <c r="J25" s="1">
        <v>4</v>
      </c>
      <c r="K25" s="1">
        <v>1</v>
      </c>
      <c r="L25" s="1">
        <v>0</v>
      </c>
      <c r="M25" s="1">
        <v>3</v>
      </c>
      <c r="N25" s="1">
        <f t="shared" si="1"/>
        <v>50</v>
      </c>
    </row>
    <row r="26" spans="1:14" x14ac:dyDescent="0.2">
      <c r="A26" s="4" t="s">
        <v>18</v>
      </c>
      <c r="B26" s="1">
        <v>2349</v>
      </c>
      <c r="C26" s="1">
        <v>4550</v>
      </c>
      <c r="D26" s="1">
        <v>5828</v>
      </c>
      <c r="E26" s="1">
        <v>5940</v>
      </c>
      <c r="F26" s="1">
        <v>6807</v>
      </c>
      <c r="G26" s="1">
        <v>2550</v>
      </c>
      <c r="H26" s="1">
        <v>6854</v>
      </c>
      <c r="I26" s="1">
        <v>7550</v>
      </c>
      <c r="J26" s="1">
        <v>5600</v>
      </c>
      <c r="K26" s="1">
        <v>275</v>
      </c>
      <c r="L26" s="1">
        <v>0</v>
      </c>
      <c r="M26" s="1">
        <v>4195</v>
      </c>
      <c r="N26" s="2">
        <f>SUM(B26:M26)</f>
        <v>52498</v>
      </c>
    </row>
    <row r="27" spans="1:14" x14ac:dyDescent="0.2">
      <c r="A27" s="4" t="s">
        <v>31</v>
      </c>
      <c r="B27" s="1">
        <v>5</v>
      </c>
      <c r="C27" s="1">
        <v>5</v>
      </c>
      <c r="D27" s="1">
        <v>10</v>
      </c>
      <c r="E27" s="1">
        <v>11</v>
      </c>
      <c r="F27" s="1">
        <v>12</v>
      </c>
      <c r="G27" s="1">
        <v>14</v>
      </c>
      <c r="H27" s="1">
        <v>10</v>
      </c>
      <c r="I27" s="1">
        <v>9</v>
      </c>
      <c r="J27" s="1">
        <v>8</v>
      </c>
      <c r="K27" s="1">
        <v>4</v>
      </c>
      <c r="L27" s="1">
        <v>3</v>
      </c>
      <c r="M27" s="1">
        <v>3</v>
      </c>
      <c r="N27" s="1">
        <f t="shared" si="1"/>
        <v>94</v>
      </c>
    </row>
    <row r="28" spans="1:14" x14ac:dyDescent="0.2">
      <c r="A28" s="4" t="s">
        <v>18</v>
      </c>
      <c r="B28" s="1">
        <v>80353</v>
      </c>
      <c r="C28" s="1">
        <v>95366</v>
      </c>
      <c r="D28" s="1">
        <v>155936</v>
      </c>
      <c r="E28" s="1">
        <v>191548</v>
      </c>
      <c r="F28" s="1">
        <v>176758</v>
      </c>
      <c r="G28" s="1">
        <v>246035</v>
      </c>
      <c r="H28" s="1">
        <v>140185</v>
      </c>
      <c r="I28" s="1">
        <v>148180</v>
      </c>
      <c r="J28" s="1">
        <v>137295</v>
      </c>
      <c r="K28" s="1">
        <v>58000</v>
      </c>
      <c r="L28" s="1">
        <v>52019</v>
      </c>
      <c r="M28" s="1">
        <v>35500</v>
      </c>
      <c r="N28" s="2">
        <f>SUM(B28:M28)</f>
        <v>1517175</v>
      </c>
    </row>
    <row r="29" spans="1:14" x14ac:dyDescent="0.2">
      <c r="A29" s="4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f t="shared" si="1"/>
        <v>1</v>
      </c>
    </row>
    <row r="30" spans="1:14" x14ac:dyDescent="0.2">
      <c r="A30" s="4" t="s">
        <v>18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2500</v>
      </c>
      <c r="J30" s="1">
        <v>0</v>
      </c>
      <c r="K30" s="1">
        <v>0</v>
      </c>
      <c r="L30" s="1">
        <v>0</v>
      </c>
      <c r="M30" s="1">
        <v>0</v>
      </c>
      <c r="N30" s="2">
        <f>SUM(B30:M30)</f>
        <v>2500</v>
      </c>
    </row>
    <row r="31" spans="1:14" x14ac:dyDescent="0.2">
      <c r="A31" s="4" t="s">
        <v>33</v>
      </c>
      <c r="B31" s="1">
        <v>34</v>
      </c>
      <c r="C31" s="1">
        <v>31</v>
      </c>
      <c r="D31" s="1">
        <v>48</v>
      </c>
      <c r="E31" s="1">
        <v>41</v>
      </c>
      <c r="F31" s="1">
        <v>48</v>
      </c>
      <c r="G31" s="1">
        <v>37</v>
      </c>
      <c r="H31" s="1">
        <v>65</v>
      </c>
      <c r="I31" s="1">
        <v>52</v>
      </c>
      <c r="J31" s="1">
        <v>51</v>
      </c>
      <c r="K31" s="1">
        <v>42</v>
      </c>
      <c r="L31" s="1">
        <v>65</v>
      </c>
      <c r="M31" s="1">
        <v>60</v>
      </c>
      <c r="N31" s="1">
        <f t="shared" si="1"/>
        <v>574</v>
      </c>
    </row>
    <row r="32" spans="1:14" x14ac:dyDescent="0.2">
      <c r="A32" s="4" t="s">
        <v>18</v>
      </c>
      <c r="B32" s="1">
        <v>29610</v>
      </c>
      <c r="C32" s="1">
        <v>26557</v>
      </c>
      <c r="D32" s="1">
        <v>36943</v>
      </c>
      <c r="E32" s="1">
        <v>35425</v>
      </c>
      <c r="F32" s="1">
        <v>43904</v>
      </c>
      <c r="G32" s="1">
        <v>30900</v>
      </c>
      <c r="H32" s="1">
        <v>58750</v>
      </c>
      <c r="I32" s="1">
        <v>43925</v>
      </c>
      <c r="J32" s="1">
        <v>44034</v>
      </c>
      <c r="K32" s="1">
        <v>34445</v>
      </c>
      <c r="L32" s="1">
        <v>51120</v>
      </c>
      <c r="M32" s="1">
        <v>56095</v>
      </c>
      <c r="N32" s="2">
        <f>SUM(B32:M32)</f>
        <v>491708</v>
      </c>
    </row>
    <row r="33" spans="1:14" x14ac:dyDescent="0.2">
      <c r="A33" s="4" t="s">
        <v>34</v>
      </c>
      <c r="B33" s="1">
        <v>17</v>
      </c>
      <c r="C33" s="1">
        <v>11</v>
      </c>
      <c r="D33" s="1">
        <v>17</v>
      </c>
      <c r="E33" s="1">
        <v>24</v>
      </c>
      <c r="F33" s="1">
        <v>19</v>
      </c>
      <c r="G33" s="1">
        <v>25</v>
      </c>
      <c r="H33" s="1">
        <v>34</v>
      </c>
      <c r="I33" s="1">
        <v>24</v>
      </c>
      <c r="J33" s="1">
        <v>13</v>
      </c>
      <c r="K33" s="1">
        <v>17</v>
      </c>
      <c r="L33" s="1">
        <v>19</v>
      </c>
      <c r="M33" s="1">
        <v>14</v>
      </c>
      <c r="N33" s="1">
        <f t="shared" si="1"/>
        <v>234</v>
      </c>
    </row>
    <row r="34" spans="1:14" x14ac:dyDescent="0.2">
      <c r="A34" s="4" t="s">
        <v>18</v>
      </c>
      <c r="B34" s="1">
        <v>16800</v>
      </c>
      <c r="C34" s="1">
        <v>15950</v>
      </c>
      <c r="D34" s="1">
        <v>22175</v>
      </c>
      <c r="E34" s="1">
        <v>29775</v>
      </c>
      <c r="F34" s="1">
        <v>23800</v>
      </c>
      <c r="G34" s="1">
        <v>30330</v>
      </c>
      <c r="H34" s="1">
        <v>33535</v>
      </c>
      <c r="I34" s="1">
        <v>23350</v>
      </c>
      <c r="J34" s="1">
        <v>14900</v>
      </c>
      <c r="K34" s="1">
        <v>17400</v>
      </c>
      <c r="L34" s="1">
        <v>22600</v>
      </c>
      <c r="M34" s="1">
        <v>13900</v>
      </c>
      <c r="N34" s="2">
        <f>SUM(B34:M34)</f>
        <v>264515</v>
      </c>
    </row>
    <row r="35" spans="1:14" x14ac:dyDescent="0.2">
      <c r="A35" s="4" t="s">
        <v>35</v>
      </c>
      <c r="B35" s="1">
        <v>10</v>
      </c>
      <c r="C35" s="1">
        <v>5</v>
      </c>
      <c r="D35" s="1">
        <v>12</v>
      </c>
      <c r="E35" s="1">
        <v>18</v>
      </c>
      <c r="F35" s="1">
        <v>11</v>
      </c>
      <c r="G35" s="1">
        <v>20</v>
      </c>
      <c r="H35" s="1">
        <v>9</v>
      </c>
      <c r="I35" s="1">
        <v>11</v>
      </c>
      <c r="J35" s="1">
        <v>9</v>
      </c>
      <c r="K35" s="1">
        <v>6</v>
      </c>
      <c r="L35" s="1">
        <v>7</v>
      </c>
      <c r="M35" s="1">
        <v>17</v>
      </c>
      <c r="N35" s="1">
        <f t="shared" si="1"/>
        <v>135</v>
      </c>
    </row>
    <row r="36" spans="1:14" x14ac:dyDescent="0.2">
      <c r="A36" s="4" t="s">
        <v>18</v>
      </c>
      <c r="B36" s="1">
        <v>4482</v>
      </c>
      <c r="C36" s="1">
        <v>4000</v>
      </c>
      <c r="D36" s="1">
        <v>4290</v>
      </c>
      <c r="E36" s="1">
        <v>19760</v>
      </c>
      <c r="F36" s="1">
        <v>4810</v>
      </c>
      <c r="G36" s="1">
        <v>10699</v>
      </c>
      <c r="H36" s="1">
        <v>6350</v>
      </c>
      <c r="I36" s="1">
        <v>14010</v>
      </c>
      <c r="J36" s="1">
        <v>4425</v>
      </c>
      <c r="K36" s="1">
        <v>2300</v>
      </c>
      <c r="L36" s="1">
        <v>4995</v>
      </c>
      <c r="M36" s="1">
        <v>7097</v>
      </c>
      <c r="N36" s="2">
        <f>SUM(B36:M36)</f>
        <v>87218</v>
      </c>
    </row>
    <row r="37" spans="1:14" x14ac:dyDescent="0.2">
      <c r="A37" s="4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1"/>
        <v>0</v>
      </c>
    </row>
    <row r="38" spans="1:14" x14ac:dyDescent="0.2">
      <c r="A38" s="4" t="s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>SUM(B38:M38)</f>
        <v>0</v>
      </c>
    </row>
    <row r="39" spans="1:14" x14ac:dyDescent="0.2">
      <c r="A39" s="4" t="s">
        <v>37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1</v>
      </c>
      <c r="L39" s="1">
        <v>0</v>
      </c>
      <c r="M39" s="1">
        <v>0</v>
      </c>
      <c r="N39" s="1">
        <f t="shared" si="1"/>
        <v>3</v>
      </c>
    </row>
    <row r="40" spans="1:14" x14ac:dyDescent="0.2">
      <c r="A40" s="4" t="s">
        <v>18</v>
      </c>
      <c r="B40" s="1">
        <v>0</v>
      </c>
      <c r="C40" s="1">
        <v>75000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2000</v>
      </c>
      <c r="J40" s="1">
        <v>0</v>
      </c>
      <c r="K40" s="1">
        <v>1500</v>
      </c>
      <c r="L40" s="1">
        <v>0</v>
      </c>
      <c r="M40" s="1">
        <v>0</v>
      </c>
      <c r="N40" s="2">
        <f>SUM(B40:M40)</f>
        <v>78500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 t="shared" ref="B42:M42" si="2">SUM(B3+B5+B7+B9+B11+B13+B15+B17+B19+B21+B23+B25+B27+B29+B31+B33+B35+B37+B39)</f>
        <v>122</v>
      </c>
      <c r="C42" s="1">
        <f t="shared" si="2"/>
        <v>115</v>
      </c>
      <c r="D42" s="1">
        <f t="shared" si="2"/>
        <v>170</v>
      </c>
      <c r="E42" s="1">
        <f t="shared" si="2"/>
        <v>168</v>
      </c>
      <c r="F42" s="1">
        <f t="shared" si="2"/>
        <v>176</v>
      </c>
      <c r="G42" s="1">
        <f t="shared" si="2"/>
        <v>157</v>
      </c>
      <c r="H42" s="1">
        <f t="shared" si="2"/>
        <v>214</v>
      </c>
      <c r="I42" s="1">
        <f t="shared" si="2"/>
        <v>187</v>
      </c>
      <c r="J42" s="1">
        <f t="shared" si="2"/>
        <v>202</v>
      </c>
      <c r="K42" s="1">
        <f t="shared" si="2"/>
        <v>152</v>
      </c>
      <c r="L42" s="1">
        <f t="shared" si="2"/>
        <v>174</v>
      </c>
      <c r="M42" s="1">
        <f t="shared" si="2"/>
        <v>161</v>
      </c>
      <c r="N42" s="1">
        <f>SUM(B42:M42)</f>
        <v>1998</v>
      </c>
    </row>
    <row r="43" spans="1:14" s="3" customFormat="1" x14ac:dyDescent="0.2">
      <c r="A43" s="6" t="s">
        <v>39</v>
      </c>
      <c r="B43" s="2">
        <f t="shared" ref="B43:M43" si="3">SUM(B4+B6+B8+B10+B12+B14+B16+B18+B20+B22+B24+B26+B28+B30+B32+B34+B36+B38+B40)</f>
        <v>5163695</v>
      </c>
      <c r="C43" s="2">
        <f t="shared" si="3"/>
        <v>6281251</v>
      </c>
      <c r="D43" s="2">
        <f t="shared" si="3"/>
        <v>7098486</v>
      </c>
      <c r="E43" s="2">
        <f t="shared" si="3"/>
        <v>7074748</v>
      </c>
      <c r="F43" s="2">
        <f t="shared" si="3"/>
        <v>22911786</v>
      </c>
      <c r="G43" s="2">
        <f t="shared" si="3"/>
        <v>5363846</v>
      </c>
      <c r="H43" s="2">
        <f t="shared" si="3"/>
        <v>13349377</v>
      </c>
      <c r="I43" s="2">
        <f t="shared" si="3"/>
        <v>8008837</v>
      </c>
      <c r="J43" s="2">
        <f t="shared" si="3"/>
        <v>11881037</v>
      </c>
      <c r="K43" s="2">
        <f t="shared" si="3"/>
        <v>7026293</v>
      </c>
      <c r="L43" s="2">
        <f t="shared" si="3"/>
        <v>7465089</v>
      </c>
      <c r="M43" s="2">
        <f t="shared" si="3"/>
        <v>7201427</v>
      </c>
      <c r="N43" s="2">
        <f>SUM(B43:M43)</f>
        <v>108825872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1993&amp;CCITY OF ALLEN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N33" activePane="bottomRight" state="frozen"/>
      <selection pane="topRight" activeCell="B1" sqref="B1"/>
      <selection pane="bottomLeft" activeCell="A2" sqref="A2"/>
      <selection pane="bottomRight" activeCell="N45" sqref="N45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64</v>
      </c>
      <c r="C3" s="1">
        <v>94</v>
      </c>
      <c r="D3" s="1">
        <v>119</v>
      </c>
      <c r="E3" s="1">
        <v>97</v>
      </c>
      <c r="F3" s="1">
        <v>86</v>
      </c>
      <c r="G3" s="1">
        <v>71</v>
      </c>
      <c r="H3" s="1">
        <v>56</v>
      </c>
      <c r="I3" s="1">
        <v>98</v>
      </c>
      <c r="J3" s="1">
        <v>57</v>
      </c>
      <c r="K3" s="1">
        <v>52</v>
      </c>
      <c r="L3" s="1">
        <v>48</v>
      </c>
      <c r="M3" s="1">
        <v>40</v>
      </c>
      <c r="N3" s="1">
        <f t="shared" ref="N3:N12" si="0">SUM(B3:M3)</f>
        <v>882</v>
      </c>
    </row>
    <row r="4" spans="1:14" x14ac:dyDescent="0.2">
      <c r="A4" s="4" t="s">
        <v>18</v>
      </c>
      <c r="B4" s="1">
        <v>8484955</v>
      </c>
      <c r="C4" s="1">
        <v>14216132</v>
      </c>
      <c r="D4" s="1">
        <v>14805849</v>
      </c>
      <c r="E4" s="1">
        <v>11455887</v>
      </c>
      <c r="F4" s="1">
        <v>11559189</v>
      </c>
      <c r="G4" s="1">
        <v>8496244</v>
      </c>
      <c r="H4" s="1">
        <v>6606310</v>
      </c>
      <c r="I4" s="1">
        <v>12289610</v>
      </c>
      <c r="J4" s="1">
        <v>6243018</v>
      </c>
      <c r="K4" s="1">
        <v>5821823</v>
      </c>
      <c r="L4" s="1">
        <v>5970899</v>
      </c>
      <c r="M4" s="1">
        <v>5259973</v>
      </c>
      <c r="N4" s="2">
        <f t="shared" si="0"/>
        <v>111209889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x14ac:dyDescent="0.2">
      <c r="A11" s="4" t="s">
        <v>22</v>
      </c>
      <c r="B11" s="1">
        <v>8</v>
      </c>
      <c r="C11" s="1">
        <v>8</v>
      </c>
      <c r="D11" s="1">
        <v>13</v>
      </c>
      <c r="E11" s="1">
        <v>12</v>
      </c>
      <c r="F11" s="1">
        <v>3</v>
      </c>
      <c r="G11" s="1">
        <v>17</v>
      </c>
      <c r="H11" s="1">
        <v>7</v>
      </c>
      <c r="I11" s="1">
        <v>12</v>
      </c>
      <c r="J11" s="1">
        <v>9</v>
      </c>
      <c r="K11" s="1">
        <v>7</v>
      </c>
      <c r="L11" s="1">
        <v>9</v>
      </c>
      <c r="M11" s="1">
        <v>9</v>
      </c>
      <c r="N11" s="1">
        <f t="shared" si="0"/>
        <v>114</v>
      </c>
    </row>
    <row r="12" spans="1:14" x14ac:dyDescent="0.2">
      <c r="A12" s="4" t="s">
        <v>18</v>
      </c>
      <c r="B12" s="1">
        <v>15769</v>
      </c>
      <c r="C12" s="1">
        <v>27000</v>
      </c>
      <c r="D12" s="1">
        <v>35841</v>
      </c>
      <c r="E12" s="1">
        <v>68996</v>
      </c>
      <c r="F12" s="1">
        <v>71732</v>
      </c>
      <c r="G12" s="1">
        <v>109864</v>
      </c>
      <c r="H12" s="1">
        <v>7570</v>
      </c>
      <c r="I12" s="1">
        <v>15325</v>
      </c>
      <c r="J12" s="1">
        <v>108500</v>
      </c>
      <c r="K12" s="1">
        <v>48344</v>
      </c>
      <c r="L12" s="1">
        <v>50085</v>
      </c>
      <c r="M12" s="1">
        <v>52300</v>
      </c>
      <c r="N12" s="2">
        <f t="shared" si="0"/>
        <v>611326</v>
      </c>
    </row>
    <row r="13" spans="1:14" x14ac:dyDescent="0.2">
      <c r="A13" s="4" t="s">
        <v>46</v>
      </c>
      <c r="B13" s="1">
        <v>1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0</v>
      </c>
      <c r="I13" s="1">
        <v>3</v>
      </c>
      <c r="J13" s="1">
        <v>0</v>
      </c>
      <c r="K13" s="1">
        <v>3</v>
      </c>
      <c r="L13" s="1">
        <v>0</v>
      </c>
      <c r="M13" s="1">
        <v>0</v>
      </c>
      <c r="N13" s="1">
        <f>SUM(B13:M13)</f>
        <v>9</v>
      </c>
    </row>
    <row r="14" spans="1:14" x14ac:dyDescent="0.2">
      <c r="A14" s="4" t="s">
        <v>18</v>
      </c>
      <c r="B14" s="1">
        <v>200000</v>
      </c>
      <c r="C14" s="1">
        <v>0</v>
      </c>
      <c r="D14" s="1">
        <v>0</v>
      </c>
      <c r="E14" s="1">
        <v>0</v>
      </c>
      <c r="F14" s="1">
        <v>245000</v>
      </c>
      <c r="G14" s="1">
        <v>0</v>
      </c>
      <c r="H14" s="1">
        <v>0</v>
      </c>
      <c r="I14" s="1">
        <v>960100</v>
      </c>
      <c r="J14" s="1">
        <v>0</v>
      </c>
      <c r="K14" s="1">
        <v>401300</v>
      </c>
      <c r="L14" s="1">
        <v>0</v>
      </c>
      <c r="M14" s="1">
        <v>0</v>
      </c>
      <c r="N14" s="2">
        <f>SUM(B14:M14)</f>
        <v>1806400</v>
      </c>
    </row>
    <row r="15" spans="1:14" x14ac:dyDescent="0.2">
      <c r="A15" s="4" t="s">
        <v>47</v>
      </c>
      <c r="B15" s="1">
        <v>1</v>
      </c>
      <c r="C15" s="1">
        <v>3</v>
      </c>
      <c r="D15" s="1">
        <v>2</v>
      </c>
      <c r="E15" s="1">
        <v>3</v>
      </c>
      <c r="F15" s="1">
        <v>1</v>
      </c>
      <c r="G15" s="1">
        <v>10</v>
      </c>
      <c r="H15" s="1">
        <v>5</v>
      </c>
      <c r="I15" s="1">
        <v>6</v>
      </c>
      <c r="J15" s="1">
        <v>2</v>
      </c>
      <c r="K15" s="1">
        <v>2</v>
      </c>
      <c r="L15" s="1">
        <v>3</v>
      </c>
      <c r="M15" s="1">
        <v>2</v>
      </c>
      <c r="N15" s="1">
        <f t="shared" ref="N15:N39" si="1">SUM(B15:M15)</f>
        <v>40</v>
      </c>
    </row>
    <row r="16" spans="1:14" x14ac:dyDescent="0.2">
      <c r="A16" s="4" t="s">
        <v>18</v>
      </c>
      <c r="B16" s="1">
        <v>2000</v>
      </c>
      <c r="C16" s="1">
        <v>81500</v>
      </c>
      <c r="D16" s="1">
        <v>83100</v>
      </c>
      <c r="E16" s="1">
        <v>106600</v>
      </c>
      <c r="F16" s="1">
        <v>22000</v>
      </c>
      <c r="G16" s="1">
        <v>231200</v>
      </c>
      <c r="H16" s="1">
        <v>35000</v>
      </c>
      <c r="I16" s="1">
        <v>23205</v>
      </c>
      <c r="J16" s="1">
        <v>18650</v>
      </c>
      <c r="K16" s="1">
        <v>33500</v>
      </c>
      <c r="L16" s="1">
        <v>6950</v>
      </c>
      <c r="M16" s="1">
        <v>23000</v>
      </c>
      <c r="N16" s="2">
        <f>SUM(B16:M16)</f>
        <v>666705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>SUM(B18:M18)</f>
        <v>0</v>
      </c>
    </row>
    <row r="19" spans="1:14" x14ac:dyDescent="0.2">
      <c r="A19" s="4" t="s">
        <v>27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f t="shared" si="1"/>
        <v>4</v>
      </c>
    </row>
    <row r="20" spans="1:14" x14ac:dyDescent="0.2">
      <c r="A20" s="4" t="s">
        <v>18</v>
      </c>
      <c r="B20" s="1">
        <v>30800</v>
      </c>
      <c r="C20" s="1">
        <v>0</v>
      </c>
      <c r="D20" s="1">
        <v>0</v>
      </c>
      <c r="E20" s="1">
        <v>0</v>
      </c>
      <c r="F20" s="1">
        <v>4000000</v>
      </c>
      <c r="G20" s="1">
        <v>0</v>
      </c>
      <c r="H20" s="1">
        <v>180000</v>
      </c>
      <c r="I20" s="1">
        <v>0</v>
      </c>
      <c r="J20" s="1">
        <v>1900000</v>
      </c>
      <c r="K20" s="1">
        <v>0</v>
      </c>
      <c r="L20" s="1">
        <v>0</v>
      </c>
      <c r="M20" s="1">
        <v>0</v>
      </c>
      <c r="N20" s="2">
        <f>SUM(B20:M20)</f>
        <v>6110800</v>
      </c>
    </row>
    <row r="21" spans="1:14" x14ac:dyDescent="0.2">
      <c r="A21" s="4" t="s">
        <v>28</v>
      </c>
      <c r="B21" s="1">
        <v>0</v>
      </c>
      <c r="C21" s="1">
        <v>1</v>
      </c>
      <c r="D21" s="1">
        <v>0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3</v>
      </c>
    </row>
    <row r="22" spans="1:14" x14ac:dyDescent="0.2">
      <c r="A22" s="4" t="s">
        <v>18</v>
      </c>
      <c r="B22" s="1">
        <v>0</v>
      </c>
      <c r="C22" s="1">
        <v>250000</v>
      </c>
      <c r="D22" s="1">
        <v>0</v>
      </c>
      <c r="E22" s="1">
        <v>204000</v>
      </c>
      <c r="F22" s="1">
        <v>0</v>
      </c>
      <c r="G22" s="1">
        <v>0</v>
      </c>
      <c r="H22" s="1">
        <v>300000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>SUM(B22:M22)</f>
        <v>754000</v>
      </c>
    </row>
    <row r="23" spans="1:14" x14ac:dyDescent="0.2">
      <c r="A23" s="4" t="s">
        <v>29</v>
      </c>
      <c r="B23" s="1">
        <v>4</v>
      </c>
      <c r="C23" s="1">
        <v>4</v>
      </c>
      <c r="D23" s="1">
        <v>1</v>
      </c>
      <c r="E23" s="1">
        <v>1</v>
      </c>
      <c r="F23" s="1">
        <v>2</v>
      </c>
      <c r="G23" s="1">
        <v>2</v>
      </c>
      <c r="H23" s="1">
        <v>1</v>
      </c>
      <c r="I23" s="1">
        <v>0</v>
      </c>
      <c r="J23" s="1">
        <v>1</v>
      </c>
      <c r="K23" s="1">
        <v>2</v>
      </c>
      <c r="L23" s="1">
        <v>3</v>
      </c>
      <c r="M23" s="1">
        <v>1</v>
      </c>
      <c r="N23" s="1">
        <f t="shared" si="1"/>
        <v>22</v>
      </c>
    </row>
    <row r="24" spans="1:14" x14ac:dyDescent="0.2">
      <c r="A24" s="4" t="s">
        <v>18</v>
      </c>
      <c r="B24" s="1">
        <v>8000</v>
      </c>
      <c r="C24" s="1">
        <v>4000</v>
      </c>
      <c r="D24" s="1">
        <v>1000</v>
      </c>
      <c r="E24" s="1">
        <v>3500</v>
      </c>
      <c r="F24" s="1">
        <v>30300</v>
      </c>
      <c r="G24" s="1">
        <v>4600</v>
      </c>
      <c r="H24" s="1">
        <v>1000</v>
      </c>
      <c r="I24" s="1">
        <v>0</v>
      </c>
      <c r="J24" s="1">
        <v>1000</v>
      </c>
      <c r="K24" s="1">
        <v>2000</v>
      </c>
      <c r="L24" s="1">
        <v>5300</v>
      </c>
      <c r="M24" s="1">
        <v>0</v>
      </c>
      <c r="N24" s="2">
        <f>SUM(B24:M24)</f>
        <v>60700</v>
      </c>
    </row>
    <row r="25" spans="1:14" x14ac:dyDescent="0.2">
      <c r="A25" s="4" t="s">
        <v>30</v>
      </c>
      <c r="B25" s="1">
        <v>3</v>
      </c>
      <c r="C25" s="1">
        <v>5</v>
      </c>
      <c r="D25" s="1">
        <v>3</v>
      </c>
      <c r="E25" s="1">
        <v>9</v>
      </c>
      <c r="F25" s="1">
        <v>8</v>
      </c>
      <c r="G25" s="1">
        <v>8</v>
      </c>
      <c r="H25" s="1">
        <v>2</v>
      </c>
      <c r="I25" s="1">
        <v>8</v>
      </c>
      <c r="J25" s="1">
        <v>2</v>
      </c>
      <c r="K25" s="1">
        <v>0</v>
      </c>
      <c r="L25" s="1">
        <v>7</v>
      </c>
      <c r="M25" s="1">
        <v>1</v>
      </c>
      <c r="N25" s="1">
        <f t="shared" si="1"/>
        <v>56</v>
      </c>
    </row>
    <row r="26" spans="1:14" x14ac:dyDescent="0.2">
      <c r="A26" s="4" t="s">
        <v>18</v>
      </c>
      <c r="B26" s="1">
        <v>3300</v>
      </c>
      <c r="C26" s="1">
        <v>7244</v>
      </c>
      <c r="D26" s="1">
        <v>2400</v>
      </c>
      <c r="E26" s="1">
        <v>16775</v>
      </c>
      <c r="F26" s="1">
        <v>5758</v>
      </c>
      <c r="G26" s="1">
        <v>9850</v>
      </c>
      <c r="H26" s="1">
        <v>1477</v>
      </c>
      <c r="I26" s="1">
        <v>10780</v>
      </c>
      <c r="J26" s="1">
        <v>1400</v>
      </c>
      <c r="K26" s="1">
        <v>0</v>
      </c>
      <c r="L26" s="1">
        <v>9453</v>
      </c>
      <c r="M26" s="1">
        <v>500</v>
      </c>
      <c r="N26" s="2">
        <f>SUM(B26:M26)</f>
        <v>68937</v>
      </c>
    </row>
    <row r="27" spans="1:14" x14ac:dyDescent="0.2">
      <c r="A27" s="4" t="s">
        <v>31</v>
      </c>
      <c r="B27" s="1">
        <v>6</v>
      </c>
      <c r="C27" s="1">
        <v>4</v>
      </c>
      <c r="D27" s="1">
        <v>11</v>
      </c>
      <c r="E27" s="1">
        <v>13</v>
      </c>
      <c r="F27" s="1">
        <v>19</v>
      </c>
      <c r="G27" s="1">
        <v>23</v>
      </c>
      <c r="H27" s="1">
        <v>19</v>
      </c>
      <c r="I27" s="1">
        <v>18</v>
      </c>
      <c r="J27" s="1">
        <v>13</v>
      </c>
      <c r="K27" s="1">
        <v>4</v>
      </c>
      <c r="L27" s="1">
        <v>5</v>
      </c>
      <c r="M27" s="1">
        <v>9</v>
      </c>
      <c r="N27" s="1">
        <f t="shared" si="1"/>
        <v>144</v>
      </c>
    </row>
    <row r="28" spans="1:14" x14ac:dyDescent="0.2">
      <c r="A28" s="4" t="s">
        <v>18</v>
      </c>
      <c r="B28" s="1">
        <v>110200</v>
      </c>
      <c r="C28" s="1">
        <v>123758</v>
      </c>
      <c r="D28" s="1">
        <v>215440</v>
      </c>
      <c r="E28" s="1">
        <v>216853</v>
      </c>
      <c r="F28" s="1">
        <v>453952</v>
      </c>
      <c r="G28" s="1">
        <v>398685</v>
      </c>
      <c r="H28" s="1">
        <v>402250</v>
      </c>
      <c r="I28" s="1">
        <v>318572</v>
      </c>
      <c r="J28" s="1">
        <v>234700</v>
      </c>
      <c r="K28" s="1">
        <v>74400</v>
      </c>
      <c r="L28" s="1">
        <v>104735</v>
      </c>
      <c r="M28" s="1">
        <v>180600</v>
      </c>
      <c r="N28" s="2">
        <f>SUM(B28:M28)</f>
        <v>2834145</v>
      </c>
    </row>
    <row r="29" spans="1:14" x14ac:dyDescent="0.2">
      <c r="A29" s="4" t="s">
        <v>32</v>
      </c>
      <c r="B29" s="1">
        <v>3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2</v>
      </c>
      <c r="L29" s="1">
        <v>0</v>
      </c>
      <c r="M29" s="1">
        <v>0</v>
      </c>
      <c r="N29" s="1">
        <f t="shared" si="1"/>
        <v>7</v>
      </c>
    </row>
    <row r="30" spans="1:14" x14ac:dyDescent="0.2">
      <c r="A30" s="4" t="s">
        <v>18</v>
      </c>
      <c r="B30" s="1">
        <v>19120</v>
      </c>
      <c r="C30" s="1">
        <v>0</v>
      </c>
      <c r="D30" s="1">
        <v>7000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4628</v>
      </c>
      <c r="K30" s="1">
        <v>15700</v>
      </c>
      <c r="L30" s="1">
        <v>0</v>
      </c>
      <c r="M30" s="1">
        <v>0</v>
      </c>
      <c r="N30" s="2">
        <f>SUM(B30:M30)</f>
        <v>46448</v>
      </c>
    </row>
    <row r="31" spans="1:14" x14ac:dyDescent="0.2">
      <c r="A31" s="4" t="s">
        <v>33</v>
      </c>
      <c r="B31" s="1">
        <v>40</v>
      </c>
      <c r="C31" s="1">
        <v>60</v>
      </c>
      <c r="D31" s="1">
        <v>80</v>
      </c>
      <c r="E31" s="1">
        <v>91</v>
      </c>
      <c r="F31" s="1">
        <v>85</v>
      </c>
      <c r="G31" s="1">
        <v>70</v>
      </c>
      <c r="H31" s="1">
        <v>72</v>
      </c>
      <c r="I31" s="1">
        <v>105</v>
      </c>
      <c r="J31" s="1">
        <v>62</v>
      </c>
      <c r="K31" s="1">
        <v>37</v>
      </c>
      <c r="L31" s="1">
        <v>67</v>
      </c>
      <c r="M31" s="1">
        <v>52</v>
      </c>
      <c r="N31" s="1">
        <f t="shared" si="1"/>
        <v>821</v>
      </c>
    </row>
    <row r="32" spans="1:14" x14ac:dyDescent="0.2">
      <c r="A32" s="4" t="s">
        <v>18</v>
      </c>
      <c r="B32" s="1">
        <v>31450</v>
      </c>
      <c r="C32" s="1">
        <v>47570</v>
      </c>
      <c r="D32" s="1">
        <v>79280</v>
      </c>
      <c r="E32" s="1">
        <v>86677</v>
      </c>
      <c r="F32" s="1">
        <v>68280</v>
      </c>
      <c r="G32" s="1">
        <v>54450</v>
      </c>
      <c r="H32" s="1">
        <v>60900</v>
      </c>
      <c r="I32" s="1">
        <v>89435</v>
      </c>
      <c r="J32" s="1">
        <v>67400</v>
      </c>
      <c r="K32" s="1">
        <v>40630</v>
      </c>
      <c r="L32" s="1">
        <v>94453</v>
      </c>
      <c r="M32" s="1">
        <v>44050</v>
      </c>
      <c r="N32" s="2">
        <f>SUM(B32:M32)</f>
        <v>764575</v>
      </c>
    </row>
    <row r="33" spans="1:14" x14ac:dyDescent="0.2">
      <c r="A33" s="4" t="s">
        <v>34</v>
      </c>
      <c r="B33" s="1">
        <v>18</v>
      </c>
      <c r="C33" s="1">
        <v>19</v>
      </c>
      <c r="D33" s="1">
        <v>45</v>
      </c>
      <c r="E33" s="1">
        <v>49</v>
      </c>
      <c r="F33" s="1">
        <v>41</v>
      </c>
      <c r="G33" s="1">
        <v>62</v>
      </c>
      <c r="H33" s="1">
        <v>47</v>
      </c>
      <c r="I33" s="1">
        <v>68</v>
      </c>
      <c r="J33" s="1">
        <v>59</v>
      </c>
      <c r="K33" s="1">
        <v>31</v>
      </c>
      <c r="L33" s="1">
        <v>48</v>
      </c>
      <c r="M33" s="1">
        <v>38</v>
      </c>
      <c r="N33" s="1">
        <f t="shared" si="1"/>
        <v>525</v>
      </c>
    </row>
    <row r="34" spans="1:14" x14ac:dyDescent="0.2">
      <c r="A34" s="4" t="s">
        <v>18</v>
      </c>
      <c r="B34" s="1">
        <v>20660</v>
      </c>
      <c r="C34" s="1">
        <v>20600</v>
      </c>
      <c r="D34" s="1">
        <v>54525</v>
      </c>
      <c r="E34" s="1">
        <v>68397</v>
      </c>
      <c r="F34" s="1">
        <v>54490</v>
      </c>
      <c r="G34" s="1">
        <v>76690</v>
      </c>
      <c r="H34" s="1">
        <v>88680</v>
      </c>
      <c r="I34" s="1">
        <v>90850</v>
      </c>
      <c r="J34" s="1">
        <v>75600</v>
      </c>
      <c r="K34" s="1">
        <v>39300</v>
      </c>
      <c r="L34" s="1">
        <v>84822</v>
      </c>
      <c r="M34" s="1">
        <v>48125</v>
      </c>
      <c r="N34" s="2">
        <f>SUM(B34:M34)</f>
        <v>722739</v>
      </c>
    </row>
    <row r="35" spans="1:14" x14ac:dyDescent="0.2">
      <c r="A35" s="4" t="s">
        <v>35</v>
      </c>
      <c r="B35" s="1">
        <v>21</v>
      </c>
      <c r="C35" s="1">
        <v>20</v>
      </c>
      <c r="D35" s="1">
        <v>14</v>
      </c>
      <c r="E35" s="1">
        <v>6</v>
      </c>
      <c r="F35" s="1">
        <v>7</v>
      </c>
      <c r="G35" s="1">
        <v>11</v>
      </c>
      <c r="H35" s="1">
        <v>6</v>
      </c>
      <c r="I35" s="1">
        <v>11</v>
      </c>
      <c r="J35" s="1">
        <v>8</v>
      </c>
      <c r="K35" s="1">
        <v>16</v>
      </c>
      <c r="L35" s="1">
        <v>17</v>
      </c>
      <c r="M35" s="1">
        <v>11</v>
      </c>
      <c r="N35" s="1">
        <f t="shared" si="1"/>
        <v>148</v>
      </c>
    </row>
    <row r="36" spans="1:14" x14ac:dyDescent="0.2">
      <c r="A36" s="4" t="s">
        <v>18</v>
      </c>
      <c r="B36" s="1">
        <v>11497</v>
      </c>
      <c r="C36" s="1">
        <v>12573</v>
      </c>
      <c r="D36" s="1">
        <v>4050</v>
      </c>
      <c r="E36" s="1">
        <v>8040</v>
      </c>
      <c r="F36" s="1">
        <v>3155</v>
      </c>
      <c r="G36" s="1">
        <v>19300</v>
      </c>
      <c r="H36" s="1">
        <v>1975</v>
      </c>
      <c r="I36" s="1">
        <v>14955</v>
      </c>
      <c r="J36" s="1">
        <v>1650</v>
      </c>
      <c r="K36" s="1">
        <v>3330</v>
      </c>
      <c r="L36" s="1">
        <v>5245</v>
      </c>
      <c r="M36" s="1">
        <v>4625</v>
      </c>
      <c r="N36" s="2">
        <f>SUM(B36:M36)</f>
        <v>90395</v>
      </c>
    </row>
    <row r="37" spans="1:14" x14ac:dyDescent="0.2">
      <c r="A37" s="4" t="s">
        <v>36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1"/>
        <v>3</v>
      </c>
    </row>
    <row r="38" spans="1:14" x14ac:dyDescent="0.2">
      <c r="A38" s="4" t="s">
        <v>18</v>
      </c>
      <c r="B38" s="1">
        <v>0</v>
      </c>
      <c r="C38" s="1">
        <v>1000</v>
      </c>
      <c r="D38" s="1">
        <v>0</v>
      </c>
      <c r="E38" s="1">
        <v>0</v>
      </c>
      <c r="F38" s="1">
        <v>0</v>
      </c>
      <c r="G38" s="1">
        <v>6000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>SUM(B38:M38)</f>
        <v>7000</v>
      </c>
    </row>
    <row r="39" spans="1:14" x14ac:dyDescent="0.2">
      <c r="A39" s="4" t="s">
        <v>37</v>
      </c>
      <c r="B39" s="1">
        <v>0</v>
      </c>
      <c r="C39" s="1">
        <v>1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f t="shared" si="1"/>
        <v>4</v>
      </c>
    </row>
    <row r="40" spans="1:14" x14ac:dyDescent="0.2">
      <c r="A40" s="4" t="s">
        <v>18</v>
      </c>
      <c r="B40" s="1">
        <v>0</v>
      </c>
      <c r="C40" s="1">
        <v>800</v>
      </c>
      <c r="D40" s="1">
        <v>7000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>SUM(B40:M40)</f>
        <v>7800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 t="shared" ref="B42:M42" si="2">SUM(B3+B5+B7+B9+B11+B13+B15+B17+B19+B21+B23+B25+B27+B29+B31+B33+B35+B37+B39)</f>
        <v>170</v>
      </c>
      <c r="C42" s="1">
        <f t="shared" si="2"/>
        <v>220</v>
      </c>
      <c r="D42" s="1">
        <f t="shared" si="2"/>
        <v>291</v>
      </c>
      <c r="E42" s="1">
        <f t="shared" si="2"/>
        <v>282</v>
      </c>
      <c r="F42" s="1">
        <f t="shared" si="2"/>
        <v>255</v>
      </c>
      <c r="G42" s="1">
        <f t="shared" si="2"/>
        <v>276</v>
      </c>
      <c r="H42" s="1">
        <f t="shared" si="2"/>
        <v>217</v>
      </c>
      <c r="I42" s="1">
        <f t="shared" si="2"/>
        <v>329</v>
      </c>
      <c r="J42" s="1">
        <f t="shared" si="2"/>
        <v>215</v>
      </c>
      <c r="K42" s="1">
        <f t="shared" si="2"/>
        <v>156</v>
      </c>
      <c r="L42" s="1">
        <f t="shared" si="2"/>
        <v>207</v>
      </c>
      <c r="M42" s="1">
        <f t="shared" si="2"/>
        <v>164</v>
      </c>
      <c r="N42" s="1">
        <f>SUM(B42:M42)</f>
        <v>2782</v>
      </c>
    </row>
    <row r="43" spans="1:14" s="3" customFormat="1" x14ac:dyDescent="0.2">
      <c r="A43" s="6" t="s">
        <v>39</v>
      </c>
      <c r="B43" s="2">
        <f t="shared" ref="B43:M43" si="3">SUM(B4+B6+B8+B10+B12+B14+B16+B18+B20+B22+B24+B26+B28+B30+B32+B34+B36+B38+B40)</f>
        <v>8937751</v>
      </c>
      <c r="C43" s="2">
        <f t="shared" si="3"/>
        <v>14792177</v>
      </c>
      <c r="D43" s="2">
        <f t="shared" si="3"/>
        <v>15295485</v>
      </c>
      <c r="E43" s="2">
        <f t="shared" si="3"/>
        <v>12235725</v>
      </c>
      <c r="F43" s="2">
        <f t="shared" si="3"/>
        <v>16513856</v>
      </c>
      <c r="G43" s="2">
        <f t="shared" si="3"/>
        <v>9406883</v>
      </c>
      <c r="H43" s="2">
        <f t="shared" si="3"/>
        <v>7685162</v>
      </c>
      <c r="I43" s="2">
        <f t="shared" si="3"/>
        <v>13812832</v>
      </c>
      <c r="J43" s="2">
        <f t="shared" si="3"/>
        <v>8656546</v>
      </c>
      <c r="K43" s="2">
        <f t="shared" si="3"/>
        <v>6480327</v>
      </c>
      <c r="L43" s="2">
        <f t="shared" si="3"/>
        <v>6331942</v>
      </c>
      <c r="M43" s="2">
        <f t="shared" si="3"/>
        <v>5613173</v>
      </c>
      <c r="N43" s="2">
        <f>SUM(B43:M43)</f>
        <v>125761859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1994&amp;CCITY OF ALLEN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L32" activePane="bottomRight" state="frozen"/>
      <selection pane="topRight" activeCell="B1" sqref="B1"/>
      <selection pane="bottomLeft" activeCell="A2" sqref="A2"/>
      <selection pane="bottomRight" activeCell="N40" sqref="N40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50</v>
      </c>
      <c r="C3" s="1">
        <v>74</v>
      </c>
      <c r="D3" s="1">
        <v>54</v>
      </c>
      <c r="E3" s="1">
        <v>68</v>
      </c>
      <c r="F3" s="1">
        <v>89</v>
      </c>
      <c r="G3" s="1">
        <v>67</v>
      </c>
      <c r="H3" s="1">
        <v>91</v>
      </c>
      <c r="I3" s="1">
        <v>67</v>
      </c>
      <c r="J3" s="1">
        <v>60</v>
      </c>
      <c r="K3" s="1">
        <v>75</v>
      </c>
      <c r="L3" s="1">
        <v>69</v>
      </c>
      <c r="M3" s="1">
        <v>73</v>
      </c>
      <c r="N3" s="1">
        <f t="shared" ref="N3:N12" si="0">SUM(B3:M3)</f>
        <v>837</v>
      </c>
    </row>
    <row r="4" spans="1:14" x14ac:dyDescent="0.2">
      <c r="A4" s="4" t="s">
        <v>18</v>
      </c>
      <c r="B4" s="1">
        <v>6095729</v>
      </c>
      <c r="C4" s="1">
        <v>8803962</v>
      </c>
      <c r="D4" s="1">
        <v>6530501</v>
      </c>
      <c r="E4" s="1">
        <v>9117582</v>
      </c>
      <c r="F4" s="1">
        <v>12097911</v>
      </c>
      <c r="G4" s="1">
        <v>9258202</v>
      </c>
      <c r="H4" s="1">
        <v>11487358</v>
      </c>
      <c r="I4" s="1">
        <v>9706047</v>
      </c>
      <c r="J4" s="1">
        <v>9463644</v>
      </c>
      <c r="K4" s="1">
        <v>11520512</v>
      </c>
      <c r="L4" s="1">
        <v>9234929</v>
      </c>
      <c r="M4" s="1">
        <v>11065245</v>
      </c>
      <c r="N4" s="2">
        <f t="shared" si="0"/>
        <v>114381622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x14ac:dyDescent="0.2">
      <c r="A11" s="4" t="s">
        <v>22</v>
      </c>
      <c r="B11" s="1">
        <v>10</v>
      </c>
      <c r="C11" s="1">
        <v>9</v>
      </c>
      <c r="D11" s="1">
        <v>12</v>
      </c>
      <c r="E11" s="1">
        <v>10</v>
      </c>
      <c r="F11" s="1">
        <v>43</v>
      </c>
      <c r="G11" s="1">
        <v>81</v>
      </c>
      <c r="H11" s="1">
        <v>30</v>
      </c>
      <c r="I11" s="1">
        <v>37</v>
      </c>
      <c r="J11" s="1">
        <v>18</v>
      </c>
      <c r="K11" s="1">
        <v>29</v>
      </c>
      <c r="L11" s="1">
        <v>8</v>
      </c>
      <c r="M11" s="1">
        <v>14</v>
      </c>
      <c r="N11" s="1">
        <f t="shared" si="0"/>
        <v>301</v>
      </c>
    </row>
    <row r="12" spans="1:14" x14ac:dyDescent="0.2">
      <c r="A12" s="4" t="s">
        <v>18</v>
      </c>
      <c r="B12" s="1">
        <v>55210</v>
      </c>
      <c r="C12" s="1">
        <v>18100</v>
      </c>
      <c r="D12" s="1">
        <v>61305</v>
      </c>
      <c r="E12" s="1">
        <v>21850</v>
      </c>
      <c r="F12" s="1">
        <v>156914</v>
      </c>
      <c r="G12" s="1">
        <v>295131</v>
      </c>
      <c r="H12" s="1">
        <v>115148</v>
      </c>
      <c r="I12" s="1">
        <v>129503</v>
      </c>
      <c r="J12" s="1">
        <v>42274</v>
      </c>
      <c r="K12" s="1">
        <v>111531</v>
      </c>
      <c r="L12" s="1">
        <v>38877</v>
      </c>
      <c r="M12" s="1">
        <v>53624</v>
      </c>
      <c r="N12" s="2">
        <f t="shared" si="0"/>
        <v>1099467</v>
      </c>
    </row>
    <row r="13" spans="1:14" x14ac:dyDescent="0.2">
      <c r="A13" s="4" t="s">
        <v>46</v>
      </c>
      <c r="B13" s="1">
        <v>0</v>
      </c>
      <c r="C13" s="1">
        <v>1</v>
      </c>
      <c r="D13" s="1">
        <v>2</v>
      </c>
      <c r="E13" s="1">
        <v>0</v>
      </c>
      <c r="F13" s="1">
        <v>2</v>
      </c>
      <c r="G13" s="1">
        <v>1</v>
      </c>
      <c r="H13" s="1">
        <v>2</v>
      </c>
      <c r="I13" s="1">
        <v>2</v>
      </c>
      <c r="J13" s="1">
        <v>1</v>
      </c>
      <c r="K13" s="1">
        <v>1</v>
      </c>
      <c r="L13" s="1">
        <v>1</v>
      </c>
      <c r="M13" s="1">
        <v>0</v>
      </c>
      <c r="N13" s="1">
        <f>SUM(B13:M13)</f>
        <v>13</v>
      </c>
    </row>
    <row r="14" spans="1:14" x14ac:dyDescent="0.2">
      <c r="A14" s="4" t="s">
        <v>18</v>
      </c>
      <c r="B14" s="1">
        <v>0</v>
      </c>
      <c r="C14" s="1">
        <v>345000</v>
      </c>
      <c r="D14" s="1">
        <v>4650000</v>
      </c>
      <c r="E14" s="1">
        <v>0</v>
      </c>
      <c r="F14" s="1">
        <v>410175</v>
      </c>
      <c r="G14" s="1">
        <v>2950000</v>
      </c>
      <c r="H14" s="1">
        <v>255000</v>
      </c>
      <c r="I14" s="1">
        <v>102000</v>
      </c>
      <c r="J14" s="1">
        <v>750000</v>
      </c>
      <c r="K14" s="1">
        <v>293000</v>
      </c>
      <c r="L14" s="1">
        <v>325000</v>
      </c>
      <c r="M14" s="1">
        <v>0</v>
      </c>
      <c r="N14" s="2">
        <f>SUM(B14:M14)</f>
        <v>10080175</v>
      </c>
    </row>
    <row r="15" spans="1:14" x14ac:dyDescent="0.2">
      <c r="A15" s="4" t="s">
        <v>47</v>
      </c>
      <c r="B15" s="1">
        <v>5</v>
      </c>
      <c r="C15" s="1">
        <v>3</v>
      </c>
      <c r="D15" s="1">
        <v>8</v>
      </c>
      <c r="E15" s="1">
        <v>6</v>
      </c>
      <c r="F15" s="1">
        <v>3</v>
      </c>
      <c r="G15" s="1">
        <v>1</v>
      </c>
      <c r="H15" s="1">
        <v>5</v>
      </c>
      <c r="I15" s="1">
        <v>5</v>
      </c>
      <c r="J15" s="1">
        <v>3</v>
      </c>
      <c r="K15" s="1">
        <v>4</v>
      </c>
      <c r="L15" s="1">
        <v>3</v>
      </c>
      <c r="M15" s="1">
        <v>2</v>
      </c>
      <c r="N15" s="1">
        <f t="shared" ref="N15:N39" si="1">SUM(B15:M15)</f>
        <v>48</v>
      </c>
    </row>
    <row r="16" spans="1:14" x14ac:dyDescent="0.2">
      <c r="A16" s="4" t="s">
        <v>18</v>
      </c>
      <c r="B16" s="1">
        <v>55700</v>
      </c>
      <c r="C16" s="1">
        <v>28675</v>
      </c>
      <c r="D16" s="1">
        <v>2279400</v>
      </c>
      <c r="E16" s="1">
        <v>66000</v>
      </c>
      <c r="F16" s="1">
        <v>7178</v>
      </c>
      <c r="G16" s="1">
        <v>15000</v>
      </c>
      <c r="H16" s="1">
        <v>70600</v>
      </c>
      <c r="I16" s="1">
        <v>44200</v>
      </c>
      <c r="J16" s="1">
        <v>90000</v>
      </c>
      <c r="K16" s="1">
        <v>86500</v>
      </c>
      <c r="L16" s="1">
        <v>4400</v>
      </c>
      <c r="M16" s="1">
        <v>113500</v>
      </c>
      <c r="N16" s="2">
        <f>SUM(B16:M16)</f>
        <v>2861153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>SUM(B18:M18)</f>
        <v>0</v>
      </c>
    </row>
    <row r="19" spans="1:14" x14ac:dyDescent="0.2">
      <c r="A19" s="4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1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320000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>SUM(B20:M20)</f>
        <v>320000</v>
      </c>
    </row>
    <row r="21" spans="1:14" x14ac:dyDescent="0.2">
      <c r="A21" s="4" t="s">
        <v>28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1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340000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>SUM(B22:M22)</f>
        <v>340000</v>
      </c>
    </row>
    <row r="23" spans="1:14" x14ac:dyDescent="0.2">
      <c r="A23" s="4" t="s">
        <v>29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1</v>
      </c>
      <c r="H23" s="1">
        <v>1</v>
      </c>
      <c r="I23" s="1">
        <v>0</v>
      </c>
      <c r="J23" s="1">
        <v>1</v>
      </c>
      <c r="K23" s="1">
        <v>2</v>
      </c>
      <c r="L23" s="1">
        <v>1</v>
      </c>
      <c r="M23" s="1">
        <v>0</v>
      </c>
      <c r="N23" s="1">
        <f t="shared" si="1"/>
        <v>8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1000</v>
      </c>
      <c r="K24" s="1">
        <v>11000</v>
      </c>
      <c r="L24" s="1">
        <v>1000</v>
      </c>
      <c r="M24" s="1">
        <v>0</v>
      </c>
      <c r="N24" s="2">
        <f>SUM(B24:M24)</f>
        <v>13000</v>
      </c>
    </row>
    <row r="25" spans="1:14" x14ac:dyDescent="0.2">
      <c r="A25" s="4" t="s">
        <v>30</v>
      </c>
      <c r="B25" s="1">
        <v>5</v>
      </c>
      <c r="C25" s="1">
        <v>3</v>
      </c>
      <c r="D25" s="1">
        <v>8</v>
      </c>
      <c r="E25" s="1">
        <v>9</v>
      </c>
      <c r="F25" s="1">
        <v>5</v>
      </c>
      <c r="G25" s="1">
        <v>6</v>
      </c>
      <c r="H25" s="1">
        <v>1</v>
      </c>
      <c r="I25" s="1">
        <v>6</v>
      </c>
      <c r="J25" s="1">
        <v>1</v>
      </c>
      <c r="K25" s="1">
        <v>5</v>
      </c>
      <c r="L25" s="1">
        <v>3</v>
      </c>
      <c r="M25" s="1">
        <v>1</v>
      </c>
      <c r="N25" s="1">
        <f t="shared" si="1"/>
        <v>53</v>
      </c>
    </row>
    <row r="26" spans="1:14" x14ac:dyDescent="0.2">
      <c r="A26" s="4" t="s">
        <v>18</v>
      </c>
      <c r="B26" s="1">
        <v>5550</v>
      </c>
      <c r="C26" s="1">
        <v>2000</v>
      </c>
      <c r="D26" s="1">
        <v>7850</v>
      </c>
      <c r="E26" s="1">
        <v>13900</v>
      </c>
      <c r="F26" s="1">
        <v>5000</v>
      </c>
      <c r="G26" s="1">
        <v>3780</v>
      </c>
      <c r="H26" s="1">
        <v>400</v>
      </c>
      <c r="I26" s="1">
        <v>9195</v>
      </c>
      <c r="J26" s="1">
        <v>250</v>
      </c>
      <c r="K26" s="1">
        <v>4498</v>
      </c>
      <c r="L26" s="1">
        <v>3460</v>
      </c>
      <c r="M26" s="1">
        <v>500</v>
      </c>
      <c r="N26" s="2">
        <f>SUM(B26:M26)</f>
        <v>56383</v>
      </c>
    </row>
    <row r="27" spans="1:14" x14ac:dyDescent="0.2">
      <c r="A27" s="4" t="s">
        <v>31</v>
      </c>
      <c r="B27" s="1">
        <v>9</v>
      </c>
      <c r="C27" s="1">
        <v>8</v>
      </c>
      <c r="D27" s="1">
        <v>9</v>
      </c>
      <c r="E27" s="1">
        <v>17</v>
      </c>
      <c r="F27" s="1">
        <v>14</v>
      </c>
      <c r="G27" s="1">
        <v>19</v>
      </c>
      <c r="H27" s="1">
        <v>14</v>
      </c>
      <c r="I27" s="1">
        <v>14</v>
      </c>
      <c r="J27" s="1">
        <v>12</v>
      </c>
      <c r="K27" s="1">
        <v>10</v>
      </c>
      <c r="L27" s="1">
        <v>9</v>
      </c>
      <c r="M27" s="1">
        <v>3</v>
      </c>
      <c r="N27" s="1">
        <f t="shared" si="1"/>
        <v>138</v>
      </c>
    </row>
    <row r="28" spans="1:14" x14ac:dyDescent="0.2">
      <c r="A28" s="4" t="s">
        <v>18</v>
      </c>
      <c r="B28" s="1">
        <v>179400</v>
      </c>
      <c r="C28" s="1">
        <v>126185</v>
      </c>
      <c r="D28" s="1">
        <v>136100</v>
      </c>
      <c r="E28" s="1">
        <v>293500</v>
      </c>
      <c r="F28" s="1">
        <v>194900</v>
      </c>
      <c r="G28" s="1">
        <v>345300</v>
      </c>
      <c r="H28" s="1">
        <v>258820</v>
      </c>
      <c r="I28" s="1">
        <v>259800</v>
      </c>
      <c r="J28" s="1">
        <v>245564</v>
      </c>
      <c r="K28" s="1">
        <v>230400</v>
      </c>
      <c r="L28" s="1">
        <v>181765</v>
      </c>
      <c r="M28" s="1">
        <v>49000</v>
      </c>
      <c r="N28" s="2">
        <f>SUM(B28:M28)</f>
        <v>2500734</v>
      </c>
    </row>
    <row r="29" spans="1:14" x14ac:dyDescent="0.2">
      <c r="A29" s="4" t="s">
        <v>32</v>
      </c>
      <c r="B29" s="1">
        <v>0</v>
      </c>
      <c r="C29" s="1">
        <v>0</v>
      </c>
      <c r="D29" s="1">
        <v>2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1">
        <v>0</v>
      </c>
      <c r="N29" s="1">
        <f t="shared" si="1"/>
        <v>5</v>
      </c>
    </row>
    <row r="30" spans="1:14" x14ac:dyDescent="0.2">
      <c r="A30" s="4" t="s">
        <v>18</v>
      </c>
      <c r="B30" s="1">
        <v>0</v>
      </c>
      <c r="C30" s="1">
        <v>0</v>
      </c>
      <c r="D30" s="1">
        <v>6500</v>
      </c>
      <c r="E30" s="1">
        <v>0</v>
      </c>
      <c r="F30" s="1">
        <v>3000</v>
      </c>
      <c r="G30" s="1">
        <v>0</v>
      </c>
      <c r="H30" s="1">
        <v>0</v>
      </c>
      <c r="I30" s="1">
        <v>0</v>
      </c>
      <c r="J30" s="1">
        <v>0</v>
      </c>
      <c r="K30" s="1">
        <v>100</v>
      </c>
      <c r="L30" s="1">
        <v>500</v>
      </c>
      <c r="M30" s="1">
        <v>0</v>
      </c>
      <c r="N30" s="2">
        <f>SUM(B30:M30)</f>
        <v>10100</v>
      </c>
    </row>
    <row r="31" spans="1:14" x14ac:dyDescent="0.2">
      <c r="A31" s="4" t="s">
        <v>33</v>
      </c>
      <c r="B31" s="1">
        <v>25</v>
      </c>
      <c r="C31" s="1">
        <v>86</v>
      </c>
      <c r="D31" s="1">
        <v>76</v>
      </c>
      <c r="E31" s="1">
        <v>59</v>
      </c>
      <c r="F31" s="1">
        <v>75</v>
      </c>
      <c r="G31" s="1">
        <v>47</v>
      </c>
      <c r="H31" s="1">
        <v>44</v>
      </c>
      <c r="I31" s="1">
        <v>57</v>
      </c>
      <c r="J31" s="1">
        <v>34</v>
      </c>
      <c r="K31" s="1">
        <v>51</v>
      </c>
      <c r="L31" s="1">
        <v>37</v>
      </c>
      <c r="M31" s="1">
        <v>34</v>
      </c>
      <c r="N31" s="1">
        <f t="shared" si="1"/>
        <v>625</v>
      </c>
    </row>
    <row r="32" spans="1:14" x14ac:dyDescent="0.2">
      <c r="A32" s="4" t="s">
        <v>18</v>
      </c>
      <c r="B32" s="1">
        <v>24650</v>
      </c>
      <c r="C32" s="1">
        <v>80138</v>
      </c>
      <c r="D32" s="1">
        <v>73920</v>
      </c>
      <c r="E32" s="1">
        <v>63255</v>
      </c>
      <c r="F32" s="1">
        <v>72385</v>
      </c>
      <c r="G32" s="1">
        <v>37475</v>
      </c>
      <c r="H32" s="1">
        <v>46796</v>
      </c>
      <c r="I32" s="1">
        <v>38775</v>
      </c>
      <c r="J32" s="1">
        <v>33436</v>
      </c>
      <c r="K32" s="1">
        <v>48275</v>
      </c>
      <c r="L32" s="1">
        <v>40750</v>
      </c>
      <c r="M32" s="1">
        <v>35465</v>
      </c>
      <c r="N32" s="2">
        <f>SUM(B32:M32)</f>
        <v>595320</v>
      </c>
    </row>
    <row r="33" spans="1:14" x14ac:dyDescent="0.2">
      <c r="A33" s="4" t="s">
        <v>34</v>
      </c>
      <c r="B33" s="1">
        <v>34</v>
      </c>
      <c r="C33" s="1">
        <v>34</v>
      </c>
      <c r="D33" s="1">
        <v>33</v>
      </c>
      <c r="E33" s="1">
        <v>53</v>
      </c>
      <c r="F33" s="1">
        <v>45</v>
      </c>
      <c r="G33" s="1">
        <v>47</v>
      </c>
      <c r="H33" s="1">
        <v>34</v>
      </c>
      <c r="I33" s="1">
        <v>51</v>
      </c>
      <c r="J33" s="1">
        <v>35</v>
      </c>
      <c r="K33" s="1">
        <v>43</v>
      </c>
      <c r="L33" s="1">
        <v>40</v>
      </c>
      <c r="M33" s="1">
        <v>42</v>
      </c>
      <c r="N33" s="1">
        <f t="shared" si="1"/>
        <v>491</v>
      </c>
    </row>
    <row r="34" spans="1:14" x14ac:dyDescent="0.2">
      <c r="A34" s="4" t="s">
        <v>18</v>
      </c>
      <c r="B34" s="1">
        <v>37600</v>
      </c>
      <c r="C34" s="1">
        <v>39630</v>
      </c>
      <c r="D34" s="1">
        <v>40380</v>
      </c>
      <c r="E34" s="1">
        <v>75136</v>
      </c>
      <c r="F34" s="1">
        <v>59750</v>
      </c>
      <c r="G34" s="1">
        <v>62925</v>
      </c>
      <c r="H34" s="1">
        <v>42350</v>
      </c>
      <c r="I34" s="1">
        <v>68941</v>
      </c>
      <c r="J34" s="1">
        <v>36200</v>
      </c>
      <c r="K34" s="1">
        <v>51900</v>
      </c>
      <c r="L34" s="1">
        <v>70325</v>
      </c>
      <c r="M34" s="1">
        <v>51600</v>
      </c>
      <c r="N34" s="2">
        <f>SUM(B34:M34)</f>
        <v>636737</v>
      </c>
    </row>
    <row r="35" spans="1:14" x14ac:dyDescent="0.2">
      <c r="A35" s="4" t="s">
        <v>35</v>
      </c>
      <c r="B35" s="1">
        <v>14</v>
      </c>
      <c r="C35" s="1">
        <v>17</v>
      </c>
      <c r="D35" s="1">
        <v>6</v>
      </c>
      <c r="E35" s="1">
        <v>20</v>
      </c>
      <c r="F35" s="1">
        <v>3</v>
      </c>
      <c r="G35" s="1">
        <v>7</v>
      </c>
      <c r="H35" s="1">
        <v>12</v>
      </c>
      <c r="I35" s="1">
        <v>11</v>
      </c>
      <c r="J35" s="1">
        <v>11</v>
      </c>
      <c r="K35" s="1">
        <v>9</v>
      </c>
      <c r="L35" s="1">
        <v>10</v>
      </c>
      <c r="M35" s="1">
        <v>4</v>
      </c>
      <c r="N35" s="1">
        <f t="shared" si="1"/>
        <v>124</v>
      </c>
    </row>
    <row r="36" spans="1:14" x14ac:dyDescent="0.2">
      <c r="A36" s="4" t="s">
        <v>18</v>
      </c>
      <c r="B36" s="1">
        <v>5550</v>
      </c>
      <c r="C36" s="1">
        <v>26644</v>
      </c>
      <c r="D36" s="1">
        <v>1400</v>
      </c>
      <c r="E36" s="1">
        <v>14045</v>
      </c>
      <c r="F36" s="1">
        <v>1500</v>
      </c>
      <c r="G36" s="1">
        <v>8200</v>
      </c>
      <c r="H36" s="1">
        <v>7335</v>
      </c>
      <c r="I36" s="1">
        <v>33502</v>
      </c>
      <c r="J36" s="1">
        <v>2940</v>
      </c>
      <c r="K36" s="1">
        <v>11345</v>
      </c>
      <c r="L36" s="1">
        <v>6360</v>
      </c>
      <c r="M36" s="1">
        <v>3128</v>
      </c>
      <c r="N36" s="2">
        <f>SUM(B36:M36)</f>
        <v>121949</v>
      </c>
    </row>
    <row r="37" spans="1:14" x14ac:dyDescent="0.2">
      <c r="A37" s="4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f t="shared" si="1"/>
        <v>1</v>
      </c>
    </row>
    <row r="38" spans="1:14" x14ac:dyDescent="0.2">
      <c r="A38" s="4" t="s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5000</v>
      </c>
      <c r="L38" s="1">
        <v>0</v>
      </c>
      <c r="M38" s="1">
        <v>0</v>
      </c>
      <c r="N38" s="2">
        <f>SUM(B38:M38)</f>
        <v>5000</v>
      </c>
    </row>
    <row r="39" spans="1:14" x14ac:dyDescent="0.2">
      <c r="A39" s="4" t="s">
        <v>37</v>
      </c>
      <c r="B39" s="1">
        <v>0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f t="shared" si="1"/>
        <v>5</v>
      </c>
    </row>
    <row r="40" spans="1:14" x14ac:dyDescent="0.2">
      <c r="A40" s="4" t="s">
        <v>18</v>
      </c>
      <c r="B40" s="1">
        <v>0</v>
      </c>
      <c r="C40" s="1">
        <v>300</v>
      </c>
      <c r="D40" s="1">
        <v>1000</v>
      </c>
      <c r="E40" s="1">
        <v>0</v>
      </c>
      <c r="F40" s="1">
        <v>0</v>
      </c>
      <c r="G40" s="1">
        <v>0</v>
      </c>
      <c r="H40" s="1">
        <v>0</v>
      </c>
      <c r="I40" s="1">
        <v>1000</v>
      </c>
      <c r="J40" s="1">
        <v>1000</v>
      </c>
      <c r="K40" s="1">
        <v>0</v>
      </c>
      <c r="L40" s="1">
        <v>0</v>
      </c>
      <c r="M40" s="1">
        <v>0</v>
      </c>
      <c r="N40" s="2">
        <f>SUM(B40:M40)</f>
        <v>3300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 t="shared" ref="B42:M42" si="2">SUM(B3+B5+B7+B9+B11+B13+B15+B17+B19+B21+B23+B25+B27+B29+B31+B33+B35+B37+B39)</f>
        <v>153</v>
      </c>
      <c r="C42" s="1">
        <f t="shared" si="2"/>
        <v>236</v>
      </c>
      <c r="D42" s="1">
        <f t="shared" si="2"/>
        <v>212</v>
      </c>
      <c r="E42" s="1">
        <f t="shared" si="2"/>
        <v>242</v>
      </c>
      <c r="F42" s="1">
        <f t="shared" si="2"/>
        <v>281</v>
      </c>
      <c r="G42" s="1">
        <f t="shared" si="2"/>
        <v>278</v>
      </c>
      <c r="H42" s="1">
        <f t="shared" si="2"/>
        <v>235</v>
      </c>
      <c r="I42" s="1">
        <f t="shared" si="2"/>
        <v>251</v>
      </c>
      <c r="J42" s="1">
        <f t="shared" si="2"/>
        <v>177</v>
      </c>
      <c r="K42" s="1">
        <f t="shared" si="2"/>
        <v>231</v>
      </c>
      <c r="L42" s="1">
        <f t="shared" si="2"/>
        <v>182</v>
      </c>
      <c r="M42" s="1">
        <f t="shared" si="2"/>
        <v>173</v>
      </c>
      <c r="N42" s="1">
        <f>SUM(B42:M42)</f>
        <v>2651</v>
      </c>
    </row>
    <row r="43" spans="1:14" s="3" customFormat="1" x14ac:dyDescent="0.2">
      <c r="A43" s="6" t="s">
        <v>39</v>
      </c>
      <c r="B43" s="2">
        <f t="shared" ref="B43:M43" si="3">SUM(B4+B6+B8+B10+B12+B14+B16+B18+B20+B22+B24+B26+B28+B30+B32+B34+B36+B38+B40)</f>
        <v>6459389</v>
      </c>
      <c r="C43" s="2">
        <f t="shared" si="3"/>
        <v>9470634</v>
      </c>
      <c r="D43" s="2">
        <f t="shared" si="3"/>
        <v>13788356</v>
      </c>
      <c r="E43" s="2">
        <f t="shared" si="3"/>
        <v>9665268</v>
      </c>
      <c r="F43" s="2">
        <f t="shared" si="3"/>
        <v>13348713</v>
      </c>
      <c r="G43" s="2">
        <f t="shared" si="3"/>
        <v>13296013</v>
      </c>
      <c r="H43" s="2">
        <f t="shared" si="3"/>
        <v>12283807</v>
      </c>
      <c r="I43" s="2">
        <f t="shared" si="3"/>
        <v>10392963</v>
      </c>
      <c r="J43" s="2">
        <f t="shared" si="3"/>
        <v>10666308</v>
      </c>
      <c r="K43" s="2">
        <f t="shared" si="3"/>
        <v>12374061</v>
      </c>
      <c r="L43" s="2">
        <f t="shared" si="3"/>
        <v>9907366</v>
      </c>
      <c r="M43" s="2">
        <f t="shared" si="3"/>
        <v>11372062</v>
      </c>
      <c r="N43" s="2">
        <f>SUM(B43:M43)</f>
        <v>133024940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1995&amp;CCITY OF ALLEN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pane xSplit="1" ySplit="1" topLeftCell="K29" activePane="bottomRight" state="frozen"/>
      <selection pane="topRight" activeCell="B1" sqref="B1"/>
      <selection pane="bottomLeft" activeCell="A2" sqref="A2"/>
      <selection pane="bottomRight" activeCell="N40" sqref="N40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63</v>
      </c>
      <c r="C3" s="1">
        <v>92</v>
      </c>
      <c r="D3" s="1">
        <v>125</v>
      </c>
      <c r="E3" s="1">
        <v>136</v>
      </c>
      <c r="F3" s="1">
        <v>93</v>
      </c>
      <c r="G3" s="1">
        <v>39</v>
      </c>
      <c r="H3" s="1">
        <v>115</v>
      </c>
      <c r="I3" s="1">
        <v>85</v>
      </c>
      <c r="J3" s="1">
        <v>63</v>
      </c>
      <c r="K3" s="1">
        <v>39</v>
      </c>
      <c r="L3" s="1">
        <v>61</v>
      </c>
      <c r="M3" s="1">
        <v>52</v>
      </c>
      <c r="N3" s="1">
        <f t="shared" ref="N3:N12" si="0">SUM(B3:M3)</f>
        <v>963</v>
      </c>
    </row>
    <row r="4" spans="1:14" x14ac:dyDescent="0.2">
      <c r="A4" s="4" t="s">
        <v>18</v>
      </c>
      <c r="B4" s="1">
        <v>9106281</v>
      </c>
      <c r="C4" s="1">
        <v>12636476</v>
      </c>
      <c r="D4" s="1">
        <v>17378101</v>
      </c>
      <c r="E4" s="1">
        <v>19167113</v>
      </c>
      <c r="F4" s="1">
        <v>13180419</v>
      </c>
      <c r="G4" s="1">
        <v>5225947</v>
      </c>
      <c r="H4" s="1">
        <v>16538661</v>
      </c>
      <c r="I4" s="1">
        <v>12701955</v>
      </c>
      <c r="J4" s="1">
        <v>9942086</v>
      </c>
      <c r="K4" s="1">
        <v>5807775</v>
      </c>
      <c r="L4" s="1">
        <v>8862712</v>
      </c>
      <c r="M4" s="1">
        <v>7730220</v>
      </c>
      <c r="N4" s="2">
        <f t="shared" si="0"/>
        <v>138277746</v>
      </c>
    </row>
    <row r="5" spans="1:14" x14ac:dyDescent="0.2">
      <c r="A5" s="4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0</v>
      </c>
    </row>
    <row r="9" spans="1:14" x14ac:dyDescent="0.2">
      <c r="A9" s="4" t="s">
        <v>20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1</v>
      </c>
    </row>
    <row r="10" spans="1:14" x14ac:dyDescent="0.2">
      <c r="A10" s="4" t="s">
        <v>18</v>
      </c>
      <c r="B10" s="1">
        <v>10658834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10658834</v>
      </c>
    </row>
    <row r="11" spans="1:14" x14ac:dyDescent="0.2">
      <c r="A11" s="4" t="s">
        <v>22</v>
      </c>
      <c r="B11" s="1">
        <v>18</v>
      </c>
      <c r="C11" s="1">
        <v>12</v>
      </c>
      <c r="D11" s="1">
        <v>15</v>
      </c>
      <c r="E11" s="1">
        <v>27</v>
      </c>
      <c r="F11" s="1">
        <v>27</v>
      </c>
      <c r="G11" s="1">
        <v>12</v>
      </c>
      <c r="H11" s="1">
        <v>6</v>
      </c>
      <c r="I11" s="1">
        <v>11</v>
      </c>
      <c r="J11" s="1">
        <v>12</v>
      </c>
      <c r="K11" s="1">
        <v>7</v>
      </c>
      <c r="L11" s="1">
        <v>15</v>
      </c>
      <c r="M11" s="1">
        <v>6</v>
      </c>
      <c r="N11" s="1">
        <f t="shared" si="0"/>
        <v>168</v>
      </c>
    </row>
    <row r="12" spans="1:14" x14ac:dyDescent="0.2">
      <c r="A12" s="4" t="s">
        <v>18</v>
      </c>
      <c r="B12" s="1">
        <v>112643</v>
      </c>
      <c r="C12" s="1">
        <v>31461</v>
      </c>
      <c r="D12" s="1">
        <v>70155</v>
      </c>
      <c r="E12" s="1">
        <v>85476</v>
      </c>
      <c r="F12" s="1">
        <v>93634</v>
      </c>
      <c r="G12" s="1">
        <v>49812</v>
      </c>
      <c r="H12" s="1">
        <v>77804</v>
      </c>
      <c r="I12" s="1">
        <v>47375</v>
      </c>
      <c r="J12" s="1">
        <v>57867</v>
      </c>
      <c r="K12" s="1">
        <v>49859</v>
      </c>
      <c r="L12" s="1">
        <v>53281</v>
      </c>
      <c r="M12" s="1">
        <v>60274</v>
      </c>
      <c r="N12" s="2">
        <f t="shared" si="0"/>
        <v>789641</v>
      </c>
    </row>
    <row r="13" spans="1:14" x14ac:dyDescent="0.2">
      <c r="A13" s="4" t="s">
        <v>46</v>
      </c>
      <c r="B13" s="1">
        <v>1</v>
      </c>
      <c r="C13" s="1">
        <v>0</v>
      </c>
      <c r="D13" s="1">
        <v>0</v>
      </c>
      <c r="E13" s="1">
        <v>2</v>
      </c>
      <c r="F13" s="1">
        <v>0</v>
      </c>
      <c r="G13" s="1">
        <v>1</v>
      </c>
      <c r="H13" s="1">
        <v>0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f>SUM(B13:M13)</f>
        <v>8</v>
      </c>
    </row>
    <row r="14" spans="1:14" x14ac:dyDescent="0.2">
      <c r="A14" s="4" t="s">
        <v>18</v>
      </c>
      <c r="B14" s="1">
        <v>1150000</v>
      </c>
      <c r="C14" s="1">
        <v>0</v>
      </c>
      <c r="D14" s="1">
        <v>0</v>
      </c>
      <c r="E14" s="1">
        <v>2200000</v>
      </c>
      <c r="F14" s="1">
        <v>0</v>
      </c>
      <c r="G14" s="1">
        <v>13500000</v>
      </c>
      <c r="H14" s="1">
        <v>0</v>
      </c>
      <c r="I14" s="1">
        <v>58000</v>
      </c>
      <c r="J14" s="1">
        <v>600000</v>
      </c>
      <c r="K14" s="1">
        <v>2600000</v>
      </c>
      <c r="L14" s="1">
        <v>250000</v>
      </c>
      <c r="M14" s="1">
        <v>0</v>
      </c>
      <c r="N14" s="2">
        <f>SUM(B14:M14)</f>
        <v>20358000</v>
      </c>
    </row>
    <row r="15" spans="1:14" x14ac:dyDescent="0.2">
      <c r="A15" s="4" t="s">
        <v>47</v>
      </c>
      <c r="B15" s="1">
        <v>4</v>
      </c>
      <c r="C15" s="1">
        <v>5</v>
      </c>
      <c r="D15" s="1">
        <v>4</v>
      </c>
      <c r="E15" s="1">
        <v>2</v>
      </c>
      <c r="F15" s="1">
        <v>5</v>
      </c>
      <c r="G15" s="1">
        <v>4</v>
      </c>
      <c r="H15" s="1">
        <v>2</v>
      </c>
      <c r="I15" s="1">
        <v>7</v>
      </c>
      <c r="J15" s="1">
        <v>10</v>
      </c>
      <c r="K15" s="1">
        <v>8</v>
      </c>
      <c r="L15" s="1">
        <v>8</v>
      </c>
      <c r="M15" s="1">
        <v>6</v>
      </c>
      <c r="N15" s="1">
        <f t="shared" ref="N15:N40" si="1">SUM(B15:M15)</f>
        <v>65</v>
      </c>
    </row>
    <row r="16" spans="1:14" x14ac:dyDescent="0.2">
      <c r="A16" s="4" t="s">
        <v>18</v>
      </c>
      <c r="B16" s="1">
        <v>31100</v>
      </c>
      <c r="C16" s="1">
        <v>113500</v>
      </c>
      <c r="D16" s="1">
        <v>1668551</v>
      </c>
      <c r="E16" s="1">
        <v>165000</v>
      </c>
      <c r="F16" s="1">
        <v>138000</v>
      </c>
      <c r="G16" s="1">
        <v>132460</v>
      </c>
      <c r="H16" s="1">
        <v>5100</v>
      </c>
      <c r="I16" s="1">
        <v>207493</v>
      </c>
      <c r="J16" s="1">
        <v>107142</v>
      </c>
      <c r="K16" s="1">
        <v>45650</v>
      </c>
      <c r="L16" s="1">
        <v>82700</v>
      </c>
      <c r="M16" s="1">
        <v>83500</v>
      </c>
      <c r="N16" s="2">
        <f t="shared" si="1"/>
        <v>2780196</v>
      </c>
    </row>
    <row r="17" spans="1:14" x14ac:dyDescent="0.2">
      <c r="A17" s="4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1"/>
        <v>0</v>
      </c>
    </row>
    <row r="18" spans="1:14" x14ac:dyDescent="0.2">
      <c r="A18" s="4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>SUM(B18:M18)</f>
        <v>0</v>
      </c>
    </row>
    <row r="19" spans="1:14" x14ac:dyDescent="0.2">
      <c r="A19" s="4" t="s">
        <v>27</v>
      </c>
      <c r="B19" s="1">
        <v>0</v>
      </c>
      <c r="C19" s="1">
        <v>0</v>
      </c>
      <c r="D19" s="1">
        <v>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f t="shared" si="1"/>
        <v>4</v>
      </c>
    </row>
    <row r="20" spans="1:14" x14ac:dyDescent="0.2">
      <c r="A20" s="4" t="s">
        <v>18</v>
      </c>
      <c r="B20" s="1">
        <v>0</v>
      </c>
      <c r="C20" s="1">
        <v>0</v>
      </c>
      <c r="D20" s="1">
        <v>13363000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285400</v>
      </c>
      <c r="K20" s="1">
        <v>0</v>
      </c>
      <c r="L20" s="1">
        <v>0</v>
      </c>
      <c r="M20" s="1">
        <v>0</v>
      </c>
      <c r="N20" s="2">
        <f t="shared" si="1"/>
        <v>13648400</v>
      </c>
    </row>
    <row r="21" spans="1:14" x14ac:dyDescent="0.2">
      <c r="A21" s="4" t="s">
        <v>28</v>
      </c>
      <c r="B21" s="1">
        <v>0</v>
      </c>
      <c r="C21" s="1">
        <v>0</v>
      </c>
      <c r="D21" s="1">
        <v>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f t="shared" si="1"/>
        <v>6</v>
      </c>
    </row>
    <row r="22" spans="1:14" x14ac:dyDescent="0.2">
      <c r="A22" s="4" t="s">
        <v>18</v>
      </c>
      <c r="B22" s="1">
        <v>0</v>
      </c>
      <c r="C22" s="1">
        <v>0</v>
      </c>
      <c r="D22" s="1">
        <v>1483400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11650</v>
      </c>
      <c r="L22" s="1">
        <v>0</v>
      </c>
      <c r="M22" s="1">
        <v>0</v>
      </c>
      <c r="N22" s="2">
        <f t="shared" si="1"/>
        <v>1495050</v>
      </c>
    </row>
    <row r="23" spans="1:14" x14ac:dyDescent="0.2">
      <c r="A23" s="4" t="s">
        <v>29</v>
      </c>
      <c r="B23" s="1">
        <v>2</v>
      </c>
      <c r="C23" s="1">
        <v>2</v>
      </c>
      <c r="D23" s="1">
        <v>5</v>
      </c>
      <c r="E23" s="1">
        <v>2</v>
      </c>
      <c r="F23" s="1">
        <v>2</v>
      </c>
      <c r="G23" s="1">
        <v>1</v>
      </c>
      <c r="H23" s="1">
        <v>0</v>
      </c>
      <c r="I23" s="1">
        <v>3</v>
      </c>
      <c r="J23" s="1">
        <v>0</v>
      </c>
      <c r="K23" s="1">
        <v>4</v>
      </c>
      <c r="L23" s="1">
        <v>3</v>
      </c>
      <c r="M23" s="1">
        <v>1</v>
      </c>
      <c r="N23" s="1">
        <f t="shared" si="1"/>
        <v>25</v>
      </c>
    </row>
    <row r="24" spans="1:14" x14ac:dyDescent="0.2">
      <c r="A24" s="4" t="s">
        <v>18</v>
      </c>
      <c r="B24" s="1">
        <v>2000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1"/>
        <v>2000</v>
      </c>
    </row>
    <row r="25" spans="1:14" x14ac:dyDescent="0.2">
      <c r="A25" s="4" t="s">
        <v>30</v>
      </c>
      <c r="B25" s="1">
        <v>1</v>
      </c>
      <c r="C25" s="1">
        <v>2</v>
      </c>
      <c r="D25" s="1">
        <v>6</v>
      </c>
      <c r="E25" s="1">
        <v>9</v>
      </c>
      <c r="F25" s="1">
        <v>5</v>
      </c>
      <c r="G25" s="1">
        <v>6</v>
      </c>
      <c r="H25" s="1">
        <v>9</v>
      </c>
      <c r="I25" s="1">
        <v>4</v>
      </c>
      <c r="J25" s="1">
        <v>3</v>
      </c>
      <c r="K25" s="1">
        <v>4</v>
      </c>
      <c r="L25" s="1">
        <v>4</v>
      </c>
      <c r="M25" s="1">
        <v>6</v>
      </c>
      <c r="N25" s="1">
        <f t="shared" si="1"/>
        <v>59</v>
      </c>
    </row>
    <row r="26" spans="1:14" x14ac:dyDescent="0.2">
      <c r="A26" s="4" t="s">
        <v>18</v>
      </c>
      <c r="B26" s="1">
        <v>700</v>
      </c>
      <c r="C26" s="1">
        <v>750</v>
      </c>
      <c r="D26" s="1">
        <v>7468</v>
      </c>
      <c r="E26" s="1">
        <v>11400</v>
      </c>
      <c r="F26" s="1">
        <v>3750</v>
      </c>
      <c r="G26" s="1">
        <v>7061</v>
      </c>
      <c r="H26" s="1">
        <v>5284</v>
      </c>
      <c r="I26" s="1">
        <v>5129</v>
      </c>
      <c r="J26" s="1">
        <v>5300</v>
      </c>
      <c r="K26" s="1">
        <v>2979</v>
      </c>
      <c r="L26" s="1">
        <v>2679</v>
      </c>
      <c r="M26" s="1">
        <v>4568</v>
      </c>
      <c r="N26" s="2">
        <f t="shared" si="1"/>
        <v>57068</v>
      </c>
    </row>
    <row r="27" spans="1:14" x14ac:dyDescent="0.2">
      <c r="A27" s="4" t="s">
        <v>31</v>
      </c>
      <c r="B27" s="1">
        <v>11</v>
      </c>
      <c r="C27" s="1">
        <v>14</v>
      </c>
      <c r="D27" s="1">
        <v>22</v>
      </c>
      <c r="E27" s="1">
        <v>28</v>
      </c>
      <c r="F27" s="1">
        <v>25</v>
      </c>
      <c r="G27" s="1">
        <v>22</v>
      </c>
      <c r="H27" s="1">
        <v>21</v>
      </c>
      <c r="I27" s="1">
        <v>18</v>
      </c>
      <c r="J27" s="1">
        <v>12</v>
      </c>
      <c r="K27" s="1">
        <v>12</v>
      </c>
      <c r="L27" s="1">
        <v>8</v>
      </c>
      <c r="M27" s="1">
        <v>5</v>
      </c>
      <c r="N27" s="1">
        <f t="shared" si="1"/>
        <v>198</v>
      </c>
    </row>
    <row r="28" spans="1:14" x14ac:dyDescent="0.2">
      <c r="A28" s="4" t="s">
        <v>18</v>
      </c>
      <c r="B28" s="1">
        <v>238800</v>
      </c>
      <c r="C28" s="1">
        <v>266741</v>
      </c>
      <c r="D28" s="1">
        <v>478326</v>
      </c>
      <c r="E28" s="1">
        <v>527390</v>
      </c>
      <c r="F28" s="1">
        <v>515600</v>
      </c>
      <c r="G28" s="1">
        <v>428972</v>
      </c>
      <c r="H28" s="1">
        <v>408631</v>
      </c>
      <c r="I28" s="1">
        <v>413600</v>
      </c>
      <c r="J28" s="1">
        <v>221600</v>
      </c>
      <c r="K28" s="1">
        <v>252300</v>
      </c>
      <c r="L28" s="1">
        <v>174400</v>
      </c>
      <c r="M28" s="1">
        <v>116600</v>
      </c>
      <c r="N28" s="2">
        <f t="shared" si="1"/>
        <v>4042960</v>
      </c>
    </row>
    <row r="29" spans="1:14" x14ac:dyDescent="0.2">
      <c r="A29" s="4" t="s">
        <v>32</v>
      </c>
      <c r="B29" s="1">
        <v>1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2</v>
      </c>
      <c r="I29" s="1">
        <v>0</v>
      </c>
      <c r="J29" s="1">
        <v>0</v>
      </c>
      <c r="K29" s="1">
        <v>3</v>
      </c>
      <c r="L29" s="1">
        <v>0</v>
      </c>
      <c r="M29" s="1">
        <v>0</v>
      </c>
      <c r="N29" s="1">
        <f t="shared" si="1"/>
        <v>9</v>
      </c>
    </row>
    <row r="30" spans="1:14" x14ac:dyDescent="0.2">
      <c r="A30" s="4" t="s">
        <v>18</v>
      </c>
      <c r="B30" s="1">
        <v>3995</v>
      </c>
      <c r="C30" s="1">
        <v>0</v>
      </c>
      <c r="D30" s="1">
        <v>2000</v>
      </c>
      <c r="E30" s="1">
        <v>5000</v>
      </c>
      <c r="F30" s="1">
        <v>2000</v>
      </c>
      <c r="G30" s="1">
        <v>0</v>
      </c>
      <c r="H30" s="1">
        <v>19134</v>
      </c>
      <c r="I30" s="1">
        <v>0</v>
      </c>
      <c r="J30" s="1">
        <v>0</v>
      </c>
      <c r="K30" s="1">
        <v>13300</v>
      </c>
      <c r="L30" s="1">
        <v>0</v>
      </c>
      <c r="M30" s="1">
        <v>0</v>
      </c>
      <c r="N30" s="2">
        <f t="shared" si="1"/>
        <v>45429</v>
      </c>
    </row>
    <row r="31" spans="1:14" x14ac:dyDescent="0.2">
      <c r="A31" s="4" t="s">
        <v>33</v>
      </c>
      <c r="B31" s="1">
        <v>74</v>
      </c>
      <c r="C31" s="1">
        <v>37</v>
      </c>
      <c r="D31" s="1">
        <v>70</v>
      </c>
      <c r="E31" s="1">
        <v>105</v>
      </c>
      <c r="F31" s="1">
        <v>84</v>
      </c>
      <c r="G31" s="1">
        <v>26</v>
      </c>
      <c r="H31" s="1">
        <v>75</v>
      </c>
      <c r="I31" s="1">
        <v>44</v>
      </c>
      <c r="J31" s="1">
        <v>38</v>
      </c>
      <c r="K31" s="1">
        <v>37</v>
      </c>
      <c r="L31" s="1">
        <v>64</v>
      </c>
      <c r="M31" s="1">
        <v>51</v>
      </c>
      <c r="N31" s="1">
        <f t="shared" si="1"/>
        <v>705</v>
      </c>
    </row>
    <row r="32" spans="1:14" x14ac:dyDescent="0.2">
      <c r="A32" s="4" t="s">
        <v>18</v>
      </c>
      <c r="B32" s="1">
        <v>73188</v>
      </c>
      <c r="C32" s="1">
        <v>45270</v>
      </c>
      <c r="D32" s="1">
        <v>70700</v>
      </c>
      <c r="E32" s="1">
        <v>90670</v>
      </c>
      <c r="F32" s="1">
        <v>87488</v>
      </c>
      <c r="G32" s="1">
        <v>27980</v>
      </c>
      <c r="H32" s="1">
        <v>87599</v>
      </c>
      <c r="I32" s="1">
        <v>45738</v>
      </c>
      <c r="J32" s="1">
        <v>42190</v>
      </c>
      <c r="K32" s="1">
        <v>39625</v>
      </c>
      <c r="L32" s="1">
        <v>63600</v>
      </c>
      <c r="M32" s="1">
        <v>49600</v>
      </c>
      <c r="N32" s="2">
        <f t="shared" si="1"/>
        <v>723648</v>
      </c>
    </row>
    <row r="33" spans="1:14" x14ac:dyDescent="0.2">
      <c r="A33" s="4" t="s">
        <v>34</v>
      </c>
      <c r="B33" s="1">
        <v>58</v>
      </c>
      <c r="C33" s="1">
        <v>53</v>
      </c>
      <c r="D33" s="1">
        <v>79</v>
      </c>
      <c r="E33" s="1">
        <v>106</v>
      </c>
      <c r="F33" s="1">
        <v>91</v>
      </c>
      <c r="G33" s="1">
        <v>67</v>
      </c>
      <c r="H33" s="1">
        <v>62</v>
      </c>
      <c r="I33" s="1">
        <v>83</v>
      </c>
      <c r="J33" s="1">
        <v>54</v>
      </c>
      <c r="K33" s="1">
        <v>65</v>
      </c>
      <c r="L33" s="1">
        <v>61</v>
      </c>
      <c r="M33" s="1">
        <v>66</v>
      </c>
      <c r="N33" s="1">
        <f t="shared" si="1"/>
        <v>845</v>
      </c>
    </row>
    <row r="34" spans="1:14" x14ac:dyDescent="0.2">
      <c r="A34" s="4" t="s">
        <v>18</v>
      </c>
      <c r="B34" s="1">
        <v>60000</v>
      </c>
      <c r="C34" s="1">
        <v>80300</v>
      </c>
      <c r="D34" s="1">
        <v>122558</v>
      </c>
      <c r="E34" s="1">
        <v>153805</v>
      </c>
      <c r="F34" s="1">
        <v>122900</v>
      </c>
      <c r="G34" s="1">
        <v>83860</v>
      </c>
      <c r="H34" s="1">
        <v>76350</v>
      </c>
      <c r="I34" s="1">
        <v>128700</v>
      </c>
      <c r="J34" s="1">
        <v>65300</v>
      </c>
      <c r="K34" s="1">
        <v>83550</v>
      </c>
      <c r="L34" s="1">
        <v>70945</v>
      </c>
      <c r="M34" s="1">
        <v>86900</v>
      </c>
      <c r="N34" s="2">
        <f t="shared" si="1"/>
        <v>1135168</v>
      </c>
    </row>
    <row r="35" spans="1:14" x14ac:dyDescent="0.2">
      <c r="A35" s="4" t="s">
        <v>35</v>
      </c>
      <c r="B35" s="1">
        <v>10</v>
      </c>
      <c r="C35" s="1">
        <v>4</v>
      </c>
      <c r="D35" s="1">
        <v>9</v>
      </c>
      <c r="E35" s="1">
        <v>8</v>
      </c>
      <c r="F35" s="1">
        <v>7</v>
      </c>
      <c r="G35" s="1">
        <v>13</v>
      </c>
      <c r="H35" s="1">
        <v>7</v>
      </c>
      <c r="I35" s="1">
        <v>6</v>
      </c>
      <c r="J35" s="1">
        <v>10</v>
      </c>
      <c r="K35" s="1">
        <v>3</v>
      </c>
      <c r="L35" s="1">
        <v>3</v>
      </c>
      <c r="M35" s="1">
        <v>5</v>
      </c>
      <c r="N35" s="1">
        <f t="shared" si="1"/>
        <v>85</v>
      </c>
    </row>
    <row r="36" spans="1:14" x14ac:dyDescent="0.2">
      <c r="A36" s="4" t="s">
        <v>18</v>
      </c>
      <c r="B36" s="1">
        <v>8820</v>
      </c>
      <c r="C36" s="1">
        <v>3338</v>
      </c>
      <c r="D36" s="1">
        <v>6109</v>
      </c>
      <c r="E36" s="1">
        <v>30000</v>
      </c>
      <c r="F36" s="1">
        <v>3098</v>
      </c>
      <c r="G36" s="1">
        <v>44325</v>
      </c>
      <c r="H36" s="1">
        <v>5469</v>
      </c>
      <c r="I36" s="1">
        <v>32975</v>
      </c>
      <c r="J36" s="1">
        <v>10250</v>
      </c>
      <c r="K36" s="1">
        <v>3160</v>
      </c>
      <c r="L36" s="1">
        <v>4007</v>
      </c>
      <c r="M36" s="1">
        <v>14186</v>
      </c>
      <c r="N36" s="2">
        <f t="shared" si="1"/>
        <v>165737</v>
      </c>
    </row>
    <row r="37" spans="1:14" x14ac:dyDescent="0.2">
      <c r="A37" s="4" t="s">
        <v>36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1"/>
        <v>1</v>
      </c>
    </row>
    <row r="38" spans="1:14" x14ac:dyDescent="0.2">
      <c r="A38" s="4" t="s">
        <v>18</v>
      </c>
      <c r="B38" s="1">
        <v>0</v>
      </c>
      <c r="C38" s="1">
        <v>0</v>
      </c>
      <c r="D38" s="1">
        <v>3800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 t="shared" si="1"/>
        <v>3800</v>
      </c>
    </row>
    <row r="39" spans="1:14" x14ac:dyDescent="0.2">
      <c r="A39" s="4" t="s">
        <v>37</v>
      </c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f t="shared" si="1"/>
        <v>4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4000</v>
      </c>
      <c r="F40" s="1">
        <v>1350</v>
      </c>
      <c r="G40" s="1">
        <v>2200</v>
      </c>
      <c r="H40" s="1">
        <v>400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1"/>
        <v>7950</v>
      </c>
    </row>
    <row r="41" spans="1:14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38</v>
      </c>
      <c r="B42" s="1">
        <f t="shared" ref="B42:M42" si="2">SUM(B3+B5+B7+B9+B11+B13+B15+B17+B19+B21+B23+B25+B27+B29+B31+B33+B35+B37+B39)</f>
        <v>244</v>
      </c>
      <c r="C42" s="1">
        <f t="shared" si="2"/>
        <v>221</v>
      </c>
      <c r="D42" s="1">
        <f t="shared" si="2"/>
        <v>345</v>
      </c>
      <c r="E42" s="1">
        <f t="shared" si="2"/>
        <v>427</v>
      </c>
      <c r="F42" s="1">
        <f t="shared" si="2"/>
        <v>341</v>
      </c>
      <c r="G42" s="1">
        <f t="shared" si="2"/>
        <v>192</v>
      </c>
      <c r="H42" s="1">
        <f t="shared" si="2"/>
        <v>300</v>
      </c>
      <c r="I42" s="1">
        <f t="shared" si="2"/>
        <v>262</v>
      </c>
      <c r="J42" s="1">
        <f t="shared" si="2"/>
        <v>204</v>
      </c>
      <c r="K42" s="1">
        <f t="shared" si="2"/>
        <v>184</v>
      </c>
      <c r="L42" s="1">
        <f t="shared" si="2"/>
        <v>228</v>
      </c>
      <c r="M42" s="1">
        <f t="shared" si="2"/>
        <v>198</v>
      </c>
      <c r="N42" s="1">
        <f>SUM(B42:M42)</f>
        <v>3146</v>
      </c>
    </row>
    <row r="43" spans="1:14" s="3" customFormat="1" x14ac:dyDescent="0.2">
      <c r="A43" s="6" t="s">
        <v>39</v>
      </c>
      <c r="B43" s="2">
        <f t="shared" ref="B43:M43" si="3">SUM(B4+B6+B8+B10+B12+B14+B16+B18+B20+B22+B24+B26+B28+B30+B32+B34+B36+B38+B40)</f>
        <v>21446361</v>
      </c>
      <c r="C43" s="2">
        <f t="shared" si="3"/>
        <v>13177836</v>
      </c>
      <c r="D43" s="2">
        <f t="shared" si="3"/>
        <v>34654168</v>
      </c>
      <c r="E43" s="2">
        <f t="shared" si="3"/>
        <v>22439854</v>
      </c>
      <c r="F43" s="2">
        <f t="shared" si="3"/>
        <v>14148239</v>
      </c>
      <c r="G43" s="2">
        <f t="shared" si="3"/>
        <v>19502617</v>
      </c>
      <c r="H43" s="2">
        <f t="shared" si="3"/>
        <v>17224432</v>
      </c>
      <c r="I43" s="2">
        <f t="shared" si="3"/>
        <v>13640965</v>
      </c>
      <c r="J43" s="2">
        <f t="shared" si="3"/>
        <v>11337135</v>
      </c>
      <c r="K43" s="2">
        <f t="shared" si="3"/>
        <v>8909848</v>
      </c>
      <c r="L43" s="2">
        <f t="shared" si="3"/>
        <v>9564324</v>
      </c>
      <c r="M43" s="2">
        <f t="shared" si="3"/>
        <v>8145848</v>
      </c>
      <c r="N43" s="2">
        <f>SUM(B43:M43)</f>
        <v>194191627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1996&amp;CCITY OF ALLEN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workbookViewId="0">
      <pane xSplit="1" ySplit="1" topLeftCell="M29" activePane="bottomRight" state="frozen"/>
      <selection pane="topRight" activeCell="B1" sqref="B1"/>
      <selection pane="bottomLeft" activeCell="A2" sqref="A2"/>
      <selection pane="bottomRight" activeCell="N45" sqref="N45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59</v>
      </c>
      <c r="C3" s="1">
        <v>63</v>
      </c>
      <c r="D3" s="1">
        <v>78</v>
      </c>
      <c r="E3" s="1">
        <v>97</v>
      </c>
      <c r="F3" s="1">
        <v>85</v>
      </c>
      <c r="G3" s="1">
        <v>101</v>
      </c>
      <c r="H3" s="1">
        <v>88</v>
      </c>
      <c r="I3" s="1">
        <v>70</v>
      </c>
      <c r="J3" s="1">
        <v>99</v>
      </c>
      <c r="K3" s="1">
        <v>92</v>
      </c>
      <c r="L3" s="1">
        <v>72</v>
      </c>
      <c r="M3" s="1">
        <v>63</v>
      </c>
      <c r="N3" s="1">
        <f t="shared" ref="N3:N11" si="0">SUM(B3:M3)</f>
        <v>967</v>
      </c>
    </row>
    <row r="4" spans="1:14" x14ac:dyDescent="0.2">
      <c r="A4" s="4" t="s">
        <v>18</v>
      </c>
      <c r="B4" s="1">
        <v>8589091</v>
      </c>
      <c r="C4" s="1">
        <v>9708326</v>
      </c>
      <c r="D4" s="1">
        <v>13027108</v>
      </c>
      <c r="E4" s="1">
        <v>15896417</v>
      </c>
      <c r="F4" s="1">
        <v>12869964</v>
      </c>
      <c r="G4" s="1">
        <v>14344519</v>
      </c>
      <c r="H4" s="1">
        <v>15507846</v>
      </c>
      <c r="I4" s="1">
        <v>10930072</v>
      </c>
      <c r="J4" s="1">
        <v>15116215</v>
      </c>
      <c r="K4" s="1">
        <v>13175676</v>
      </c>
      <c r="L4" s="1">
        <v>10862575</v>
      </c>
      <c r="M4" s="1">
        <v>10021231</v>
      </c>
      <c r="N4" s="2">
        <f>SUM(B4:M4)</f>
        <v>150049040</v>
      </c>
    </row>
    <row r="5" spans="1:14" x14ac:dyDescent="0.2">
      <c r="A5" s="4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>SUM(B6:M6)</f>
        <v>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f t="shared" si="0"/>
        <v>1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13500000</v>
      </c>
      <c r="K8" s="1">
        <v>0</v>
      </c>
      <c r="L8" s="1">
        <v>0</v>
      </c>
      <c r="M8" s="1">
        <v>0</v>
      </c>
      <c r="N8" s="2">
        <f>SUM(B8:M8)</f>
        <v>13500000</v>
      </c>
    </row>
    <row r="9" spans="1:14" x14ac:dyDescent="0.2">
      <c r="A9" s="4" t="s">
        <v>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23</v>
      </c>
      <c r="M9" s="1">
        <v>10</v>
      </c>
      <c r="N9" s="1">
        <f t="shared" si="0"/>
        <v>33</v>
      </c>
    </row>
    <row r="10" spans="1:14" x14ac:dyDescent="0.2">
      <c r="A10" s="4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49215</v>
      </c>
      <c r="M10" s="1">
        <v>41270</v>
      </c>
      <c r="N10" s="2">
        <f>SUM(B10:M10)</f>
        <v>90485</v>
      </c>
    </row>
    <row r="11" spans="1:14" x14ac:dyDescent="0.2">
      <c r="A11" s="4" t="s">
        <v>22</v>
      </c>
      <c r="B11" s="1">
        <v>4</v>
      </c>
      <c r="C11" s="1">
        <v>12</v>
      </c>
      <c r="D11" s="1">
        <v>13</v>
      </c>
      <c r="E11" s="1">
        <v>10</v>
      </c>
      <c r="F11" s="1">
        <v>16</v>
      </c>
      <c r="G11" s="1">
        <v>12</v>
      </c>
      <c r="H11" s="1">
        <v>7</v>
      </c>
      <c r="I11" s="1">
        <v>6</v>
      </c>
      <c r="J11" s="1">
        <v>5</v>
      </c>
      <c r="K11" s="1">
        <v>11</v>
      </c>
      <c r="L11" s="1">
        <v>2</v>
      </c>
      <c r="M11" s="1">
        <v>2</v>
      </c>
      <c r="N11" s="1">
        <f t="shared" si="0"/>
        <v>100</v>
      </c>
    </row>
    <row r="12" spans="1:14" x14ac:dyDescent="0.2">
      <c r="A12" s="4" t="s">
        <v>18</v>
      </c>
      <c r="B12" s="1">
        <v>11000</v>
      </c>
      <c r="C12" s="1">
        <v>27471</v>
      </c>
      <c r="D12" s="1">
        <v>87705</v>
      </c>
      <c r="E12" s="1">
        <v>16985</v>
      </c>
      <c r="F12" s="1">
        <v>87806</v>
      </c>
      <c r="G12" s="1">
        <v>82070</v>
      </c>
      <c r="H12" s="1">
        <v>65450</v>
      </c>
      <c r="I12" s="1">
        <v>75150</v>
      </c>
      <c r="J12" s="1">
        <v>22301</v>
      </c>
      <c r="K12" s="1">
        <v>60010</v>
      </c>
      <c r="L12" s="1">
        <v>80600</v>
      </c>
      <c r="M12" s="1">
        <v>40500</v>
      </c>
      <c r="N12" s="2">
        <f>SUM(B12:M12)</f>
        <v>657048</v>
      </c>
    </row>
    <row r="13" spans="1:14" x14ac:dyDescent="0.2">
      <c r="A13" s="4" t="s">
        <v>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f>SUM(B13:M13)</f>
        <v>2</v>
      </c>
    </row>
    <row r="14" spans="1:14" x14ac:dyDescent="0.2">
      <c r="A14" s="4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5000</v>
      </c>
      <c r="M14" s="1">
        <v>8000</v>
      </c>
      <c r="N14" s="2">
        <f>SUM(B14:M14)</f>
        <v>13000</v>
      </c>
    </row>
    <row r="15" spans="1:14" x14ac:dyDescent="0.2">
      <c r="A15" s="4" t="s">
        <v>24</v>
      </c>
      <c r="B15" s="1">
        <v>1</v>
      </c>
      <c r="C15" s="1">
        <v>0</v>
      </c>
      <c r="D15" s="1">
        <v>0</v>
      </c>
      <c r="E15" s="1">
        <v>1</v>
      </c>
      <c r="F15" s="1">
        <v>2</v>
      </c>
      <c r="G15" s="1">
        <v>1</v>
      </c>
      <c r="H15" s="1">
        <v>2</v>
      </c>
      <c r="I15" s="1">
        <v>2</v>
      </c>
      <c r="J15" s="1">
        <v>5</v>
      </c>
      <c r="K15" s="1">
        <v>0</v>
      </c>
      <c r="L15" s="1">
        <v>0</v>
      </c>
      <c r="M15" s="1">
        <v>3</v>
      </c>
      <c r="N15" s="1">
        <f t="shared" ref="N15:N42" si="1">SUM(B15:M15)</f>
        <v>17</v>
      </c>
    </row>
    <row r="16" spans="1:14" x14ac:dyDescent="0.2">
      <c r="A16" s="4" t="s">
        <v>18</v>
      </c>
      <c r="B16" s="1">
        <v>1000000</v>
      </c>
      <c r="C16" s="1">
        <v>0</v>
      </c>
      <c r="D16" s="1">
        <v>0</v>
      </c>
      <c r="E16" s="1">
        <v>250000</v>
      </c>
      <c r="F16" s="1">
        <v>110000</v>
      </c>
      <c r="G16" s="1">
        <v>700000</v>
      </c>
      <c r="H16" s="1">
        <v>2700000</v>
      </c>
      <c r="I16" s="1">
        <v>1011000</v>
      </c>
      <c r="J16" s="1">
        <v>9225500</v>
      </c>
      <c r="K16" s="1">
        <v>0</v>
      </c>
      <c r="L16" s="1">
        <v>0</v>
      </c>
      <c r="M16" s="1">
        <v>1200000</v>
      </c>
      <c r="N16" s="2">
        <f>SUM(B16:M16)</f>
        <v>16196500</v>
      </c>
    </row>
    <row r="17" spans="1:14" x14ac:dyDescent="0.2">
      <c r="A17" s="4" t="s">
        <v>40</v>
      </c>
      <c r="B17" s="1">
        <v>11</v>
      </c>
      <c r="C17" s="1">
        <v>8</v>
      </c>
      <c r="D17" s="1">
        <v>9</v>
      </c>
      <c r="E17" s="1">
        <v>8</v>
      </c>
      <c r="F17" s="1">
        <v>12</v>
      </c>
      <c r="G17" s="1">
        <v>1</v>
      </c>
      <c r="H17" s="1">
        <v>6</v>
      </c>
      <c r="I17" s="1">
        <v>5</v>
      </c>
      <c r="J17" s="1">
        <v>16</v>
      </c>
      <c r="K17" s="1">
        <v>6</v>
      </c>
      <c r="L17" s="1">
        <v>0</v>
      </c>
      <c r="M17" s="1">
        <v>3</v>
      </c>
      <c r="N17" s="1">
        <f t="shared" si="1"/>
        <v>85</v>
      </c>
    </row>
    <row r="18" spans="1:14" x14ac:dyDescent="0.2">
      <c r="A18" s="4" t="s">
        <v>18</v>
      </c>
      <c r="B18" s="1">
        <v>503200</v>
      </c>
      <c r="C18" s="1">
        <v>197763</v>
      </c>
      <c r="D18" s="1">
        <v>8581900</v>
      </c>
      <c r="E18" s="1">
        <v>788000</v>
      </c>
      <c r="F18" s="1">
        <v>355004</v>
      </c>
      <c r="G18" s="1">
        <v>2000</v>
      </c>
      <c r="H18" s="1">
        <v>3843157</v>
      </c>
      <c r="I18" s="1">
        <v>120550</v>
      </c>
      <c r="J18" s="1">
        <v>873180</v>
      </c>
      <c r="K18" s="1">
        <v>4015080</v>
      </c>
      <c r="L18" s="1">
        <v>0</v>
      </c>
      <c r="M18" s="1">
        <v>203000</v>
      </c>
      <c r="N18" s="2">
        <f>SUM(B18:M18)</f>
        <v>19482834</v>
      </c>
    </row>
    <row r="19" spans="1:14" x14ac:dyDescent="0.2">
      <c r="A19" s="4" t="s">
        <v>26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2</v>
      </c>
    </row>
    <row r="20" spans="1:14" x14ac:dyDescent="0.2">
      <c r="A20" s="4" t="s">
        <v>18</v>
      </c>
      <c r="B20" s="1">
        <v>6804000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1400000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>SUM(B20:M20)</f>
        <v>8204000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2</v>
      </c>
      <c r="H21" s="1">
        <v>0</v>
      </c>
      <c r="I21" s="1">
        <v>3</v>
      </c>
      <c r="J21" s="1">
        <v>1</v>
      </c>
      <c r="K21" s="1">
        <v>0</v>
      </c>
      <c r="L21" s="1">
        <v>0</v>
      </c>
      <c r="M21" s="1">
        <v>0</v>
      </c>
      <c r="N21" s="1">
        <f t="shared" si="1"/>
        <v>6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2750000</v>
      </c>
      <c r="H22" s="1">
        <v>0</v>
      </c>
      <c r="I22" s="1">
        <v>25100000</v>
      </c>
      <c r="J22" s="1">
        <v>6000000</v>
      </c>
      <c r="K22" s="1">
        <v>0</v>
      </c>
      <c r="L22" s="1">
        <v>0</v>
      </c>
      <c r="M22" s="1">
        <v>0</v>
      </c>
      <c r="N22" s="2">
        <f>SUM(B22:M22)</f>
        <v>33850000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>SUM(B24:M24)</f>
        <v>0</v>
      </c>
    </row>
    <row r="25" spans="1:14" x14ac:dyDescent="0.2">
      <c r="A25" s="4" t="s">
        <v>29</v>
      </c>
      <c r="B25" s="1">
        <v>6</v>
      </c>
      <c r="C25" s="1">
        <v>4</v>
      </c>
      <c r="D25" s="1">
        <v>1</v>
      </c>
      <c r="E25" s="1">
        <v>3</v>
      </c>
      <c r="F25" s="1">
        <v>0</v>
      </c>
      <c r="G25" s="1">
        <v>4</v>
      </c>
      <c r="H25" s="1">
        <v>5</v>
      </c>
      <c r="I25" s="1">
        <v>4</v>
      </c>
      <c r="J25" s="1">
        <v>1</v>
      </c>
      <c r="K25" s="1">
        <v>2</v>
      </c>
      <c r="L25" s="1">
        <v>3</v>
      </c>
      <c r="M25" s="1">
        <v>2</v>
      </c>
      <c r="N25" s="1">
        <f t="shared" si="1"/>
        <v>35</v>
      </c>
    </row>
    <row r="26" spans="1:14" x14ac:dyDescent="0.2">
      <c r="A26" s="4" t="s">
        <v>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40000</v>
      </c>
      <c r="H26" s="1">
        <v>62000</v>
      </c>
      <c r="I26" s="1">
        <v>45000</v>
      </c>
      <c r="J26" s="1">
        <v>10000</v>
      </c>
      <c r="K26" s="1">
        <v>0</v>
      </c>
      <c r="L26" s="1">
        <v>60000</v>
      </c>
      <c r="M26" s="1">
        <v>4000</v>
      </c>
      <c r="N26" s="2">
        <f t="shared" si="1"/>
        <v>221000</v>
      </c>
    </row>
    <row r="27" spans="1:14" x14ac:dyDescent="0.2">
      <c r="A27" s="4" t="s">
        <v>30</v>
      </c>
      <c r="B27" s="1">
        <v>4</v>
      </c>
      <c r="C27" s="1">
        <v>2</v>
      </c>
      <c r="D27" s="1">
        <v>7</v>
      </c>
      <c r="E27" s="1">
        <v>5</v>
      </c>
      <c r="F27" s="1">
        <v>8</v>
      </c>
      <c r="G27" s="1">
        <v>6</v>
      </c>
      <c r="H27" s="1">
        <v>11</v>
      </c>
      <c r="I27" s="1">
        <v>3</v>
      </c>
      <c r="J27" s="1">
        <v>7</v>
      </c>
      <c r="K27" s="1">
        <v>4</v>
      </c>
      <c r="L27" s="1">
        <v>7</v>
      </c>
      <c r="M27" s="1">
        <v>4</v>
      </c>
      <c r="N27" s="1">
        <f t="shared" si="1"/>
        <v>68</v>
      </c>
    </row>
    <row r="28" spans="1:14" x14ac:dyDescent="0.2">
      <c r="A28" s="4" t="s">
        <v>18</v>
      </c>
      <c r="B28" s="1">
        <v>2858</v>
      </c>
      <c r="C28" s="1">
        <v>1800</v>
      </c>
      <c r="D28" s="1">
        <v>5279</v>
      </c>
      <c r="E28" s="1">
        <v>5799</v>
      </c>
      <c r="F28" s="1">
        <v>57368</v>
      </c>
      <c r="G28" s="1">
        <v>7173</v>
      </c>
      <c r="H28" s="1">
        <v>17285</v>
      </c>
      <c r="I28" s="1">
        <v>19050</v>
      </c>
      <c r="J28" s="1">
        <v>6581</v>
      </c>
      <c r="K28" s="1">
        <v>8123</v>
      </c>
      <c r="L28" s="1">
        <v>6586</v>
      </c>
      <c r="M28" s="1">
        <v>7820</v>
      </c>
      <c r="N28" s="2">
        <f t="shared" si="1"/>
        <v>145722</v>
      </c>
    </row>
    <row r="29" spans="1:14" x14ac:dyDescent="0.2">
      <c r="A29" s="4" t="s">
        <v>31</v>
      </c>
      <c r="B29" s="1">
        <v>7</v>
      </c>
      <c r="C29" s="1">
        <v>18</v>
      </c>
      <c r="D29" s="1">
        <v>20</v>
      </c>
      <c r="E29" s="1">
        <v>19</v>
      </c>
      <c r="F29" s="1">
        <v>18</v>
      </c>
      <c r="G29" s="1">
        <v>30</v>
      </c>
      <c r="H29" s="1">
        <v>30</v>
      </c>
      <c r="I29" s="1">
        <v>19</v>
      </c>
      <c r="J29" s="1">
        <v>12</v>
      </c>
      <c r="K29" s="1">
        <v>13</v>
      </c>
      <c r="L29" s="1">
        <v>11</v>
      </c>
      <c r="M29" s="1">
        <v>11</v>
      </c>
      <c r="N29" s="1">
        <f t="shared" si="1"/>
        <v>208</v>
      </c>
    </row>
    <row r="30" spans="1:14" x14ac:dyDescent="0.2">
      <c r="A30" s="4" t="s">
        <v>18</v>
      </c>
      <c r="B30" s="1">
        <v>151200</v>
      </c>
      <c r="C30" s="1">
        <v>429200</v>
      </c>
      <c r="D30" s="1">
        <v>398300</v>
      </c>
      <c r="E30" s="1">
        <v>419900</v>
      </c>
      <c r="F30" s="1">
        <v>474200</v>
      </c>
      <c r="G30" s="1">
        <v>620629</v>
      </c>
      <c r="H30" s="1">
        <v>586343</v>
      </c>
      <c r="I30" s="1">
        <v>355400</v>
      </c>
      <c r="J30" s="1">
        <v>257700</v>
      </c>
      <c r="K30" s="1">
        <v>300750</v>
      </c>
      <c r="L30" s="1">
        <v>247340</v>
      </c>
      <c r="M30" s="1">
        <v>246780</v>
      </c>
      <c r="N30" s="2">
        <f t="shared" si="1"/>
        <v>4487742</v>
      </c>
    </row>
    <row r="31" spans="1:14" x14ac:dyDescent="0.2">
      <c r="A31" s="4" t="s">
        <v>32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f t="shared" si="1"/>
        <v>3</v>
      </c>
    </row>
    <row r="32" spans="1:14" x14ac:dyDescent="0.2">
      <c r="A32" s="4" t="s">
        <v>18</v>
      </c>
      <c r="B32" s="1">
        <v>0</v>
      </c>
      <c r="C32" s="1">
        <v>800</v>
      </c>
      <c r="D32" s="1">
        <v>0</v>
      </c>
      <c r="E32" s="1">
        <v>0</v>
      </c>
      <c r="F32" s="1">
        <v>0</v>
      </c>
      <c r="G32" s="1">
        <v>5000</v>
      </c>
      <c r="H32" s="1">
        <v>0</v>
      </c>
      <c r="I32" s="1">
        <v>0</v>
      </c>
      <c r="J32" s="1">
        <v>2000</v>
      </c>
      <c r="K32" s="1">
        <v>0</v>
      </c>
      <c r="L32" s="1">
        <v>0</v>
      </c>
      <c r="M32" s="1">
        <v>0</v>
      </c>
      <c r="N32" s="2">
        <f t="shared" si="1"/>
        <v>7800</v>
      </c>
    </row>
    <row r="33" spans="1:14" x14ac:dyDescent="0.2">
      <c r="A33" s="4" t="s">
        <v>33</v>
      </c>
      <c r="B33" s="1">
        <v>40</v>
      </c>
      <c r="C33" s="1">
        <v>36</v>
      </c>
      <c r="D33" s="1">
        <v>69</v>
      </c>
      <c r="E33" s="1">
        <v>35</v>
      </c>
      <c r="F33" s="1">
        <v>37</v>
      </c>
      <c r="G33" s="1">
        <v>56</v>
      </c>
      <c r="H33" s="1">
        <v>48</v>
      </c>
      <c r="I33" s="1">
        <v>86</v>
      </c>
      <c r="J33" s="1">
        <v>48</v>
      </c>
      <c r="K33" s="1">
        <v>85</v>
      </c>
      <c r="L33" s="1">
        <v>60</v>
      </c>
      <c r="M33" s="1">
        <v>58</v>
      </c>
      <c r="N33" s="1">
        <f t="shared" si="1"/>
        <v>658</v>
      </c>
    </row>
    <row r="34" spans="1:14" x14ac:dyDescent="0.2">
      <c r="A34" s="4" t="s">
        <v>18</v>
      </c>
      <c r="B34" s="1">
        <v>32400</v>
      </c>
      <c r="C34" s="1">
        <v>18550</v>
      </c>
      <c r="D34" s="1">
        <v>44585</v>
      </c>
      <c r="E34" s="1">
        <v>51661</v>
      </c>
      <c r="F34" s="1">
        <v>51964</v>
      </c>
      <c r="G34" s="1">
        <v>68640</v>
      </c>
      <c r="H34" s="1">
        <v>75740</v>
      </c>
      <c r="I34" s="1">
        <v>117244</v>
      </c>
      <c r="J34" s="1">
        <v>85845</v>
      </c>
      <c r="K34" s="1">
        <v>106003</v>
      </c>
      <c r="L34" s="1">
        <v>61910</v>
      </c>
      <c r="M34" s="1">
        <v>55830</v>
      </c>
      <c r="N34" s="2">
        <f t="shared" si="1"/>
        <v>770372</v>
      </c>
    </row>
    <row r="35" spans="1:14" x14ac:dyDescent="0.2">
      <c r="A35" s="4" t="s">
        <v>34</v>
      </c>
      <c r="B35" s="1">
        <v>49</v>
      </c>
      <c r="C35" s="1">
        <v>33</v>
      </c>
      <c r="D35" s="1">
        <v>58</v>
      </c>
      <c r="E35" s="1">
        <v>74</v>
      </c>
      <c r="F35" s="1">
        <v>65</v>
      </c>
      <c r="G35" s="1">
        <v>64</v>
      </c>
      <c r="H35" s="1">
        <v>66</v>
      </c>
      <c r="I35" s="1">
        <v>72</v>
      </c>
      <c r="J35" s="1">
        <v>64</v>
      </c>
      <c r="K35" s="1">
        <v>57</v>
      </c>
      <c r="L35" s="1">
        <v>71</v>
      </c>
      <c r="M35" s="1">
        <v>57</v>
      </c>
      <c r="N35" s="1">
        <f t="shared" si="1"/>
        <v>730</v>
      </c>
    </row>
    <row r="36" spans="1:14" x14ac:dyDescent="0.2">
      <c r="A36" s="4" t="s">
        <v>18</v>
      </c>
      <c r="B36" s="1">
        <v>55000</v>
      </c>
      <c r="C36" s="1">
        <v>32245</v>
      </c>
      <c r="D36" s="1">
        <v>63349</v>
      </c>
      <c r="E36" s="1">
        <v>100250</v>
      </c>
      <c r="F36" s="1">
        <v>85250</v>
      </c>
      <c r="G36" s="1">
        <v>75710</v>
      </c>
      <c r="H36" s="1">
        <v>82315</v>
      </c>
      <c r="I36" s="1">
        <v>267700</v>
      </c>
      <c r="J36" s="1">
        <v>80150</v>
      </c>
      <c r="K36" s="1">
        <v>67450</v>
      </c>
      <c r="L36" s="1">
        <v>75900</v>
      </c>
      <c r="M36" s="1">
        <v>64450</v>
      </c>
      <c r="N36" s="2">
        <f t="shared" si="1"/>
        <v>1049769</v>
      </c>
    </row>
    <row r="37" spans="1:14" x14ac:dyDescent="0.2">
      <c r="A37" s="4" t="s">
        <v>35</v>
      </c>
      <c r="B37" s="1">
        <v>10</v>
      </c>
      <c r="C37" s="1">
        <v>10</v>
      </c>
      <c r="D37" s="1">
        <v>9</v>
      </c>
      <c r="E37" s="1">
        <v>8</v>
      </c>
      <c r="F37" s="1">
        <v>5</v>
      </c>
      <c r="G37" s="1">
        <v>5</v>
      </c>
      <c r="H37" s="1">
        <v>12</v>
      </c>
      <c r="I37" s="1">
        <v>7</v>
      </c>
      <c r="J37" s="1">
        <v>8</v>
      </c>
      <c r="K37" s="1">
        <v>10</v>
      </c>
      <c r="L37" s="1">
        <v>13</v>
      </c>
      <c r="M37" s="1">
        <v>6</v>
      </c>
      <c r="N37" s="1">
        <f t="shared" si="1"/>
        <v>103</v>
      </c>
    </row>
    <row r="38" spans="1:14" x14ac:dyDescent="0.2">
      <c r="A38" s="4" t="s">
        <v>18</v>
      </c>
      <c r="B38" s="1">
        <v>51678</v>
      </c>
      <c r="C38" s="1">
        <v>21160</v>
      </c>
      <c r="D38" s="1">
        <v>25736</v>
      </c>
      <c r="E38" s="1">
        <v>14165</v>
      </c>
      <c r="F38" s="1">
        <v>5400</v>
      </c>
      <c r="G38" s="1">
        <v>1960</v>
      </c>
      <c r="H38" s="1">
        <v>9732</v>
      </c>
      <c r="I38" s="1">
        <v>18350</v>
      </c>
      <c r="J38" s="1">
        <v>3235</v>
      </c>
      <c r="K38" s="1">
        <v>7925</v>
      </c>
      <c r="L38" s="1">
        <v>13875</v>
      </c>
      <c r="M38" s="1">
        <v>8565</v>
      </c>
      <c r="N38" s="2">
        <f t="shared" si="1"/>
        <v>181781</v>
      </c>
    </row>
    <row r="39" spans="1:14" x14ac:dyDescent="0.2">
      <c r="A39" s="4" t="s">
        <v>36</v>
      </c>
      <c r="B39" s="1">
        <v>2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f t="shared" si="1"/>
        <v>4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1"/>
        <v>0</v>
      </c>
    </row>
    <row r="41" spans="1:14" x14ac:dyDescent="0.2">
      <c r="A41" s="4" t="s">
        <v>37</v>
      </c>
      <c r="B41" s="1">
        <v>0</v>
      </c>
      <c r="C41" s="1">
        <v>0</v>
      </c>
      <c r="D41" s="1">
        <v>0</v>
      </c>
      <c r="E41" s="1">
        <v>1</v>
      </c>
      <c r="F41" s="1">
        <v>2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f t="shared" si="1"/>
        <v>4</v>
      </c>
    </row>
    <row r="42" spans="1:14" x14ac:dyDescent="0.2">
      <c r="A42" s="4" t="s">
        <v>18</v>
      </c>
      <c r="B42" s="1">
        <v>0</v>
      </c>
      <c r="C42" s="1">
        <v>0</v>
      </c>
      <c r="D42" s="1">
        <v>0</v>
      </c>
      <c r="E42" s="1">
        <v>50000</v>
      </c>
      <c r="F42" s="1">
        <v>510</v>
      </c>
      <c r="G42" s="1">
        <v>7000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2">
        <f t="shared" si="1"/>
        <v>57510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194</v>
      </c>
      <c r="C44" s="1">
        <f t="shared" si="2"/>
        <v>188</v>
      </c>
      <c r="D44" s="1">
        <f t="shared" si="2"/>
        <v>265</v>
      </c>
      <c r="E44" s="1">
        <f t="shared" si="2"/>
        <v>261</v>
      </c>
      <c r="F44" s="1">
        <f t="shared" si="2"/>
        <v>250</v>
      </c>
      <c r="G44" s="1">
        <f t="shared" si="2"/>
        <v>284</v>
      </c>
      <c r="H44" s="1">
        <f t="shared" si="2"/>
        <v>276</v>
      </c>
      <c r="I44" s="1">
        <f t="shared" si="2"/>
        <v>277</v>
      </c>
      <c r="J44" s="1">
        <f t="shared" si="2"/>
        <v>268</v>
      </c>
      <c r="K44" s="1">
        <f t="shared" si="2"/>
        <v>280</v>
      </c>
      <c r="L44" s="1">
        <f t="shared" si="2"/>
        <v>263</v>
      </c>
      <c r="M44" s="1">
        <f t="shared" si="2"/>
        <v>220</v>
      </c>
      <c r="N44" s="1">
        <f>SUM(B44:M44)</f>
        <v>3026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17200427</v>
      </c>
      <c r="C45" s="2">
        <f t="shared" ref="C45:H45" si="3">SUM(C4+C6+C8+C10+C12+C14+C16+C18+C20+C22+C24+C26+C28+C30+C32+C34+C36+C38+C40+C42)</f>
        <v>10437315</v>
      </c>
      <c r="D45" s="2">
        <f t="shared" si="3"/>
        <v>22233962</v>
      </c>
      <c r="E45" s="2">
        <f t="shared" si="3"/>
        <v>17593177</v>
      </c>
      <c r="F45" s="2">
        <f t="shared" si="3"/>
        <v>14097466</v>
      </c>
      <c r="G45" s="2">
        <f t="shared" si="3"/>
        <v>18704701</v>
      </c>
      <c r="H45" s="2">
        <f t="shared" si="3"/>
        <v>24349868</v>
      </c>
      <c r="I45" s="2">
        <f>SUM(I4+I6+I8+I10+I12+I16+I14+I18+I20+I22+I24+I26+I28+I30+I32+I34+I36+I38+I40+I42)</f>
        <v>38059516</v>
      </c>
      <c r="J45" s="2">
        <f>SUM(J4+J6+J8+J10+J12+J14+J16+J18+J20+J22+J24+J26+J28+J30+J32+J34+J36+J38+J40+J42)</f>
        <v>45182707</v>
      </c>
      <c r="K45" s="2">
        <f>SUM(K4+K6+K8+K10+K12+K14+K16+K18+K20+K22+K24+K26+K28+K30+K32+K34+K36+K38+K40+K42)</f>
        <v>17741017</v>
      </c>
      <c r="L45" s="2">
        <f>SUM(L4+L6+L8+L10+L12+L14+L16+L18+L20+L22+L24+L26+L28+L30+L32+L34+L36+L38+L40+L42)</f>
        <v>11463001</v>
      </c>
      <c r="M45" s="2">
        <f>SUM(M4+M6+M8+M10+M12+M14+M16+M18+M20+M22+M24+M26+M28+M30+M32+M34+M36+M38+M40+M42)</f>
        <v>11901446</v>
      </c>
      <c r="N45" s="2">
        <f>SUM(B45:M45)</f>
        <v>248964603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1997&amp;CCITY OF ALLEN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workbookViewId="0">
      <pane xSplit="1" ySplit="1" topLeftCell="N32" activePane="bottomRight" state="frozen"/>
      <selection pane="topRight" activeCell="B1" sqref="B1"/>
      <selection pane="bottomLeft" activeCell="A2" sqref="A2"/>
      <selection pane="bottomRight" activeCell="N42" sqref="N42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70</v>
      </c>
      <c r="C3" s="1">
        <v>109</v>
      </c>
      <c r="D3" s="1">
        <v>80</v>
      </c>
      <c r="E3" s="1">
        <v>97</v>
      </c>
      <c r="F3" s="1">
        <v>155</v>
      </c>
      <c r="G3" s="1">
        <v>95</v>
      </c>
      <c r="H3" s="1">
        <v>105</v>
      </c>
      <c r="I3" s="1">
        <v>132</v>
      </c>
      <c r="J3" s="1">
        <v>155</v>
      </c>
      <c r="K3" s="1">
        <v>59</v>
      </c>
      <c r="L3" s="1">
        <v>79</v>
      </c>
      <c r="M3" s="1">
        <v>136</v>
      </c>
      <c r="N3" s="1">
        <f t="shared" ref="N3:N12" si="0">SUM(B3:M3)</f>
        <v>1272</v>
      </c>
    </row>
    <row r="4" spans="1:14" x14ac:dyDescent="0.2">
      <c r="A4" s="4" t="s">
        <v>18</v>
      </c>
      <c r="B4" s="1">
        <v>10298431</v>
      </c>
      <c r="C4" s="1">
        <v>16889800</v>
      </c>
      <c r="D4" s="1">
        <v>14192147</v>
      </c>
      <c r="E4" s="1">
        <v>15957951</v>
      </c>
      <c r="F4" s="1">
        <v>27135064</v>
      </c>
      <c r="G4" s="1">
        <v>18568801</v>
      </c>
      <c r="H4" s="1">
        <v>17515990</v>
      </c>
      <c r="I4" s="1">
        <v>20790068</v>
      </c>
      <c r="J4" s="1">
        <v>24455848</v>
      </c>
      <c r="K4" s="1">
        <v>10296157</v>
      </c>
      <c r="L4" s="1">
        <v>14000109</v>
      </c>
      <c r="M4" s="1">
        <v>19843985</v>
      </c>
      <c r="N4" s="2">
        <f t="shared" si="0"/>
        <v>209944351</v>
      </c>
    </row>
    <row r="5" spans="1:14" x14ac:dyDescent="0.2">
      <c r="A5" s="4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f t="shared" si="0"/>
        <v>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f t="shared" si="0"/>
        <v>1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14500000</v>
      </c>
      <c r="M8" s="1">
        <v>0</v>
      </c>
      <c r="N8" s="2">
        <f t="shared" si="0"/>
        <v>14500000</v>
      </c>
    </row>
    <row r="9" spans="1:14" x14ac:dyDescent="0.2">
      <c r="A9" s="4" t="s">
        <v>21</v>
      </c>
      <c r="B9" s="1">
        <v>7</v>
      </c>
      <c r="C9" s="1">
        <v>7</v>
      </c>
      <c r="D9" s="1">
        <v>11</v>
      </c>
      <c r="E9" s="1">
        <v>19</v>
      </c>
      <c r="F9" s="1">
        <v>17</v>
      </c>
      <c r="G9" s="1">
        <v>12</v>
      </c>
      <c r="H9" s="1">
        <v>17</v>
      </c>
      <c r="I9" s="1">
        <v>13</v>
      </c>
      <c r="J9" s="1">
        <v>23</v>
      </c>
      <c r="K9" s="1">
        <v>9</v>
      </c>
      <c r="L9" s="1">
        <v>12</v>
      </c>
      <c r="M9" s="1">
        <v>12</v>
      </c>
      <c r="N9" s="1">
        <f t="shared" si="0"/>
        <v>159</v>
      </c>
    </row>
    <row r="10" spans="1:14" x14ac:dyDescent="0.2">
      <c r="A10" s="4" t="s">
        <v>18</v>
      </c>
      <c r="B10" s="1">
        <v>12390</v>
      </c>
      <c r="C10" s="1">
        <v>11780</v>
      </c>
      <c r="D10" s="1">
        <v>44490</v>
      </c>
      <c r="E10" s="1">
        <v>67636</v>
      </c>
      <c r="F10" s="1">
        <v>76390</v>
      </c>
      <c r="G10" s="1">
        <v>43575</v>
      </c>
      <c r="H10" s="1">
        <v>66850</v>
      </c>
      <c r="I10" s="1">
        <v>59362</v>
      </c>
      <c r="J10" s="1">
        <v>77938</v>
      </c>
      <c r="K10" s="1">
        <v>19575</v>
      </c>
      <c r="L10" s="1">
        <v>38755</v>
      </c>
      <c r="M10" s="1">
        <v>15558</v>
      </c>
      <c r="N10" s="2">
        <f t="shared" si="0"/>
        <v>534299</v>
      </c>
    </row>
    <row r="11" spans="1:14" x14ac:dyDescent="0.2">
      <c r="A11" s="4" t="s">
        <v>22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f t="shared" si="0"/>
        <v>2</v>
      </c>
    </row>
    <row r="12" spans="1:14" x14ac:dyDescent="0.2">
      <c r="A12" s="4" t="s">
        <v>18</v>
      </c>
      <c r="B12" s="1">
        <v>2127</v>
      </c>
      <c r="C12" s="1">
        <v>1800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2">
        <f t="shared" si="0"/>
        <v>3927</v>
      </c>
    </row>
    <row r="13" spans="1:14" x14ac:dyDescent="0.2">
      <c r="A13" s="4" t="s">
        <v>23</v>
      </c>
      <c r="B13" s="1">
        <v>2</v>
      </c>
      <c r="C13" s="1">
        <v>11</v>
      </c>
      <c r="D13" s="1">
        <v>0</v>
      </c>
      <c r="E13" s="1">
        <v>5</v>
      </c>
      <c r="F13" s="1">
        <v>5</v>
      </c>
      <c r="G13" s="1">
        <v>14</v>
      </c>
      <c r="H13" s="1">
        <v>6</v>
      </c>
      <c r="I13" s="1">
        <v>3</v>
      </c>
      <c r="J13" s="1">
        <v>2</v>
      </c>
      <c r="K13" s="1">
        <v>8</v>
      </c>
      <c r="L13" s="1">
        <v>6</v>
      </c>
      <c r="M13" s="1">
        <v>2</v>
      </c>
      <c r="N13" s="1">
        <f>SUM(B13:M13)</f>
        <v>64</v>
      </c>
    </row>
    <row r="14" spans="1:14" x14ac:dyDescent="0.2">
      <c r="A14" s="4" t="s">
        <v>18</v>
      </c>
      <c r="B14" s="1">
        <v>8600</v>
      </c>
      <c r="C14" s="1">
        <v>52394</v>
      </c>
      <c r="D14" s="1">
        <v>0</v>
      </c>
      <c r="E14" s="1">
        <v>7650</v>
      </c>
      <c r="F14" s="1">
        <v>312540</v>
      </c>
      <c r="G14" s="1">
        <v>4476749</v>
      </c>
      <c r="H14" s="1">
        <v>72500</v>
      </c>
      <c r="I14" s="1">
        <v>5600</v>
      </c>
      <c r="J14" s="1">
        <v>125000</v>
      </c>
      <c r="K14" s="1">
        <v>633400</v>
      </c>
      <c r="L14" s="1">
        <v>210400</v>
      </c>
      <c r="M14" s="1">
        <v>575035</v>
      </c>
      <c r="N14" s="2">
        <f>SUM(B14:M14)</f>
        <v>6479868</v>
      </c>
    </row>
    <row r="15" spans="1:14" x14ac:dyDescent="0.2">
      <c r="A15" s="4" t="s">
        <v>24</v>
      </c>
      <c r="B15" s="1">
        <v>3</v>
      </c>
      <c r="C15" s="1">
        <v>1</v>
      </c>
      <c r="D15" s="1">
        <v>4</v>
      </c>
      <c r="E15" s="1">
        <v>4</v>
      </c>
      <c r="F15" s="1">
        <v>2</v>
      </c>
      <c r="G15" s="1">
        <v>3</v>
      </c>
      <c r="H15" s="1">
        <v>3</v>
      </c>
      <c r="I15" s="1">
        <v>1</v>
      </c>
      <c r="J15" s="1">
        <v>2</v>
      </c>
      <c r="K15" s="1">
        <v>3</v>
      </c>
      <c r="L15" s="1">
        <v>9</v>
      </c>
      <c r="M15" s="1">
        <v>8</v>
      </c>
      <c r="N15" s="1">
        <f t="shared" ref="N15:N42" si="1">SUM(B15:M15)</f>
        <v>43</v>
      </c>
    </row>
    <row r="16" spans="1:14" x14ac:dyDescent="0.2">
      <c r="A16" s="4" t="s">
        <v>18</v>
      </c>
      <c r="B16" s="1">
        <v>678000</v>
      </c>
      <c r="C16" s="1">
        <v>2500000</v>
      </c>
      <c r="D16" s="1">
        <v>2695000</v>
      </c>
      <c r="E16" s="1">
        <v>1665000</v>
      </c>
      <c r="F16" s="1">
        <v>1400000</v>
      </c>
      <c r="G16" s="1">
        <v>2807500</v>
      </c>
      <c r="H16" s="1">
        <v>755000</v>
      </c>
      <c r="I16" s="1">
        <v>28000</v>
      </c>
      <c r="J16" s="1">
        <v>950000</v>
      </c>
      <c r="K16" s="1">
        <v>4054360</v>
      </c>
      <c r="L16" s="1">
        <v>13730290</v>
      </c>
      <c r="M16" s="1">
        <v>10936894</v>
      </c>
      <c r="N16" s="2">
        <f t="shared" si="1"/>
        <v>42200044</v>
      </c>
    </row>
    <row r="17" spans="1:14" x14ac:dyDescent="0.2">
      <c r="A17" s="4" t="s">
        <v>25</v>
      </c>
      <c r="B17" s="1">
        <v>3</v>
      </c>
      <c r="C17" s="1">
        <v>2</v>
      </c>
      <c r="D17" s="1">
        <v>8</v>
      </c>
      <c r="E17" s="1">
        <v>6</v>
      </c>
      <c r="F17" s="1">
        <v>5</v>
      </c>
      <c r="G17" s="1">
        <v>2</v>
      </c>
      <c r="H17" s="1">
        <v>4</v>
      </c>
      <c r="I17" s="1">
        <v>1</v>
      </c>
      <c r="J17" s="1">
        <v>5</v>
      </c>
      <c r="K17" s="1">
        <v>2</v>
      </c>
      <c r="L17" s="1">
        <v>1</v>
      </c>
      <c r="M17" s="1">
        <v>6</v>
      </c>
      <c r="N17" s="1">
        <f t="shared" si="1"/>
        <v>45</v>
      </c>
    </row>
    <row r="18" spans="1:14" x14ac:dyDescent="0.2">
      <c r="A18" s="4" t="s">
        <v>18</v>
      </c>
      <c r="B18" s="1">
        <v>98531</v>
      </c>
      <c r="C18" s="1">
        <v>2488658</v>
      </c>
      <c r="D18" s="1">
        <v>335250</v>
      </c>
      <c r="E18" s="1">
        <v>5442000</v>
      </c>
      <c r="F18" s="1">
        <v>4637065</v>
      </c>
      <c r="G18" s="1">
        <v>2020000</v>
      </c>
      <c r="H18" s="1">
        <v>2112000</v>
      </c>
      <c r="I18" s="1">
        <v>50000</v>
      </c>
      <c r="J18" s="1">
        <v>193000</v>
      </c>
      <c r="K18" s="1">
        <v>290000</v>
      </c>
      <c r="L18" s="1">
        <v>45000</v>
      </c>
      <c r="M18" s="1">
        <v>211470</v>
      </c>
      <c r="N18" s="2">
        <f t="shared" si="1"/>
        <v>17922974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f t="shared" si="1"/>
        <v>0</v>
      </c>
    </row>
    <row r="21" spans="1:14" x14ac:dyDescent="0.2">
      <c r="A21" s="4" t="s">
        <v>27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1</v>
      </c>
    </row>
    <row r="22" spans="1:14" x14ac:dyDescent="0.2">
      <c r="A22" s="4" t="s">
        <v>18</v>
      </c>
      <c r="B22" s="1">
        <v>0</v>
      </c>
      <c r="C22" s="1">
        <v>14000000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1"/>
        <v>14000000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2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420000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1"/>
        <v>420000</v>
      </c>
    </row>
    <row r="25" spans="1:14" x14ac:dyDescent="0.2">
      <c r="A25" s="4" t="s">
        <v>29</v>
      </c>
      <c r="B25" s="1">
        <v>2</v>
      </c>
      <c r="C25" s="1">
        <v>3</v>
      </c>
      <c r="D25" s="1">
        <v>0</v>
      </c>
      <c r="E25" s="1">
        <v>2</v>
      </c>
      <c r="F25" s="1">
        <v>0</v>
      </c>
      <c r="G25" s="1">
        <v>2</v>
      </c>
      <c r="H25" s="1">
        <v>0</v>
      </c>
      <c r="I25" s="1">
        <v>2</v>
      </c>
      <c r="J25" s="1">
        <v>4</v>
      </c>
      <c r="K25" s="1">
        <v>6</v>
      </c>
      <c r="L25" s="1">
        <v>8</v>
      </c>
      <c r="M25" s="1">
        <v>5</v>
      </c>
      <c r="N25" s="1">
        <f t="shared" si="1"/>
        <v>34</v>
      </c>
    </row>
    <row r="26" spans="1:14" x14ac:dyDescent="0.2">
      <c r="A26" s="4" t="s">
        <v>18</v>
      </c>
      <c r="B26" s="1">
        <v>0</v>
      </c>
      <c r="C26" s="1">
        <v>0</v>
      </c>
      <c r="D26" s="1">
        <v>0</v>
      </c>
      <c r="E26" s="1">
        <v>20000</v>
      </c>
      <c r="F26" s="1">
        <v>0</v>
      </c>
      <c r="G26" s="1">
        <v>23000</v>
      </c>
      <c r="H26" s="1">
        <v>0</v>
      </c>
      <c r="I26" s="1">
        <v>60000</v>
      </c>
      <c r="J26" s="1">
        <v>0</v>
      </c>
      <c r="K26" s="1">
        <v>2250</v>
      </c>
      <c r="L26" s="1">
        <v>0</v>
      </c>
      <c r="M26" s="1">
        <v>0</v>
      </c>
      <c r="N26" s="2">
        <f t="shared" si="1"/>
        <v>105250</v>
      </c>
    </row>
    <row r="27" spans="1:14" x14ac:dyDescent="0.2">
      <c r="A27" s="4" t="s">
        <v>30</v>
      </c>
      <c r="B27" s="1">
        <v>2</v>
      </c>
      <c r="C27" s="1">
        <v>10</v>
      </c>
      <c r="D27" s="1">
        <v>8</v>
      </c>
      <c r="E27" s="1">
        <v>14</v>
      </c>
      <c r="F27" s="1">
        <v>10</v>
      </c>
      <c r="G27" s="1">
        <v>5</v>
      </c>
      <c r="H27" s="1">
        <v>1</v>
      </c>
      <c r="I27" s="1">
        <v>3</v>
      </c>
      <c r="J27" s="1">
        <v>4</v>
      </c>
      <c r="K27" s="1">
        <v>6</v>
      </c>
      <c r="L27" s="1">
        <v>5</v>
      </c>
      <c r="M27" s="1">
        <v>4</v>
      </c>
      <c r="N27" s="1">
        <f t="shared" si="1"/>
        <v>72</v>
      </c>
    </row>
    <row r="28" spans="1:14" x14ac:dyDescent="0.2">
      <c r="A28" s="4" t="s">
        <v>18</v>
      </c>
      <c r="B28" s="1">
        <v>1450</v>
      </c>
      <c r="C28" s="1">
        <v>25101</v>
      </c>
      <c r="D28" s="1">
        <v>5349</v>
      </c>
      <c r="E28" s="1">
        <v>18670</v>
      </c>
      <c r="F28" s="1">
        <v>13530</v>
      </c>
      <c r="G28" s="1">
        <v>3644</v>
      </c>
      <c r="H28" s="1">
        <v>652</v>
      </c>
      <c r="I28" s="1">
        <v>1800</v>
      </c>
      <c r="J28" s="1">
        <v>2200</v>
      </c>
      <c r="K28" s="1">
        <v>10722</v>
      </c>
      <c r="L28" s="1">
        <v>5814</v>
      </c>
      <c r="M28" s="1">
        <v>3400</v>
      </c>
      <c r="N28" s="2">
        <f t="shared" si="1"/>
        <v>92332</v>
      </c>
    </row>
    <row r="29" spans="1:14" x14ac:dyDescent="0.2">
      <c r="A29" s="4" t="s">
        <v>31</v>
      </c>
      <c r="B29" s="1">
        <v>11</v>
      </c>
      <c r="C29" s="1">
        <v>19</v>
      </c>
      <c r="D29" s="1">
        <v>23</v>
      </c>
      <c r="E29" s="1">
        <v>32</v>
      </c>
      <c r="F29" s="1">
        <v>31</v>
      </c>
      <c r="G29" s="1">
        <v>28</v>
      </c>
      <c r="H29" s="1">
        <v>38</v>
      </c>
      <c r="I29" s="1">
        <v>28</v>
      </c>
      <c r="J29" s="1">
        <v>17</v>
      </c>
      <c r="K29" s="1">
        <v>20</v>
      </c>
      <c r="L29" s="1">
        <v>5</v>
      </c>
      <c r="M29" s="1">
        <v>7</v>
      </c>
      <c r="N29" s="1">
        <f t="shared" si="1"/>
        <v>259</v>
      </c>
    </row>
    <row r="30" spans="1:14" x14ac:dyDescent="0.2">
      <c r="A30" s="4" t="s">
        <v>18</v>
      </c>
      <c r="B30" s="1">
        <v>256980</v>
      </c>
      <c r="C30" s="1">
        <v>447500</v>
      </c>
      <c r="D30" s="1">
        <v>492450</v>
      </c>
      <c r="E30" s="1">
        <v>741467</v>
      </c>
      <c r="F30" s="1">
        <v>784425</v>
      </c>
      <c r="G30" s="1">
        <v>574493</v>
      </c>
      <c r="H30" s="1">
        <v>812801</v>
      </c>
      <c r="I30" s="1">
        <v>854920</v>
      </c>
      <c r="J30" s="1">
        <v>377080</v>
      </c>
      <c r="K30" s="1">
        <v>522563</v>
      </c>
      <c r="L30" s="1">
        <v>117900</v>
      </c>
      <c r="M30" s="1">
        <v>165500</v>
      </c>
      <c r="N30" s="2">
        <f t="shared" si="1"/>
        <v>6148079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f t="shared" si="1"/>
        <v>1</v>
      </c>
    </row>
    <row r="32" spans="1:14" x14ac:dyDescent="0.2">
      <c r="A32" s="4" t="s">
        <v>18</v>
      </c>
      <c r="B32" s="1">
        <v>0</v>
      </c>
      <c r="C32" s="1">
        <v>0</v>
      </c>
      <c r="D32" s="1">
        <v>0</v>
      </c>
      <c r="E32" s="1">
        <v>0</v>
      </c>
      <c r="F32" s="1">
        <v>22000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1"/>
        <v>22000</v>
      </c>
    </row>
    <row r="33" spans="1:14" x14ac:dyDescent="0.2">
      <c r="A33" s="4" t="s">
        <v>33</v>
      </c>
      <c r="B33" s="1">
        <v>47</v>
      </c>
      <c r="C33" s="1">
        <v>96</v>
      </c>
      <c r="D33" s="1">
        <v>87</v>
      </c>
      <c r="E33" s="1">
        <v>125</v>
      </c>
      <c r="F33" s="1">
        <v>99</v>
      </c>
      <c r="G33" s="1">
        <v>100</v>
      </c>
      <c r="H33" s="1">
        <v>75</v>
      </c>
      <c r="I33" s="1">
        <v>86</v>
      </c>
      <c r="J33" s="1">
        <v>101</v>
      </c>
      <c r="K33" s="1">
        <v>80</v>
      </c>
      <c r="L33" s="1">
        <v>64</v>
      </c>
      <c r="M33" s="1">
        <v>96</v>
      </c>
      <c r="N33" s="1">
        <f t="shared" si="1"/>
        <v>1056</v>
      </c>
    </row>
    <row r="34" spans="1:14" x14ac:dyDescent="0.2">
      <c r="A34" s="4" t="s">
        <v>18</v>
      </c>
      <c r="B34" s="1">
        <v>120900</v>
      </c>
      <c r="C34" s="1">
        <v>89317</v>
      </c>
      <c r="D34" s="1">
        <v>123273</v>
      </c>
      <c r="E34" s="1">
        <v>683697</v>
      </c>
      <c r="F34" s="1">
        <v>89963</v>
      </c>
      <c r="G34" s="1">
        <v>192470</v>
      </c>
      <c r="H34" s="1">
        <v>332816</v>
      </c>
      <c r="I34" s="1">
        <v>78790</v>
      </c>
      <c r="J34" s="1">
        <v>104836</v>
      </c>
      <c r="K34" s="1">
        <v>83681</v>
      </c>
      <c r="L34" s="1">
        <v>91550</v>
      </c>
      <c r="M34" s="1">
        <v>108300</v>
      </c>
      <c r="N34" s="2">
        <f t="shared" si="1"/>
        <v>2099593</v>
      </c>
    </row>
    <row r="35" spans="1:14" x14ac:dyDescent="0.2">
      <c r="A35" s="4" t="s">
        <v>34</v>
      </c>
      <c r="B35" s="1">
        <v>49</v>
      </c>
      <c r="C35" s="1">
        <v>68</v>
      </c>
      <c r="D35" s="1">
        <v>79</v>
      </c>
      <c r="E35" s="1">
        <v>83</v>
      </c>
      <c r="F35" s="1">
        <v>68</v>
      </c>
      <c r="G35" s="1">
        <v>74</v>
      </c>
      <c r="H35" s="1">
        <v>42</v>
      </c>
      <c r="I35" s="1">
        <v>73</v>
      </c>
      <c r="J35" s="1">
        <v>45</v>
      </c>
      <c r="K35" s="1">
        <v>72</v>
      </c>
      <c r="L35" s="1">
        <v>28</v>
      </c>
      <c r="M35" s="1">
        <v>37</v>
      </c>
      <c r="N35" s="1">
        <f t="shared" si="1"/>
        <v>718</v>
      </c>
    </row>
    <row r="36" spans="1:14" x14ac:dyDescent="0.2">
      <c r="A36" s="4" t="s">
        <v>18</v>
      </c>
      <c r="B36" s="1">
        <v>59350</v>
      </c>
      <c r="C36" s="1">
        <v>79050</v>
      </c>
      <c r="D36" s="1">
        <v>93245</v>
      </c>
      <c r="E36" s="1">
        <v>106200</v>
      </c>
      <c r="F36" s="1">
        <v>82800</v>
      </c>
      <c r="G36" s="1">
        <v>200695</v>
      </c>
      <c r="H36" s="1">
        <v>52300</v>
      </c>
      <c r="I36" s="1">
        <v>103650</v>
      </c>
      <c r="J36" s="1">
        <v>62375</v>
      </c>
      <c r="K36" s="1">
        <v>162875</v>
      </c>
      <c r="L36" s="1">
        <v>87355</v>
      </c>
      <c r="M36" s="1">
        <v>45900</v>
      </c>
      <c r="N36" s="2">
        <f t="shared" si="1"/>
        <v>1135795</v>
      </c>
    </row>
    <row r="37" spans="1:14" x14ac:dyDescent="0.2">
      <c r="A37" s="4" t="s">
        <v>35</v>
      </c>
      <c r="B37" s="1">
        <v>13</v>
      </c>
      <c r="C37" s="1">
        <v>6</v>
      </c>
      <c r="D37" s="1">
        <v>14</v>
      </c>
      <c r="E37" s="1">
        <v>8</v>
      </c>
      <c r="F37" s="1">
        <v>9</v>
      </c>
      <c r="G37" s="1">
        <v>14</v>
      </c>
      <c r="H37" s="1">
        <v>10</v>
      </c>
      <c r="I37" s="1">
        <v>16</v>
      </c>
      <c r="J37" s="1">
        <v>31</v>
      </c>
      <c r="K37" s="1">
        <v>18</v>
      </c>
      <c r="L37" s="1">
        <v>16</v>
      </c>
      <c r="M37" s="1">
        <v>17</v>
      </c>
      <c r="N37" s="1">
        <f t="shared" si="1"/>
        <v>172</v>
      </c>
    </row>
    <row r="38" spans="1:14" x14ac:dyDescent="0.2">
      <c r="A38" s="4" t="s">
        <v>18</v>
      </c>
      <c r="B38" s="1">
        <v>10575</v>
      </c>
      <c r="C38" s="1">
        <v>5278</v>
      </c>
      <c r="D38" s="1">
        <v>31659</v>
      </c>
      <c r="E38" s="1">
        <v>8231</v>
      </c>
      <c r="F38" s="1">
        <v>13475</v>
      </c>
      <c r="G38" s="1">
        <v>19815</v>
      </c>
      <c r="H38" s="1">
        <v>33290</v>
      </c>
      <c r="I38" s="1">
        <v>73245</v>
      </c>
      <c r="J38" s="1">
        <v>57590</v>
      </c>
      <c r="K38" s="1">
        <v>13840</v>
      </c>
      <c r="L38" s="1">
        <v>22416</v>
      </c>
      <c r="M38" s="1">
        <v>17880</v>
      </c>
      <c r="N38" s="2">
        <f t="shared" si="1"/>
        <v>307294</v>
      </c>
    </row>
    <row r="39" spans="1:14" x14ac:dyDescent="0.2">
      <c r="A39" s="4" t="s">
        <v>36</v>
      </c>
      <c r="B39" s="1">
        <v>0</v>
      </c>
      <c r="C39" s="1">
        <v>0</v>
      </c>
      <c r="D39" s="1">
        <v>2</v>
      </c>
      <c r="E39" s="1">
        <v>5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f t="shared" si="1"/>
        <v>9</v>
      </c>
    </row>
    <row r="40" spans="1:14" x14ac:dyDescent="0.2">
      <c r="A40" s="4" t="s">
        <v>18</v>
      </c>
      <c r="B40" s="1">
        <v>0</v>
      </c>
      <c r="C40" s="1">
        <v>0</v>
      </c>
      <c r="D40" s="1">
        <v>500</v>
      </c>
      <c r="E40" s="1">
        <v>0</v>
      </c>
      <c r="F40" s="1">
        <v>0</v>
      </c>
      <c r="G40" s="1">
        <v>0</v>
      </c>
      <c r="H40" s="1">
        <v>0</v>
      </c>
      <c r="I40" s="1">
        <v>5000</v>
      </c>
      <c r="J40" s="1">
        <v>5000</v>
      </c>
      <c r="K40" s="1">
        <v>0</v>
      </c>
      <c r="L40" s="1">
        <v>0</v>
      </c>
      <c r="M40" s="1">
        <v>0</v>
      </c>
      <c r="N40" s="2">
        <f t="shared" si="1"/>
        <v>10500</v>
      </c>
    </row>
    <row r="41" spans="1:14" x14ac:dyDescent="0.2">
      <c r="A41" s="4" t="s">
        <v>37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f t="shared" si="1"/>
        <v>2</v>
      </c>
    </row>
    <row r="42" spans="1:14" x14ac:dyDescent="0.2">
      <c r="A42" s="4" t="s">
        <v>18</v>
      </c>
      <c r="B42" s="1">
        <v>0</v>
      </c>
      <c r="C42" s="1">
        <v>0</v>
      </c>
      <c r="D42" s="1">
        <v>0</v>
      </c>
      <c r="E42" s="1">
        <v>0</v>
      </c>
      <c r="F42" s="1">
        <v>2000</v>
      </c>
      <c r="G42" s="1">
        <v>0</v>
      </c>
      <c r="H42" s="1">
        <v>0</v>
      </c>
      <c r="I42" s="1">
        <v>0</v>
      </c>
      <c r="J42" s="1">
        <v>2000</v>
      </c>
      <c r="K42" s="1">
        <v>0</v>
      </c>
      <c r="L42" s="1">
        <v>0</v>
      </c>
      <c r="M42" s="1">
        <v>0</v>
      </c>
      <c r="N42" s="2">
        <f t="shared" si="1"/>
        <v>4000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210</v>
      </c>
      <c r="C44" s="1">
        <f t="shared" si="2"/>
        <v>334</v>
      </c>
      <c r="D44" s="1">
        <f t="shared" si="2"/>
        <v>316</v>
      </c>
      <c r="E44" s="1">
        <f t="shared" si="2"/>
        <v>400</v>
      </c>
      <c r="F44" s="1">
        <f t="shared" si="2"/>
        <v>405</v>
      </c>
      <c r="G44" s="1">
        <f t="shared" si="2"/>
        <v>349</v>
      </c>
      <c r="H44" s="1">
        <f t="shared" si="2"/>
        <v>301</v>
      </c>
      <c r="I44" s="1">
        <f t="shared" si="2"/>
        <v>359</v>
      </c>
      <c r="J44" s="1">
        <f t="shared" si="2"/>
        <v>391</v>
      </c>
      <c r="K44" s="1">
        <f t="shared" si="2"/>
        <v>283</v>
      </c>
      <c r="L44" s="1">
        <f t="shared" si="2"/>
        <v>234</v>
      </c>
      <c r="M44" s="1">
        <f t="shared" si="2"/>
        <v>330</v>
      </c>
      <c r="N44" s="1">
        <f>SUM(B44:M44)</f>
        <v>3912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11547334</v>
      </c>
      <c r="C45" s="2">
        <f t="shared" ref="C45:H45" si="3">SUM(C4+C6+C8+C10+C12+C14+C16+C18+C20+C22+C24+C26+C28+C30+C32+C34+C36+C38+C40+C42)</f>
        <v>36590678</v>
      </c>
      <c r="D45" s="2">
        <f t="shared" si="3"/>
        <v>18013363</v>
      </c>
      <c r="E45" s="2">
        <f t="shared" si="3"/>
        <v>24718502</v>
      </c>
      <c r="F45" s="2">
        <f t="shared" si="3"/>
        <v>34989252</v>
      </c>
      <c r="G45" s="2">
        <f t="shared" si="3"/>
        <v>28930742</v>
      </c>
      <c r="H45" s="2">
        <f t="shared" si="3"/>
        <v>21754199</v>
      </c>
      <c r="I45" s="2">
        <f>SUM(I4+I6+I8+I10+I12+I16+I14+I18+I20+I22+I24+I26+I28+I30+I32+I34+I36+I38+I40+I42)</f>
        <v>22110435</v>
      </c>
      <c r="J45" s="2">
        <f>SUM(J4+J6+J8+J10+J12+J14+J16+J18+J20+J22+J24+J26+J28+J30+J32+J34+J36+J38+J40+J42)</f>
        <v>26412867</v>
      </c>
      <c r="K45" s="2">
        <f>SUM(K4+K6+K8+K10+K12+K14+K16+K18+K20+K22+K24+K26+K28+K30+K32+K34+K36+K38+K40+K42)</f>
        <v>16089423</v>
      </c>
      <c r="L45" s="2">
        <f>SUM(L4+L6+L8+L10+L12+L14+L16+L18+L20+L22+L24+L26+L28+L30+L32+L34+L36+L38+L40+L42)</f>
        <v>42849589</v>
      </c>
      <c r="M45" s="2">
        <f>SUM(M4+M6+M8+M10+M12+M14+M16+M18+M20+M22+M24+M26+M28+M30+M32+M34+M36+M38+M40+M42)</f>
        <v>31923922</v>
      </c>
      <c r="N45" s="2">
        <f>SUM(B45:M45)</f>
        <v>315930306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1998&amp;CCITY OF ALLEN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workbookViewId="0">
      <pane xSplit="1" ySplit="1" topLeftCell="N29" activePane="bottomRight" state="frozen"/>
      <selection pane="topRight" activeCell="B1" sqref="B1"/>
      <selection pane="bottomLeft" activeCell="A2" sqref="A2"/>
      <selection pane="bottomRight" activeCell="O44" sqref="O44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73</v>
      </c>
      <c r="C3" s="1">
        <v>144</v>
      </c>
      <c r="D3" s="1">
        <v>140</v>
      </c>
      <c r="E3" s="1">
        <v>87</v>
      </c>
      <c r="F3" s="1">
        <v>97</v>
      </c>
      <c r="G3" s="1">
        <v>111</v>
      </c>
      <c r="H3" s="1">
        <v>133</v>
      </c>
      <c r="I3" s="1">
        <v>105</v>
      </c>
      <c r="J3" s="1">
        <v>134</v>
      </c>
      <c r="K3" s="1">
        <v>67</v>
      </c>
      <c r="L3" s="1">
        <v>79</v>
      </c>
      <c r="M3" s="1">
        <v>62</v>
      </c>
      <c r="N3" s="1">
        <f t="shared" ref="N3:N12" si="0">SUM(B3:M3)</f>
        <v>1232</v>
      </c>
    </row>
    <row r="4" spans="1:14" x14ac:dyDescent="0.2">
      <c r="A4" s="4" t="s">
        <v>18</v>
      </c>
      <c r="B4" s="1">
        <v>12344655</v>
      </c>
      <c r="C4" s="1">
        <v>21983878</v>
      </c>
      <c r="D4" s="1">
        <v>21387206</v>
      </c>
      <c r="E4" s="1">
        <v>14541178</v>
      </c>
      <c r="F4" s="1">
        <v>15438278</v>
      </c>
      <c r="G4" s="1">
        <v>20158773</v>
      </c>
      <c r="H4" s="1">
        <v>21216496</v>
      </c>
      <c r="I4" s="1">
        <v>16269949</v>
      </c>
      <c r="J4" s="1">
        <v>22251406</v>
      </c>
      <c r="K4" s="1">
        <v>13928101</v>
      </c>
      <c r="L4" s="1">
        <v>13911925</v>
      </c>
      <c r="M4" s="1">
        <v>9674989</v>
      </c>
      <c r="N4" s="2">
        <f t="shared" si="0"/>
        <v>203106834</v>
      </c>
    </row>
    <row r="5" spans="1:14" x14ac:dyDescent="0.2">
      <c r="A5" s="4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f t="shared" si="0"/>
        <v>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4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f t="shared" si="0"/>
        <v>0</v>
      </c>
    </row>
    <row r="9" spans="1:14" x14ac:dyDescent="0.2">
      <c r="A9" s="4" t="s">
        <v>21</v>
      </c>
      <c r="B9" s="1">
        <v>7</v>
      </c>
      <c r="C9" s="1">
        <v>12</v>
      </c>
      <c r="D9" s="1">
        <v>19</v>
      </c>
      <c r="E9" s="1">
        <v>18</v>
      </c>
      <c r="F9" s="1">
        <v>13</v>
      </c>
      <c r="G9" s="1">
        <v>52</v>
      </c>
      <c r="H9" s="1">
        <v>16</v>
      </c>
      <c r="I9" s="1">
        <v>12</v>
      </c>
      <c r="J9" s="1">
        <v>33</v>
      </c>
      <c r="K9" s="1">
        <v>17</v>
      </c>
      <c r="L9" s="1">
        <v>19</v>
      </c>
      <c r="M9" s="1">
        <v>7</v>
      </c>
      <c r="N9" s="1">
        <f t="shared" si="0"/>
        <v>225</v>
      </c>
    </row>
    <row r="10" spans="1:14" x14ac:dyDescent="0.2">
      <c r="A10" s="4" t="s">
        <v>18</v>
      </c>
      <c r="B10" s="1">
        <v>5235</v>
      </c>
      <c r="C10" s="1">
        <v>50430</v>
      </c>
      <c r="D10" s="1">
        <v>136909</v>
      </c>
      <c r="E10" s="1">
        <v>51300</v>
      </c>
      <c r="F10" s="1">
        <v>71080</v>
      </c>
      <c r="G10" s="1">
        <v>89409</v>
      </c>
      <c r="H10" s="1">
        <v>22620</v>
      </c>
      <c r="I10" s="1">
        <v>59270</v>
      </c>
      <c r="J10" s="1">
        <v>79325</v>
      </c>
      <c r="K10" s="1">
        <v>57832</v>
      </c>
      <c r="L10" s="1">
        <v>68495</v>
      </c>
      <c r="M10" s="1">
        <v>5251</v>
      </c>
      <c r="N10" s="2">
        <f t="shared" si="0"/>
        <v>697156</v>
      </c>
    </row>
    <row r="11" spans="1:14" x14ac:dyDescent="0.2">
      <c r="A11" s="4" t="s">
        <v>22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f t="shared" si="0"/>
        <v>1</v>
      </c>
    </row>
    <row r="12" spans="1:14" x14ac:dyDescent="0.2">
      <c r="A12" s="4" t="s">
        <v>18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27000</v>
      </c>
      <c r="M12" s="1">
        <v>0</v>
      </c>
      <c r="N12" s="2">
        <f t="shared" si="0"/>
        <v>27000</v>
      </c>
    </row>
    <row r="13" spans="1:14" x14ac:dyDescent="0.2">
      <c r="A13" s="4" t="s">
        <v>23</v>
      </c>
      <c r="B13" s="1">
        <v>4</v>
      </c>
      <c r="C13" s="1">
        <v>6</v>
      </c>
      <c r="D13" s="1">
        <v>11</v>
      </c>
      <c r="E13" s="1">
        <v>5</v>
      </c>
      <c r="F13" s="1">
        <v>5</v>
      </c>
      <c r="G13" s="1">
        <v>8</v>
      </c>
      <c r="H13" s="1">
        <v>8</v>
      </c>
      <c r="I13" s="1">
        <v>5</v>
      </c>
      <c r="J13" s="1">
        <v>2</v>
      </c>
      <c r="K13" s="1">
        <v>0</v>
      </c>
      <c r="L13" s="1">
        <v>5</v>
      </c>
      <c r="M13" s="1">
        <v>4</v>
      </c>
      <c r="N13" s="1">
        <f>SUM(B13:M13)</f>
        <v>63</v>
      </c>
    </row>
    <row r="14" spans="1:14" x14ac:dyDescent="0.2">
      <c r="A14" s="4" t="s">
        <v>18</v>
      </c>
      <c r="B14" s="1">
        <v>338000</v>
      </c>
      <c r="C14" s="1">
        <v>74213</v>
      </c>
      <c r="D14" s="1">
        <v>59800</v>
      </c>
      <c r="E14" s="1">
        <v>4800</v>
      </c>
      <c r="F14" s="1">
        <v>87500</v>
      </c>
      <c r="G14" s="1">
        <v>64500</v>
      </c>
      <c r="H14" s="1">
        <v>1578908</v>
      </c>
      <c r="I14" s="1">
        <v>642500</v>
      </c>
      <c r="J14" s="1">
        <v>22500</v>
      </c>
      <c r="K14" s="1">
        <v>0</v>
      </c>
      <c r="L14" s="1">
        <v>102500</v>
      </c>
      <c r="M14" s="1">
        <v>10000</v>
      </c>
      <c r="N14" s="2">
        <f>SUM(B14:M14)</f>
        <v>2985221</v>
      </c>
    </row>
    <row r="15" spans="1:14" x14ac:dyDescent="0.2">
      <c r="A15" s="4" t="s">
        <v>24</v>
      </c>
      <c r="B15" s="1">
        <v>3</v>
      </c>
      <c r="C15" s="1">
        <v>3</v>
      </c>
      <c r="D15" s="1">
        <v>7</v>
      </c>
      <c r="E15" s="1">
        <v>4</v>
      </c>
      <c r="F15" s="1">
        <v>5</v>
      </c>
      <c r="G15" s="1">
        <v>7</v>
      </c>
      <c r="H15" s="1">
        <v>2</v>
      </c>
      <c r="I15" s="1">
        <v>3</v>
      </c>
      <c r="J15" s="1">
        <v>14</v>
      </c>
      <c r="K15" s="1">
        <v>5</v>
      </c>
      <c r="L15" s="1">
        <v>3</v>
      </c>
      <c r="M15" s="1">
        <v>3</v>
      </c>
      <c r="N15" s="1">
        <f t="shared" ref="N15:N42" si="1">SUM(B15:M15)</f>
        <v>59</v>
      </c>
    </row>
    <row r="16" spans="1:14" x14ac:dyDescent="0.2">
      <c r="A16" s="4" t="s">
        <v>18</v>
      </c>
      <c r="B16" s="1">
        <v>22200000</v>
      </c>
      <c r="C16" s="1">
        <v>3747500</v>
      </c>
      <c r="D16" s="1">
        <v>2580000</v>
      </c>
      <c r="E16" s="1">
        <v>17100000</v>
      </c>
      <c r="F16" s="1">
        <v>8672608</v>
      </c>
      <c r="G16" s="1">
        <v>9979930</v>
      </c>
      <c r="H16" s="1">
        <v>1410000</v>
      </c>
      <c r="I16" s="1">
        <v>1564839</v>
      </c>
      <c r="J16" s="1">
        <v>621258</v>
      </c>
      <c r="K16" s="1">
        <v>8686655</v>
      </c>
      <c r="L16" s="1">
        <v>1635000</v>
      </c>
      <c r="M16" s="1">
        <v>1815000</v>
      </c>
      <c r="N16" s="2">
        <f t="shared" si="1"/>
        <v>80012790</v>
      </c>
    </row>
    <row r="17" spans="1:14" x14ac:dyDescent="0.2">
      <c r="A17" s="4" t="s">
        <v>40</v>
      </c>
      <c r="B17" s="1">
        <v>7</v>
      </c>
      <c r="C17" s="1">
        <v>4</v>
      </c>
      <c r="D17" s="1">
        <v>4</v>
      </c>
      <c r="E17" s="1">
        <v>4</v>
      </c>
      <c r="F17" s="1">
        <v>7</v>
      </c>
      <c r="G17" s="1">
        <v>11</v>
      </c>
      <c r="H17" s="1">
        <v>4</v>
      </c>
      <c r="I17" s="1">
        <v>6</v>
      </c>
      <c r="J17" s="1">
        <v>7</v>
      </c>
      <c r="K17" s="1">
        <v>9</v>
      </c>
      <c r="L17" s="1">
        <v>12</v>
      </c>
      <c r="M17" s="1">
        <v>11</v>
      </c>
      <c r="N17" s="1">
        <f t="shared" si="1"/>
        <v>86</v>
      </c>
    </row>
    <row r="18" spans="1:14" x14ac:dyDescent="0.2">
      <c r="A18" s="4" t="s">
        <v>18</v>
      </c>
      <c r="B18" s="1">
        <v>543217</v>
      </c>
      <c r="C18" s="1">
        <v>229500</v>
      </c>
      <c r="D18" s="1">
        <v>1067702</v>
      </c>
      <c r="E18" s="1">
        <v>272388</v>
      </c>
      <c r="F18" s="1">
        <v>2219575</v>
      </c>
      <c r="G18" s="1">
        <v>908300</v>
      </c>
      <c r="H18" s="1">
        <v>331594</v>
      </c>
      <c r="I18" s="1">
        <v>551355</v>
      </c>
      <c r="J18" s="1">
        <v>8477500</v>
      </c>
      <c r="K18" s="1">
        <v>402000</v>
      </c>
      <c r="L18" s="1">
        <v>27275560</v>
      </c>
      <c r="M18" s="1">
        <v>334836</v>
      </c>
      <c r="N18" s="9">
        <f t="shared" si="1"/>
        <v>42613527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f t="shared" si="1"/>
        <v>2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4500000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1"/>
        <v>4500000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f t="shared" si="1"/>
        <v>0</v>
      </c>
    </row>
    <row r="25" spans="1:14" x14ac:dyDescent="0.2">
      <c r="A25" s="4" t="s">
        <v>29</v>
      </c>
      <c r="B25" s="1">
        <v>7</v>
      </c>
      <c r="C25" s="1">
        <v>3</v>
      </c>
      <c r="D25" s="1">
        <v>3</v>
      </c>
      <c r="E25" s="1">
        <v>3</v>
      </c>
      <c r="F25" s="1">
        <v>9</v>
      </c>
      <c r="G25" s="1">
        <v>9</v>
      </c>
      <c r="H25" s="1">
        <v>4</v>
      </c>
      <c r="I25" s="1">
        <v>2</v>
      </c>
      <c r="J25" s="1">
        <v>6</v>
      </c>
      <c r="K25" s="1">
        <v>5</v>
      </c>
      <c r="L25" s="1">
        <v>4</v>
      </c>
      <c r="M25" s="1">
        <v>4</v>
      </c>
      <c r="N25" s="1">
        <f t="shared" si="1"/>
        <v>59</v>
      </c>
    </row>
    <row r="26" spans="1:14" x14ac:dyDescent="0.2">
      <c r="A26" s="4" t="s">
        <v>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35000</v>
      </c>
      <c r="H26" s="1">
        <v>0</v>
      </c>
      <c r="I26" s="1">
        <v>0</v>
      </c>
      <c r="J26" s="1">
        <v>25000</v>
      </c>
      <c r="K26" s="1">
        <v>10000</v>
      </c>
      <c r="L26" s="1">
        <v>0</v>
      </c>
      <c r="M26" s="1">
        <v>0</v>
      </c>
      <c r="N26" s="2">
        <f t="shared" si="1"/>
        <v>70000</v>
      </c>
    </row>
    <row r="27" spans="1:14" x14ac:dyDescent="0.2">
      <c r="A27" s="4" t="s">
        <v>30</v>
      </c>
      <c r="B27" s="1">
        <v>2</v>
      </c>
      <c r="C27" s="1">
        <v>7</v>
      </c>
      <c r="D27" s="1">
        <v>8</v>
      </c>
      <c r="E27" s="1">
        <v>9</v>
      </c>
      <c r="F27" s="1">
        <v>10</v>
      </c>
      <c r="G27" s="1">
        <v>7</v>
      </c>
      <c r="H27" s="1">
        <v>7</v>
      </c>
      <c r="I27" s="1">
        <v>9</v>
      </c>
      <c r="J27" s="1">
        <v>5</v>
      </c>
      <c r="K27" s="1">
        <v>8</v>
      </c>
      <c r="L27" s="1">
        <v>6</v>
      </c>
      <c r="M27" s="1">
        <v>4</v>
      </c>
      <c r="N27" s="1">
        <f t="shared" si="1"/>
        <v>82</v>
      </c>
    </row>
    <row r="28" spans="1:14" x14ac:dyDescent="0.2">
      <c r="A28" s="4" t="s">
        <v>18</v>
      </c>
      <c r="B28" s="1">
        <v>2650</v>
      </c>
      <c r="C28" s="1">
        <v>5050</v>
      </c>
      <c r="D28" s="1">
        <v>12560</v>
      </c>
      <c r="E28" s="1">
        <v>10265</v>
      </c>
      <c r="F28" s="1">
        <v>12696</v>
      </c>
      <c r="G28" s="1">
        <v>10300</v>
      </c>
      <c r="H28" s="1">
        <v>11200</v>
      </c>
      <c r="I28" s="1">
        <v>8160</v>
      </c>
      <c r="J28" s="1">
        <v>4479</v>
      </c>
      <c r="K28" s="1">
        <v>9150</v>
      </c>
      <c r="L28" s="1">
        <v>6120</v>
      </c>
      <c r="M28" s="1">
        <v>3800</v>
      </c>
      <c r="N28" s="2">
        <f t="shared" si="1"/>
        <v>96430</v>
      </c>
    </row>
    <row r="29" spans="1:14" x14ac:dyDescent="0.2">
      <c r="A29" s="4" t="s">
        <v>31</v>
      </c>
      <c r="B29" s="1">
        <v>16</v>
      </c>
      <c r="C29" s="1">
        <v>29</v>
      </c>
      <c r="D29" s="1">
        <v>33</v>
      </c>
      <c r="E29" s="1">
        <v>33</v>
      </c>
      <c r="F29" s="1">
        <v>32</v>
      </c>
      <c r="G29" s="1">
        <v>37</v>
      </c>
      <c r="H29" s="1">
        <v>21</v>
      </c>
      <c r="I29" s="1">
        <v>20</v>
      </c>
      <c r="J29" s="1">
        <v>18</v>
      </c>
      <c r="K29" s="1">
        <v>16</v>
      </c>
      <c r="L29" s="1">
        <v>14</v>
      </c>
      <c r="M29" s="1">
        <v>13</v>
      </c>
      <c r="N29" s="1">
        <f t="shared" si="1"/>
        <v>282</v>
      </c>
    </row>
    <row r="30" spans="1:14" x14ac:dyDescent="0.2">
      <c r="A30" s="4" t="s">
        <v>18</v>
      </c>
      <c r="B30" s="1">
        <v>450120</v>
      </c>
      <c r="C30" s="1">
        <v>767350</v>
      </c>
      <c r="D30" s="1">
        <v>838800</v>
      </c>
      <c r="E30" s="1">
        <v>859000</v>
      </c>
      <c r="F30" s="1">
        <v>797625</v>
      </c>
      <c r="G30" s="1">
        <v>889355</v>
      </c>
      <c r="H30" s="1">
        <v>484946</v>
      </c>
      <c r="I30" s="1">
        <v>500135</v>
      </c>
      <c r="J30" s="1">
        <v>431990</v>
      </c>
      <c r="K30" s="1">
        <v>347500</v>
      </c>
      <c r="L30" s="1">
        <v>396990</v>
      </c>
      <c r="M30" s="1">
        <v>392377</v>
      </c>
      <c r="N30" s="2">
        <f t="shared" si="1"/>
        <v>7156188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f t="shared" si="1"/>
        <v>2</v>
      </c>
    </row>
    <row r="32" spans="1:14" x14ac:dyDescent="0.2">
      <c r="A32" s="4" t="s">
        <v>18</v>
      </c>
      <c r="B32" s="1">
        <v>0</v>
      </c>
      <c r="C32" s="1">
        <v>0</v>
      </c>
      <c r="D32" s="1">
        <v>0</v>
      </c>
      <c r="E32" s="1">
        <v>200</v>
      </c>
      <c r="F32" s="1">
        <v>0</v>
      </c>
      <c r="G32" s="1">
        <v>1000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1"/>
        <v>1200</v>
      </c>
    </row>
    <row r="33" spans="1:14" x14ac:dyDescent="0.2">
      <c r="A33" s="4" t="s">
        <v>33</v>
      </c>
      <c r="B33" s="1">
        <v>75</v>
      </c>
      <c r="C33" s="1">
        <v>94</v>
      </c>
      <c r="D33" s="1">
        <v>120</v>
      </c>
      <c r="E33" s="1">
        <v>122</v>
      </c>
      <c r="F33" s="1">
        <v>76</v>
      </c>
      <c r="G33" s="1">
        <v>131</v>
      </c>
      <c r="H33" s="1">
        <v>93</v>
      </c>
      <c r="I33" s="1">
        <v>92</v>
      </c>
      <c r="J33" s="1">
        <v>80</v>
      </c>
      <c r="K33" s="1">
        <v>78</v>
      </c>
      <c r="L33" s="1">
        <v>122</v>
      </c>
      <c r="M33" s="1">
        <v>118</v>
      </c>
      <c r="N33" s="1">
        <f t="shared" si="1"/>
        <v>1201</v>
      </c>
    </row>
    <row r="34" spans="1:14" x14ac:dyDescent="0.2">
      <c r="A34" s="4" t="s">
        <v>18</v>
      </c>
      <c r="B34" s="1">
        <v>88200</v>
      </c>
      <c r="C34" s="1">
        <v>491483</v>
      </c>
      <c r="D34" s="1">
        <v>165025</v>
      </c>
      <c r="E34" s="1">
        <v>158500</v>
      </c>
      <c r="F34" s="1">
        <v>145482</v>
      </c>
      <c r="G34" s="1">
        <v>865968</v>
      </c>
      <c r="H34" s="1">
        <v>386272</v>
      </c>
      <c r="I34" s="1">
        <v>163193</v>
      </c>
      <c r="J34" s="1">
        <v>114000</v>
      </c>
      <c r="K34" s="1">
        <v>146326</v>
      </c>
      <c r="L34" s="1">
        <v>147550</v>
      </c>
      <c r="M34" s="1">
        <v>116650</v>
      </c>
      <c r="N34" s="2">
        <f t="shared" si="1"/>
        <v>2988649</v>
      </c>
    </row>
    <row r="35" spans="1:14" x14ac:dyDescent="0.2">
      <c r="A35" s="4" t="s">
        <v>34</v>
      </c>
      <c r="B35" s="1">
        <v>46</v>
      </c>
      <c r="C35" s="1">
        <v>83</v>
      </c>
      <c r="D35" s="1">
        <v>77</v>
      </c>
      <c r="E35" s="1">
        <v>89</v>
      </c>
      <c r="F35" s="1">
        <v>91</v>
      </c>
      <c r="G35" s="1">
        <v>94</v>
      </c>
      <c r="H35" s="1">
        <v>64</v>
      </c>
      <c r="I35" s="1">
        <v>59</v>
      </c>
      <c r="J35" s="1">
        <v>74</v>
      </c>
      <c r="K35" s="1">
        <v>49</v>
      </c>
      <c r="L35" s="1">
        <v>51</v>
      </c>
      <c r="M35" s="1">
        <v>57</v>
      </c>
      <c r="N35" s="1">
        <f t="shared" si="1"/>
        <v>834</v>
      </c>
    </row>
    <row r="36" spans="1:14" x14ac:dyDescent="0.2">
      <c r="A36" s="4" t="s">
        <v>18</v>
      </c>
      <c r="B36" s="1">
        <v>71050</v>
      </c>
      <c r="C36" s="1">
        <v>128505</v>
      </c>
      <c r="D36" s="1">
        <v>116810</v>
      </c>
      <c r="E36" s="1">
        <v>211495</v>
      </c>
      <c r="F36" s="1">
        <v>144142</v>
      </c>
      <c r="G36" s="1">
        <v>139262</v>
      </c>
      <c r="H36" s="1">
        <v>183245</v>
      </c>
      <c r="I36" s="1">
        <v>96890</v>
      </c>
      <c r="J36" s="1">
        <v>449800</v>
      </c>
      <c r="K36" s="1">
        <v>73600</v>
      </c>
      <c r="L36" s="1">
        <v>180895</v>
      </c>
      <c r="M36" s="1">
        <v>152100</v>
      </c>
      <c r="N36" s="2">
        <f t="shared" si="1"/>
        <v>1947794</v>
      </c>
    </row>
    <row r="37" spans="1:14" x14ac:dyDescent="0.2">
      <c r="A37" s="4" t="s">
        <v>35</v>
      </c>
      <c r="B37" s="1">
        <v>22</v>
      </c>
      <c r="C37" s="1">
        <v>23</v>
      </c>
      <c r="D37" s="1">
        <v>54</v>
      </c>
      <c r="E37" s="1">
        <v>22</v>
      </c>
      <c r="F37" s="1">
        <v>25</v>
      </c>
      <c r="G37" s="1">
        <v>24</v>
      </c>
      <c r="H37" s="1">
        <v>24</v>
      </c>
      <c r="I37" s="1">
        <v>28</v>
      </c>
      <c r="J37" s="1">
        <v>35</v>
      </c>
      <c r="K37" s="1">
        <v>42</v>
      </c>
      <c r="L37" s="1">
        <v>23</v>
      </c>
      <c r="M37" s="1">
        <v>11</v>
      </c>
      <c r="N37" s="1">
        <f t="shared" si="1"/>
        <v>333</v>
      </c>
    </row>
    <row r="38" spans="1:14" x14ac:dyDescent="0.2">
      <c r="A38" s="4" t="s">
        <v>18</v>
      </c>
      <c r="B38" s="1">
        <v>63000</v>
      </c>
      <c r="C38" s="1">
        <v>27660</v>
      </c>
      <c r="D38" s="1">
        <v>132721</v>
      </c>
      <c r="E38" s="1">
        <v>16600</v>
      </c>
      <c r="F38" s="1">
        <v>22505</v>
      </c>
      <c r="G38" s="1">
        <v>64006</v>
      </c>
      <c r="H38" s="1">
        <v>17368</v>
      </c>
      <c r="I38" s="1">
        <v>10331</v>
      </c>
      <c r="J38" s="1">
        <v>13875</v>
      </c>
      <c r="K38" s="1">
        <v>83827</v>
      </c>
      <c r="L38" s="1">
        <v>22040</v>
      </c>
      <c r="M38" s="1">
        <v>6885</v>
      </c>
      <c r="N38" s="2">
        <f t="shared" si="1"/>
        <v>480818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1</v>
      </c>
      <c r="K39" s="1">
        <v>0</v>
      </c>
      <c r="L39" s="1">
        <v>0</v>
      </c>
      <c r="M39" s="1">
        <v>2</v>
      </c>
      <c r="N39" s="1">
        <f t="shared" si="1"/>
        <v>4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f t="shared" si="1"/>
        <v>0</v>
      </c>
    </row>
    <row r="41" spans="1:14" x14ac:dyDescent="0.2">
      <c r="A41" s="4" t="s">
        <v>37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2</v>
      </c>
      <c r="K41" s="1">
        <v>1</v>
      </c>
      <c r="L41" s="1">
        <v>0</v>
      </c>
      <c r="M41" s="1">
        <v>2</v>
      </c>
      <c r="N41" s="1">
        <f t="shared" si="1"/>
        <v>5</v>
      </c>
    </row>
    <row r="42" spans="1:14" x14ac:dyDescent="0.2">
      <c r="A42" s="4" t="s">
        <v>18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51000</v>
      </c>
      <c r="K42" s="1">
        <v>25000</v>
      </c>
      <c r="L42" s="1">
        <v>0</v>
      </c>
      <c r="M42" s="1">
        <v>0</v>
      </c>
      <c r="N42" s="2">
        <f t="shared" si="1"/>
        <v>76000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262</v>
      </c>
      <c r="C44" s="1">
        <f t="shared" si="2"/>
        <v>408</v>
      </c>
      <c r="D44" s="1">
        <f t="shared" si="2"/>
        <v>476</v>
      </c>
      <c r="E44" s="1">
        <f t="shared" si="2"/>
        <v>398</v>
      </c>
      <c r="F44" s="1">
        <f t="shared" si="2"/>
        <v>370</v>
      </c>
      <c r="G44" s="1">
        <f t="shared" si="2"/>
        <v>492</v>
      </c>
      <c r="H44" s="1">
        <f t="shared" si="2"/>
        <v>377</v>
      </c>
      <c r="I44" s="1">
        <f t="shared" si="2"/>
        <v>341</v>
      </c>
      <c r="J44" s="1">
        <f t="shared" si="2"/>
        <v>411</v>
      </c>
      <c r="K44" s="1">
        <f t="shared" si="2"/>
        <v>298</v>
      </c>
      <c r="L44" s="1">
        <f t="shared" si="2"/>
        <v>339</v>
      </c>
      <c r="M44" s="1">
        <f t="shared" si="2"/>
        <v>298</v>
      </c>
      <c r="N44" s="1">
        <f>SUM(B44:M44)</f>
        <v>4470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36106127</v>
      </c>
      <c r="C45" s="2">
        <f t="shared" ref="C45:H45" si="3">SUM(C4+C6+C8+C10+C12+C14+C16+C18+C20+C22+C24+C26+C28+C30+C32+C34+C36+C38+C40+C42)</f>
        <v>27505569</v>
      </c>
      <c r="D45" s="2">
        <f t="shared" si="3"/>
        <v>26497533</v>
      </c>
      <c r="E45" s="2">
        <f t="shared" si="3"/>
        <v>37725726</v>
      </c>
      <c r="F45" s="2">
        <f t="shared" si="3"/>
        <v>27611491</v>
      </c>
      <c r="G45" s="2">
        <f t="shared" si="3"/>
        <v>33205803</v>
      </c>
      <c r="H45" s="2">
        <f t="shared" si="3"/>
        <v>25642649</v>
      </c>
      <c r="I45" s="2">
        <f>SUM(I4+I6+I8+I10+I12+I16+I14+I18+I20+I22+I24+I26+I28+I30+I32+I34+I36+I38+I40+I42)</f>
        <v>19866622</v>
      </c>
      <c r="J45" s="2">
        <f>SUM(J4+J6+J8+J10+J12+J14+J16+J18+J20+J22+J24+J26+J28+J30+J32+J34+J36+J38+J40+J42)</f>
        <v>32542133</v>
      </c>
      <c r="K45" s="2">
        <f>SUM(K4+K6+K8+K10+K12+K14+K16+K18+K20+K22+K24+K26+K28+K30+K32+K34+K36+K38+K40+K42)</f>
        <v>23769991</v>
      </c>
      <c r="L45" s="2">
        <f>SUM(L4+L6+L8+L10+L12+L14+L16+L18+L20+L22+L24+L26+L28+L30+L32+L34+L36+L38+L40+L42)</f>
        <v>43774075</v>
      </c>
      <c r="M45" s="2">
        <f>SUM(M4+M6+M8+M10+M12+M14+M16+M18+M20+M22+M24+M26+M28+M30+M32+M34+M36+M38+M40+M42)</f>
        <v>12511888</v>
      </c>
      <c r="N45" s="2">
        <f>SUM(B45:M45)</f>
        <v>346759607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1999&amp;CCITY OF ALLEN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K18" activePane="bottomRight" state="frozen"/>
      <selection pane="topRight" activeCell="B1" sqref="B1"/>
      <selection pane="bottomLeft" activeCell="A2" sqref="A2"/>
      <selection pane="bottomRight" activeCell="L18" sqref="L18"/>
    </sheetView>
  </sheetViews>
  <sheetFormatPr defaultRowHeight="12.75" x14ac:dyDescent="0.2"/>
  <cols>
    <col min="1" max="1" width="22.28515625" style="5" customWidth="1"/>
    <col min="2" max="2" width="13.5703125" customWidth="1"/>
    <col min="3" max="3" width="14.28515625" customWidth="1"/>
    <col min="4" max="4" width="13.7109375" customWidth="1"/>
    <col min="5" max="5" width="13.85546875" customWidth="1"/>
    <col min="6" max="6" width="12.5703125" customWidth="1"/>
    <col min="7" max="7" width="13.42578125" customWidth="1"/>
    <col min="8" max="8" width="12.42578125" customWidth="1"/>
    <col min="9" max="9" width="12.140625" customWidth="1"/>
    <col min="10" max="10" width="13.140625" customWidth="1"/>
    <col min="11" max="11" width="13.42578125" customWidth="1"/>
    <col min="12" max="12" width="13.28515625" customWidth="1"/>
    <col min="13" max="13" width="13" customWidth="1"/>
    <col min="14" max="14" width="16.5703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74</v>
      </c>
      <c r="C3" s="1">
        <v>110</v>
      </c>
      <c r="D3" s="1">
        <v>97</v>
      </c>
      <c r="E3" s="1">
        <v>115</v>
      </c>
      <c r="F3" s="1">
        <v>139</v>
      </c>
      <c r="G3" s="1">
        <v>90</v>
      </c>
      <c r="H3" s="1">
        <v>249</v>
      </c>
      <c r="I3" s="1">
        <v>167</v>
      </c>
      <c r="J3" s="1">
        <v>176</v>
      </c>
      <c r="K3" s="1">
        <v>123</v>
      </c>
      <c r="L3" s="1">
        <v>174</v>
      </c>
      <c r="M3" s="1">
        <v>144</v>
      </c>
      <c r="N3" s="1">
        <f t="shared" ref="N3:N12" si="0">SUM(B3:M3)</f>
        <v>1658</v>
      </c>
    </row>
    <row r="4" spans="1:14" s="3" customFormat="1" x14ac:dyDescent="0.2">
      <c r="A4" s="6" t="s">
        <v>18</v>
      </c>
      <c r="B4" s="2">
        <v>14363690</v>
      </c>
      <c r="C4" s="2">
        <v>19682201</v>
      </c>
      <c r="D4" s="2">
        <v>16740472</v>
      </c>
      <c r="E4" s="2">
        <v>19814928</v>
      </c>
      <c r="F4" s="2">
        <v>24050259</v>
      </c>
      <c r="G4" s="2">
        <v>15148287</v>
      </c>
      <c r="H4" s="2">
        <v>41107731</v>
      </c>
      <c r="I4" s="2">
        <v>31237232</v>
      </c>
      <c r="J4" s="2">
        <v>25160296</v>
      </c>
      <c r="K4" s="2">
        <v>17008127</v>
      </c>
      <c r="L4" s="2">
        <v>28829918</v>
      </c>
      <c r="M4" s="2">
        <v>21337793</v>
      </c>
      <c r="N4" s="2">
        <f t="shared" si="0"/>
        <v>274480934</v>
      </c>
    </row>
    <row r="5" spans="1:14" x14ac:dyDescent="0.2">
      <c r="A5" s="4" t="s">
        <v>43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s="3" customFormat="1" x14ac:dyDescent="0.2">
      <c r="A6" s="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f t="shared" si="0"/>
        <v>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14</v>
      </c>
      <c r="M7" s="1">
        <v>0</v>
      </c>
      <c r="N7" s="1">
        <f t="shared" si="0"/>
        <v>14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147228200</v>
      </c>
      <c r="M8" s="2">
        <v>0</v>
      </c>
      <c r="N8" s="2">
        <f t="shared" si="0"/>
        <v>147228200</v>
      </c>
    </row>
    <row r="9" spans="1:14" x14ac:dyDescent="0.2">
      <c r="A9" s="4" t="s">
        <v>21</v>
      </c>
      <c r="B9" s="1">
        <v>20</v>
      </c>
      <c r="C9" s="1">
        <v>7</v>
      </c>
      <c r="D9" s="1">
        <v>27</v>
      </c>
      <c r="E9" s="1">
        <v>55</v>
      </c>
      <c r="F9" s="1">
        <v>10</v>
      </c>
      <c r="G9" s="1">
        <v>62</v>
      </c>
      <c r="H9" s="1">
        <v>34</v>
      </c>
      <c r="I9" s="1">
        <v>31</v>
      </c>
      <c r="J9" s="1">
        <v>25</v>
      </c>
      <c r="K9" s="1">
        <v>47</v>
      </c>
      <c r="L9" s="1">
        <v>18</v>
      </c>
      <c r="M9" s="1">
        <v>31</v>
      </c>
      <c r="N9" s="1">
        <f t="shared" si="0"/>
        <v>367</v>
      </c>
    </row>
    <row r="10" spans="1:14" s="3" customFormat="1" x14ac:dyDescent="0.2">
      <c r="A10" s="6" t="s">
        <v>18</v>
      </c>
      <c r="B10" s="2">
        <v>87730</v>
      </c>
      <c r="C10" s="2">
        <v>2700</v>
      </c>
      <c r="D10" s="2">
        <v>74068</v>
      </c>
      <c r="E10" s="2">
        <v>151673</v>
      </c>
      <c r="F10" s="2">
        <v>7265</v>
      </c>
      <c r="G10" s="2">
        <v>188589</v>
      </c>
      <c r="H10" s="2">
        <v>38885</v>
      </c>
      <c r="I10" s="2">
        <v>74761</v>
      </c>
      <c r="J10" s="2">
        <v>74236</v>
      </c>
      <c r="K10" s="2">
        <v>121588</v>
      </c>
      <c r="L10" s="2">
        <v>54735</v>
      </c>
      <c r="M10" s="2">
        <v>50105</v>
      </c>
      <c r="N10" s="2">
        <f t="shared" si="0"/>
        <v>926335</v>
      </c>
    </row>
    <row r="11" spans="1:14" x14ac:dyDescent="0.2">
      <c r="A11" s="4" t="s">
        <v>22</v>
      </c>
      <c r="B11" s="1">
        <v>0</v>
      </c>
      <c r="C11" s="1">
        <v>0</v>
      </c>
      <c r="D11" s="1">
        <v>3</v>
      </c>
      <c r="E11" s="1">
        <v>5</v>
      </c>
      <c r="F11" s="1">
        <v>2</v>
      </c>
      <c r="G11" s="1">
        <v>1</v>
      </c>
      <c r="H11" s="1">
        <v>5</v>
      </c>
      <c r="I11" s="1">
        <v>4</v>
      </c>
      <c r="J11" s="1">
        <v>4</v>
      </c>
      <c r="K11" s="1">
        <v>3</v>
      </c>
      <c r="L11" s="1">
        <v>0</v>
      </c>
      <c r="M11" s="1">
        <v>0</v>
      </c>
      <c r="N11" s="1">
        <f t="shared" si="0"/>
        <v>27</v>
      </c>
    </row>
    <row r="12" spans="1:14" s="3" customFormat="1" x14ac:dyDescent="0.2">
      <c r="A12" s="6" t="s">
        <v>18</v>
      </c>
      <c r="B12" s="2">
        <v>0</v>
      </c>
      <c r="C12" s="2">
        <v>0</v>
      </c>
      <c r="D12" s="2">
        <v>35000</v>
      </c>
      <c r="E12" s="2">
        <v>132700</v>
      </c>
      <c r="F12" s="2">
        <v>114724</v>
      </c>
      <c r="G12" s="2">
        <v>7000</v>
      </c>
      <c r="H12" s="2">
        <v>88406</v>
      </c>
      <c r="I12" s="2">
        <v>76500</v>
      </c>
      <c r="J12" s="2">
        <v>55895</v>
      </c>
      <c r="K12" s="2">
        <v>99180</v>
      </c>
      <c r="L12" s="2">
        <v>0</v>
      </c>
      <c r="M12" s="2">
        <v>0</v>
      </c>
      <c r="N12" s="2">
        <f t="shared" si="0"/>
        <v>609405</v>
      </c>
    </row>
    <row r="13" spans="1:14" x14ac:dyDescent="0.2">
      <c r="A13" s="4" t="s">
        <v>42</v>
      </c>
      <c r="B13" s="1">
        <v>0</v>
      </c>
      <c r="C13" s="1">
        <v>2</v>
      </c>
      <c r="D13" s="1">
        <v>4</v>
      </c>
      <c r="E13" s="1">
        <v>1</v>
      </c>
      <c r="F13" s="1">
        <v>5</v>
      </c>
      <c r="G13" s="1">
        <v>5</v>
      </c>
      <c r="H13" s="1">
        <v>3</v>
      </c>
      <c r="I13" s="1">
        <v>4</v>
      </c>
      <c r="J13" s="1">
        <v>26</v>
      </c>
      <c r="K13" s="1">
        <v>3</v>
      </c>
      <c r="L13" s="1">
        <v>10</v>
      </c>
      <c r="M13" s="1">
        <v>4</v>
      </c>
      <c r="N13" s="1">
        <f>SUM(B13:M13)</f>
        <v>67</v>
      </c>
    </row>
    <row r="14" spans="1:14" s="3" customFormat="1" x14ac:dyDescent="0.2">
      <c r="A14" s="6" t="s">
        <v>18</v>
      </c>
      <c r="B14" s="2">
        <v>0</v>
      </c>
      <c r="C14" s="2">
        <v>205000</v>
      </c>
      <c r="D14" s="2">
        <v>139650</v>
      </c>
      <c r="E14" s="2">
        <v>90000</v>
      </c>
      <c r="F14" s="2">
        <v>147000</v>
      </c>
      <c r="G14" s="2">
        <v>2261180</v>
      </c>
      <c r="H14" s="2">
        <v>181500</v>
      </c>
      <c r="I14" s="2">
        <v>328455</v>
      </c>
      <c r="J14" s="2">
        <v>3517281</v>
      </c>
      <c r="K14" s="2">
        <v>153500</v>
      </c>
      <c r="L14" s="2">
        <v>401500</v>
      </c>
      <c r="M14" s="2">
        <v>20300</v>
      </c>
      <c r="N14" s="2">
        <f>SUM(B14:M14)</f>
        <v>7445366</v>
      </c>
    </row>
    <row r="15" spans="1:14" x14ac:dyDescent="0.2">
      <c r="A15" s="4" t="s">
        <v>24</v>
      </c>
      <c r="B15" s="1">
        <v>7</v>
      </c>
      <c r="C15" s="1">
        <v>8</v>
      </c>
      <c r="D15" s="1">
        <v>2</v>
      </c>
      <c r="E15" s="1">
        <v>4</v>
      </c>
      <c r="F15" s="1">
        <v>5</v>
      </c>
      <c r="G15" s="1">
        <v>8</v>
      </c>
      <c r="H15" s="1">
        <v>4</v>
      </c>
      <c r="I15" s="1">
        <v>6</v>
      </c>
      <c r="J15" s="1">
        <v>7</v>
      </c>
      <c r="K15" s="1">
        <v>0</v>
      </c>
      <c r="L15" s="1">
        <v>0</v>
      </c>
      <c r="M15" s="1">
        <v>2</v>
      </c>
      <c r="N15" s="1">
        <f t="shared" ref="N15:N42" si="1">SUM(B15:M15)</f>
        <v>53</v>
      </c>
    </row>
    <row r="16" spans="1:14" s="3" customFormat="1" x14ac:dyDescent="0.2">
      <c r="A16" s="6" t="s">
        <v>18</v>
      </c>
      <c r="B16" s="2">
        <v>10142000</v>
      </c>
      <c r="C16" s="2">
        <v>11216069</v>
      </c>
      <c r="D16" s="2">
        <v>13858000</v>
      </c>
      <c r="E16" s="2">
        <v>1127000</v>
      </c>
      <c r="F16" s="2">
        <v>8330501</v>
      </c>
      <c r="G16" s="2">
        <v>5591593</v>
      </c>
      <c r="H16" s="2">
        <v>8315000</v>
      </c>
      <c r="I16" s="2">
        <v>5674209</v>
      </c>
      <c r="J16" s="2">
        <v>11249110</v>
      </c>
      <c r="K16" s="2">
        <v>0</v>
      </c>
      <c r="L16" s="2">
        <v>0</v>
      </c>
      <c r="M16" s="2">
        <v>2580000</v>
      </c>
      <c r="N16" s="2">
        <f t="shared" si="1"/>
        <v>78083482</v>
      </c>
    </row>
    <row r="17" spans="1:14" x14ac:dyDescent="0.2">
      <c r="A17" s="4" t="s">
        <v>40</v>
      </c>
      <c r="B17" s="1">
        <v>3</v>
      </c>
      <c r="C17" s="1">
        <v>7</v>
      </c>
      <c r="D17" s="1">
        <v>14</v>
      </c>
      <c r="E17" s="1">
        <v>26</v>
      </c>
      <c r="F17" s="1">
        <v>3</v>
      </c>
      <c r="G17" s="1">
        <v>8</v>
      </c>
      <c r="H17" s="1">
        <v>8</v>
      </c>
      <c r="I17" s="1">
        <v>28</v>
      </c>
      <c r="J17" s="1">
        <v>0</v>
      </c>
      <c r="K17" s="1">
        <v>9</v>
      </c>
      <c r="L17" s="1">
        <v>9</v>
      </c>
      <c r="M17" s="1">
        <v>8</v>
      </c>
      <c r="N17" s="1">
        <f t="shared" si="1"/>
        <v>123</v>
      </c>
    </row>
    <row r="18" spans="1:14" s="3" customFormat="1" x14ac:dyDescent="0.2">
      <c r="A18" s="6" t="s">
        <v>18</v>
      </c>
      <c r="B18" s="2">
        <v>206000</v>
      </c>
      <c r="C18" s="2">
        <v>563000</v>
      </c>
      <c r="D18" s="2">
        <v>1219500</v>
      </c>
      <c r="E18" s="2">
        <v>5878694</v>
      </c>
      <c r="F18" s="2">
        <v>770000</v>
      </c>
      <c r="G18" s="2">
        <v>256626</v>
      </c>
      <c r="H18" s="2">
        <v>22954975</v>
      </c>
      <c r="I18" s="2">
        <v>3399966</v>
      </c>
      <c r="J18" s="2">
        <v>0</v>
      </c>
      <c r="K18" s="2">
        <v>1020240</v>
      </c>
      <c r="L18" s="2">
        <v>315255</v>
      </c>
      <c r="M18" s="2">
        <v>1320270</v>
      </c>
      <c r="N18" s="2">
        <f t="shared" si="1"/>
        <v>37904526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s="3" customFormat="1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1</v>
      </c>
    </row>
    <row r="22" spans="1:14" s="3" customFormat="1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8000000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8000000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s="3" customFormat="1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4" x14ac:dyDescent="0.2">
      <c r="A25" s="4" t="s">
        <v>29</v>
      </c>
      <c r="B25" s="1">
        <v>6</v>
      </c>
      <c r="C25" s="1">
        <v>8</v>
      </c>
      <c r="D25" s="1">
        <v>12</v>
      </c>
      <c r="E25" s="1">
        <v>6</v>
      </c>
      <c r="F25" s="1">
        <v>6</v>
      </c>
      <c r="G25" s="1">
        <v>5</v>
      </c>
      <c r="H25" s="1">
        <v>11</v>
      </c>
      <c r="I25" s="1">
        <v>17</v>
      </c>
      <c r="J25" s="1">
        <v>11</v>
      </c>
      <c r="K25" s="1">
        <v>3</v>
      </c>
      <c r="L25" s="1">
        <v>9</v>
      </c>
      <c r="M25" s="1">
        <v>0</v>
      </c>
      <c r="N25" s="1">
        <f t="shared" si="1"/>
        <v>94</v>
      </c>
    </row>
    <row r="26" spans="1:14" s="3" customFormat="1" x14ac:dyDescent="0.2">
      <c r="A26" s="6" t="s">
        <v>18</v>
      </c>
      <c r="B26" s="2">
        <v>0</v>
      </c>
      <c r="C26" s="2">
        <v>10000</v>
      </c>
      <c r="D26" s="2">
        <v>7939</v>
      </c>
      <c r="E26" s="2">
        <v>27500</v>
      </c>
      <c r="F26" s="2">
        <v>1000</v>
      </c>
      <c r="G26" s="2">
        <v>2000</v>
      </c>
      <c r="H26" s="2">
        <v>50000</v>
      </c>
      <c r="I26" s="2">
        <v>76500</v>
      </c>
      <c r="J26" s="2">
        <v>28338</v>
      </c>
      <c r="K26" s="2">
        <v>450</v>
      </c>
      <c r="L26" s="2">
        <v>3550</v>
      </c>
      <c r="M26" s="2">
        <v>0</v>
      </c>
      <c r="N26" s="2">
        <f t="shared" si="1"/>
        <v>207277</v>
      </c>
    </row>
    <row r="27" spans="1:14" x14ac:dyDescent="0.2">
      <c r="A27" s="4" t="s">
        <v>30</v>
      </c>
      <c r="B27" s="1">
        <v>1</v>
      </c>
      <c r="C27" s="1">
        <v>13</v>
      </c>
      <c r="D27" s="1">
        <v>11</v>
      </c>
      <c r="E27" s="1">
        <v>16</v>
      </c>
      <c r="F27" s="1">
        <v>13</v>
      </c>
      <c r="G27" s="1">
        <v>18</v>
      </c>
      <c r="H27" s="1">
        <v>10</v>
      </c>
      <c r="I27" s="1">
        <v>11</v>
      </c>
      <c r="J27" s="1">
        <v>7</v>
      </c>
      <c r="K27" s="1">
        <v>5</v>
      </c>
      <c r="L27" s="1">
        <v>3</v>
      </c>
      <c r="M27" s="1">
        <v>2</v>
      </c>
      <c r="N27" s="1">
        <f t="shared" si="1"/>
        <v>110</v>
      </c>
    </row>
    <row r="28" spans="1:14" s="3" customFormat="1" x14ac:dyDescent="0.2">
      <c r="A28" s="6" t="s">
        <v>18</v>
      </c>
      <c r="B28" s="2">
        <v>700</v>
      </c>
      <c r="C28" s="2">
        <v>27050</v>
      </c>
      <c r="D28" s="2">
        <v>20435</v>
      </c>
      <c r="E28" s="2">
        <v>29144</v>
      </c>
      <c r="F28" s="2">
        <v>15878</v>
      </c>
      <c r="G28" s="2">
        <v>21350</v>
      </c>
      <c r="H28" s="2">
        <v>13759</v>
      </c>
      <c r="I28" s="2">
        <v>22345</v>
      </c>
      <c r="J28" s="2">
        <v>31800</v>
      </c>
      <c r="K28" s="2">
        <v>4295</v>
      </c>
      <c r="L28" s="2">
        <v>10500</v>
      </c>
      <c r="M28" s="2">
        <v>24478</v>
      </c>
      <c r="N28" s="2">
        <f t="shared" si="1"/>
        <v>221734</v>
      </c>
    </row>
    <row r="29" spans="1:14" x14ac:dyDescent="0.2">
      <c r="A29" s="4" t="s">
        <v>31</v>
      </c>
      <c r="B29" s="1">
        <v>16</v>
      </c>
      <c r="C29" s="1">
        <v>24</v>
      </c>
      <c r="D29" s="1">
        <v>41</v>
      </c>
      <c r="E29" s="1">
        <v>35</v>
      </c>
      <c r="F29" s="1">
        <v>36</v>
      </c>
      <c r="G29" s="1">
        <v>33</v>
      </c>
      <c r="H29" s="1">
        <v>32</v>
      </c>
      <c r="I29" s="1">
        <v>28</v>
      </c>
      <c r="J29" s="1">
        <v>9</v>
      </c>
      <c r="K29" s="1">
        <v>22</v>
      </c>
      <c r="L29" s="1">
        <v>21</v>
      </c>
      <c r="M29" s="1">
        <v>11</v>
      </c>
      <c r="N29" s="1">
        <f t="shared" si="1"/>
        <v>308</v>
      </c>
    </row>
    <row r="30" spans="1:14" s="3" customFormat="1" x14ac:dyDescent="0.2">
      <c r="A30" s="6" t="s">
        <v>18</v>
      </c>
      <c r="B30" s="2">
        <v>412582</v>
      </c>
      <c r="C30" s="2">
        <v>620805</v>
      </c>
      <c r="D30" s="2">
        <v>1067030</v>
      </c>
      <c r="E30" s="2">
        <v>810300</v>
      </c>
      <c r="F30" s="2">
        <v>930400</v>
      </c>
      <c r="G30" s="2">
        <v>622304</v>
      </c>
      <c r="H30" s="2">
        <v>719900</v>
      </c>
      <c r="I30" s="2">
        <v>660203</v>
      </c>
      <c r="J30" s="2">
        <v>241300</v>
      </c>
      <c r="K30" s="2">
        <v>552775</v>
      </c>
      <c r="L30" s="2">
        <v>487500</v>
      </c>
      <c r="M30" s="2">
        <v>368000</v>
      </c>
      <c r="N30" s="2">
        <f t="shared" si="1"/>
        <v>7493099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f t="shared" si="1"/>
        <v>1</v>
      </c>
    </row>
    <row r="32" spans="1:14" s="3" customFormat="1" x14ac:dyDescent="0.2">
      <c r="A32" s="6" t="s">
        <v>18</v>
      </c>
      <c r="B32" s="2">
        <v>0</v>
      </c>
      <c r="C32" s="2">
        <v>0</v>
      </c>
      <c r="D32" s="2">
        <v>0</v>
      </c>
      <c r="E32" s="2">
        <v>5000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f t="shared" si="1"/>
        <v>5000</v>
      </c>
    </row>
    <row r="33" spans="1:14" x14ac:dyDescent="0.2">
      <c r="A33" s="4" t="s">
        <v>33</v>
      </c>
      <c r="B33" s="1">
        <v>96</v>
      </c>
      <c r="C33" s="1">
        <v>138</v>
      </c>
      <c r="D33" s="1">
        <v>146</v>
      </c>
      <c r="E33" s="1">
        <v>72</v>
      </c>
      <c r="F33" s="1">
        <v>98</v>
      </c>
      <c r="G33" s="1">
        <v>80</v>
      </c>
      <c r="H33" s="1">
        <v>67</v>
      </c>
      <c r="I33" s="1">
        <v>142</v>
      </c>
      <c r="J33" s="1">
        <v>57</v>
      </c>
      <c r="K33" s="1">
        <v>155</v>
      </c>
      <c r="L33" s="1">
        <v>107</v>
      </c>
      <c r="M33" s="1">
        <v>185</v>
      </c>
      <c r="N33" s="1">
        <f t="shared" si="1"/>
        <v>1343</v>
      </c>
    </row>
    <row r="34" spans="1:14" s="3" customFormat="1" x14ac:dyDescent="0.2">
      <c r="A34" s="6" t="s">
        <v>18</v>
      </c>
      <c r="B34" s="2">
        <v>116591</v>
      </c>
      <c r="C34" s="2">
        <v>161920</v>
      </c>
      <c r="D34" s="2">
        <v>535441</v>
      </c>
      <c r="E34" s="2">
        <v>94016</v>
      </c>
      <c r="F34" s="2">
        <v>147108</v>
      </c>
      <c r="G34" s="2">
        <v>160524</v>
      </c>
      <c r="H34" s="2">
        <v>289480</v>
      </c>
      <c r="I34" s="2">
        <v>265118</v>
      </c>
      <c r="J34" s="2">
        <v>75532</v>
      </c>
      <c r="K34" s="2">
        <v>325160</v>
      </c>
      <c r="L34" s="2">
        <v>112131</v>
      </c>
      <c r="M34" s="2">
        <v>347197</v>
      </c>
      <c r="N34" s="2">
        <f t="shared" si="1"/>
        <v>2630218</v>
      </c>
    </row>
    <row r="35" spans="1:14" x14ac:dyDescent="0.2">
      <c r="A35" s="4" t="s">
        <v>34</v>
      </c>
      <c r="B35" s="1">
        <v>48</v>
      </c>
      <c r="C35" s="1">
        <v>65</v>
      </c>
      <c r="D35" s="1">
        <v>50</v>
      </c>
      <c r="E35" s="1">
        <v>39</v>
      </c>
      <c r="F35" s="1">
        <v>43</v>
      </c>
      <c r="G35" s="1">
        <v>54</v>
      </c>
      <c r="H35" s="1">
        <v>57</v>
      </c>
      <c r="I35" s="1">
        <v>74</v>
      </c>
      <c r="J35" s="1">
        <v>64</v>
      </c>
      <c r="K35" s="1">
        <v>51</v>
      </c>
      <c r="L35" s="1">
        <v>56</v>
      </c>
      <c r="M35" s="1">
        <v>85</v>
      </c>
      <c r="N35" s="1">
        <f t="shared" si="1"/>
        <v>686</v>
      </c>
    </row>
    <row r="36" spans="1:14" s="3" customFormat="1" x14ac:dyDescent="0.2">
      <c r="A36" s="6" t="s">
        <v>18</v>
      </c>
      <c r="B36" s="2">
        <v>83330</v>
      </c>
      <c r="C36" s="2">
        <v>97450</v>
      </c>
      <c r="D36" s="2">
        <v>79791</v>
      </c>
      <c r="E36" s="2">
        <v>158100</v>
      </c>
      <c r="F36" s="2">
        <v>132126</v>
      </c>
      <c r="G36" s="2">
        <v>111400</v>
      </c>
      <c r="H36" s="2">
        <v>196900</v>
      </c>
      <c r="I36" s="2">
        <v>577075</v>
      </c>
      <c r="J36" s="2">
        <v>102550</v>
      </c>
      <c r="K36" s="2">
        <v>191965</v>
      </c>
      <c r="L36" s="2">
        <v>70475</v>
      </c>
      <c r="M36" s="2">
        <v>355750</v>
      </c>
      <c r="N36" s="2">
        <f t="shared" si="1"/>
        <v>2156912</v>
      </c>
    </row>
    <row r="37" spans="1:14" x14ac:dyDescent="0.2">
      <c r="A37" s="4" t="s">
        <v>35</v>
      </c>
      <c r="B37" s="1">
        <v>33</v>
      </c>
      <c r="C37" s="1">
        <v>43</v>
      </c>
      <c r="D37" s="1">
        <v>47</v>
      </c>
      <c r="E37" s="1">
        <v>26</v>
      </c>
      <c r="F37" s="1">
        <v>21</v>
      </c>
      <c r="G37" s="1">
        <v>48</v>
      </c>
      <c r="H37" s="1">
        <v>34</v>
      </c>
      <c r="I37" s="1">
        <v>47</v>
      </c>
      <c r="J37" s="1">
        <v>37</v>
      </c>
      <c r="K37" s="1">
        <v>48</v>
      </c>
      <c r="L37" s="1">
        <v>49</v>
      </c>
      <c r="M37" s="1">
        <v>51</v>
      </c>
      <c r="N37" s="1">
        <f t="shared" si="1"/>
        <v>484</v>
      </c>
    </row>
    <row r="38" spans="1:14" s="3" customFormat="1" x14ac:dyDescent="0.2">
      <c r="A38" s="6" t="s">
        <v>18</v>
      </c>
      <c r="B38" s="2">
        <v>47375</v>
      </c>
      <c r="C38" s="2">
        <v>38820</v>
      </c>
      <c r="D38" s="2">
        <v>85240</v>
      </c>
      <c r="E38" s="2">
        <v>43727</v>
      </c>
      <c r="F38" s="2">
        <v>63500</v>
      </c>
      <c r="G38" s="2">
        <v>67678</v>
      </c>
      <c r="H38" s="2">
        <v>55055</v>
      </c>
      <c r="I38" s="2">
        <v>31501</v>
      </c>
      <c r="J38" s="2">
        <v>28875</v>
      </c>
      <c r="K38" s="2">
        <v>154831</v>
      </c>
      <c r="L38" s="2">
        <v>76536</v>
      </c>
      <c r="M38" s="2">
        <v>33845</v>
      </c>
      <c r="N38" s="2">
        <f t="shared" si="1"/>
        <v>726983</v>
      </c>
    </row>
    <row r="39" spans="1:14" x14ac:dyDescent="0.2">
      <c r="A39" s="4" t="s">
        <v>36</v>
      </c>
      <c r="B39" s="1">
        <v>0</v>
      </c>
      <c r="C39" s="1">
        <v>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f t="shared" si="1"/>
        <v>3</v>
      </c>
    </row>
    <row r="40" spans="1:14" s="3" customFormat="1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2000</v>
      </c>
      <c r="L40" s="2">
        <v>0</v>
      </c>
      <c r="M40" s="2">
        <v>0</v>
      </c>
      <c r="N40" s="2">
        <f t="shared" si="1"/>
        <v>2000</v>
      </c>
    </row>
    <row r="41" spans="1:14" x14ac:dyDescent="0.2">
      <c r="A41" s="4" t="s">
        <v>37</v>
      </c>
      <c r="B41" s="1">
        <v>1</v>
      </c>
      <c r="C41" s="1">
        <v>0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f t="shared" si="1"/>
        <v>3</v>
      </c>
    </row>
    <row r="42" spans="1:14" s="3" customFormat="1" x14ac:dyDescent="0.2">
      <c r="A42" s="6" t="s">
        <v>18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3800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f t="shared" si="1"/>
        <v>3800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305</v>
      </c>
      <c r="C44" s="1">
        <f t="shared" si="2"/>
        <v>427</v>
      </c>
      <c r="D44" s="1">
        <f t="shared" si="2"/>
        <v>454</v>
      </c>
      <c r="E44" s="1">
        <f t="shared" si="2"/>
        <v>401</v>
      </c>
      <c r="F44" s="1">
        <f t="shared" si="2"/>
        <v>382</v>
      </c>
      <c r="G44" s="1">
        <f t="shared" si="2"/>
        <v>413</v>
      </c>
      <c r="H44" s="1">
        <f t="shared" si="2"/>
        <v>514</v>
      </c>
      <c r="I44" s="1">
        <f t="shared" si="2"/>
        <v>560</v>
      </c>
      <c r="J44" s="1">
        <f t="shared" si="2"/>
        <v>423</v>
      </c>
      <c r="K44" s="1">
        <f t="shared" si="2"/>
        <v>470</v>
      </c>
      <c r="L44" s="1">
        <f t="shared" si="2"/>
        <v>470</v>
      </c>
      <c r="M44" s="1">
        <f t="shared" si="2"/>
        <v>523</v>
      </c>
      <c r="N44" s="1">
        <f>SUM(B44:M44)</f>
        <v>5342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25459998</v>
      </c>
      <c r="C45" s="2">
        <f t="shared" ref="C45:H45" si="3">SUM(C4+C6+C8+C10+C12+C14+C16+C18+C20+C22+C24+C26+C28+C30+C32+C34+C36+C38+C40+C42)</f>
        <v>32625015</v>
      </c>
      <c r="D45" s="2">
        <f t="shared" si="3"/>
        <v>33862566</v>
      </c>
      <c r="E45" s="2">
        <f t="shared" si="3"/>
        <v>28362782</v>
      </c>
      <c r="F45" s="2">
        <f t="shared" si="3"/>
        <v>34709761</v>
      </c>
      <c r="G45" s="2">
        <f t="shared" si="3"/>
        <v>24442331</v>
      </c>
      <c r="H45" s="2">
        <f t="shared" si="3"/>
        <v>74011591</v>
      </c>
      <c r="I45" s="2">
        <f>SUM(I4+I6+I8+I10+I12+I16+I14+I18+I20+I22+I24+I26+I28+I30+I32+I34+I36+I38+I40+I42)</f>
        <v>50423865</v>
      </c>
      <c r="J45" s="2">
        <f>SUM(J4+J6+J8+J10+J12+J14+J16+J18+J20+J22+J24+J26+J28+J30+J32+J34+J36+J38+J40+J42)</f>
        <v>40565213</v>
      </c>
      <c r="K45" s="2">
        <f>SUM(K4+K6+K8+K10+K12+K14+K16+K18+K20+K22+K24+K26+K28+K30+K32+K34+K36+K38+K40+K42)</f>
        <v>19634111</v>
      </c>
      <c r="L45" s="2">
        <f>SUM(L4+L6+L8+L10+L12+L14+L16+L18+L20+L22+L24+L26+L28+L30+L32+L34+L36+L38+L40+L42)</f>
        <v>177590300</v>
      </c>
      <c r="M45" s="2">
        <f>SUM(M4+M6+M8+M10+M12+M14+M16+M18+M20+M22+M24+M26+M28+M30+M32+M34+M36+M38+M40+M42)</f>
        <v>26437738</v>
      </c>
      <c r="N45" s="2">
        <f>SUM(B45:M45)</f>
        <v>568125271</v>
      </c>
    </row>
  </sheetData>
  <phoneticPr fontId="0" type="noConversion"/>
  <pageMargins left="0.5" right="0.5" top="1" bottom="1" header="0.5" footer="0.5"/>
  <pageSetup paperSize="5" scale="79" orientation="landscape" r:id="rId1"/>
  <headerFooter alignWithMargins="0">
    <oddHeader>&amp;LPERMIT SUMMARY
CALANDAR YEAR 2000&amp;CCITY OF ALLEN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sqref="A1:A65536"/>
    </sheetView>
  </sheetViews>
  <sheetFormatPr defaultRowHeight="12.75" x14ac:dyDescent="0.2"/>
  <cols>
    <col min="1" max="1" width="22.28515625" style="5" customWidth="1"/>
    <col min="2" max="2" width="13.5703125" customWidth="1"/>
    <col min="3" max="3" width="14.28515625" customWidth="1"/>
    <col min="4" max="4" width="13.7109375" customWidth="1"/>
    <col min="5" max="5" width="13.85546875" customWidth="1"/>
    <col min="6" max="6" width="12.5703125" customWidth="1"/>
    <col min="7" max="7" width="13.42578125" customWidth="1"/>
    <col min="8" max="8" width="12.42578125" customWidth="1"/>
    <col min="9" max="9" width="12.140625" customWidth="1"/>
    <col min="10" max="10" width="13.140625" customWidth="1"/>
    <col min="11" max="11" width="13.42578125" customWidth="1"/>
    <col min="12" max="12" width="13.28515625" customWidth="1"/>
    <col min="13" max="13" width="13" customWidth="1"/>
    <col min="14" max="14" width="16.5703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172</v>
      </c>
      <c r="C3" s="1">
        <v>175</v>
      </c>
      <c r="D3" s="1">
        <v>136</v>
      </c>
      <c r="E3" s="1">
        <v>155</v>
      </c>
      <c r="F3" s="1">
        <v>247</v>
      </c>
      <c r="G3" s="1">
        <v>114</v>
      </c>
      <c r="H3" s="1">
        <v>145</v>
      </c>
      <c r="I3" s="1">
        <v>196</v>
      </c>
      <c r="J3" s="1">
        <v>117</v>
      </c>
      <c r="K3" s="1">
        <v>92</v>
      </c>
      <c r="L3" s="1">
        <v>105</v>
      </c>
      <c r="M3" s="1">
        <v>126</v>
      </c>
      <c r="N3" s="1">
        <f t="shared" ref="N3:N12" si="0">SUM(B3:M3)</f>
        <v>1780</v>
      </c>
    </row>
    <row r="4" spans="1:14" s="3" customFormat="1" x14ac:dyDescent="0.2">
      <c r="A4" s="6" t="s">
        <v>18</v>
      </c>
      <c r="B4" s="2">
        <v>25301727</v>
      </c>
      <c r="C4" s="2">
        <v>29920040</v>
      </c>
      <c r="D4" s="2">
        <v>20077052</v>
      </c>
      <c r="E4" s="2">
        <v>24683624</v>
      </c>
      <c r="F4" s="2">
        <v>40861469</v>
      </c>
      <c r="G4" s="2">
        <v>19705276</v>
      </c>
      <c r="H4" s="2">
        <v>24380673</v>
      </c>
      <c r="I4" s="2">
        <v>35115866</v>
      </c>
      <c r="J4" s="2">
        <v>21245915</v>
      </c>
      <c r="K4" s="2">
        <v>15771076</v>
      </c>
      <c r="L4" s="2">
        <v>18246788</v>
      </c>
      <c r="M4" s="2">
        <v>20131396</v>
      </c>
      <c r="N4" s="2">
        <f t="shared" si="0"/>
        <v>295440902</v>
      </c>
    </row>
    <row r="5" spans="1:14" x14ac:dyDescent="0.2">
      <c r="A5" s="4" t="s">
        <v>43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s="3" customFormat="1" x14ac:dyDescent="0.2">
      <c r="A6" s="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f t="shared" si="0"/>
        <v>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288</v>
      </c>
      <c r="K7" s="1">
        <v>0</v>
      </c>
      <c r="L7" s="1">
        <v>0</v>
      </c>
      <c r="M7" s="1">
        <v>0</v>
      </c>
      <c r="N7" s="1">
        <f t="shared" si="0"/>
        <v>288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129600000</v>
      </c>
      <c r="K8" s="2">
        <v>0</v>
      </c>
      <c r="L8" s="2">
        <v>0</v>
      </c>
      <c r="M8" s="2">
        <v>0</v>
      </c>
      <c r="N8" s="2">
        <f t="shared" si="0"/>
        <v>129600000</v>
      </c>
    </row>
    <row r="9" spans="1:14" x14ac:dyDescent="0.2">
      <c r="A9" s="4" t="s">
        <v>41</v>
      </c>
      <c r="B9" s="1">
        <v>26</v>
      </c>
      <c r="C9" s="1">
        <v>22</v>
      </c>
      <c r="D9" s="1">
        <v>29</v>
      </c>
      <c r="E9" s="1">
        <v>27</v>
      </c>
      <c r="F9" s="1">
        <v>23</v>
      </c>
      <c r="G9" s="1">
        <v>32</v>
      </c>
      <c r="H9" s="1">
        <v>25</v>
      </c>
      <c r="I9" s="1">
        <v>23</v>
      </c>
      <c r="J9" s="1">
        <v>20</v>
      </c>
      <c r="K9" s="1">
        <v>19</v>
      </c>
      <c r="L9" s="1">
        <v>15</v>
      </c>
      <c r="M9" s="1">
        <v>17</v>
      </c>
      <c r="N9" s="1">
        <f t="shared" si="0"/>
        <v>278</v>
      </c>
    </row>
    <row r="10" spans="1:14" s="3" customFormat="1" x14ac:dyDescent="0.2">
      <c r="A10" s="6" t="s">
        <v>18</v>
      </c>
      <c r="B10" s="2">
        <v>177943</v>
      </c>
      <c r="C10" s="2">
        <v>84005</v>
      </c>
      <c r="D10" s="2">
        <v>46510</v>
      </c>
      <c r="E10" s="2">
        <v>106943</v>
      </c>
      <c r="F10" s="2">
        <v>181475</v>
      </c>
      <c r="G10" s="2">
        <v>72187</v>
      </c>
      <c r="H10" s="2">
        <v>32053</v>
      </c>
      <c r="I10" s="2">
        <v>30827</v>
      </c>
      <c r="J10" s="2">
        <v>81456</v>
      </c>
      <c r="K10" s="2">
        <v>57336</v>
      </c>
      <c r="L10" s="2">
        <v>29650</v>
      </c>
      <c r="M10" s="2">
        <v>146540</v>
      </c>
      <c r="N10" s="2">
        <f t="shared" si="0"/>
        <v>1046925</v>
      </c>
    </row>
    <row r="11" spans="1:14" x14ac:dyDescent="0.2">
      <c r="A11" s="4" t="s">
        <v>22</v>
      </c>
      <c r="B11" s="1">
        <v>2</v>
      </c>
      <c r="C11" s="1">
        <v>0</v>
      </c>
      <c r="D11" s="1">
        <v>1</v>
      </c>
      <c r="E11" s="1">
        <v>0</v>
      </c>
      <c r="F11" s="1">
        <v>0</v>
      </c>
      <c r="G11" s="1">
        <v>3</v>
      </c>
      <c r="H11" s="1">
        <v>1</v>
      </c>
      <c r="I11" s="1">
        <v>2</v>
      </c>
      <c r="J11" s="1">
        <v>0</v>
      </c>
      <c r="K11" s="1">
        <v>3</v>
      </c>
      <c r="L11" s="1">
        <v>2</v>
      </c>
      <c r="M11" s="1">
        <v>2</v>
      </c>
      <c r="N11" s="1">
        <f t="shared" si="0"/>
        <v>16</v>
      </c>
    </row>
    <row r="12" spans="1:14" s="3" customFormat="1" x14ac:dyDescent="0.2">
      <c r="A12" s="6" t="s">
        <v>18</v>
      </c>
      <c r="B12" s="2">
        <v>37520</v>
      </c>
      <c r="C12" s="2">
        <v>0</v>
      </c>
      <c r="D12" s="2">
        <v>13000</v>
      </c>
      <c r="E12" s="2">
        <v>0</v>
      </c>
      <c r="F12" s="2">
        <v>0</v>
      </c>
      <c r="G12" s="2">
        <v>56648</v>
      </c>
      <c r="H12" s="2">
        <v>14000</v>
      </c>
      <c r="I12" s="2">
        <v>27645</v>
      </c>
      <c r="J12" s="2">
        <v>0</v>
      </c>
      <c r="K12" s="2">
        <v>145500</v>
      </c>
      <c r="L12" s="2">
        <v>41000</v>
      </c>
      <c r="M12" s="2">
        <v>66800</v>
      </c>
      <c r="N12" s="2">
        <f t="shared" si="0"/>
        <v>402113</v>
      </c>
    </row>
    <row r="13" spans="1:14" x14ac:dyDescent="0.2">
      <c r="A13" s="4" t="s">
        <v>42</v>
      </c>
      <c r="B13" s="1">
        <v>4</v>
      </c>
      <c r="C13" s="1">
        <v>4</v>
      </c>
      <c r="D13" s="1">
        <v>10</v>
      </c>
      <c r="E13" s="1">
        <v>3</v>
      </c>
      <c r="F13" s="1">
        <v>11</v>
      </c>
      <c r="G13" s="1">
        <v>7</v>
      </c>
      <c r="H13" s="1">
        <v>7</v>
      </c>
      <c r="I13" s="1">
        <v>10</v>
      </c>
      <c r="J13" s="1">
        <v>2</v>
      </c>
      <c r="K13" s="1">
        <v>2</v>
      </c>
      <c r="L13" s="1">
        <v>3</v>
      </c>
      <c r="M13" s="1">
        <v>3</v>
      </c>
      <c r="N13" s="1">
        <f>SUM(B13:M13)</f>
        <v>66</v>
      </c>
    </row>
    <row r="14" spans="1:14" s="3" customFormat="1" x14ac:dyDescent="0.2">
      <c r="A14" s="6" t="s">
        <v>18</v>
      </c>
      <c r="B14" s="2">
        <v>38000</v>
      </c>
      <c r="C14" s="2">
        <v>44100</v>
      </c>
      <c r="D14" s="2">
        <v>53000</v>
      </c>
      <c r="E14" s="2">
        <v>60200</v>
      </c>
      <c r="F14" s="2">
        <v>3224343</v>
      </c>
      <c r="G14" s="2">
        <v>3675365</v>
      </c>
      <c r="H14" s="2">
        <v>94214</v>
      </c>
      <c r="I14" s="2">
        <v>219700</v>
      </c>
      <c r="J14" s="2">
        <v>2100</v>
      </c>
      <c r="K14" s="2">
        <v>15400</v>
      </c>
      <c r="L14" s="2">
        <v>157450</v>
      </c>
      <c r="M14" s="2">
        <v>115000</v>
      </c>
      <c r="N14" s="2">
        <f>SUM(B14:M14)</f>
        <v>7698872</v>
      </c>
    </row>
    <row r="15" spans="1:14" x14ac:dyDescent="0.2">
      <c r="A15" s="4" t="s">
        <v>24</v>
      </c>
      <c r="B15" s="1">
        <v>4</v>
      </c>
      <c r="C15" s="1">
        <v>4</v>
      </c>
      <c r="D15" s="1">
        <v>13</v>
      </c>
      <c r="E15" s="1">
        <v>2</v>
      </c>
      <c r="F15" s="1">
        <v>0</v>
      </c>
      <c r="G15" s="1">
        <v>5</v>
      </c>
      <c r="H15" s="1">
        <v>1</v>
      </c>
      <c r="I15" s="1">
        <v>0</v>
      </c>
      <c r="J15" s="1">
        <v>7</v>
      </c>
      <c r="K15" s="1">
        <v>0</v>
      </c>
      <c r="L15" s="1">
        <v>5</v>
      </c>
      <c r="M15" s="1">
        <v>3</v>
      </c>
      <c r="N15" s="1">
        <f t="shared" ref="N15:N43" si="1">SUM(B15:M15)</f>
        <v>44</v>
      </c>
    </row>
    <row r="16" spans="1:14" s="3" customFormat="1" x14ac:dyDescent="0.2">
      <c r="A16" s="6" t="s">
        <v>18</v>
      </c>
      <c r="B16" s="2">
        <v>5754000</v>
      </c>
      <c r="C16" s="2">
        <v>9493000</v>
      </c>
      <c r="D16" s="2">
        <v>706375</v>
      </c>
      <c r="E16" s="2">
        <v>14540000</v>
      </c>
      <c r="F16" s="2">
        <v>0</v>
      </c>
      <c r="G16" s="2">
        <v>5978000</v>
      </c>
      <c r="H16" s="2">
        <v>750000</v>
      </c>
      <c r="I16" s="2">
        <v>0</v>
      </c>
      <c r="J16" s="2">
        <v>2610000</v>
      </c>
      <c r="K16" s="2">
        <v>0</v>
      </c>
      <c r="L16" s="2">
        <v>4567751</v>
      </c>
      <c r="M16" s="2">
        <v>550000</v>
      </c>
      <c r="N16" s="2">
        <f t="shared" si="1"/>
        <v>44949126</v>
      </c>
    </row>
    <row r="17" spans="1:14" x14ac:dyDescent="0.2">
      <c r="A17" s="4" t="s">
        <v>40</v>
      </c>
      <c r="B17" s="1">
        <v>4</v>
      </c>
      <c r="C17" s="1">
        <v>7</v>
      </c>
      <c r="D17" s="1">
        <v>2</v>
      </c>
      <c r="E17" s="1">
        <v>8</v>
      </c>
      <c r="F17" s="1">
        <v>5</v>
      </c>
      <c r="G17" s="1">
        <v>5</v>
      </c>
      <c r="H17" s="1">
        <v>4</v>
      </c>
      <c r="I17" s="1">
        <v>8</v>
      </c>
      <c r="J17" s="1">
        <v>15</v>
      </c>
      <c r="K17" s="1">
        <v>14</v>
      </c>
      <c r="L17" s="1">
        <v>5</v>
      </c>
      <c r="M17" s="1">
        <v>11</v>
      </c>
      <c r="N17" s="1">
        <f t="shared" si="1"/>
        <v>88</v>
      </c>
    </row>
    <row r="18" spans="1:14" s="3" customFormat="1" x14ac:dyDescent="0.2">
      <c r="A18" s="6" t="s">
        <v>18</v>
      </c>
      <c r="B18" s="2">
        <v>328000</v>
      </c>
      <c r="C18" s="2">
        <v>3155455</v>
      </c>
      <c r="D18" s="2">
        <v>780000</v>
      </c>
      <c r="E18" s="2">
        <v>1542900</v>
      </c>
      <c r="F18" s="2">
        <v>8732970</v>
      </c>
      <c r="G18" s="2">
        <v>3361555</v>
      </c>
      <c r="H18" s="2">
        <v>276159</v>
      </c>
      <c r="I18" s="2">
        <v>122000</v>
      </c>
      <c r="J18" s="2">
        <v>2131000</v>
      </c>
      <c r="K18" s="2">
        <v>328500</v>
      </c>
      <c r="L18" s="2">
        <v>349565</v>
      </c>
      <c r="M18" s="2">
        <v>162200</v>
      </c>
      <c r="N18" s="2">
        <f t="shared" si="1"/>
        <v>21270304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s="3" customFormat="1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0</v>
      </c>
    </row>
    <row r="22" spans="1:14" s="3" customFormat="1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0</v>
      </c>
    </row>
    <row r="23" spans="1:14" x14ac:dyDescent="0.2">
      <c r="A23" s="4" t="s">
        <v>28</v>
      </c>
      <c r="B23" s="1">
        <v>0</v>
      </c>
      <c r="C23" s="1">
        <v>0</v>
      </c>
      <c r="D23" s="1"/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f t="shared" si="1"/>
        <v>1</v>
      </c>
    </row>
    <row r="24" spans="1:14" s="3" customFormat="1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760000</v>
      </c>
      <c r="M24" s="2">
        <v>0</v>
      </c>
      <c r="N24" s="2">
        <f t="shared" si="1"/>
        <v>760000</v>
      </c>
    </row>
    <row r="25" spans="1:14" x14ac:dyDescent="0.2">
      <c r="A25" s="4" t="s">
        <v>29</v>
      </c>
      <c r="B25" s="1">
        <v>12</v>
      </c>
      <c r="C25" s="1">
        <v>6</v>
      </c>
      <c r="D25" s="1">
        <v>7</v>
      </c>
      <c r="E25" s="1">
        <v>2</v>
      </c>
      <c r="F25" s="1">
        <v>12</v>
      </c>
      <c r="G25" s="1">
        <v>11</v>
      </c>
      <c r="H25" s="1">
        <v>5</v>
      </c>
      <c r="I25" s="1">
        <v>4</v>
      </c>
      <c r="J25" s="1">
        <v>4</v>
      </c>
      <c r="K25" s="1">
        <v>0</v>
      </c>
      <c r="L25" s="1">
        <v>5</v>
      </c>
      <c r="M25" s="1">
        <v>5</v>
      </c>
      <c r="N25" s="1">
        <f t="shared" si="1"/>
        <v>73</v>
      </c>
    </row>
    <row r="26" spans="1:14" s="3" customFormat="1" x14ac:dyDescent="0.2">
      <c r="A26" s="6" t="s">
        <v>18</v>
      </c>
      <c r="B26" s="2">
        <v>22000</v>
      </c>
      <c r="C26" s="2">
        <v>0</v>
      </c>
      <c r="D26" s="2">
        <v>132000</v>
      </c>
      <c r="E26" s="2">
        <v>15000</v>
      </c>
      <c r="F26" s="2">
        <v>78000</v>
      </c>
      <c r="G26" s="2">
        <v>0</v>
      </c>
      <c r="H26" s="2">
        <v>200</v>
      </c>
      <c r="I26" s="2">
        <v>0</v>
      </c>
      <c r="J26" s="2">
        <v>0</v>
      </c>
      <c r="K26" s="2">
        <v>0</v>
      </c>
      <c r="L26" s="2">
        <v>7500</v>
      </c>
      <c r="M26" s="2">
        <v>4300</v>
      </c>
      <c r="N26" s="2">
        <f t="shared" si="1"/>
        <v>259000</v>
      </c>
    </row>
    <row r="27" spans="1:14" x14ac:dyDescent="0.2">
      <c r="A27" s="4" t="s">
        <v>30</v>
      </c>
      <c r="B27" s="1">
        <v>4</v>
      </c>
      <c r="C27" s="1">
        <v>2</v>
      </c>
      <c r="D27" s="1">
        <v>5</v>
      </c>
      <c r="E27" s="1">
        <v>9</v>
      </c>
      <c r="F27" s="1">
        <v>6</v>
      </c>
      <c r="G27" s="1">
        <v>14</v>
      </c>
      <c r="H27" s="1">
        <v>7</v>
      </c>
      <c r="I27" s="1">
        <v>8</v>
      </c>
      <c r="J27" s="1">
        <v>15</v>
      </c>
      <c r="K27" s="1">
        <v>15</v>
      </c>
      <c r="L27" s="1">
        <v>6</v>
      </c>
      <c r="M27" s="1">
        <v>1</v>
      </c>
      <c r="N27" s="1">
        <f t="shared" si="1"/>
        <v>92</v>
      </c>
    </row>
    <row r="28" spans="1:14" s="3" customFormat="1" x14ac:dyDescent="0.2">
      <c r="A28" s="6" t="s">
        <v>18</v>
      </c>
      <c r="B28" s="2">
        <v>4093</v>
      </c>
      <c r="C28" s="2">
        <v>2000</v>
      </c>
      <c r="D28" s="2">
        <v>4195</v>
      </c>
      <c r="E28" s="2">
        <v>9395</v>
      </c>
      <c r="F28" s="2">
        <v>10031</v>
      </c>
      <c r="G28" s="2">
        <v>24393</v>
      </c>
      <c r="H28" s="2">
        <v>17693</v>
      </c>
      <c r="I28" s="2">
        <v>40480</v>
      </c>
      <c r="J28" s="2">
        <v>116646185</v>
      </c>
      <c r="K28" s="2">
        <v>28003</v>
      </c>
      <c r="L28" s="2">
        <v>53728</v>
      </c>
      <c r="M28" s="2">
        <v>600</v>
      </c>
      <c r="N28" s="2">
        <f t="shared" si="1"/>
        <v>116840796</v>
      </c>
    </row>
    <row r="29" spans="1:14" x14ac:dyDescent="0.2">
      <c r="A29" s="4" t="s">
        <v>31</v>
      </c>
      <c r="B29" s="1">
        <v>18</v>
      </c>
      <c r="C29" s="1">
        <v>15</v>
      </c>
      <c r="D29" s="1">
        <v>24</v>
      </c>
      <c r="E29" s="1">
        <v>51</v>
      </c>
      <c r="F29" s="1">
        <v>34</v>
      </c>
      <c r="G29" s="1">
        <v>24</v>
      </c>
      <c r="H29" s="1">
        <v>21</v>
      </c>
      <c r="I29" s="1">
        <v>20</v>
      </c>
      <c r="J29" s="1">
        <v>19</v>
      </c>
      <c r="K29" s="1">
        <v>18</v>
      </c>
      <c r="L29" s="1">
        <v>17</v>
      </c>
      <c r="M29" s="1">
        <v>9</v>
      </c>
      <c r="N29" s="1">
        <f t="shared" si="1"/>
        <v>270</v>
      </c>
    </row>
    <row r="30" spans="1:14" s="3" customFormat="1" x14ac:dyDescent="0.2">
      <c r="A30" s="6" t="s">
        <v>18</v>
      </c>
      <c r="B30" s="2">
        <v>505575</v>
      </c>
      <c r="C30" s="2">
        <v>404000</v>
      </c>
      <c r="D30" s="2">
        <v>563475</v>
      </c>
      <c r="E30" s="2">
        <v>1331275</v>
      </c>
      <c r="F30" s="2">
        <v>930254</v>
      </c>
      <c r="G30" s="2">
        <v>609827</v>
      </c>
      <c r="H30" s="2">
        <v>612000</v>
      </c>
      <c r="I30" s="2">
        <v>486230</v>
      </c>
      <c r="J30" s="2">
        <v>554800</v>
      </c>
      <c r="K30" s="2">
        <v>468130</v>
      </c>
      <c r="L30" s="2">
        <v>431500</v>
      </c>
      <c r="M30" s="2">
        <v>253000</v>
      </c>
      <c r="N30" s="2">
        <f t="shared" si="1"/>
        <v>7150066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f t="shared" si="1"/>
        <v>2</v>
      </c>
    </row>
    <row r="32" spans="1:14" s="3" customFormat="1" x14ac:dyDescent="0.2">
      <c r="A32" s="6" t="s">
        <v>18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9600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f t="shared" si="1"/>
        <v>9600</v>
      </c>
    </row>
    <row r="33" spans="1:14" x14ac:dyDescent="0.2">
      <c r="A33" s="4" t="s">
        <v>33</v>
      </c>
      <c r="B33" s="1">
        <v>51</v>
      </c>
      <c r="C33" s="1">
        <v>179</v>
      </c>
      <c r="D33" s="1">
        <v>89</v>
      </c>
      <c r="E33" s="1">
        <v>155</v>
      </c>
      <c r="F33" s="1">
        <v>191</v>
      </c>
      <c r="G33" s="1">
        <v>105</v>
      </c>
      <c r="H33" s="1">
        <v>180</v>
      </c>
      <c r="I33" s="1">
        <v>142</v>
      </c>
      <c r="J33" s="1">
        <v>221</v>
      </c>
      <c r="K33" s="1">
        <v>170</v>
      </c>
      <c r="L33" s="1">
        <v>111</v>
      </c>
      <c r="M33" s="1">
        <v>105</v>
      </c>
      <c r="N33" s="1">
        <f t="shared" si="1"/>
        <v>1699</v>
      </c>
    </row>
    <row r="34" spans="1:14" s="3" customFormat="1" x14ac:dyDescent="0.2">
      <c r="A34" s="6" t="s">
        <v>18</v>
      </c>
      <c r="B34" s="2">
        <v>296256</v>
      </c>
      <c r="C34" s="2">
        <v>538482</v>
      </c>
      <c r="D34" s="2">
        <v>165140</v>
      </c>
      <c r="E34" s="2">
        <v>275909</v>
      </c>
      <c r="F34" s="2">
        <v>272280</v>
      </c>
      <c r="G34" s="2">
        <v>229965</v>
      </c>
      <c r="H34" s="2">
        <v>456926</v>
      </c>
      <c r="I34" s="2">
        <v>284348</v>
      </c>
      <c r="J34" s="2">
        <v>279091</v>
      </c>
      <c r="K34" s="2">
        <v>228378</v>
      </c>
      <c r="L34" s="2">
        <v>162373</v>
      </c>
      <c r="M34" s="2">
        <v>269716</v>
      </c>
      <c r="N34" s="2">
        <f t="shared" si="1"/>
        <v>3458864</v>
      </c>
    </row>
    <row r="35" spans="1:14" x14ac:dyDescent="0.2">
      <c r="A35" s="4" t="s">
        <v>34</v>
      </c>
      <c r="B35" s="1">
        <v>76</v>
      </c>
      <c r="C35" s="1">
        <v>58</v>
      </c>
      <c r="D35" s="1">
        <v>90</v>
      </c>
      <c r="E35" s="1">
        <v>76</v>
      </c>
      <c r="F35" s="1">
        <v>86</v>
      </c>
      <c r="G35" s="1">
        <v>76</v>
      </c>
      <c r="H35" s="1">
        <v>124</v>
      </c>
      <c r="I35" s="1">
        <v>117</v>
      </c>
      <c r="J35" s="1">
        <v>86</v>
      </c>
      <c r="K35" s="1">
        <v>143</v>
      </c>
      <c r="L35" s="1">
        <v>95</v>
      </c>
      <c r="M35" s="1">
        <v>66</v>
      </c>
      <c r="N35" s="1">
        <f t="shared" si="1"/>
        <v>1093</v>
      </c>
    </row>
    <row r="36" spans="1:14" s="3" customFormat="1" x14ac:dyDescent="0.2">
      <c r="A36" s="6" t="s">
        <v>18</v>
      </c>
      <c r="B36" s="2">
        <v>260190</v>
      </c>
      <c r="C36" s="2">
        <v>63390</v>
      </c>
      <c r="D36" s="2">
        <v>112905</v>
      </c>
      <c r="E36" s="2">
        <v>156200</v>
      </c>
      <c r="F36" s="2">
        <v>128900</v>
      </c>
      <c r="G36" s="2">
        <v>97550</v>
      </c>
      <c r="H36" s="2">
        <v>220375</v>
      </c>
      <c r="I36" s="2">
        <v>221487</v>
      </c>
      <c r="J36" s="2">
        <v>98450</v>
      </c>
      <c r="K36" s="2">
        <v>300014</v>
      </c>
      <c r="L36" s="2">
        <v>187700</v>
      </c>
      <c r="M36" s="2">
        <v>89947</v>
      </c>
      <c r="N36" s="2">
        <f t="shared" si="1"/>
        <v>1937108</v>
      </c>
    </row>
    <row r="37" spans="1:14" x14ac:dyDescent="0.2">
      <c r="A37" s="4" t="s">
        <v>35</v>
      </c>
      <c r="B37" s="1">
        <v>29</v>
      </c>
      <c r="C37" s="1">
        <v>16</v>
      </c>
      <c r="D37" s="1">
        <v>38</v>
      </c>
      <c r="E37" s="1">
        <v>30</v>
      </c>
      <c r="F37" s="1">
        <v>27</v>
      </c>
      <c r="G37" s="1">
        <v>29</v>
      </c>
      <c r="H37" s="1">
        <v>27</v>
      </c>
      <c r="I37" s="1">
        <v>20</v>
      </c>
      <c r="J37" s="1">
        <v>13</v>
      </c>
      <c r="K37" s="1">
        <v>42</v>
      </c>
      <c r="L37" s="1">
        <v>40</v>
      </c>
      <c r="M37" s="1">
        <v>26</v>
      </c>
      <c r="N37" s="1">
        <f t="shared" si="1"/>
        <v>337</v>
      </c>
    </row>
    <row r="38" spans="1:14" s="3" customFormat="1" x14ac:dyDescent="0.2">
      <c r="A38" s="6" t="s">
        <v>18</v>
      </c>
      <c r="B38" s="2">
        <v>22575</v>
      </c>
      <c r="C38" s="2">
        <v>28075</v>
      </c>
      <c r="D38" s="2">
        <v>7650</v>
      </c>
      <c r="E38" s="2">
        <v>23675</v>
      </c>
      <c r="F38" s="2">
        <v>12641</v>
      </c>
      <c r="G38" s="2">
        <v>9525</v>
      </c>
      <c r="H38" s="2">
        <v>0</v>
      </c>
      <c r="I38" s="2">
        <v>0</v>
      </c>
      <c r="J38" s="2">
        <v>0</v>
      </c>
      <c r="K38" s="2">
        <v>6000</v>
      </c>
      <c r="L38" s="2">
        <v>0</v>
      </c>
      <c r="M38" s="2">
        <v>0</v>
      </c>
      <c r="N38" s="2">
        <f t="shared" si="1"/>
        <v>110141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f t="shared" si="1"/>
        <v>1</v>
      </c>
    </row>
    <row r="40" spans="1:14" s="3" customFormat="1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 x14ac:dyDescent="0.2">
      <c r="A41" s="4" t="s">
        <v>37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1</v>
      </c>
      <c r="M41" s="1">
        <v>1</v>
      </c>
      <c r="N41" s="1">
        <f t="shared" si="1"/>
        <v>4</v>
      </c>
    </row>
    <row r="42" spans="1:14" s="3" customFormat="1" x14ac:dyDescent="0.2">
      <c r="A42" s="6" t="s">
        <v>18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2000</v>
      </c>
      <c r="K42" s="2">
        <v>0</v>
      </c>
      <c r="L42" s="2">
        <v>50000</v>
      </c>
      <c r="M42" s="2">
        <v>10000</v>
      </c>
      <c r="N42" s="2">
        <f t="shared" si="1"/>
        <v>62000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f t="shared" si="1"/>
        <v>0</v>
      </c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402</v>
      </c>
      <c r="C44" s="1">
        <f t="shared" si="2"/>
        <v>488</v>
      </c>
      <c r="D44" s="1">
        <f t="shared" si="2"/>
        <v>445</v>
      </c>
      <c r="E44" s="1">
        <f t="shared" si="2"/>
        <v>518</v>
      </c>
      <c r="F44" s="1">
        <f t="shared" si="2"/>
        <v>642</v>
      </c>
      <c r="G44" s="1">
        <f t="shared" si="2"/>
        <v>425</v>
      </c>
      <c r="H44" s="1">
        <f t="shared" si="2"/>
        <v>549</v>
      </c>
      <c r="I44" s="1">
        <f t="shared" si="2"/>
        <v>550</v>
      </c>
      <c r="J44" s="1">
        <f t="shared" si="2"/>
        <v>809</v>
      </c>
      <c r="K44" s="1">
        <f t="shared" si="2"/>
        <v>518</v>
      </c>
      <c r="L44" s="1">
        <f t="shared" si="2"/>
        <v>411</v>
      </c>
      <c r="M44" s="1">
        <f t="shared" si="2"/>
        <v>375</v>
      </c>
      <c r="N44" s="1">
        <f>SUM(B44:M44)</f>
        <v>6132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32747879</v>
      </c>
      <c r="C45" s="2">
        <f t="shared" ref="C45:H45" si="3">SUM(C4+C6+C8+C10+C12+C14+C16+C18+C20+C22+C24+C26+C28+C30+C32+C34+C36+C38+C40+C42)</f>
        <v>43732547</v>
      </c>
      <c r="D45" s="2">
        <f t="shared" si="3"/>
        <v>22661302</v>
      </c>
      <c r="E45" s="2">
        <f t="shared" si="3"/>
        <v>42745121</v>
      </c>
      <c r="F45" s="2">
        <f t="shared" si="3"/>
        <v>54432363</v>
      </c>
      <c r="G45" s="2">
        <f t="shared" si="3"/>
        <v>33820291</v>
      </c>
      <c r="H45" s="2">
        <f t="shared" si="3"/>
        <v>26863893</v>
      </c>
      <c r="I45" s="2">
        <f>SUM(I4+I6+I8+I10+I12+I16+I14+I18+I20+I22+I24+I26+I28+I30+I32+I34+I36+I38+I40+I42)</f>
        <v>36548583</v>
      </c>
      <c r="J45" s="2">
        <f>SUM(J4+J6+J8+J10+J12+J14+J16+J18+J20+J22+J24+J26+J28+J30+J32+J34+J36+J38+J40+J42)</f>
        <v>273250997</v>
      </c>
      <c r="K45" s="2">
        <f>SUM(K4+K6+K8+K10+K12+K14+K16+K18+K20+K22+K24+K26+K28+K30+K32+K34+K36+K38+K40+K42)</f>
        <v>17348337</v>
      </c>
      <c r="L45" s="2">
        <f>SUM(L4+L6+L8+L10+L12+L14+L16+L18+L20+L22+L24+L26+L28+L30+L32+L34+L36+L38+L40+L42)</f>
        <v>25045005</v>
      </c>
      <c r="M45" s="2">
        <f>SUM(M4+M6+M8+M10+M12+M14+M16+M18+M20+M22+M24+M26+M28+M30+M32+M34+M36+M38+M40+M42)</f>
        <v>21799499</v>
      </c>
      <c r="N45" s="2">
        <f>SUM(B45:M45)</f>
        <v>630995817</v>
      </c>
    </row>
  </sheetData>
  <phoneticPr fontId="0" type="noConversion"/>
  <pageMargins left="0.5" right="0.5" top="1" bottom="1" header="0.5" footer="0.5"/>
  <pageSetup paperSize="5" scale="79" orientation="landscape" r:id="rId1"/>
  <headerFooter alignWithMargins="0">
    <oddHeader>&amp;LPERMIT SUMMARY
CALANDAR YEAR 2001&amp;CCITY OF ALLEN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workbookViewId="0">
      <pane xSplit="1" ySplit="2" topLeftCell="M7" activePane="bottomRight" state="frozen"/>
      <selection pane="topRight" activeCell="B1" sqref="B1"/>
      <selection pane="bottomLeft" activeCell="A3" sqref="A3"/>
      <selection pane="bottomRight" activeCell="N7" sqref="N7"/>
    </sheetView>
  </sheetViews>
  <sheetFormatPr defaultRowHeight="12.75" x14ac:dyDescent="0.2"/>
  <cols>
    <col min="1" max="1" width="26.42578125" style="5" customWidth="1"/>
    <col min="2" max="2" width="13.5703125" customWidth="1"/>
    <col min="3" max="3" width="12.85546875" customWidth="1"/>
    <col min="4" max="4" width="13.7109375" customWidth="1"/>
    <col min="5" max="5" width="14.7109375" customWidth="1"/>
    <col min="6" max="6" width="15.140625" customWidth="1"/>
    <col min="7" max="7" width="14.7109375" customWidth="1"/>
    <col min="8" max="8" width="15" customWidth="1"/>
    <col min="9" max="9" width="14.42578125" customWidth="1"/>
    <col min="10" max="10" width="14.28515625" customWidth="1"/>
    <col min="11" max="11" width="14" customWidth="1"/>
    <col min="12" max="12" width="14.140625" customWidth="1"/>
    <col min="13" max="13" width="12.85546875" customWidth="1"/>
    <col min="14" max="14" width="14.1406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131</v>
      </c>
      <c r="C3" s="1">
        <v>150</v>
      </c>
      <c r="D3" s="1">
        <v>137</v>
      </c>
      <c r="E3" s="1">
        <v>164</v>
      </c>
      <c r="F3" s="1">
        <v>113</v>
      </c>
      <c r="G3" s="1">
        <v>132</v>
      </c>
      <c r="H3" s="1">
        <v>169</v>
      </c>
      <c r="I3" s="1">
        <v>33</v>
      </c>
      <c r="J3" s="1">
        <v>105</v>
      </c>
      <c r="K3" s="1">
        <v>121</v>
      </c>
      <c r="L3" s="1">
        <v>81</v>
      </c>
      <c r="M3" s="1">
        <v>89</v>
      </c>
      <c r="N3" s="1">
        <f t="shared" ref="N3:N42" si="0">SUM(B3:M3)</f>
        <v>1425</v>
      </c>
    </row>
    <row r="4" spans="1:14" x14ac:dyDescent="0.2">
      <c r="A4" s="4" t="s">
        <v>18</v>
      </c>
      <c r="B4" s="1">
        <v>23828520</v>
      </c>
      <c r="C4" s="1">
        <v>28304203</v>
      </c>
      <c r="D4" s="1">
        <v>25378075</v>
      </c>
      <c r="E4" s="1">
        <v>33078458</v>
      </c>
      <c r="F4" s="1">
        <v>20278648</v>
      </c>
      <c r="G4" s="1">
        <v>25446477</v>
      </c>
      <c r="H4" s="1">
        <v>31206464</v>
      </c>
      <c r="I4" s="1">
        <v>6180097</v>
      </c>
      <c r="J4" s="1">
        <v>16314668</v>
      </c>
      <c r="K4" s="1">
        <v>20631936</v>
      </c>
      <c r="L4" s="1">
        <v>15462736</v>
      </c>
      <c r="M4" s="1">
        <v>16643052</v>
      </c>
      <c r="N4" s="2">
        <f t="shared" si="0"/>
        <v>262753334</v>
      </c>
    </row>
    <row r="5" spans="1:14" x14ac:dyDescent="0.2">
      <c r="A5" s="4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x14ac:dyDescent="0.2">
      <c r="A6" s="4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x14ac:dyDescent="0.2">
      <c r="A7" s="4" t="s">
        <v>20</v>
      </c>
      <c r="B7" s="1">
        <v>0</v>
      </c>
      <c r="C7" s="1">
        <v>126</v>
      </c>
      <c r="D7" s="1">
        <v>156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282</v>
      </c>
    </row>
    <row r="8" spans="1:14" x14ac:dyDescent="0.2">
      <c r="A8" s="4" t="s">
        <v>18</v>
      </c>
      <c r="B8" s="1">
        <v>0</v>
      </c>
      <c r="C8" s="1">
        <v>6743253</v>
      </c>
      <c r="D8" s="1">
        <v>6900000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13643253</v>
      </c>
    </row>
    <row r="9" spans="1:14" x14ac:dyDescent="0.2">
      <c r="A9" s="4" t="s">
        <v>21</v>
      </c>
      <c r="B9" s="1">
        <v>12</v>
      </c>
      <c r="C9" s="1">
        <v>40</v>
      </c>
      <c r="D9" s="1">
        <v>23</v>
      </c>
      <c r="E9" s="1">
        <v>46</v>
      </c>
      <c r="F9" s="1">
        <v>47</v>
      </c>
      <c r="G9" s="1">
        <v>37</v>
      </c>
      <c r="H9" s="1">
        <v>41</v>
      </c>
      <c r="I9" s="1">
        <v>39</v>
      </c>
      <c r="J9" s="1">
        <v>39</v>
      </c>
      <c r="K9" s="1">
        <v>42</v>
      </c>
      <c r="L9" s="1">
        <v>24</v>
      </c>
      <c r="M9" s="1">
        <v>35</v>
      </c>
      <c r="N9" s="1">
        <f t="shared" si="0"/>
        <v>425</v>
      </c>
    </row>
    <row r="10" spans="1:14" x14ac:dyDescent="0.2">
      <c r="A10" s="4" t="s">
        <v>18</v>
      </c>
      <c r="B10" s="1">
        <v>34940</v>
      </c>
      <c r="C10" s="1">
        <v>98340</v>
      </c>
      <c r="D10" s="1">
        <v>60508</v>
      </c>
      <c r="E10" s="1">
        <v>72284</v>
      </c>
      <c r="F10" s="1">
        <v>154241</v>
      </c>
      <c r="G10" s="1">
        <v>127998</v>
      </c>
      <c r="H10" s="1">
        <v>186177</v>
      </c>
      <c r="I10" s="1">
        <v>79075</v>
      </c>
      <c r="J10" s="1">
        <v>132089</v>
      </c>
      <c r="K10" s="1">
        <v>101725</v>
      </c>
      <c r="L10" s="1">
        <v>120672</v>
      </c>
      <c r="M10" s="1">
        <v>217837</v>
      </c>
      <c r="N10" s="2">
        <f t="shared" si="0"/>
        <v>1385886</v>
      </c>
    </row>
    <row r="11" spans="1:14" x14ac:dyDescent="0.2">
      <c r="A11" s="4" t="s">
        <v>22</v>
      </c>
      <c r="B11" s="1">
        <v>0</v>
      </c>
      <c r="C11" s="1">
        <v>1</v>
      </c>
      <c r="D11" s="1">
        <v>1</v>
      </c>
      <c r="E11" s="1">
        <v>3</v>
      </c>
      <c r="F11" s="1">
        <v>1</v>
      </c>
      <c r="G11" s="1">
        <v>1</v>
      </c>
      <c r="H11" s="1">
        <v>2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">
        <f t="shared" si="0"/>
        <v>11</v>
      </c>
    </row>
    <row r="12" spans="1:14" x14ac:dyDescent="0.2">
      <c r="A12" s="4" t="s">
        <v>18</v>
      </c>
      <c r="B12" s="1">
        <v>0</v>
      </c>
      <c r="C12" s="1">
        <v>30000</v>
      </c>
      <c r="D12" s="1">
        <v>48000</v>
      </c>
      <c r="E12" s="1">
        <v>106000</v>
      </c>
      <c r="F12" s="1">
        <v>32000</v>
      </c>
      <c r="G12" s="1">
        <v>2000</v>
      </c>
      <c r="H12" s="1">
        <v>2000</v>
      </c>
      <c r="I12" s="1">
        <v>10000</v>
      </c>
      <c r="J12" s="1">
        <v>0</v>
      </c>
      <c r="K12" s="1">
        <v>55000</v>
      </c>
      <c r="L12" s="1">
        <v>0</v>
      </c>
      <c r="M12" s="1">
        <v>0</v>
      </c>
      <c r="N12" s="2">
        <f t="shared" si="0"/>
        <v>285000</v>
      </c>
    </row>
    <row r="13" spans="1:14" x14ac:dyDescent="0.2">
      <c r="A13" s="4" t="s">
        <v>23</v>
      </c>
      <c r="B13" s="1">
        <v>1</v>
      </c>
      <c r="C13" s="1">
        <v>8</v>
      </c>
      <c r="D13" s="1">
        <v>21</v>
      </c>
      <c r="E13" s="1">
        <v>4</v>
      </c>
      <c r="F13" s="1">
        <v>5</v>
      </c>
      <c r="G13" s="1">
        <v>2</v>
      </c>
      <c r="H13" s="1">
        <v>6</v>
      </c>
      <c r="I13" s="1">
        <v>0</v>
      </c>
      <c r="J13" s="1">
        <v>4</v>
      </c>
      <c r="K13" s="1">
        <v>3</v>
      </c>
      <c r="L13" s="1">
        <v>4</v>
      </c>
      <c r="M13" s="1">
        <v>4</v>
      </c>
      <c r="N13" s="1">
        <f>SUM(B13:M13)</f>
        <v>62</v>
      </c>
    </row>
    <row r="14" spans="1:14" x14ac:dyDescent="0.2">
      <c r="A14" s="4" t="s">
        <v>18</v>
      </c>
      <c r="B14" s="1">
        <v>10000</v>
      </c>
      <c r="C14" s="1">
        <v>255255</v>
      </c>
      <c r="D14" s="1">
        <v>218000</v>
      </c>
      <c r="E14" s="1">
        <v>845413</v>
      </c>
      <c r="F14" s="1">
        <v>35287</v>
      </c>
      <c r="G14" s="1">
        <v>3000</v>
      </c>
      <c r="H14" s="1">
        <v>97600</v>
      </c>
      <c r="I14" s="1">
        <v>0</v>
      </c>
      <c r="J14" s="1">
        <v>6500</v>
      </c>
      <c r="K14" s="1">
        <v>22100</v>
      </c>
      <c r="L14" s="1">
        <v>7000</v>
      </c>
      <c r="M14" s="1">
        <v>69764</v>
      </c>
      <c r="N14" s="2">
        <f>SUM(B14:M14)</f>
        <v>1569919</v>
      </c>
    </row>
    <row r="15" spans="1:14" x14ac:dyDescent="0.2">
      <c r="A15" s="4" t="s">
        <v>24</v>
      </c>
      <c r="B15" s="1">
        <v>6</v>
      </c>
      <c r="C15" s="1">
        <v>1</v>
      </c>
      <c r="D15" s="1">
        <v>4</v>
      </c>
      <c r="E15" s="1">
        <v>4</v>
      </c>
      <c r="F15" s="1">
        <v>1</v>
      </c>
      <c r="G15" s="1">
        <v>1</v>
      </c>
      <c r="H15" s="1">
        <v>4</v>
      </c>
      <c r="I15" s="1">
        <v>0</v>
      </c>
      <c r="J15" s="1">
        <v>2</v>
      </c>
      <c r="K15" s="1">
        <v>1</v>
      </c>
      <c r="L15" s="1">
        <v>0</v>
      </c>
      <c r="M15" s="1">
        <v>2</v>
      </c>
      <c r="N15" s="1">
        <f t="shared" si="0"/>
        <v>26</v>
      </c>
    </row>
    <row r="16" spans="1:14" x14ac:dyDescent="0.2">
      <c r="A16" s="4" t="s">
        <v>18</v>
      </c>
      <c r="B16" s="1">
        <v>8493000</v>
      </c>
      <c r="C16" s="1">
        <v>162500</v>
      </c>
      <c r="D16" s="1">
        <v>11126668</v>
      </c>
      <c r="E16" s="1">
        <v>3600000</v>
      </c>
      <c r="F16" s="1">
        <v>2000000</v>
      </c>
      <c r="G16" s="1">
        <v>725000</v>
      </c>
      <c r="H16" s="1">
        <v>1734746</v>
      </c>
      <c r="I16" s="1">
        <v>0</v>
      </c>
      <c r="J16" s="1">
        <v>1075000</v>
      </c>
      <c r="K16" s="1">
        <v>959000</v>
      </c>
      <c r="L16" s="1">
        <v>0</v>
      </c>
      <c r="M16" s="1">
        <v>500000</v>
      </c>
      <c r="N16" s="2">
        <f t="shared" si="0"/>
        <v>30375914</v>
      </c>
    </row>
    <row r="17" spans="1:14" x14ac:dyDescent="0.2">
      <c r="A17" s="4" t="s">
        <v>25</v>
      </c>
      <c r="B17" s="1">
        <v>9</v>
      </c>
      <c r="C17" s="1">
        <v>13</v>
      </c>
      <c r="D17" s="1">
        <v>6</v>
      </c>
      <c r="E17" s="1">
        <v>9</v>
      </c>
      <c r="F17" s="1">
        <v>11</v>
      </c>
      <c r="G17" s="1">
        <v>5</v>
      </c>
      <c r="H17" s="1">
        <v>13</v>
      </c>
      <c r="I17" s="1">
        <v>5</v>
      </c>
      <c r="J17" s="1">
        <v>11</v>
      </c>
      <c r="K17" s="1">
        <v>6</v>
      </c>
      <c r="L17" s="1">
        <v>14</v>
      </c>
      <c r="M17" s="1">
        <v>4</v>
      </c>
      <c r="N17" s="1">
        <f t="shared" si="0"/>
        <v>106</v>
      </c>
    </row>
    <row r="18" spans="1:14" x14ac:dyDescent="0.2">
      <c r="A18" s="4" t="s">
        <v>18</v>
      </c>
      <c r="B18" s="1">
        <v>597320</v>
      </c>
      <c r="C18" s="1">
        <v>8270835</v>
      </c>
      <c r="D18" s="1">
        <v>323172</v>
      </c>
      <c r="E18" s="1">
        <v>2865800</v>
      </c>
      <c r="F18" s="1">
        <v>335000</v>
      </c>
      <c r="G18" s="1">
        <v>264000</v>
      </c>
      <c r="H18" s="1">
        <v>813500</v>
      </c>
      <c r="I18" s="1">
        <v>158300</v>
      </c>
      <c r="J18" s="1">
        <v>498000</v>
      </c>
      <c r="K18" s="1">
        <v>112500</v>
      </c>
      <c r="L18" s="1">
        <v>232000</v>
      </c>
      <c r="M18" s="1">
        <v>188000</v>
      </c>
      <c r="N18" s="2">
        <f t="shared" si="0"/>
        <v>14658427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0"/>
        <v>0</v>
      </c>
    </row>
    <row r="20" spans="1:14" x14ac:dyDescent="0.2">
      <c r="A20" s="4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0"/>
        <v>0</v>
      </c>
    </row>
    <row r="22" spans="1:14" x14ac:dyDescent="0.2">
      <c r="A22" s="4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0"/>
        <v>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0"/>
        <v>0</v>
      </c>
    </row>
    <row r="24" spans="1:14" x14ac:dyDescent="0.2">
      <c r="A24" s="4" t="s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0</v>
      </c>
    </row>
    <row r="25" spans="1:14" x14ac:dyDescent="0.2">
      <c r="A25" s="4" t="s">
        <v>29</v>
      </c>
      <c r="B25" s="1">
        <v>3</v>
      </c>
      <c r="C25" s="1">
        <v>12</v>
      </c>
      <c r="D25" s="1">
        <v>7</v>
      </c>
      <c r="E25" s="1">
        <v>3</v>
      </c>
      <c r="F25" s="1">
        <v>3</v>
      </c>
      <c r="G25" s="1">
        <v>7</v>
      </c>
      <c r="H25" s="1">
        <v>5</v>
      </c>
      <c r="I25" s="1">
        <v>2</v>
      </c>
      <c r="J25" s="1">
        <v>6</v>
      </c>
      <c r="K25" s="1">
        <v>2</v>
      </c>
      <c r="L25" s="1">
        <v>3</v>
      </c>
      <c r="M25" s="1">
        <v>1</v>
      </c>
      <c r="N25" s="1">
        <f t="shared" si="0"/>
        <v>54</v>
      </c>
    </row>
    <row r="26" spans="1:14" x14ac:dyDescent="0.2">
      <c r="A26" s="4" t="s">
        <v>18</v>
      </c>
      <c r="B26" s="1">
        <v>0</v>
      </c>
      <c r="C26" s="1">
        <v>51000</v>
      </c>
      <c r="D26" s="1">
        <v>32600</v>
      </c>
      <c r="E26" s="1">
        <v>6000</v>
      </c>
      <c r="F26" s="1">
        <v>23000</v>
      </c>
      <c r="G26" s="1">
        <v>137150</v>
      </c>
      <c r="H26" s="1">
        <v>65000</v>
      </c>
      <c r="I26" s="1">
        <v>0</v>
      </c>
      <c r="J26" s="1">
        <v>11210</v>
      </c>
      <c r="K26" s="1">
        <v>0</v>
      </c>
      <c r="L26" s="1">
        <v>20000</v>
      </c>
      <c r="M26" s="1">
        <v>25000</v>
      </c>
      <c r="N26" s="2">
        <f t="shared" si="0"/>
        <v>370960</v>
      </c>
    </row>
    <row r="27" spans="1:14" x14ac:dyDescent="0.2">
      <c r="A27" s="4" t="s">
        <v>30</v>
      </c>
      <c r="B27" s="1">
        <v>21</v>
      </c>
      <c r="C27" s="1">
        <v>9</v>
      </c>
      <c r="D27" s="1">
        <v>11</v>
      </c>
      <c r="E27" s="1">
        <v>18</v>
      </c>
      <c r="F27" s="1">
        <v>16</v>
      </c>
      <c r="G27" s="1">
        <v>11</v>
      </c>
      <c r="H27" s="1">
        <v>13</v>
      </c>
      <c r="I27" s="1">
        <v>13</v>
      </c>
      <c r="J27" s="1">
        <v>9</v>
      </c>
      <c r="K27" s="1">
        <v>12</v>
      </c>
      <c r="L27" s="1">
        <v>4</v>
      </c>
      <c r="M27" s="1">
        <v>5</v>
      </c>
      <c r="N27" s="1">
        <f t="shared" si="0"/>
        <v>142</v>
      </c>
    </row>
    <row r="28" spans="1:14" x14ac:dyDescent="0.2">
      <c r="A28" s="4" t="s">
        <v>18</v>
      </c>
      <c r="B28" s="1">
        <v>350415</v>
      </c>
      <c r="C28" s="1">
        <v>26074</v>
      </c>
      <c r="D28" s="1">
        <v>17198</v>
      </c>
      <c r="E28" s="1">
        <v>33142</v>
      </c>
      <c r="F28" s="1">
        <v>52117</v>
      </c>
      <c r="G28" s="1">
        <v>34185</v>
      </c>
      <c r="H28" s="1">
        <v>33495</v>
      </c>
      <c r="I28" s="1">
        <v>33535</v>
      </c>
      <c r="J28" s="1">
        <v>34180</v>
      </c>
      <c r="K28" s="1">
        <v>48500</v>
      </c>
      <c r="L28" s="1">
        <v>3946</v>
      </c>
      <c r="M28" s="1">
        <v>5721</v>
      </c>
      <c r="N28" s="2">
        <f t="shared" si="0"/>
        <v>672508</v>
      </c>
    </row>
    <row r="29" spans="1:14" x14ac:dyDescent="0.2">
      <c r="A29" s="4" t="s">
        <v>31</v>
      </c>
      <c r="B29" s="1">
        <v>27</v>
      </c>
      <c r="C29" s="1">
        <v>28</v>
      </c>
      <c r="D29" s="1">
        <v>25</v>
      </c>
      <c r="E29" s="1">
        <v>25</v>
      </c>
      <c r="F29" s="1">
        <v>34</v>
      </c>
      <c r="G29" s="1">
        <v>25</v>
      </c>
      <c r="H29" s="1">
        <v>26</v>
      </c>
      <c r="I29" s="1">
        <v>18</v>
      </c>
      <c r="J29" s="1">
        <v>11</v>
      </c>
      <c r="K29" s="1">
        <v>21</v>
      </c>
      <c r="L29" s="1">
        <v>9</v>
      </c>
      <c r="M29" s="1">
        <v>6</v>
      </c>
      <c r="N29" s="1">
        <f t="shared" si="0"/>
        <v>255</v>
      </c>
    </row>
    <row r="30" spans="1:14" x14ac:dyDescent="0.2">
      <c r="A30" s="4" t="s">
        <v>18</v>
      </c>
      <c r="B30" s="1">
        <v>758940</v>
      </c>
      <c r="C30" s="1">
        <v>841300</v>
      </c>
      <c r="D30" s="1">
        <v>834930</v>
      </c>
      <c r="E30" s="1">
        <v>655524</v>
      </c>
      <c r="F30" s="1">
        <v>961626</v>
      </c>
      <c r="G30" s="1">
        <v>709580</v>
      </c>
      <c r="H30" s="1">
        <v>686848</v>
      </c>
      <c r="I30" s="1">
        <v>598226</v>
      </c>
      <c r="J30" s="1">
        <v>321600</v>
      </c>
      <c r="K30" s="1">
        <v>598000</v>
      </c>
      <c r="L30" s="1">
        <v>286725</v>
      </c>
      <c r="M30" s="1">
        <v>188000</v>
      </c>
      <c r="N30" s="2">
        <f t="shared" si="0"/>
        <v>7441299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f t="shared" si="0"/>
        <v>2</v>
      </c>
    </row>
    <row r="32" spans="1:14" x14ac:dyDescent="0.2">
      <c r="A32" s="4" t="s">
        <v>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20000</v>
      </c>
      <c r="J32" s="1">
        <v>0</v>
      </c>
      <c r="K32" s="1">
        <v>0</v>
      </c>
      <c r="L32" s="1">
        <v>9000</v>
      </c>
      <c r="M32" s="1">
        <v>0</v>
      </c>
      <c r="N32" s="2">
        <f t="shared" si="0"/>
        <v>29000</v>
      </c>
    </row>
    <row r="33" spans="1:14" x14ac:dyDescent="0.2">
      <c r="A33" s="4" t="s">
        <v>33</v>
      </c>
      <c r="B33" s="1">
        <v>156</v>
      </c>
      <c r="C33" s="1">
        <v>117</v>
      </c>
      <c r="D33" s="1">
        <v>103</v>
      </c>
      <c r="E33" s="1">
        <v>91</v>
      </c>
      <c r="F33" s="1">
        <v>128</v>
      </c>
      <c r="G33" s="1">
        <v>105</v>
      </c>
      <c r="H33" s="1">
        <v>144</v>
      </c>
      <c r="I33" s="1">
        <v>143</v>
      </c>
      <c r="J33" s="1">
        <v>78</v>
      </c>
      <c r="K33" s="1">
        <v>149</v>
      </c>
      <c r="L33" s="1">
        <v>115</v>
      </c>
      <c r="M33" s="1">
        <v>91</v>
      </c>
      <c r="N33" s="1">
        <f t="shared" si="0"/>
        <v>1420</v>
      </c>
    </row>
    <row r="34" spans="1:14" x14ac:dyDescent="0.2">
      <c r="A34" s="4" t="s">
        <v>18</v>
      </c>
      <c r="B34" s="1">
        <v>397088</v>
      </c>
      <c r="C34" s="1">
        <v>135918</v>
      </c>
      <c r="D34" s="1">
        <v>154866</v>
      </c>
      <c r="E34" s="1">
        <v>140875</v>
      </c>
      <c r="F34" s="1">
        <v>143957</v>
      </c>
      <c r="G34" s="1">
        <v>134863</v>
      </c>
      <c r="H34" s="1">
        <v>224453</v>
      </c>
      <c r="I34" s="1">
        <v>172936</v>
      </c>
      <c r="J34" s="1">
        <v>99815</v>
      </c>
      <c r="K34" s="1">
        <v>214519</v>
      </c>
      <c r="L34" s="1">
        <v>127734</v>
      </c>
      <c r="M34" s="1">
        <v>89442</v>
      </c>
      <c r="N34" s="2">
        <f t="shared" si="0"/>
        <v>2036466</v>
      </c>
    </row>
    <row r="35" spans="1:14" x14ac:dyDescent="0.2">
      <c r="A35" s="4" t="s">
        <v>34</v>
      </c>
      <c r="B35" s="1">
        <v>70</v>
      </c>
      <c r="C35" s="1">
        <v>74</v>
      </c>
      <c r="D35" s="1">
        <v>80</v>
      </c>
      <c r="E35" s="1">
        <v>93</v>
      </c>
      <c r="F35" s="1">
        <v>71</v>
      </c>
      <c r="G35" s="1">
        <v>65</v>
      </c>
      <c r="H35" s="1">
        <v>97</v>
      </c>
      <c r="I35" s="1">
        <v>111</v>
      </c>
      <c r="J35" s="1">
        <v>106</v>
      </c>
      <c r="K35" s="1">
        <v>92</v>
      </c>
      <c r="L35" s="1">
        <v>34</v>
      </c>
      <c r="M35" s="1">
        <v>55</v>
      </c>
      <c r="N35" s="1">
        <f t="shared" si="0"/>
        <v>948</v>
      </c>
    </row>
    <row r="36" spans="1:14" x14ac:dyDescent="0.2">
      <c r="A36" s="4" t="s">
        <v>18</v>
      </c>
      <c r="B36" s="1">
        <v>173640</v>
      </c>
      <c r="C36" s="1">
        <v>166015</v>
      </c>
      <c r="D36" s="1">
        <v>115430</v>
      </c>
      <c r="E36" s="1">
        <v>115415</v>
      </c>
      <c r="F36" s="1">
        <v>79840</v>
      </c>
      <c r="G36" s="1">
        <v>79737</v>
      </c>
      <c r="H36" s="1">
        <v>560365</v>
      </c>
      <c r="I36" s="1">
        <v>406550</v>
      </c>
      <c r="J36" s="1">
        <v>177800</v>
      </c>
      <c r="K36" s="1">
        <v>191100</v>
      </c>
      <c r="L36" s="1">
        <v>59750</v>
      </c>
      <c r="M36" s="1">
        <v>376870</v>
      </c>
      <c r="N36" s="2">
        <f t="shared" si="0"/>
        <v>2502512</v>
      </c>
    </row>
    <row r="37" spans="1:14" x14ac:dyDescent="0.2">
      <c r="A37" s="4" t="s">
        <v>35</v>
      </c>
      <c r="B37" s="1">
        <v>24</v>
      </c>
      <c r="C37" s="1">
        <v>22</v>
      </c>
      <c r="D37" s="1">
        <v>27</v>
      </c>
      <c r="E37" s="1">
        <v>45</v>
      </c>
      <c r="F37" s="1">
        <v>23</v>
      </c>
      <c r="G37" s="1">
        <v>23</v>
      </c>
      <c r="H37" s="1">
        <v>23</v>
      </c>
      <c r="I37" s="1">
        <v>51</v>
      </c>
      <c r="J37" s="1">
        <v>32</v>
      </c>
      <c r="K37" s="1">
        <v>32</v>
      </c>
      <c r="L37" s="1">
        <v>49</v>
      </c>
      <c r="M37" s="1">
        <v>25</v>
      </c>
      <c r="N37" s="1">
        <f t="shared" si="0"/>
        <v>376</v>
      </c>
    </row>
    <row r="38" spans="1:14" x14ac:dyDescent="0.2">
      <c r="A38" s="4" t="s">
        <v>18</v>
      </c>
      <c r="B38" s="1">
        <v>2000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 t="shared" si="0"/>
        <v>2000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1</v>
      </c>
      <c r="F39" s="1">
        <v>2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f t="shared" si="0"/>
        <v>6</v>
      </c>
    </row>
    <row r="40" spans="1:14" x14ac:dyDescent="0.2">
      <c r="A40" s="4" t="s">
        <v>18</v>
      </c>
      <c r="B40" s="1">
        <v>0</v>
      </c>
      <c r="C40" s="1">
        <v>0</v>
      </c>
      <c r="D40" s="1">
        <v>0</v>
      </c>
      <c r="E40" s="1">
        <v>0</v>
      </c>
      <c r="F40" s="1">
        <v>23400</v>
      </c>
      <c r="G40" s="1">
        <v>0</v>
      </c>
      <c r="H40" s="1">
        <v>0</v>
      </c>
      <c r="I40" s="1">
        <v>2000</v>
      </c>
      <c r="J40" s="1">
        <v>0</v>
      </c>
      <c r="K40" s="1">
        <v>0</v>
      </c>
      <c r="L40" s="1">
        <v>0</v>
      </c>
      <c r="M40" s="1">
        <v>0</v>
      </c>
      <c r="N40" s="2">
        <f t="shared" si="0"/>
        <v>25400</v>
      </c>
    </row>
    <row r="41" spans="1:14" x14ac:dyDescent="0.2">
      <c r="A41" s="4" t="s">
        <v>37</v>
      </c>
      <c r="B41" s="1">
        <v>0</v>
      </c>
      <c r="C41" s="1">
        <v>1</v>
      </c>
      <c r="D41" s="1">
        <v>0</v>
      </c>
      <c r="E41" s="1">
        <v>1</v>
      </c>
      <c r="F41" s="1">
        <v>1</v>
      </c>
      <c r="G41" s="1">
        <v>1</v>
      </c>
      <c r="H41" s="1">
        <v>0</v>
      </c>
      <c r="I41" s="1">
        <v>1</v>
      </c>
      <c r="J41" s="1">
        <v>4</v>
      </c>
      <c r="K41" s="1">
        <v>0</v>
      </c>
      <c r="L41" s="1">
        <v>0</v>
      </c>
      <c r="M41" s="1">
        <v>0</v>
      </c>
      <c r="N41" s="1">
        <f t="shared" si="0"/>
        <v>9</v>
      </c>
    </row>
    <row r="42" spans="1:14" x14ac:dyDescent="0.2">
      <c r="A42" s="4" t="s">
        <v>18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4000</v>
      </c>
      <c r="H42" s="1">
        <v>0</v>
      </c>
      <c r="I42" s="1">
        <v>15600</v>
      </c>
      <c r="J42" s="1">
        <v>9132</v>
      </c>
      <c r="K42" s="1">
        <v>0</v>
      </c>
      <c r="L42" s="1">
        <v>0</v>
      </c>
      <c r="M42" s="1">
        <v>0</v>
      </c>
      <c r="N42" s="2">
        <f t="shared" si="0"/>
        <v>28732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>SUM(B3+B5+B7+B9+B11+B13+B15+B17+B19+B21+B23+B25+B27+B29+B31+B33+B35+B37+B39+B41)</f>
        <v>460</v>
      </c>
      <c r="C44" s="1">
        <f>SUM(C3+C5+C7+C9+C11+C13+C15+C17+C19+C21+C23+C25+C27+C29+C31+C33+C35+C37+C39+C41)</f>
        <v>602</v>
      </c>
      <c r="D44" s="1">
        <f>SUM(D3+D5+D7+D9+D11+D13+D15+D17+D19+D21+D23+D25+D27+D29+D31+D33+D35+D37+D39+D41)</f>
        <v>601</v>
      </c>
      <c r="E44" s="1">
        <f t="shared" ref="E44:M44" si="1">SUM(E3+E5+E7+E9+E11+E13+E15+E17+E19+E21+E23+E25+E27+E29+E31+E33+E35+E37+E39+E41)</f>
        <v>507</v>
      </c>
      <c r="F44" s="1">
        <f t="shared" si="1"/>
        <v>456</v>
      </c>
      <c r="G44" s="1">
        <f t="shared" si="1"/>
        <v>415</v>
      </c>
      <c r="H44" s="1">
        <f t="shared" si="1"/>
        <v>543</v>
      </c>
      <c r="I44" s="1">
        <f t="shared" si="1"/>
        <v>419</v>
      </c>
      <c r="J44" s="1">
        <f t="shared" si="1"/>
        <v>408</v>
      </c>
      <c r="K44" s="1">
        <f t="shared" si="1"/>
        <v>482</v>
      </c>
      <c r="L44" s="1">
        <f t="shared" si="1"/>
        <v>338</v>
      </c>
      <c r="M44" s="1">
        <f t="shared" si="1"/>
        <v>318</v>
      </c>
      <c r="N44" s="1">
        <f>SUM(B44:M44)</f>
        <v>5549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34645863</v>
      </c>
      <c r="C45" s="2">
        <f t="shared" ref="C45:H45" si="2">SUM(C4+C6+C8+C10+C12+C14+C16+C18+C20+C22+C24+C26+C28+C30+C32+C34+C36+C38+C40+C42)</f>
        <v>45084693</v>
      </c>
      <c r="D45" s="2">
        <f t="shared" si="2"/>
        <v>45209447</v>
      </c>
      <c r="E45" s="2">
        <f t="shared" si="2"/>
        <v>41518911</v>
      </c>
      <c r="F45" s="2">
        <f t="shared" si="2"/>
        <v>24119116</v>
      </c>
      <c r="G45" s="2">
        <f t="shared" si="2"/>
        <v>27667990</v>
      </c>
      <c r="H45" s="2">
        <f t="shared" si="2"/>
        <v>35610648</v>
      </c>
      <c r="I45" s="2">
        <f>SUM(I4+I6+I8+I10+I12+I16+I14+I18+I20+I22+I24+I26+I28+I30+I32+I34+I36+I38+I40+I42)</f>
        <v>7676319</v>
      </c>
      <c r="J45" s="2">
        <f>SUM(J4+J6+J8+J10+J12+J14+J16+J18+J20+J22+J24+J26+J28+J30+J32+J34+J36+J38+J40+J42)</f>
        <v>18679994</v>
      </c>
      <c r="K45" s="2">
        <f>SUM(K4+K6+K8+K10+K12+K14+K16+K18+K20+K22+K24+K26+K28+K30+K32+K34+K36+K38+K40+K42)</f>
        <v>22934380</v>
      </c>
      <c r="L45" s="2">
        <f>SUM(L4+L6+L8+L10+L12+L14+L16+L18+L20+L22+L24+L26+L28+L30+L32+L34+L36+L38+L40+L42)</f>
        <v>16329563</v>
      </c>
      <c r="M45" s="2">
        <f>SUM(M4+M6+M8+M10+M12+M14+M16+M18+M20+M22+M24+M26+M28+M30+M32+M34+M36+M38+M40+M42)</f>
        <v>18303686</v>
      </c>
      <c r="N45" s="2">
        <f>SUM(B45:M45)</f>
        <v>337780610</v>
      </c>
    </row>
  </sheetData>
  <phoneticPr fontId="0" type="noConversion"/>
  <printOptions horizontalCentered="1"/>
  <pageMargins left="0.5" right="0.5" top="1" bottom="1" header="0.5" footer="0.5"/>
  <pageSetup paperSize="5" scale="80" orientation="landscape" r:id="rId1"/>
  <headerFooter alignWithMargins="0">
    <oddHeader xml:space="preserve">&amp;LPERMIT SUMMARY
CALANDAR YEAR 2002&amp;CCITY OF ALLEN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zoomScale="13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M45" sqref="M45"/>
    </sheetView>
  </sheetViews>
  <sheetFormatPr defaultRowHeight="12.75" x14ac:dyDescent="0.2"/>
  <cols>
    <col min="1" max="1" width="22.5703125" style="5" customWidth="1"/>
    <col min="2" max="13" width="13.5703125" customWidth="1"/>
    <col min="14" max="14" width="18.42578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112</v>
      </c>
      <c r="C3" s="1">
        <v>99</v>
      </c>
      <c r="D3" s="1">
        <v>133</v>
      </c>
      <c r="E3" s="1">
        <v>96</v>
      </c>
      <c r="F3" s="1">
        <v>80</v>
      </c>
      <c r="G3" s="1">
        <v>73</v>
      </c>
      <c r="H3" s="1">
        <v>141</v>
      </c>
      <c r="I3" s="1">
        <v>128</v>
      </c>
      <c r="J3" s="1">
        <v>85</v>
      </c>
      <c r="K3" s="1">
        <v>94</v>
      </c>
      <c r="L3" s="1">
        <v>103</v>
      </c>
      <c r="M3" s="1">
        <v>86</v>
      </c>
      <c r="N3" s="1">
        <f t="shared" ref="N3:N42" si="0">SUM(B3:M3)</f>
        <v>1230</v>
      </c>
    </row>
    <row r="4" spans="1:14" s="3" customFormat="1" x14ac:dyDescent="0.2">
      <c r="A4" s="6" t="s">
        <v>18</v>
      </c>
      <c r="B4" s="2">
        <v>21210993</v>
      </c>
      <c r="C4" s="2">
        <v>19922967</v>
      </c>
      <c r="D4" s="2">
        <v>21044559</v>
      </c>
      <c r="E4" s="2">
        <v>20336118</v>
      </c>
      <c r="F4" s="2">
        <v>14167923</v>
      </c>
      <c r="G4" s="2">
        <v>13697345</v>
      </c>
      <c r="H4" s="2">
        <v>26182800</v>
      </c>
      <c r="I4" s="2">
        <v>24097184</v>
      </c>
      <c r="J4" s="2">
        <v>12524175</v>
      </c>
      <c r="K4" s="2">
        <v>17810547</v>
      </c>
      <c r="L4" s="2">
        <v>25551407</v>
      </c>
      <c r="M4" s="2">
        <v>18339778</v>
      </c>
      <c r="N4" s="2">
        <f t="shared" si="0"/>
        <v>234885796</v>
      </c>
    </row>
    <row r="5" spans="1:14" x14ac:dyDescent="0.2">
      <c r="A5" s="4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</row>
    <row r="6" spans="1:14" s="3" customFormat="1" x14ac:dyDescent="0.2">
      <c r="A6" s="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f t="shared" si="0"/>
        <v>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96</v>
      </c>
      <c r="L7" s="1">
        <v>0</v>
      </c>
      <c r="M7" s="1">
        <v>0</v>
      </c>
      <c r="N7" s="1">
        <f t="shared" si="0"/>
        <v>96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4000000</v>
      </c>
      <c r="L8" s="2">
        <v>0</v>
      </c>
      <c r="M8" s="2">
        <v>0</v>
      </c>
      <c r="N8" s="2">
        <f t="shared" si="0"/>
        <v>4000000</v>
      </c>
    </row>
    <row r="9" spans="1:14" x14ac:dyDescent="0.2">
      <c r="A9" s="4" t="s">
        <v>21</v>
      </c>
      <c r="B9" s="1">
        <v>45</v>
      </c>
      <c r="C9" s="1">
        <v>43</v>
      </c>
      <c r="D9" s="1">
        <v>43</v>
      </c>
      <c r="E9" s="1">
        <v>49</v>
      </c>
      <c r="F9" s="1">
        <v>60</v>
      </c>
      <c r="G9" s="1">
        <v>74</v>
      </c>
      <c r="H9" s="1">
        <v>103</v>
      </c>
      <c r="I9" s="1">
        <v>91</v>
      </c>
      <c r="J9" s="1">
        <v>85</v>
      </c>
      <c r="K9" s="1">
        <v>98</v>
      </c>
      <c r="L9" s="1">
        <v>47</v>
      </c>
      <c r="M9" s="1">
        <v>45</v>
      </c>
      <c r="N9" s="1">
        <f t="shared" si="0"/>
        <v>783</v>
      </c>
    </row>
    <row r="10" spans="1:14" s="3" customFormat="1" x14ac:dyDescent="0.2">
      <c r="A10" s="6" t="s">
        <v>18</v>
      </c>
      <c r="B10" s="2">
        <v>99190</v>
      </c>
      <c r="C10" s="2">
        <v>61426</v>
      </c>
      <c r="D10" s="2">
        <v>91322</v>
      </c>
      <c r="E10" s="2">
        <v>131301</v>
      </c>
      <c r="F10" s="2">
        <v>228819</v>
      </c>
      <c r="G10" s="2">
        <v>137669</v>
      </c>
      <c r="H10" s="2">
        <v>498457</v>
      </c>
      <c r="I10" s="2">
        <v>234504</v>
      </c>
      <c r="J10" s="2">
        <v>286502</v>
      </c>
      <c r="K10" s="2">
        <v>309716</v>
      </c>
      <c r="L10" s="2">
        <v>92942</v>
      </c>
      <c r="M10" s="2">
        <v>1069567</v>
      </c>
      <c r="N10" s="2">
        <f t="shared" si="0"/>
        <v>3241415</v>
      </c>
    </row>
    <row r="11" spans="1:14" x14ac:dyDescent="0.2">
      <c r="A11" s="4" t="s">
        <v>22</v>
      </c>
      <c r="B11" s="1">
        <v>0</v>
      </c>
      <c r="C11" s="1">
        <v>1</v>
      </c>
      <c r="D11" s="1">
        <v>1</v>
      </c>
      <c r="E11" s="1">
        <v>2</v>
      </c>
      <c r="F11" s="1">
        <v>2</v>
      </c>
      <c r="G11" s="1">
        <v>0</v>
      </c>
      <c r="H11" s="1">
        <v>4</v>
      </c>
      <c r="I11" s="1">
        <v>1</v>
      </c>
      <c r="J11" s="1">
        <v>1</v>
      </c>
      <c r="K11" s="1">
        <v>1</v>
      </c>
      <c r="L11" s="1">
        <v>1</v>
      </c>
      <c r="M11" s="1">
        <v>2</v>
      </c>
      <c r="N11" s="1">
        <f t="shared" si="0"/>
        <v>16</v>
      </c>
    </row>
    <row r="12" spans="1:14" s="3" customFormat="1" x14ac:dyDescent="0.2">
      <c r="A12" s="6" t="s">
        <v>18</v>
      </c>
      <c r="B12" s="2">
        <v>0</v>
      </c>
      <c r="C12" s="2">
        <v>25000</v>
      </c>
      <c r="D12" s="2">
        <v>45000</v>
      </c>
      <c r="E12" s="2">
        <v>54300</v>
      </c>
      <c r="F12" s="2">
        <v>5000</v>
      </c>
      <c r="G12" s="2">
        <v>0</v>
      </c>
      <c r="H12" s="2">
        <v>70000</v>
      </c>
      <c r="I12" s="2">
        <v>21000</v>
      </c>
      <c r="J12" s="2">
        <v>14000</v>
      </c>
      <c r="K12" s="2">
        <v>20000</v>
      </c>
      <c r="L12" s="2">
        <v>46746</v>
      </c>
      <c r="M12" s="2">
        <v>23200</v>
      </c>
      <c r="N12" s="2">
        <f t="shared" si="0"/>
        <v>324246</v>
      </c>
    </row>
    <row r="13" spans="1:14" x14ac:dyDescent="0.2">
      <c r="A13" s="4" t="s">
        <v>23</v>
      </c>
      <c r="B13" s="1">
        <v>2</v>
      </c>
      <c r="C13" s="1">
        <v>1</v>
      </c>
      <c r="D13" s="1">
        <v>7</v>
      </c>
      <c r="E13" s="1">
        <v>1</v>
      </c>
      <c r="F13" s="1">
        <v>9</v>
      </c>
      <c r="G13" s="1">
        <v>11</v>
      </c>
      <c r="H13" s="1">
        <v>8</v>
      </c>
      <c r="I13" s="1">
        <v>21</v>
      </c>
      <c r="J13" s="1">
        <v>10</v>
      </c>
      <c r="K13" s="1">
        <v>15</v>
      </c>
      <c r="L13" s="1">
        <v>6</v>
      </c>
      <c r="M13" s="1">
        <v>5</v>
      </c>
      <c r="N13" s="1">
        <f>SUM(B13:M13)</f>
        <v>96</v>
      </c>
    </row>
    <row r="14" spans="1:14" s="3" customFormat="1" x14ac:dyDescent="0.2">
      <c r="A14" s="6" t="s">
        <v>18</v>
      </c>
      <c r="B14" s="2">
        <v>85600</v>
      </c>
      <c r="C14" s="2">
        <v>550</v>
      </c>
      <c r="D14" s="2">
        <v>77850</v>
      </c>
      <c r="E14" s="2">
        <v>2200</v>
      </c>
      <c r="F14" s="2">
        <v>189200</v>
      </c>
      <c r="G14" s="2">
        <v>78283</v>
      </c>
      <c r="H14" s="2">
        <v>10000</v>
      </c>
      <c r="I14" s="2">
        <v>87078</v>
      </c>
      <c r="J14" s="2">
        <v>136165</v>
      </c>
      <c r="K14" s="2">
        <v>118490</v>
      </c>
      <c r="L14" s="2">
        <v>84400</v>
      </c>
      <c r="M14" s="2">
        <v>47300</v>
      </c>
      <c r="N14" s="2">
        <f t="shared" si="0"/>
        <v>917116</v>
      </c>
    </row>
    <row r="15" spans="1:14" x14ac:dyDescent="0.2">
      <c r="A15" s="4" t="s">
        <v>24</v>
      </c>
      <c r="B15" s="1">
        <v>0</v>
      </c>
      <c r="C15" s="1">
        <v>1</v>
      </c>
      <c r="D15" s="1">
        <v>4</v>
      </c>
      <c r="E15" s="1">
        <v>1</v>
      </c>
      <c r="F15" s="1">
        <v>15</v>
      </c>
      <c r="G15" s="1">
        <v>2</v>
      </c>
      <c r="H15" s="1">
        <v>5</v>
      </c>
      <c r="I15" s="1">
        <v>1</v>
      </c>
      <c r="J15" s="1">
        <v>1</v>
      </c>
      <c r="K15" s="1">
        <v>2</v>
      </c>
      <c r="L15" s="1">
        <v>4</v>
      </c>
      <c r="M15" s="1">
        <v>2</v>
      </c>
      <c r="N15" s="1">
        <f t="shared" si="0"/>
        <v>38</v>
      </c>
    </row>
    <row r="16" spans="1:14" s="3" customFormat="1" x14ac:dyDescent="0.2">
      <c r="A16" s="6" t="s">
        <v>18</v>
      </c>
      <c r="B16" s="2">
        <v>0</v>
      </c>
      <c r="C16" s="2">
        <v>742000</v>
      </c>
      <c r="D16" s="2">
        <v>21490000</v>
      </c>
      <c r="E16" s="2">
        <v>750000</v>
      </c>
      <c r="F16" s="2">
        <v>4136982</v>
      </c>
      <c r="G16" s="2">
        <v>2026300</v>
      </c>
      <c r="H16" s="2">
        <v>2335485</v>
      </c>
      <c r="I16" s="2">
        <v>650000</v>
      </c>
      <c r="J16" s="2">
        <v>430000</v>
      </c>
      <c r="K16" s="2">
        <v>1960000</v>
      </c>
      <c r="L16" s="2">
        <v>8780000</v>
      </c>
      <c r="M16" s="2">
        <v>550000</v>
      </c>
      <c r="N16" s="2">
        <f t="shared" si="0"/>
        <v>43850767</v>
      </c>
    </row>
    <row r="17" spans="1:14" x14ac:dyDescent="0.2">
      <c r="A17" s="4" t="s">
        <v>40</v>
      </c>
      <c r="B17" s="1">
        <v>9</v>
      </c>
      <c r="C17" s="1">
        <v>10</v>
      </c>
      <c r="D17" s="1">
        <v>2</v>
      </c>
      <c r="E17" s="1">
        <v>14</v>
      </c>
      <c r="F17" s="1">
        <v>11</v>
      </c>
      <c r="G17" s="1">
        <v>8</v>
      </c>
      <c r="H17" s="1">
        <v>13</v>
      </c>
      <c r="I17" s="1">
        <v>7</v>
      </c>
      <c r="J17" s="1">
        <v>6</v>
      </c>
      <c r="K17" s="1">
        <v>3</v>
      </c>
      <c r="L17" s="1">
        <v>17</v>
      </c>
      <c r="M17" s="1">
        <v>16</v>
      </c>
      <c r="N17" s="1">
        <f t="shared" si="0"/>
        <v>116</v>
      </c>
    </row>
    <row r="18" spans="1:14" s="3" customFormat="1" x14ac:dyDescent="0.2">
      <c r="A18" s="6" t="s">
        <v>18</v>
      </c>
      <c r="B18" s="2">
        <v>531000</v>
      </c>
      <c r="C18" s="2">
        <v>324000</v>
      </c>
      <c r="D18" s="2">
        <v>31000</v>
      </c>
      <c r="E18" s="2">
        <v>280000</v>
      </c>
      <c r="F18" s="2">
        <v>608900</v>
      </c>
      <c r="G18" s="2">
        <v>181500</v>
      </c>
      <c r="H18" s="2">
        <v>533800</v>
      </c>
      <c r="I18" s="2">
        <v>341750</v>
      </c>
      <c r="J18" s="2">
        <v>1555000</v>
      </c>
      <c r="K18" s="2">
        <v>36100</v>
      </c>
      <c r="L18" s="2">
        <v>532214</v>
      </c>
      <c r="M18" s="2">
        <v>451400</v>
      </c>
      <c r="N18" s="2">
        <f t="shared" si="0"/>
        <v>5406664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0"/>
        <v>0</v>
      </c>
    </row>
    <row r="20" spans="1:14" s="13" customFormat="1" x14ac:dyDescent="0.2">
      <c r="A20" s="11" t="s">
        <v>18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f t="shared" si="0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f t="shared" si="0"/>
        <v>1</v>
      </c>
    </row>
    <row r="22" spans="1:14" s="13" customFormat="1" x14ac:dyDescent="0.2">
      <c r="A22" s="11" t="s">
        <v>18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7000000</v>
      </c>
      <c r="L22" s="12">
        <v>0</v>
      </c>
      <c r="M22" s="12">
        <v>0</v>
      </c>
      <c r="N22" s="2">
        <f>SUM(B22:M22)</f>
        <v>7000000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0"/>
        <v>0</v>
      </c>
    </row>
    <row r="24" spans="1:14" s="13" customFormat="1" x14ac:dyDescent="0.2">
      <c r="A24" s="11" t="s">
        <v>18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f>SUM(B24:M24)</f>
        <v>0</v>
      </c>
    </row>
    <row r="25" spans="1:14" x14ac:dyDescent="0.2">
      <c r="A25" s="4" t="s">
        <v>29</v>
      </c>
      <c r="B25" s="1">
        <v>3</v>
      </c>
      <c r="C25" s="1">
        <v>4</v>
      </c>
      <c r="D25" s="1">
        <v>7</v>
      </c>
      <c r="E25" s="1">
        <v>2</v>
      </c>
      <c r="F25" s="1">
        <v>8</v>
      </c>
      <c r="G25" s="1">
        <v>6</v>
      </c>
      <c r="H25" s="1">
        <v>2</v>
      </c>
      <c r="I25" s="1">
        <v>3</v>
      </c>
      <c r="J25" s="1">
        <v>4</v>
      </c>
      <c r="K25" s="1">
        <v>4</v>
      </c>
      <c r="L25" s="1">
        <v>5</v>
      </c>
      <c r="M25" s="1">
        <v>3</v>
      </c>
      <c r="N25" s="1">
        <v>0</v>
      </c>
    </row>
    <row r="26" spans="1:14" s="13" customFormat="1" x14ac:dyDescent="0.2">
      <c r="A26" s="11" t="s">
        <v>18</v>
      </c>
      <c r="B26" s="12">
        <v>4000</v>
      </c>
      <c r="C26" s="12">
        <v>0</v>
      </c>
      <c r="D26" s="12">
        <v>74800</v>
      </c>
      <c r="E26" s="12">
        <v>3400</v>
      </c>
      <c r="F26" s="12">
        <v>60500</v>
      </c>
      <c r="G26" s="12">
        <v>182745</v>
      </c>
      <c r="H26" s="12">
        <v>0</v>
      </c>
      <c r="I26" s="12">
        <v>26000</v>
      </c>
      <c r="J26" s="12">
        <v>1169500</v>
      </c>
      <c r="K26" s="12">
        <v>45171</v>
      </c>
      <c r="L26" s="12">
        <v>0</v>
      </c>
      <c r="M26" s="12">
        <v>4000</v>
      </c>
      <c r="N26" s="2">
        <f t="shared" si="0"/>
        <v>1570116</v>
      </c>
    </row>
    <row r="27" spans="1:14" x14ac:dyDescent="0.2">
      <c r="A27" s="4" t="s">
        <v>30</v>
      </c>
      <c r="B27" s="1">
        <v>11</v>
      </c>
      <c r="C27" s="1">
        <v>7</v>
      </c>
      <c r="D27" s="1">
        <v>6</v>
      </c>
      <c r="E27" s="1">
        <v>11</v>
      </c>
      <c r="F27" s="1">
        <v>16</v>
      </c>
      <c r="G27" s="1">
        <v>12</v>
      </c>
      <c r="H27" s="1">
        <v>10</v>
      </c>
      <c r="I27" s="1">
        <v>7</v>
      </c>
      <c r="J27" s="1">
        <v>5</v>
      </c>
      <c r="K27" s="1">
        <v>8</v>
      </c>
      <c r="L27" s="1">
        <v>3</v>
      </c>
      <c r="M27" s="1">
        <v>4</v>
      </c>
      <c r="N27" s="1">
        <f t="shared" si="0"/>
        <v>100</v>
      </c>
    </row>
    <row r="28" spans="1:14" s="13" customFormat="1" x14ac:dyDescent="0.2">
      <c r="A28" s="11" t="s">
        <v>18</v>
      </c>
      <c r="B28" s="12">
        <v>27948</v>
      </c>
      <c r="C28" s="12">
        <v>26650</v>
      </c>
      <c r="D28" s="12">
        <v>11050</v>
      </c>
      <c r="E28" s="12">
        <v>9993</v>
      </c>
      <c r="F28" s="12">
        <v>16946</v>
      </c>
      <c r="G28" s="12">
        <v>18305</v>
      </c>
      <c r="H28" s="12">
        <v>17691</v>
      </c>
      <c r="I28" s="12">
        <v>10353</v>
      </c>
      <c r="J28" s="12">
        <v>24532</v>
      </c>
      <c r="K28" s="12">
        <v>15001</v>
      </c>
      <c r="L28" s="12">
        <v>1417</v>
      </c>
      <c r="M28" s="12">
        <v>3750</v>
      </c>
      <c r="N28" s="2">
        <f t="shared" si="0"/>
        <v>183636</v>
      </c>
    </row>
    <row r="29" spans="1:14" x14ac:dyDescent="0.2">
      <c r="A29" s="4" t="s">
        <v>31</v>
      </c>
      <c r="B29" s="1">
        <v>14</v>
      </c>
      <c r="C29" s="1">
        <v>11</v>
      </c>
      <c r="D29" s="1">
        <v>14</v>
      </c>
      <c r="E29" s="1">
        <v>20</v>
      </c>
      <c r="F29" s="1">
        <v>35</v>
      </c>
      <c r="G29" s="1">
        <v>38</v>
      </c>
      <c r="H29" s="1">
        <v>42</v>
      </c>
      <c r="I29" s="1">
        <v>21</v>
      </c>
      <c r="J29" s="1">
        <v>22</v>
      </c>
      <c r="K29" s="1">
        <v>19</v>
      </c>
      <c r="L29" s="1">
        <v>17</v>
      </c>
      <c r="M29" s="1">
        <v>9</v>
      </c>
      <c r="N29" s="1">
        <f t="shared" si="0"/>
        <v>262</v>
      </c>
    </row>
    <row r="30" spans="1:14" s="13" customFormat="1" x14ac:dyDescent="0.2">
      <c r="A30" s="11" t="s">
        <v>18</v>
      </c>
      <c r="B30" s="12">
        <v>603916</v>
      </c>
      <c r="C30" s="12">
        <v>349800</v>
      </c>
      <c r="D30" s="12">
        <v>442900</v>
      </c>
      <c r="E30" s="12">
        <v>589758</v>
      </c>
      <c r="F30" s="12">
        <v>996187</v>
      </c>
      <c r="G30" s="12">
        <v>1003651</v>
      </c>
      <c r="H30" s="12">
        <v>1184995</v>
      </c>
      <c r="I30" s="12">
        <v>584500</v>
      </c>
      <c r="J30" s="12">
        <v>616825</v>
      </c>
      <c r="K30" s="12">
        <v>517500</v>
      </c>
      <c r="L30" s="12">
        <v>496900</v>
      </c>
      <c r="M30" s="12">
        <v>353046</v>
      </c>
      <c r="N30" s="2">
        <f t="shared" si="0"/>
        <v>7739978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f t="shared" si="0"/>
        <v>1</v>
      </c>
    </row>
    <row r="32" spans="1:14" s="13" customFormat="1" x14ac:dyDescent="0.2">
      <c r="A32" s="11" t="s">
        <v>18</v>
      </c>
      <c r="B32" s="12">
        <v>0</v>
      </c>
      <c r="C32" s="12">
        <v>0</v>
      </c>
      <c r="D32" s="12">
        <v>0</v>
      </c>
      <c r="E32" s="12">
        <v>0</v>
      </c>
      <c r="F32" s="12">
        <v>650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2">
        <f t="shared" si="0"/>
        <v>650</v>
      </c>
    </row>
    <row r="33" spans="1:14" x14ac:dyDescent="0.2">
      <c r="A33" s="4" t="s">
        <v>33</v>
      </c>
      <c r="B33" s="1">
        <v>80</v>
      </c>
      <c r="C33" s="1">
        <v>92</v>
      </c>
      <c r="D33" s="1">
        <v>82</v>
      </c>
      <c r="E33" s="1">
        <v>70</v>
      </c>
      <c r="F33" s="1">
        <v>130</v>
      </c>
      <c r="G33" s="1">
        <v>112</v>
      </c>
      <c r="H33" s="1">
        <v>94</v>
      </c>
      <c r="I33" s="1">
        <v>74</v>
      </c>
      <c r="J33" s="1">
        <v>123</v>
      </c>
      <c r="K33" s="1">
        <v>100</v>
      </c>
      <c r="L33" s="1">
        <v>79</v>
      </c>
      <c r="M33" s="1">
        <v>83</v>
      </c>
      <c r="N33" s="1">
        <f t="shared" si="0"/>
        <v>1119</v>
      </c>
    </row>
    <row r="34" spans="1:14" s="13" customFormat="1" x14ac:dyDescent="0.2">
      <c r="A34" s="11" t="s">
        <v>18</v>
      </c>
      <c r="B34" s="12">
        <v>85925</v>
      </c>
      <c r="C34" s="12">
        <v>435992</v>
      </c>
      <c r="D34" s="12">
        <v>87034</v>
      </c>
      <c r="E34" s="12">
        <v>99832</v>
      </c>
      <c r="F34" s="12">
        <v>167283</v>
      </c>
      <c r="G34" s="12">
        <v>223541</v>
      </c>
      <c r="H34" s="12">
        <v>144686</v>
      </c>
      <c r="I34" s="12">
        <v>114020</v>
      </c>
      <c r="J34" s="12">
        <v>159425</v>
      </c>
      <c r="K34" s="12">
        <v>176619</v>
      </c>
      <c r="L34" s="12">
        <v>82677</v>
      </c>
      <c r="M34" s="12">
        <v>111761</v>
      </c>
      <c r="N34" s="2">
        <f t="shared" si="0"/>
        <v>1888795</v>
      </c>
    </row>
    <row r="35" spans="1:14" x14ac:dyDescent="0.2">
      <c r="A35" s="4" t="s">
        <v>34</v>
      </c>
      <c r="B35" s="1">
        <v>68</v>
      </c>
      <c r="C35" s="1">
        <v>51</v>
      </c>
      <c r="D35" s="1">
        <v>93</v>
      </c>
      <c r="E35" s="1">
        <v>99</v>
      </c>
      <c r="F35" s="1">
        <v>94</v>
      </c>
      <c r="G35" s="1">
        <v>85</v>
      </c>
      <c r="H35" s="1">
        <v>80</v>
      </c>
      <c r="I35" s="1">
        <v>80</v>
      </c>
      <c r="J35" s="1">
        <v>53</v>
      </c>
      <c r="K35" s="1">
        <v>53</v>
      </c>
      <c r="L35" s="1">
        <v>41</v>
      </c>
      <c r="M35" s="1">
        <v>52</v>
      </c>
      <c r="N35" s="1">
        <f t="shared" si="0"/>
        <v>849</v>
      </c>
    </row>
    <row r="36" spans="1:14" s="13" customFormat="1" x14ac:dyDescent="0.2">
      <c r="A36" s="11" t="s">
        <v>18</v>
      </c>
      <c r="B36" s="12">
        <v>160830</v>
      </c>
      <c r="C36" s="12">
        <v>54130</v>
      </c>
      <c r="D36" s="12">
        <v>149500</v>
      </c>
      <c r="E36" s="12">
        <v>180500</v>
      </c>
      <c r="F36" s="12">
        <v>152592</v>
      </c>
      <c r="G36" s="12">
        <v>120405</v>
      </c>
      <c r="H36" s="12">
        <v>522220</v>
      </c>
      <c r="I36" s="12">
        <v>189070</v>
      </c>
      <c r="J36" s="12">
        <v>70000</v>
      </c>
      <c r="K36" s="12">
        <v>75418</v>
      </c>
      <c r="L36" s="12">
        <v>89876</v>
      </c>
      <c r="M36" s="12">
        <v>95750</v>
      </c>
      <c r="N36" s="2">
        <f t="shared" si="0"/>
        <v>1860291</v>
      </c>
    </row>
    <row r="37" spans="1:14" x14ac:dyDescent="0.2">
      <c r="A37" s="4" t="s">
        <v>35</v>
      </c>
      <c r="B37" s="1">
        <v>36</v>
      </c>
      <c r="C37" s="1">
        <v>32</v>
      </c>
      <c r="D37" s="1">
        <v>35</v>
      </c>
      <c r="E37" s="1">
        <v>30</v>
      </c>
      <c r="F37" s="1">
        <v>27</v>
      </c>
      <c r="G37" s="1">
        <v>26</v>
      </c>
      <c r="H37" s="1">
        <v>39</v>
      </c>
      <c r="I37" s="1">
        <v>30</v>
      </c>
      <c r="J37" s="1">
        <v>27</v>
      </c>
      <c r="K37" s="1">
        <v>31</v>
      </c>
      <c r="L37" s="1">
        <v>40</v>
      </c>
      <c r="M37" s="1">
        <v>27</v>
      </c>
      <c r="N37" s="1">
        <f t="shared" si="0"/>
        <v>380</v>
      </c>
    </row>
    <row r="38" spans="1:14" s="13" customFormat="1" x14ac:dyDescent="0.2">
      <c r="A38" s="11" t="s">
        <v>18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f t="shared" si="0"/>
        <v>0</v>
      </c>
    </row>
    <row r="39" spans="1:14" x14ac:dyDescent="0.2">
      <c r="A39" s="4" t="s">
        <v>36</v>
      </c>
      <c r="B39" s="1">
        <v>0</v>
      </c>
      <c r="C39" s="1">
        <v>0</v>
      </c>
      <c r="D39" s="1">
        <v>1</v>
      </c>
      <c r="E39" s="1">
        <v>2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f t="shared" si="0"/>
        <v>4</v>
      </c>
    </row>
    <row r="40" spans="1:14" s="13" customFormat="1" x14ac:dyDescent="0.2">
      <c r="A40" s="11" t="s">
        <v>18</v>
      </c>
      <c r="B40" s="12">
        <v>0</v>
      </c>
      <c r="C40" s="12">
        <v>0</v>
      </c>
      <c r="D40" s="12">
        <v>500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f t="shared" si="0"/>
        <v>500</v>
      </c>
    </row>
    <row r="41" spans="1:14" x14ac:dyDescent="0.2">
      <c r="A41" s="4" t="s">
        <v>37</v>
      </c>
      <c r="B41" s="1">
        <v>0</v>
      </c>
      <c r="C41" s="1">
        <v>1</v>
      </c>
      <c r="D41" s="1">
        <v>1</v>
      </c>
      <c r="E41" s="1">
        <v>0</v>
      </c>
      <c r="F41" s="1">
        <v>2</v>
      </c>
      <c r="G41" s="1">
        <v>1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f t="shared" si="0"/>
        <v>8</v>
      </c>
    </row>
    <row r="42" spans="1:14" s="3" customFormat="1" x14ac:dyDescent="0.2">
      <c r="A42" s="6" t="s">
        <v>18</v>
      </c>
      <c r="B42" s="2">
        <v>0</v>
      </c>
      <c r="C42" s="2">
        <v>3000</v>
      </c>
      <c r="D42" s="2">
        <v>0</v>
      </c>
      <c r="E42" s="2">
        <v>0</v>
      </c>
      <c r="F42" s="2">
        <v>1000</v>
      </c>
      <c r="G42" s="2">
        <v>6000</v>
      </c>
      <c r="H42" s="2">
        <v>3000</v>
      </c>
      <c r="I42" s="2">
        <v>7000</v>
      </c>
      <c r="J42" s="2">
        <v>0</v>
      </c>
      <c r="K42" s="2">
        <v>0</v>
      </c>
      <c r="L42" s="2">
        <v>0</v>
      </c>
      <c r="M42" s="2">
        <v>10000</v>
      </c>
      <c r="N42" s="2">
        <f t="shared" si="0"/>
        <v>30000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1">SUM(B3+B5+B7+B9+B11+B13+B15+B17+B19+B21+B23+B25+B27+B29+B31+B33+B35+B37+B39+B41)</f>
        <v>380</v>
      </c>
      <c r="C44" s="1">
        <f t="shared" si="1"/>
        <v>353</v>
      </c>
      <c r="D44" s="1">
        <f t="shared" si="1"/>
        <v>429</v>
      </c>
      <c r="E44" s="1">
        <f t="shared" si="1"/>
        <v>397</v>
      </c>
      <c r="F44" s="1">
        <f t="shared" si="1"/>
        <v>491</v>
      </c>
      <c r="G44" s="1">
        <f t="shared" si="1"/>
        <v>448</v>
      </c>
      <c r="H44" s="1">
        <f t="shared" si="1"/>
        <v>542</v>
      </c>
      <c r="I44" s="1">
        <f t="shared" si="1"/>
        <v>465</v>
      </c>
      <c r="J44" s="1">
        <f t="shared" si="1"/>
        <v>422</v>
      </c>
      <c r="K44" s="1">
        <f t="shared" si="1"/>
        <v>525</v>
      </c>
      <c r="L44" s="1">
        <f t="shared" si="1"/>
        <v>363</v>
      </c>
      <c r="M44" s="1">
        <f t="shared" si="1"/>
        <v>335</v>
      </c>
      <c r="N44" s="1">
        <f>SUM(B44:M44)</f>
        <v>5150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22809402</v>
      </c>
      <c r="C45" s="2">
        <f t="shared" ref="C45:H45" si="2">SUM(C4+C6+C8+C10+C12+C14+C16+C18+C20+C22+C24+C26+C28+C30+C32+C34+C36+C38+C40+C42)</f>
        <v>21945515</v>
      </c>
      <c r="D45" s="2">
        <f t="shared" si="2"/>
        <v>43545515</v>
      </c>
      <c r="E45" s="2">
        <f t="shared" si="2"/>
        <v>22437402</v>
      </c>
      <c r="F45" s="2">
        <f t="shared" si="2"/>
        <v>20731982</v>
      </c>
      <c r="G45" s="2">
        <f t="shared" si="2"/>
        <v>17675744</v>
      </c>
      <c r="H45" s="2">
        <f t="shared" si="2"/>
        <v>31503134</v>
      </c>
      <c r="I45" s="2">
        <f>SUM(I4+I6+I8+I10+I12+I16+I14+I18+I20+I22+I24+I26+I28+I30+I32+I34+I36+I38+I40+I42)</f>
        <v>26362459</v>
      </c>
      <c r="J45" s="2">
        <f>SUM(J4+J6+J8+J10+J12+J14+J16+J18+J20+J22+J24+J26+J28+J30+J32+J34+J36+J38+J40+J42)</f>
        <v>16986124</v>
      </c>
      <c r="K45" s="2">
        <f>SUM(K4+K6+K8+K10+K12+K14+K16+K18+K20+K22+K24+K26+K28+K30+K32+K34+K36+K38+K40+K42)</f>
        <v>32084562</v>
      </c>
      <c r="L45" s="2">
        <f>SUM(L4+L6+L8+L10+L12+L14+L16+L18+L20+L22+L24+L26+L28+L30+L32+L34+L36+L38+L40+L42)</f>
        <v>35758579</v>
      </c>
      <c r="M45" s="2">
        <f>SUM(M4+M6+M8+M10+M12+M14+M16+M18+M20+M22+M24+M26+M28+M30+M32+M34+M36+M38+M40+M42)</f>
        <v>21059552</v>
      </c>
      <c r="N45" s="2">
        <f>SUM(B45:M45)</f>
        <v>312899970</v>
      </c>
    </row>
  </sheetData>
  <phoneticPr fontId="0" type="noConversion"/>
  <printOptions horizontalCentered="1"/>
  <pageMargins left="0.5" right="0.5" top="1" bottom="1" header="0.5" footer="0.5"/>
  <pageSetup paperSize="5" scale="83" orientation="landscape" r:id="rId1"/>
  <headerFooter alignWithMargins="0">
    <oddHeader>&amp;LPERMIT SUMMARY
CALANDAR YEAR 2003&amp;CCITY OF ALLEN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defaultRowHeight="12.75" x14ac:dyDescent="0.2"/>
  <cols>
    <col min="1" max="1" width="22.28515625" style="5" customWidth="1"/>
    <col min="2" max="2" width="13.5703125" customWidth="1"/>
    <col min="3" max="3" width="14.28515625" customWidth="1"/>
    <col min="4" max="4" width="13.7109375" customWidth="1"/>
    <col min="5" max="5" width="13.85546875" customWidth="1"/>
    <col min="6" max="6" width="12.5703125" customWidth="1"/>
    <col min="7" max="7" width="13.42578125" customWidth="1"/>
    <col min="8" max="8" width="12.42578125" customWidth="1"/>
    <col min="9" max="9" width="12.140625" customWidth="1"/>
    <col min="10" max="10" width="13.140625" customWidth="1"/>
    <col min="11" max="11" width="13.42578125" customWidth="1"/>
    <col min="12" max="12" width="13.28515625" customWidth="1"/>
    <col min="13" max="13" width="13" customWidth="1"/>
    <col min="14" max="14" width="16.5703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30</v>
      </c>
      <c r="C3" s="1">
        <v>99</v>
      </c>
      <c r="D3" s="1">
        <v>107</v>
      </c>
      <c r="E3" s="1">
        <v>101</v>
      </c>
      <c r="F3" s="1">
        <v>83</v>
      </c>
      <c r="G3" s="1">
        <v>118</v>
      </c>
      <c r="H3" s="1">
        <v>93</v>
      </c>
      <c r="I3" s="1">
        <v>97</v>
      </c>
      <c r="J3" s="1">
        <v>64</v>
      </c>
      <c r="K3" s="1">
        <v>65</v>
      </c>
      <c r="L3" s="1">
        <v>66</v>
      </c>
      <c r="M3" s="1">
        <v>48</v>
      </c>
      <c r="N3" s="1">
        <f t="shared" ref="N3:N42" si="0">SUM(B3:M3)</f>
        <v>971</v>
      </c>
    </row>
    <row r="4" spans="1:14" s="3" customFormat="1" x14ac:dyDescent="0.2">
      <c r="A4" s="6" t="s">
        <v>18</v>
      </c>
      <c r="B4" s="2">
        <v>5820390</v>
      </c>
      <c r="C4" s="2">
        <v>22039264</v>
      </c>
      <c r="D4" s="2">
        <v>22878840</v>
      </c>
      <c r="E4" s="2">
        <v>18131901</v>
      </c>
      <c r="F4" s="2">
        <v>14976876</v>
      </c>
      <c r="G4" s="2">
        <v>24176077</v>
      </c>
      <c r="H4" s="2">
        <v>17644447</v>
      </c>
      <c r="I4" s="2">
        <v>23470038</v>
      </c>
      <c r="J4" s="2">
        <v>14899614</v>
      </c>
      <c r="K4" s="2">
        <v>16394326</v>
      </c>
      <c r="L4" s="2">
        <v>16126630</v>
      </c>
      <c r="M4" s="2">
        <v>12609518</v>
      </c>
      <c r="N4" s="2">
        <f t="shared" si="0"/>
        <v>209167921</v>
      </c>
    </row>
    <row r="5" spans="1:14" x14ac:dyDescent="0.2">
      <c r="A5" s="4" t="s">
        <v>43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</v>
      </c>
      <c r="N5" s="1">
        <f t="shared" si="0"/>
        <v>4</v>
      </c>
    </row>
    <row r="6" spans="1:14" s="3" customFormat="1" x14ac:dyDescent="0.2">
      <c r="A6" s="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135000</v>
      </c>
      <c r="N6" s="2">
        <f t="shared" si="0"/>
        <v>135000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216</v>
      </c>
      <c r="H7" s="1">
        <v>0</v>
      </c>
      <c r="I7" s="1">
        <v>0</v>
      </c>
      <c r="J7" s="1">
        <v>0</v>
      </c>
      <c r="K7" s="1">
        <v>0</v>
      </c>
      <c r="L7" s="1">
        <v>196</v>
      </c>
      <c r="M7" s="1">
        <v>0</v>
      </c>
      <c r="N7" s="1">
        <f t="shared" si="0"/>
        <v>412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8579480</v>
      </c>
      <c r="H8" s="2">
        <v>0</v>
      </c>
      <c r="I8" s="2">
        <v>0</v>
      </c>
      <c r="J8" s="2">
        <v>0</v>
      </c>
      <c r="K8" s="2">
        <v>0</v>
      </c>
      <c r="L8" s="2">
        <v>8690000</v>
      </c>
      <c r="M8" s="2">
        <v>0</v>
      </c>
      <c r="N8" s="2">
        <f t="shared" si="0"/>
        <v>17269480</v>
      </c>
    </row>
    <row r="9" spans="1:14" x14ac:dyDescent="0.2">
      <c r="A9" s="4" t="s">
        <v>41</v>
      </c>
      <c r="B9" s="1">
        <v>63</v>
      </c>
      <c r="C9" s="1">
        <v>38</v>
      </c>
      <c r="D9" s="1">
        <v>76</v>
      </c>
      <c r="E9" s="1">
        <v>107</v>
      </c>
      <c r="F9" s="1">
        <v>60</v>
      </c>
      <c r="G9" s="1">
        <v>66</v>
      </c>
      <c r="H9" s="1">
        <v>72</v>
      </c>
      <c r="I9" s="1">
        <v>62</v>
      </c>
      <c r="J9" s="1">
        <v>44</v>
      </c>
      <c r="K9" s="1">
        <v>72</v>
      </c>
      <c r="L9" s="1">
        <v>43</v>
      </c>
      <c r="M9" s="1">
        <v>45</v>
      </c>
      <c r="N9" s="1">
        <f t="shared" si="0"/>
        <v>748</v>
      </c>
    </row>
    <row r="10" spans="1:14" s="3" customFormat="1" x14ac:dyDescent="0.2">
      <c r="A10" s="6" t="s">
        <v>18</v>
      </c>
      <c r="B10" s="2">
        <v>110807</v>
      </c>
      <c r="C10" s="2">
        <v>72176</v>
      </c>
      <c r="D10" s="2">
        <v>148377</v>
      </c>
      <c r="E10" s="2">
        <v>373251</v>
      </c>
      <c r="F10" s="2">
        <v>259701</v>
      </c>
      <c r="G10" s="2">
        <v>114329</v>
      </c>
      <c r="H10" s="2">
        <v>121146</v>
      </c>
      <c r="I10" s="2">
        <v>175939</v>
      </c>
      <c r="J10" s="2">
        <v>146943</v>
      </c>
      <c r="K10" s="2">
        <v>86853</v>
      </c>
      <c r="L10" s="2">
        <v>92809</v>
      </c>
      <c r="M10" s="2">
        <v>136501</v>
      </c>
      <c r="N10" s="2">
        <f t="shared" si="0"/>
        <v>1838832</v>
      </c>
    </row>
    <row r="11" spans="1:14" x14ac:dyDescent="0.2">
      <c r="A11" s="4" t="s">
        <v>22</v>
      </c>
      <c r="B11" s="1">
        <v>1</v>
      </c>
      <c r="C11" s="1">
        <v>0</v>
      </c>
      <c r="D11" s="1">
        <v>3</v>
      </c>
      <c r="E11" s="1">
        <v>1</v>
      </c>
      <c r="F11" s="1">
        <v>2</v>
      </c>
      <c r="G11" s="1">
        <v>0</v>
      </c>
      <c r="H11" s="1">
        <v>0</v>
      </c>
      <c r="I11" s="1">
        <v>1</v>
      </c>
      <c r="J11" s="1">
        <v>2</v>
      </c>
      <c r="K11" s="1">
        <v>3</v>
      </c>
      <c r="L11" s="1">
        <v>0</v>
      </c>
      <c r="M11" s="1">
        <v>0</v>
      </c>
      <c r="N11" s="1">
        <f t="shared" si="0"/>
        <v>13</v>
      </c>
    </row>
    <row r="12" spans="1:14" s="3" customFormat="1" x14ac:dyDescent="0.2">
      <c r="A12" s="6" t="s">
        <v>18</v>
      </c>
      <c r="B12" s="2">
        <v>45000</v>
      </c>
      <c r="C12" s="2">
        <v>0</v>
      </c>
      <c r="D12" s="2">
        <v>43000</v>
      </c>
      <c r="E12" s="2">
        <v>9500</v>
      </c>
      <c r="F12" s="2">
        <v>22000</v>
      </c>
      <c r="G12" s="2">
        <v>0</v>
      </c>
      <c r="H12" s="2">
        <v>0</v>
      </c>
      <c r="I12" s="2">
        <v>35000</v>
      </c>
      <c r="J12" s="2">
        <v>108000</v>
      </c>
      <c r="K12" s="2">
        <v>46950</v>
      </c>
      <c r="L12" s="2">
        <v>0</v>
      </c>
      <c r="M12" s="2">
        <v>0</v>
      </c>
      <c r="N12" s="2">
        <f t="shared" si="0"/>
        <v>309450</v>
      </c>
    </row>
    <row r="13" spans="1:14" x14ac:dyDescent="0.2">
      <c r="A13" s="4" t="s">
        <v>42</v>
      </c>
      <c r="B13" s="1">
        <v>4</v>
      </c>
      <c r="C13" s="1">
        <v>6</v>
      </c>
      <c r="D13" s="1">
        <v>15</v>
      </c>
      <c r="E13" s="1">
        <v>10</v>
      </c>
      <c r="F13" s="1">
        <v>9</v>
      </c>
      <c r="G13" s="1">
        <v>28</v>
      </c>
      <c r="H13" s="1">
        <v>9</v>
      </c>
      <c r="I13" s="1">
        <v>6</v>
      </c>
      <c r="J13" s="1">
        <v>25</v>
      </c>
      <c r="K13" s="1">
        <v>7</v>
      </c>
      <c r="L13" s="1">
        <v>55</v>
      </c>
      <c r="M13" s="1">
        <v>26</v>
      </c>
      <c r="N13" s="1">
        <f>SUM(B13:M13)</f>
        <v>200</v>
      </c>
    </row>
    <row r="14" spans="1:14" s="3" customFormat="1" x14ac:dyDescent="0.2">
      <c r="A14" s="6" t="s">
        <v>18</v>
      </c>
      <c r="B14" s="2">
        <v>15750</v>
      </c>
      <c r="C14" s="2">
        <v>64050</v>
      </c>
      <c r="D14" s="2">
        <v>1079877</v>
      </c>
      <c r="E14" s="2">
        <v>53700</v>
      </c>
      <c r="F14" s="2">
        <v>374558</v>
      </c>
      <c r="G14" s="2">
        <v>3362357</v>
      </c>
      <c r="H14" s="2">
        <v>6107800</v>
      </c>
      <c r="I14" s="2">
        <v>769376</v>
      </c>
      <c r="J14" s="2">
        <v>1672694</v>
      </c>
      <c r="K14" s="2">
        <v>943035</v>
      </c>
      <c r="L14" s="2">
        <v>717542</v>
      </c>
      <c r="M14" s="2">
        <v>170760</v>
      </c>
      <c r="N14" s="2">
        <f>SUM(B14:M14)</f>
        <v>15331499</v>
      </c>
    </row>
    <row r="15" spans="1:14" x14ac:dyDescent="0.2">
      <c r="A15" s="4" t="s">
        <v>24</v>
      </c>
      <c r="B15" s="1">
        <v>0</v>
      </c>
      <c r="C15" s="1">
        <v>0</v>
      </c>
      <c r="D15" s="1">
        <v>4</v>
      </c>
      <c r="E15" s="1">
        <v>0</v>
      </c>
      <c r="F15" s="1">
        <v>6</v>
      </c>
      <c r="G15" s="1">
        <v>13</v>
      </c>
      <c r="H15" s="1">
        <v>1</v>
      </c>
      <c r="I15" s="1">
        <v>0</v>
      </c>
      <c r="J15" s="1">
        <v>2</v>
      </c>
      <c r="K15" s="1">
        <v>1</v>
      </c>
      <c r="L15" s="1">
        <v>1</v>
      </c>
      <c r="M15" s="1">
        <v>3</v>
      </c>
      <c r="N15" s="1">
        <f t="shared" si="0"/>
        <v>31</v>
      </c>
    </row>
    <row r="16" spans="1:14" s="3" customFormat="1" x14ac:dyDescent="0.2">
      <c r="A16" s="6" t="s">
        <v>18</v>
      </c>
      <c r="B16" s="2">
        <v>0</v>
      </c>
      <c r="C16" s="2">
        <v>0</v>
      </c>
      <c r="D16" s="2">
        <v>8506831</v>
      </c>
      <c r="E16" s="2">
        <v>0</v>
      </c>
      <c r="F16" s="2">
        <v>5423260</v>
      </c>
      <c r="G16" s="2">
        <v>4906573</v>
      </c>
      <c r="H16" s="2">
        <v>650000</v>
      </c>
      <c r="I16" s="2">
        <v>0</v>
      </c>
      <c r="J16" s="2">
        <v>1236000</v>
      </c>
      <c r="K16" s="2">
        <v>150000</v>
      </c>
      <c r="L16" s="2">
        <v>265000</v>
      </c>
      <c r="M16" s="2">
        <v>960000</v>
      </c>
      <c r="N16" s="2">
        <f t="shared" si="0"/>
        <v>22097664</v>
      </c>
    </row>
    <row r="17" spans="1:14" x14ac:dyDescent="0.2">
      <c r="A17" s="4" t="s">
        <v>40</v>
      </c>
      <c r="B17" s="1">
        <v>13</v>
      </c>
      <c r="C17" s="1">
        <v>5</v>
      </c>
      <c r="D17" s="1">
        <v>17</v>
      </c>
      <c r="E17" s="1">
        <v>10</v>
      </c>
      <c r="F17" s="1">
        <v>7</v>
      </c>
      <c r="G17" s="1">
        <v>8</v>
      </c>
      <c r="H17" s="1">
        <v>9</v>
      </c>
      <c r="I17" s="1">
        <v>10</v>
      </c>
      <c r="J17" s="1">
        <v>4</v>
      </c>
      <c r="K17" s="1">
        <v>11</v>
      </c>
      <c r="L17" s="1">
        <v>12</v>
      </c>
      <c r="M17" s="1">
        <v>13</v>
      </c>
      <c r="N17" s="1">
        <f t="shared" si="0"/>
        <v>119</v>
      </c>
    </row>
    <row r="18" spans="1:14" s="3" customFormat="1" x14ac:dyDescent="0.2">
      <c r="A18" s="6" t="s">
        <v>18</v>
      </c>
      <c r="B18" s="2">
        <v>425600</v>
      </c>
      <c r="C18" s="2">
        <v>102536</v>
      </c>
      <c r="D18" s="2">
        <v>1271300</v>
      </c>
      <c r="E18" s="2">
        <v>248307</v>
      </c>
      <c r="F18" s="2">
        <v>196000</v>
      </c>
      <c r="G18" s="2">
        <v>1006164</v>
      </c>
      <c r="H18" s="2">
        <v>8605000</v>
      </c>
      <c r="I18" s="2">
        <v>7452500</v>
      </c>
      <c r="J18" s="2">
        <v>407000</v>
      </c>
      <c r="K18" s="2">
        <v>1331200</v>
      </c>
      <c r="L18" s="2">
        <v>201000</v>
      </c>
      <c r="M18" s="2">
        <v>576926</v>
      </c>
      <c r="N18" s="2">
        <f t="shared" si="0"/>
        <v>21823533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0"/>
        <v>0</v>
      </c>
    </row>
    <row r="20" spans="1:14" s="3" customFormat="1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0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0"/>
        <v>1</v>
      </c>
    </row>
    <row r="22" spans="1:14" s="3" customFormat="1" x14ac:dyDescent="0.2">
      <c r="A22" s="6" t="s">
        <v>18</v>
      </c>
      <c r="B22" s="2">
        <v>0</v>
      </c>
      <c r="C22" s="2">
        <v>0</v>
      </c>
      <c r="D22" s="2">
        <v>0</v>
      </c>
      <c r="E22" s="2">
        <v>11829416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0"/>
        <v>11829416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0"/>
        <v>0</v>
      </c>
    </row>
    <row r="24" spans="1:14" s="3" customFormat="1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0"/>
        <v>0</v>
      </c>
    </row>
    <row r="25" spans="1:14" x14ac:dyDescent="0.2">
      <c r="A25" s="4" t="s">
        <v>29</v>
      </c>
      <c r="B25" s="1">
        <v>4</v>
      </c>
      <c r="C25" s="1">
        <v>2</v>
      </c>
      <c r="D25" s="1">
        <v>4</v>
      </c>
      <c r="E25" s="1">
        <v>2</v>
      </c>
      <c r="F25" s="1">
        <v>5</v>
      </c>
      <c r="G25" s="1">
        <v>4</v>
      </c>
      <c r="H25" s="1">
        <v>7</v>
      </c>
      <c r="I25" s="1">
        <v>8</v>
      </c>
      <c r="J25" s="1">
        <v>4</v>
      </c>
      <c r="K25" s="1">
        <v>6</v>
      </c>
      <c r="L25" s="1">
        <v>3</v>
      </c>
      <c r="M25" s="1">
        <v>2</v>
      </c>
      <c r="N25" s="1">
        <f t="shared" si="0"/>
        <v>51</v>
      </c>
    </row>
    <row r="26" spans="1:14" s="3" customFormat="1" x14ac:dyDescent="0.2">
      <c r="A26" s="6" t="s">
        <v>18</v>
      </c>
      <c r="B26" s="2">
        <v>0</v>
      </c>
      <c r="C26" s="2">
        <v>0</v>
      </c>
      <c r="D26" s="2">
        <v>2500</v>
      </c>
      <c r="E26" s="2">
        <v>0</v>
      </c>
      <c r="F26" s="2">
        <v>135600</v>
      </c>
      <c r="G26" s="2">
        <v>22000</v>
      </c>
      <c r="H26" s="2">
        <v>0</v>
      </c>
      <c r="I26" s="2">
        <v>138760</v>
      </c>
      <c r="J26" s="2">
        <v>0</v>
      </c>
      <c r="K26" s="2">
        <v>10000</v>
      </c>
      <c r="L26" s="2">
        <v>0</v>
      </c>
      <c r="M26" s="2">
        <v>2500</v>
      </c>
      <c r="N26" s="2">
        <f t="shared" si="0"/>
        <v>311360</v>
      </c>
    </row>
    <row r="27" spans="1:14" x14ac:dyDescent="0.2">
      <c r="A27" s="4" t="s">
        <v>30</v>
      </c>
      <c r="B27" s="1">
        <v>2</v>
      </c>
      <c r="C27" s="1">
        <v>5</v>
      </c>
      <c r="D27" s="1">
        <v>20</v>
      </c>
      <c r="E27" s="1">
        <v>12</v>
      </c>
      <c r="F27" s="1">
        <v>9</v>
      </c>
      <c r="G27" s="1">
        <v>10</v>
      </c>
      <c r="H27" s="1">
        <v>8</v>
      </c>
      <c r="I27" s="1">
        <v>4</v>
      </c>
      <c r="J27" s="1">
        <v>7</v>
      </c>
      <c r="K27" s="1">
        <v>6</v>
      </c>
      <c r="L27" s="1">
        <v>7</v>
      </c>
      <c r="M27" s="1">
        <v>1</v>
      </c>
      <c r="N27" s="1">
        <f t="shared" si="0"/>
        <v>91</v>
      </c>
    </row>
    <row r="28" spans="1:14" s="3" customFormat="1" x14ac:dyDescent="0.2">
      <c r="A28" s="6" t="s">
        <v>18</v>
      </c>
      <c r="B28" s="2">
        <v>1700</v>
      </c>
      <c r="C28" s="2">
        <v>9280</v>
      </c>
      <c r="D28" s="2">
        <v>216244</v>
      </c>
      <c r="E28" s="2">
        <v>24299</v>
      </c>
      <c r="F28" s="2">
        <v>29929</v>
      </c>
      <c r="G28" s="2">
        <v>34457</v>
      </c>
      <c r="H28" s="2">
        <v>44458</v>
      </c>
      <c r="I28" s="2">
        <v>4700</v>
      </c>
      <c r="J28" s="2">
        <v>14206</v>
      </c>
      <c r="K28" s="2">
        <v>6098</v>
      </c>
      <c r="L28" s="2">
        <v>18215</v>
      </c>
      <c r="M28" s="2">
        <v>800</v>
      </c>
      <c r="N28" s="2">
        <f t="shared" si="0"/>
        <v>404386</v>
      </c>
    </row>
    <row r="29" spans="1:14" x14ac:dyDescent="0.2">
      <c r="A29" s="4" t="s">
        <v>31</v>
      </c>
      <c r="B29" s="1">
        <v>18</v>
      </c>
      <c r="C29" s="1">
        <v>22</v>
      </c>
      <c r="D29" s="1">
        <v>27</v>
      </c>
      <c r="E29" s="1">
        <v>31</v>
      </c>
      <c r="F29" s="1">
        <v>20</v>
      </c>
      <c r="G29" s="1">
        <v>23</v>
      </c>
      <c r="H29" s="1">
        <v>22</v>
      </c>
      <c r="I29" s="1">
        <v>19</v>
      </c>
      <c r="J29" s="1">
        <v>14</v>
      </c>
      <c r="K29" s="1">
        <v>12</v>
      </c>
      <c r="L29" s="1">
        <v>8</v>
      </c>
      <c r="M29" s="1">
        <v>8</v>
      </c>
      <c r="N29" s="1">
        <f t="shared" si="0"/>
        <v>224</v>
      </c>
    </row>
    <row r="30" spans="1:14" s="3" customFormat="1" x14ac:dyDescent="0.2">
      <c r="A30" s="6" t="s">
        <v>18</v>
      </c>
      <c r="B30" s="2">
        <v>528500</v>
      </c>
      <c r="C30" s="2">
        <v>600500</v>
      </c>
      <c r="D30" s="2">
        <v>740520</v>
      </c>
      <c r="E30" s="2">
        <v>825900</v>
      </c>
      <c r="F30" s="2">
        <v>623900</v>
      </c>
      <c r="G30" s="2">
        <v>583597</v>
      </c>
      <c r="H30" s="2">
        <v>727676</v>
      </c>
      <c r="I30" s="2">
        <v>519197</v>
      </c>
      <c r="J30" s="2">
        <v>454600</v>
      </c>
      <c r="K30" s="2">
        <v>397361</v>
      </c>
      <c r="L30" s="2">
        <v>243100</v>
      </c>
      <c r="M30" s="2">
        <v>307000</v>
      </c>
      <c r="N30" s="2">
        <f t="shared" si="0"/>
        <v>6551851</v>
      </c>
    </row>
    <row r="31" spans="1:14" x14ac:dyDescent="0.2">
      <c r="A31" s="4" t="s">
        <v>32</v>
      </c>
      <c r="B31" s="1">
        <v>0</v>
      </c>
      <c r="C31" s="1">
        <v>0</v>
      </c>
      <c r="D31" s="1">
        <v>1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2</v>
      </c>
      <c r="M31" s="1">
        <v>0</v>
      </c>
      <c r="N31" s="1">
        <f t="shared" si="0"/>
        <v>6</v>
      </c>
    </row>
    <row r="32" spans="1:14" s="3" customFormat="1" x14ac:dyDescent="0.2">
      <c r="A32" s="6" t="s">
        <v>18</v>
      </c>
      <c r="B32" s="2">
        <v>0</v>
      </c>
      <c r="C32" s="2">
        <v>0</v>
      </c>
      <c r="D32" s="2">
        <v>3000</v>
      </c>
      <c r="E32" s="2">
        <v>200</v>
      </c>
      <c r="F32" s="2">
        <v>0</v>
      </c>
      <c r="G32" s="2">
        <v>0</v>
      </c>
      <c r="H32" s="2">
        <v>0</v>
      </c>
      <c r="I32" s="2">
        <v>0</v>
      </c>
      <c r="J32" s="2">
        <v>10000</v>
      </c>
      <c r="K32" s="2">
        <v>35000</v>
      </c>
      <c r="L32" s="2">
        <v>11390</v>
      </c>
      <c r="M32" s="2">
        <v>0</v>
      </c>
      <c r="N32" s="2">
        <f t="shared" si="0"/>
        <v>59590</v>
      </c>
    </row>
    <row r="33" spans="1:14" x14ac:dyDescent="0.2">
      <c r="A33" s="4" t="s">
        <v>33</v>
      </c>
      <c r="B33" s="1">
        <v>142</v>
      </c>
      <c r="C33" s="1">
        <v>61</v>
      </c>
      <c r="D33" s="1">
        <v>96</v>
      </c>
      <c r="E33" s="1">
        <v>98</v>
      </c>
      <c r="F33" s="1">
        <v>70</v>
      </c>
      <c r="G33" s="1">
        <v>89</v>
      </c>
      <c r="H33" s="1">
        <v>65</v>
      </c>
      <c r="I33" s="1">
        <v>87</v>
      </c>
      <c r="J33" s="1">
        <v>59</v>
      </c>
      <c r="K33" s="1">
        <v>75</v>
      </c>
      <c r="L33" s="1">
        <v>45</v>
      </c>
      <c r="M33" s="1">
        <v>63</v>
      </c>
      <c r="N33" s="1">
        <f t="shared" si="0"/>
        <v>950</v>
      </c>
    </row>
    <row r="34" spans="1:14" s="3" customFormat="1" x14ac:dyDescent="0.2">
      <c r="A34" s="6" t="s">
        <v>18</v>
      </c>
      <c r="B34" s="2">
        <v>151046</v>
      </c>
      <c r="C34" s="2">
        <v>66655</v>
      </c>
      <c r="D34" s="2">
        <v>119112</v>
      </c>
      <c r="E34" s="2">
        <v>103629</v>
      </c>
      <c r="F34" s="2">
        <v>122908</v>
      </c>
      <c r="G34" s="2">
        <v>112920</v>
      </c>
      <c r="H34" s="2">
        <v>86707</v>
      </c>
      <c r="I34" s="2">
        <v>95410</v>
      </c>
      <c r="J34" s="2">
        <v>112237</v>
      </c>
      <c r="K34" s="2">
        <v>90740</v>
      </c>
      <c r="L34" s="2">
        <v>67899</v>
      </c>
      <c r="M34" s="2">
        <v>139025</v>
      </c>
      <c r="N34" s="2">
        <f t="shared" si="0"/>
        <v>1268288</v>
      </c>
    </row>
    <row r="35" spans="1:14" x14ac:dyDescent="0.2">
      <c r="A35" s="4" t="s">
        <v>34</v>
      </c>
      <c r="B35" s="1">
        <v>54</v>
      </c>
      <c r="C35" s="1">
        <v>49</v>
      </c>
      <c r="D35" s="1">
        <v>110</v>
      </c>
      <c r="E35" s="1">
        <v>75</v>
      </c>
      <c r="F35" s="1">
        <v>52</v>
      </c>
      <c r="G35" s="1">
        <v>65</v>
      </c>
      <c r="H35" s="1">
        <v>55</v>
      </c>
      <c r="I35" s="1">
        <v>63</v>
      </c>
      <c r="J35" s="1">
        <v>42</v>
      </c>
      <c r="K35" s="1">
        <v>73</v>
      </c>
      <c r="L35" s="1">
        <v>46</v>
      </c>
      <c r="M35" s="1">
        <v>85</v>
      </c>
      <c r="N35" s="1">
        <f t="shared" si="0"/>
        <v>769</v>
      </c>
    </row>
    <row r="36" spans="1:14" s="3" customFormat="1" x14ac:dyDescent="0.2">
      <c r="A36" s="6" t="s">
        <v>18</v>
      </c>
      <c r="B36" s="2">
        <v>63715</v>
      </c>
      <c r="C36" s="2">
        <v>89200</v>
      </c>
      <c r="D36" s="2">
        <v>156450</v>
      </c>
      <c r="E36" s="2">
        <v>769415</v>
      </c>
      <c r="F36" s="2">
        <v>406100</v>
      </c>
      <c r="G36" s="2">
        <v>102930</v>
      </c>
      <c r="H36" s="2">
        <v>76200</v>
      </c>
      <c r="I36" s="2">
        <v>76450</v>
      </c>
      <c r="J36" s="2">
        <v>69750</v>
      </c>
      <c r="K36" s="2">
        <v>101485</v>
      </c>
      <c r="L36" s="2">
        <v>62750</v>
      </c>
      <c r="M36" s="2">
        <v>121375</v>
      </c>
      <c r="N36" s="2">
        <f t="shared" si="0"/>
        <v>2095820</v>
      </c>
    </row>
    <row r="37" spans="1:14" x14ac:dyDescent="0.2">
      <c r="A37" s="4" t="s">
        <v>35</v>
      </c>
      <c r="B37" s="1">
        <v>27</v>
      </c>
      <c r="C37" s="1">
        <v>34</v>
      </c>
      <c r="D37" s="1">
        <v>23</v>
      </c>
      <c r="E37" s="1">
        <v>58</v>
      </c>
      <c r="F37" s="1">
        <v>45</v>
      </c>
      <c r="G37" s="1">
        <v>27</v>
      </c>
      <c r="H37" s="1">
        <v>27</v>
      </c>
      <c r="I37" s="1">
        <v>23</v>
      </c>
      <c r="J37" s="1">
        <v>22</v>
      </c>
      <c r="K37" s="1">
        <v>68</v>
      </c>
      <c r="L37" s="1">
        <v>25</v>
      </c>
      <c r="M37" s="1">
        <v>15</v>
      </c>
      <c r="N37" s="1">
        <f t="shared" si="0"/>
        <v>394</v>
      </c>
    </row>
    <row r="38" spans="1:14" s="3" customFormat="1" x14ac:dyDescent="0.2">
      <c r="A38" s="6" t="s">
        <v>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0"/>
        <v>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f t="shared" si="0"/>
        <v>1</v>
      </c>
    </row>
    <row r="40" spans="1:14" s="3" customFormat="1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1000</v>
      </c>
      <c r="K40" s="2">
        <v>0</v>
      </c>
      <c r="L40" s="2">
        <v>0</v>
      </c>
      <c r="M40" s="2">
        <v>0</v>
      </c>
      <c r="N40" s="2">
        <f t="shared" si="0"/>
        <v>1000</v>
      </c>
    </row>
    <row r="41" spans="1:14" x14ac:dyDescent="0.2">
      <c r="A41" s="4" t="s">
        <v>37</v>
      </c>
      <c r="B41" s="1">
        <v>0</v>
      </c>
      <c r="C41" s="1">
        <v>0</v>
      </c>
      <c r="D41" s="1">
        <v>1</v>
      </c>
      <c r="E41" s="1">
        <v>2</v>
      </c>
      <c r="F41" s="1">
        <v>1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1</v>
      </c>
      <c r="N41" s="1">
        <f t="shared" si="0"/>
        <v>7</v>
      </c>
    </row>
    <row r="42" spans="1:14" s="3" customFormat="1" x14ac:dyDescent="0.2">
      <c r="A42" s="6" t="s">
        <v>18</v>
      </c>
      <c r="B42" s="2">
        <v>0</v>
      </c>
      <c r="C42" s="2">
        <v>0</v>
      </c>
      <c r="D42" s="2">
        <v>200</v>
      </c>
      <c r="E42" s="2">
        <v>28000</v>
      </c>
      <c r="F42" s="2">
        <v>35064</v>
      </c>
      <c r="G42" s="2">
        <v>10000</v>
      </c>
      <c r="H42" s="2">
        <v>0</v>
      </c>
      <c r="I42" s="2">
        <v>0</v>
      </c>
      <c r="J42" s="2">
        <v>10000</v>
      </c>
      <c r="K42" s="2">
        <v>0</v>
      </c>
      <c r="L42" s="2">
        <v>0</v>
      </c>
      <c r="M42" s="2">
        <v>3000</v>
      </c>
      <c r="N42" s="2">
        <f t="shared" si="0"/>
        <v>86264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>SUM(B3+B5+B7+B9+B11+B13+B15+B17+B19+B21+B23+B25+B27+B29+B31+B33+B35+B37+B39+B41)</f>
        <v>358</v>
      </c>
      <c r="C44" s="1">
        <f>SUM(C3+C5+C7+C9+C11+C13+C15+C17+C19+C21+C23+C25+C27+C29+C31+C33+C35+C37+C39+C41)</f>
        <v>321</v>
      </c>
      <c r="D44" s="1">
        <f>SUM(D3+D5+D7+D9+D11+D13+D15+D17+D19+D21+D23+D25+D27+D29+D31+D33+D35+D37+D39+D41)</f>
        <v>504</v>
      </c>
      <c r="E44" s="1">
        <f t="shared" ref="E44:M44" si="1">SUM(E3+E5+E7+E9+E11+E13+E15+E17+E19+E21+E23+E25+E27+E29+E31+E33+E35+E37+E39+E41)</f>
        <v>509</v>
      </c>
      <c r="F44" s="1">
        <f t="shared" si="1"/>
        <v>369</v>
      </c>
      <c r="G44" s="1">
        <f t="shared" si="1"/>
        <v>668</v>
      </c>
      <c r="H44" s="1">
        <f t="shared" si="1"/>
        <v>368</v>
      </c>
      <c r="I44" s="1">
        <f t="shared" si="1"/>
        <v>380</v>
      </c>
      <c r="J44" s="1">
        <f t="shared" si="1"/>
        <v>292</v>
      </c>
      <c r="K44" s="1">
        <f t="shared" si="1"/>
        <v>400</v>
      </c>
      <c r="L44" s="1">
        <f t="shared" si="1"/>
        <v>509</v>
      </c>
      <c r="M44" s="1">
        <f t="shared" si="1"/>
        <v>314</v>
      </c>
      <c r="N44" s="1">
        <f>SUM(B44:M44)</f>
        <v>4992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7162508</v>
      </c>
      <c r="C45" s="2">
        <f t="shared" ref="C45:H45" si="2">SUM(C4+C6+C8+C10+C12+C14+C16+C18+C20+C22+C24+C26+C28+C30+C32+C34+C36+C38+C40+C42)</f>
        <v>23043661</v>
      </c>
      <c r="D45" s="2">
        <f t="shared" si="2"/>
        <v>35166251</v>
      </c>
      <c r="E45" s="2">
        <f t="shared" si="2"/>
        <v>32397518</v>
      </c>
      <c r="F45" s="2">
        <f t="shared" si="2"/>
        <v>22605896</v>
      </c>
      <c r="G45" s="2">
        <f t="shared" si="2"/>
        <v>43010884</v>
      </c>
      <c r="H45" s="2">
        <f t="shared" si="2"/>
        <v>34063434</v>
      </c>
      <c r="I45" s="2">
        <f>SUM(I4+I6+I8+I10+I12+I16+I14+I18+I20+I22+I24+I26+I28+I30+I32+I34+I36+I38+I40+I42)</f>
        <v>32737370</v>
      </c>
      <c r="J45" s="2">
        <f>SUM(J4+J6+J8+J10+J12+J14+J16+J18+J20+J22+J24+J26+J28+J30+J32+J34+J36+J38+J40+J42)</f>
        <v>19142044</v>
      </c>
      <c r="K45" s="2">
        <f>SUM(K4+K6+K8+K10+K12+K14+K16+K18+K20+K22+K24+K26+K28+K30+K32+K34+K36+K38+K40+K42)</f>
        <v>19593048</v>
      </c>
      <c r="L45" s="2">
        <f>SUM(L4+L6+L8+L10+L12+L14+L16+L18+L20+L22+L24+L26+L28+L30+L32+L34+L36+L38+L40+L42)</f>
        <v>26496335</v>
      </c>
      <c r="M45" s="2">
        <f>SUM(M4+M6+M8+M10+M12+M14+M16+M18+M20+M22+M24+M26+M28+M30+M32+M34+M36+M38+M40+M42)</f>
        <v>15162405</v>
      </c>
      <c r="N45" s="2">
        <f>SUM(B45:M45)</f>
        <v>310581354</v>
      </c>
    </row>
  </sheetData>
  <phoneticPr fontId="0" type="noConversion"/>
  <pageMargins left="0.5" right="0.5" top="1" bottom="1" header="0.5" footer="0.5"/>
  <pageSetup paperSize="5" scale="79" orientation="landscape" r:id="rId1"/>
  <headerFooter alignWithMargins="0">
    <oddHeader>&amp;LPERMIT SUMMARY
CALANDAR YEAR 2004&amp;CCITY OF ALLEN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M43" sqref="M43"/>
    </sheetView>
  </sheetViews>
  <sheetFormatPr defaultRowHeight="12.75" x14ac:dyDescent="0.2"/>
  <cols>
    <col min="1" max="1" width="23.85546875" style="5" customWidth="1"/>
    <col min="2" max="2" width="13.5703125" customWidth="1"/>
    <col min="3" max="3" width="14.28515625" customWidth="1"/>
    <col min="4" max="4" width="13.7109375" customWidth="1"/>
    <col min="5" max="5" width="13.85546875" customWidth="1"/>
    <col min="6" max="6" width="12.5703125" customWidth="1"/>
    <col min="7" max="7" width="13.42578125" customWidth="1"/>
    <col min="8" max="8" width="12.42578125" customWidth="1"/>
    <col min="9" max="9" width="12.140625" customWidth="1"/>
    <col min="10" max="10" width="13.140625" customWidth="1"/>
    <col min="11" max="11" width="13.42578125" customWidth="1"/>
    <col min="12" max="12" width="13.28515625" customWidth="1"/>
    <col min="13" max="13" width="13" customWidth="1"/>
    <col min="14" max="14" width="16.5703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48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59</v>
      </c>
      <c r="C3" s="1">
        <v>97</v>
      </c>
      <c r="D3" s="1">
        <v>97</v>
      </c>
      <c r="E3" s="1">
        <v>71</v>
      </c>
      <c r="F3" s="1">
        <v>100</v>
      </c>
      <c r="G3" s="1">
        <v>54</v>
      </c>
      <c r="H3" s="1">
        <v>60</v>
      </c>
      <c r="I3" s="1">
        <v>84</v>
      </c>
      <c r="J3" s="1">
        <v>76</v>
      </c>
      <c r="K3" s="1">
        <v>41</v>
      </c>
      <c r="L3" s="1">
        <v>172</v>
      </c>
      <c r="M3" s="1">
        <v>87</v>
      </c>
      <c r="N3" s="1">
        <f t="shared" ref="N3:N12" si="0">SUM(B3:M3)</f>
        <v>998</v>
      </c>
    </row>
    <row r="4" spans="1:14" s="3" customFormat="1" x14ac:dyDescent="0.2">
      <c r="A4" s="6" t="s">
        <v>18</v>
      </c>
      <c r="B4" s="2">
        <v>15279370</v>
      </c>
      <c r="C4" s="2">
        <v>26154161</v>
      </c>
      <c r="D4" s="2">
        <v>27078532</v>
      </c>
      <c r="E4" s="2">
        <v>20525116</v>
      </c>
      <c r="F4" s="2">
        <v>29515629</v>
      </c>
      <c r="G4" s="2">
        <v>16792905</v>
      </c>
      <c r="H4" s="2">
        <v>19827689</v>
      </c>
      <c r="I4" s="2">
        <v>23781058</v>
      </c>
      <c r="J4" s="2">
        <v>23047293</v>
      </c>
      <c r="K4" s="2">
        <v>13210955</v>
      </c>
      <c r="L4" s="2">
        <v>50191174</v>
      </c>
      <c r="M4" s="2">
        <v>24041664</v>
      </c>
      <c r="N4" s="2">
        <f t="shared" si="0"/>
        <v>289445546</v>
      </c>
    </row>
    <row r="5" spans="1:14" x14ac:dyDescent="0.2">
      <c r="A5" s="4" t="s">
        <v>43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8</v>
      </c>
      <c r="I5" s="1">
        <v>4</v>
      </c>
      <c r="J5" s="1">
        <v>8</v>
      </c>
      <c r="K5" s="1">
        <v>12</v>
      </c>
      <c r="L5" s="1">
        <v>13</v>
      </c>
      <c r="M5" s="1">
        <v>0</v>
      </c>
      <c r="N5" s="1">
        <f t="shared" si="0"/>
        <v>45</v>
      </c>
    </row>
    <row r="6" spans="1:14" s="3" customFormat="1" x14ac:dyDescent="0.2">
      <c r="A6" s="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468720</v>
      </c>
      <c r="I6" s="2">
        <v>723960</v>
      </c>
      <c r="J6" s="2">
        <v>1111200</v>
      </c>
      <c r="K6" s="2">
        <v>1873085</v>
      </c>
      <c r="L6" s="2">
        <v>2944370</v>
      </c>
      <c r="M6" s="2">
        <v>0</v>
      </c>
      <c r="N6" s="2">
        <f t="shared" si="0"/>
        <v>7121335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244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244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14610157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f t="shared" si="0"/>
        <v>14610157</v>
      </c>
    </row>
    <row r="9" spans="1:14" x14ac:dyDescent="0.2">
      <c r="A9" s="4" t="s">
        <v>41</v>
      </c>
      <c r="B9" s="1">
        <v>51</v>
      </c>
      <c r="C9" s="1">
        <v>56</v>
      </c>
      <c r="D9" s="1">
        <v>53</v>
      </c>
      <c r="E9" s="1">
        <v>59</v>
      </c>
      <c r="F9" s="1">
        <v>75</v>
      </c>
      <c r="G9" s="1">
        <v>77</v>
      </c>
      <c r="H9" s="1">
        <v>64</v>
      </c>
      <c r="I9" s="1">
        <v>69</v>
      </c>
      <c r="J9" s="1">
        <v>56</v>
      </c>
      <c r="K9" s="1">
        <v>62</v>
      </c>
      <c r="L9" s="1">
        <v>56</v>
      </c>
      <c r="M9" s="1">
        <v>57</v>
      </c>
      <c r="N9" s="1">
        <f t="shared" si="0"/>
        <v>735</v>
      </c>
    </row>
    <row r="10" spans="1:14" s="3" customFormat="1" x14ac:dyDescent="0.2">
      <c r="A10" s="6" t="s">
        <v>18</v>
      </c>
      <c r="B10" s="2">
        <v>79484</v>
      </c>
      <c r="C10" s="2">
        <v>106127</v>
      </c>
      <c r="D10" s="2">
        <v>67320</v>
      </c>
      <c r="E10" s="2">
        <v>96861</v>
      </c>
      <c r="F10" s="2">
        <v>126193</v>
      </c>
      <c r="G10" s="2">
        <v>238044</v>
      </c>
      <c r="H10" s="2">
        <v>112250</v>
      </c>
      <c r="I10" s="2">
        <v>211404</v>
      </c>
      <c r="J10" s="2">
        <v>121673</v>
      </c>
      <c r="K10" s="2">
        <v>147572</v>
      </c>
      <c r="L10" s="2">
        <v>109974</v>
      </c>
      <c r="M10" s="2">
        <v>91659</v>
      </c>
      <c r="N10" s="2">
        <f t="shared" si="0"/>
        <v>1508561</v>
      </c>
    </row>
    <row r="11" spans="1:14" x14ac:dyDescent="0.2">
      <c r="A11" s="4" t="s">
        <v>22</v>
      </c>
      <c r="B11" s="1">
        <v>1</v>
      </c>
      <c r="C11" s="1">
        <v>1</v>
      </c>
      <c r="D11" s="1">
        <v>4</v>
      </c>
      <c r="E11" s="1">
        <v>1</v>
      </c>
      <c r="F11" s="1">
        <v>0</v>
      </c>
      <c r="G11" s="1">
        <v>1</v>
      </c>
      <c r="H11" s="1">
        <v>1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f t="shared" si="0"/>
        <v>11</v>
      </c>
    </row>
    <row r="12" spans="1:14" s="3" customFormat="1" x14ac:dyDescent="0.2">
      <c r="A12" s="6" t="s">
        <v>18</v>
      </c>
      <c r="B12" s="2">
        <v>20000</v>
      </c>
      <c r="C12" s="2">
        <v>19000</v>
      </c>
      <c r="D12" s="2">
        <v>83768</v>
      </c>
      <c r="E12" s="2">
        <v>2500</v>
      </c>
      <c r="F12" s="2">
        <v>0</v>
      </c>
      <c r="G12" s="2">
        <v>25000</v>
      </c>
      <c r="H12" s="2">
        <v>3000</v>
      </c>
      <c r="I12" s="2">
        <v>0</v>
      </c>
      <c r="J12" s="2">
        <v>21800</v>
      </c>
      <c r="K12" s="2">
        <v>5000</v>
      </c>
      <c r="L12" s="2">
        <v>0</v>
      </c>
      <c r="M12" s="2">
        <v>0</v>
      </c>
      <c r="N12" s="2">
        <f t="shared" si="0"/>
        <v>180068</v>
      </c>
    </row>
    <row r="13" spans="1:14" x14ac:dyDescent="0.2">
      <c r="A13" s="4" t="s">
        <v>42</v>
      </c>
      <c r="B13" s="1">
        <v>17</v>
      </c>
      <c r="C13" s="1">
        <v>14</v>
      </c>
      <c r="D13" s="1">
        <v>23</v>
      </c>
      <c r="E13" s="1">
        <v>21</v>
      </c>
      <c r="F13" s="1">
        <v>20</v>
      </c>
      <c r="G13" s="1">
        <v>11</v>
      </c>
      <c r="H13" s="1">
        <v>22</v>
      </c>
      <c r="I13" s="1">
        <v>20</v>
      </c>
      <c r="J13" s="1">
        <v>12</v>
      </c>
      <c r="K13" s="1">
        <v>19</v>
      </c>
      <c r="L13" s="1">
        <v>42</v>
      </c>
      <c r="M13" s="1">
        <v>15</v>
      </c>
      <c r="N13" s="1">
        <f>SUM(B13:M13)</f>
        <v>236</v>
      </c>
    </row>
    <row r="14" spans="1:14" s="3" customFormat="1" x14ac:dyDescent="0.2">
      <c r="A14" s="6" t="s">
        <v>18</v>
      </c>
      <c r="B14" s="2">
        <v>765347</v>
      </c>
      <c r="C14" s="2">
        <v>3688024</v>
      </c>
      <c r="D14" s="2">
        <v>3142926</v>
      </c>
      <c r="E14" s="2">
        <v>377220</v>
      </c>
      <c r="F14" s="2">
        <v>738331</v>
      </c>
      <c r="G14" s="2">
        <v>439715</v>
      </c>
      <c r="H14" s="2">
        <v>397767</v>
      </c>
      <c r="I14" s="2">
        <v>137702</v>
      </c>
      <c r="J14" s="2">
        <v>340415</v>
      </c>
      <c r="K14" s="2">
        <v>3356283</v>
      </c>
      <c r="L14" s="2">
        <v>299844</v>
      </c>
      <c r="M14" s="2">
        <v>257372</v>
      </c>
      <c r="N14" s="2">
        <f>SUM(B14:M14)</f>
        <v>13940946</v>
      </c>
    </row>
    <row r="15" spans="1:14" x14ac:dyDescent="0.2">
      <c r="A15" s="4" t="s">
        <v>24</v>
      </c>
      <c r="B15" s="1">
        <v>2</v>
      </c>
      <c r="C15" s="1">
        <v>0</v>
      </c>
      <c r="D15" s="1">
        <v>5</v>
      </c>
      <c r="E15" s="1">
        <v>1</v>
      </c>
      <c r="F15" s="1">
        <v>3</v>
      </c>
      <c r="G15" s="1">
        <v>6</v>
      </c>
      <c r="H15" s="1">
        <v>6</v>
      </c>
      <c r="I15" s="1">
        <v>3</v>
      </c>
      <c r="J15" s="1">
        <v>0</v>
      </c>
      <c r="K15" s="1">
        <v>1</v>
      </c>
      <c r="L15" s="1">
        <v>4</v>
      </c>
      <c r="M15" s="1">
        <v>2</v>
      </c>
      <c r="N15" s="1">
        <f t="shared" ref="N15:N42" si="1">SUM(B15:M15)</f>
        <v>33</v>
      </c>
    </row>
    <row r="16" spans="1:14" s="3" customFormat="1" x14ac:dyDescent="0.2">
      <c r="A16" s="6" t="s">
        <v>18</v>
      </c>
      <c r="B16" s="2">
        <v>1643500</v>
      </c>
      <c r="C16" s="2">
        <v>0</v>
      </c>
      <c r="D16" s="2">
        <v>7597000</v>
      </c>
      <c r="E16" s="2">
        <v>5000000</v>
      </c>
      <c r="F16" s="2">
        <v>6053608</v>
      </c>
      <c r="G16" s="2">
        <v>2915000</v>
      </c>
      <c r="H16" s="2">
        <v>5382364</v>
      </c>
      <c r="I16" s="2">
        <v>14729680</v>
      </c>
      <c r="J16" s="2">
        <v>0</v>
      </c>
      <c r="K16" s="2">
        <v>5036250</v>
      </c>
      <c r="L16" s="2">
        <v>4410524</v>
      </c>
      <c r="M16" s="2">
        <v>1005000</v>
      </c>
      <c r="N16" s="2">
        <f t="shared" si="1"/>
        <v>53772926</v>
      </c>
    </row>
    <row r="17" spans="1:14" x14ac:dyDescent="0.2">
      <c r="A17" s="4" t="s">
        <v>40</v>
      </c>
      <c r="B17" s="1">
        <v>8</v>
      </c>
      <c r="C17" s="1">
        <v>9</v>
      </c>
      <c r="D17" s="1">
        <v>14</v>
      </c>
      <c r="E17" s="1">
        <v>13</v>
      </c>
      <c r="F17" s="1">
        <v>15</v>
      </c>
      <c r="G17" s="1">
        <v>8</v>
      </c>
      <c r="H17" s="1">
        <v>11</v>
      </c>
      <c r="I17" s="1">
        <v>16</v>
      </c>
      <c r="J17" s="1">
        <v>30</v>
      </c>
      <c r="K17" s="1">
        <v>13</v>
      </c>
      <c r="L17" s="1">
        <v>15</v>
      </c>
      <c r="M17" s="1">
        <v>22</v>
      </c>
      <c r="N17" s="1">
        <f t="shared" si="1"/>
        <v>174</v>
      </c>
    </row>
    <row r="18" spans="1:14" s="3" customFormat="1" x14ac:dyDescent="0.2">
      <c r="A18" s="6" t="s">
        <v>18</v>
      </c>
      <c r="B18" s="2">
        <v>383000</v>
      </c>
      <c r="C18" s="2">
        <v>379300</v>
      </c>
      <c r="D18" s="2">
        <v>242970</v>
      </c>
      <c r="E18" s="2">
        <v>3733650</v>
      </c>
      <c r="F18" s="2">
        <v>464060</v>
      </c>
      <c r="G18" s="2">
        <v>1038000</v>
      </c>
      <c r="H18" s="2">
        <v>1017800</v>
      </c>
      <c r="I18" s="2">
        <v>933000</v>
      </c>
      <c r="J18" s="2">
        <v>2333600</v>
      </c>
      <c r="K18" s="2">
        <v>1127896</v>
      </c>
      <c r="L18" s="2">
        <v>1015000</v>
      </c>
      <c r="M18" s="2">
        <v>981280</v>
      </c>
      <c r="N18" s="2">
        <f t="shared" si="1"/>
        <v>13649556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s="3" customFormat="1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1</v>
      </c>
    </row>
    <row r="22" spans="1:14" s="3" customFormat="1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12000000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12000000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s="3" customFormat="1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4" x14ac:dyDescent="0.2">
      <c r="A25" s="4" t="s">
        <v>29</v>
      </c>
      <c r="B25" s="1">
        <v>5</v>
      </c>
      <c r="C25" s="1">
        <v>3</v>
      </c>
      <c r="D25" s="1">
        <v>6</v>
      </c>
      <c r="E25" s="1">
        <v>18</v>
      </c>
      <c r="F25" s="1">
        <v>4</v>
      </c>
      <c r="G25" s="1">
        <v>7</v>
      </c>
      <c r="H25" s="1">
        <v>5</v>
      </c>
      <c r="I25" s="1">
        <v>6</v>
      </c>
      <c r="J25" s="1">
        <v>5</v>
      </c>
      <c r="K25" s="1">
        <v>4</v>
      </c>
      <c r="L25" s="1">
        <v>4</v>
      </c>
      <c r="M25" s="1">
        <v>4</v>
      </c>
      <c r="N25" s="1">
        <f t="shared" si="1"/>
        <v>71</v>
      </c>
    </row>
    <row r="26" spans="1:14" s="3" customFormat="1" x14ac:dyDescent="0.2">
      <c r="A26" s="6" t="s">
        <v>18</v>
      </c>
      <c r="B26" s="2">
        <v>0</v>
      </c>
      <c r="C26" s="2">
        <v>500</v>
      </c>
      <c r="D26" s="2">
        <v>7500</v>
      </c>
      <c r="E26" s="2">
        <v>189498</v>
      </c>
      <c r="F26" s="2">
        <v>0</v>
      </c>
      <c r="G26" s="2">
        <v>41000</v>
      </c>
      <c r="H26" s="2">
        <v>122043</v>
      </c>
      <c r="I26" s="2">
        <v>80000</v>
      </c>
      <c r="J26" s="2">
        <v>40000</v>
      </c>
      <c r="K26" s="2">
        <v>0</v>
      </c>
      <c r="L26" s="2">
        <v>500</v>
      </c>
      <c r="M26" s="2">
        <v>2000</v>
      </c>
      <c r="N26" s="2">
        <f t="shared" si="1"/>
        <v>483041</v>
      </c>
    </row>
    <row r="27" spans="1:14" x14ac:dyDescent="0.2">
      <c r="A27" s="4" t="s">
        <v>30</v>
      </c>
      <c r="B27" s="1">
        <v>0</v>
      </c>
      <c r="C27" s="1">
        <v>4</v>
      </c>
      <c r="D27" s="1">
        <v>11</v>
      </c>
      <c r="E27" s="1">
        <v>6</v>
      </c>
      <c r="F27" s="1">
        <v>7</v>
      </c>
      <c r="G27" s="1">
        <v>7</v>
      </c>
      <c r="H27" s="1">
        <v>5</v>
      </c>
      <c r="I27" s="1">
        <v>9</v>
      </c>
      <c r="J27" s="1">
        <v>5</v>
      </c>
      <c r="K27" s="1">
        <v>6</v>
      </c>
      <c r="L27" s="1">
        <v>5</v>
      </c>
      <c r="M27" s="1">
        <v>0</v>
      </c>
      <c r="N27" s="1">
        <f t="shared" si="1"/>
        <v>65</v>
      </c>
    </row>
    <row r="28" spans="1:14" s="3" customFormat="1" x14ac:dyDescent="0.2">
      <c r="A28" s="6" t="s">
        <v>18</v>
      </c>
      <c r="B28" s="2">
        <v>0</v>
      </c>
      <c r="C28" s="2">
        <v>10100</v>
      </c>
      <c r="D28" s="2">
        <v>22484</v>
      </c>
      <c r="E28" s="2">
        <v>13020</v>
      </c>
      <c r="F28" s="2">
        <v>15700</v>
      </c>
      <c r="G28" s="2">
        <v>9314</v>
      </c>
      <c r="H28" s="2">
        <v>6650</v>
      </c>
      <c r="I28" s="2">
        <v>37535</v>
      </c>
      <c r="J28" s="2">
        <v>10850</v>
      </c>
      <c r="K28" s="2">
        <v>15900</v>
      </c>
      <c r="L28" s="2">
        <v>11300</v>
      </c>
      <c r="M28" s="2">
        <v>0</v>
      </c>
      <c r="N28" s="2">
        <f t="shared" si="1"/>
        <v>152853</v>
      </c>
    </row>
    <row r="29" spans="1:14" x14ac:dyDescent="0.2">
      <c r="A29" s="4" t="s">
        <v>31</v>
      </c>
      <c r="B29" s="1">
        <v>14</v>
      </c>
      <c r="C29" s="1">
        <v>17</v>
      </c>
      <c r="D29" s="1">
        <v>36</v>
      </c>
      <c r="E29" s="1">
        <v>31</v>
      </c>
      <c r="F29" s="1">
        <v>24</v>
      </c>
      <c r="G29" s="1">
        <v>26</v>
      </c>
      <c r="H29" s="1">
        <v>28</v>
      </c>
      <c r="I29" s="1">
        <v>27</v>
      </c>
      <c r="J29" s="1">
        <v>19</v>
      </c>
      <c r="K29" s="1">
        <v>16</v>
      </c>
      <c r="L29" s="1">
        <v>14</v>
      </c>
      <c r="M29" s="1">
        <v>21</v>
      </c>
      <c r="N29" s="1">
        <f t="shared" si="1"/>
        <v>273</v>
      </c>
    </row>
    <row r="30" spans="1:14" s="3" customFormat="1" x14ac:dyDescent="0.2">
      <c r="A30" s="6" t="s">
        <v>18</v>
      </c>
      <c r="B30" s="2">
        <v>448350</v>
      </c>
      <c r="C30" s="2">
        <v>494100</v>
      </c>
      <c r="D30" s="2">
        <v>1096340</v>
      </c>
      <c r="E30" s="2">
        <v>922650</v>
      </c>
      <c r="F30" s="2">
        <v>709915</v>
      </c>
      <c r="G30" s="2">
        <v>816927</v>
      </c>
      <c r="H30" s="2">
        <v>719650</v>
      </c>
      <c r="I30" s="2">
        <v>801414</v>
      </c>
      <c r="J30" s="2">
        <v>1433600</v>
      </c>
      <c r="K30" s="2">
        <v>482000</v>
      </c>
      <c r="L30" s="2">
        <v>537000</v>
      </c>
      <c r="M30" s="2">
        <v>646800</v>
      </c>
      <c r="N30" s="2">
        <f t="shared" si="1"/>
        <v>9108746</v>
      </c>
    </row>
    <row r="31" spans="1:14" x14ac:dyDescent="0.2">
      <c r="A31" s="4" t="s">
        <v>32</v>
      </c>
      <c r="B31" s="1">
        <v>0</v>
      </c>
      <c r="C31" s="1">
        <v>0</v>
      </c>
      <c r="D31" s="1">
        <v>0</v>
      </c>
      <c r="E31" s="1">
        <v>2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1">
        <v>0</v>
      </c>
      <c r="L31" s="1">
        <v>2</v>
      </c>
      <c r="M31" s="1">
        <v>1</v>
      </c>
      <c r="N31" s="1">
        <f t="shared" si="1"/>
        <v>9</v>
      </c>
    </row>
    <row r="32" spans="1:14" s="3" customFormat="1" x14ac:dyDescent="0.2">
      <c r="A32" s="6" t="s">
        <v>18</v>
      </c>
      <c r="B32" s="2">
        <v>0</v>
      </c>
      <c r="C32" s="2">
        <v>0</v>
      </c>
      <c r="D32" s="2">
        <v>0</v>
      </c>
      <c r="E32" s="2">
        <v>14528</v>
      </c>
      <c r="F32" s="2">
        <v>0</v>
      </c>
      <c r="G32" s="2">
        <v>13000</v>
      </c>
      <c r="H32" s="2">
        <v>991</v>
      </c>
      <c r="I32" s="2">
        <v>6500</v>
      </c>
      <c r="J32" s="2">
        <v>1678</v>
      </c>
      <c r="K32" s="2">
        <v>0</v>
      </c>
      <c r="L32" s="2">
        <v>15415</v>
      </c>
      <c r="M32" s="2">
        <v>15000</v>
      </c>
      <c r="N32" s="2">
        <f t="shared" si="1"/>
        <v>67112</v>
      </c>
    </row>
    <row r="33" spans="1:14" x14ac:dyDescent="0.2">
      <c r="A33" s="4" t="s">
        <v>33</v>
      </c>
      <c r="B33" s="1">
        <v>92</v>
      </c>
      <c r="C33" s="1">
        <v>48</v>
      </c>
      <c r="D33" s="1">
        <v>80</v>
      </c>
      <c r="E33" s="1">
        <v>93</v>
      </c>
      <c r="F33" s="1">
        <v>70</v>
      </c>
      <c r="G33" s="1">
        <v>70</v>
      </c>
      <c r="H33" s="1">
        <v>101</v>
      </c>
      <c r="I33" s="1">
        <v>86</v>
      </c>
      <c r="J33" s="1">
        <v>77</v>
      </c>
      <c r="K33" s="1">
        <v>62</v>
      </c>
      <c r="L33" s="1">
        <v>90</v>
      </c>
      <c r="M33" s="1">
        <v>20</v>
      </c>
      <c r="N33" s="1">
        <f t="shared" si="1"/>
        <v>889</v>
      </c>
    </row>
    <row r="34" spans="1:14" s="3" customFormat="1" x14ac:dyDescent="0.2">
      <c r="A34" s="6" t="s">
        <v>18</v>
      </c>
      <c r="B34" s="2">
        <v>101077</v>
      </c>
      <c r="C34" s="2">
        <v>153656</v>
      </c>
      <c r="D34" s="2">
        <v>118844</v>
      </c>
      <c r="E34" s="2">
        <v>132325</v>
      </c>
      <c r="F34" s="2">
        <v>87708</v>
      </c>
      <c r="G34" s="2">
        <v>139826</v>
      </c>
      <c r="H34" s="2">
        <v>362230</v>
      </c>
      <c r="I34" s="2">
        <v>116150</v>
      </c>
      <c r="J34" s="2">
        <v>106441</v>
      </c>
      <c r="K34" s="2">
        <v>330887</v>
      </c>
      <c r="L34" s="2">
        <v>258900</v>
      </c>
      <c r="M34" s="2">
        <v>158487</v>
      </c>
      <c r="N34" s="2">
        <f t="shared" si="1"/>
        <v>2066531</v>
      </c>
    </row>
    <row r="35" spans="1:14" x14ac:dyDescent="0.2">
      <c r="A35" s="4" t="s">
        <v>34</v>
      </c>
      <c r="B35" s="1">
        <v>85</v>
      </c>
      <c r="C35" s="1">
        <v>46</v>
      </c>
      <c r="D35" s="1">
        <v>60</v>
      </c>
      <c r="E35" s="1">
        <v>62</v>
      </c>
      <c r="F35" s="1">
        <v>71</v>
      </c>
      <c r="G35" s="1">
        <v>70</v>
      </c>
      <c r="H35" s="1">
        <v>67</v>
      </c>
      <c r="I35" s="1">
        <v>52</v>
      </c>
      <c r="J35" s="1">
        <v>40</v>
      </c>
      <c r="K35" s="1">
        <v>54</v>
      </c>
      <c r="L35" s="1">
        <v>44</v>
      </c>
      <c r="M35" s="1">
        <v>35</v>
      </c>
      <c r="N35" s="1">
        <f t="shared" si="1"/>
        <v>686</v>
      </c>
    </row>
    <row r="36" spans="1:14" s="3" customFormat="1" x14ac:dyDescent="0.2">
      <c r="A36" s="6" t="s">
        <v>18</v>
      </c>
      <c r="B36" s="2">
        <v>463654</v>
      </c>
      <c r="C36" s="2">
        <v>82850</v>
      </c>
      <c r="D36" s="2">
        <v>145634</v>
      </c>
      <c r="E36" s="2">
        <v>100250</v>
      </c>
      <c r="F36" s="2">
        <v>222550</v>
      </c>
      <c r="G36" s="2">
        <v>105050</v>
      </c>
      <c r="H36" s="2">
        <v>143300</v>
      </c>
      <c r="I36" s="2">
        <v>306801</v>
      </c>
      <c r="J36" s="2">
        <v>64500</v>
      </c>
      <c r="K36" s="2">
        <v>165500</v>
      </c>
      <c r="L36" s="2">
        <v>76200</v>
      </c>
      <c r="M36" s="2">
        <v>180905</v>
      </c>
      <c r="N36" s="2">
        <f t="shared" si="1"/>
        <v>2057194</v>
      </c>
    </row>
    <row r="37" spans="1:14" x14ac:dyDescent="0.2">
      <c r="A37" s="4" t="s">
        <v>35</v>
      </c>
      <c r="B37" s="1">
        <v>48</v>
      </c>
      <c r="C37" s="1">
        <v>22</v>
      </c>
      <c r="D37" s="1">
        <v>19</v>
      </c>
      <c r="E37" s="1">
        <v>34</v>
      </c>
      <c r="F37" s="1">
        <v>41</v>
      </c>
      <c r="G37" s="1">
        <v>25</v>
      </c>
      <c r="H37" s="1">
        <v>25</v>
      </c>
      <c r="I37" s="1">
        <v>41</v>
      </c>
      <c r="J37" s="1">
        <v>41</v>
      </c>
      <c r="K37" s="1">
        <v>61</v>
      </c>
      <c r="L37" s="1">
        <v>63</v>
      </c>
      <c r="M37" s="1">
        <v>64</v>
      </c>
      <c r="N37" s="1">
        <f t="shared" si="1"/>
        <v>484</v>
      </c>
    </row>
    <row r="38" spans="1:14" s="3" customFormat="1" x14ac:dyDescent="0.2">
      <c r="A38" s="6" t="s">
        <v>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1"/>
        <v>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f t="shared" si="1"/>
        <v>1</v>
      </c>
    </row>
    <row r="40" spans="1:14" s="3" customFormat="1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1000</v>
      </c>
      <c r="N40" s="2">
        <f t="shared" si="1"/>
        <v>1000</v>
      </c>
    </row>
    <row r="41" spans="1:14" x14ac:dyDescent="0.2">
      <c r="A41" s="4" t="s">
        <v>37</v>
      </c>
      <c r="B41" s="1">
        <v>2</v>
      </c>
      <c r="C41" s="1">
        <v>0</v>
      </c>
      <c r="D41" s="1">
        <v>1</v>
      </c>
      <c r="E41" s="1">
        <v>0</v>
      </c>
      <c r="F41" s="1">
        <v>1</v>
      </c>
      <c r="G41" s="1">
        <v>2</v>
      </c>
      <c r="H41" s="1">
        <v>2</v>
      </c>
      <c r="I41" s="1">
        <v>4</v>
      </c>
      <c r="J41" s="1">
        <v>1</v>
      </c>
      <c r="K41" s="1">
        <v>0</v>
      </c>
      <c r="L41" s="1">
        <v>1</v>
      </c>
      <c r="M41" s="1">
        <v>1</v>
      </c>
      <c r="N41" s="1">
        <f t="shared" si="1"/>
        <v>15</v>
      </c>
    </row>
    <row r="42" spans="1:14" s="3" customFormat="1" x14ac:dyDescent="0.2">
      <c r="A42" s="6" t="s">
        <v>18</v>
      </c>
      <c r="B42" s="2">
        <v>49000</v>
      </c>
      <c r="C42" s="2">
        <v>0</v>
      </c>
      <c r="D42" s="2">
        <v>0</v>
      </c>
      <c r="E42" s="2">
        <v>0</v>
      </c>
      <c r="F42" s="2">
        <v>0</v>
      </c>
      <c r="G42" s="2">
        <v>19000</v>
      </c>
      <c r="H42" s="2">
        <v>463500</v>
      </c>
      <c r="I42" s="2">
        <v>73543</v>
      </c>
      <c r="J42" s="2">
        <v>2000</v>
      </c>
      <c r="K42" s="2">
        <v>0</v>
      </c>
      <c r="L42" s="2">
        <v>800</v>
      </c>
      <c r="M42" s="2">
        <v>2500</v>
      </c>
      <c r="N42" s="2">
        <f t="shared" si="1"/>
        <v>610343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384</v>
      </c>
      <c r="C44" s="1">
        <f t="shared" si="2"/>
        <v>317</v>
      </c>
      <c r="D44" s="1">
        <f t="shared" si="2"/>
        <v>409</v>
      </c>
      <c r="E44" s="1">
        <f t="shared" si="2"/>
        <v>412</v>
      </c>
      <c r="F44" s="1">
        <f t="shared" si="2"/>
        <v>432</v>
      </c>
      <c r="G44" s="1">
        <f t="shared" si="2"/>
        <v>365</v>
      </c>
      <c r="H44" s="1">
        <f>SUM(H3+H5+H7+H9+H11+H13+H15+H17+H19+H21+H23+H25+H27+H29+H31+H33+H35+H37+H39+H41)</f>
        <v>650</v>
      </c>
      <c r="I44" s="1">
        <f>SUM(I3+I5+I7+I9+I11+I13+I15+I17+I19+I21+I23+I25+I27+I29+I31+I33+I35+I37+I39+I41)</f>
        <v>422</v>
      </c>
      <c r="J44" s="1">
        <f t="shared" si="2"/>
        <v>372</v>
      </c>
      <c r="K44" s="1">
        <f t="shared" si="2"/>
        <v>352</v>
      </c>
      <c r="L44" s="1">
        <f t="shared" si="2"/>
        <v>525</v>
      </c>
      <c r="M44" s="1">
        <f t="shared" si="2"/>
        <v>330</v>
      </c>
      <c r="N44" s="1">
        <f>SUM(B44:M44)</f>
        <v>4970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19232782</v>
      </c>
      <c r="C45" s="2">
        <f>SUM(C4+C6+C8+C10+C12+C14+C16+C18+C20+C22+C24+C26+C28+C30+C32+C34+C36+C38+C40+C42)</f>
        <v>31087818</v>
      </c>
      <c r="D45" s="2">
        <f>SUM(D4+D6+D8+D10+D12+D14+D16+D18+D20+D22+D24+D26+D28+D30+D32+D34+D36+D38+D40+D42)</f>
        <v>39603318</v>
      </c>
      <c r="E45" s="2">
        <f>SUM(E4+E6+E8+E10+E12+E14+E16+E18+E20+E22+E24+E26+E28+E30+E32+E34+E36+E38+E40+E42)</f>
        <v>31107618</v>
      </c>
      <c r="F45" s="2">
        <f>SUM(F4+F6+F8+F10+F12+F14+F16+F18+F20+F22+F24+F26+F28+F30+F32+F34+F36+F38+F40+F42)</f>
        <v>49933694</v>
      </c>
      <c r="G45" s="2">
        <f>SUM(G4+G6+G8+G10+G12+G14+G16+G18+G20+G22+G24+G26+G28+G30+G32+G34+G36+G38+G40+G42)</f>
        <v>22592781</v>
      </c>
      <c r="H45" s="2">
        <f>SUM(H4+H6+H8+H10+H12+H14+H16+H18+H20+H22+H24+H26+H28+H30+H32+H34+H36+H38+H40+H42)</f>
        <v>43638111</v>
      </c>
      <c r="I45" s="2">
        <f>SUM(I4+I6+I8+I10+I12+I14+I16+I18+I20+I22+I24+I26+I28+I30+I32+I34+I36+I38+I40+I42)</f>
        <v>41938747</v>
      </c>
      <c r="J45" s="2">
        <f>SUM(J4+J6+J8+J10+J12+J14+J16+J18+J20+J22+J24+J26+J28+J30+J32+J34+J36+J38+J40+J42)</f>
        <v>28635050</v>
      </c>
      <c r="K45" s="2">
        <f>SUM(K4+K6+K8+K10+K12+K14+K16+K18+K20+K22+K24+K26+K28+K30+K32+K34+K36+K38+K40+K42)</f>
        <v>25751328</v>
      </c>
      <c r="L45" s="2">
        <f>SUM(L4+L6+L8+L10+L12+L14+L16+L18+L20+L22+L24+L26+L28+L30+L32+L34+L36+L38+L40+L42)</f>
        <v>59871001</v>
      </c>
      <c r="M45" s="2">
        <f>SUM(M4+M6+M8+M10+M12+M14+M16+M18+M20+M22+M24+M26+M28+M30+M32+M34+M36+M38+M40+M42)</f>
        <v>27383667</v>
      </c>
      <c r="N45" s="2">
        <f>SUM(B45:M45)</f>
        <v>420775915</v>
      </c>
    </row>
  </sheetData>
  <phoneticPr fontId="0" type="noConversion"/>
  <pageMargins left="0.5" right="0.5" top="1" bottom="1" header="0.5" footer="0.5"/>
  <pageSetup paperSize="5" scale="79" orientation="landscape" r:id="rId1"/>
  <headerFooter alignWithMargins="0">
    <oddHeader>&amp;LPERMIT SUMMARY
CALANDAR YEAR 2005&amp;CCITY OF ALLEN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0" sqref="I50"/>
    </sheetView>
  </sheetViews>
  <sheetFormatPr defaultRowHeight="12.75" x14ac:dyDescent="0.2"/>
  <cols>
    <col min="1" max="1" width="22.28515625" style="5" customWidth="1"/>
    <col min="2" max="2" width="13.5703125" customWidth="1"/>
    <col min="3" max="3" width="14.28515625" customWidth="1"/>
    <col min="4" max="4" width="13.7109375" customWidth="1"/>
    <col min="5" max="5" width="13.85546875" customWidth="1"/>
    <col min="6" max="6" width="12.5703125" customWidth="1"/>
    <col min="7" max="7" width="13.42578125" customWidth="1"/>
    <col min="8" max="8" width="12.42578125" customWidth="1"/>
    <col min="9" max="9" width="12.140625" customWidth="1"/>
    <col min="10" max="10" width="13.140625" customWidth="1"/>
    <col min="11" max="11" width="13.42578125" customWidth="1"/>
    <col min="12" max="12" width="13.28515625" customWidth="1"/>
    <col min="13" max="13" width="13" customWidth="1"/>
    <col min="14" max="14" width="16.5703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117</v>
      </c>
      <c r="C3" s="1">
        <v>117</v>
      </c>
      <c r="D3" s="1">
        <v>145</v>
      </c>
      <c r="E3" s="1">
        <v>90</v>
      </c>
      <c r="F3" s="1">
        <v>70</v>
      </c>
      <c r="G3" s="1">
        <v>87</v>
      </c>
      <c r="H3" s="1">
        <v>110</v>
      </c>
      <c r="I3" s="1">
        <v>70</v>
      </c>
      <c r="J3" s="1">
        <v>63</v>
      </c>
      <c r="K3" s="1">
        <v>102</v>
      </c>
      <c r="L3" s="1">
        <v>64</v>
      </c>
      <c r="M3" s="1">
        <v>59</v>
      </c>
      <c r="N3" s="1">
        <f t="shared" ref="N3:N12" si="0">SUM(B3:M3)</f>
        <v>1094</v>
      </c>
    </row>
    <row r="4" spans="1:14" s="3" customFormat="1" x14ac:dyDescent="0.2">
      <c r="A4" s="6" t="s">
        <v>18</v>
      </c>
      <c r="B4" s="2">
        <v>36119137</v>
      </c>
      <c r="C4" s="2">
        <v>34152810</v>
      </c>
      <c r="D4" s="2">
        <v>43234393</v>
      </c>
      <c r="E4" s="2">
        <v>32136750</v>
      </c>
      <c r="F4" s="2">
        <v>22830295</v>
      </c>
      <c r="G4" s="2">
        <v>26101238</v>
      </c>
      <c r="H4" s="2">
        <v>33669560</v>
      </c>
      <c r="I4" s="2">
        <v>22782971</v>
      </c>
      <c r="J4" s="2">
        <v>17928549</v>
      </c>
      <c r="K4" s="2">
        <v>27785451</v>
      </c>
      <c r="L4" s="2">
        <v>21063108</v>
      </c>
      <c r="M4" s="2">
        <v>19494600</v>
      </c>
      <c r="N4" s="2">
        <f t="shared" si="0"/>
        <v>337298862</v>
      </c>
    </row>
    <row r="5" spans="1:14" x14ac:dyDescent="0.2">
      <c r="A5" s="4" t="s">
        <v>43</v>
      </c>
      <c r="B5" s="1">
        <v>0</v>
      </c>
      <c r="C5" s="1">
        <v>15</v>
      </c>
      <c r="D5" s="1">
        <v>5</v>
      </c>
      <c r="E5" s="1">
        <v>42</v>
      </c>
      <c r="F5" s="1">
        <v>0</v>
      </c>
      <c r="G5" s="1">
        <v>8</v>
      </c>
      <c r="H5" s="1">
        <v>0</v>
      </c>
      <c r="I5" s="1">
        <v>27</v>
      </c>
      <c r="J5" s="1">
        <v>25</v>
      </c>
      <c r="K5" s="1">
        <v>22</v>
      </c>
      <c r="L5" s="1">
        <v>0</v>
      </c>
      <c r="M5" s="1">
        <v>12</v>
      </c>
      <c r="N5" s="1">
        <f t="shared" si="0"/>
        <v>156</v>
      </c>
    </row>
    <row r="6" spans="1:14" s="3" customFormat="1" x14ac:dyDescent="0.2">
      <c r="A6" s="6" t="s">
        <v>18</v>
      </c>
      <c r="B6" s="2">
        <v>0</v>
      </c>
      <c r="C6" s="2">
        <v>2689860</v>
      </c>
      <c r="D6" s="2">
        <v>765815</v>
      </c>
      <c r="E6" s="2">
        <v>7958790</v>
      </c>
      <c r="F6" s="2">
        <v>0</v>
      </c>
      <c r="G6" s="2">
        <v>1898000</v>
      </c>
      <c r="H6" s="2">
        <v>0</v>
      </c>
      <c r="I6" s="2">
        <v>3240000</v>
      </c>
      <c r="J6" s="2">
        <v>3731912</v>
      </c>
      <c r="K6" s="2">
        <v>2933329</v>
      </c>
      <c r="L6" s="2">
        <v>0</v>
      </c>
      <c r="M6" s="2">
        <v>1440000</v>
      </c>
      <c r="N6" s="2">
        <f t="shared" si="0"/>
        <v>24657706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348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348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21466282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f t="shared" si="0"/>
        <v>21466282</v>
      </c>
    </row>
    <row r="9" spans="1:14" x14ac:dyDescent="0.2">
      <c r="A9" s="4" t="s">
        <v>41</v>
      </c>
      <c r="B9" s="1">
        <v>71</v>
      </c>
      <c r="C9" s="1">
        <v>84</v>
      </c>
      <c r="D9" s="1">
        <v>87</v>
      </c>
      <c r="E9" s="1">
        <v>86</v>
      </c>
      <c r="F9" s="1">
        <v>92</v>
      </c>
      <c r="G9" s="1">
        <v>80</v>
      </c>
      <c r="H9" s="1">
        <v>62</v>
      </c>
      <c r="I9" s="1">
        <v>107</v>
      </c>
      <c r="J9" s="1">
        <v>74</v>
      </c>
      <c r="K9" s="1">
        <v>70</v>
      </c>
      <c r="L9" s="1">
        <v>76</v>
      </c>
      <c r="M9" s="1">
        <v>69</v>
      </c>
      <c r="N9" s="1">
        <f t="shared" si="0"/>
        <v>958</v>
      </c>
    </row>
    <row r="10" spans="1:14" s="3" customFormat="1" x14ac:dyDescent="0.2">
      <c r="A10" s="6" t="s">
        <v>18</v>
      </c>
      <c r="B10" s="2">
        <v>333393</v>
      </c>
      <c r="C10" s="2">
        <v>446804</v>
      </c>
      <c r="D10" s="2">
        <v>552859</v>
      </c>
      <c r="E10" s="2">
        <v>384083</v>
      </c>
      <c r="F10" s="2">
        <v>462784</v>
      </c>
      <c r="G10" s="2">
        <v>239218</v>
      </c>
      <c r="H10" s="2">
        <v>1200540</v>
      </c>
      <c r="I10" s="2">
        <v>413763</v>
      </c>
      <c r="J10" s="2">
        <v>432550</v>
      </c>
      <c r="K10" s="2">
        <v>345839</v>
      </c>
      <c r="L10" s="2">
        <v>313254</v>
      </c>
      <c r="M10" s="2">
        <v>515168</v>
      </c>
      <c r="N10" s="2">
        <f t="shared" si="0"/>
        <v>5640255</v>
      </c>
    </row>
    <row r="11" spans="1:14" x14ac:dyDescent="0.2">
      <c r="A11" s="4" t="s">
        <v>22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3</v>
      </c>
      <c r="K11" s="1">
        <v>0</v>
      </c>
      <c r="L11" s="1">
        <v>1</v>
      </c>
      <c r="M11" s="1">
        <v>1</v>
      </c>
      <c r="N11" s="1">
        <f t="shared" si="0"/>
        <v>7</v>
      </c>
    </row>
    <row r="12" spans="1:14" s="3" customFormat="1" x14ac:dyDescent="0.2">
      <c r="A12" s="6" t="s">
        <v>18</v>
      </c>
      <c r="B12" s="2">
        <v>0</v>
      </c>
      <c r="C12" s="2">
        <v>60000</v>
      </c>
      <c r="D12" s="2">
        <v>0</v>
      </c>
      <c r="E12" s="2">
        <v>0</v>
      </c>
      <c r="F12" s="2">
        <v>0</v>
      </c>
      <c r="G12" s="2">
        <v>14200</v>
      </c>
      <c r="H12" s="2">
        <v>0</v>
      </c>
      <c r="I12" s="2">
        <v>0</v>
      </c>
      <c r="J12" s="2">
        <v>101000</v>
      </c>
      <c r="K12" s="2">
        <v>0</v>
      </c>
      <c r="L12" s="2">
        <v>26500</v>
      </c>
      <c r="M12" s="2">
        <v>44000</v>
      </c>
      <c r="N12" s="2">
        <f t="shared" si="0"/>
        <v>245700</v>
      </c>
    </row>
    <row r="13" spans="1:14" x14ac:dyDescent="0.2">
      <c r="A13" s="4" t="s">
        <v>42</v>
      </c>
      <c r="B13" s="1">
        <v>14</v>
      </c>
      <c r="C13" s="1">
        <v>11</v>
      </c>
      <c r="D13" s="1">
        <v>28</v>
      </c>
      <c r="E13" s="1">
        <v>23</v>
      </c>
      <c r="F13" s="1">
        <v>16</v>
      </c>
      <c r="G13" s="1">
        <v>24</v>
      </c>
      <c r="H13" s="1">
        <v>6</v>
      </c>
      <c r="I13" s="1">
        <v>19</v>
      </c>
      <c r="J13" s="1">
        <v>16</v>
      </c>
      <c r="K13" s="1">
        <v>77</v>
      </c>
      <c r="L13" s="1">
        <v>15</v>
      </c>
      <c r="M13" s="1">
        <v>5</v>
      </c>
      <c r="N13" s="1">
        <f>SUM(B13:M13)</f>
        <v>254</v>
      </c>
    </row>
    <row r="14" spans="1:14" s="3" customFormat="1" x14ac:dyDescent="0.2">
      <c r="A14" s="6" t="s">
        <v>18</v>
      </c>
      <c r="B14" s="2">
        <v>247168</v>
      </c>
      <c r="C14" s="2">
        <v>1129880</v>
      </c>
      <c r="D14" s="2">
        <v>1591618</v>
      </c>
      <c r="E14" s="2">
        <v>7363250</v>
      </c>
      <c r="F14" s="2">
        <v>191600</v>
      </c>
      <c r="G14" s="2">
        <v>1288882</v>
      </c>
      <c r="H14" s="2">
        <v>34400</v>
      </c>
      <c r="I14" s="2">
        <v>1464163</v>
      </c>
      <c r="J14" s="2">
        <v>612497</v>
      </c>
      <c r="K14" s="2">
        <v>937062</v>
      </c>
      <c r="L14" s="2">
        <v>3722263</v>
      </c>
      <c r="M14" s="2">
        <v>194304</v>
      </c>
      <c r="N14" s="2">
        <f>SUM(B14:M14)</f>
        <v>18777087</v>
      </c>
    </row>
    <row r="15" spans="1:14" x14ac:dyDescent="0.2">
      <c r="A15" s="4" t="s">
        <v>24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1</v>
      </c>
      <c r="H15" s="1">
        <v>1</v>
      </c>
      <c r="I15" s="1">
        <v>3</v>
      </c>
      <c r="J15" s="1">
        <v>2</v>
      </c>
      <c r="K15" s="1">
        <v>2</v>
      </c>
      <c r="L15" s="1">
        <v>3</v>
      </c>
      <c r="M15" s="1">
        <v>2</v>
      </c>
      <c r="N15" s="1">
        <f t="shared" ref="N15:N42" si="1">SUM(B15:M15)</f>
        <v>20</v>
      </c>
    </row>
    <row r="16" spans="1:14" s="3" customFormat="1" x14ac:dyDescent="0.2">
      <c r="A16" s="6" t="s">
        <v>18</v>
      </c>
      <c r="B16" s="2">
        <v>235000</v>
      </c>
      <c r="C16" s="2">
        <v>1200000</v>
      </c>
      <c r="D16" s="2">
        <v>900000</v>
      </c>
      <c r="E16" s="2">
        <v>3200000</v>
      </c>
      <c r="F16" s="2">
        <v>1680000</v>
      </c>
      <c r="G16" s="2">
        <v>247845</v>
      </c>
      <c r="H16" s="2">
        <v>8500000</v>
      </c>
      <c r="I16" s="2">
        <v>5380238</v>
      </c>
      <c r="J16" s="2">
        <v>12663990</v>
      </c>
      <c r="K16" s="2">
        <v>9000000</v>
      </c>
      <c r="L16" s="2">
        <v>3354368</v>
      </c>
      <c r="M16" s="2">
        <v>1377276</v>
      </c>
      <c r="N16" s="2">
        <f t="shared" si="1"/>
        <v>47738717</v>
      </c>
    </row>
    <row r="17" spans="1:14" x14ac:dyDescent="0.2">
      <c r="A17" s="4" t="s">
        <v>40</v>
      </c>
      <c r="B17" s="1">
        <v>7</v>
      </c>
      <c r="C17" s="1">
        <v>29</v>
      </c>
      <c r="D17" s="1">
        <v>24</v>
      </c>
      <c r="E17" s="1">
        <v>14</v>
      </c>
      <c r="F17" s="1">
        <v>12</v>
      </c>
      <c r="G17" s="1">
        <v>14</v>
      </c>
      <c r="H17" s="1">
        <v>7</v>
      </c>
      <c r="I17" s="1">
        <v>12</v>
      </c>
      <c r="J17" s="1">
        <v>17</v>
      </c>
      <c r="K17" s="1">
        <v>13</v>
      </c>
      <c r="L17" s="1">
        <v>9</v>
      </c>
      <c r="M17" s="1">
        <v>6</v>
      </c>
      <c r="N17" s="1">
        <f t="shared" si="1"/>
        <v>164</v>
      </c>
    </row>
    <row r="18" spans="1:14" s="3" customFormat="1" x14ac:dyDescent="0.2">
      <c r="A18" s="6" t="s">
        <v>18</v>
      </c>
      <c r="B18" s="2">
        <v>489200</v>
      </c>
      <c r="C18" s="2">
        <v>719516</v>
      </c>
      <c r="D18" s="2">
        <v>711326</v>
      </c>
      <c r="E18" s="2">
        <v>1012939</v>
      </c>
      <c r="F18" s="2">
        <v>267300</v>
      </c>
      <c r="G18" s="2">
        <v>260000</v>
      </c>
      <c r="H18" s="2">
        <v>237841</v>
      </c>
      <c r="I18" s="2">
        <v>41150</v>
      </c>
      <c r="J18" s="2">
        <v>29000</v>
      </c>
      <c r="K18" s="2">
        <v>80500</v>
      </c>
      <c r="L18" s="2">
        <v>154794</v>
      </c>
      <c r="M18" s="2">
        <v>38000</v>
      </c>
      <c r="N18" s="2">
        <f t="shared" si="1"/>
        <v>4041566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s="3" customFormat="1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0</v>
      </c>
    </row>
    <row r="22" spans="1:14" s="3" customFormat="1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s="3" customFormat="1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4" x14ac:dyDescent="0.2">
      <c r="A25" s="4" t="s">
        <v>29</v>
      </c>
      <c r="B25" s="1">
        <v>1</v>
      </c>
      <c r="C25" s="1">
        <v>6</v>
      </c>
      <c r="D25" s="1">
        <v>3</v>
      </c>
      <c r="E25" s="1">
        <v>6</v>
      </c>
      <c r="F25" s="1">
        <v>6</v>
      </c>
      <c r="G25" s="1">
        <v>3</v>
      </c>
      <c r="H25" s="1">
        <v>3</v>
      </c>
      <c r="I25" s="1">
        <v>6</v>
      </c>
      <c r="J25" s="1">
        <v>4</v>
      </c>
      <c r="K25" s="1">
        <v>4</v>
      </c>
      <c r="L25" s="1">
        <v>4</v>
      </c>
      <c r="M25" s="1">
        <v>3</v>
      </c>
      <c r="N25" s="1">
        <f t="shared" si="1"/>
        <v>49</v>
      </c>
    </row>
    <row r="26" spans="1:14" s="3" customFormat="1" x14ac:dyDescent="0.2">
      <c r="A26" s="6" t="s">
        <v>18</v>
      </c>
      <c r="B26" s="2">
        <v>0</v>
      </c>
      <c r="C26" s="2">
        <v>1500</v>
      </c>
      <c r="D26" s="2">
        <v>3000</v>
      </c>
      <c r="E26" s="2">
        <v>10000</v>
      </c>
      <c r="F26" s="2">
        <v>29011</v>
      </c>
      <c r="G26" s="2">
        <v>0</v>
      </c>
      <c r="H26" s="2">
        <v>2000</v>
      </c>
      <c r="I26" s="2">
        <v>15000</v>
      </c>
      <c r="J26" s="2">
        <v>1000</v>
      </c>
      <c r="K26" s="2">
        <v>0</v>
      </c>
      <c r="L26" s="2">
        <v>0</v>
      </c>
      <c r="M26" s="2">
        <v>38460</v>
      </c>
      <c r="N26" s="2">
        <f t="shared" si="1"/>
        <v>99971</v>
      </c>
    </row>
    <row r="27" spans="1:14" x14ac:dyDescent="0.2">
      <c r="A27" s="4" t="s">
        <v>30</v>
      </c>
      <c r="B27" s="1">
        <v>7</v>
      </c>
      <c r="C27" s="1">
        <v>4</v>
      </c>
      <c r="D27" s="1">
        <v>8</v>
      </c>
      <c r="E27" s="1">
        <v>7</v>
      </c>
      <c r="F27" s="1">
        <v>6</v>
      </c>
      <c r="G27" s="1">
        <v>9</v>
      </c>
      <c r="H27" s="1">
        <v>3</v>
      </c>
      <c r="I27" s="1">
        <v>5</v>
      </c>
      <c r="J27" s="1">
        <v>2</v>
      </c>
      <c r="K27" s="1">
        <v>2</v>
      </c>
      <c r="L27" s="1">
        <v>3</v>
      </c>
      <c r="M27" s="1">
        <v>4</v>
      </c>
      <c r="N27" s="1">
        <f t="shared" si="1"/>
        <v>60</v>
      </c>
    </row>
    <row r="28" spans="1:14" s="3" customFormat="1" x14ac:dyDescent="0.2">
      <c r="A28" s="6" t="s">
        <v>18</v>
      </c>
      <c r="B28" s="2">
        <v>13500</v>
      </c>
      <c r="C28" s="2">
        <v>5700</v>
      </c>
      <c r="D28" s="2">
        <v>11950</v>
      </c>
      <c r="E28" s="2">
        <v>12075</v>
      </c>
      <c r="F28" s="2">
        <v>9378</v>
      </c>
      <c r="G28" s="2">
        <v>22050</v>
      </c>
      <c r="H28" s="2">
        <v>7400</v>
      </c>
      <c r="I28" s="2">
        <v>9150</v>
      </c>
      <c r="J28" s="2">
        <v>6200</v>
      </c>
      <c r="K28" s="2">
        <v>6000</v>
      </c>
      <c r="L28" s="2">
        <v>6400</v>
      </c>
      <c r="M28" s="2">
        <v>10571</v>
      </c>
      <c r="N28" s="2">
        <f t="shared" si="1"/>
        <v>120374</v>
      </c>
    </row>
    <row r="29" spans="1:14" x14ac:dyDescent="0.2">
      <c r="A29" s="4" t="s">
        <v>31</v>
      </c>
      <c r="B29" s="1">
        <v>20</v>
      </c>
      <c r="C29" s="1">
        <v>18</v>
      </c>
      <c r="D29" s="1">
        <v>32</v>
      </c>
      <c r="E29" s="1">
        <v>43</v>
      </c>
      <c r="F29" s="1">
        <v>39</v>
      </c>
      <c r="G29" s="1">
        <v>44</v>
      </c>
      <c r="H29" s="1">
        <v>19</v>
      </c>
      <c r="I29" s="1">
        <v>19</v>
      </c>
      <c r="J29" s="1">
        <v>18</v>
      </c>
      <c r="K29" s="1">
        <v>12</v>
      </c>
      <c r="L29" s="1">
        <v>16</v>
      </c>
      <c r="M29" s="1">
        <v>17</v>
      </c>
      <c r="N29" s="1">
        <f t="shared" si="1"/>
        <v>297</v>
      </c>
    </row>
    <row r="30" spans="1:14" s="3" customFormat="1" x14ac:dyDescent="0.2">
      <c r="A30" s="6" t="s">
        <v>18</v>
      </c>
      <c r="B30" s="2">
        <v>918900</v>
      </c>
      <c r="C30" s="2">
        <v>549217</v>
      </c>
      <c r="D30" s="2">
        <v>947705</v>
      </c>
      <c r="E30" s="2">
        <v>1429050</v>
      </c>
      <c r="F30" s="2">
        <v>1161908</v>
      </c>
      <c r="G30" s="2">
        <v>1311459</v>
      </c>
      <c r="H30" s="2">
        <v>518800</v>
      </c>
      <c r="I30" s="2">
        <v>638488</v>
      </c>
      <c r="J30" s="2">
        <v>488500</v>
      </c>
      <c r="K30" s="2">
        <v>375100</v>
      </c>
      <c r="L30" s="2">
        <v>445950</v>
      </c>
      <c r="M30" s="2">
        <v>553000</v>
      </c>
      <c r="N30" s="2">
        <f t="shared" si="1"/>
        <v>9338077</v>
      </c>
    </row>
    <row r="31" spans="1:14" x14ac:dyDescent="0.2">
      <c r="A31" s="4" t="s">
        <v>32</v>
      </c>
      <c r="B31" s="1">
        <v>0</v>
      </c>
      <c r="C31" s="1">
        <v>0</v>
      </c>
      <c r="D31" s="1">
        <v>1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1</v>
      </c>
      <c r="M31" s="1">
        <v>0</v>
      </c>
      <c r="N31" s="1">
        <f t="shared" si="1"/>
        <v>4</v>
      </c>
    </row>
    <row r="32" spans="1:14" s="3" customFormat="1" x14ac:dyDescent="0.2">
      <c r="A32" s="6" t="s">
        <v>18</v>
      </c>
      <c r="B32" s="2">
        <v>0</v>
      </c>
      <c r="C32" s="2">
        <v>0</v>
      </c>
      <c r="D32" s="2">
        <v>30000</v>
      </c>
      <c r="E32" s="2">
        <v>0</v>
      </c>
      <c r="F32" s="2">
        <v>13500</v>
      </c>
      <c r="G32" s="2">
        <v>0</v>
      </c>
      <c r="H32" s="2">
        <v>0</v>
      </c>
      <c r="I32" s="2">
        <v>0</v>
      </c>
      <c r="J32" s="2">
        <v>19400</v>
      </c>
      <c r="K32" s="2">
        <v>0</v>
      </c>
      <c r="L32" s="2">
        <v>600</v>
      </c>
      <c r="M32" s="2">
        <v>0</v>
      </c>
      <c r="N32" s="2">
        <f t="shared" si="1"/>
        <v>63500</v>
      </c>
    </row>
    <row r="33" spans="1:14" x14ac:dyDescent="0.2">
      <c r="A33" s="4" t="s">
        <v>33</v>
      </c>
      <c r="B33" s="1">
        <v>100</v>
      </c>
      <c r="C33" s="1">
        <v>65</v>
      </c>
      <c r="D33" s="1">
        <v>80</v>
      </c>
      <c r="E33" s="1">
        <v>142</v>
      </c>
      <c r="F33" s="1">
        <v>143</v>
      </c>
      <c r="G33" s="1">
        <v>124</v>
      </c>
      <c r="H33" s="1">
        <v>103</v>
      </c>
      <c r="I33" s="1">
        <v>77</v>
      </c>
      <c r="J33" s="1">
        <v>117</v>
      </c>
      <c r="K33" s="1">
        <v>41</v>
      </c>
      <c r="L33" s="1">
        <v>100</v>
      </c>
      <c r="M33" s="1">
        <v>42</v>
      </c>
      <c r="N33" s="1">
        <f t="shared" si="1"/>
        <v>1134</v>
      </c>
    </row>
    <row r="34" spans="1:14" s="3" customFormat="1" x14ac:dyDescent="0.2">
      <c r="A34" s="6" t="s">
        <v>18</v>
      </c>
      <c r="B34" s="2">
        <v>231708</v>
      </c>
      <c r="C34" s="2">
        <v>217945</v>
      </c>
      <c r="D34" s="2">
        <v>161810</v>
      </c>
      <c r="E34" s="2">
        <v>325849</v>
      </c>
      <c r="F34" s="2">
        <v>209530</v>
      </c>
      <c r="G34" s="2">
        <v>514560</v>
      </c>
      <c r="H34" s="2">
        <v>347698</v>
      </c>
      <c r="I34" s="2">
        <v>217281</v>
      </c>
      <c r="J34" s="2">
        <v>263343</v>
      </c>
      <c r="K34" s="2">
        <v>182210</v>
      </c>
      <c r="L34" s="2">
        <v>140041</v>
      </c>
      <c r="M34" s="2">
        <v>132339</v>
      </c>
      <c r="N34" s="2">
        <f t="shared" si="1"/>
        <v>2944314</v>
      </c>
    </row>
    <row r="35" spans="1:14" x14ac:dyDescent="0.2">
      <c r="A35" s="4" t="s">
        <v>34</v>
      </c>
      <c r="B35" s="1">
        <v>74</v>
      </c>
      <c r="C35" s="1">
        <v>63</v>
      </c>
      <c r="D35" s="1">
        <v>67</v>
      </c>
      <c r="E35" s="1">
        <v>76</v>
      </c>
      <c r="F35" s="1">
        <v>86</v>
      </c>
      <c r="G35" s="1">
        <v>67</v>
      </c>
      <c r="H35" s="1">
        <v>83</v>
      </c>
      <c r="I35" s="1">
        <v>45</v>
      </c>
      <c r="J35" s="1">
        <v>65</v>
      </c>
      <c r="K35" s="1">
        <v>68</v>
      </c>
      <c r="L35" s="1">
        <v>56</v>
      </c>
      <c r="M35" s="1">
        <v>49</v>
      </c>
      <c r="N35" s="1">
        <f t="shared" si="1"/>
        <v>799</v>
      </c>
    </row>
    <row r="36" spans="1:14" s="3" customFormat="1" x14ac:dyDescent="0.2">
      <c r="A36" s="6" t="s">
        <v>18</v>
      </c>
      <c r="B36" s="2">
        <v>1782650</v>
      </c>
      <c r="C36" s="2">
        <v>116550</v>
      </c>
      <c r="D36" s="2">
        <v>516000</v>
      </c>
      <c r="E36" s="2">
        <v>143804</v>
      </c>
      <c r="F36" s="2">
        <v>202950</v>
      </c>
      <c r="G36" s="2">
        <v>116400</v>
      </c>
      <c r="H36" s="2">
        <v>106100</v>
      </c>
      <c r="I36" s="2">
        <v>70400</v>
      </c>
      <c r="J36" s="2">
        <v>126140</v>
      </c>
      <c r="K36" s="2">
        <v>160000</v>
      </c>
      <c r="L36" s="2">
        <v>108300</v>
      </c>
      <c r="M36" s="2">
        <v>128900</v>
      </c>
      <c r="N36" s="2">
        <f t="shared" si="1"/>
        <v>3578194</v>
      </c>
    </row>
    <row r="37" spans="1:14" x14ac:dyDescent="0.2">
      <c r="A37" s="4" t="s">
        <v>35</v>
      </c>
      <c r="B37" s="1">
        <v>38</v>
      </c>
      <c r="C37" s="1">
        <v>45</v>
      </c>
      <c r="D37" s="1">
        <v>48</v>
      </c>
      <c r="E37" s="1">
        <v>44</v>
      </c>
      <c r="F37" s="1">
        <v>35</v>
      </c>
      <c r="G37" s="1">
        <v>50</v>
      </c>
      <c r="H37" s="1">
        <v>18</v>
      </c>
      <c r="I37" s="1">
        <v>31</v>
      </c>
      <c r="J37" s="1">
        <v>36</v>
      </c>
      <c r="K37" s="1">
        <v>39</v>
      </c>
      <c r="L37" s="1">
        <v>33</v>
      </c>
      <c r="M37" s="1">
        <v>43</v>
      </c>
      <c r="N37" s="1">
        <f t="shared" si="1"/>
        <v>460</v>
      </c>
    </row>
    <row r="38" spans="1:14" s="3" customFormat="1" x14ac:dyDescent="0.2">
      <c r="A38" s="6" t="s">
        <v>18</v>
      </c>
      <c r="B38" s="2">
        <v>0</v>
      </c>
      <c r="C38" s="2">
        <v>0</v>
      </c>
      <c r="D38" s="2">
        <v>100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1"/>
        <v>100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f t="shared" si="1"/>
        <v>0</v>
      </c>
    </row>
    <row r="40" spans="1:14" s="3" customFormat="1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 x14ac:dyDescent="0.2">
      <c r="A41" s="4" t="s">
        <v>37</v>
      </c>
      <c r="B41" s="1">
        <v>1</v>
      </c>
      <c r="C41" s="1">
        <v>2</v>
      </c>
      <c r="D41" s="1">
        <v>1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1</v>
      </c>
      <c r="L41" s="1">
        <v>0</v>
      </c>
      <c r="M41" s="1">
        <v>1</v>
      </c>
      <c r="N41" s="1">
        <f t="shared" si="1"/>
        <v>7</v>
      </c>
    </row>
    <row r="42" spans="1:14" s="3" customFormat="1" x14ac:dyDescent="0.2">
      <c r="A42" s="6" t="s">
        <v>18</v>
      </c>
      <c r="B42" s="2">
        <v>4000</v>
      </c>
      <c r="C42" s="2">
        <v>24000</v>
      </c>
      <c r="D42" s="2">
        <v>6350</v>
      </c>
      <c r="E42" s="2">
        <v>0</v>
      </c>
      <c r="F42" s="2">
        <v>0</v>
      </c>
      <c r="G42" s="2">
        <v>0</v>
      </c>
      <c r="H42" s="2">
        <v>10000</v>
      </c>
      <c r="I42" s="2">
        <v>0</v>
      </c>
      <c r="J42" s="2">
        <v>0</v>
      </c>
      <c r="K42" s="2">
        <v>0</v>
      </c>
      <c r="L42" s="2">
        <v>0</v>
      </c>
      <c r="M42" s="2">
        <v>26000</v>
      </c>
      <c r="N42" s="2">
        <f t="shared" si="1"/>
        <v>70350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451</v>
      </c>
      <c r="C44" s="1">
        <f t="shared" si="2"/>
        <v>461</v>
      </c>
      <c r="D44" s="1">
        <f t="shared" si="2"/>
        <v>530</v>
      </c>
      <c r="E44" s="1">
        <f t="shared" si="2"/>
        <v>574</v>
      </c>
      <c r="F44" s="1">
        <f t="shared" si="2"/>
        <v>508</v>
      </c>
      <c r="G44" s="1">
        <f t="shared" si="2"/>
        <v>860</v>
      </c>
      <c r="H44" s="1">
        <f t="shared" si="2"/>
        <v>416</v>
      </c>
      <c r="I44" s="1">
        <f t="shared" si="2"/>
        <v>421</v>
      </c>
      <c r="J44" s="1">
        <f t="shared" si="2"/>
        <v>443</v>
      </c>
      <c r="K44" s="1">
        <f t="shared" si="2"/>
        <v>453</v>
      </c>
      <c r="L44" s="1">
        <f t="shared" si="2"/>
        <v>381</v>
      </c>
      <c r="M44" s="1">
        <f t="shared" si="2"/>
        <v>313</v>
      </c>
      <c r="N44" s="1">
        <f>SUM(B44:M44)</f>
        <v>5811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40374656</v>
      </c>
      <c r="C45" s="2">
        <f t="shared" ref="C45:H45" si="3">SUM(C4+C6+C8+C10+C12+C14+C16+C18+C20+C22+C24+C26+C28+C30+C32+C34+C36+C38+C40+C42)</f>
        <v>41313782</v>
      </c>
      <c r="D45" s="2">
        <f t="shared" si="3"/>
        <v>49432926</v>
      </c>
      <c r="E45" s="2">
        <f t="shared" si="3"/>
        <v>53976590</v>
      </c>
      <c r="F45" s="2">
        <f t="shared" si="3"/>
        <v>27058256</v>
      </c>
      <c r="G45" s="2">
        <f t="shared" si="3"/>
        <v>53480134</v>
      </c>
      <c r="H45" s="2">
        <f t="shared" si="3"/>
        <v>44634339</v>
      </c>
      <c r="I45" s="2">
        <f>SUM(I4+I6+I8+I10+I12+I16+I14+I18+I20+I22+I24+I26+I28+I30+I32+I34+I36+I38+I40+I42)</f>
        <v>34272604</v>
      </c>
      <c r="J45" s="2">
        <f>SUM(J4+J6+J8+J10+J12+J14+J16+J18+J20+J22+J24+J26+J28+J30+J32+J34+J36+J38+J40+J42)</f>
        <v>36404081</v>
      </c>
      <c r="K45" s="2">
        <f>SUM(K4+K6+K8+K10+K12+K14+K16+K18+K20+K22+K24+K26+K28+K30+K32+K34+K36+K38+K40+K42)</f>
        <v>41805491</v>
      </c>
      <c r="L45" s="2">
        <f>SUM(L4+L6+L8+L10+L12+L14+L16+L18+L20+L22+L24+L26+L28+L30+L32+L34+L36+L38+L40+L42)</f>
        <v>29335578</v>
      </c>
      <c r="M45" s="2">
        <f>SUM(M4+M6+M8+M10+M12+M14+M16+M18+M20+M22+M24+M26+M28+M30+M32+M34+M36+M38+M40+M42)</f>
        <v>23992618</v>
      </c>
      <c r="N45" s="2">
        <f>SUM(B45:M45)</f>
        <v>476081055</v>
      </c>
    </row>
  </sheetData>
  <phoneticPr fontId="0" type="noConversion"/>
  <pageMargins left="0.5" right="0.5" top="1" bottom="1" header="0.5" footer="0.5"/>
  <pageSetup paperSize="5" scale="79" orientation="landscape" r:id="rId1"/>
  <headerFooter alignWithMargins="0">
    <oddHeader>&amp;LPERMIT SUMMARY
CALANDAR YEAR 2006&amp;CCITY OF ALLEN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RowHeight="12.75" x14ac:dyDescent="0.2"/>
  <cols>
    <col min="1" max="1" width="22.28515625" style="5" customWidth="1"/>
    <col min="2" max="2" width="13.5703125" customWidth="1"/>
    <col min="3" max="3" width="14.28515625" customWidth="1"/>
    <col min="4" max="4" width="13.7109375" customWidth="1"/>
    <col min="5" max="5" width="13.85546875" customWidth="1"/>
    <col min="6" max="6" width="12.5703125" customWidth="1"/>
    <col min="7" max="7" width="13.42578125" customWidth="1"/>
    <col min="8" max="8" width="12.42578125" customWidth="1"/>
    <col min="9" max="9" width="12.140625" customWidth="1"/>
    <col min="10" max="10" width="13.140625" customWidth="1"/>
    <col min="11" max="11" width="13.42578125" customWidth="1"/>
    <col min="12" max="12" width="13.28515625" customWidth="1"/>
    <col min="13" max="13" width="13" customWidth="1"/>
    <col min="14" max="14" width="16.5703125" customWidth="1"/>
  </cols>
  <sheetData>
    <row r="1" spans="1:14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24</v>
      </c>
      <c r="C3" s="1">
        <v>44</v>
      </c>
      <c r="D3" s="1">
        <v>58</v>
      </c>
      <c r="E3" s="1">
        <v>54</v>
      </c>
      <c r="F3" s="1">
        <v>48</v>
      </c>
      <c r="G3" s="1">
        <v>157</v>
      </c>
      <c r="H3" s="1">
        <v>48</v>
      </c>
      <c r="I3" s="1">
        <v>43</v>
      </c>
      <c r="J3" s="1">
        <v>71</v>
      </c>
      <c r="K3" s="1">
        <v>96</v>
      </c>
      <c r="L3" s="1">
        <v>68</v>
      </c>
      <c r="M3" s="1">
        <v>30</v>
      </c>
      <c r="N3" s="1">
        <f t="shared" ref="N3:N12" si="0">SUM(B3:M3)</f>
        <v>741</v>
      </c>
    </row>
    <row r="4" spans="1:14" s="3" customFormat="1" x14ac:dyDescent="0.2">
      <c r="A4" s="6" t="s">
        <v>18</v>
      </c>
      <c r="B4" s="2">
        <v>9997139</v>
      </c>
      <c r="C4" s="2">
        <v>18841714</v>
      </c>
      <c r="D4" s="2">
        <v>19650304</v>
      </c>
      <c r="E4" s="2">
        <v>18203426</v>
      </c>
      <c r="F4" s="2">
        <v>21238196</v>
      </c>
      <c r="G4" s="2">
        <v>53144775</v>
      </c>
      <c r="H4" s="2">
        <v>19222300</v>
      </c>
      <c r="I4" s="2">
        <v>19212586</v>
      </c>
      <c r="J4" s="2">
        <v>30810971</v>
      </c>
      <c r="K4" s="2">
        <v>34160351</v>
      </c>
      <c r="L4" s="2">
        <v>26845170</v>
      </c>
      <c r="M4" s="2">
        <v>12078844</v>
      </c>
      <c r="N4" s="2">
        <f t="shared" si="0"/>
        <v>283405776</v>
      </c>
    </row>
    <row r="5" spans="1:14" x14ac:dyDescent="0.2">
      <c r="A5" s="4" t="s">
        <v>43</v>
      </c>
      <c r="B5" s="1">
        <v>12</v>
      </c>
      <c r="C5" s="1">
        <v>21</v>
      </c>
      <c r="D5" s="1">
        <v>22</v>
      </c>
      <c r="E5" s="1">
        <v>6</v>
      </c>
      <c r="F5" s="1">
        <v>2</v>
      </c>
      <c r="G5" s="1">
        <v>7</v>
      </c>
      <c r="H5" s="1">
        <v>4</v>
      </c>
      <c r="I5" s="1">
        <v>24</v>
      </c>
      <c r="J5" s="1">
        <v>9</v>
      </c>
      <c r="K5" s="1">
        <v>0</v>
      </c>
      <c r="L5" s="1">
        <v>26</v>
      </c>
      <c r="M5" s="1">
        <v>5</v>
      </c>
      <c r="N5" s="1">
        <f t="shared" si="0"/>
        <v>138</v>
      </c>
    </row>
    <row r="6" spans="1:14" s="3" customFormat="1" x14ac:dyDescent="0.2">
      <c r="A6" s="6" t="s">
        <v>18</v>
      </c>
      <c r="B6" s="2">
        <v>1837940</v>
      </c>
      <c r="C6" s="2">
        <v>3480604</v>
      </c>
      <c r="D6" s="2">
        <v>4264280</v>
      </c>
      <c r="E6" s="2">
        <v>1170940</v>
      </c>
      <c r="F6" s="2">
        <v>396980</v>
      </c>
      <c r="G6" s="2">
        <v>1449430</v>
      </c>
      <c r="H6" s="2">
        <v>712000</v>
      </c>
      <c r="I6" s="2">
        <v>3264450</v>
      </c>
      <c r="J6" s="2">
        <v>1460450</v>
      </c>
      <c r="K6" s="2">
        <v>0</v>
      </c>
      <c r="L6" s="2">
        <v>3950960</v>
      </c>
      <c r="M6" s="2">
        <v>1002450</v>
      </c>
      <c r="N6" s="2">
        <f t="shared" si="0"/>
        <v>22990484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49</v>
      </c>
      <c r="L7" s="1">
        <v>56</v>
      </c>
      <c r="M7" s="1">
        <v>0</v>
      </c>
      <c r="N7" s="1">
        <f t="shared" si="0"/>
        <v>105</v>
      </c>
    </row>
    <row r="8" spans="1:14" s="3" customFormat="1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10000000</v>
      </c>
      <c r="L8" s="2">
        <v>18946287</v>
      </c>
      <c r="M8" s="2">
        <v>0</v>
      </c>
      <c r="N8" s="2">
        <f t="shared" si="0"/>
        <v>28946287</v>
      </c>
    </row>
    <row r="9" spans="1:14" x14ac:dyDescent="0.2">
      <c r="A9" s="4" t="s">
        <v>41</v>
      </c>
      <c r="B9" s="1">
        <v>94</v>
      </c>
      <c r="C9" s="1">
        <v>81</v>
      </c>
      <c r="D9" s="1">
        <v>114</v>
      </c>
      <c r="E9" s="1">
        <v>109</v>
      </c>
      <c r="F9" s="1">
        <v>108</v>
      </c>
      <c r="G9" s="1">
        <v>109</v>
      </c>
      <c r="H9" s="1">
        <v>108</v>
      </c>
      <c r="I9" s="1">
        <v>124</v>
      </c>
      <c r="J9" s="1">
        <v>70</v>
      </c>
      <c r="K9" s="1">
        <v>94</v>
      </c>
      <c r="L9" s="1">
        <v>93</v>
      </c>
      <c r="M9" s="1">
        <v>78</v>
      </c>
      <c r="N9" s="1">
        <f t="shared" si="0"/>
        <v>1182</v>
      </c>
    </row>
    <row r="10" spans="1:14" s="3" customFormat="1" x14ac:dyDescent="0.2">
      <c r="A10" s="6" t="s">
        <v>18</v>
      </c>
      <c r="B10" s="2">
        <v>509447</v>
      </c>
      <c r="C10" s="2">
        <v>793193</v>
      </c>
      <c r="D10" s="2">
        <v>391679</v>
      </c>
      <c r="E10" s="2">
        <v>351915</v>
      </c>
      <c r="F10" s="2">
        <v>396866</v>
      </c>
      <c r="G10" s="2">
        <v>366903</v>
      </c>
      <c r="H10" s="2">
        <v>268404</v>
      </c>
      <c r="I10" s="2">
        <v>449783</v>
      </c>
      <c r="J10" s="2">
        <v>345870</v>
      </c>
      <c r="K10" s="2">
        <v>403825</v>
      </c>
      <c r="L10" s="2">
        <v>234418</v>
      </c>
      <c r="M10" s="2">
        <v>235966</v>
      </c>
      <c r="N10" s="2">
        <f t="shared" si="0"/>
        <v>4748269</v>
      </c>
    </row>
    <row r="11" spans="1:14" x14ac:dyDescent="0.2">
      <c r="A11" s="4" t="s">
        <v>22</v>
      </c>
      <c r="B11" s="1">
        <v>1</v>
      </c>
      <c r="C11" s="1">
        <v>1</v>
      </c>
      <c r="D11" s="1">
        <v>0</v>
      </c>
      <c r="E11" s="1">
        <v>1</v>
      </c>
      <c r="F11" s="1">
        <v>0</v>
      </c>
      <c r="G11" s="1">
        <v>1</v>
      </c>
      <c r="H11" s="1">
        <v>2</v>
      </c>
      <c r="I11" s="1">
        <v>1</v>
      </c>
      <c r="J11" s="1">
        <v>0</v>
      </c>
      <c r="K11" s="1">
        <v>1</v>
      </c>
      <c r="L11" s="1">
        <v>1</v>
      </c>
      <c r="M11" s="1">
        <v>0</v>
      </c>
      <c r="N11" s="1">
        <f t="shared" si="0"/>
        <v>9</v>
      </c>
    </row>
    <row r="12" spans="1:14" s="3" customFormat="1" x14ac:dyDescent="0.2">
      <c r="A12" s="6" t="s">
        <v>18</v>
      </c>
      <c r="B12" s="2">
        <v>53350</v>
      </c>
      <c r="C12" s="2">
        <v>30000</v>
      </c>
      <c r="D12" s="2">
        <v>0</v>
      </c>
      <c r="E12" s="2">
        <v>15000</v>
      </c>
      <c r="F12" s="2">
        <v>0</v>
      </c>
      <c r="G12" s="2">
        <v>70000</v>
      </c>
      <c r="H12" s="2">
        <v>95000</v>
      </c>
      <c r="I12" s="2">
        <v>60000</v>
      </c>
      <c r="J12" s="2">
        <v>0</v>
      </c>
      <c r="K12" s="2">
        <v>7500</v>
      </c>
      <c r="L12" s="2">
        <v>30000</v>
      </c>
      <c r="M12" s="2">
        <v>0</v>
      </c>
      <c r="N12" s="2">
        <f t="shared" si="0"/>
        <v>360850</v>
      </c>
    </row>
    <row r="13" spans="1:14" x14ac:dyDescent="0.2">
      <c r="A13" s="4" t="s">
        <v>42</v>
      </c>
      <c r="B13" s="1">
        <v>9</v>
      </c>
      <c r="C13" s="1">
        <v>16</v>
      </c>
      <c r="D13" s="1">
        <v>23</v>
      </c>
      <c r="E13" s="1">
        <v>31</v>
      </c>
      <c r="F13" s="1">
        <v>16</v>
      </c>
      <c r="G13" s="1">
        <v>20</v>
      </c>
      <c r="H13" s="1">
        <v>13</v>
      </c>
      <c r="I13" s="1">
        <v>9</v>
      </c>
      <c r="J13" s="1">
        <v>7</v>
      </c>
      <c r="K13" s="1">
        <v>12</v>
      </c>
      <c r="L13" s="1">
        <v>19</v>
      </c>
      <c r="M13" s="1">
        <v>16</v>
      </c>
      <c r="N13" s="1">
        <f>SUM(B13:M13)</f>
        <v>191</v>
      </c>
    </row>
    <row r="14" spans="1:14" s="3" customFormat="1" x14ac:dyDescent="0.2">
      <c r="A14" s="6" t="s">
        <v>18</v>
      </c>
      <c r="B14" s="2">
        <v>279382</v>
      </c>
      <c r="C14" s="2">
        <v>543366</v>
      </c>
      <c r="D14" s="2">
        <v>545006</v>
      </c>
      <c r="E14" s="2">
        <v>290352</v>
      </c>
      <c r="F14" s="2">
        <v>10288819</v>
      </c>
      <c r="G14" s="2">
        <v>4664237</v>
      </c>
      <c r="H14" s="2">
        <v>2497369</v>
      </c>
      <c r="I14" s="2">
        <v>228216</v>
      </c>
      <c r="J14" s="2">
        <v>3429167</v>
      </c>
      <c r="K14" s="2">
        <v>236440</v>
      </c>
      <c r="L14" s="2">
        <v>579402</v>
      </c>
      <c r="M14" s="2">
        <v>275873</v>
      </c>
      <c r="N14" s="2">
        <f>SUM(B14:M14)</f>
        <v>23857629</v>
      </c>
    </row>
    <row r="15" spans="1:14" x14ac:dyDescent="0.2">
      <c r="A15" s="4" t="s">
        <v>24</v>
      </c>
      <c r="B15" s="1">
        <v>4</v>
      </c>
      <c r="C15" s="1">
        <v>12</v>
      </c>
      <c r="D15" s="1">
        <v>5</v>
      </c>
      <c r="E15" s="1">
        <v>4</v>
      </c>
      <c r="F15" s="1">
        <v>3</v>
      </c>
      <c r="G15" s="1">
        <v>0</v>
      </c>
      <c r="H15" s="1">
        <v>3</v>
      </c>
      <c r="I15" s="1">
        <v>8</v>
      </c>
      <c r="J15" s="1">
        <v>2</v>
      </c>
      <c r="K15" s="1">
        <v>2</v>
      </c>
      <c r="L15" s="1">
        <v>2</v>
      </c>
      <c r="M15" s="1">
        <v>0</v>
      </c>
      <c r="N15" s="1">
        <f t="shared" ref="N15:N42" si="1">SUM(B15:M15)</f>
        <v>45</v>
      </c>
    </row>
    <row r="16" spans="1:14" s="3" customFormat="1" x14ac:dyDescent="0.2">
      <c r="A16" s="6" t="s">
        <v>18</v>
      </c>
      <c r="B16" s="2">
        <v>3125000</v>
      </c>
      <c r="C16" s="2">
        <v>15842301</v>
      </c>
      <c r="D16" s="2">
        <v>4687326</v>
      </c>
      <c r="E16" s="2">
        <v>7027223</v>
      </c>
      <c r="F16" s="2">
        <v>3420201</v>
      </c>
      <c r="G16" s="2">
        <v>0</v>
      </c>
      <c r="H16" s="2">
        <v>1654894</v>
      </c>
      <c r="I16" s="2">
        <v>8334306</v>
      </c>
      <c r="J16" s="2">
        <v>804708</v>
      </c>
      <c r="K16" s="2">
        <v>8600000</v>
      </c>
      <c r="L16" s="2">
        <v>1594538</v>
      </c>
      <c r="M16" s="2">
        <v>0</v>
      </c>
      <c r="N16" s="2">
        <f t="shared" si="1"/>
        <v>55090497</v>
      </c>
    </row>
    <row r="17" spans="1:14" x14ac:dyDescent="0.2">
      <c r="A17" s="4" t="s">
        <v>40</v>
      </c>
      <c r="B17" s="1">
        <v>10</v>
      </c>
      <c r="C17" s="1">
        <v>20</v>
      </c>
      <c r="D17" s="1">
        <v>11</v>
      </c>
      <c r="E17" s="1">
        <v>8</v>
      </c>
      <c r="F17" s="1">
        <v>7</v>
      </c>
      <c r="G17" s="1">
        <v>17</v>
      </c>
      <c r="H17" s="1">
        <v>12</v>
      </c>
      <c r="I17" s="1">
        <v>12</v>
      </c>
      <c r="J17" s="1">
        <v>10</v>
      </c>
      <c r="K17" s="1">
        <v>21</v>
      </c>
      <c r="L17" s="1">
        <v>10</v>
      </c>
      <c r="M17" s="1">
        <v>11</v>
      </c>
      <c r="N17" s="1">
        <f t="shared" si="1"/>
        <v>149</v>
      </c>
    </row>
    <row r="18" spans="1:14" s="3" customFormat="1" x14ac:dyDescent="0.2">
      <c r="A18" s="6" t="s">
        <v>18</v>
      </c>
      <c r="B18" s="2">
        <v>385000</v>
      </c>
      <c r="C18" s="2">
        <v>2238900</v>
      </c>
      <c r="D18" s="2">
        <v>443632</v>
      </c>
      <c r="E18" s="2">
        <v>1048000</v>
      </c>
      <c r="F18" s="2">
        <v>97250</v>
      </c>
      <c r="G18" s="2">
        <v>874323</v>
      </c>
      <c r="H18" s="2">
        <v>205000</v>
      </c>
      <c r="I18" s="2">
        <v>370800</v>
      </c>
      <c r="J18" s="2">
        <v>206600</v>
      </c>
      <c r="K18" s="2">
        <v>806804</v>
      </c>
      <c r="L18" s="2">
        <v>415600</v>
      </c>
      <c r="M18" s="2">
        <v>4300600</v>
      </c>
      <c r="N18" s="2">
        <f t="shared" si="1"/>
        <v>11392509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s="3" customFormat="1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1</v>
      </c>
      <c r="E21" s="1">
        <v>0</v>
      </c>
      <c r="F21" s="1">
        <v>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3</v>
      </c>
    </row>
    <row r="22" spans="1:14" s="3" customFormat="1" x14ac:dyDescent="0.2">
      <c r="A22" s="6" t="s">
        <v>18</v>
      </c>
      <c r="B22" s="2">
        <v>0</v>
      </c>
      <c r="C22" s="2">
        <v>0</v>
      </c>
      <c r="D22" s="2">
        <v>7000000</v>
      </c>
      <c r="E22" s="2">
        <v>0</v>
      </c>
      <c r="F22" s="2">
        <v>15027000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22027000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s="3" customFormat="1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4" x14ac:dyDescent="0.2">
      <c r="A25" s="4" t="s">
        <v>29</v>
      </c>
      <c r="B25" s="1">
        <v>6</v>
      </c>
      <c r="C25" s="1">
        <v>7</v>
      </c>
      <c r="D25" s="1">
        <v>5</v>
      </c>
      <c r="E25" s="1">
        <v>3</v>
      </c>
      <c r="F25" s="1">
        <v>7</v>
      </c>
      <c r="G25" s="1">
        <v>2</v>
      </c>
      <c r="H25" s="1">
        <v>4</v>
      </c>
      <c r="I25" s="1">
        <v>0</v>
      </c>
      <c r="J25" s="1">
        <v>1</v>
      </c>
      <c r="K25" s="1">
        <v>3</v>
      </c>
      <c r="L25" s="1">
        <v>1</v>
      </c>
      <c r="M25" s="1">
        <v>1</v>
      </c>
      <c r="N25" s="1">
        <f t="shared" si="1"/>
        <v>40</v>
      </c>
    </row>
    <row r="26" spans="1:14" s="3" customFormat="1" x14ac:dyDescent="0.2">
      <c r="A26" s="6" t="s">
        <v>18</v>
      </c>
      <c r="B26" s="2">
        <v>62480</v>
      </c>
      <c r="C26" s="2">
        <v>50000</v>
      </c>
      <c r="D26" s="2">
        <v>10000</v>
      </c>
      <c r="E26" s="2">
        <v>2000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f t="shared" si="1"/>
        <v>124480</v>
      </c>
    </row>
    <row r="27" spans="1:14" x14ac:dyDescent="0.2">
      <c r="A27" s="4" t="s">
        <v>30</v>
      </c>
      <c r="B27" s="1">
        <v>5</v>
      </c>
      <c r="C27" s="1">
        <v>2</v>
      </c>
      <c r="D27" s="1">
        <v>2</v>
      </c>
      <c r="E27" s="1">
        <v>1</v>
      </c>
      <c r="F27" s="1">
        <v>3</v>
      </c>
      <c r="G27" s="1">
        <v>6</v>
      </c>
      <c r="H27" s="1">
        <v>2</v>
      </c>
      <c r="I27" s="1">
        <v>10</v>
      </c>
      <c r="J27" s="1">
        <v>7</v>
      </c>
      <c r="K27" s="1">
        <v>8</v>
      </c>
      <c r="L27" s="1">
        <v>7</v>
      </c>
      <c r="M27" s="1">
        <v>3</v>
      </c>
      <c r="N27" s="1">
        <f t="shared" si="1"/>
        <v>56</v>
      </c>
    </row>
    <row r="28" spans="1:14" s="3" customFormat="1" x14ac:dyDescent="0.2">
      <c r="A28" s="6" t="s">
        <v>18</v>
      </c>
      <c r="B28" s="2">
        <v>5600</v>
      </c>
      <c r="C28" s="2">
        <v>2750</v>
      </c>
      <c r="D28" s="2">
        <v>2800</v>
      </c>
      <c r="E28" s="2">
        <v>5000</v>
      </c>
      <c r="F28" s="2">
        <v>13707</v>
      </c>
      <c r="G28" s="2">
        <v>10230</v>
      </c>
      <c r="H28" s="2">
        <v>8400</v>
      </c>
      <c r="I28" s="2">
        <v>11471</v>
      </c>
      <c r="J28" s="2">
        <v>15242</v>
      </c>
      <c r="K28" s="2">
        <v>18282</v>
      </c>
      <c r="L28" s="2">
        <v>10212</v>
      </c>
      <c r="M28" s="2">
        <v>6361</v>
      </c>
      <c r="N28" s="2">
        <f t="shared" si="1"/>
        <v>110055</v>
      </c>
    </row>
    <row r="29" spans="1:14" x14ac:dyDescent="0.2">
      <c r="A29" s="4" t="s">
        <v>31</v>
      </c>
      <c r="B29" s="1">
        <v>9</v>
      </c>
      <c r="C29" s="1">
        <v>18</v>
      </c>
      <c r="D29" s="1">
        <v>30</v>
      </c>
      <c r="E29" s="1">
        <v>29</v>
      </c>
      <c r="F29" s="1">
        <v>18</v>
      </c>
      <c r="G29" s="1">
        <v>21</v>
      </c>
      <c r="H29" s="1">
        <v>24</v>
      </c>
      <c r="I29" s="1">
        <v>20</v>
      </c>
      <c r="J29" s="1">
        <v>26</v>
      </c>
      <c r="K29" s="1">
        <v>11</v>
      </c>
      <c r="L29" s="1">
        <v>13</v>
      </c>
      <c r="M29" s="1">
        <v>11</v>
      </c>
      <c r="N29" s="1">
        <f t="shared" si="1"/>
        <v>230</v>
      </c>
    </row>
    <row r="30" spans="1:14" s="3" customFormat="1" x14ac:dyDescent="0.2">
      <c r="A30" s="6" t="s">
        <v>18</v>
      </c>
      <c r="B30" s="2">
        <v>328800</v>
      </c>
      <c r="C30" s="2">
        <v>589000</v>
      </c>
      <c r="D30" s="2">
        <v>945399</v>
      </c>
      <c r="E30" s="2">
        <v>961650</v>
      </c>
      <c r="F30" s="2">
        <v>538195</v>
      </c>
      <c r="G30" s="2">
        <v>640500</v>
      </c>
      <c r="H30" s="2">
        <v>707219</v>
      </c>
      <c r="I30" s="2">
        <v>1212000</v>
      </c>
      <c r="J30" s="2">
        <v>901202</v>
      </c>
      <c r="K30" s="2">
        <v>370000</v>
      </c>
      <c r="L30" s="2">
        <v>410025</v>
      </c>
      <c r="M30" s="2">
        <v>405850</v>
      </c>
      <c r="N30" s="2">
        <f t="shared" si="1"/>
        <v>8009840</v>
      </c>
    </row>
    <row r="31" spans="1:14" x14ac:dyDescent="0.2">
      <c r="A31" s="4" t="s">
        <v>32</v>
      </c>
      <c r="B31" s="1">
        <v>1</v>
      </c>
      <c r="C31" s="1">
        <v>0</v>
      </c>
      <c r="D31" s="1">
        <v>66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f t="shared" si="1"/>
        <v>69</v>
      </c>
    </row>
    <row r="32" spans="1:14" s="3" customFormat="1" x14ac:dyDescent="0.2">
      <c r="A32" s="6" t="s">
        <v>18</v>
      </c>
      <c r="B32" s="2">
        <v>16000</v>
      </c>
      <c r="C32" s="2">
        <v>0</v>
      </c>
      <c r="D32" s="2">
        <v>0</v>
      </c>
      <c r="E32" s="2">
        <v>0</v>
      </c>
      <c r="F32" s="2">
        <v>0</v>
      </c>
      <c r="G32" s="2">
        <v>10000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800</v>
      </c>
      <c r="N32" s="2">
        <f t="shared" si="1"/>
        <v>26800</v>
      </c>
    </row>
    <row r="33" spans="1:14" x14ac:dyDescent="0.2">
      <c r="A33" s="4" t="s">
        <v>33</v>
      </c>
      <c r="B33" s="1">
        <v>84</v>
      </c>
      <c r="C33" s="1">
        <v>70</v>
      </c>
      <c r="D33" s="1">
        <v>70</v>
      </c>
      <c r="E33" s="1">
        <v>105</v>
      </c>
      <c r="F33" s="1">
        <v>67</v>
      </c>
      <c r="G33" s="1">
        <v>110</v>
      </c>
      <c r="H33" s="1">
        <v>118</v>
      </c>
      <c r="I33" s="1">
        <v>84</v>
      </c>
      <c r="J33" s="1">
        <v>64</v>
      </c>
      <c r="K33" s="1">
        <v>88</v>
      </c>
      <c r="L33" s="1">
        <v>92</v>
      </c>
      <c r="M33" s="1">
        <v>39</v>
      </c>
      <c r="N33" s="1">
        <f t="shared" si="1"/>
        <v>991</v>
      </c>
    </row>
    <row r="34" spans="1:14" s="3" customFormat="1" x14ac:dyDescent="0.2">
      <c r="A34" s="6" t="s">
        <v>18</v>
      </c>
      <c r="B34" s="2">
        <v>114300</v>
      </c>
      <c r="C34" s="2">
        <v>220633</v>
      </c>
      <c r="D34" s="2">
        <v>133467</v>
      </c>
      <c r="E34" s="2">
        <v>200440</v>
      </c>
      <c r="F34" s="2">
        <v>166425</v>
      </c>
      <c r="G34" s="2">
        <v>257145</v>
      </c>
      <c r="H34" s="2">
        <v>643235</v>
      </c>
      <c r="I34" s="2">
        <v>152824</v>
      </c>
      <c r="J34" s="2">
        <v>263164</v>
      </c>
      <c r="K34" s="2">
        <v>154224</v>
      </c>
      <c r="L34" s="2">
        <v>190423</v>
      </c>
      <c r="M34" s="2">
        <v>68665</v>
      </c>
      <c r="N34" s="2">
        <f t="shared" si="1"/>
        <v>2564945</v>
      </c>
    </row>
    <row r="35" spans="1:14" x14ac:dyDescent="0.2">
      <c r="A35" s="4" t="s">
        <v>34</v>
      </c>
      <c r="B35" s="1">
        <v>49</v>
      </c>
      <c r="C35" s="1">
        <v>87</v>
      </c>
      <c r="D35" s="1">
        <v>50</v>
      </c>
      <c r="E35" s="1">
        <v>50</v>
      </c>
      <c r="F35" s="1">
        <v>39</v>
      </c>
      <c r="G35" s="1">
        <v>60</v>
      </c>
      <c r="H35" s="1">
        <v>25</v>
      </c>
      <c r="I35" s="1">
        <v>40</v>
      </c>
      <c r="J35" s="1">
        <v>84</v>
      </c>
      <c r="K35" s="1">
        <v>70</v>
      </c>
      <c r="L35" s="1">
        <v>45</v>
      </c>
      <c r="M35" s="1">
        <v>41</v>
      </c>
      <c r="N35" s="1">
        <f t="shared" si="1"/>
        <v>640</v>
      </c>
    </row>
    <row r="36" spans="1:14" s="3" customFormat="1" x14ac:dyDescent="0.2">
      <c r="A36" s="6" t="s">
        <v>18</v>
      </c>
      <c r="B36" s="2">
        <v>62950</v>
      </c>
      <c r="C36" s="2">
        <v>113300</v>
      </c>
      <c r="D36" s="2">
        <v>208700</v>
      </c>
      <c r="E36" s="2">
        <v>97065</v>
      </c>
      <c r="F36" s="2">
        <v>230050</v>
      </c>
      <c r="G36" s="2">
        <v>317850</v>
      </c>
      <c r="H36" s="2">
        <v>29200</v>
      </c>
      <c r="I36" s="2">
        <v>177300</v>
      </c>
      <c r="J36" s="2">
        <v>219100</v>
      </c>
      <c r="K36" s="2">
        <v>148190</v>
      </c>
      <c r="L36" s="2">
        <v>72650</v>
      </c>
      <c r="M36" s="2">
        <v>194485</v>
      </c>
      <c r="N36" s="2">
        <f t="shared" si="1"/>
        <v>1870840</v>
      </c>
    </row>
    <row r="37" spans="1:14" x14ac:dyDescent="0.2">
      <c r="A37" s="4" t="s">
        <v>35</v>
      </c>
      <c r="B37" s="1">
        <v>32</v>
      </c>
      <c r="C37" s="1">
        <v>33</v>
      </c>
      <c r="D37" s="1">
        <v>0</v>
      </c>
      <c r="E37" s="1">
        <v>27</v>
      </c>
      <c r="F37" s="1">
        <v>38</v>
      </c>
      <c r="G37" s="1">
        <v>50</v>
      </c>
      <c r="H37" s="1">
        <v>33</v>
      </c>
      <c r="I37" s="1">
        <v>37</v>
      </c>
      <c r="J37" s="1">
        <v>33</v>
      </c>
      <c r="K37" s="1">
        <v>21</v>
      </c>
      <c r="L37" s="1">
        <v>40</v>
      </c>
      <c r="M37" s="1">
        <v>48</v>
      </c>
      <c r="N37" s="1">
        <f t="shared" si="1"/>
        <v>392</v>
      </c>
    </row>
    <row r="38" spans="1:14" s="3" customFormat="1" x14ac:dyDescent="0.2">
      <c r="A38" s="6" t="s">
        <v>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1"/>
        <v>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1">
        <v>0</v>
      </c>
      <c r="N39" s="1">
        <f t="shared" si="1"/>
        <v>2</v>
      </c>
    </row>
    <row r="40" spans="1:14" s="3" customFormat="1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 x14ac:dyDescent="0.2">
      <c r="A41" s="4" t="s">
        <v>37</v>
      </c>
      <c r="B41" s="1">
        <v>1</v>
      </c>
      <c r="C41" s="1">
        <v>1</v>
      </c>
      <c r="D41" s="1">
        <v>0</v>
      </c>
      <c r="E41" s="1">
        <v>1</v>
      </c>
      <c r="F41" s="1">
        <v>1</v>
      </c>
      <c r="G41" s="1">
        <v>3</v>
      </c>
      <c r="H41" s="1">
        <v>1</v>
      </c>
      <c r="I41" s="1">
        <v>0</v>
      </c>
      <c r="J41" s="1">
        <v>0</v>
      </c>
      <c r="K41" s="1">
        <v>1</v>
      </c>
      <c r="L41" s="1">
        <v>3</v>
      </c>
      <c r="M41" s="1">
        <v>0</v>
      </c>
      <c r="N41" s="1">
        <f t="shared" si="1"/>
        <v>12</v>
      </c>
    </row>
    <row r="42" spans="1:14" s="3" customFormat="1" x14ac:dyDescent="0.2">
      <c r="A42" s="6" t="s">
        <v>18</v>
      </c>
      <c r="B42" s="2">
        <v>8200</v>
      </c>
      <c r="C42" s="2">
        <v>9700</v>
      </c>
      <c r="D42" s="2">
        <v>0</v>
      </c>
      <c r="E42" s="2">
        <v>22500</v>
      </c>
      <c r="F42" s="2">
        <v>10184</v>
      </c>
      <c r="G42" s="2">
        <v>20100</v>
      </c>
      <c r="H42" s="2">
        <v>7550</v>
      </c>
      <c r="I42" s="2">
        <v>0</v>
      </c>
      <c r="J42" s="2">
        <v>0</v>
      </c>
      <c r="K42" s="2">
        <v>700</v>
      </c>
      <c r="L42" s="2">
        <v>54800</v>
      </c>
      <c r="M42" s="2">
        <v>0</v>
      </c>
      <c r="N42" s="2">
        <f t="shared" si="1"/>
        <v>133734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341</v>
      </c>
      <c r="C44" s="1">
        <f t="shared" si="2"/>
        <v>413</v>
      </c>
      <c r="D44" s="1">
        <f t="shared" si="2"/>
        <v>457</v>
      </c>
      <c r="E44" s="1">
        <f t="shared" si="2"/>
        <v>429</v>
      </c>
      <c r="F44" s="1">
        <f t="shared" si="2"/>
        <v>359</v>
      </c>
      <c r="G44" s="1">
        <f t="shared" si="2"/>
        <v>564</v>
      </c>
      <c r="H44" s="1">
        <f t="shared" si="2"/>
        <v>397</v>
      </c>
      <c r="I44" s="1">
        <f t="shared" si="2"/>
        <v>412</v>
      </c>
      <c r="J44" s="1">
        <f t="shared" si="2"/>
        <v>384</v>
      </c>
      <c r="K44" s="1">
        <f t="shared" si="2"/>
        <v>477</v>
      </c>
      <c r="L44" s="1">
        <f t="shared" si="2"/>
        <v>478</v>
      </c>
      <c r="M44" s="1">
        <f t="shared" si="2"/>
        <v>284</v>
      </c>
      <c r="N44" s="1">
        <f>SUM(B44:M44)</f>
        <v>4995</v>
      </c>
    </row>
    <row r="45" spans="1:14" s="3" customFormat="1" x14ac:dyDescent="0.2">
      <c r="A45" s="6" t="s">
        <v>39</v>
      </c>
      <c r="B45" s="2">
        <f>SUM(B4+B6+B8+B10+B12+B16+B14+B18+B20+B22+B24+B26+B28+B30+B32+B34+B36+B38+B40+B42)</f>
        <v>16785588</v>
      </c>
      <c r="C45" s="2">
        <f t="shared" ref="C45:H45" si="3">SUM(C4+C6+C8+C10+C12+C14+C16+C18+C20+C22+C24+C26+C28+C30+C32+C34+C36+C38+C40+C42)</f>
        <v>42755461</v>
      </c>
      <c r="D45" s="2">
        <f t="shared" si="3"/>
        <v>38282593</v>
      </c>
      <c r="E45" s="2">
        <f t="shared" si="3"/>
        <v>29395511</v>
      </c>
      <c r="F45" s="2">
        <f t="shared" si="3"/>
        <v>51823873</v>
      </c>
      <c r="G45" s="2">
        <f t="shared" si="3"/>
        <v>61825493</v>
      </c>
      <c r="H45" s="2">
        <f t="shared" si="3"/>
        <v>26050571</v>
      </c>
      <c r="I45" s="2">
        <f>SUM(I4+I6+I8+I10+I12+I16+I14+I18+I20+I22+I24+I26+I28+I30+I32+I34+I36+I38+I40+I42)</f>
        <v>33473736</v>
      </c>
      <c r="J45" s="2">
        <f>SUM(J4+J6+J8+J10+J12+J14+J16+J18+J20+J22+J24+J26+J28+J30+J32+J34+J36+J38+J40+J42)</f>
        <v>38456474</v>
      </c>
      <c r="K45" s="2">
        <f>SUM(K4+K6+K8+K10+K12+K14+K16+K18+K20+K22+K24+K26+K28+K30+K32+K34+K36+K38+K40+K42)</f>
        <v>54906316</v>
      </c>
      <c r="L45" s="2">
        <f>SUM(L4+L6+L8+L10+L12+L14+L16+L18+L20+L22+L24+L26+L28+L30+L32+L34+L36+L38+L40+L42)</f>
        <v>53334485</v>
      </c>
      <c r="M45" s="2">
        <f>SUM(M4+M6+M8+M10+M12+M14+M16+M18+M20+M22+M24+M26+M28+M30+M32+M34+M36+M38+M40+M42)</f>
        <v>18569894</v>
      </c>
      <c r="N45" s="2">
        <f>SUM(B45:M45)</f>
        <v>465659995</v>
      </c>
    </row>
  </sheetData>
  <phoneticPr fontId="0" type="noConversion"/>
  <pageMargins left="0.5" right="0.5" top="1" bottom="1" header="0.5" footer="0.5"/>
  <pageSetup paperSize="5" scale="79" orientation="landscape" r:id="rId1"/>
  <headerFooter alignWithMargins="0">
    <oddHeader>&amp;LPERMIT SUMMARY
CALANDAR YEAR 2007&amp;CCITY OF ALLEN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view="pageBreakPreview" topLeftCell="B1" zoomScaleNormal="100" workbookViewId="0">
      <selection activeCell="M38" sqref="M38"/>
    </sheetView>
  </sheetViews>
  <sheetFormatPr defaultRowHeight="12.75" x14ac:dyDescent="0.2"/>
  <cols>
    <col min="1" max="1" width="26.140625" customWidth="1"/>
    <col min="2" max="2" width="15.140625" customWidth="1"/>
    <col min="3" max="3" width="15" customWidth="1"/>
    <col min="4" max="5" width="15.140625" customWidth="1"/>
    <col min="6" max="6" width="15" customWidth="1"/>
    <col min="7" max="13" width="15.140625" customWidth="1"/>
    <col min="14" max="14" width="15" customWidth="1"/>
  </cols>
  <sheetData>
    <row r="1" spans="1:1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30</v>
      </c>
      <c r="C3" s="1">
        <v>32</v>
      </c>
      <c r="D3" s="1">
        <v>44</v>
      </c>
      <c r="E3" s="1">
        <v>52</v>
      </c>
      <c r="F3" s="1">
        <v>35</v>
      </c>
      <c r="G3" s="1">
        <v>47</v>
      </c>
      <c r="H3" s="1">
        <v>37</v>
      </c>
      <c r="I3" s="1">
        <v>30</v>
      </c>
      <c r="J3" s="1">
        <v>32</v>
      </c>
      <c r="K3" s="1">
        <v>43</v>
      </c>
      <c r="L3" s="1">
        <v>35</v>
      </c>
      <c r="M3" s="1">
        <v>13</v>
      </c>
      <c r="N3" s="1">
        <f t="shared" ref="N3:N12" si="0">SUM(B3:M3)</f>
        <v>430</v>
      </c>
    </row>
    <row r="4" spans="1:14" x14ac:dyDescent="0.2">
      <c r="A4" s="6" t="s">
        <v>18</v>
      </c>
      <c r="B4" s="2">
        <v>13131120</v>
      </c>
      <c r="C4" s="2">
        <v>13375923</v>
      </c>
      <c r="D4" s="2">
        <v>18405656</v>
      </c>
      <c r="E4" s="2">
        <v>18254818</v>
      </c>
      <c r="F4" s="2">
        <v>12920402</v>
      </c>
      <c r="G4" s="2">
        <v>16491263</v>
      </c>
      <c r="H4" s="2">
        <v>13916393</v>
      </c>
      <c r="I4" s="2">
        <v>12438774</v>
      </c>
      <c r="J4" s="2">
        <v>12206377</v>
      </c>
      <c r="K4" s="2">
        <v>18829196</v>
      </c>
      <c r="L4" s="2">
        <v>12238965</v>
      </c>
      <c r="M4" s="2">
        <v>5001237</v>
      </c>
      <c r="N4" s="2">
        <f t="shared" si="0"/>
        <v>167210124</v>
      </c>
    </row>
    <row r="5" spans="1:14" x14ac:dyDescent="0.2">
      <c r="A5" s="4" t="s">
        <v>43</v>
      </c>
      <c r="B5" s="1">
        <v>17</v>
      </c>
      <c r="C5" s="1">
        <v>0</v>
      </c>
      <c r="D5" s="1">
        <v>0</v>
      </c>
      <c r="E5" s="1">
        <v>1</v>
      </c>
      <c r="F5" s="1">
        <v>2</v>
      </c>
      <c r="G5" s="1">
        <v>1</v>
      </c>
      <c r="H5" s="1">
        <v>0</v>
      </c>
      <c r="I5" s="1">
        <v>12</v>
      </c>
      <c r="J5" s="1">
        <v>0</v>
      </c>
      <c r="K5" s="1">
        <v>3</v>
      </c>
      <c r="L5" s="1">
        <v>0</v>
      </c>
      <c r="M5" s="1">
        <v>0</v>
      </c>
      <c r="N5" s="1">
        <f t="shared" si="0"/>
        <v>36</v>
      </c>
    </row>
    <row r="6" spans="1:14" x14ac:dyDescent="0.2">
      <c r="A6" s="6" t="s">
        <v>18</v>
      </c>
      <c r="B6" s="2">
        <v>3347330</v>
      </c>
      <c r="C6" s="2">
        <v>0</v>
      </c>
      <c r="D6" s="2">
        <v>0</v>
      </c>
      <c r="E6" s="2">
        <v>208490</v>
      </c>
      <c r="F6" s="2">
        <v>411980</v>
      </c>
      <c r="G6" s="2">
        <v>194990</v>
      </c>
      <c r="H6" s="2">
        <v>0</v>
      </c>
      <c r="I6" s="2">
        <v>1306500</v>
      </c>
      <c r="J6" s="2">
        <v>0</v>
      </c>
      <c r="K6" s="2">
        <v>243000</v>
      </c>
      <c r="L6" s="2">
        <v>0</v>
      </c>
      <c r="M6" s="2">
        <v>0</v>
      </c>
      <c r="N6" s="2">
        <f t="shared" si="0"/>
        <v>5712290</v>
      </c>
    </row>
    <row r="7" spans="1:14" x14ac:dyDescent="0.2">
      <c r="A7" s="4" t="s">
        <v>20</v>
      </c>
      <c r="B7" s="1">
        <v>216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216</v>
      </c>
    </row>
    <row r="8" spans="1:14" x14ac:dyDescent="0.2">
      <c r="A8" s="6" t="s">
        <v>18</v>
      </c>
      <c r="B8" s="2">
        <v>12303858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f t="shared" si="0"/>
        <v>12303858</v>
      </c>
    </row>
    <row r="9" spans="1:14" x14ac:dyDescent="0.2">
      <c r="A9" s="4" t="s">
        <v>41</v>
      </c>
      <c r="B9" s="1">
        <v>91</v>
      </c>
      <c r="C9" s="1">
        <v>85</v>
      </c>
      <c r="D9" s="1">
        <v>122</v>
      </c>
      <c r="E9" s="1">
        <v>133</v>
      </c>
      <c r="F9" s="1">
        <v>166</v>
      </c>
      <c r="G9" s="1">
        <v>147</v>
      </c>
      <c r="H9" s="1">
        <v>151</v>
      </c>
      <c r="I9" s="1">
        <v>92</v>
      </c>
      <c r="J9" s="1">
        <v>93</v>
      </c>
      <c r="K9" s="1">
        <v>98</v>
      </c>
      <c r="L9" s="1">
        <v>75</v>
      </c>
      <c r="M9" s="1">
        <v>71</v>
      </c>
      <c r="N9" s="1">
        <f t="shared" si="0"/>
        <v>1324</v>
      </c>
    </row>
    <row r="10" spans="1:14" x14ac:dyDescent="0.2">
      <c r="A10" s="6" t="s">
        <v>18</v>
      </c>
      <c r="B10" s="2">
        <v>270237</v>
      </c>
      <c r="C10" s="2">
        <v>246489</v>
      </c>
      <c r="D10" s="2">
        <v>545760</v>
      </c>
      <c r="E10" s="2">
        <v>491211</v>
      </c>
      <c r="F10" s="2">
        <v>914907</v>
      </c>
      <c r="G10" s="2">
        <v>515977</v>
      </c>
      <c r="H10" s="2">
        <v>586954</v>
      </c>
      <c r="I10" s="2">
        <v>373648</v>
      </c>
      <c r="J10" s="2">
        <v>324511</v>
      </c>
      <c r="K10" s="2">
        <v>300860</v>
      </c>
      <c r="L10" s="2">
        <v>158323</v>
      </c>
      <c r="M10" s="2">
        <v>179048</v>
      </c>
      <c r="N10" s="2">
        <f t="shared" si="0"/>
        <v>4907925</v>
      </c>
    </row>
    <row r="11" spans="1:14" x14ac:dyDescent="0.2">
      <c r="A11" s="4" t="s">
        <v>22</v>
      </c>
      <c r="B11" s="1">
        <v>1</v>
      </c>
      <c r="C11" s="1">
        <v>1</v>
      </c>
      <c r="D11" s="1">
        <v>0</v>
      </c>
      <c r="E11" s="1">
        <v>0</v>
      </c>
      <c r="F11" s="1">
        <v>3</v>
      </c>
      <c r="G11" s="1">
        <v>3</v>
      </c>
      <c r="H11" s="1">
        <v>1</v>
      </c>
      <c r="I11" s="1">
        <v>3</v>
      </c>
      <c r="J11" s="1">
        <v>1</v>
      </c>
      <c r="K11" s="1">
        <v>2</v>
      </c>
      <c r="L11" s="1">
        <v>0</v>
      </c>
      <c r="M11" s="1">
        <v>1</v>
      </c>
      <c r="N11" s="1">
        <f t="shared" si="0"/>
        <v>16</v>
      </c>
    </row>
    <row r="12" spans="1:14" x14ac:dyDescent="0.2">
      <c r="A12" s="6" t="s">
        <v>18</v>
      </c>
      <c r="B12" s="2">
        <v>100000</v>
      </c>
      <c r="C12" s="2">
        <v>15000</v>
      </c>
      <c r="D12" s="2">
        <v>0</v>
      </c>
      <c r="E12" s="2">
        <v>0</v>
      </c>
      <c r="F12" s="2">
        <v>73000</v>
      </c>
      <c r="G12" s="2">
        <v>37999</v>
      </c>
      <c r="H12" s="2">
        <v>20000</v>
      </c>
      <c r="I12" s="2">
        <v>183000</v>
      </c>
      <c r="J12" s="2">
        <v>21870</v>
      </c>
      <c r="K12" s="2">
        <v>110000</v>
      </c>
      <c r="L12" s="2">
        <v>0</v>
      </c>
      <c r="M12" s="2">
        <v>25000</v>
      </c>
      <c r="N12" s="2">
        <f t="shared" si="0"/>
        <v>585869</v>
      </c>
    </row>
    <row r="13" spans="1:14" x14ac:dyDescent="0.2">
      <c r="A13" s="4" t="s">
        <v>42</v>
      </c>
      <c r="B13" s="1">
        <v>17</v>
      </c>
      <c r="C13" s="1">
        <v>12</v>
      </c>
      <c r="D13" s="1">
        <v>20</v>
      </c>
      <c r="E13" s="1">
        <v>20</v>
      </c>
      <c r="F13" s="1">
        <v>13</v>
      </c>
      <c r="G13" s="1">
        <v>20</v>
      </c>
      <c r="H13" s="1">
        <v>14</v>
      </c>
      <c r="I13" s="1">
        <v>16</v>
      </c>
      <c r="J13" s="1">
        <v>14</v>
      </c>
      <c r="K13" s="1">
        <v>11</v>
      </c>
      <c r="L13" s="1">
        <v>14</v>
      </c>
      <c r="M13" s="1">
        <v>18</v>
      </c>
      <c r="N13" s="1">
        <f>SUM(B13:M13)</f>
        <v>189</v>
      </c>
    </row>
    <row r="14" spans="1:14" x14ac:dyDescent="0.2">
      <c r="A14" s="6" t="s">
        <v>18</v>
      </c>
      <c r="B14" s="2">
        <v>370527</v>
      </c>
      <c r="C14" s="2">
        <v>1564151</v>
      </c>
      <c r="D14" s="2">
        <v>318064</v>
      </c>
      <c r="E14" s="2">
        <v>4042635</v>
      </c>
      <c r="F14" s="2">
        <v>185141</v>
      </c>
      <c r="G14" s="2">
        <v>503727</v>
      </c>
      <c r="H14" s="2">
        <v>327106</v>
      </c>
      <c r="I14" s="2">
        <v>1841090</v>
      </c>
      <c r="J14" s="2">
        <v>1313350</v>
      </c>
      <c r="K14" s="2">
        <v>882190</v>
      </c>
      <c r="L14" s="2">
        <v>40473</v>
      </c>
      <c r="M14" s="2">
        <v>405070</v>
      </c>
      <c r="N14" s="2">
        <f>SUM(B14:M14)</f>
        <v>11793524</v>
      </c>
    </row>
    <row r="15" spans="1:14" x14ac:dyDescent="0.2">
      <c r="A15" s="4" t="s">
        <v>24</v>
      </c>
      <c r="B15" s="1">
        <v>3</v>
      </c>
      <c r="C15" s="1">
        <v>4</v>
      </c>
      <c r="D15" s="1">
        <v>8</v>
      </c>
      <c r="E15" s="1">
        <v>12</v>
      </c>
      <c r="F15" s="1">
        <v>3</v>
      </c>
      <c r="G15" s="1">
        <v>4</v>
      </c>
      <c r="H15" s="1">
        <v>12</v>
      </c>
      <c r="I15" s="1">
        <v>5</v>
      </c>
      <c r="J15" s="1">
        <v>3</v>
      </c>
      <c r="K15" s="1">
        <v>1</v>
      </c>
      <c r="L15" s="1">
        <v>2</v>
      </c>
      <c r="M15" s="1">
        <v>3</v>
      </c>
      <c r="N15" s="1">
        <f t="shared" ref="N15:N42" si="1">SUM(B15:M15)</f>
        <v>60</v>
      </c>
    </row>
    <row r="16" spans="1:14" x14ac:dyDescent="0.2">
      <c r="A16" s="6" t="s">
        <v>18</v>
      </c>
      <c r="B16" s="2">
        <v>7000000</v>
      </c>
      <c r="C16" s="2">
        <v>2600000</v>
      </c>
      <c r="D16" s="2">
        <v>20914908</v>
      </c>
      <c r="E16" s="2">
        <v>21558502</v>
      </c>
      <c r="F16" s="2">
        <v>11827985</v>
      </c>
      <c r="G16" s="2">
        <v>30759111</v>
      </c>
      <c r="H16" s="2">
        <v>20481173</v>
      </c>
      <c r="I16" s="2">
        <v>50392306</v>
      </c>
      <c r="J16" s="2">
        <v>6557812</v>
      </c>
      <c r="K16" s="2">
        <v>950000</v>
      </c>
      <c r="L16" s="2">
        <v>8522250</v>
      </c>
      <c r="M16" s="2">
        <v>675000</v>
      </c>
      <c r="N16" s="2">
        <f t="shared" si="1"/>
        <v>182239047</v>
      </c>
    </row>
    <row r="17" spans="1:14" x14ac:dyDescent="0.2">
      <c r="A17" s="4" t="s">
        <v>40</v>
      </c>
      <c r="B17" s="1">
        <v>27</v>
      </c>
      <c r="C17" s="1">
        <v>22</v>
      </c>
      <c r="D17" s="1">
        <v>23</v>
      </c>
      <c r="E17" s="1">
        <v>21</v>
      </c>
      <c r="F17" s="1">
        <v>19</v>
      </c>
      <c r="G17" s="1">
        <v>17</v>
      </c>
      <c r="H17" s="1">
        <v>23</v>
      </c>
      <c r="I17" s="1">
        <v>30</v>
      </c>
      <c r="J17" s="1">
        <v>20</v>
      </c>
      <c r="K17" s="1">
        <v>15</v>
      </c>
      <c r="L17" s="1">
        <v>13</v>
      </c>
      <c r="M17" s="1">
        <v>12</v>
      </c>
      <c r="N17" s="1">
        <v>2</v>
      </c>
    </row>
    <row r="18" spans="1:14" x14ac:dyDescent="0.2">
      <c r="A18" s="6" t="s">
        <v>18</v>
      </c>
      <c r="B18" s="2">
        <v>5111408</v>
      </c>
      <c r="C18" s="2">
        <v>6106448</v>
      </c>
      <c r="D18" s="2">
        <v>2344460</v>
      </c>
      <c r="E18" s="2">
        <v>5938500</v>
      </c>
      <c r="F18" s="2">
        <v>1099864</v>
      </c>
      <c r="G18" s="2">
        <v>859188</v>
      </c>
      <c r="H18" s="2">
        <v>3323869</v>
      </c>
      <c r="I18" s="2">
        <v>1463330</v>
      </c>
      <c r="J18" s="2">
        <v>2409000</v>
      </c>
      <c r="K18" s="2">
        <v>1577500</v>
      </c>
      <c r="L18" s="2">
        <v>1887621</v>
      </c>
      <c r="M18" s="2">
        <v>737640</v>
      </c>
      <c r="N18" s="2">
        <f t="shared" si="1"/>
        <v>32858828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4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2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1</v>
      </c>
      <c r="N21" s="1">
        <f t="shared" si="1"/>
        <v>6</v>
      </c>
    </row>
    <row r="22" spans="1:14" x14ac:dyDescent="0.2">
      <c r="A22" s="6" t="s">
        <v>18</v>
      </c>
      <c r="B22" s="2">
        <v>0</v>
      </c>
      <c r="C22" s="2">
        <v>0</v>
      </c>
      <c r="D22" s="2">
        <v>64200000</v>
      </c>
      <c r="E22" s="2">
        <v>0</v>
      </c>
      <c r="F22" s="2">
        <v>0</v>
      </c>
      <c r="G22" s="2">
        <v>13000000</v>
      </c>
      <c r="H22" s="2">
        <v>0</v>
      </c>
      <c r="I22" s="2">
        <v>0</v>
      </c>
      <c r="J22" s="2">
        <v>0</v>
      </c>
      <c r="K22" s="2">
        <v>1200000</v>
      </c>
      <c r="L22" s="2">
        <v>4010000</v>
      </c>
      <c r="M22" s="2">
        <v>1200000</v>
      </c>
      <c r="N22" s="2">
        <f t="shared" si="1"/>
        <v>83610000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4" x14ac:dyDescent="0.2">
      <c r="A25" s="4" t="s">
        <v>29</v>
      </c>
      <c r="B25" s="1">
        <v>4</v>
      </c>
      <c r="C25" s="1">
        <v>5</v>
      </c>
      <c r="D25" s="1">
        <v>5</v>
      </c>
      <c r="E25" s="1">
        <v>5</v>
      </c>
      <c r="F25" s="1">
        <v>9</v>
      </c>
      <c r="G25" s="1">
        <v>2</v>
      </c>
      <c r="H25" s="1">
        <v>5</v>
      </c>
      <c r="I25" s="1">
        <v>15</v>
      </c>
      <c r="J25" s="1">
        <v>9</v>
      </c>
      <c r="K25" s="1">
        <v>1</v>
      </c>
      <c r="L25" s="1">
        <v>2</v>
      </c>
      <c r="M25" s="1">
        <v>6</v>
      </c>
      <c r="N25" s="1">
        <f t="shared" si="1"/>
        <v>68</v>
      </c>
    </row>
    <row r="26" spans="1:14" x14ac:dyDescent="0.2">
      <c r="A26" s="6" t="s">
        <v>18</v>
      </c>
      <c r="B26" s="2">
        <v>0</v>
      </c>
      <c r="C26" s="2">
        <v>200</v>
      </c>
      <c r="D26" s="2">
        <v>0</v>
      </c>
      <c r="E26" s="2">
        <v>0</v>
      </c>
      <c r="F26" s="2">
        <v>5000</v>
      </c>
      <c r="G26" s="2">
        <v>0</v>
      </c>
      <c r="H26" s="2">
        <v>0</v>
      </c>
      <c r="I26" s="2">
        <v>854400</v>
      </c>
      <c r="J26" s="2">
        <v>0</v>
      </c>
      <c r="K26" s="2">
        <v>0</v>
      </c>
      <c r="L26" s="2">
        <v>0</v>
      </c>
      <c r="M26" s="2">
        <v>1000</v>
      </c>
      <c r="N26" s="2">
        <f t="shared" si="1"/>
        <v>860600</v>
      </c>
    </row>
    <row r="27" spans="1:14" x14ac:dyDescent="0.2">
      <c r="A27" s="4" t="s">
        <v>30</v>
      </c>
      <c r="B27" s="1">
        <v>3</v>
      </c>
      <c r="C27" s="1">
        <v>1</v>
      </c>
      <c r="D27" s="1">
        <v>9</v>
      </c>
      <c r="E27" s="1">
        <v>4</v>
      </c>
      <c r="F27" s="1">
        <v>3</v>
      </c>
      <c r="G27" s="1">
        <v>2</v>
      </c>
      <c r="H27" s="1">
        <v>5</v>
      </c>
      <c r="I27" s="1">
        <v>6</v>
      </c>
      <c r="J27" s="1">
        <v>3</v>
      </c>
      <c r="K27" s="1">
        <v>9</v>
      </c>
      <c r="L27" s="1">
        <v>5</v>
      </c>
      <c r="M27" s="1">
        <v>5</v>
      </c>
      <c r="N27" s="1">
        <f t="shared" si="1"/>
        <v>55</v>
      </c>
    </row>
    <row r="28" spans="1:14" x14ac:dyDescent="0.2">
      <c r="A28" s="6" t="s">
        <v>18</v>
      </c>
      <c r="B28" s="2">
        <v>5140</v>
      </c>
      <c r="C28" s="2">
        <v>1507</v>
      </c>
      <c r="D28" s="2">
        <v>19120</v>
      </c>
      <c r="E28" s="2">
        <v>5300</v>
      </c>
      <c r="F28" s="2">
        <v>6099</v>
      </c>
      <c r="G28" s="2">
        <v>8098</v>
      </c>
      <c r="H28" s="2">
        <v>13980</v>
      </c>
      <c r="I28" s="2">
        <v>11300</v>
      </c>
      <c r="J28" s="2">
        <v>9998</v>
      </c>
      <c r="K28" s="2">
        <v>14950</v>
      </c>
      <c r="L28" s="2">
        <v>12200</v>
      </c>
      <c r="M28" s="2">
        <v>10950</v>
      </c>
      <c r="N28" s="2">
        <f t="shared" si="1"/>
        <v>118642</v>
      </c>
    </row>
    <row r="29" spans="1:14" x14ac:dyDescent="0.2">
      <c r="A29" s="4" t="s">
        <v>31</v>
      </c>
      <c r="B29" s="1">
        <v>18</v>
      </c>
      <c r="C29" s="1">
        <v>15</v>
      </c>
      <c r="D29" s="1">
        <v>15</v>
      </c>
      <c r="E29" s="1">
        <v>20</v>
      </c>
      <c r="F29" s="1">
        <v>20</v>
      </c>
      <c r="G29" s="1">
        <v>24</v>
      </c>
      <c r="H29" s="1">
        <v>20</v>
      </c>
      <c r="I29" s="1">
        <v>16</v>
      </c>
      <c r="J29" s="1">
        <v>22</v>
      </c>
      <c r="K29" s="1">
        <v>10</v>
      </c>
      <c r="L29" s="1">
        <v>4</v>
      </c>
      <c r="M29" s="1">
        <v>10</v>
      </c>
      <c r="N29" s="1">
        <f t="shared" si="1"/>
        <v>194</v>
      </c>
    </row>
    <row r="30" spans="1:14" x14ac:dyDescent="0.2">
      <c r="A30" s="6" t="s">
        <v>18</v>
      </c>
      <c r="B30" s="2">
        <v>638000</v>
      </c>
      <c r="C30" s="2">
        <v>501500</v>
      </c>
      <c r="D30" s="2">
        <v>583500</v>
      </c>
      <c r="E30" s="2">
        <v>658625</v>
      </c>
      <c r="F30" s="2">
        <v>638647</v>
      </c>
      <c r="G30" s="2">
        <v>750672</v>
      </c>
      <c r="H30" s="2">
        <v>661400</v>
      </c>
      <c r="I30" s="2">
        <v>562750</v>
      </c>
      <c r="J30" s="2">
        <v>688700</v>
      </c>
      <c r="K30" s="2">
        <v>404000</v>
      </c>
      <c r="L30" s="2">
        <v>148000</v>
      </c>
      <c r="M30" s="2">
        <v>353000</v>
      </c>
      <c r="N30" s="2">
        <f t="shared" si="1"/>
        <v>6588794</v>
      </c>
    </row>
    <row r="31" spans="1:14" x14ac:dyDescent="0.2">
      <c r="A31" s="4" t="s">
        <v>32</v>
      </c>
      <c r="B31" s="1">
        <v>2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f t="shared" si="1"/>
        <v>5</v>
      </c>
    </row>
    <row r="32" spans="1:14" x14ac:dyDescent="0.2">
      <c r="A32" s="6" t="s">
        <v>18</v>
      </c>
      <c r="B32" s="2">
        <v>26200</v>
      </c>
      <c r="C32" s="2">
        <v>450</v>
      </c>
      <c r="D32" s="2">
        <v>0</v>
      </c>
      <c r="E32" s="2">
        <v>400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2918</v>
      </c>
      <c r="M32" s="2">
        <v>0</v>
      </c>
      <c r="N32" s="2">
        <f t="shared" si="1"/>
        <v>29968</v>
      </c>
    </row>
    <row r="33" spans="1:14" x14ac:dyDescent="0.2">
      <c r="A33" s="4" t="s">
        <v>33</v>
      </c>
      <c r="B33" s="1">
        <v>68</v>
      </c>
      <c r="C33" s="1">
        <v>74</v>
      </c>
      <c r="D33" s="1">
        <v>63</v>
      </c>
      <c r="E33" s="1">
        <v>71</v>
      </c>
      <c r="F33" s="1">
        <v>88</v>
      </c>
      <c r="G33" s="1">
        <v>66</v>
      </c>
      <c r="H33" s="1">
        <v>63</v>
      </c>
      <c r="I33" s="1">
        <v>36</v>
      </c>
      <c r="J33" s="1">
        <v>56</v>
      </c>
      <c r="K33" s="1">
        <v>29</v>
      </c>
      <c r="L33" s="1">
        <v>52</v>
      </c>
      <c r="M33" s="1">
        <v>41</v>
      </c>
      <c r="N33" s="1">
        <f t="shared" si="1"/>
        <v>707</v>
      </c>
    </row>
    <row r="34" spans="1:14" x14ac:dyDescent="0.2">
      <c r="A34" s="6" t="s">
        <v>18</v>
      </c>
      <c r="B34" s="2">
        <v>181159</v>
      </c>
      <c r="C34" s="2">
        <v>144549</v>
      </c>
      <c r="D34" s="2">
        <v>160530</v>
      </c>
      <c r="E34" s="2">
        <v>134820</v>
      </c>
      <c r="F34" s="2">
        <v>495961</v>
      </c>
      <c r="G34" s="2">
        <v>521381</v>
      </c>
      <c r="H34" s="2">
        <v>111972</v>
      </c>
      <c r="I34" s="2">
        <v>80417</v>
      </c>
      <c r="J34" s="2">
        <v>120231</v>
      </c>
      <c r="K34" s="2">
        <v>109171</v>
      </c>
      <c r="L34" s="2">
        <v>87606</v>
      </c>
      <c r="M34" s="2">
        <v>102734</v>
      </c>
      <c r="N34" s="2">
        <f t="shared" si="1"/>
        <v>2250531</v>
      </c>
    </row>
    <row r="35" spans="1:14" x14ac:dyDescent="0.2">
      <c r="A35" s="4" t="s">
        <v>34</v>
      </c>
      <c r="B35" s="1">
        <v>39</v>
      </c>
      <c r="C35" s="1">
        <v>70</v>
      </c>
      <c r="D35" s="1">
        <v>47</v>
      </c>
      <c r="E35" s="1">
        <v>46</v>
      </c>
      <c r="F35" s="1">
        <v>41</v>
      </c>
      <c r="G35" s="1">
        <v>90</v>
      </c>
      <c r="H35" s="1">
        <v>52</v>
      </c>
      <c r="I35" s="1">
        <v>45</v>
      </c>
      <c r="J35" s="1">
        <v>100</v>
      </c>
      <c r="K35" s="1">
        <v>27</v>
      </c>
      <c r="L35" s="1">
        <v>23</v>
      </c>
      <c r="M35" s="1">
        <v>50</v>
      </c>
      <c r="N35" s="1">
        <f t="shared" si="1"/>
        <v>630</v>
      </c>
    </row>
    <row r="36" spans="1:14" x14ac:dyDescent="0.2">
      <c r="A36" s="6" t="s">
        <v>18</v>
      </c>
      <c r="B36" s="2">
        <v>92500</v>
      </c>
      <c r="C36" s="2">
        <v>129550</v>
      </c>
      <c r="D36" s="2">
        <v>70850</v>
      </c>
      <c r="E36" s="2">
        <v>82800</v>
      </c>
      <c r="F36" s="2">
        <v>71575</v>
      </c>
      <c r="G36" s="2">
        <v>411641</v>
      </c>
      <c r="H36" s="2">
        <v>92435</v>
      </c>
      <c r="I36" s="2">
        <v>68210</v>
      </c>
      <c r="J36" s="2">
        <v>598900</v>
      </c>
      <c r="K36" s="2">
        <v>151735</v>
      </c>
      <c r="L36" s="2">
        <v>314300</v>
      </c>
      <c r="M36" s="2">
        <v>191150</v>
      </c>
      <c r="N36" s="2">
        <f t="shared" si="1"/>
        <v>2275646</v>
      </c>
    </row>
    <row r="37" spans="1:14" x14ac:dyDescent="0.2">
      <c r="A37" s="4" t="s">
        <v>35</v>
      </c>
      <c r="B37" s="1">
        <v>37</v>
      </c>
      <c r="C37" s="1">
        <v>72</v>
      </c>
      <c r="D37" s="1">
        <v>70</v>
      </c>
      <c r="E37" s="1">
        <v>47</v>
      </c>
      <c r="F37" s="1">
        <v>60</v>
      </c>
      <c r="G37" s="1">
        <v>38</v>
      </c>
      <c r="H37" s="1">
        <v>60</v>
      </c>
      <c r="I37" s="1">
        <v>93</v>
      </c>
      <c r="J37" s="1">
        <v>93</v>
      </c>
      <c r="K37" s="1">
        <v>65</v>
      </c>
      <c r="L37" s="1">
        <v>25</v>
      </c>
      <c r="M37" s="1">
        <v>46</v>
      </c>
      <c r="N37" s="1">
        <f t="shared" si="1"/>
        <v>706</v>
      </c>
    </row>
    <row r="38" spans="1:14" x14ac:dyDescent="0.2">
      <c r="A38" s="6" t="s">
        <v>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1"/>
        <v>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f t="shared" si="1"/>
        <v>1</v>
      </c>
    </row>
    <row r="40" spans="1:14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1000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1000</v>
      </c>
    </row>
    <row r="41" spans="1:14" x14ac:dyDescent="0.2">
      <c r="A41" s="4" t="s">
        <v>37</v>
      </c>
      <c r="B41" s="1">
        <v>0</v>
      </c>
      <c r="C41" s="1">
        <v>2</v>
      </c>
      <c r="D41" s="1">
        <v>0</v>
      </c>
      <c r="E41" s="1">
        <v>0</v>
      </c>
      <c r="F41" s="1">
        <v>0</v>
      </c>
      <c r="G41" s="1">
        <v>2</v>
      </c>
      <c r="H41" s="1">
        <v>2</v>
      </c>
      <c r="I41" s="1">
        <v>1</v>
      </c>
      <c r="J41" s="1">
        <v>0</v>
      </c>
      <c r="K41" s="1">
        <v>2</v>
      </c>
      <c r="L41" s="1">
        <v>1</v>
      </c>
      <c r="M41" s="1">
        <v>0</v>
      </c>
      <c r="N41" s="1">
        <f t="shared" si="1"/>
        <v>10</v>
      </c>
    </row>
    <row r="42" spans="1:14" x14ac:dyDescent="0.2">
      <c r="A42" s="6" t="s">
        <v>18</v>
      </c>
      <c r="B42" s="2">
        <v>0</v>
      </c>
      <c r="C42" s="2">
        <v>14000</v>
      </c>
      <c r="D42" s="2">
        <v>0</v>
      </c>
      <c r="E42" s="2">
        <v>0</v>
      </c>
      <c r="F42" s="2">
        <v>0</v>
      </c>
      <c r="G42" s="2">
        <v>6000</v>
      </c>
      <c r="H42" s="2">
        <v>4000</v>
      </c>
      <c r="I42" s="2">
        <v>10700</v>
      </c>
      <c r="J42" s="2">
        <v>0</v>
      </c>
      <c r="K42" s="2">
        <v>500</v>
      </c>
      <c r="L42" s="2">
        <v>6000</v>
      </c>
      <c r="M42" s="2">
        <v>0</v>
      </c>
      <c r="N42" s="2">
        <f t="shared" si="1"/>
        <v>41200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573</v>
      </c>
      <c r="C44" s="1">
        <f t="shared" si="2"/>
        <v>396</v>
      </c>
      <c r="D44" s="1">
        <f t="shared" si="2"/>
        <v>428</v>
      </c>
      <c r="E44" s="1">
        <f t="shared" si="2"/>
        <v>433</v>
      </c>
      <c r="F44" s="1">
        <f t="shared" si="2"/>
        <v>462</v>
      </c>
      <c r="G44" s="1">
        <f t="shared" si="2"/>
        <v>464</v>
      </c>
      <c r="H44" s="1">
        <f t="shared" si="2"/>
        <v>445</v>
      </c>
      <c r="I44" s="1">
        <f t="shared" si="2"/>
        <v>401</v>
      </c>
      <c r="J44" s="1">
        <f t="shared" si="2"/>
        <v>446</v>
      </c>
      <c r="K44" s="1">
        <f t="shared" si="2"/>
        <v>317</v>
      </c>
      <c r="L44" s="1">
        <f t="shared" si="2"/>
        <v>253</v>
      </c>
      <c r="M44" s="1">
        <f t="shared" si="2"/>
        <v>277</v>
      </c>
      <c r="N44" s="1">
        <f>SUM(B44:M44)</f>
        <v>4895</v>
      </c>
    </row>
    <row r="45" spans="1:14" x14ac:dyDescent="0.2">
      <c r="A45" s="6" t="s">
        <v>39</v>
      </c>
      <c r="B45" s="2">
        <f>SUM(B4+B6+B8+B10+B12+B16+B14+B18+B20+B22+B24+B26+B28+B30+B32+B34+B36+B38+B40+B42)</f>
        <v>42577479</v>
      </c>
      <c r="C45" s="2">
        <f t="shared" ref="C45:H45" si="3">SUM(C4+C6+C8+C10+C12+C14+C16+C18+C20+C22+C24+C26+C28+C30+C32+C34+C36+C38+C40+C42)</f>
        <v>24699767</v>
      </c>
      <c r="D45" s="2">
        <f t="shared" si="3"/>
        <v>107562848</v>
      </c>
      <c r="E45" s="2">
        <f t="shared" si="3"/>
        <v>51376101</v>
      </c>
      <c r="F45" s="2">
        <f t="shared" si="3"/>
        <v>28650561</v>
      </c>
      <c r="G45" s="2">
        <f t="shared" si="3"/>
        <v>64060047</v>
      </c>
      <c r="H45" s="2">
        <f t="shared" si="3"/>
        <v>39539282</v>
      </c>
      <c r="I45" s="2">
        <f>SUM(I4+I6+I8+I10+I12+I16+I14+I18+I20+I22+I24+I26+I28+I30+I32+I34+I36+I38+I40+I42)</f>
        <v>69587425</v>
      </c>
      <c r="J45" s="2">
        <f>SUM(J4+J6+J8+J10+J12+J14+J16+J18+J20+J22+J24+J26+J28+J30+J32+J34+J36+J38+J40+J42)</f>
        <v>24250749</v>
      </c>
      <c r="K45" s="2">
        <f>SUM(K4+K6+K8+K10+K12+K14+K16+K18+K20+K22+K24+K26+K28+K30+K32+K34+K36+K38+K40+K42)</f>
        <v>24773102</v>
      </c>
      <c r="L45" s="2">
        <f>SUM(L4+L6+L8+L10+L12+L14+L16+L18+L20+L22+L24+L26+L28+L30+L32+L34+L36+L38+L40+L42)</f>
        <v>27428656</v>
      </c>
      <c r="M45" s="2">
        <f>SUM(M4+M6+M8+M10+M12+M14+M16+M18+M20+M22+M24+M26+M28+M30+M32+M34+M36+M38+M40+M42)</f>
        <v>8881829</v>
      </c>
      <c r="N45" s="2">
        <f>SUM(B45:M45)</f>
        <v>513387846</v>
      </c>
    </row>
  </sheetData>
  <phoneticPr fontId="2" type="noConversion"/>
  <pageMargins left="0.5" right="0.5" top="1" bottom="1" header="0.5" footer="0.5"/>
  <pageSetup paperSize="5" scale="75" orientation="landscape" r:id="rId1"/>
  <headerFooter alignWithMargins="0">
    <oddHeader>&amp;L&amp;"Arial,Bold"Permit Summary
Calendar Year 2008&amp;C&amp;"Arial,Bold"City of Allen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view="pageLayout" zoomScaleNormal="100" workbookViewId="0">
      <selection activeCell="F28" sqref="F28"/>
    </sheetView>
  </sheetViews>
  <sheetFormatPr defaultRowHeight="12.75" x14ac:dyDescent="0.2"/>
  <cols>
    <col min="1" max="1" width="26.140625" customWidth="1"/>
    <col min="2" max="2" width="15.140625" customWidth="1"/>
    <col min="3" max="3" width="15" customWidth="1"/>
    <col min="4" max="5" width="15.140625" customWidth="1"/>
    <col min="6" max="6" width="15" customWidth="1"/>
    <col min="7" max="13" width="15.140625" customWidth="1"/>
    <col min="14" max="14" width="15" customWidth="1"/>
  </cols>
  <sheetData>
    <row r="1" spans="1:1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13</v>
      </c>
      <c r="C3" s="1">
        <v>25</v>
      </c>
      <c r="D3" s="1">
        <v>15</v>
      </c>
      <c r="E3" s="1">
        <v>24</v>
      </c>
      <c r="F3" s="1">
        <v>38</v>
      </c>
      <c r="G3" s="1">
        <v>67</v>
      </c>
      <c r="H3" s="1">
        <v>42</v>
      </c>
      <c r="I3" s="1">
        <v>43</v>
      </c>
      <c r="J3" s="1">
        <v>19</v>
      </c>
      <c r="K3" s="1">
        <v>37</v>
      </c>
      <c r="L3" s="1">
        <v>38</v>
      </c>
      <c r="M3" s="1">
        <v>31</v>
      </c>
      <c r="N3" s="1">
        <f t="shared" ref="N3:N12" si="0">SUM(B3:M3)</f>
        <v>392</v>
      </c>
    </row>
    <row r="4" spans="1:14" x14ac:dyDescent="0.2">
      <c r="A4" s="6" t="s">
        <v>18</v>
      </c>
      <c r="B4" s="2">
        <v>4767963</v>
      </c>
      <c r="C4" s="2">
        <v>9614274</v>
      </c>
      <c r="D4" s="2">
        <v>7014934</v>
      </c>
      <c r="E4" s="2">
        <v>8096107</v>
      </c>
      <c r="F4" s="2">
        <v>13625510</v>
      </c>
      <c r="G4" s="2">
        <v>23049604</v>
      </c>
      <c r="H4" s="2">
        <v>15292513</v>
      </c>
      <c r="I4" s="2">
        <v>11880779</v>
      </c>
      <c r="J4" s="2">
        <v>5549144</v>
      </c>
      <c r="K4" s="2">
        <v>10988684</v>
      </c>
      <c r="L4" s="2">
        <v>11651767</v>
      </c>
      <c r="M4" s="2">
        <v>8557491</v>
      </c>
      <c r="N4" s="2">
        <f t="shared" si="0"/>
        <v>130088770</v>
      </c>
    </row>
    <row r="5" spans="1:14" x14ac:dyDescent="0.2">
      <c r="A5" s="4" t="s">
        <v>43</v>
      </c>
      <c r="B5" s="1">
        <v>0</v>
      </c>
      <c r="C5" s="1">
        <v>0</v>
      </c>
      <c r="D5" s="1">
        <v>0</v>
      </c>
      <c r="E5" s="1">
        <v>12</v>
      </c>
      <c r="F5" s="1">
        <v>0</v>
      </c>
      <c r="G5" s="1">
        <v>5</v>
      </c>
      <c r="H5" s="1">
        <v>11</v>
      </c>
      <c r="I5" s="1">
        <v>11</v>
      </c>
      <c r="J5" s="1">
        <v>0</v>
      </c>
      <c r="K5" s="1">
        <v>0</v>
      </c>
      <c r="L5" s="1">
        <v>0</v>
      </c>
      <c r="M5" s="1">
        <v>6</v>
      </c>
      <c r="N5" s="1">
        <f t="shared" si="0"/>
        <v>45</v>
      </c>
    </row>
    <row r="6" spans="1:14" x14ac:dyDescent="0.2">
      <c r="A6" s="6" t="s">
        <v>18</v>
      </c>
      <c r="B6" s="2">
        <v>0</v>
      </c>
      <c r="C6" s="2">
        <v>0</v>
      </c>
      <c r="D6" s="2">
        <v>0</v>
      </c>
      <c r="E6" s="2">
        <v>1765940</v>
      </c>
      <c r="F6" s="2">
        <v>0</v>
      </c>
      <c r="G6" s="2">
        <v>568700</v>
      </c>
      <c r="H6" s="2">
        <v>1677930</v>
      </c>
      <c r="I6" s="2">
        <v>1285000</v>
      </c>
      <c r="J6" s="2">
        <v>0</v>
      </c>
      <c r="K6" s="2">
        <v>0</v>
      </c>
      <c r="L6" s="2">
        <v>0</v>
      </c>
      <c r="M6" s="2">
        <v>1065940</v>
      </c>
      <c r="N6" s="2">
        <f t="shared" si="0"/>
        <v>6363510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f t="shared" si="0"/>
        <v>0</v>
      </c>
    </row>
    <row r="9" spans="1:14" x14ac:dyDescent="0.2">
      <c r="A9" s="4" t="s">
        <v>41</v>
      </c>
      <c r="B9" s="1">
        <v>102</v>
      </c>
      <c r="C9" s="1">
        <v>95</v>
      </c>
      <c r="D9" s="1">
        <v>97</v>
      </c>
      <c r="E9" s="1">
        <v>131</v>
      </c>
      <c r="F9" s="1">
        <v>138</v>
      </c>
      <c r="G9" s="1">
        <v>162</v>
      </c>
      <c r="H9" s="1">
        <v>131</v>
      </c>
      <c r="I9" s="1">
        <v>133</v>
      </c>
      <c r="J9" s="1">
        <v>103</v>
      </c>
      <c r="K9" s="1">
        <v>120</v>
      </c>
      <c r="L9" s="1">
        <v>129</v>
      </c>
      <c r="M9" s="1">
        <v>93</v>
      </c>
      <c r="N9" s="1">
        <f t="shared" si="0"/>
        <v>1434</v>
      </c>
    </row>
    <row r="10" spans="1:14" x14ac:dyDescent="0.2">
      <c r="A10" s="6" t="s">
        <v>18</v>
      </c>
      <c r="B10" s="2">
        <v>476555</v>
      </c>
      <c r="C10" s="2">
        <v>395065</v>
      </c>
      <c r="D10" s="2">
        <v>429617</v>
      </c>
      <c r="E10" s="2">
        <v>422897</v>
      </c>
      <c r="F10" s="2">
        <v>534836</v>
      </c>
      <c r="G10" s="2">
        <v>652278</v>
      </c>
      <c r="H10" s="2">
        <v>504664</v>
      </c>
      <c r="I10" s="2">
        <v>568018</v>
      </c>
      <c r="J10" s="2">
        <v>420227</v>
      </c>
      <c r="K10" s="2">
        <v>320341</v>
      </c>
      <c r="L10" s="2">
        <v>339336</v>
      </c>
      <c r="M10" s="2">
        <v>300017</v>
      </c>
      <c r="N10" s="2">
        <f t="shared" si="0"/>
        <v>5363851</v>
      </c>
    </row>
    <row r="11" spans="1:14" x14ac:dyDescent="0.2">
      <c r="A11" s="4" t="s">
        <v>22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2</v>
      </c>
      <c r="H11" s="1">
        <v>3</v>
      </c>
      <c r="I11" s="1">
        <v>0</v>
      </c>
      <c r="J11" s="1">
        <v>1</v>
      </c>
      <c r="K11" s="1">
        <v>5</v>
      </c>
      <c r="L11" s="1">
        <v>1</v>
      </c>
      <c r="M11" s="1">
        <v>1</v>
      </c>
      <c r="N11" s="1">
        <f t="shared" si="0"/>
        <v>14</v>
      </c>
    </row>
    <row r="12" spans="1:14" x14ac:dyDescent="0.2">
      <c r="A12" s="6" t="s">
        <v>18</v>
      </c>
      <c r="B12" s="2">
        <v>0</v>
      </c>
      <c r="C12" s="2">
        <v>0</v>
      </c>
      <c r="D12" s="2">
        <v>0</v>
      </c>
      <c r="E12" s="2">
        <v>10000</v>
      </c>
      <c r="F12" s="2">
        <v>0</v>
      </c>
      <c r="G12" s="2">
        <v>12000</v>
      </c>
      <c r="H12" s="2">
        <v>98440</v>
      </c>
      <c r="I12" s="2">
        <v>0</v>
      </c>
      <c r="J12" s="2">
        <v>9000</v>
      </c>
      <c r="K12" s="2">
        <v>57100</v>
      </c>
      <c r="L12" s="2">
        <v>6800</v>
      </c>
      <c r="M12" s="2">
        <v>7005</v>
      </c>
      <c r="N12" s="2">
        <f t="shared" si="0"/>
        <v>200345</v>
      </c>
    </row>
    <row r="13" spans="1:14" x14ac:dyDescent="0.2">
      <c r="A13" s="4" t="s">
        <v>42</v>
      </c>
      <c r="B13" s="1">
        <v>15</v>
      </c>
      <c r="C13" s="1">
        <v>34</v>
      </c>
      <c r="D13" s="1">
        <v>19</v>
      </c>
      <c r="E13" s="1">
        <v>19</v>
      </c>
      <c r="F13" s="1">
        <v>14</v>
      </c>
      <c r="G13" s="1">
        <v>10</v>
      </c>
      <c r="H13" s="1">
        <v>14</v>
      </c>
      <c r="I13" s="1">
        <v>16</v>
      </c>
      <c r="J13" s="1">
        <v>12</v>
      </c>
      <c r="K13" s="1">
        <v>15</v>
      </c>
      <c r="L13" s="1">
        <v>10</v>
      </c>
      <c r="M13" s="1">
        <v>14</v>
      </c>
      <c r="N13" s="1">
        <f>SUM(B13:M13)</f>
        <v>192</v>
      </c>
    </row>
    <row r="14" spans="1:14" x14ac:dyDescent="0.2">
      <c r="A14" s="6" t="s">
        <v>18</v>
      </c>
      <c r="B14" s="2">
        <v>320432</v>
      </c>
      <c r="C14" s="2">
        <v>10666250</v>
      </c>
      <c r="D14" s="2">
        <v>10215275</v>
      </c>
      <c r="E14" s="2">
        <v>258727</v>
      </c>
      <c r="F14" s="2">
        <v>140873</v>
      </c>
      <c r="G14" s="2">
        <v>529700</v>
      </c>
      <c r="H14" s="2">
        <v>642921</v>
      </c>
      <c r="I14" s="2">
        <v>5694602</v>
      </c>
      <c r="J14" s="2">
        <v>459701</v>
      </c>
      <c r="K14" s="2">
        <v>187265</v>
      </c>
      <c r="L14" s="2">
        <v>5057175</v>
      </c>
      <c r="M14" s="2">
        <v>144324</v>
      </c>
      <c r="N14" s="2">
        <f>SUM(B14:M14)</f>
        <v>34317245</v>
      </c>
    </row>
    <row r="15" spans="1:14" x14ac:dyDescent="0.2">
      <c r="A15" s="4" t="s">
        <v>24</v>
      </c>
      <c r="B15" s="1">
        <v>2</v>
      </c>
      <c r="C15" s="1">
        <v>5</v>
      </c>
      <c r="D15" s="1">
        <v>3</v>
      </c>
      <c r="E15" s="1">
        <v>1</v>
      </c>
      <c r="F15" s="1">
        <v>6</v>
      </c>
      <c r="G15" s="1">
        <v>4</v>
      </c>
      <c r="H15" s="1">
        <v>1</v>
      </c>
      <c r="I15" s="1">
        <v>4</v>
      </c>
      <c r="J15" s="1">
        <v>2</v>
      </c>
      <c r="K15" s="1">
        <v>8</v>
      </c>
      <c r="L15" s="1">
        <v>2</v>
      </c>
      <c r="M15" s="1">
        <v>1</v>
      </c>
      <c r="N15" s="1">
        <f t="shared" ref="N15:N42" si="1">SUM(B15:M15)</f>
        <v>39</v>
      </c>
    </row>
    <row r="16" spans="1:14" x14ac:dyDescent="0.2">
      <c r="A16" s="6" t="s">
        <v>18</v>
      </c>
      <c r="B16" s="2">
        <v>9010696</v>
      </c>
      <c r="C16" s="2">
        <v>4420920</v>
      </c>
      <c r="D16" s="2">
        <v>3360920</v>
      </c>
      <c r="E16" s="2">
        <v>1500000</v>
      </c>
      <c r="F16" s="2">
        <v>17237000</v>
      </c>
      <c r="G16" s="2">
        <v>3769495</v>
      </c>
      <c r="H16" s="2">
        <v>5283000</v>
      </c>
      <c r="I16" s="2">
        <v>8883186</v>
      </c>
      <c r="J16" s="2">
        <v>33400000</v>
      </c>
      <c r="K16" s="2">
        <v>12000000</v>
      </c>
      <c r="L16" s="2">
        <v>2048000</v>
      </c>
      <c r="M16" s="2">
        <v>240000</v>
      </c>
      <c r="N16" s="2">
        <f t="shared" si="1"/>
        <v>101153217</v>
      </c>
    </row>
    <row r="17" spans="1:14" x14ac:dyDescent="0.2">
      <c r="A17" s="4" t="s">
        <v>40</v>
      </c>
      <c r="B17" s="1">
        <v>20</v>
      </c>
      <c r="C17" s="1">
        <v>37</v>
      </c>
      <c r="D17" s="1">
        <v>26</v>
      </c>
      <c r="E17" s="1">
        <v>11</v>
      </c>
      <c r="F17" s="1">
        <v>20</v>
      </c>
      <c r="G17" s="1">
        <v>21</v>
      </c>
      <c r="H17" s="1">
        <v>28</v>
      </c>
      <c r="I17" s="1">
        <v>16</v>
      </c>
      <c r="J17" s="1">
        <v>21</v>
      </c>
      <c r="K17" s="1">
        <v>26</v>
      </c>
      <c r="L17" s="1">
        <v>18</v>
      </c>
      <c r="M17" s="1">
        <v>14</v>
      </c>
      <c r="N17" s="1">
        <v>2</v>
      </c>
    </row>
    <row r="18" spans="1:14" x14ac:dyDescent="0.2">
      <c r="A18" s="6" t="s">
        <v>18</v>
      </c>
      <c r="B18" s="2">
        <v>2631919</v>
      </c>
      <c r="C18" s="2">
        <v>2705350</v>
      </c>
      <c r="D18" s="2">
        <v>2639150</v>
      </c>
      <c r="E18" s="2">
        <v>684700</v>
      </c>
      <c r="F18" s="2">
        <v>356700</v>
      </c>
      <c r="G18" s="2">
        <v>1155900</v>
      </c>
      <c r="H18" s="2">
        <v>1579555</v>
      </c>
      <c r="I18" s="2">
        <v>1234000</v>
      </c>
      <c r="J18" s="2">
        <v>1017168</v>
      </c>
      <c r="K18" s="2">
        <v>1301216</v>
      </c>
      <c r="L18" s="2">
        <v>335740</v>
      </c>
      <c r="M18" s="2">
        <v>776750</v>
      </c>
      <c r="N18" s="2">
        <f t="shared" si="1"/>
        <v>16418148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4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1</v>
      </c>
    </row>
    <row r="22" spans="1:14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15886394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15886394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0</v>
      </c>
    </row>
    <row r="24" spans="1:14" x14ac:dyDescent="0.2">
      <c r="A24" s="6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0</v>
      </c>
    </row>
    <row r="25" spans="1:14" x14ac:dyDescent="0.2">
      <c r="A25" s="4" t="s">
        <v>29</v>
      </c>
      <c r="B25" s="1">
        <v>5</v>
      </c>
      <c r="C25" s="1">
        <v>2</v>
      </c>
      <c r="D25" s="1">
        <v>4</v>
      </c>
      <c r="E25" s="1">
        <v>5</v>
      </c>
      <c r="F25" s="1">
        <v>5</v>
      </c>
      <c r="G25" s="1">
        <v>5</v>
      </c>
      <c r="H25" s="1">
        <v>1</v>
      </c>
      <c r="I25" s="1">
        <v>6</v>
      </c>
      <c r="J25" s="1">
        <v>6</v>
      </c>
      <c r="K25" s="1">
        <v>6</v>
      </c>
      <c r="L25" s="1">
        <v>5</v>
      </c>
      <c r="M25" s="1">
        <v>2</v>
      </c>
      <c r="N25" s="1">
        <f t="shared" si="1"/>
        <v>52</v>
      </c>
    </row>
    <row r="26" spans="1:14" x14ac:dyDescent="0.2">
      <c r="A26" s="6" t="s">
        <v>18</v>
      </c>
      <c r="B26" s="2">
        <v>250</v>
      </c>
      <c r="C26" s="2">
        <v>0</v>
      </c>
      <c r="D26" s="2">
        <v>500</v>
      </c>
      <c r="E26" s="2">
        <v>0</v>
      </c>
      <c r="F26" s="2">
        <v>0</v>
      </c>
      <c r="G26" s="2">
        <v>0</v>
      </c>
      <c r="H26" s="2">
        <v>0</v>
      </c>
      <c r="I26" s="2">
        <v>110000</v>
      </c>
      <c r="J26" s="2">
        <v>0</v>
      </c>
      <c r="K26" s="2">
        <v>0</v>
      </c>
      <c r="L26" s="2">
        <v>0</v>
      </c>
      <c r="M26" s="2">
        <v>0</v>
      </c>
      <c r="N26" s="2">
        <f t="shared" si="1"/>
        <v>110750</v>
      </c>
    </row>
    <row r="27" spans="1:14" x14ac:dyDescent="0.2">
      <c r="A27" s="4" t="s">
        <v>30</v>
      </c>
      <c r="B27" s="1">
        <v>2</v>
      </c>
      <c r="C27" s="1">
        <v>5</v>
      </c>
      <c r="D27" s="1">
        <v>6</v>
      </c>
      <c r="E27" s="1">
        <v>5</v>
      </c>
      <c r="F27" s="1">
        <v>7</v>
      </c>
      <c r="G27" s="1">
        <v>7</v>
      </c>
      <c r="H27" s="1">
        <v>5</v>
      </c>
      <c r="I27" s="1">
        <v>7</v>
      </c>
      <c r="J27" s="1">
        <v>7</v>
      </c>
      <c r="K27" s="1">
        <v>5</v>
      </c>
      <c r="L27" s="1">
        <v>5</v>
      </c>
      <c r="M27" s="1">
        <v>3</v>
      </c>
      <c r="N27" s="1">
        <f t="shared" si="1"/>
        <v>64</v>
      </c>
    </row>
    <row r="28" spans="1:14" x14ac:dyDescent="0.2">
      <c r="A28" s="6" t="s">
        <v>18</v>
      </c>
      <c r="B28" s="2">
        <v>3200</v>
      </c>
      <c r="C28" s="2">
        <v>12150</v>
      </c>
      <c r="D28" s="2">
        <v>29886</v>
      </c>
      <c r="E28" s="2">
        <v>20400</v>
      </c>
      <c r="F28" s="2">
        <v>11529</v>
      </c>
      <c r="G28" s="2">
        <v>74989</v>
      </c>
      <c r="H28" s="2">
        <v>11291</v>
      </c>
      <c r="I28" s="2">
        <v>58284</v>
      </c>
      <c r="J28" s="2">
        <v>12364</v>
      </c>
      <c r="K28" s="2">
        <v>4568</v>
      </c>
      <c r="L28" s="2">
        <v>22450</v>
      </c>
      <c r="M28" s="2">
        <v>13218</v>
      </c>
      <c r="N28" s="2">
        <f t="shared" si="1"/>
        <v>274329</v>
      </c>
    </row>
    <row r="29" spans="1:14" x14ac:dyDescent="0.2">
      <c r="A29" s="4" t="s">
        <v>31</v>
      </c>
      <c r="B29" s="1">
        <v>7</v>
      </c>
      <c r="C29" s="1">
        <v>14</v>
      </c>
      <c r="D29" s="1">
        <v>10</v>
      </c>
      <c r="E29" s="1">
        <v>13</v>
      </c>
      <c r="F29" s="1">
        <v>11</v>
      </c>
      <c r="G29" s="1">
        <v>16</v>
      </c>
      <c r="H29" s="1">
        <v>12</v>
      </c>
      <c r="I29" s="1">
        <v>11</v>
      </c>
      <c r="J29" s="1">
        <v>10</v>
      </c>
      <c r="K29" s="1">
        <v>10</v>
      </c>
      <c r="L29" s="1">
        <v>8</v>
      </c>
      <c r="M29" s="1">
        <v>12</v>
      </c>
      <c r="N29" s="1">
        <f t="shared" si="1"/>
        <v>134</v>
      </c>
    </row>
    <row r="30" spans="1:14" x14ac:dyDescent="0.2">
      <c r="A30" s="6" t="s">
        <v>18</v>
      </c>
      <c r="B30" s="2">
        <v>254000</v>
      </c>
      <c r="C30" s="2">
        <v>405500</v>
      </c>
      <c r="D30" s="2">
        <v>355325</v>
      </c>
      <c r="E30" s="2">
        <v>452846</v>
      </c>
      <c r="F30" s="2">
        <v>313700</v>
      </c>
      <c r="G30" s="2">
        <v>568200</v>
      </c>
      <c r="H30" s="2">
        <v>327200</v>
      </c>
      <c r="I30" s="2">
        <v>333050</v>
      </c>
      <c r="J30" s="2">
        <v>396100</v>
      </c>
      <c r="K30" s="2">
        <v>367000</v>
      </c>
      <c r="L30" s="2">
        <v>222000</v>
      </c>
      <c r="M30" s="2">
        <v>391500</v>
      </c>
      <c r="N30" s="2">
        <f t="shared" si="1"/>
        <v>4386421</v>
      </c>
    </row>
    <row r="31" spans="1:14" x14ac:dyDescent="0.2">
      <c r="A31" s="4" t="s">
        <v>32</v>
      </c>
      <c r="B31" s="1">
        <v>0</v>
      </c>
      <c r="C31" s="1">
        <v>0</v>
      </c>
      <c r="D31" s="1">
        <v>1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2</v>
      </c>
      <c r="K31" s="1">
        <v>1</v>
      </c>
      <c r="L31" s="1">
        <v>0</v>
      </c>
      <c r="M31" s="1">
        <v>0</v>
      </c>
      <c r="N31" s="1">
        <f t="shared" si="1"/>
        <v>6</v>
      </c>
    </row>
    <row r="32" spans="1:14" x14ac:dyDescent="0.2">
      <c r="A32" s="6" t="s">
        <v>18</v>
      </c>
      <c r="B32" s="2">
        <v>0</v>
      </c>
      <c r="C32" s="2">
        <v>0</v>
      </c>
      <c r="D32" s="2">
        <v>500</v>
      </c>
      <c r="E32" s="2">
        <v>50</v>
      </c>
      <c r="F32" s="2">
        <v>0</v>
      </c>
      <c r="G32" s="2">
        <v>0</v>
      </c>
      <c r="H32" s="2">
        <v>0</v>
      </c>
      <c r="I32" s="2">
        <v>16000</v>
      </c>
      <c r="J32" s="2">
        <v>30700</v>
      </c>
      <c r="K32" s="2">
        <v>15000</v>
      </c>
      <c r="L32" s="2">
        <v>0</v>
      </c>
      <c r="M32" s="2">
        <v>0</v>
      </c>
      <c r="N32" s="2">
        <f t="shared" si="1"/>
        <v>62250</v>
      </c>
    </row>
    <row r="33" spans="1:14" x14ac:dyDescent="0.2">
      <c r="A33" s="4" t="s">
        <v>33</v>
      </c>
      <c r="B33" s="1">
        <v>44</v>
      </c>
      <c r="C33" s="1">
        <v>53</v>
      </c>
      <c r="D33" s="1">
        <v>37</v>
      </c>
      <c r="E33" s="1">
        <v>51</v>
      </c>
      <c r="F33" s="1">
        <v>27</v>
      </c>
      <c r="G33" s="1">
        <v>28</v>
      </c>
      <c r="H33" s="1">
        <v>54</v>
      </c>
      <c r="I33" s="1">
        <v>66</v>
      </c>
      <c r="J33" s="1">
        <v>38</v>
      </c>
      <c r="K33" s="1">
        <v>86</v>
      </c>
      <c r="L33" s="1">
        <v>49</v>
      </c>
      <c r="M33" s="1">
        <v>52</v>
      </c>
      <c r="N33" s="1">
        <f t="shared" si="1"/>
        <v>585</v>
      </c>
    </row>
    <row r="34" spans="1:14" x14ac:dyDescent="0.2">
      <c r="A34" s="6" t="s">
        <v>18</v>
      </c>
      <c r="B34" s="2">
        <v>79076</v>
      </c>
      <c r="C34" s="2">
        <v>105646</v>
      </c>
      <c r="D34" s="2">
        <v>86985</v>
      </c>
      <c r="E34" s="2">
        <v>132272</v>
      </c>
      <c r="F34" s="2">
        <v>69500</v>
      </c>
      <c r="G34" s="2">
        <v>66313</v>
      </c>
      <c r="H34" s="2">
        <v>116978</v>
      </c>
      <c r="I34" s="2">
        <v>101687</v>
      </c>
      <c r="J34" s="2">
        <v>99179</v>
      </c>
      <c r="K34" s="2">
        <v>143338</v>
      </c>
      <c r="L34" s="2">
        <v>201280</v>
      </c>
      <c r="M34" s="2">
        <v>130527</v>
      </c>
      <c r="N34" s="2">
        <f t="shared" si="1"/>
        <v>1332781</v>
      </c>
    </row>
    <row r="35" spans="1:14" x14ac:dyDescent="0.2">
      <c r="A35" s="4" t="s">
        <v>34</v>
      </c>
      <c r="B35" s="1">
        <v>33</v>
      </c>
      <c r="C35" s="1">
        <v>39</v>
      </c>
      <c r="D35" s="1">
        <v>24</v>
      </c>
      <c r="E35" s="1">
        <v>43</v>
      </c>
      <c r="F35" s="1">
        <v>26</v>
      </c>
      <c r="G35" s="1">
        <v>55</v>
      </c>
      <c r="H35" s="1">
        <v>32</v>
      </c>
      <c r="I35" s="1">
        <v>57</v>
      </c>
      <c r="J35" s="1">
        <v>57</v>
      </c>
      <c r="K35" s="1">
        <v>68</v>
      </c>
      <c r="L35" s="1">
        <v>38</v>
      </c>
      <c r="M35" s="1">
        <v>42</v>
      </c>
      <c r="N35" s="1">
        <f t="shared" si="1"/>
        <v>514</v>
      </c>
    </row>
    <row r="36" spans="1:14" x14ac:dyDescent="0.2">
      <c r="A36" s="6" t="s">
        <v>18</v>
      </c>
      <c r="B36" s="2">
        <v>75500</v>
      </c>
      <c r="C36" s="2">
        <v>445834</v>
      </c>
      <c r="D36" s="2">
        <v>120511</v>
      </c>
      <c r="E36" s="2">
        <v>94900</v>
      </c>
      <c r="F36" s="2">
        <v>44250</v>
      </c>
      <c r="G36" s="2">
        <v>200448</v>
      </c>
      <c r="H36" s="2">
        <v>83285</v>
      </c>
      <c r="I36" s="2">
        <v>99736</v>
      </c>
      <c r="J36" s="2">
        <v>848350</v>
      </c>
      <c r="K36" s="2">
        <v>130400</v>
      </c>
      <c r="L36" s="2">
        <v>116930</v>
      </c>
      <c r="M36" s="2">
        <v>88485</v>
      </c>
      <c r="N36" s="2">
        <f t="shared" si="1"/>
        <v>2348629</v>
      </c>
    </row>
    <row r="37" spans="1:14" x14ac:dyDescent="0.2">
      <c r="A37" s="4" t="s">
        <v>35</v>
      </c>
      <c r="B37" s="1">
        <v>29</v>
      </c>
      <c r="C37" s="1">
        <v>50</v>
      </c>
      <c r="D37" s="1">
        <v>33</v>
      </c>
      <c r="E37" s="1">
        <v>57</v>
      </c>
      <c r="F37" s="1">
        <v>32</v>
      </c>
      <c r="G37" s="1">
        <v>73</v>
      </c>
      <c r="H37" s="1">
        <v>42</v>
      </c>
      <c r="I37" s="1">
        <v>38</v>
      </c>
      <c r="J37" s="1">
        <v>55</v>
      </c>
      <c r="K37" s="1">
        <v>76</v>
      </c>
      <c r="L37" s="1">
        <v>54</v>
      </c>
      <c r="M37" s="1">
        <v>28</v>
      </c>
      <c r="N37" s="1">
        <f t="shared" si="1"/>
        <v>567</v>
      </c>
    </row>
    <row r="38" spans="1:14" x14ac:dyDescent="0.2">
      <c r="A38" s="6" t="s">
        <v>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f t="shared" si="1"/>
        <v>0</v>
      </c>
    </row>
    <row r="39" spans="1:14" x14ac:dyDescent="0.2">
      <c r="A39" s="4" t="s">
        <v>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f t="shared" si="1"/>
        <v>0</v>
      </c>
    </row>
    <row r="40" spans="1:14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 x14ac:dyDescent="0.2">
      <c r="A41" s="4" t="s">
        <v>37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f t="shared" si="1"/>
        <v>4</v>
      </c>
    </row>
    <row r="42" spans="1:14" x14ac:dyDescent="0.2">
      <c r="A42" s="6" t="s">
        <v>18</v>
      </c>
      <c r="B42" s="2">
        <v>0</v>
      </c>
      <c r="C42" s="2">
        <v>0</v>
      </c>
      <c r="D42" s="2">
        <v>0</v>
      </c>
      <c r="E42" s="2">
        <v>0</v>
      </c>
      <c r="F42" s="2">
        <v>9500</v>
      </c>
      <c r="G42" s="2">
        <v>0</v>
      </c>
      <c r="H42" s="2">
        <v>0</v>
      </c>
      <c r="I42" s="2">
        <v>500</v>
      </c>
      <c r="J42" s="2">
        <v>0</v>
      </c>
      <c r="K42" s="2">
        <v>0</v>
      </c>
      <c r="L42" s="2">
        <v>0</v>
      </c>
      <c r="M42" s="2">
        <v>332000</v>
      </c>
      <c r="N42" s="2">
        <f t="shared" si="1"/>
        <v>342000</v>
      </c>
    </row>
    <row r="43" spans="1:14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38</v>
      </c>
      <c r="B44" s="1">
        <f t="shared" ref="B44:M44" si="2">SUM(B3+B5+B7+B9+B11+B13+B15+B17+B19+B21+B23+B25+B27+B29+B31+B33+B35+B37+B39+B41)</f>
        <v>272</v>
      </c>
      <c r="C44" s="1">
        <f t="shared" si="2"/>
        <v>359</v>
      </c>
      <c r="D44" s="1">
        <f t="shared" si="2"/>
        <v>275</v>
      </c>
      <c r="E44" s="1">
        <f t="shared" si="2"/>
        <v>374</v>
      </c>
      <c r="F44" s="1">
        <f t="shared" si="2"/>
        <v>327</v>
      </c>
      <c r="G44" s="1">
        <f t="shared" si="2"/>
        <v>455</v>
      </c>
      <c r="H44" s="1">
        <f t="shared" si="2"/>
        <v>376</v>
      </c>
      <c r="I44" s="1">
        <f t="shared" si="2"/>
        <v>410</v>
      </c>
      <c r="J44" s="1">
        <f t="shared" si="2"/>
        <v>333</v>
      </c>
      <c r="K44" s="1">
        <f t="shared" si="2"/>
        <v>463</v>
      </c>
      <c r="L44" s="1">
        <f t="shared" si="2"/>
        <v>357</v>
      </c>
      <c r="M44" s="1">
        <f t="shared" si="2"/>
        <v>300</v>
      </c>
      <c r="N44" s="1">
        <f>SUM(B44:M44)</f>
        <v>4301</v>
      </c>
    </row>
    <row r="45" spans="1:14" x14ac:dyDescent="0.2">
      <c r="A45" s="6" t="s">
        <v>39</v>
      </c>
      <c r="B45" s="2">
        <f>SUM(B4+B6+B8+B10+B12+B16+B14+B18+B20+B22+B24+B26+B28+B30+B32+B34+B36+B38+B40+B42)</f>
        <v>17619591</v>
      </c>
      <c r="C45" s="2">
        <f t="shared" ref="C45:H45" si="3">SUM(C4+C6+C8+C10+C12+C14+C16+C18+C20+C22+C24+C26+C28+C30+C32+C34+C36+C38+C40+C42)</f>
        <v>28770989</v>
      </c>
      <c r="D45" s="2">
        <f t="shared" si="3"/>
        <v>24253603</v>
      </c>
      <c r="E45" s="2">
        <f t="shared" si="3"/>
        <v>13438839</v>
      </c>
      <c r="F45" s="2">
        <f t="shared" si="3"/>
        <v>48229792</v>
      </c>
      <c r="G45" s="2">
        <f t="shared" si="3"/>
        <v>30647627</v>
      </c>
      <c r="H45" s="2">
        <f t="shared" si="3"/>
        <v>25617777</v>
      </c>
      <c r="I45" s="2">
        <f>SUM(I4+I6+I8+I10+I12+I16+I14+I18+I20+I22+I24+I26+I28+I30+I32+I34+I36+I38+I40+I42)</f>
        <v>30264842</v>
      </c>
      <c r="J45" s="2">
        <f>SUM(J4+J6+J8+J10+J12+J14+J16+J18+J20+J22+J24+J26+J28+J30+J32+J34+J36+J38+J40+J42)</f>
        <v>42241933</v>
      </c>
      <c r="K45" s="2">
        <f>SUM(K4+K6+K8+K10+K12+K14+K16+K18+K20+K22+K24+K26+K28+K30+K32+K34+K36+K38+K40+K42)</f>
        <v>25514912</v>
      </c>
      <c r="L45" s="2">
        <f>SUM(L4+L6+L8+L10+L12+L14+L16+L18+L20+L22+L24+L26+L28+L30+L32+L34+L36+L38+L40+L42)</f>
        <v>20001478</v>
      </c>
      <c r="M45" s="2">
        <f>SUM(M4+M6+M8+M10+M12+M14+M16+M18+M20+M22+M24+M26+M28+M30+M32+M34+M36+M38+M40+M42)</f>
        <v>12047257</v>
      </c>
      <c r="N45" s="2">
        <f>SUM(B45:M45)</f>
        <v>318648640</v>
      </c>
    </row>
  </sheetData>
  <pageMargins left="0.5" right="0.5" top="1" bottom="1" header="0.5" footer="0"/>
  <pageSetup paperSize="5" scale="75" orientation="landscape" r:id="rId1"/>
  <headerFooter alignWithMargins="0">
    <oddHeader>&amp;LPERMIT SUMMARY
CALENDAR YEAR 2009&amp;CCITY OF ALLEN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view="pageLayout" topLeftCell="A25" zoomScaleNormal="100" workbookViewId="0">
      <selection activeCell="B46" sqref="B46:B49"/>
    </sheetView>
  </sheetViews>
  <sheetFormatPr defaultRowHeight="12.75" x14ac:dyDescent="0.2"/>
  <cols>
    <col min="1" max="1" width="26.140625" customWidth="1"/>
    <col min="2" max="2" width="15.140625" customWidth="1"/>
    <col min="3" max="3" width="15" customWidth="1"/>
    <col min="4" max="5" width="15.140625" customWidth="1"/>
    <col min="6" max="6" width="15" customWidth="1"/>
    <col min="7" max="13" width="15.140625" customWidth="1"/>
    <col min="14" max="14" width="15" customWidth="1"/>
  </cols>
  <sheetData>
    <row r="1" spans="1:1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37</v>
      </c>
      <c r="C3" s="1">
        <v>28</v>
      </c>
      <c r="D3" s="1">
        <v>30</v>
      </c>
      <c r="E3" s="1">
        <v>49</v>
      </c>
      <c r="F3" s="1">
        <v>27</v>
      </c>
      <c r="G3" s="1">
        <v>43</v>
      </c>
      <c r="H3" s="1">
        <v>34</v>
      </c>
      <c r="I3" s="1">
        <v>41</v>
      </c>
      <c r="J3" s="1">
        <v>17</v>
      </c>
      <c r="K3" s="1">
        <v>35</v>
      </c>
      <c r="L3" s="1">
        <v>25</v>
      </c>
      <c r="M3" s="1">
        <v>31</v>
      </c>
      <c r="N3" s="1">
        <f t="shared" ref="N3:N12" si="0">SUM(B3:M3)</f>
        <v>397</v>
      </c>
    </row>
    <row r="4" spans="1:14" x14ac:dyDescent="0.2">
      <c r="A4" s="6" t="s">
        <v>18</v>
      </c>
      <c r="B4" s="2">
        <v>10625080</v>
      </c>
      <c r="C4" s="2">
        <v>8804717</v>
      </c>
      <c r="D4" s="2">
        <v>10816650</v>
      </c>
      <c r="E4" s="2">
        <v>15865227</v>
      </c>
      <c r="F4" s="2">
        <v>8698631</v>
      </c>
      <c r="G4" s="2">
        <v>14022020</v>
      </c>
      <c r="H4" s="2">
        <v>10192616</v>
      </c>
      <c r="I4" s="2">
        <v>13980388</v>
      </c>
      <c r="J4" s="2">
        <v>5687643</v>
      </c>
      <c r="K4" s="2">
        <v>9953874</v>
      </c>
      <c r="L4" s="2">
        <v>7598664</v>
      </c>
      <c r="M4" s="2">
        <v>9982745</v>
      </c>
      <c r="N4" s="2">
        <f t="shared" si="0"/>
        <v>126228255</v>
      </c>
    </row>
    <row r="5" spans="1:14" x14ac:dyDescent="0.2">
      <c r="A5" s="4" t="s">
        <v>43</v>
      </c>
      <c r="B5" s="1">
        <v>6</v>
      </c>
      <c r="C5" s="1">
        <v>7</v>
      </c>
      <c r="D5" s="1">
        <v>5</v>
      </c>
      <c r="E5" s="1">
        <v>6</v>
      </c>
      <c r="F5" s="1">
        <v>6</v>
      </c>
      <c r="G5" s="1">
        <v>6</v>
      </c>
      <c r="H5" s="1">
        <v>4</v>
      </c>
      <c r="I5" s="1">
        <v>0</v>
      </c>
      <c r="J5" s="1">
        <v>0</v>
      </c>
      <c r="K5" s="1">
        <v>4</v>
      </c>
      <c r="L5" s="1">
        <v>0</v>
      </c>
      <c r="M5" s="1">
        <v>3</v>
      </c>
      <c r="N5" s="1">
        <f t="shared" si="0"/>
        <v>47</v>
      </c>
    </row>
    <row r="6" spans="1:14" x14ac:dyDescent="0.2">
      <c r="A6" s="6" t="s">
        <v>18</v>
      </c>
      <c r="B6" s="2">
        <v>1041940</v>
      </c>
      <c r="C6" s="2">
        <v>680000</v>
      </c>
      <c r="D6" s="2">
        <v>893555</v>
      </c>
      <c r="E6" s="2">
        <v>710000</v>
      </c>
      <c r="F6" s="2">
        <v>738000</v>
      </c>
      <c r="G6" s="2">
        <v>1009000</v>
      </c>
      <c r="H6" s="2">
        <v>468000</v>
      </c>
      <c r="I6" s="2">
        <v>0</v>
      </c>
      <c r="J6" s="2">
        <v>0</v>
      </c>
      <c r="K6" s="2">
        <v>714960</v>
      </c>
      <c r="L6" s="2">
        <v>0</v>
      </c>
      <c r="M6" s="2">
        <v>248500</v>
      </c>
      <c r="N6" s="2">
        <f t="shared" si="0"/>
        <v>6503955</v>
      </c>
    </row>
    <row r="7" spans="1:14" x14ac:dyDescent="0.2">
      <c r="A7" s="4" t="s">
        <v>20</v>
      </c>
      <c r="B7" s="1">
        <v>180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180</v>
      </c>
    </row>
    <row r="8" spans="1:14" x14ac:dyDescent="0.2">
      <c r="A8" s="6" t="s">
        <v>18</v>
      </c>
      <c r="B8" s="2">
        <v>11699320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f t="shared" si="0"/>
        <v>11699320</v>
      </c>
    </row>
    <row r="9" spans="1:14" x14ac:dyDescent="0.2">
      <c r="A9" s="4" t="s">
        <v>41</v>
      </c>
      <c r="B9" s="1">
        <v>119</v>
      </c>
      <c r="C9" s="1">
        <v>89</v>
      </c>
      <c r="D9" s="1">
        <v>130</v>
      </c>
      <c r="E9" s="1">
        <v>141</v>
      </c>
      <c r="F9" s="1">
        <v>163</v>
      </c>
      <c r="G9" s="1">
        <v>201</v>
      </c>
      <c r="H9" s="1">
        <v>158</v>
      </c>
      <c r="I9" s="1">
        <v>161</v>
      </c>
      <c r="J9" s="1">
        <v>126</v>
      </c>
      <c r="K9" s="1">
        <v>149</v>
      </c>
      <c r="L9" s="1">
        <v>189</v>
      </c>
      <c r="M9" s="1">
        <v>176</v>
      </c>
      <c r="N9" s="1">
        <f t="shared" si="0"/>
        <v>1802</v>
      </c>
    </row>
    <row r="10" spans="1:14" x14ac:dyDescent="0.2">
      <c r="A10" s="6" t="s">
        <v>18</v>
      </c>
      <c r="B10" s="2">
        <v>430410</v>
      </c>
      <c r="C10" s="2">
        <v>383993</v>
      </c>
      <c r="D10" s="2">
        <v>433282</v>
      </c>
      <c r="E10" s="2">
        <v>566367</v>
      </c>
      <c r="F10" s="2">
        <v>612313</v>
      </c>
      <c r="G10" s="2">
        <v>717434</v>
      </c>
      <c r="H10" s="2">
        <v>582024</v>
      </c>
      <c r="I10" s="2">
        <v>597363</v>
      </c>
      <c r="J10" s="2">
        <v>430456</v>
      </c>
      <c r="K10" s="2">
        <v>400219</v>
      </c>
      <c r="L10" s="2">
        <v>960554</v>
      </c>
      <c r="M10" s="2">
        <v>545332</v>
      </c>
      <c r="N10" s="2">
        <f t="shared" si="0"/>
        <v>6659747</v>
      </c>
    </row>
    <row r="11" spans="1:14" x14ac:dyDescent="0.2">
      <c r="A11" s="4" t="s">
        <v>22</v>
      </c>
      <c r="B11" s="1">
        <v>1</v>
      </c>
      <c r="C11" s="1">
        <v>0</v>
      </c>
      <c r="D11" s="1">
        <v>0</v>
      </c>
      <c r="E11" s="1">
        <v>1</v>
      </c>
      <c r="F11" s="1">
        <v>1</v>
      </c>
      <c r="G11" s="1">
        <v>1</v>
      </c>
      <c r="H11" s="1">
        <v>0</v>
      </c>
      <c r="I11" s="1">
        <v>1</v>
      </c>
      <c r="J11" s="1">
        <v>2</v>
      </c>
      <c r="K11" s="1">
        <v>3</v>
      </c>
      <c r="L11" s="1">
        <v>3</v>
      </c>
      <c r="M11" s="1">
        <v>2</v>
      </c>
      <c r="N11" s="1">
        <f t="shared" si="0"/>
        <v>15</v>
      </c>
    </row>
    <row r="12" spans="1:14" x14ac:dyDescent="0.2">
      <c r="A12" s="6" t="s">
        <v>18</v>
      </c>
      <c r="B12" s="2">
        <v>15900</v>
      </c>
      <c r="C12" s="2">
        <v>0</v>
      </c>
      <c r="D12" s="2">
        <v>0</v>
      </c>
      <c r="E12" s="2">
        <v>12525</v>
      </c>
      <c r="F12" s="2">
        <v>24621</v>
      </c>
      <c r="G12" s="2">
        <v>35000</v>
      </c>
      <c r="H12" s="2">
        <v>0</v>
      </c>
      <c r="I12" s="2">
        <v>4860</v>
      </c>
      <c r="J12" s="2">
        <v>51106</v>
      </c>
      <c r="K12" s="2">
        <v>68336</v>
      </c>
      <c r="L12" s="2">
        <v>31000</v>
      </c>
      <c r="M12" s="2">
        <v>98000</v>
      </c>
      <c r="N12" s="2">
        <f t="shared" si="0"/>
        <v>341348</v>
      </c>
    </row>
    <row r="13" spans="1:14" x14ac:dyDescent="0.2">
      <c r="A13" s="4" t="s">
        <v>42</v>
      </c>
      <c r="B13" s="1">
        <v>17</v>
      </c>
      <c r="C13" s="1">
        <v>20</v>
      </c>
      <c r="D13" s="1">
        <v>6</v>
      </c>
      <c r="E13" s="1">
        <v>14</v>
      </c>
      <c r="F13" s="1">
        <v>14</v>
      </c>
      <c r="G13" s="1">
        <v>12</v>
      </c>
      <c r="H13" s="1">
        <v>6</v>
      </c>
      <c r="I13" s="1">
        <v>12</v>
      </c>
      <c r="J13" s="1">
        <v>8</v>
      </c>
      <c r="K13" s="1">
        <v>14</v>
      </c>
      <c r="L13" s="1">
        <v>6</v>
      </c>
      <c r="M13" s="1">
        <v>9</v>
      </c>
      <c r="N13" s="1">
        <f>SUM(B13:M13)</f>
        <v>138</v>
      </c>
    </row>
    <row r="14" spans="1:14" x14ac:dyDescent="0.2">
      <c r="A14" s="6" t="s">
        <v>18</v>
      </c>
      <c r="B14" s="2">
        <v>391465</v>
      </c>
      <c r="C14" s="2">
        <v>160680</v>
      </c>
      <c r="D14" s="2">
        <v>62790</v>
      </c>
      <c r="E14" s="2">
        <v>1369627</v>
      </c>
      <c r="F14" s="2">
        <v>63648</v>
      </c>
      <c r="G14" s="2">
        <v>113864</v>
      </c>
      <c r="H14" s="2">
        <v>45800</v>
      </c>
      <c r="I14" s="2">
        <v>438700</v>
      </c>
      <c r="J14" s="2">
        <v>29850</v>
      </c>
      <c r="K14" s="2">
        <v>48650</v>
      </c>
      <c r="L14" s="2">
        <v>11900</v>
      </c>
      <c r="M14" s="2">
        <v>520430</v>
      </c>
      <c r="N14" s="2">
        <f>SUM(B14:M14)</f>
        <v>3257404</v>
      </c>
    </row>
    <row r="15" spans="1:14" x14ac:dyDescent="0.2">
      <c r="A15" s="4" t="s">
        <v>24</v>
      </c>
      <c r="B15" s="1">
        <v>2</v>
      </c>
      <c r="C15" s="1">
        <v>2</v>
      </c>
      <c r="D15" s="1">
        <v>3</v>
      </c>
      <c r="E15" s="1">
        <v>2</v>
      </c>
      <c r="F15" s="1">
        <v>1</v>
      </c>
      <c r="G15" s="1">
        <v>1</v>
      </c>
      <c r="H15" s="1">
        <v>1</v>
      </c>
      <c r="I15" s="1">
        <v>2</v>
      </c>
      <c r="J15" s="1">
        <v>3</v>
      </c>
      <c r="K15" s="1">
        <v>0</v>
      </c>
      <c r="L15" s="1">
        <v>2</v>
      </c>
      <c r="M15" s="1">
        <v>3</v>
      </c>
      <c r="N15" s="1">
        <f t="shared" ref="N15:N44" si="1">SUM(B15:M15)</f>
        <v>22</v>
      </c>
    </row>
    <row r="16" spans="1:14" x14ac:dyDescent="0.2">
      <c r="A16" s="6" t="s">
        <v>18</v>
      </c>
      <c r="B16" s="2">
        <v>3100000</v>
      </c>
      <c r="C16" s="2">
        <v>1581900</v>
      </c>
      <c r="D16" s="2">
        <v>17851230</v>
      </c>
      <c r="E16" s="2">
        <v>10109360</v>
      </c>
      <c r="F16" s="2">
        <v>1050000</v>
      </c>
      <c r="G16" s="2">
        <v>400000</v>
      </c>
      <c r="H16" s="2">
        <v>700000</v>
      </c>
      <c r="I16" s="2">
        <v>9860301</v>
      </c>
      <c r="J16" s="2">
        <v>9955301</v>
      </c>
      <c r="K16" s="2">
        <v>0</v>
      </c>
      <c r="L16" s="2">
        <v>5075000</v>
      </c>
      <c r="M16" s="2">
        <v>14575000</v>
      </c>
      <c r="N16" s="2">
        <f t="shared" si="1"/>
        <v>74258092</v>
      </c>
    </row>
    <row r="17" spans="1:14" x14ac:dyDescent="0.2">
      <c r="A17" s="4" t="s">
        <v>40</v>
      </c>
      <c r="B17" s="1">
        <v>16</v>
      </c>
      <c r="C17" s="1">
        <v>18</v>
      </c>
      <c r="D17" s="1">
        <v>21</v>
      </c>
      <c r="E17" s="1">
        <v>19</v>
      </c>
      <c r="F17" s="1">
        <v>21</v>
      </c>
      <c r="G17" s="1">
        <v>20</v>
      </c>
      <c r="H17" s="1">
        <v>10</v>
      </c>
      <c r="I17" s="1">
        <v>20</v>
      </c>
      <c r="J17" s="1">
        <v>10</v>
      </c>
      <c r="K17" s="1">
        <v>14</v>
      </c>
      <c r="L17" s="1">
        <v>10</v>
      </c>
      <c r="M17" s="1">
        <v>11</v>
      </c>
      <c r="N17" s="1">
        <f>SUM(B17:M17)</f>
        <v>190</v>
      </c>
    </row>
    <row r="18" spans="1:14" x14ac:dyDescent="0.2">
      <c r="A18" s="6" t="s">
        <v>18</v>
      </c>
      <c r="B18" s="2">
        <v>1694671</v>
      </c>
      <c r="C18" s="2">
        <v>886339</v>
      </c>
      <c r="D18" s="2">
        <v>812412</v>
      </c>
      <c r="E18" s="2">
        <v>823972</v>
      </c>
      <c r="F18" s="2">
        <v>2157904</v>
      </c>
      <c r="G18" s="2">
        <v>2305500</v>
      </c>
      <c r="H18" s="2">
        <v>474425</v>
      </c>
      <c r="I18" s="2">
        <v>1869747</v>
      </c>
      <c r="J18" s="2">
        <v>740850</v>
      </c>
      <c r="K18" s="2">
        <v>1032570</v>
      </c>
      <c r="L18" s="2">
        <v>522967</v>
      </c>
      <c r="M18" s="2">
        <v>77675</v>
      </c>
      <c r="N18" s="2">
        <f t="shared" si="1"/>
        <v>13399032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4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0</v>
      </c>
    </row>
    <row r="22" spans="1:14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3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5</v>
      </c>
    </row>
    <row r="24" spans="1:14" x14ac:dyDescent="0.2">
      <c r="A24" s="6" t="s">
        <v>18</v>
      </c>
      <c r="B24" s="2">
        <v>0</v>
      </c>
      <c r="C24" s="2">
        <v>0</v>
      </c>
      <c r="D24" s="2">
        <v>0</v>
      </c>
      <c r="E24" s="2">
        <v>3970000</v>
      </c>
      <c r="F24" s="2">
        <v>0</v>
      </c>
      <c r="G24" s="2">
        <v>28950000</v>
      </c>
      <c r="H24" s="2">
        <v>15000000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47920000</v>
      </c>
    </row>
    <row r="25" spans="1:14" s="17" customFormat="1" x14ac:dyDescent="0.2">
      <c r="A25" s="15" t="s">
        <v>49</v>
      </c>
      <c r="B25" s="16">
        <v>1</v>
      </c>
      <c r="C25" s="16">
        <v>0</v>
      </c>
      <c r="D25" s="16">
        <v>2</v>
      </c>
      <c r="E25" s="16">
        <v>1</v>
      </c>
      <c r="F25" s="16">
        <v>2</v>
      </c>
      <c r="G25" s="16">
        <v>1</v>
      </c>
      <c r="H25" s="16">
        <v>2</v>
      </c>
      <c r="I25" s="16">
        <v>1</v>
      </c>
      <c r="J25" s="16">
        <v>1</v>
      </c>
      <c r="K25" s="16">
        <v>4</v>
      </c>
      <c r="L25" s="16">
        <v>3</v>
      </c>
      <c r="M25" s="16">
        <v>0</v>
      </c>
      <c r="N25" s="16">
        <f t="shared" si="1"/>
        <v>18</v>
      </c>
    </row>
    <row r="26" spans="1:14" x14ac:dyDescent="0.2">
      <c r="A26" s="6" t="s">
        <v>18</v>
      </c>
      <c r="B26" s="2">
        <v>132848</v>
      </c>
      <c r="C26" s="2">
        <v>0</v>
      </c>
      <c r="D26" s="2">
        <v>5820000</v>
      </c>
      <c r="E26" s="2">
        <v>5000</v>
      </c>
      <c r="F26" s="2">
        <v>54957</v>
      </c>
      <c r="G26" s="2">
        <v>1900000</v>
      </c>
      <c r="H26" s="2">
        <v>501796</v>
      </c>
      <c r="I26" s="2">
        <v>1500</v>
      </c>
      <c r="J26" s="2">
        <v>1500</v>
      </c>
      <c r="K26" s="2">
        <v>403469</v>
      </c>
      <c r="L26" s="2">
        <v>175000</v>
      </c>
      <c r="M26" s="2">
        <v>0</v>
      </c>
      <c r="N26" s="2">
        <f t="shared" si="1"/>
        <v>8996070</v>
      </c>
    </row>
    <row r="27" spans="1:14" x14ac:dyDescent="0.2">
      <c r="A27" s="4" t="s">
        <v>29</v>
      </c>
      <c r="B27" s="1">
        <v>2</v>
      </c>
      <c r="C27" s="1">
        <v>6</v>
      </c>
      <c r="D27" s="1">
        <v>4</v>
      </c>
      <c r="E27" s="1">
        <v>9</v>
      </c>
      <c r="F27" s="1">
        <v>0</v>
      </c>
      <c r="G27" s="1">
        <v>6</v>
      </c>
      <c r="H27" s="1">
        <v>4</v>
      </c>
      <c r="I27" s="1">
        <v>5</v>
      </c>
      <c r="J27" s="1">
        <v>3</v>
      </c>
      <c r="K27" s="1">
        <v>4</v>
      </c>
      <c r="L27" s="1">
        <v>5</v>
      </c>
      <c r="M27" s="1">
        <v>10</v>
      </c>
      <c r="N27" s="1">
        <f t="shared" si="1"/>
        <v>58</v>
      </c>
    </row>
    <row r="28" spans="1:14" x14ac:dyDescent="0.2">
      <c r="A28" s="6" t="s">
        <v>18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2">
      <c r="A29" s="4" t="s">
        <v>30</v>
      </c>
      <c r="B29" s="1">
        <v>5</v>
      </c>
      <c r="C29" s="1">
        <v>3</v>
      </c>
      <c r="D29" s="1">
        <v>5</v>
      </c>
      <c r="E29" s="1">
        <v>4</v>
      </c>
      <c r="F29" s="1">
        <v>4</v>
      </c>
      <c r="G29" s="1">
        <v>2</v>
      </c>
      <c r="H29" s="1">
        <v>2</v>
      </c>
      <c r="I29" s="1">
        <v>7</v>
      </c>
      <c r="J29" s="1">
        <v>3</v>
      </c>
      <c r="K29" s="1">
        <v>6</v>
      </c>
      <c r="L29" s="1">
        <v>4</v>
      </c>
      <c r="M29" s="1">
        <v>0</v>
      </c>
      <c r="N29" s="1">
        <f t="shared" si="1"/>
        <v>45</v>
      </c>
    </row>
    <row r="30" spans="1:14" x14ac:dyDescent="0.2">
      <c r="A30" s="6" t="s">
        <v>18</v>
      </c>
      <c r="B30" s="2">
        <v>17050</v>
      </c>
      <c r="C30" s="2">
        <v>4431</v>
      </c>
      <c r="D30" s="2">
        <v>10224</v>
      </c>
      <c r="E30" s="2">
        <v>5900</v>
      </c>
      <c r="F30" s="2">
        <v>8795</v>
      </c>
      <c r="G30" s="2">
        <v>7449</v>
      </c>
      <c r="H30" s="2">
        <v>7500</v>
      </c>
      <c r="I30" s="2">
        <v>25476</v>
      </c>
      <c r="J30" s="2">
        <v>4099</v>
      </c>
      <c r="K30" s="2">
        <v>58350</v>
      </c>
      <c r="L30" s="2">
        <v>13931</v>
      </c>
      <c r="M30" s="2">
        <v>0</v>
      </c>
      <c r="N30" s="2">
        <f t="shared" si="1"/>
        <v>163205</v>
      </c>
    </row>
    <row r="31" spans="1:14" x14ac:dyDescent="0.2">
      <c r="A31" s="4" t="s">
        <v>31</v>
      </c>
      <c r="B31" s="1">
        <v>10</v>
      </c>
      <c r="C31" s="1">
        <v>10</v>
      </c>
      <c r="D31" s="1">
        <v>15</v>
      </c>
      <c r="E31" s="1">
        <v>18</v>
      </c>
      <c r="F31" s="1">
        <v>12</v>
      </c>
      <c r="G31" s="1">
        <v>19</v>
      </c>
      <c r="H31" s="1">
        <v>20</v>
      </c>
      <c r="I31" s="1">
        <v>12</v>
      </c>
      <c r="J31" s="1">
        <v>11</v>
      </c>
      <c r="K31" s="1">
        <v>11</v>
      </c>
      <c r="L31" s="1">
        <v>12</v>
      </c>
      <c r="M31" s="1">
        <v>10</v>
      </c>
      <c r="N31" s="1">
        <f t="shared" si="1"/>
        <v>160</v>
      </c>
    </row>
    <row r="32" spans="1:14" x14ac:dyDescent="0.2">
      <c r="A32" s="6" t="s">
        <v>18</v>
      </c>
      <c r="B32" s="2">
        <v>284600</v>
      </c>
      <c r="C32" s="2">
        <v>373000</v>
      </c>
      <c r="D32" s="2">
        <v>553500</v>
      </c>
      <c r="E32" s="2">
        <v>675500</v>
      </c>
      <c r="F32" s="2">
        <v>452750</v>
      </c>
      <c r="G32" s="2">
        <v>649000</v>
      </c>
      <c r="H32" s="2">
        <v>701000</v>
      </c>
      <c r="I32" s="2">
        <v>386000</v>
      </c>
      <c r="J32" s="2">
        <v>461879</v>
      </c>
      <c r="K32" s="2">
        <v>402731</v>
      </c>
      <c r="L32" s="2">
        <v>401667</v>
      </c>
      <c r="M32" s="2">
        <v>388000</v>
      </c>
      <c r="N32" s="2">
        <f t="shared" si="1"/>
        <v>5729627</v>
      </c>
    </row>
    <row r="33" spans="1:14" x14ac:dyDescent="0.2">
      <c r="A33" s="4" t="s">
        <v>32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f t="shared" si="1"/>
        <v>2</v>
      </c>
    </row>
    <row r="34" spans="1:14" x14ac:dyDescent="0.2">
      <c r="A34" s="6" t="s">
        <v>18</v>
      </c>
      <c r="B34" s="2">
        <v>6000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20000</v>
      </c>
      <c r="J34" s="2">
        <v>0</v>
      </c>
      <c r="K34" s="2">
        <v>0</v>
      </c>
      <c r="L34" s="2">
        <v>0</v>
      </c>
      <c r="M34" s="2">
        <v>0</v>
      </c>
      <c r="N34" s="2">
        <f t="shared" si="1"/>
        <v>26000</v>
      </c>
    </row>
    <row r="35" spans="1:14" x14ac:dyDescent="0.2">
      <c r="A35" s="4" t="s">
        <v>33</v>
      </c>
      <c r="B35" s="1">
        <v>36</v>
      </c>
      <c r="C35" s="1">
        <v>45</v>
      </c>
      <c r="D35" s="1">
        <v>34</v>
      </c>
      <c r="E35" s="1">
        <v>91</v>
      </c>
      <c r="F35" s="1">
        <v>79</v>
      </c>
      <c r="G35" s="1">
        <v>52</v>
      </c>
      <c r="H35" s="1">
        <v>56</v>
      </c>
      <c r="I35" s="1">
        <v>61</v>
      </c>
      <c r="J35" s="1">
        <v>38</v>
      </c>
      <c r="K35" s="1">
        <v>45</v>
      </c>
      <c r="L35" s="1">
        <v>54</v>
      </c>
      <c r="M35" s="1">
        <v>70</v>
      </c>
      <c r="N35" s="1">
        <f t="shared" si="1"/>
        <v>661</v>
      </c>
    </row>
    <row r="36" spans="1:14" x14ac:dyDescent="0.2">
      <c r="A36" s="6" t="s">
        <v>18</v>
      </c>
      <c r="B36" s="2">
        <v>170623</v>
      </c>
      <c r="C36" s="2">
        <v>124895</v>
      </c>
      <c r="D36" s="2">
        <v>100340</v>
      </c>
      <c r="E36" s="2">
        <v>189702</v>
      </c>
      <c r="F36" s="2">
        <v>275360</v>
      </c>
      <c r="G36" s="2">
        <v>861617</v>
      </c>
      <c r="H36" s="2">
        <v>153114</v>
      </c>
      <c r="I36" s="2">
        <v>226637</v>
      </c>
      <c r="J36" s="2">
        <v>319736</v>
      </c>
      <c r="K36" s="2">
        <v>91068</v>
      </c>
      <c r="L36" s="2">
        <v>318800</v>
      </c>
      <c r="M36" s="2">
        <v>691159</v>
      </c>
      <c r="N36" s="2">
        <f t="shared" si="1"/>
        <v>3523051</v>
      </c>
    </row>
    <row r="37" spans="1:14" x14ac:dyDescent="0.2">
      <c r="A37" s="4" t="s">
        <v>34</v>
      </c>
      <c r="B37" s="1">
        <v>33</v>
      </c>
      <c r="C37" s="1">
        <v>30</v>
      </c>
      <c r="D37" s="1">
        <v>42</v>
      </c>
      <c r="E37" s="1">
        <v>51</v>
      </c>
      <c r="F37" s="1">
        <v>47</v>
      </c>
      <c r="G37" s="1">
        <v>51</v>
      </c>
      <c r="H37" s="1">
        <v>46</v>
      </c>
      <c r="I37" s="1">
        <v>53</v>
      </c>
      <c r="J37" s="1">
        <v>54</v>
      </c>
      <c r="K37" s="1">
        <v>48</v>
      </c>
      <c r="L37" s="1">
        <v>33</v>
      </c>
      <c r="M37" s="1">
        <v>24</v>
      </c>
      <c r="N37" s="1">
        <f t="shared" si="1"/>
        <v>512</v>
      </c>
    </row>
    <row r="38" spans="1:14" x14ac:dyDescent="0.2">
      <c r="A38" s="6" t="s">
        <v>18</v>
      </c>
      <c r="B38" s="2">
        <v>167700</v>
      </c>
      <c r="C38" s="2">
        <v>67335</v>
      </c>
      <c r="D38" s="2">
        <v>86936</v>
      </c>
      <c r="E38" s="2">
        <v>107607</v>
      </c>
      <c r="F38" s="2">
        <v>199200</v>
      </c>
      <c r="G38" s="2">
        <v>138750</v>
      </c>
      <c r="H38" s="2">
        <v>117177</v>
      </c>
      <c r="I38" s="2">
        <v>224985</v>
      </c>
      <c r="J38" s="2">
        <v>112305</v>
      </c>
      <c r="K38" s="2">
        <v>101400</v>
      </c>
      <c r="L38" s="2">
        <v>90100</v>
      </c>
      <c r="M38" s="2">
        <v>239186</v>
      </c>
      <c r="N38" s="2">
        <f t="shared" si="1"/>
        <v>1652681</v>
      </c>
    </row>
    <row r="39" spans="1:14" x14ac:dyDescent="0.2">
      <c r="A39" s="4" t="s">
        <v>35</v>
      </c>
      <c r="B39" s="1">
        <v>32</v>
      </c>
      <c r="C39" s="1">
        <v>61</v>
      </c>
      <c r="D39" s="1">
        <v>43</v>
      </c>
      <c r="E39" s="1">
        <v>51</v>
      </c>
      <c r="F39" s="1">
        <v>24</v>
      </c>
      <c r="G39" s="1">
        <v>38</v>
      </c>
      <c r="H39" s="1">
        <v>30</v>
      </c>
      <c r="I39" s="1">
        <v>20</v>
      </c>
      <c r="J39" s="1">
        <v>43</v>
      </c>
      <c r="K39" s="1">
        <v>31</v>
      </c>
      <c r="L39" s="1">
        <v>29</v>
      </c>
      <c r="M39" s="1">
        <v>80</v>
      </c>
      <c r="N39" s="1">
        <f t="shared" si="1"/>
        <v>482</v>
      </c>
    </row>
    <row r="40" spans="1:14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 x14ac:dyDescent="0.2">
      <c r="A41" s="4" t="s">
        <v>36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f t="shared" si="1"/>
        <v>2</v>
      </c>
    </row>
    <row r="42" spans="1:14" x14ac:dyDescent="0.2">
      <c r="A42" s="6" t="s">
        <v>18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20000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f t="shared" si="1"/>
        <v>20000</v>
      </c>
    </row>
    <row r="43" spans="1:14" x14ac:dyDescent="0.2">
      <c r="A43" s="4" t="s">
        <v>37</v>
      </c>
      <c r="B43" s="1">
        <v>1</v>
      </c>
      <c r="C43" s="1">
        <v>0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>
        <v>1</v>
      </c>
      <c r="J43" s="1">
        <v>1</v>
      </c>
      <c r="K43" s="1">
        <v>3</v>
      </c>
      <c r="L43" s="1">
        <v>2</v>
      </c>
      <c r="M43" s="1">
        <v>2</v>
      </c>
      <c r="N43" s="1">
        <f t="shared" si="1"/>
        <v>13</v>
      </c>
    </row>
    <row r="44" spans="1:14" x14ac:dyDescent="0.2">
      <c r="A44" s="6" t="s">
        <v>18</v>
      </c>
      <c r="B44" s="2">
        <v>20000</v>
      </c>
      <c r="C44" s="2">
        <v>0</v>
      </c>
      <c r="D44" s="2">
        <v>300</v>
      </c>
      <c r="E44" s="2">
        <v>0</v>
      </c>
      <c r="F44" s="2">
        <v>6000</v>
      </c>
      <c r="G44" s="2">
        <v>0</v>
      </c>
      <c r="H44" s="2">
        <v>25000</v>
      </c>
      <c r="I44" s="2">
        <v>4495</v>
      </c>
      <c r="J44" s="2">
        <v>20000</v>
      </c>
      <c r="K44" s="2">
        <v>21000</v>
      </c>
      <c r="L44" s="2">
        <v>12300</v>
      </c>
      <c r="M44" s="2">
        <v>7000</v>
      </c>
      <c r="N44" s="2">
        <f t="shared" si="1"/>
        <v>116095</v>
      </c>
    </row>
    <row r="45" spans="1:14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4" t="s">
        <v>38</v>
      </c>
      <c r="B46" s="1">
        <f t="shared" ref="B46:M46" si="2">SUM(B3+B5+B7+B9+B11+B13+B15+B17+B19+B21+B23+B25+B27+B29+B31+B33+B35+B37+B39+B41+B43)</f>
        <v>499</v>
      </c>
      <c r="C46" s="1">
        <f t="shared" si="2"/>
        <v>319</v>
      </c>
      <c r="D46" s="1">
        <f t="shared" si="2"/>
        <v>341</v>
      </c>
      <c r="E46" s="1">
        <f t="shared" si="2"/>
        <v>458</v>
      </c>
      <c r="F46" s="1">
        <f t="shared" si="2"/>
        <v>402</v>
      </c>
      <c r="G46" s="1">
        <f t="shared" si="2"/>
        <v>457</v>
      </c>
      <c r="H46" s="1">
        <f t="shared" si="2"/>
        <v>375</v>
      </c>
      <c r="I46" s="1">
        <f t="shared" si="2"/>
        <v>398</v>
      </c>
      <c r="J46" s="1">
        <f t="shared" si="2"/>
        <v>320</v>
      </c>
      <c r="K46" s="1">
        <f t="shared" si="2"/>
        <v>371</v>
      </c>
      <c r="L46" s="1">
        <f t="shared" si="2"/>
        <v>377</v>
      </c>
      <c r="M46" s="1">
        <f t="shared" si="2"/>
        <v>432</v>
      </c>
      <c r="N46" s="1">
        <f>SUM(B46:M46)</f>
        <v>4749</v>
      </c>
    </row>
    <row r="47" spans="1:14" x14ac:dyDescent="0.2">
      <c r="A47" s="6" t="s">
        <v>39</v>
      </c>
      <c r="B47" s="2">
        <f>SUM(B4+B6+B8+B10+B12+B16+B14+B18+B20+B22+B24+B26+B28+B30+B32+B34+B36+B38+B40+B42+B44)</f>
        <v>29797607</v>
      </c>
      <c r="C47" s="2">
        <f t="shared" ref="C47:H47" si="3">SUM(C4+C6+C8+C10+C12+C14+C16+C18+C20+C22+C24+C26+C28+C30+C32+C34+C36+C38+C40+C42+C44)</f>
        <v>13067290</v>
      </c>
      <c r="D47" s="2">
        <f t="shared" si="3"/>
        <v>37441219</v>
      </c>
      <c r="E47" s="2">
        <f t="shared" si="3"/>
        <v>34410787</v>
      </c>
      <c r="F47" s="2">
        <f t="shared" si="3"/>
        <v>14342179</v>
      </c>
      <c r="G47" s="2">
        <f t="shared" si="3"/>
        <v>51129634</v>
      </c>
      <c r="H47" s="2">
        <f t="shared" si="3"/>
        <v>28968452</v>
      </c>
      <c r="I47" s="2">
        <f>SUM(I4+I6+I8+I10+I12+I16+I14+I18+I20+I22+I24+I26+I28+I30+I32+I34+I36+I38+I40+I42+I44)</f>
        <v>27640452</v>
      </c>
      <c r="J47" s="2">
        <f>SUM(J4+J6+J8+J10+J12+J14+J16+J18+J20+J22+J24+J26+J28+J30+J32+J34+J36+J38+J40+J42+J44)</f>
        <v>17814725</v>
      </c>
      <c r="K47" s="2">
        <f>SUM(K4+K6+K8+K10+K12+K14+K16+K18+K20+K22+K24+K26+K28+K30+K32+K34+K36+K38+K40+K42+K44)</f>
        <v>13296627</v>
      </c>
      <c r="L47" s="2">
        <f>SUM(L4+L6+L8+L10+L12+L14+L16+L18+L20+L22+L24+L26+L28+L30+L32+L34+L36+L38+L40+L42+L44)</f>
        <v>15211883</v>
      </c>
      <c r="M47" s="2">
        <f>SUM(M4+M6+M8+M10+M12+M14+M16+M18+M20+M22+M24+M26+M28+M30+M32+M34+M36+M38+M40+M42+M44)</f>
        <v>27373027</v>
      </c>
      <c r="N47" s="2">
        <f>SUM(B47:M47)</f>
        <v>310493882</v>
      </c>
    </row>
  </sheetData>
  <pageMargins left="0.5" right="0.5" top="1" bottom="1" header="0.05" footer="0.05"/>
  <pageSetup paperSize="5" scale="75" orientation="landscape" r:id="rId1"/>
  <headerFooter>
    <oddHeader xml:space="preserve">&amp;LPERMIT SUMMARY
CALENDAR YEAR 2010&amp;C 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view="pageLayout" topLeftCell="B1" zoomScaleNormal="100" workbookViewId="0">
      <selection activeCell="B10" sqref="B10"/>
    </sheetView>
  </sheetViews>
  <sheetFormatPr defaultRowHeight="12.75" x14ac:dyDescent="0.2"/>
  <cols>
    <col min="1" max="1" width="26.140625" customWidth="1"/>
    <col min="2" max="2" width="15.140625" customWidth="1"/>
    <col min="3" max="3" width="15" customWidth="1"/>
    <col min="4" max="5" width="15.140625" customWidth="1"/>
    <col min="6" max="6" width="15" customWidth="1"/>
    <col min="7" max="13" width="15.140625" customWidth="1"/>
    <col min="14" max="14" width="15" customWidth="1"/>
  </cols>
  <sheetData>
    <row r="1" spans="1:1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30</v>
      </c>
      <c r="C3" s="1">
        <v>16</v>
      </c>
      <c r="D3" s="1">
        <v>39</v>
      </c>
      <c r="E3" s="1">
        <v>37</v>
      </c>
      <c r="F3" s="1">
        <v>32</v>
      </c>
      <c r="G3" s="1">
        <v>46</v>
      </c>
      <c r="H3" s="1">
        <v>48</v>
      </c>
      <c r="I3" s="1">
        <v>51</v>
      </c>
      <c r="J3" s="1">
        <v>31</v>
      </c>
      <c r="K3" s="1">
        <v>25</v>
      </c>
      <c r="L3" s="1">
        <v>22</v>
      </c>
      <c r="M3" s="1">
        <v>18</v>
      </c>
      <c r="N3" s="1">
        <f t="shared" ref="N3:N12" si="0">SUM(B3:M3)</f>
        <v>395</v>
      </c>
    </row>
    <row r="4" spans="1:14" x14ac:dyDescent="0.2">
      <c r="A4" s="6" t="s">
        <v>18</v>
      </c>
      <c r="B4" s="2">
        <v>7283893</v>
      </c>
      <c r="C4" s="2">
        <v>5966505</v>
      </c>
      <c r="D4" s="2">
        <v>13781881</v>
      </c>
      <c r="E4" s="2">
        <v>9989893</v>
      </c>
      <c r="F4" s="2">
        <v>8048645</v>
      </c>
      <c r="G4" s="2">
        <v>13770301</v>
      </c>
      <c r="H4" s="2">
        <v>14899017</v>
      </c>
      <c r="I4" s="2">
        <v>14733126</v>
      </c>
      <c r="J4" s="2">
        <v>7450003</v>
      </c>
      <c r="K4" s="2">
        <v>8592164</v>
      </c>
      <c r="L4" s="2">
        <v>5876915</v>
      </c>
      <c r="M4" s="2">
        <v>5241274</v>
      </c>
      <c r="N4" s="2">
        <f t="shared" si="0"/>
        <v>115633617</v>
      </c>
    </row>
    <row r="5" spans="1:14" x14ac:dyDescent="0.2">
      <c r="A5" s="4" t="s">
        <v>43</v>
      </c>
      <c r="B5" s="1">
        <v>4</v>
      </c>
      <c r="C5" s="1">
        <v>0</v>
      </c>
      <c r="D5" s="1">
        <v>0</v>
      </c>
      <c r="E5" s="1">
        <v>0</v>
      </c>
      <c r="F5" s="1">
        <v>6</v>
      </c>
      <c r="G5" s="1">
        <v>12</v>
      </c>
      <c r="H5" s="1">
        <v>1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f t="shared" si="0"/>
        <v>25</v>
      </c>
    </row>
    <row r="6" spans="1:14" x14ac:dyDescent="0.2">
      <c r="A6" s="6" t="s">
        <v>18</v>
      </c>
      <c r="B6" s="2">
        <v>356000</v>
      </c>
      <c r="C6" s="2">
        <v>0</v>
      </c>
      <c r="D6" s="2">
        <v>0</v>
      </c>
      <c r="E6" s="2">
        <v>0</v>
      </c>
      <c r="F6" s="2">
        <v>693000</v>
      </c>
      <c r="G6" s="2">
        <v>1007050</v>
      </c>
      <c r="H6" s="2">
        <v>75000</v>
      </c>
      <c r="I6" s="2">
        <v>0</v>
      </c>
      <c r="J6" s="2">
        <v>0</v>
      </c>
      <c r="K6" s="2">
        <v>0</v>
      </c>
      <c r="L6" s="2">
        <v>182300</v>
      </c>
      <c r="M6" s="2">
        <v>0</v>
      </c>
      <c r="N6" s="2">
        <f t="shared" si="0"/>
        <v>2313350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</row>
    <row r="8" spans="1:14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f t="shared" si="0"/>
        <v>0</v>
      </c>
    </row>
    <row r="9" spans="1:14" x14ac:dyDescent="0.2">
      <c r="A9" s="4" t="s">
        <v>41</v>
      </c>
      <c r="B9" s="1">
        <v>158</v>
      </c>
      <c r="C9" s="1">
        <v>148</v>
      </c>
      <c r="D9" s="1">
        <v>198</v>
      </c>
      <c r="E9" s="1">
        <v>205</v>
      </c>
      <c r="F9" s="1">
        <v>184</v>
      </c>
      <c r="G9" s="1">
        <v>217</v>
      </c>
      <c r="H9" s="1">
        <v>288</v>
      </c>
      <c r="I9" s="1">
        <v>199</v>
      </c>
      <c r="J9" s="1">
        <v>195</v>
      </c>
      <c r="K9" s="1">
        <v>172</v>
      </c>
      <c r="L9" s="1">
        <v>219</v>
      </c>
      <c r="M9" s="1">
        <v>149</v>
      </c>
      <c r="N9" s="1">
        <f t="shared" si="0"/>
        <v>2332</v>
      </c>
    </row>
    <row r="10" spans="1:14" x14ac:dyDescent="0.2">
      <c r="A10" s="6" t="s">
        <v>18</v>
      </c>
      <c r="B10" s="2">
        <v>545811</v>
      </c>
      <c r="C10" s="2">
        <v>390939</v>
      </c>
      <c r="D10" s="2">
        <v>525482</v>
      </c>
      <c r="E10" s="2">
        <v>777389</v>
      </c>
      <c r="F10" s="2">
        <v>870475</v>
      </c>
      <c r="G10" s="2">
        <v>982594</v>
      </c>
      <c r="H10" s="2">
        <v>979518</v>
      </c>
      <c r="I10" s="2">
        <v>675509</v>
      </c>
      <c r="J10" s="2">
        <v>766388</v>
      </c>
      <c r="K10" s="2">
        <v>668357</v>
      </c>
      <c r="L10" s="2">
        <v>942542</v>
      </c>
      <c r="M10" s="2">
        <v>416649</v>
      </c>
      <c r="N10" s="2">
        <f t="shared" si="0"/>
        <v>8541653</v>
      </c>
    </row>
    <row r="11" spans="1:14" x14ac:dyDescent="0.2">
      <c r="A11" s="4" t="s">
        <v>22</v>
      </c>
      <c r="B11" s="1">
        <v>1</v>
      </c>
      <c r="C11" s="1">
        <v>0</v>
      </c>
      <c r="D11" s="1">
        <v>1</v>
      </c>
      <c r="E11" s="1">
        <v>0</v>
      </c>
      <c r="F11" s="1">
        <v>2</v>
      </c>
      <c r="G11" s="1">
        <v>4</v>
      </c>
      <c r="H11" s="1">
        <v>4</v>
      </c>
      <c r="I11" s="1">
        <v>0</v>
      </c>
      <c r="J11" s="1">
        <v>0</v>
      </c>
      <c r="K11" s="1">
        <v>1</v>
      </c>
      <c r="L11" s="1">
        <v>0</v>
      </c>
      <c r="M11" s="1">
        <v>1</v>
      </c>
      <c r="N11" s="1">
        <f t="shared" si="0"/>
        <v>14</v>
      </c>
    </row>
    <row r="12" spans="1:14" x14ac:dyDescent="0.2">
      <c r="A12" s="6" t="s">
        <v>18</v>
      </c>
      <c r="B12" s="2">
        <v>20000</v>
      </c>
      <c r="C12" s="2">
        <v>0</v>
      </c>
      <c r="D12" s="2">
        <v>34395</v>
      </c>
      <c r="E12" s="2">
        <v>0</v>
      </c>
      <c r="F12" s="2">
        <v>75000</v>
      </c>
      <c r="G12" s="2">
        <v>71171</v>
      </c>
      <c r="H12" s="2">
        <v>33400</v>
      </c>
      <c r="I12" s="2">
        <v>0</v>
      </c>
      <c r="J12" s="2">
        <v>0</v>
      </c>
      <c r="K12" s="2">
        <v>22000</v>
      </c>
      <c r="L12" s="2">
        <v>0</v>
      </c>
      <c r="M12" s="2">
        <v>3200</v>
      </c>
      <c r="N12" s="2">
        <f t="shared" si="0"/>
        <v>259166</v>
      </c>
    </row>
    <row r="13" spans="1:14" x14ac:dyDescent="0.2">
      <c r="A13" s="4" t="s">
        <v>42</v>
      </c>
      <c r="B13" s="1">
        <v>6</v>
      </c>
      <c r="C13" s="19">
        <v>16</v>
      </c>
      <c r="D13" s="1">
        <v>24</v>
      </c>
      <c r="E13" s="1">
        <v>20</v>
      </c>
      <c r="F13" s="1">
        <v>13</v>
      </c>
      <c r="G13" s="1">
        <v>11</v>
      </c>
      <c r="H13" s="1">
        <v>7</v>
      </c>
      <c r="I13" s="1">
        <v>16</v>
      </c>
      <c r="J13" s="1">
        <v>16</v>
      </c>
      <c r="K13" s="1">
        <v>18</v>
      </c>
      <c r="L13" s="1">
        <v>23</v>
      </c>
      <c r="M13" s="1">
        <v>8</v>
      </c>
      <c r="N13" s="1">
        <f>SUM(B13:M13)</f>
        <v>178</v>
      </c>
    </row>
    <row r="14" spans="1:14" x14ac:dyDescent="0.2">
      <c r="A14" s="6" t="s">
        <v>18</v>
      </c>
      <c r="B14" s="2">
        <v>621800</v>
      </c>
      <c r="C14" s="20">
        <v>12573096</v>
      </c>
      <c r="D14" s="2">
        <v>921968</v>
      </c>
      <c r="E14" s="2">
        <v>281149</v>
      </c>
      <c r="F14" s="2">
        <v>101073</v>
      </c>
      <c r="G14" s="2">
        <v>127050</v>
      </c>
      <c r="H14" s="2">
        <v>249610</v>
      </c>
      <c r="I14" s="2">
        <v>107893</v>
      </c>
      <c r="J14" s="2">
        <v>344038</v>
      </c>
      <c r="K14" s="2">
        <v>527146</v>
      </c>
      <c r="L14" s="2">
        <v>576001</v>
      </c>
      <c r="M14" s="2">
        <v>34890</v>
      </c>
      <c r="N14" s="2">
        <f>SUM(B14:M14)</f>
        <v>16465714</v>
      </c>
    </row>
    <row r="15" spans="1:14" x14ac:dyDescent="0.2">
      <c r="A15" s="4" t="s">
        <v>24</v>
      </c>
      <c r="B15" s="1">
        <v>0</v>
      </c>
      <c r="C15" s="19">
        <v>1</v>
      </c>
      <c r="D15" s="1">
        <v>2</v>
      </c>
      <c r="E15" s="1">
        <v>3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f t="shared" ref="N15:N44" si="1">SUM(B15:M15)</f>
        <v>8</v>
      </c>
    </row>
    <row r="16" spans="1:14" x14ac:dyDescent="0.2">
      <c r="A16" s="6" t="s">
        <v>18</v>
      </c>
      <c r="B16" s="2">
        <v>0</v>
      </c>
      <c r="C16" s="20">
        <v>450000</v>
      </c>
      <c r="D16" s="2">
        <v>1750000</v>
      </c>
      <c r="E16" s="2">
        <v>2500000</v>
      </c>
      <c r="F16" s="2">
        <v>200000</v>
      </c>
      <c r="G16" s="2">
        <v>0</v>
      </c>
      <c r="H16" s="2">
        <v>0</v>
      </c>
      <c r="I16" s="2">
        <v>900000</v>
      </c>
      <c r="J16" s="2">
        <v>0</v>
      </c>
      <c r="K16" s="2">
        <v>0</v>
      </c>
      <c r="L16" s="2">
        <v>0</v>
      </c>
      <c r="M16" s="2">
        <v>0</v>
      </c>
      <c r="N16" s="2">
        <f t="shared" si="1"/>
        <v>5800000</v>
      </c>
    </row>
    <row r="17" spans="1:14" x14ac:dyDescent="0.2">
      <c r="A17" s="4" t="s">
        <v>40</v>
      </c>
      <c r="B17" s="1">
        <v>22</v>
      </c>
      <c r="C17" s="1">
        <v>9</v>
      </c>
      <c r="D17" s="1">
        <v>17</v>
      </c>
      <c r="E17" s="1">
        <v>16</v>
      </c>
      <c r="F17" s="1">
        <v>10</v>
      </c>
      <c r="G17" s="1">
        <v>14</v>
      </c>
      <c r="H17" s="1">
        <v>13</v>
      </c>
      <c r="I17" s="1">
        <v>17</v>
      </c>
      <c r="J17" s="1">
        <v>15</v>
      </c>
      <c r="K17" s="1">
        <v>11</v>
      </c>
      <c r="L17" s="1">
        <v>15</v>
      </c>
      <c r="M17" s="1">
        <v>13</v>
      </c>
      <c r="N17" s="1">
        <f>SUM(B17:M17)</f>
        <v>172</v>
      </c>
    </row>
    <row r="18" spans="1:14" x14ac:dyDescent="0.2">
      <c r="A18" s="6" t="s">
        <v>18</v>
      </c>
      <c r="B18" s="2">
        <v>1338799</v>
      </c>
      <c r="C18" s="2">
        <v>325660</v>
      </c>
      <c r="D18" s="2">
        <v>612265</v>
      </c>
      <c r="E18" s="2">
        <v>1301060</v>
      </c>
      <c r="F18" s="2">
        <v>802007</v>
      </c>
      <c r="G18" s="2">
        <v>723187</v>
      </c>
      <c r="H18" s="2">
        <v>2803339</v>
      </c>
      <c r="I18" s="2">
        <v>1556195</v>
      </c>
      <c r="J18" s="2">
        <v>860000</v>
      </c>
      <c r="K18" s="2">
        <v>684602</v>
      </c>
      <c r="L18" s="2">
        <v>347000</v>
      </c>
      <c r="M18" s="2">
        <v>2164500</v>
      </c>
      <c r="N18" s="2">
        <f t="shared" si="1"/>
        <v>13518614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4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f t="shared" si="1"/>
        <v>2</v>
      </c>
    </row>
    <row r="22" spans="1:14" x14ac:dyDescent="0.2">
      <c r="A22" s="6" t="s">
        <v>18</v>
      </c>
      <c r="B22" s="2">
        <v>0</v>
      </c>
      <c r="C22" s="2">
        <v>0</v>
      </c>
      <c r="D22" s="2">
        <v>50000000</v>
      </c>
      <c r="E22" s="2">
        <v>0</v>
      </c>
      <c r="F22" s="2">
        <v>0</v>
      </c>
      <c r="G22" s="2">
        <v>250000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 t="shared" si="1"/>
        <v>50250000</v>
      </c>
    </row>
    <row r="23" spans="1:14" x14ac:dyDescent="0.2">
      <c r="A23" s="4" t="s">
        <v>28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1"/>
        <v>1</v>
      </c>
    </row>
    <row r="24" spans="1:14" x14ac:dyDescent="0.2">
      <c r="A24" s="6" t="s">
        <v>18</v>
      </c>
      <c r="B24" s="2">
        <v>0</v>
      </c>
      <c r="C24" s="2">
        <v>0</v>
      </c>
      <c r="D24" s="2">
        <v>0</v>
      </c>
      <c r="E24" s="2">
        <v>2000000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1"/>
        <v>2000000</v>
      </c>
    </row>
    <row r="25" spans="1:14" s="17" customFormat="1" x14ac:dyDescent="0.2">
      <c r="A25" s="15" t="s">
        <v>50</v>
      </c>
      <c r="B25" s="16">
        <v>2</v>
      </c>
      <c r="C25" s="16">
        <v>1</v>
      </c>
      <c r="D25" s="16">
        <v>0</v>
      </c>
      <c r="E25" s="16">
        <v>2</v>
      </c>
      <c r="F25" s="16">
        <v>3</v>
      </c>
      <c r="G25" s="16">
        <v>11</v>
      </c>
      <c r="H25" s="16">
        <v>5</v>
      </c>
      <c r="I25" s="16">
        <v>5</v>
      </c>
      <c r="J25" s="16">
        <v>1</v>
      </c>
      <c r="K25" s="16">
        <v>1</v>
      </c>
      <c r="L25" s="16">
        <v>1</v>
      </c>
      <c r="M25" s="16">
        <v>1</v>
      </c>
      <c r="N25" s="16">
        <f t="shared" si="1"/>
        <v>33</v>
      </c>
    </row>
    <row r="26" spans="1:14" x14ac:dyDescent="0.2">
      <c r="A26" s="6" t="s">
        <v>18</v>
      </c>
      <c r="B26" s="2">
        <v>422850</v>
      </c>
      <c r="C26" s="2">
        <v>653000</v>
      </c>
      <c r="D26" s="2">
        <v>0</v>
      </c>
      <c r="E26" s="2">
        <v>5010000</v>
      </c>
      <c r="F26" s="2">
        <v>571800</v>
      </c>
      <c r="G26" s="2">
        <v>119061</v>
      </c>
      <c r="H26" s="2">
        <v>55200</v>
      </c>
      <c r="I26" s="2">
        <v>95718</v>
      </c>
      <c r="J26" s="2">
        <v>10000</v>
      </c>
      <c r="K26" s="2">
        <v>43100</v>
      </c>
      <c r="L26" s="2">
        <v>25000</v>
      </c>
      <c r="M26" s="2">
        <v>5000</v>
      </c>
      <c r="N26" s="2">
        <f t="shared" si="1"/>
        <v>7010729</v>
      </c>
    </row>
    <row r="27" spans="1:14" x14ac:dyDescent="0.2">
      <c r="A27" s="4" t="s">
        <v>29</v>
      </c>
      <c r="B27" s="1">
        <v>1</v>
      </c>
      <c r="C27" s="1">
        <v>0</v>
      </c>
      <c r="D27" s="1">
        <v>5</v>
      </c>
      <c r="E27" s="1">
        <v>9</v>
      </c>
      <c r="F27" s="1">
        <v>3</v>
      </c>
      <c r="G27" s="1">
        <v>3</v>
      </c>
      <c r="H27" s="1">
        <v>2</v>
      </c>
      <c r="I27" s="1">
        <v>4</v>
      </c>
      <c r="J27" s="1">
        <v>1</v>
      </c>
      <c r="K27" s="1">
        <v>8</v>
      </c>
      <c r="L27" s="1">
        <v>9</v>
      </c>
      <c r="M27" s="1">
        <v>1</v>
      </c>
      <c r="N27" s="1">
        <f t="shared" si="1"/>
        <v>46</v>
      </c>
    </row>
    <row r="28" spans="1:14" x14ac:dyDescent="0.2">
      <c r="A28" s="6" t="s">
        <v>18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f t="shared" si="1"/>
        <v>0</v>
      </c>
    </row>
    <row r="29" spans="1:14" x14ac:dyDescent="0.2">
      <c r="A29" s="4" t="s">
        <v>30</v>
      </c>
      <c r="B29" s="1">
        <v>2</v>
      </c>
      <c r="C29" s="1">
        <v>0</v>
      </c>
      <c r="D29" s="1">
        <v>7</v>
      </c>
      <c r="E29" s="1">
        <v>3</v>
      </c>
      <c r="F29" s="1">
        <v>3</v>
      </c>
      <c r="G29" s="1">
        <v>7</v>
      </c>
      <c r="H29" s="1">
        <v>3</v>
      </c>
      <c r="I29" s="1">
        <v>8</v>
      </c>
      <c r="J29" s="1">
        <v>5</v>
      </c>
      <c r="K29" s="1">
        <v>1</v>
      </c>
      <c r="L29" s="1">
        <v>3</v>
      </c>
      <c r="M29" s="1">
        <v>3</v>
      </c>
      <c r="N29" s="1">
        <f t="shared" si="1"/>
        <v>45</v>
      </c>
    </row>
    <row r="30" spans="1:14" x14ac:dyDescent="0.2">
      <c r="A30" s="6" t="s">
        <v>18</v>
      </c>
      <c r="B30" s="2">
        <v>550</v>
      </c>
      <c r="C30" s="2">
        <v>0</v>
      </c>
      <c r="D30" s="2">
        <v>13771</v>
      </c>
      <c r="E30" s="2">
        <v>12880</v>
      </c>
      <c r="F30" s="2">
        <v>4322</v>
      </c>
      <c r="G30" s="2">
        <v>24565</v>
      </c>
      <c r="H30" s="2">
        <v>8409</v>
      </c>
      <c r="I30" s="2">
        <v>14901</v>
      </c>
      <c r="J30" s="2">
        <v>18557</v>
      </c>
      <c r="K30" s="2">
        <v>2100</v>
      </c>
      <c r="L30" s="2">
        <v>13038</v>
      </c>
      <c r="M30" s="2">
        <v>19700</v>
      </c>
      <c r="N30" s="2">
        <f t="shared" si="1"/>
        <v>132793</v>
      </c>
    </row>
    <row r="31" spans="1:14" x14ac:dyDescent="0.2">
      <c r="A31" s="4" t="s">
        <v>31</v>
      </c>
      <c r="B31" s="1">
        <v>8</v>
      </c>
      <c r="C31" s="1">
        <v>14</v>
      </c>
      <c r="D31" s="1">
        <v>14</v>
      </c>
      <c r="E31" s="1">
        <v>22</v>
      </c>
      <c r="F31" s="1">
        <v>12</v>
      </c>
      <c r="G31" s="1">
        <v>11</v>
      </c>
      <c r="H31" s="1">
        <v>11</v>
      </c>
      <c r="I31" s="1">
        <v>15</v>
      </c>
      <c r="J31" s="1">
        <v>7</v>
      </c>
      <c r="K31" s="1">
        <v>7</v>
      </c>
      <c r="L31" s="1">
        <v>7</v>
      </c>
      <c r="M31" s="1">
        <v>7</v>
      </c>
      <c r="N31" s="1">
        <f t="shared" si="1"/>
        <v>135</v>
      </c>
    </row>
    <row r="32" spans="1:14" x14ac:dyDescent="0.2">
      <c r="A32" s="6" t="s">
        <v>18</v>
      </c>
      <c r="B32" s="2">
        <v>300470</v>
      </c>
      <c r="C32" s="2">
        <v>500500</v>
      </c>
      <c r="D32" s="2">
        <v>527600</v>
      </c>
      <c r="E32" s="2">
        <v>717507</v>
      </c>
      <c r="F32" s="2">
        <v>388000</v>
      </c>
      <c r="G32" s="2">
        <v>417947</v>
      </c>
      <c r="H32" s="2">
        <v>419000</v>
      </c>
      <c r="I32" s="2">
        <v>502830</v>
      </c>
      <c r="J32" s="2">
        <v>246000</v>
      </c>
      <c r="K32" s="2">
        <v>281700</v>
      </c>
      <c r="L32" s="2">
        <v>252500</v>
      </c>
      <c r="M32" s="2">
        <v>290000</v>
      </c>
      <c r="N32" s="2">
        <f t="shared" si="1"/>
        <v>4844054</v>
      </c>
    </row>
    <row r="33" spans="1:14" x14ac:dyDescent="0.2">
      <c r="A33" s="4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f t="shared" si="1"/>
        <v>0</v>
      </c>
    </row>
    <row r="34" spans="1:14" x14ac:dyDescent="0.2">
      <c r="A34" s="6" t="s">
        <v>18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f t="shared" si="1"/>
        <v>0</v>
      </c>
    </row>
    <row r="35" spans="1:14" x14ac:dyDescent="0.2">
      <c r="A35" s="4" t="s">
        <v>33</v>
      </c>
      <c r="B35" s="1">
        <v>32</v>
      </c>
      <c r="C35" s="1">
        <v>33</v>
      </c>
      <c r="D35" s="1">
        <v>60</v>
      </c>
      <c r="E35" s="1">
        <v>49</v>
      </c>
      <c r="F35" s="1">
        <v>55</v>
      </c>
      <c r="G35" s="1">
        <v>61</v>
      </c>
      <c r="H35" s="1">
        <v>33</v>
      </c>
      <c r="I35" s="18">
        <v>73</v>
      </c>
      <c r="J35" s="1">
        <v>45</v>
      </c>
      <c r="K35" s="1">
        <v>51</v>
      </c>
      <c r="L35" s="1">
        <v>57</v>
      </c>
      <c r="M35" s="1">
        <v>47</v>
      </c>
      <c r="N35" s="1">
        <f t="shared" si="1"/>
        <v>596</v>
      </c>
    </row>
    <row r="36" spans="1:14" x14ac:dyDescent="0.2">
      <c r="A36" s="6" t="s">
        <v>18</v>
      </c>
      <c r="B36" s="2">
        <v>56748</v>
      </c>
      <c r="C36" s="2">
        <v>276344</v>
      </c>
      <c r="D36" s="2">
        <v>184193</v>
      </c>
      <c r="E36" s="2">
        <v>151704</v>
      </c>
      <c r="F36" s="2">
        <v>166855</v>
      </c>
      <c r="G36" s="2">
        <v>682483</v>
      </c>
      <c r="H36" s="2">
        <v>94425</v>
      </c>
      <c r="I36" s="2">
        <v>218133</v>
      </c>
      <c r="J36" s="2">
        <v>273254</v>
      </c>
      <c r="K36" s="2">
        <v>139160</v>
      </c>
      <c r="L36" s="2">
        <v>120118</v>
      </c>
      <c r="M36" s="2">
        <v>115357</v>
      </c>
      <c r="N36" s="2">
        <f t="shared" si="1"/>
        <v>2478774</v>
      </c>
    </row>
    <row r="37" spans="1:14" x14ac:dyDescent="0.2">
      <c r="A37" s="4" t="s">
        <v>34</v>
      </c>
      <c r="B37" s="1">
        <v>50</v>
      </c>
      <c r="C37" s="1">
        <v>33</v>
      </c>
      <c r="D37" s="1">
        <v>44</v>
      </c>
      <c r="E37" s="1">
        <v>51</v>
      </c>
      <c r="F37" s="1">
        <v>30</v>
      </c>
      <c r="G37" s="1">
        <v>26</v>
      </c>
      <c r="H37" s="1">
        <v>42</v>
      </c>
      <c r="I37" s="1">
        <v>58</v>
      </c>
      <c r="J37" s="1">
        <v>53</v>
      </c>
      <c r="K37" s="1">
        <v>49</v>
      </c>
      <c r="L37" s="1">
        <v>34</v>
      </c>
      <c r="M37" s="1">
        <v>41</v>
      </c>
      <c r="N37" s="1">
        <f t="shared" si="1"/>
        <v>511</v>
      </c>
    </row>
    <row r="38" spans="1:14" x14ac:dyDescent="0.2">
      <c r="A38" s="6" t="s">
        <v>18</v>
      </c>
      <c r="B38" s="2">
        <v>200856</v>
      </c>
      <c r="C38" s="2">
        <v>699656</v>
      </c>
      <c r="D38" s="2">
        <v>137780</v>
      </c>
      <c r="E38" s="2">
        <v>163600</v>
      </c>
      <c r="F38" s="2">
        <v>74722</v>
      </c>
      <c r="G38" s="2">
        <v>75360</v>
      </c>
      <c r="H38" s="2">
        <v>97847</v>
      </c>
      <c r="I38" s="2">
        <v>140465</v>
      </c>
      <c r="J38" s="2">
        <v>108172</v>
      </c>
      <c r="K38" s="2">
        <v>158200</v>
      </c>
      <c r="L38" s="2">
        <v>65700</v>
      </c>
      <c r="M38" s="2">
        <v>1029625</v>
      </c>
      <c r="N38" s="2">
        <f t="shared" si="1"/>
        <v>2951983</v>
      </c>
    </row>
    <row r="39" spans="1:14" x14ac:dyDescent="0.2">
      <c r="A39" s="4" t="s">
        <v>35</v>
      </c>
      <c r="B39" s="1">
        <v>28</v>
      </c>
      <c r="C39" s="1">
        <v>38</v>
      </c>
      <c r="D39" s="1">
        <v>29</v>
      </c>
      <c r="E39" s="1">
        <v>38</v>
      </c>
      <c r="F39" s="1">
        <v>45</v>
      </c>
      <c r="G39" s="1">
        <v>20</v>
      </c>
      <c r="H39" s="1">
        <v>28</v>
      </c>
      <c r="I39" s="1">
        <v>55</v>
      </c>
      <c r="J39" s="1">
        <v>47</v>
      </c>
      <c r="K39" s="1">
        <v>32</v>
      </c>
      <c r="L39" s="1">
        <v>26</v>
      </c>
      <c r="M39" s="1">
        <v>31</v>
      </c>
      <c r="N39" s="1">
        <f t="shared" si="1"/>
        <v>417</v>
      </c>
    </row>
    <row r="40" spans="1:14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 t="shared" si="1"/>
        <v>0</v>
      </c>
    </row>
    <row r="41" spans="1:14" x14ac:dyDescent="0.2">
      <c r="A41" s="4" t="s">
        <v>36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f t="shared" si="1"/>
        <v>3</v>
      </c>
    </row>
    <row r="42" spans="1:14" x14ac:dyDescent="0.2">
      <c r="A42" s="6" t="s">
        <v>18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1500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f t="shared" si="1"/>
        <v>1500</v>
      </c>
    </row>
    <row r="43" spans="1:14" x14ac:dyDescent="0.2">
      <c r="A43" s="4" t="s">
        <v>37</v>
      </c>
      <c r="B43" s="1">
        <v>1</v>
      </c>
      <c r="C43" s="1">
        <v>3</v>
      </c>
      <c r="D43" s="1">
        <v>2</v>
      </c>
      <c r="E43" s="1">
        <v>0</v>
      </c>
      <c r="F43" s="1">
        <v>1</v>
      </c>
      <c r="G43" s="1">
        <v>3</v>
      </c>
      <c r="H43" s="1">
        <v>2</v>
      </c>
      <c r="I43" s="1">
        <v>1</v>
      </c>
      <c r="J43" s="1">
        <v>1</v>
      </c>
      <c r="K43" s="1">
        <v>0</v>
      </c>
      <c r="L43" s="1">
        <v>3</v>
      </c>
      <c r="M43" s="1">
        <v>2</v>
      </c>
      <c r="N43" s="1">
        <f t="shared" si="1"/>
        <v>19</v>
      </c>
    </row>
    <row r="44" spans="1:14" x14ac:dyDescent="0.2">
      <c r="A44" s="6" t="s">
        <v>18</v>
      </c>
      <c r="B44" s="2">
        <v>3000</v>
      </c>
      <c r="C44" s="2">
        <v>100900</v>
      </c>
      <c r="D44" s="2">
        <v>12500</v>
      </c>
      <c r="E44" s="2">
        <v>0</v>
      </c>
      <c r="F44" s="2">
        <v>10000</v>
      </c>
      <c r="G44" s="2">
        <v>37930</v>
      </c>
      <c r="H44" s="2">
        <v>13700</v>
      </c>
      <c r="I44" s="2">
        <v>10000</v>
      </c>
      <c r="J44" s="2">
        <v>1500</v>
      </c>
      <c r="K44" s="2">
        <v>0</v>
      </c>
      <c r="L44" s="2">
        <v>9900</v>
      </c>
      <c r="M44" s="2">
        <v>78550</v>
      </c>
      <c r="N44" s="2">
        <f t="shared" si="1"/>
        <v>277980</v>
      </c>
    </row>
    <row r="45" spans="1:14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4" t="s">
        <v>38</v>
      </c>
      <c r="B46" s="1">
        <f t="shared" ref="B46:M46" si="2">SUM(B3+B5+B7+B9+B11+B13+B15+B17+B19+B21+B23+B25+B27+B29+B31+B33+B35+B37+B39+B41+B43)</f>
        <v>345</v>
      </c>
      <c r="C46" s="1">
        <f t="shared" si="2"/>
        <v>312</v>
      </c>
      <c r="D46" s="1">
        <f t="shared" si="2"/>
        <v>443</v>
      </c>
      <c r="E46" s="1">
        <f t="shared" si="2"/>
        <v>456</v>
      </c>
      <c r="F46" s="1">
        <f t="shared" si="2"/>
        <v>402</v>
      </c>
      <c r="G46" s="1">
        <f t="shared" si="2"/>
        <v>448</v>
      </c>
      <c r="H46" s="1">
        <f t="shared" si="2"/>
        <v>487</v>
      </c>
      <c r="I46" s="1">
        <f t="shared" si="2"/>
        <v>503</v>
      </c>
      <c r="J46" s="1">
        <f t="shared" si="2"/>
        <v>417</v>
      </c>
      <c r="K46" s="1">
        <f t="shared" si="2"/>
        <v>376</v>
      </c>
      <c r="L46" s="1">
        <f t="shared" si="2"/>
        <v>421</v>
      </c>
      <c r="M46" s="1">
        <f t="shared" si="2"/>
        <v>322</v>
      </c>
      <c r="N46" s="1">
        <f>SUM(B46:M46)</f>
        <v>4932</v>
      </c>
    </row>
    <row r="47" spans="1:14" x14ac:dyDescent="0.2">
      <c r="A47" s="6" t="s">
        <v>39</v>
      </c>
      <c r="B47" s="2">
        <f>SUM(B4+B6+B8+B10+B12+B16+B14+B18+B20+B22+B24+B26+B28+B30+B32+B34+B36+B38+B40+B42+B44)</f>
        <v>11150777</v>
      </c>
      <c r="C47" s="2">
        <f t="shared" ref="C47:H47" si="3">SUM(C4+C6+C8+C10+C12+C14+C16+C18+C20+C22+C24+C26+C28+C30+C32+C34+C36+C38+C40+C42+C44)</f>
        <v>21936600</v>
      </c>
      <c r="D47" s="2">
        <f t="shared" si="3"/>
        <v>68501835</v>
      </c>
      <c r="E47" s="2">
        <f t="shared" si="3"/>
        <v>22905182</v>
      </c>
      <c r="F47" s="2">
        <f t="shared" si="3"/>
        <v>12005899</v>
      </c>
      <c r="G47" s="2">
        <f t="shared" si="3"/>
        <v>18290199</v>
      </c>
      <c r="H47" s="2">
        <f t="shared" si="3"/>
        <v>19728465</v>
      </c>
      <c r="I47" s="2">
        <f>SUM(I4+I6+I8+I10+I12+I16+I14+I18+I20+I22+I24+I26+I28+I30+I32+I34+I36+I38+I40+I42+I44)</f>
        <v>18954770</v>
      </c>
      <c r="J47" s="2">
        <f>SUM(J4+J6+J8+J10+J12+J14+J16+J18+J20+J22+J24+J26+J28+J30+J32+J34+J36+J38+J40+J42+J44)</f>
        <v>10077912</v>
      </c>
      <c r="K47" s="2">
        <f>SUM(K4+K6+K8+K10+K12+K14+K16+K18+K20+K22+K24+K26+K28+K30+K32+K34+K36+K38+K40+K42+K44)</f>
        <v>11118529</v>
      </c>
      <c r="L47" s="2">
        <f>SUM(L4+L6+L8+L10+L12+L14+L16+L18+L20+L22+L24+L26+L28+L30+L32+L34+L36+L38+L40+L42+L44)</f>
        <v>8411014</v>
      </c>
      <c r="M47" s="2">
        <f>SUM(M4+M6+M8+M10+M12+M14+M16+M18+M20+M22+M24+M26+M28+M30+M32+M34+M36+M38+M40+M42+M44)</f>
        <v>9398745</v>
      </c>
      <c r="N47" s="2">
        <f>SUM(B47:M47)</f>
        <v>232479927</v>
      </c>
    </row>
  </sheetData>
  <pageMargins left="0.5" right="0.5" top="1" bottom="1" header="0.05" footer="0.05"/>
  <pageSetup paperSize="5" scale="75" orientation="landscape" r:id="rId1"/>
  <headerFooter>
    <oddHeader xml:space="preserve">&amp;LPERMIT SUMMARY
CALENDAR YEAR 2011&amp;C 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B1" zoomScaleNormal="100" workbookViewId="0">
      <selection activeCell="M45" sqref="M45"/>
    </sheetView>
  </sheetViews>
  <sheetFormatPr defaultRowHeight="12.75" x14ac:dyDescent="0.2"/>
  <cols>
    <col min="1" max="1" width="26.140625" customWidth="1"/>
    <col min="2" max="2" width="15.140625" customWidth="1"/>
    <col min="3" max="3" width="15" customWidth="1"/>
    <col min="4" max="5" width="15.140625" customWidth="1"/>
    <col min="6" max="6" width="15" customWidth="1"/>
    <col min="7" max="13" width="15.140625" customWidth="1"/>
    <col min="14" max="14" width="15" customWidth="1"/>
  </cols>
  <sheetData>
    <row r="1" spans="1:1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4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16</v>
      </c>
    </row>
    <row r="3" spans="1:14" x14ac:dyDescent="0.2">
      <c r="A3" s="4" t="s">
        <v>17</v>
      </c>
      <c r="B3" s="1">
        <v>20</v>
      </c>
      <c r="C3" s="1">
        <v>21</v>
      </c>
      <c r="D3" s="1">
        <v>26</v>
      </c>
      <c r="E3" s="1">
        <v>51</v>
      </c>
      <c r="F3" s="1">
        <v>36</v>
      </c>
      <c r="G3" s="1">
        <v>34</v>
      </c>
      <c r="H3" s="1">
        <v>39</v>
      </c>
      <c r="I3" s="1">
        <v>39</v>
      </c>
      <c r="J3" s="18">
        <v>19</v>
      </c>
      <c r="K3" s="18">
        <v>53</v>
      </c>
      <c r="L3" s="1">
        <v>31</v>
      </c>
      <c r="M3" s="1">
        <v>37</v>
      </c>
      <c r="N3" s="1">
        <f t="shared" ref="N3:N12" si="0">SUM(B3:M3)</f>
        <v>406</v>
      </c>
    </row>
    <row r="4" spans="1:14" x14ac:dyDescent="0.2">
      <c r="A4" s="6" t="s">
        <v>18</v>
      </c>
      <c r="B4" s="2">
        <v>4667398</v>
      </c>
      <c r="C4" s="2">
        <v>6704765</v>
      </c>
      <c r="D4" s="2">
        <v>6878891</v>
      </c>
      <c r="E4" s="2">
        <v>11573801</v>
      </c>
      <c r="F4" s="2">
        <v>9311913</v>
      </c>
      <c r="G4" s="2">
        <v>9790957</v>
      </c>
      <c r="H4" s="2">
        <v>10966743</v>
      </c>
      <c r="I4" s="2">
        <v>12197794</v>
      </c>
      <c r="J4" s="21">
        <v>4885411</v>
      </c>
      <c r="K4" s="21">
        <v>13062881</v>
      </c>
      <c r="L4" s="2">
        <v>8469902</v>
      </c>
      <c r="M4" s="2">
        <v>12070122</v>
      </c>
      <c r="N4" s="2">
        <f t="shared" si="0"/>
        <v>110580578</v>
      </c>
    </row>
    <row r="5" spans="1:14" x14ac:dyDescent="0.2">
      <c r="A5" s="4" t="s">
        <v>43</v>
      </c>
      <c r="B5" s="1">
        <v>4</v>
      </c>
      <c r="C5" s="1">
        <v>0</v>
      </c>
      <c r="D5" s="1">
        <v>3</v>
      </c>
      <c r="E5" s="1">
        <v>4</v>
      </c>
      <c r="F5" s="1">
        <v>7</v>
      </c>
      <c r="G5" s="1">
        <v>17</v>
      </c>
      <c r="H5" s="1">
        <v>11</v>
      </c>
      <c r="I5" s="1">
        <v>5</v>
      </c>
      <c r="J5" s="18">
        <v>3</v>
      </c>
      <c r="K5" s="18">
        <v>5</v>
      </c>
      <c r="L5" s="1">
        <v>7</v>
      </c>
      <c r="M5" s="1">
        <v>8</v>
      </c>
      <c r="N5" s="1">
        <f t="shared" si="0"/>
        <v>74</v>
      </c>
    </row>
    <row r="6" spans="1:14" x14ac:dyDescent="0.2">
      <c r="A6" s="6" t="s">
        <v>18</v>
      </c>
      <c r="B6" s="2">
        <v>400000</v>
      </c>
      <c r="C6" s="2">
        <v>0</v>
      </c>
      <c r="D6" s="2">
        <v>271600</v>
      </c>
      <c r="E6" s="2">
        <v>350325</v>
      </c>
      <c r="F6" s="2">
        <v>634150</v>
      </c>
      <c r="G6" s="2">
        <v>1640125</v>
      </c>
      <c r="H6" s="2">
        <v>961650</v>
      </c>
      <c r="I6" s="2">
        <v>423800</v>
      </c>
      <c r="J6" s="21">
        <v>269200</v>
      </c>
      <c r="K6" s="21">
        <v>468600</v>
      </c>
      <c r="L6" s="2">
        <v>653900</v>
      </c>
      <c r="M6" s="2">
        <v>1241800</v>
      </c>
      <c r="N6" s="2">
        <f t="shared" si="0"/>
        <v>7315150</v>
      </c>
    </row>
    <row r="7" spans="1:14" x14ac:dyDescent="0.2">
      <c r="A7" s="4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</v>
      </c>
      <c r="J7" s="18">
        <v>0</v>
      </c>
      <c r="K7" s="18">
        <v>0</v>
      </c>
      <c r="L7" s="1">
        <v>0</v>
      </c>
      <c r="M7" s="1">
        <v>0</v>
      </c>
      <c r="N7" s="1">
        <f t="shared" si="0"/>
        <v>9</v>
      </c>
    </row>
    <row r="8" spans="1:14" x14ac:dyDescent="0.2">
      <c r="A8" s="6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20400000</v>
      </c>
      <c r="J8" s="21">
        <v>0</v>
      </c>
      <c r="K8" s="21">
        <v>0</v>
      </c>
      <c r="L8" s="2">
        <v>0</v>
      </c>
      <c r="M8" s="2">
        <v>0</v>
      </c>
      <c r="N8" s="2">
        <f t="shared" si="0"/>
        <v>20400000</v>
      </c>
    </row>
    <row r="9" spans="1:14" x14ac:dyDescent="0.2">
      <c r="A9" s="4" t="s">
        <v>41</v>
      </c>
      <c r="B9" s="1">
        <v>155</v>
      </c>
      <c r="C9" s="1">
        <v>186</v>
      </c>
      <c r="D9" s="1">
        <v>195</v>
      </c>
      <c r="E9" s="1">
        <v>292</v>
      </c>
      <c r="F9" s="1">
        <v>229</v>
      </c>
      <c r="G9" s="1">
        <v>216</v>
      </c>
      <c r="H9" s="1">
        <v>274</v>
      </c>
      <c r="I9" s="1">
        <v>222</v>
      </c>
      <c r="J9" s="18">
        <v>193</v>
      </c>
      <c r="K9" s="18">
        <v>210</v>
      </c>
      <c r="L9" s="1">
        <v>206</v>
      </c>
      <c r="M9" s="1">
        <v>160</v>
      </c>
      <c r="N9" s="1">
        <f t="shared" si="0"/>
        <v>2538</v>
      </c>
    </row>
    <row r="10" spans="1:14" x14ac:dyDescent="0.2">
      <c r="A10" s="6" t="s">
        <v>18</v>
      </c>
      <c r="B10" s="2">
        <v>479577</v>
      </c>
      <c r="C10" s="2">
        <v>621007</v>
      </c>
      <c r="D10" s="2">
        <v>839075</v>
      </c>
      <c r="E10" s="2">
        <v>1097859</v>
      </c>
      <c r="F10" s="2">
        <v>918314</v>
      </c>
      <c r="G10" s="2">
        <v>861870</v>
      </c>
      <c r="H10" s="2">
        <v>1215283</v>
      </c>
      <c r="I10" s="2">
        <v>990412</v>
      </c>
      <c r="J10" s="21">
        <v>643571</v>
      </c>
      <c r="K10" s="21">
        <v>834219</v>
      </c>
      <c r="L10" s="2">
        <v>852619</v>
      </c>
      <c r="M10" s="2">
        <v>418565</v>
      </c>
      <c r="N10" s="2">
        <f t="shared" si="0"/>
        <v>9772371</v>
      </c>
    </row>
    <row r="11" spans="1:14" x14ac:dyDescent="0.2">
      <c r="A11" s="4" t="s">
        <v>22</v>
      </c>
      <c r="B11" s="1">
        <v>1</v>
      </c>
      <c r="C11" s="1">
        <v>2</v>
      </c>
      <c r="D11" s="1">
        <v>0</v>
      </c>
      <c r="E11" s="1">
        <v>1</v>
      </c>
      <c r="F11" s="1">
        <v>2</v>
      </c>
      <c r="G11" s="1">
        <v>1</v>
      </c>
      <c r="H11" s="1">
        <v>0</v>
      </c>
      <c r="I11" s="1">
        <v>2</v>
      </c>
      <c r="J11" s="18">
        <v>0</v>
      </c>
      <c r="K11" s="18">
        <v>4</v>
      </c>
      <c r="L11" s="1">
        <v>0</v>
      </c>
      <c r="M11" s="1">
        <v>2</v>
      </c>
      <c r="N11" s="1">
        <f t="shared" si="0"/>
        <v>15</v>
      </c>
    </row>
    <row r="12" spans="1:14" x14ac:dyDescent="0.2">
      <c r="A12" s="6" t="s">
        <v>18</v>
      </c>
      <c r="B12" s="2">
        <v>17500</v>
      </c>
      <c r="C12" s="2">
        <v>9200</v>
      </c>
      <c r="D12" s="2">
        <v>0</v>
      </c>
      <c r="E12" s="2">
        <v>52000</v>
      </c>
      <c r="F12" s="2">
        <v>88625</v>
      </c>
      <c r="G12" s="2">
        <v>51700</v>
      </c>
      <c r="H12" s="2">
        <v>0</v>
      </c>
      <c r="I12" s="2">
        <v>113100</v>
      </c>
      <c r="J12" s="21">
        <v>0</v>
      </c>
      <c r="K12" s="21">
        <v>122727</v>
      </c>
      <c r="L12" s="2">
        <v>0</v>
      </c>
      <c r="M12" s="2">
        <v>28900</v>
      </c>
      <c r="N12" s="2">
        <f t="shared" si="0"/>
        <v>483752</v>
      </c>
    </row>
    <row r="13" spans="1:14" x14ac:dyDescent="0.2">
      <c r="A13" s="4" t="s">
        <v>42</v>
      </c>
      <c r="B13" s="1">
        <v>8</v>
      </c>
      <c r="C13" s="1">
        <v>15</v>
      </c>
      <c r="D13" s="1">
        <v>12</v>
      </c>
      <c r="E13" s="1">
        <v>19</v>
      </c>
      <c r="F13" s="1">
        <v>14</v>
      </c>
      <c r="G13" s="1">
        <v>20</v>
      </c>
      <c r="H13" s="1">
        <v>23</v>
      </c>
      <c r="I13" s="1">
        <v>38</v>
      </c>
      <c r="J13" s="18">
        <v>21</v>
      </c>
      <c r="K13" s="18">
        <v>32</v>
      </c>
      <c r="L13" s="1">
        <v>35</v>
      </c>
      <c r="M13" s="1">
        <v>47</v>
      </c>
      <c r="N13" s="1">
        <f>SUM(B13:M13)</f>
        <v>284</v>
      </c>
    </row>
    <row r="14" spans="1:14" x14ac:dyDescent="0.2">
      <c r="A14" s="6" t="s">
        <v>18</v>
      </c>
      <c r="B14" s="2">
        <v>35746</v>
      </c>
      <c r="C14" s="2">
        <v>742251</v>
      </c>
      <c r="D14" s="2">
        <v>144777</v>
      </c>
      <c r="E14" s="2">
        <v>1075240</v>
      </c>
      <c r="F14" s="2">
        <v>12567441</v>
      </c>
      <c r="G14" s="2">
        <v>208750</v>
      </c>
      <c r="H14" s="2">
        <v>813868</v>
      </c>
      <c r="I14" s="2">
        <v>843005</v>
      </c>
      <c r="J14" s="21">
        <v>170338</v>
      </c>
      <c r="K14" s="21">
        <v>427311</v>
      </c>
      <c r="L14" s="2">
        <v>4733363</v>
      </c>
      <c r="M14" s="2">
        <v>1339791</v>
      </c>
      <c r="N14" s="2">
        <f>SUM(B14:M14)</f>
        <v>23101881</v>
      </c>
    </row>
    <row r="15" spans="1:14" x14ac:dyDescent="0.2">
      <c r="A15" s="4" t="s">
        <v>24</v>
      </c>
      <c r="B15" s="1">
        <v>2</v>
      </c>
      <c r="C15" s="1">
        <v>0</v>
      </c>
      <c r="D15" s="1">
        <v>1</v>
      </c>
      <c r="E15" s="1">
        <v>1</v>
      </c>
      <c r="F15" s="1">
        <v>3</v>
      </c>
      <c r="G15" s="1">
        <v>2</v>
      </c>
      <c r="H15" s="1">
        <v>0</v>
      </c>
      <c r="I15" s="1">
        <v>2</v>
      </c>
      <c r="J15" s="18">
        <v>0</v>
      </c>
      <c r="K15" s="18">
        <v>2</v>
      </c>
      <c r="L15" s="1">
        <v>1</v>
      </c>
      <c r="M15" s="1">
        <v>0</v>
      </c>
      <c r="N15" s="1">
        <f t="shared" ref="N15:N44" si="1">SUM(B15:M15)</f>
        <v>14</v>
      </c>
    </row>
    <row r="16" spans="1:14" x14ac:dyDescent="0.2">
      <c r="A16" s="6" t="s">
        <v>18</v>
      </c>
      <c r="B16" s="2">
        <v>5019991</v>
      </c>
      <c r="C16" s="2">
        <v>0</v>
      </c>
      <c r="D16" s="2">
        <v>550000</v>
      </c>
      <c r="E16" s="2">
        <v>750839</v>
      </c>
      <c r="F16" s="2">
        <v>2832000</v>
      </c>
      <c r="G16" s="2">
        <v>367000</v>
      </c>
      <c r="H16" s="2">
        <v>0</v>
      </c>
      <c r="I16" s="2">
        <v>1019500</v>
      </c>
      <c r="J16" s="21">
        <v>0</v>
      </c>
      <c r="K16" s="21">
        <v>3014000</v>
      </c>
      <c r="L16" s="2">
        <v>500000</v>
      </c>
      <c r="M16" s="2">
        <v>0</v>
      </c>
      <c r="N16" s="2">
        <f t="shared" si="1"/>
        <v>14053330</v>
      </c>
    </row>
    <row r="17" spans="1:14" x14ac:dyDescent="0.2">
      <c r="A17" s="4" t="s">
        <v>40</v>
      </c>
      <c r="B17" s="1">
        <v>18</v>
      </c>
      <c r="C17" s="1">
        <v>16</v>
      </c>
      <c r="D17" s="1">
        <v>16</v>
      </c>
      <c r="E17" s="1">
        <v>11</v>
      </c>
      <c r="F17" s="1">
        <v>17</v>
      </c>
      <c r="G17" s="1">
        <v>19</v>
      </c>
      <c r="H17" s="1">
        <v>15</v>
      </c>
      <c r="I17" s="1">
        <v>16</v>
      </c>
      <c r="J17" s="18">
        <v>9</v>
      </c>
      <c r="K17" s="18">
        <v>16</v>
      </c>
      <c r="L17" s="1">
        <v>22</v>
      </c>
      <c r="M17" s="1">
        <v>22</v>
      </c>
      <c r="N17" s="1">
        <f>SUM(B17:M17)</f>
        <v>197</v>
      </c>
    </row>
    <row r="18" spans="1:14" x14ac:dyDescent="0.2">
      <c r="A18" s="6" t="s">
        <v>18</v>
      </c>
      <c r="B18" s="2">
        <v>1367700</v>
      </c>
      <c r="C18" s="2">
        <v>204000</v>
      </c>
      <c r="D18" s="2">
        <v>1125692</v>
      </c>
      <c r="E18" s="2">
        <v>555500</v>
      </c>
      <c r="F18" s="2">
        <v>900615</v>
      </c>
      <c r="G18" s="2">
        <v>329850</v>
      </c>
      <c r="H18" s="2">
        <v>2422847</v>
      </c>
      <c r="I18" s="2">
        <v>182428</v>
      </c>
      <c r="J18" s="21">
        <v>150000</v>
      </c>
      <c r="K18" s="21">
        <v>1977903</v>
      </c>
      <c r="L18" s="2">
        <v>1251977</v>
      </c>
      <c r="M18" s="2">
        <v>718628</v>
      </c>
      <c r="N18" s="2">
        <f t="shared" si="1"/>
        <v>11187140</v>
      </c>
    </row>
    <row r="19" spans="1:14" x14ac:dyDescent="0.2">
      <c r="A19" s="4" t="s">
        <v>26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8">
        <v>0</v>
      </c>
      <c r="K19" s="18">
        <v>0</v>
      </c>
      <c r="L19" s="1">
        <v>0</v>
      </c>
      <c r="M19" s="1">
        <v>0</v>
      </c>
      <c r="N19" s="1">
        <f t="shared" si="1"/>
        <v>0</v>
      </c>
    </row>
    <row r="20" spans="1:14" x14ac:dyDescent="0.2">
      <c r="A20" s="6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1">
        <v>0</v>
      </c>
      <c r="K20" s="21">
        <v>0</v>
      </c>
      <c r="L20" s="2">
        <v>0</v>
      </c>
      <c r="M20" s="14">
        <v>0</v>
      </c>
      <c r="N20" s="2">
        <f t="shared" si="1"/>
        <v>0</v>
      </c>
    </row>
    <row r="21" spans="1:14" x14ac:dyDescent="0.2">
      <c r="A21" s="4" t="s">
        <v>27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8">
        <v>0</v>
      </c>
      <c r="K21" s="18">
        <v>0</v>
      </c>
      <c r="L21" s="1">
        <v>0</v>
      </c>
      <c r="M21" s="1">
        <v>0</v>
      </c>
      <c r="N21" s="1">
        <f t="shared" si="1"/>
        <v>0</v>
      </c>
    </row>
    <row r="22" spans="1:14" x14ac:dyDescent="0.2">
      <c r="A22" s="6" t="s">
        <v>18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1">
        <v>0</v>
      </c>
      <c r="K22" s="21">
        <v>0</v>
      </c>
      <c r="L22" s="2">
        <v>0</v>
      </c>
      <c r="M22" s="2">
        <v>0</v>
      </c>
      <c r="N22" s="2">
        <f t="shared" si="1"/>
        <v>0</v>
      </c>
    </row>
    <row r="23" spans="1:14" x14ac:dyDescent="0.2">
      <c r="A23" s="4" t="s">
        <v>28</v>
      </c>
      <c r="B23" s="1">
        <v>0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8">
        <v>0</v>
      </c>
      <c r="K23" s="18">
        <v>0</v>
      </c>
      <c r="L23" s="1">
        <v>0</v>
      </c>
      <c r="M23" s="1">
        <v>0</v>
      </c>
      <c r="N23" s="1">
        <f t="shared" si="1"/>
        <v>1</v>
      </c>
    </row>
    <row r="24" spans="1:14" x14ac:dyDescent="0.2">
      <c r="A24" s="6" t="s">
        <v>18</v>
      </c>
      <c r="B24" s="2">
        <v>0</v>
      </c>
      <c r="C24" s="2">
        <v>0</v>
      </c>
      <c r="D24" s="2">
        <v>4900000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1">
        <v>0</v>
      </c>
      <c r="K24" s="21">
        <v>0</v>
      </c>
      <c r="L24" s="2">
        <v>0</v>
      </c>
      <c r="M24" s="2">
        <v>0</v>
      </c>
      <c r="N24" s="2">
        <f t="shared" si="1"/>
        <v>4900000</v>
      </c>
    </row>
    <row r="25" spans="1:14" s="17" customFormat="1" x14ac:dyDescent="0.2">
      <c r="A25" s="15" t="s">
        <v>50</v>
      </c>
      <c r="B25" s="16">
        <v>1</v>
      </c>
      <c r="C25" s="16">
        <v>0</v>
      </c>
      <c r="D25" s="16">
        <v>1</v>
      </c>
      <c r="E25" s="16">
        <v>3</v>
      </c>
      <c r="F25" s="16">
        <v>0</v>
      </c>
      <c r="G25" s="16">
        <v>0</v>
      </c>
      <c r="H25" s="16">
        <v>3</v>
      </c>
      <c r="I25" s="16">
        <v>5</v>
      </c>
      <c r="J25" s="22">
        <v>0</v>
      </c>
      <c r="K25" s="22">
        <v>0</v>
      </c>
      <c r="L25" s="16">
        <v>0</v>
      </c>
      <c r="M25" s="16">
        <v>6</v>
      </c>
      <c r="N25" s="16">
        <f t="shared" si="1"/>
        <v>19</v>
      </c>
    </row>
    <row r="26" spans="1:14" x14ac:dyDescent="0.2">
      <c r="A26" s="6" t="s">
        <v>18</v>
      </c>
      <c r="B26" s="2">
        <v>30000</v>
      </c>
      <c r="C26" s="2">
        <v>0</v>
      </c>
      <c r="D26" s="2">
        <v>4200000</v>
      </c>
      <c r="E26" s="2">
        <v>2365944</v>
      </c>
      <c r="F26" s="2">
        <v>0</v>
      </c>
      <c r="G26" s="2">
        <v>0</v>
      </c>
      <c r="H26" s="2">
        <v>48000</v>
      </c>
      <c r="I26" s="2">
        <v>20878</v>
      </c>
      <c r="J26" s="21">
        <v>0</v>
      </c>
      <c r="K26" s="21">
        <v>0</v>
      </c>
      <c r="L26" s="2">
        <v>0</v>
      </c>
      <c r="M26" s="2">
        <v>84800</v>
      </c>
      <c r="N26" s="2">
        <f t="shared" si="1"/>
        <v>6749622</v>
      </c>
    </row>
    <row r="27" spans="1:14" x14ac:dyDescent="0.2">
      <c r="A27" s="4" t="s">
        <v>29</v>
      </c>
      <c r="B27" s="1">
        <v>1</v>
      </c>
      <c r="C27" s="1">
        <v>6</v>
      </c>
      <c r="D27" s="1">
        <v>6</v>
      </c>
      <c r="E27" s="1">
        <v>6</v>
      </c>
      <c r="F27" s="1">
        <v>10</v>
      </c>
      <c r="G27" s="1">
        <v>5</v>
      </c>
      <c r="H27" s="1">
        <v>1</v>
      </c>
      <c r="I27" s="1">
        <v>6</v>
      </c>
      <c r="J27" s="18">
        <v>6</v>
      </c>
      <c r="K27" s="18">
        <v>5</v>
      </c>
      <c r="L27" s="1">
        <v>9</v>
      </c>
      <c r="M27" s="1">
        <v>3</v>
      </c>
      <c r="N27" s="1">
        <f t="shared" si="1"/>
        <v>64</v>
      </c>
    </row>
    <row r="28" spans="1:14" x14ac:dyDescent="0.2">
      <c r="A28" s="6" t="s">
        <v>18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1">
        <v>0</v>
      </c>
      <c r="K28" s="21">
        <v>0</v>
      </c>
      <c r="L28" s="2">
        <v>0</v>
      </c>
      <c r="M28" s="2">
        <v>0</v>
      </c>
      <c r="N28" s="2">
        <f t="shared" si="1"/>
        <v>0</v>
      </c>
    </row>
    <row r="29" spans="1:14" x14ac:dyDescent="0.2">
      <c r="A29" s="4" t="s">
        <v>30</v>
      </c>
      <c r="B29" s="1">
        <v>3</v>
      </c>
      <c r="C29" s="1">
        <v>4</v>
      </c>
      <c r="D29" s="1">
        <v>2</v>
      </c>
      <c r="E29" s="1">
        <v>8</v>
      </c>
      <c r="F29" s="1">
        <v>2</v>
      </c>
      <c r="G29" s="1">
        <v>6</v>
      </c>
      <c r="H29" s="1">
        <v>4</v>
      </c>
      <c r="I29" s="1">
        <v>4</v>
      </c>
      <c r="J29" s="18">
        <v>1</v>
      </c>
      <c r="K29" s="18">
        <v>5</v>
      </c>
      <c r="L29" s="1">
        <v>3</v>
      </c>
      <c r="M29" s="1">
        <v>3</v>
      </c>
      <c r="N29" s="1">
        <f t="shared" si="1"/>
        <v>45</v>
      </c>
    </row>
    <row r="30" spans="1:14" x14ac:dyDescent="0.2">
      <c r="A30" s="6" t="s">
        <v>18</v>
      </c>
      <c r="B30" s="2">
        <v>20200</v>
      </c>
      <c r="C30" s="2">
        <v>7836</v>
      </c>
      <c r="D30" s="2">
        <v>5875</v>
      </c>
      <c r="E30" s="2">
        <v>14276</v>
      </c>
      <c r="F30" s="2">
        <v>2400</v>
      </c>
      <c r="G30" s="2">
        <v>20516</v>
      </c>
      <c r="H30" s="2">
        <v>17970</v>
      </c>
      <c r="I30" s="2">
        <v>5717</v>
      </c>
      <c r="J30" s="21">
        <v>2086</v>
      </c>
      <c r="K30" s="21">
        <v>18384</v>
      </c>
      <c r="L30" s="2">
        <v>7981</v>
      </c>
      <c r="M30" s="2">
        <v>9330</v>
      </c>
      <c r="N30" s="2">
        <f t="shared" si="1"/>
        <v>132571</v>
      </c>
    </row>
    <row r="31" spans="1:14" x14ac:dyDescent="0.2">
      <c r="A31" s="4" t="s">
        <v>31</v>
      </c>
      <c r="B31" s="1">
        <v>10</v>
      </c>
      <c r="C31" s="1">
        <v>7</v>
      </c>
      <c r="D31" s="1">
        <v>13</v>
      </c>
      <c r="E31" s="1">
        <v>20</v>
      </c>
      <c r="F31" s="1">
        <v>14</v>
      </c>
      <c r="G31" s="1">
        <v>19</v>
      </c>
      <c r="H31" s="1">
        <v>24</v>
      </c>
      <c r="I31" s="1">
        <v>15</v>
      </c>
      <c r="J31" s="18">
        <v>4</v>
      </c>
      <c r="K31" s="18">
        <v>10</v>
      </c>
      <c r="L31" s="1">
        <v>6</v>
      </c>
      <c r="M31" s="1">
        <v>3</v>
      </c>
      <c r="N31" s="1">
        <f t="shared" si="1"/>
        <v>145</v>
      </c>
    </row>
    <row r="32" spans="1:14" x14ac:dyDescent="0.2">
      <c r="A32" s="6" t="s">
        <v>18</v>
      </c>
      <c r="B32" s="2">
        <v>382673</v>
      </c>
      <c r="C32" s="2">
        <v>220000</v>
      </c>
      <c r="D32" s="2">
        <v>452000</v>
      </c>
      <c r="E32" s="2">
        <v>682000</v>
      </c>
      <c r="F32" s="2">
        <v>468550</v>
      </c>
      <c r="G32" s="2">
        <v>635300</v>
      </c>
      <c r="H32" s="2">
        <v>754397</v>
      </c>
      <c r="I32" s="2">
        <v>530000</v>
      </c>
      <c r="J32" s="21">
        <v>109000</v>
      </c>
      <c r="K32" s="21">
        <v>364000</v>
      </c>
      <c r="L32" s="2">
        <v>206200</v>
      </c>
      <c r="M32" s="2">
        <v>214500</v>
      </c>
      <c r="N32" s="2">
        <f t="shared" si="1"/>
        <v>5018620</v>
      </c>
    </row>
    <row r="33" spans="1:14" x14ac:dyDescent="0.2">
      <c r="A33" s="4" t="s">
        <v>32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1</v>
      </c>
      <c r="H33" s="1">
        <v>0</v>
      </c>
      <c r="I33" s="1">
        <v>0</v>
      </c>
      <c r="J33" s="18">
        <v>0</v>
      </c>
      <c r="K33" s="18">
        <v>0</v>
      </c>
      <c r="L33" s="1">
        <v>0</v>
      </c>
      <c r="M33" s="1">
        <v>0</v>
      </c>
      <c r="N33" s="1">
        <f t="shared" si="1"/>
        <v>2</v>
      </c>
    </row>
    <row r="34" spans="1:14" x14ac:dyDescent="0.2">
      <c r="A34" s="6" t="s">
        <v>18</v>
      </c>
      <c r="B34" s="2">
        <v>0</v>
      </c>
      <c r="C34" s="2">
        <v>0</v>
      </c>
      <c r="D34" s="2">
        <v>0</v>
      </c>
      <c r="E34" s="2">
        <v>20000</v>
      </c>
      <c r="F34" s="2">
        <v>0</v>
      </c>
      <c r="G34" s="2">
        <v>2000</v>
      </c>
      <c r="H34" s="2">
        <v>0</v>
      </c>
      <c r="I34" s="2">
        <v>0</v>
      </c>
      <c r="J34" s="21">
        <v>0</v>
      </c>
      <c r="K34" s="21">
        <v>0</v>
      </c>
      <c r="L34" s="2">
        <v>0</v>
      </c>
      <c r="M34" s="2">
        <v>0</v>
      </c>
      <c r="N34" s="2">
        <f t="shared" si="1"/>
        <v>22000</v>
      </c>
    </row>
    <row r="35" spans="1:14" x14ac:dyDescent="0.2">
      <c r="A35" s="4" t="s">
        <v>33</v>
      </c>
      <c r="B35" s="1">
        <v>34</v>
      </c>
      <c r="C35" s="1">
        <v>72</v>
      </c>
      <c r="D35" s="1">
        <v>41</v>
      </c>
      <c r="E35" s="1">
        <v>99</v>
      </c>
      <c r="F35" s="1">
        <v>34</v>
      </c>
      <c r="G35" s="1">
        <v>64</v>
      </c>
      <c r="H35" s="1">
        <v>31</v>
      </c>
      <c r="I35" s="18">
        <v>63</v>
      </c>
      <c r="J35" s="18">
        <v>61</v>
      </c>
      <c r="K35" s="18">
        <v>65</v>
      </c>
      <c r="L35" s="1">
        <v>54</v>
      </c>
      <c r="M35" s="1">
        <v>47</v>
      </c>
      <c r="N35" s="1">
        <f t="shared" si="1"/>
        <v>665</v>
      </c>
    </row>
    <row r="36" spans="1:14" x14ac:dyDescent="0.2">
      <c r="A36" s="6" t="s">
        <v>18</v>
      </c>
      <c r="B36" s="2">
        <v>80226</v>
      </c>
      <c r="C36" s="2">
        <v>151553</v>
      </c>
      <c r="D36" s="2">
        <v>271441</v>
      </c>
      <c r="E36" s="2">
        <v>234196</v>
      </c>
      <c r="F36" s="2">
        <v>212032</v>
      </c>
      <c r="G36" s="2">
        <v>266604</v>
      </c>
      <c r="H36" s="2">
        <v>130474</v>
      </c>
      <c r="I36" s="2">
        <v>150889</v>
      </c>
      <c r="J36" s="21">
        <v>383959</v>
      </c>
      <c r="K36" s="21">
        <v>289413</v>
      </c>
      <c r="L36" s="2">
        <v>137206</v>
      </c>
      <c r="M36" s="2">
        <v>192908</v>
      </c>
      <c r="N36" s="2">
        <f t="shared" si="1"/>
        <v>2500901</v>
      </c>
    </row>
    <row r="37" spans="1:14" x14ac:dyDescent="0.2">
      <c r="A37" s="4" t="s">
        <v>34</v>
      </c>
      <c r="B37" s="1">
        <v>37</v>
      </c>
      <c r="C37" s="1">
        <v>31</v>
      </c>
      <c r="D37" s="1">
        <v>27</v>
      </c>
      <c r="E37" s="1">
        <v>49</v>
      </c>
      <c r="F37" s="1">
        <v>30</v>
      </c>
      <c r="G37" s="1">
        <v>41</v>
      </c>
      <c r="H37" s="1">
        <v>41</v>
      </c>
      <c r="I37" s="1">
        <v>47</v>
      </c>
      <c r="J37" s="18">
        <v>36</v>
      </c>
      <c r="K37" s="18">
        <v>28</v>
      </c>
      <c r="L37" s="1">
        <v>44</v>
      </c>
      <c r="M37" s="1">
        <v>26</v>
      </c>
      <c r="N37" s="1">
        <f t="shared" si="1"/>
        <v>437</v>
      </c>
    </row>
    <row r="38" spans="1:14" x14ac:dyDescent="0.2">
      <c r="A38" s="6" t="s">
        <v>18</v>
      </c>
      <c r="B38" s="2">
        <v>171520</v>
      </c>
      <c r="C38" s="2">
        <v>369450</v>
      </c>
      <c r="D38" s="2">
        <v>82900</v>
      </c>
      <c r="E38" s="2">
        <v>117950</v>
      </c>
      <c r="F38" s="2">
        <v>118627</v>
      </c>
      <c r="G38" s="2">
        <v>92775</v>
      </c>
      <c r="H38" s="2">
        <v>170390</v>
      </c>
      <c r="I38" s="2">
        <v>91290</v>
      </c>
      <c r="J38" s="21">
        <v>296393</v>
      </c>
      <c r="K38" s="21">
        <v>75088</v>
      </c>
      <c r="L38" s="2">
        <v>98750</v>
      </c>
      <c r="M38" s="2">
        <v>59050</v>
      </c>
      <c r="N38" s="2">
        <f t="shared" si="1"/>
        <v>1744183</v>
      </c>
    </row>
    <row r="39" spans="1:14" x14ac:dyDescent="0.2">
      <c r="A39" s="4" t="s">
        <v>35</v>
      </c>
      <c r="B39" s="1">
        <v>42</v>
      </c>
      <c r="C39" s="1">
        <v>51</v>
      </c>
      <c r="D39" s="1">
        <v>55</v>
      </c>
      <c r="E39" s="1">
        <v>24</v>
      </c>
      <c r="F39" s="1">
        <v>39</v>
      </c>
      <c r="G39" s="1">
        <v>38</v>
      </c>
      <c r="H39" s="1">
        <v>45</v>
      </c>
      <c r="I39" s="1">
        <v>26</v>
      </c>
      <c r="J39" s="18">
        <v>44</v>
      </c>
      <c r="K39" s="18">
        <v>27</v>
      </c>
      <c r="L39" s="1">
        <v>27</v>
      </c>
      <c r="M39" s="1">
        <v>36</v>
      </c>
      <c r="N39" s="1">
        <f t="shared" si="1"/>
        <v>454</v>
      </c>
    </row>
    <row r="40" spans="1:14" x14ac:dyDescent="0.2">
      <c r="A40" s="6" t="s">
        <v>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1">
        <v>0</v>
      </c>
      <c r="K40" s="21">
        <v>28500</v>
      </c>
      <c r="L40" s="2">
        <v>52066</v>
      </c>
      <c r="M40" s="2">
        <v>96130</v>
      </c>
      <c r="N40" s="2">
        <f t="shared" si="1"/>
        <v>176696</v>
      </c>
    </row>
    <row r="41" spans="1:14" x14ac:dyDescent="0.2">
      <c r="A41" s="4" t="s">
        <v>36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8">
        <v>0</v>
      </c>
      <c r="K41" s="18">
        <v>0</v>
      </c>
      <c r="L41" s="1">
        <v>0</v>
      </c>
      <c r="M41" s="1">
        <v>0</v>
      </c>
      <c r="N41" s="1">
        <f t="shared" si="1"/>
        <v>0</v>
      </c>
    </row>
    <row r="42" spans="1:14" x14ac:dyDescent="0.2">
      <c r="A42" s="6" t="s">
        <v>18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1">
        <v>0</v>
      </c>
      <c r="K42" s="21">
        <v>0</v>
      </c>
      <c r="L42" s="2">
        <v>0</v>
      </c>
      <c r="M42" s="2">
        <v>0</v>
      </c>
      <c r="N42" s="2">
        <f t="shared" si="1"/>
        <v>0</v>
      </c>
    </row>
    <row r="43" spans="1:14" x14ac:dyDescent="0.2">
      <c r="A43" s="4" t="s">
        <v>37</v>
      </c>
      <c r="B43" s="1">
        <v>0</v>
      </c>
      <c r="C43" s="1">
        <v>1</v>
      </c>
      <c r="D43" s="1">
        <v>2</v>
      </c>
      <c r="E43" s="1">
        <v>1</v>
      </c>
      <c r="F43" s="1">
        <v>1</v>
      </c>
      <c r="G43" s="1">
        <v>1</v>
      </c>
      <c r="H43" s="1">
        <v>3</v>
      </c>
      <c r="I43" s="1">
        <v>0</v>
      </c>
      <c r="J43" s="18">
        <v>2</v>
      </c>
      <c r="K43" s="18">
        <v>1</v>
      </c>
      <c r="L43" s="1">
        <v>0</v>
      </c>
      <c r="M43" s="1">
        <v>0</v>
      </c>
      <c r="N43" s="1">
        <f t="shared" si="1"/>
        <v>12</v>
      </c>
    </row>
    <row r="44" spans="1:14" x14ac:dyDescent="0.2">
      <c r="A44" s="6" t="s">
        <v>18</v>
      </c>
      <c r="B44" s="2">
        <v>0</v>
      </c>
      <c r="C44" s="2">
        <v>5000</v>
      </c>
      <c r="D44" s="2">
        <v>6500</v>
      </c>
      <c r="E44" s="2">
        <v>4000</v>
      </c>
      <c r="F44" s="2">
        <v>4500</v>
      </c>
      <c r="G44" s="2">
        <v>35000</v>
      </c>
      <c r="H44" s="2">
        <v>34692</v>
      </c>
      <c r="I44" s="2">
        <v>0</v>
      </c>
      <c r="J44" s="21">
        <v>57000</v>
      </c>
      <c r="K44" s="21">
        <v>7500</v>
      </c>
      <c r="L44" s="2">
        <v>0</v>
      </c>
      <c r="M44" s="2">
        <v>0</v>
      </c>
      <c r="N44" s="2">
        <f t="shared" si="1"/>
        <v>154192</v>
      </c>
    </row>
    <row r="45" spans="1:14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4" t="s">
        <v>38</v>
      </c>
      <c r="B46" s="1">
        <f t="shared" ref="B46:M46" si="2">SUM(B3+B5+B7+B9+B11+B13+B15+B17+B19+B21+B23+B25+B27+B29+B31+B33+B35+B37+B39+B41+B43)</f>
        <v>336</v>
      </c>
      <c r="C46" s="1">
        <f t="shared" si="2"/>
        <v>412</v>
      </c>
      <c r="D46" s="1">
        <f t="shared" si="2"/>
        <v>401</v>
      </c>
      <c r="E46" s="1">
        <f t="shared" si="2"/>
        <v>590</v>
      </c>
      <c r="F46" s="1">
        <f t="shared" si="2"/>
        <v>438</v>
      </c>
      <c r="G46" s="1">
        <f t="shared" si="2"/>
        <v>484</v>
      </c>
      <c r="H46" s="1">
        <f t="shared" si="2"/>
        <v>514</v>
      </c>
      <c r="I46" s="1">
        <f t="shared" si="2"/>
        <v>499</v>
      </c>
      <c r="J46" s="1">
        <f t="shared" si="2"/>
        <v>399</v>
      </c>
      <c r="K46" s="1">
        <f t="shared" si="2"/>
        <v>463</v>
      </c>
      <c r="L46" s="1">
        <f t="shared" si="2"/>
        <v>445</v>
      </c>
      <c r="M46" s="1">
        <f t="shared" si="2"/>
        <v>400</v>
      </c>
      <c r="N46" s="1">
        <f>SUM(B46:M46)</f>
        <v>5381</v>
      </c>
    </row>
    <row r="47" spans="1:14" x14ac:dyDescent="0.2">
      <c r="A47" s="6" t="s">
        <v>39</v>
      </c>
      <c r="B47" s="2">
        <f>SUM(B4+B6+B8+B10+B12+B16+B14+B18+B20+B22+B24+B26+B28+B30+B32+B34+B36+B38+B40+B42+B44)</f>
        <v>12672531</v>
      </c>
      <c r="C47" s="2">
        <f t="shared" ref="C47:H47" si="3">SUM(C4+C6+C8+C10+C12+C14+C16+C18+C20+C22+C24+C26+C28+C30+C32+C34+C36+C38+C40+C42+C44)</f>
        <v>9035062</v>
      </c>
      <c r="D47" s="2">
        <f t="shared" si="3"/>
        <v>19728751</v>
      </c>
      <c r="E47" s="2">
        <f t="shared" si="3"/>
        <v>18893930</v>
      </c>
      <c r="F47" s="2">
        <f t="shared" si="3"/>
        <v>28059167</v>
      </c>
      <c r="G47" s="2">
        <f t="shared" si="3"/>
        <v>14302447</v>
      </c>
      <c r="H47" s="2">
        <f t="shared" si="3"/>
        <v>17536314</v>
      </c>
      <c r="I47" s="2">
        <f>SUM(I4+I6+I8+I10+I12+I16+I14+I18+I20+I22+I24+I26+I28+I30+I32+I34+I36+I38+I40+I42+I44)</f>
        <v>36968813</v>
      </c>
      <c r="J47" s="2">
        <f>SUM(J4+J6+J8+J10+J12+J14+J16+J18+J20+J22+J24+J26+J28+J30+J32+J34+J36+J38+J40+J42+J44)</f>
        <v>6966958</v>
      </c>
      <c r="K47" s="2">
        <f>SUM(K4+K6+K8+K10+K12+K14+K16+K18+K20+K22+K24+K26+K28+K30+K32+K34+K36+K38+K40+K42+K44)</f>
        <v>20690526</v>
      </c>
      <c r="L47" s="2">
        <f>SUM(L4+L6+L8+L10+L12+L14+L16+L18+L20+L22+L24+L26+L28+L30+L32+L34+L36+L38+L40+L42+L44)</f>
        <v>16963964</v>
      </c>
      <c r="M47" s="2">
        <f>SUM(M4+M6+M8+M10+M12+M14+M16+M18+M20+M22+M24+M26+M28+M30+M32+M34+M36+M38+M40+M42+M44)</f>
        <v>16474524</v>
      </c>
      <c r="N47" s="2">
        <f>SUM(B47:M47)</f>
        <v>218292987</v>
      </c>
    </row>
  </sheetData>
  <pageMargins left="0.5" right="0.5" top="1" bottom="1" header="0.05" footer="0.05"/>
  <pageSetup paperSize="5" scale="75" orientation="landscape" r:id="rId1"/>
  <headerFooter>
    <oddHeader xml:space="preserve">&amp;LPERMIT SUMMARY
CALENDAR YEAR 2012&amp;C 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view="pageLayout" zoomScale="80" zoomScaleNormal="100" zoomScalePageLayoutView="80" workbookViewId="0">
      <selection activeCell="M41" sqref="M41"/>
    </sheetView>
  </sheetViews>
  <sheetFormatPr defaultRowHeight="15" x14ac:dyDescent="0.2"/>
  <cols>
    <col min="1" max="1" width="29.28515625" style="27" bestFit="1" customWidth="1"/>
    <col min="2" max="2" width="15.140625" style="27" customWidth="1"/>
    <col min="3" max="3" width="15" style="27" customWidth="1"/>
    <col min="4" max="5" width="15.140625" style="27" customWidth="1"/>
    <col min="6" max="6" width="15" style="27" customWidth="1"/>
    <col min="7" max="13" width="15.140625" style="27" customWidth="1"/>
    <col min="14" max="14" width="15" style="27" customWidth="1"/>
    <col min="15" max="16384" width="9.140625" style="27"/>
  </cols>
  <sheetData>
    <row r="1" spans="1:14" ht="15.7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</row>
    <row r="2" spans="1:14" ht="4.5" customHeight="1" x14ac:dyDescent="0.25">
      <c r="A2" s="28" t="s">
        <v>14</v>
      </c>
      <c r="B2" s="23" t="s">
        <v>15</v>
      </c>
      <c r="C2" s="23" t="s">
        <v>15</v>
      </c>
      <c r="D2" s="23" t="s">
        <v>15</v>
      </c>
      <c r="E2" s="23" t="s">
        <v>15</v>
      </c>
      <c r="F2" s="23" t="s">
        <v>15</v>
      </c>
      <c r="G2" s="23" t="s">
        <v>15</v>
      </c>
      <c r="H2" s="23" t="s">
        <v>15</v>
      </c>
      <c r="I2" s="23" t="s">
        <v>15</v>
      </c>
      <c r="J2" s="23" t="s">
        <v>15</v>
      </c>
      <c r="K2" s="23" t="s">
        <v>15</v>
      </c>
      <c r="L2" s="23" t="s">
        <v>15</v>
      </c>
      <c r="M2" s="23" t="s">
        <v>15</v>
      </c>
      <c r="N2" s="23" t="s">
        <v>16</v>
      </c>
    </row>
    <row r="3" spans="1:14" ht="15.75" x14ac:dyDescent="0.25">
      <c r="A3" s="28" t="s">
        <v>17</v>
      </c>
      <c r="B3" s="23">
        <v>31</v>
      </c>
      <c r="C3" s="23">
        <v>17</v>
      </c>
      <c r="D3" s="23">
        <v>38</v>
      </c>
      <c r="E3" s="23">
        <v>54</v>
      </c>
      <c r="F3" s="23">
        <v>25</v>
      </c>
      <c r="G3" s="23">
        <v>44</v>
      </c>
      <c r="H3" s="23">
        <v>45</v>
      </c>
      <c r="I3" s="23">
        <v>36</v>
      </c>
      <c r="J3" s="23">
        <v>32</v>
      </c>
      <c r="K3" s="23">
        <v>17</v>
      </c>
      <c r="L3" s="23"/>
      <c r="M3" s="23"/>
      <c r="N3" s="23">
        <f t="shared" ref="N3:N12" si="0">SUM(B3:M3)</f>
        <v>339</v>
      </c>
    </row>
    <row r="4" spans="1:14" ht="15.75" x14ac:dyDescent="0.25">
      <c r="A4" s="29" t="s">
        <v>18</v>
      </c>
      <c r="B4" s="24">
        <v>11533341</v>
      </c>
      <c r="C4" s="24">
        <v>5898975</v>
      </c>
      <c r="D4" s="24">
        <v>14832800</v>
      </c>
      <c r="E4" s="24">
        <v>19956375</v>
      </c>
      <c r="F4" s="24">
        <v>11933850</v>
      </c>
      <c r="G4" s="24">
        <v>17299025</v>
      </c>
      <c r="H4" s="24">
        <v>17818500</v>
      </c>
      <c r="I4" s="24">
        <v>12614475</v>
      </c>
      <c r="J4" s="24">
        <v>11990025</v>
      </c>
      <c r="K4" s="24">
        <v>6382275</v>
      </c>
      <c r="L4" s="24"/>
      <c r="M4" s="24"/>
      <c r="N4" s="24">
        <f t="shared" si="0"/>
        <v>130259641</v>
      </c>
    </row>
    <row r="5" spans="1:14" ht="15.75" x14ac:dyDescent="0.25">
      <c r="A5" s="28" t="s">
        <v>43</v>
      </c>
      <c r="B5" s="23">
        <v>6</v>
      </c>
      <c r="C5" s="23">
        <v>17</v>
      </c>
      <c r="D5" s="23">
        <v>12</v>
      </c>
      <c r="E5" s="23">
        <v>0</v>
      </c>
      <c r="F5" s="23">
        <v>5</v>
      </c>
      <c r="G5" s="23">
        <v>8</v>
      </c>
      <c r="H5" s="23">
        <v>8</v>
      </c>
      <c r="I5" s="23">
        <v>0</v>
      </c>
      <c r="J5" s="23">
        <v>5</v>
      </c>
      <c r="K5" s="23">
        <v>1</v>
      </c>
      <c r="L5" s="23"/>
      <c r="M5" s="23"/>
      <c r="N5" s="23">
        <f t="shared" si="0"/>
        <v>62</v>
      </c>
    </row>
    <row r="6" spans="1:14" ht="15.75" x14ac:dyDescent="0.25">
      <c r="A6" s="29" t="s">
        <v>18</v>
      </c>
      <c r="B6" s="24">
        <v>1140300</v>
      </c>
      <c r="C6" s="24">
        <v>3289650</v>
      </c>
      <c r="D6" s="24">
        <v>2133150</v>
      </c>
      <c r="E6" s="24">
        <v>0</v>
      </c>
      <c r="F6" s="24">
        <v>891600</v>
      </c>
      <c r="G6" s="24">
        <v>1421850</v>
      </c>
      <c r="H6" s="24">
        <v>1411050</v>
      </c>
      <c r="I6" s="24">
        <v>0</v>
      </c>
      <c r="J6" s="24">
        <v>871725</v>
      </c>
      <c r="K6" s="24">
        <v>176925</v>
      </c>
      <c r="L6" s="24"/>
      <c r="M6" s="24"/>
      <c r="N6" s="24">
        <f t="shared" si="0"/>
        <v>11336250</v>
      </c>
    </row>
    <row r="7" spans="1:14" ht="15.75" x14ac:dyDescent="0.25">
      <c r="A7" s="28" t="s">
        <v>20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/>
      <c r="M7" s="23"/>
      <c r="N7" s="23">
        <f t="shared" si="0"/>
        <v>0</v>
      </c>
    </row>
    <row r="8" spans="1:14" ht="15.75" x14ac:dyDescent="0.25">
      <c r="A8" s="29" t="s">
        <v>18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/>
      <c r="M8" s="24"/>
      <c r="N8" s="24">
        <f t="shared" si="0"/>
        <v>0</v>
      </c>
    </row>
    <row r="9" spans="1:14" ht="15.75" x14ac:dyDescent="0.25">
      <c r="A9" s="28" t="s">
        <v>41</v>
      </c>
      <c r="B9" s="23">
        <v>185</v>
      </c>
      <c r="C9" s="23">
        <v>194</v>
      </c>
      <c r="D9" s="23">
        <v>206</v>
      </c>
      <c r="E9" s="23">
        <v>279</v>
      </c>
      <c r="F9" s="23">
        <v>253</v>
      </c>
      <c r="G9" s="23">
        <v>250</v>
      </c>
      <c r="H9" s="23">
        <v>259</v>
      </c>
      <c r="I9" s="23">
        <v>243</v>
      </c>
      <c r="J9" s="23">
        <v>210</v>
      </c>
      <c r="K9" s="23">
        <v>226</v>
      </c>
      <c r="L9" s="23"/>
      <c r="M9" s="23"/>
      <c r="N9" s="23">
        <f t="shared" si="0"/>
        <v>2305</v>
      </c>
    </row>
    <row r="10" spans="1:14" ht="15.75" x14ac:dyDescent="0.25">
      <c r="A10" s="29" t="s">
        <v>18</v>
      </c>
      <c r="B10" s="24">
        <v>569030</v>
      </c>
      <c r="C10" s="24">
        <v>549253</v>
      </c>
      <c r="D10" s="24">
        <v>657655</v>
      </c>
      <c r="E10" s="24">
        <v>1187336</v>
      </c>
      <c r="F10" s="24">
        <v>997492</v>
      </c>
      <c r="G10" s="24">
        <v>1078850</v>
      </c>
      <c r="H10" s="24">
        <v>1080065</v>
      </c>
      <c r="I10" s="24">
        <v>980829</v>
      </c>
      <c r="J10" s="24">
        <v>744148</v>
      </c>
      <c r="K10" s="24">
        <v>795508</v>
      </c>
      <c r="L10" s="24"/>
      <c r="M10" s="24"/>
      <c r="N10" s="24">
        <f t="shared" si="0"/>
        <v>8640166</v>
      </c>
    </row>
    <row r="11" spans="1:14" ht="15.75" x14ac:dyDescent="0.25">
      <c r="A11" s="28" t="s">
        <v>22</v>
      </c>
      <c r="B11" s="23">
        <v>7</v>
      </c>
      <c r="C11" s="23">
        <v>0</v>
      </c>
      <c r="D11" s="23">
        <v>0</v>
      </c>
      <c r="E11" s="23">
        <v>1</v>
      </c>
      <c r="F11" s="23">
        <v>0</v>
      </c>
      <c r="G11" s="23">
        <v>0</v>
      </c>
      <c r="H11" s="23">
        <v>1</v>
      </c>
      <c r="I11" s="23">
        <v>1</v>
      </c>
      <c r="J11" s="23">
        <v>1</v>
      </c>
      <c r="K11" s="23">
        <v>3</v>
      </c>
      <c r="L11" s="23"/>
      <c r="M11" s="23"/>
      <c r="N11" s="23">
        <f t="shared" si="0"/>
        <v>14</v>
      </c>
    </row>
    <row r="12" spans="1:14" ht="15.75" x14ac:dyDescent="0.25">
      <c r="A12" s="29" t="s">
        <v>18</v>
      </c>
      <c r="B12" s="24">
        <v>166233</v>
      </c>
      <c r="C12" s="24">
        <v>0</v>
      </c>
      <c r="D12" s="24">
        <v>0</v>
      </c>
      <c r="E12" s="24">
        <v>97500</v>
      </c>
      <c r="F12" s="24">
        <v>0</v>
      </c>
      <c r="G12" s="24">
        <v>0</v>
      </c>
      <c r="H12" s="24">
        <v>25000</v>
      </c>
      <c r="I12" s="24">
        <v>16000</v>
      </c>
      <c r="J12" s="24">
        <v>11000</v>
      </c>
      <c r="K12" s="24">
        <v>84399</v>
      </c>
      <c r="L12" s="24"/>
      <c r="M12" s="24"/>
      <c r="N12" s="24">
        <f t="shared" si="0"/>
        <v>400132</v>
      </c>
    </row>
    <row r="13" spans="1:14" ht="15.75" x14ac:dyDescent="0.25">
      <c r="A13" s="28" t="s">
        <v>42</v>
      </c>
      <c r="B13" s="23">
        <v>63</v>
      </c>
      <c r="C13" s="23">
        <v>32</v>
      </c>
      <c r="D13" s="23">
        <v>34</v>
      </c>
      <c r="E13" s="23">
        <v>29</v>
      </c>
      <c r="F13" s="23">
        <v>34</v>
      </c>
      <c r="G13" s="23">
        <v>42</v>
      </c>
      <c r="H13" s="23">
        <v>38</v>
      </c>
      <c r="I13" s="23">
        <v>42</v>
      </c>
      <c r="J13" s="23">
        <v>39</v>
      </c>
      <c r="K13" s="33">
        <v>35</v>
      </c>
      <c r="L13" s="23"/>
      <c r="M13" s="23"/>
      <c r="N13" s="23">
        <f>SUM(B13:M13)</f>
        <v>388</v>
      </c>
    </row>
    <row r="14" spans="1:14" ht="15.75" x14ac:dyDescent="0.25">
      <c r="A14" s="29" t="s">
        <v>18</v>
      </c>
      <c r="B14" s="24">
        <v>1024664</v>
      </c>
      <c r="C14" s="24">
        <v>337959</v>
      </c>
      <c r="D14" s="24">
        <v>428338</v>
      </c>
      <c r="E14" s="24">
        <v>684353</v>
      </c>
      <c r="F14" s="24">
        <v>1339679</v>
      </c>
      <c r="G14" s="24">
        <v>2223613</v>
      </c>
      <c r="H14" s="24">
        <v>943050</v>
      </c>
      <c r="I14" s="24">
        <v>1208307</v>
      </c>
      <c r="J14" s="24">
        <v>950389</v>
      </c>
      <c r="K14" s="34">
        <v>741470</v>
      </c>
      <c r="L14" s="24"/>
      <c r="M14" s="24"/>
      <c r="N14" s="24">
        <f>SUM(B14:M14)</f>
        <v>9881822</v>
      </c>
    </row>
    <row r="15" spans="1:14" ht="15.75" x14ac:dyDescent="0.25">
      <c r="A15" s="28" t="s">
        <v>24</v>
      </c>
      <c r="B15" s="23">
        <v>2</v>
      </c>
      <c r="C15" s="23">
        <v>1</v>
      </c>
      <c r="D15" s="33">
        <v>1</v>
      </c>
      <c r="E15" s="23">
        <v>1</v>
      </c>
      <c r="F15" s="23">
        <v>0</v>
      </c>
      <c r="G15" s="23">
        <v>1</v>
      </c>
      <c r="H15" s="23">
        <v>4</v>
      </c>
      <c r="I15" s="23">
        <v>1</v>
      </c>
      <c r="J15" s="23">
        <v>3</v>
      </c>
      <c r="K15" s="23">
        <v>0</v>
      </c>
      <c r="L15" s="23"/>
      <c r="M15" s="23"/>
      <c r="N15" s="23">
        <f t="shared" ref="N15:N44" si="1">SUM(B15:M15)</f>
        <v>14</v>
      </c>
    </row>
    <row r="16" spans="1:14" ht="15.75" x14ac:dyDescent="0.25">
      <c r="A16" s="29" t="s">
        <v>18</v>
      </c>
      <c r="B16" s="24">
        <v>2450000</v>
      </c>
      <c r="C16" s="24">
        <v>250000</v>
      </c>
      <c r="D16" s="34">
        <v>3200000</v>
      </c>
      <c r="E16" s="24">
        <v>600000</v>
      </c>
      <c r="F16" s="24">
        <v>0</v>
      </c>
      <c r="G16" s="24">
        <v>700000</v>
      </c>
      <c r="H16" s="24">
        <v>3940000</v>
      </c>
      <c r="I16" s="24">
        <v>1250000</v>
      </c>
      <c r="J16" s="24">
        <v>3825000</v>
      </c>
      <c r="K16" s="24">
        <v>0</v>
      </c>
      <c r="L16" s="24"/>
      <c r="M16" s="24"/>
      <c r="N16" s="24">
        <f t="shared" si="1"/>
        <v>16215000</v>
      </c>
    </row>
    <row r="17" spans="1:14" ht="15.75" x14ac:dyDescent="0.25">
      <c r="A17" s="28" t="s">
        <v>40</v>
      </c>
      <c r="B17" s="23">
        <v>13</v>
      </c>
      <c r="C17" s="23">
        <v>12</v>
      </c>
      <c r="D17" s="23">
        <v>22</v>
      </c>
      <c r="E17" s="23">
        <v>12</v>
      </c>
      <c r="F17" s="23">
        <v>20</v>
      </c>
      <c r="G17" s="23">
        <v>25</v>
      </c>
      <c r="H17" s="23">
        <v>11</v>
      </c>
      <c r="I17" s="23">
        <v>16</v>
      </c>
      <c r="J17" s="23">
        <v>19</v>
      </c>
      <c r="K17" s="23">
        <v>18</v>
      </c>
      <c r="L17" s="23"/>
      <c r="M17" s="23"/>
      <c r="N17" s="23">
        <f>SUM(B17:M17)</f>
        <v>168</v>
      </c>
    </row>
    <row r="18" spans="1:14" ht="15.75" x14ac:dyDescent="0.25">
      <c r="A18" s="29" t="s">
        <v>18</v>
      </c>
      <c r="B18" s="24">
        <v>810000</v>
      </c>
      <c r="C18" s="24">
        <v>1038250</v>
      </c>
      <c r="D18" s="24">
        <v>233795</v>
      </c>
      <c r="E18" s="24">
        <v>326560</v>
      </c>
      <c r="F18" s="24">
        <v>2258254</v>
      </c>
      <c r="G18" s="24">
        <v>331865</v>
      </c>
      <c r="H18" s="24">
        <v>66625</v>
      </c>
      <c r="I18" s="24">
        <v>344900</v>
      </c>
      <c r="J18" s="24">
        <v>195650</v>
      </c>
      <c r="K18" s="24">
        <v>132380</v>
      </c>
      <c r="L18" s="24"/>
      <c r="M18" s="24"/>
      <c r="N18" s="24">
        <f t="shared" si="1"/>
        <v>5738279</v>
      </c>
    </row>
    <row r="19" spans="1:14" ht="15.75" x14ac:dyDescent="0.25">
      <c r="A19" s="28" t="s">
        <v>26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/>
      <c r="M19" s="23"/>
      <c r="N19" s="23">
        <f t="shared" si="1"/>
        <v>0</v>
      </c>
    </row>
    <row r="20" spans="1:14" ht="15.75" x14ac:dyDescent="0.25">
      <c r="A20" s="29" t="s">
        <v>18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/>
      <c r="M20" s="30"/>
      <c r="N20" s="24">
        <f t="shared" si="1"/>
        <v>0</v>
      </c>
    </row>
    <row r="21" spans="1:14" ht="15.75" x14ac:dyDescent="0.25">
      <c r="A21" s="28" t="s">
        <v>27</v>
      </c>
      <c r="B21" s="23">
        <v>0</v>
      </c>
      <c r="C21" s="23">
        <v>0</v>
      </c>
      <c r="D21" s="3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/>
      <c r="M21" s="23"/>
      <c r="N21" s="23">
        <f t="shared" si="1"/>
        <v>0</v>
      </c>
    </row>
    <row r="22" spans="1:14" ht="15.75" x14ac:dyDescent="0.25">
      <c r="A22" s="29" t="s">
        <v>18</v>
      </c>
      <c r="B22" s="24">
        <v>0</v>
      </c>
      <c r="C22" s="24">
        <v>0</v>
      </c>
      <c r="D22" s="3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/>
      <c r="M22" s="24"/>
      <c r="N22" s="24">
        <f t="shared" si="1"/>
        <v>0</v>
      </c>
    </row>
    <row r="23" spans="1:14" ht="15.75" x14ac:dyDescent="0.25">
      <c r="A23" s="28" t="s">
        <v>28</v>
      </c>
      <c r="B23" s="23">
        <v>0</v>
      </c>
      <c r="C23" s="23">
        <v>1</v>
      </c>
      <c r="D23" s="23">
        <v>1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/>
      <c r="M23" s="23"/>
      <c r="N23" s="23">
        <f t="shared" si="1"/>
        <v>2</v>
      </c>
    </row>
    <row r="24" spans="1:14" ht="15.75" x14ac:dyDescent="0.25">
      <c r="A24" s="29" t="s">
        <v>18</v>
      </c>
      <c r="B24" s="24">
        <v>0</v>
      </c>
      <c r="C24" s="24">
        <v>5000000</v>
      </c>
      <c r="D24" s="24">
        <v>5000000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/>
      <c r="M24" s="24"/>
      <c r="N24" s="24">
        <f t="shared" si="1"/>
        <v>10000000</v>
      </c>
    </row>
    <row r="25" spans="1:14" s="32" customFormat="1" ht="15.75" x14ac:dyDescent="0.25">
      <c r="A25" s="31" t="s">
        <v>50</v>
      </c>
      <c r="B25" s="25">
        <v>1</v>
      </c>
      <c r="C25" s="25">
        <v>4</v>
      </c>
      <c r="D25" s="25">
        <v>7</v>
      </c>
      <c r="E25" s="25">
        <v>3</v>
      </c>
      <c r="F25" s="25">
        <v>6</v>
      </c>
      <c r="G25" s="25">
        <v>10</v>
      </c>
      <c r="H25" s="25">
        <v>3</v>
      </c>
      <c r="I25" s="25">
        <v>0</v>
      </c>
      <c r="J25" s="25">
        <v>0</v>
      </c>
      <c r="K25" s="35">
        <v>2</v>
      </c>
      <c r="L25" s="25"/>
      <c r="M25" s="25"/>
      <c r="N25" s="25">
        <f t="shared" si="1"/>
        <v>36</v>
      </c>
    </row>
    <row r="26" spans="1:14" ht="15.75" x14ac:dyDescent="0.25">
      <c r="A26" s="29" t="s">
        <v>18</v>
      </c>
      <c r="B26" s="24">
        <v>95000</v>
      </c>
      <c r="C26" s="24">
        <v>780000</v>
      </c>
      <c r="D26" s="24">
        <v>5047306</v>
      </c>
      <c r="E26" s="24">
        <v>331655</v>
      </c>
      <c r="F26" s="24">
        <v>40978</v>
      </c>
      <c r="G26" s="24">
        <v>2814132</v>
      </c>
      <c r="H26" s="24">
        <v>69659</v>
      </c>
      <c r="I26" s="24">
        <v>0</v>
      </c>
      <c r="J26" s="24">
        <v>0</v>
      </c>
      <c r="K26" s="34">
        <v>4500</v>
      </c>
      <c r="L26" s="24"/>
      <c r="M26" s="24"/>
      <c r="N26" s="24">
        <f t="shared" si="1"/>
        <v>9183230</v>
      </c>
    </row>
    <row r="27" spans="1:14" ht="15.75" x14ac:dyDescent="0.25">
      <c r="A27" s="28" t="s">
        <v>29</v>
      </c>
      <c r="B27" s="23">
        <v>6</v>
      </c>
      <c r="C27" s="23">
        <v>2</v>
      </c>
      <c r="D27" s="23">
        <v>9</v>
      </c>
      <c r="E27" s="23">
        <v>6</v>
      </c>
      <c r="F27" s="23">
        <v>12</v>
      </c>
      <c r="G27" s="23">
        <v>7</v>
      </c>
      <c r="H27" s="23">
        <v>2</v>
      </c>
      <c r="I27" s="23">
        <v>5</v>
      </c>
      <c r="J27" s="23">
        <v>6</v>
      </c>
      <c r="K27" s="23">
        <v>7</v>
      </c>
      <c r="L27" s="23"/>
      <c r="M27" s="23"/>
      <c r="N27" s="23">
        <f t="shared" si="1"/>
        <v>62</v>
      </c>
    </row>
    <row r="28" spans="1:14" ht="15.75" x14ac:dyDescent="0.25">
      <c r="A28" s="29" t="s">
        <v>18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/>
      <c r="M28" s="24"/>
      <c r="N28" s="24">
        <f t="shared" si="1"/>
        <v>0</v>
      </c>
    </row>
    <row r="29" spans="1:14" ht="15.75" x14ac:dyDescent="0.25">
      <c r="A29" s="28" t="s">
        <v>30</v>
      </c>
      <c r="B29" s="23">
        <v>3</v>
      </c>
      <c r="C29" s="23">
        <v>5</v>
      </c>
      <c r="D29" s="23">
        <v>3</v>
      </c>
      <c r="E29" s="23">
        <v>5</v>
      </c>
      <c r="F29" s="23">
        <v>6</v>
      </c>
      <c r="G29" s="23">
        <v>5</v>
      </c>
      <c r="H29" s="23">
        <v>2</v>
      </c>
      <c r="I29" s="23">
        <v>4</v>
      </c>
      <c r="J29" s="23">
        <v>4</v>
      </c>
      <c r="K29" s="23">
        <v>6</v>
      </c>
      <c r="L29" s="23"/>
      <c r="M29" s="23"/>
      <c r="N29" s="23">
        <f t="shared" si="1"/>
        <v>43</v>
      </c>
    </row>
    <row r="30" spans="1:14" ht="15.75" x14ac:dyDescent="0.25">
      <c r="A30" s="29" t="s">
        <v>18</v>
      </c>
      <c r="B30" s="24">
        <v>5489</v>
      </c>
      <c r="C30" s="24">
        <v>10888</v>
      </c>
      <c r="D30" s="24">
        <v>7534</v>
      </c>
      <c r="E30" s="24">
        <v>8328</v>
      </c>
      <c r="F30" s="24">
        <v>17612</v>
      </c>
      <c r="G30" s="24">
        <v>10868</v>
      </c>
      <c r="H30" s="24">
        <v>1750</v>
      </c>
      <c r="I30" s="24">
        <v>8775</v>
      </c>
      <c r="J30" s="24">
        <v>5247</v>
      </c>
      <c r="K30" s="24">
        <v>15162</v>
      </c>
      <c r="L30" s="24"/>
      <c r="M30" s="24"/>
      <c r="N30" s="24">
        <f t="shared" si="1"/>
        <v>91653</v>
      </c>
    </row>
    <row r="31" spans="1:14" ht="15.75" x14ac:dyDescent="0.25">
      <c r="A31" s="28" t="s">
        <v>31</v>
      </c>
      <c r="B31" s="23">
        <v>9</v>
      </c>
      <c r="C31" s="23">
        <v>15</v>
      </c>
      <c r="D31" s="23">
        <v>18</v>
      </c>
      <c r="E31" s="23">
        <v>23</v>
      </c>
      <c r="F31" s="23">
        <v>18</v>
      </c>
      <c r="G31" s="23">
        <v>16</v>
      </c>
      <c r="H31" s="23">
        <v>18</v>
      </c>
      <c r="I31" s="23">
        <v>19</v>
      </c>
      <c r="J31" s="23">
        <v>17</v>
      </c>
      <c r="K31" s="23">
        <v>8</v>
      </c>
      <c r="L31" s="23"/>
      <c r="M31" s="23"/>
      <c r="N31" s="23">
        <f t="shared" si="1"/>
        <v>161</v>
      </c>
    </row>
    <row r="32" spans="1:14" ht="15.75" x14ac:dyDescent="0.25">
      <c r="A32" s="29" t="s">
        <v>18</v>
      </c>
      <c r="B32" s="24">
        <v>335000</v>
      </c>
      <c r="C32" s="24">
        <v>597365</v>
      </c>
      <c r="D32" s="24">
        <v>777716</v>
      </c>
      <c r="E32" s="24">
        <v>938500</v>
      </c>
      <c r="F32" s="24">
        <v>694630</v>
      </c>
      <c r="G32" s="24">
        <v>634000</v>
      </c>
      <c r="H32" s="24">
        <v>608840</v>
      </c>
      <c r="I32" s="24">
        <v>696559</v>
      </c>
      <c r="J32" s="24">
        <v>748700</v>
      </c>
      <c r="K32" s="24">
        <v>318580</v>
      </c>
      <c r="L32" s="24"/>
      <c r="M32" s="24"/>
      <c r="N32" s="24">
        <f t="shared" si="1"/>
        <v>6349890</v>
      </c>
    </row>
    <row r="33" spans="1:14" ht="15.75" x14ac:dyDescent="0.25">
      <c r="A33" s="28" t="s">
        <v>32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1</v>
      </c>
      <c r="K33" s="23">
        <v>0</v>
      </c>
      <c r="L33" s="23"/>
      <c r="M33" s="23"/>
      <c r="N33" s="23">
        <f t="shared" si="1"/>
        <v>1</v>
      </c>
    </row>
    <row r="34" spans="1:14" ht="15.75" x14ac:dyDescent="0.25">
      <c r="A34" s="29" t="s">
        <v>18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5000</v>
      </c>
      <c r="K34" s="24">
        <v>0</v>
      </c>
      <c r="L34" s="24"/>
      <c r="M34" s="24"/>
      <c r="N34" s="24">
        <f t="shared" si="1"/>
        <v>5000</v>
      </c>
    </row>
    <row r="35" spans="1:14" ht="15.75" x14ac:dyDescent="0.25">
      <c r="A35" s="28" t="s">
        <v>33</v>
      </c>
      <c r="B35" s="23">
        <v>117</v>
      </c>
      <c r="C35" s="23">
        <v>57</v>
      </c>
      <c r="D35" s="23">
        <v>112</v>
      </c>
      <c r="E35" s="23">
        <v>126</v>
      </c>
      <c r="F35" s="23">
        <v>56</v>
      </c>
      <c r="G35" s="23">
        <v>88</v>
      </c>
      <c r="H35" s="23">
        <v>81</v>
      </c>
      <c r="I35" s="23">
        <v>84</v>
      </c>
      <c r="J35" s="23">
        <v>80</v>
      </c>
      <c r="K35" s="23">
        <v>149</v>
      </c>
      <c r="L35" s="23"/>
      <c r="M35" s="23"/>
      <c r="N35" s="23">
        <f t="shared" si="1"/>
        <v>950</v>
      </c>
    </row>
    <row r="36" spans="1:14" ht="15.75" x14ac:dyDescent="0.25">
      <c r="A36" s="29" t="s">
        <v>18</v>
      </c>
      <c r="B36" s="24">
        <v>255015</v>
      </c>
      <c r="C36" s="24">
        <v>127372</v>
      </c>
      <c r="D36" s="24">
        <v>435693</v>
      </c>
      <c r="E36" s="24">
        <v>470899</v>
      </c>
      <c r="F36" s="24">
        <v>271600</v>
      </c>
      <c r="G36" s="24">
        <v>404562</v>
      </c>
      <c r="H36" s="24">
        <v>282882</v>
      </c>
      <c r="I36" s="24">
        <v>289053</v>
      </c>
      <c r="J36" s="24">
        <v>193219</v>
      </c>
      <c r="K36" s="24">
        <v>393349</v>
      </c>
      <c r="L36" s="24"/>
      <c r="M36" s="24"/>
      <c r="N36" s="24">
        <f t="shared" si="1"/>
        <v>3123644</v>
      </c>
    </row>
    <row r="37" spans="1:14" ht="15.75" x14ac:dyDescent="0.25">
      <c r="A37" s="28" t="s">
        <v>34</v>
      </c>
      <c r="B37" s="23">
        <v>21</v>
      </c>
      <c r="C37" s="23">
        <v>38</v>
      </c>
      <c r="D37" s="23">
        <v>57</v>
      </c>
      <c r="E37" s="23">
        <v>39</v>
      </c>
      <c r="F37" s="23">
        <v>24</v>
      </c>
      <c r="G37" s="23">
        <v>54</v>
      </c>
      <c r="H37" s="23">
        <v>45</v>
      </c>
      <c r="I37" s="23">
        <v>45</v>
      </c>
      <c r="J37" s="23">
        <v>29</v>
      </c>
      <c r="K37" s="23">
        <v>46</v>
      </c>
      <c r="L37" s="23"/>
      <c r="M37" s="23"/>
      <c r="N37" s="23">
        <f t="shared" si="1"/>
        <v>398</v>
      </c>
    </row>
    <row r="38" spans="1:14" ht="15.75" x14ac:dyDescent="0.25">
      <c r="A38" s="29" t="s">
        <v>18</v>
      </c>
      <c r="B38" s="24">
        <v>44525</v>
      </c>
      <c r="C38" s="24">
        <v>80750</v>
      </c>
      <c r="D38" s="24">
        <v>140400</v>
      </c>
      <c r="E38" s="24">
        <v>112550</v>
      </c>
      <c r="F38" s="24">
        <v>132904</v>
      </c>
      <c r="G38" s="24">
        <v>131095</v>
      </c>
      <c r="H38" s="24">
        <v>223814</v>
      </c>
      <c r="I38" s="24">
        <v>157800</v>
      </c>
      <c r="J38" s="24">
        <v>56200</v>
      </c>
      <c r="K38" s="24">
        <v>98300</v>
      </c>
      <c r="L38" s="24"/>
      <c r="M38" s="24"/>
      <c r="N38" s="24">
        <f t="shared" si="1"/>
        <v>1178338</v>
      </c>
    </row>
    <row r="39" spans="1:14" ht="15.75" x14ac:dyDescent="0.25">
      <c r="A39" s="28" t="s">
        <v>35</v>
      </c>
      <c r="B39" s="23">
        <v>32</v>
      </c>
      <c r="C39" s="23">
        <v>24</v>
      </c>
      <c r="D39" s="23">
        <v>32</v>
      </c>
      <c r="E39" s="23">
        <v>37</v>
      </c>
      <c r="F39" s="23">
        <v>27</v>
      </c>
      <c r="G39" s="23">
        <v>26</v>
      </c>
      <c r="H39" s="23">
        <v>17</v>
      </c>
      <c r="I39" s="23">
        <v>40</v>
      </c>
      <c r="J39" s="23">
        <v>31</v>
      </c>
      <c r="K39" s="23">
        <v>22</v>
      </c>
      <c r="L39" s="23"/>
      <c r="M39" s="23"/>
      <c r="N39" s="23">
        <f t="shared" si="1"/>
        <v>288</v>
      </c>
    </row>
    <row r="40" spans="1:14" ht="15.75" x14ac:dyDescent="0.25">
      <c r="A40" s="29" t="s">
        <v>18</v>
      </c>
      <c r="B40" s="24">
        <v>137433</v>
      </c>
      <c r="C40" s="24">
        <v>37660</v>
      </c>
      <c r="D40" s="24">
        <v>52679</v>
      </c>
      <c r="E40" s="24">
        <v>56383</v>
      </c>
      <c r="F40" s="24">
        <v>28406</v>
      </c>
      <c r="G40" s="24">
        <v>35390</v>
      </c>
      <c r="H40" s="24">
        <v>20895</v>
      </c>
      <c r="I40" s="24">
        <v>583068</v>
      </c>
      <c r="J40" s="24">
        <v>36765</v>
      </c>
      <c r="K40" s="24">
        <v>49090</v>
      </c>
      <c r="L40" s="24"/>
      <c r="M40" s="24"/>
      <c r="N40" s="24">
        <f t="shared" si="1"/>
        <v>1037769</v>
      </c>
    </row>
    <row r="41" spans="1:14" ht="15.75" x14ac:dyDescent="0.25">
      <c r="A41" s="28" t="s">
        <v>36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/>
      <c r="M41" s="23"/>
      <c r="N41" s="23">
        <f t="shared" si="1"/>
        <v>0</v>
      </c>
    </row>
    <row r="42" spans="1:14" ht="15.75" x14ac:dyDescent="0.25">
      <c r="A42" s="29" t="s">
        <v>18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/>
      <c r="M42" s="24"/>
      <c r="N42" s="24">
        <f t="shared" si="1"/>
        <v>0</v>
      </c>
    </row>
    <row r="43" spans="1:14" ht="15.75" x14ac:dyDescent="0.25">
      <c r="A43" s="28" t="s">
        <v>37</v>
      </c>
      <c r="B43" s="23">
        <v>0</v>
      </c>
      <c r="C43" s="23">
        <v>1</v>
      </c>
      <c r="D43" s="23">
        <v>0</v>
      </c>
      <c r="E43" s="23">
        <v>0</v>
      </c>
      <c r="F43" s="23">
        <v>3</v>
      </c>
      <c r="G43" s="23">
        <v>2</v>
      </c>
      <c r="H43" s="23">
        <v>4</v>
      </c>
      <c r="I43" s="23">
        <v>1</v>
      </c>
      <c r="J43" s="23">
        <v>3</v>
      </c>
      <c r="K43" s="23">
        <v>0</v>
      </c>
      <c r="L43" s="23"/>
      <c r="M43" s="23"/>
      <c r="N43" s="23">
        <f t="shared" si="1"/>
        <v>14</v>
      </c>
    </row>
    <row r="44" spans="1:14" ht="15.75" x14ac:dyDescent="0.25">
      <c r="A44" s="29" t="s">
        <v>18</v>
      </c>
      <c r="B44" s="24">
        <v>0</v>
      </c>
      <c r="C44" s="24">
        <v>25000</v>
      </c>
      <c r="D44" s="24">
        <v>0</v>
      </c>
      <c r="E44" s="24">
        <v>0</v>
      </c>
      <c r="F44" s="24">
        <v>10500</v>
      </c>
      <c r="G44" s="24">
        <v>66000</v>
      </c>
      <c r="H44" s="24">
        <v>9430</v>
      </c>
      <c r="I44" s="24">
        <v>10600</v>
      </c>
      <c r="J44" s="24">
        <v>26780</v>
      </c>
      <c r="K44" s="24">
        <v>0</v>
      </c>
      <c r="L44" s="24"/>
      <c r="M44" s="24"/>
      <c r="N44" s="24">
        <f t="shared" si="1"/>
        <v>148310</v>
      </c>
    </row>
    <row r="45" spans="1:14" ht="15.75" x14ac:dyDescent="0.25">
      <c r="A45" s="28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 ht="15.75" x14ac:dyDescent="0.25">
      <c r="A46" s="28" t="s">
        <v>38</v>
      </c>
      <c r="B46" s="23">
        <f t="shared" ref="B46:M47" si="2">SUM(B3+B5+B7+B9+B11+B13+B15+B17+B19+B21+B23+B25+B27+B29+B31+B33+B35+B37+B39+B41+B43)</f>
        <v>496</v>
      </c>
      <c r="C46" s="23">
        <f t="shared" si="2"/>
        <v>420</v>
      </c>
      <c r="D46" s="23">
        <f t="shared" si="2"/>
        <v>552</v>
      </c>
      <c r="E46" s="23">
        <f t="shared" si="2"/>
        <v>615</v>
      </c>
      <c r="F46" s="23">
        <f t="shared" si="2"/>
        <v>489</v>
      </c>
      <c r="G46" s="23">
        <f t="shared" si="2"/>
        <v>578</v>
      </c>
      <c r="H46" s="23">
        <f t="shared" si="2"/>
        <v>538</v>
      </c>
      <c r="I46" s="23">
        <f t="shared" si="2"/>
        <v>537</v>
      </c>
      <c r="J46" s="23">
        <f t="shared" si="2"/>
        <v>480</v>
      </c>
      <c r="K46" s="23">
        <f t="shared" si="2"/>
        <v>540</v>
      </c>
      <c r="L46" s="23">
        <f t="shared" si="2"/>
        <v>0</v>
      </c>
      <c r="M46" s="23">
        <f t="shared" si="2"/>
        <v>0</v>
      </c>
      <c r="N46" s="23">
        <f>SUM(B46:M46)</f>
        <v>5245</v>
      </c>
    </row>
    <row r="47" spans="1:14" ht="15.75" x14ac:dyDescent="0.25">
      <c r="A47" s="29" t="s">
        <v>39</v>
      </c>
      <c r="B47" s="24">
        <f>SUM(B4+B6+B8+B10+B12+B16+B14+B18+B20+B22+B24+B26+B28+B30+B32+B34+B36+B38+B40+B42+B44)</f>
        <v>18566030</v>
      </c>
      <c r="C47" s="24">
        <f t="shared" si="2"/>
        <v>18023122</v>
      </c>
      <c r="D47" s="24">
        <f t="shared" si="2"/>
        <v>32947066</v>
      </c>
      <c r="E47" s="24">
        <f t="shared" si="2"/>
        <v>24770439</v>
      </c>
      <c r="F47" s="24">
        <f t="shared" si="2"/>
        <v>18617505</v>
      </c>
      <c r="G47" s="24">
        <f t="shared" si="2"/>
        <v>27151250</v>
      </c>
      <c r="H47" s="24">
        <f t="shared" si="2"/>
        <v>26501560</v>
      </c>
      <c r="I47" s="24">
        <f>SUM(I4+I6+I8+I10+I12+I16+I14+I18+I20+I22+I24+I26+I28+I30+I32+I34+I36+I38+I40+I42+I44)</f>
        <v>18160366</v>
      </c>
      <c r="J47" s="24">
        <f>SUM(J4+J6+J8+J10+J12+J14+J16+J18+J20+J22+J24+J26+J28+J30+J32+J34+J36+J38+J40+J42+J44)</f>
        <v>19659848</v>
      </c>
      <c r="K47" s="24">
        <f>SUM(K4+K6+K8+K10+K12+K14+K16+K18+K20+K22+K24+K26+K28+K30+K32+K34+K36+K38+K40+K42+K44)</f>
        <v>9191938</v>
      </c>
      <c r="L47" s="24">
        <f>SUM(L4+L6+L8+L10+L12+L14+L16+L18+L20+L22+L24+L26+L28+L30+L32+L34+L36+L38+L40+L42+L44)</f>
        <v>0</v>
      </c>
      <c r="M47" s="24">
        <f>SUM(M4+M6+M8+M10+M12+M14+M16+M18+M20+M22+M24+M26+M28+M30+M32+M34+M36+M38+M40+M42+M44)</f>
        <v>0</v>
      </c>
      <c r="N47" s="24">
        <f>SUM(B47:M47)</f>
        <v>213589124</v>
      </c>
    </row>
  </sheetData>
  <pageMargins left="0.2890625" right="0.234375" top="0.5546875" bottom="0.453125" header="0.05" footer="0.05"/>
  <pageSetup paperSize="5" scale="75" orientation="landscape" r:id="rId1"/>
  <headerFooter>
    <oddHeader xml:space="preserve">&amp;LPERMIT SUMMARY
CALENDAR YEAR 2013&amp;C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</vt:vector>
  </TitlesOfParts>
  <Company>City of Allen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Engleman</dc:creator>
  <cp:lastModifiedBy>City of Allen</cp:lastModifiedBy>
  <cp:lastPrinted>2013-11-01T15:06:14Z</cp:lastPrinted>
  <dcterms:created xsi:type="dcterms:W3CDTF">1999-02-01T20:29:46Z</dcterms:created>
  <dcterms:modified xsi:type="dcterms:W3CDTF">2013-11-01T19:38:46Z</dcterms:modified>
</cp:coreProperties>
</file>