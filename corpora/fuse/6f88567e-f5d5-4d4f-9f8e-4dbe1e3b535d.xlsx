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5480" windowHeight="7710" activeTab="1"/>
  </bookViews>
  <sheets>
    <sheet name="Summary" sheetId="2" r:id="rId1"/>
    <sheet name="Income" sheetId="1" r:id="rId2"/>
    <sheet name="Expenses" sheetId="4" r:id="rId3"/>
    <sheet name="Silent Auctions-Auctions" sheetId="5" r:id="rId4"/>
  </sheets>
  <definedNames>
    <definedName name="_xlnm.Print_Area" localSheetId="2">Expenses!$A$2:$H$30</definedName>
    <definedName name="_xlnm.Print_Area" localSheetId="3">'Silent Auctions-Auctions'!$A$1:$K$62</definedName>
  </definedNames>
  <calcPr calcId="125725"/>
</workbook>
</file>

<file path=xl/calcChain.xml><?xml version="1.0" encoding="utf-8"?>
<calcChain xmlns="http://schemas.openxmlformats.org/spreadsheetml/2006/main">
  <c r="M17" i="1"/>
  <c r="P30"/>
  <c r="P31"/>
  <c r="J32"/>
  <c r="Q30"/>
  <c r="P23"/>
  <c r="P24"/>
  <c r="P25"/>
  <c r="P26"/>
  <c r="P27"/>
  <c r="P28"/>
  <c r="P29"/>
  <c r="Q29" s="1"/>
  <c r="Q23"/>
  <c r="Q24"/>
  <c r="Q25"/>
  <c r="Q26"/>
  <c r="Q27"/>
  <c r="Q28"/>
  <c r="Q31"/>
  <c r="O17"/>
  <c r="N18" l="1"/>
  <c r="N19"/>
  <c r="N20"/>
  <c r="N21"/>
  <c r="N22"/>
  <c r="N23"/>
  <c r="N24"/>
  <c r="N25"/>
  <c r="N26"/>
  <c r="N27"/>
  <c r="N28"/>
  <c r="N29"/>
  <c r="N30"/>
  <c r="N31"/>
  <c r="N17"/>
  <c r="P17" s="1"/>
  <c r="Q17" s="1"/>
  <c r="O30"/>
  <c r="O31"/>
  <c r="J30" i="5" l="1"/>
  <c r="C30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35"/>
  <c r="D34"/>
  <c r="C56"/>
  <c r="D58" s="1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A37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1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D6" i="1"/>
  <c r="D5"/>
  <c r="L18"/>
  <c r="L19"/>
  <c r="L20"/>
  <c r="L21"/>
  <c r="M21"/>
  <c r="O21" s="1"/>
  <c r="P21" s="1"/>
  <c r="L22"/>
  <c r="L23"/>
  <c r="M23" s="1"/>
  <c r="O23" s="1"/>
  <c r="L24"/>
  <c r="L25"/>
  <c r="L26"/>
  <c r="L27"/>
  <c r="M27" s="1"/>
  <c r="O27" s="1"/>
  <c r="L28"/>
  <c r="L29"/>
  <c r="L17"/>
  <c r="M31"/>
  <c r="M30"/>
  <c r="M29"/>
  <c r="O29" s="1"/>
  <c r="M26"/>
  <c r="O26" s="1"/>
  <c r="M28"/>
  <c r="O28" s="1"/>
  <c r="M22"/>
  <c r="O22" s="1"/>
  <c r="M25"/>
  <c r="O25" s="1"/>
  <c r="M20"/>
  <c r="O20" s="1"/>
  <c r="P20" s="1"/>
  <c r="M24"/>
  <c r="O24" s="1"/>
  <c r="M19"/>
  <c r="O19" s="1"/>
  <c r="M18"/>
  <c r="O18" s="1"/>
  <c r="P18" s="1"/>
  <c r="H13" i="4"/>
  <c r="B25" i="2" s="1"/>
  <c r="D23" i="4"/>
  <c r="B23" i="2"/>
  <c r="D13" i="4"/>
  <c r="B24" i="2" s="1"/>
  <c r="A18" i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B26" i="2"/>
  <c r="Q18" i="1" l="1"/>
  <c r="Q20"/>
  <c r="P22"/>
  <c r="Q22" s="1"/>
  <c r="P19"/>
  <c r="Q19" s="1"/>
  <c r="Q21"/>
  <c r="N32"/>
  <c r="D56" i="5"/>
  <c r="D59" s="1"/>
  <c r="D60" s="1"/>
  <c r="H25" i="4"/>
  <c r="O32" i="1"/>
  <c r="O38" s="1"/>
  <c r="M32"/>
  <c r="Q32" l="1"/>
  <c r="H27" i="4"/>
  <c r="B27" i="2" s="1"/>
  <c r="B28" s="1"/>
  <c r="P32" i="1"/>
  <c r="B13" i="2" s="1"/>
  <c r="H29" i="4"/>
  <c r="B20" i="2" s="1"/>
  <c r="B10"/>
  <c r="O39" i="1" l="1"/>
  <c r="B14" i="2"/>
  <c r="B15" s="1"/>
  <c r="O37" i="1"/>
  <c r="D28" i="2"/>
  <c r="O40" i="1" l="1"/>
  <c r="B30" i="2"/>
  <c r="D15"/>
</calcChain>
</file>

<file path=xl/comments1.xml><?xml version="1.0" encoding="utf-8"?>
<comments xmlns="http://schemas.openxmlformats.org/spreadsheetml/2006/main">
  <authors>
    <author>user</author>
  </authors>
  <commentList>
    <comment ref="B4" authorId="0">
      <text>
        <r>
          <rPr>
            <sz val="9"/>
            <color indexed="81"/>
            <rFont val="Tahoma"/>
            <family val="2"/>
          </rPr>
          <t>Enter event name</t>
        </r>
      </text>
    </comment>
    <comment ref="B5" authorId="0">
      <text>
        <r>
          <rPr>
            <sz val="9"/>
            <color indexed="81"/>
            <rFont val="Tahoma"/>
            <family val="2"/>
          </rPr>
          <t>Enter event date(s)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M1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total amount received for individual/organization</t>
        </r>
      </text>
    </comment>
    <comment ref="O1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Automatically Calculated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B16" authorId="0">
      <text>
        <r>
          <rPr>
            <sz val="9"/>
            <color indexed="81"/>
            <rFont val="Tahoma"/>
            <family val="2"/>
          </rPr>
          <t>Include all other expenses here - not considered prizes or rent (such as food)</t>
        </r>
      </text>
    </comment>
    <comment ref="H23" authorId="0">
      <text>
        <r>
          <rPr>
            <sz val="9"/>
            <color indexed="81"/>
            <rFont val="Tahoma"/>
            <family val="2"/>
          </rPr>
          <t>enter total amount of cash prizes paid, if any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 xml:space="preserve">Automatically linked -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<sst xmlns="http://schemas.openxmlformats.org/spreadsheetml/2006/main" count="167" uniqueCount="105">
  <si>
    <t>Address</t>
  </si>
  <si>
    <t>City</t>
  </si>
  <si>
    <t>State</t>
  </si>
  <si>
    <t>Zip</t>
  </si>
  <si>
    <t>Phone</t>
  </si>
  <si>
    <t>Date</t>
  </si>
  <si>
    <t>Total Amount Raised</t>
  </si>
  <si>
    <t>Check # / Cash</t>
  </si>
  <si>
    <t>Revenue from Fundraising</t>
  </si>
  <si>
    <t>Breakout of Income:</t>
  </si>
  <si>
    <t>Gifts/Contributions</t>
  </si>
  <si>
    <t>EVENT NAME:</t>
  </si>
  <si>
    <t>Check-should be zero</t>
  </si>
  <si>
    <t>Total Expenses:</t>
  </si>
  <si>
    <t>Breakout of Expenses:</t>
  </si>
  <si>
    <t>Non-cash prizes</t>
  </si>
  <si>
    <t>Description</t>
  </si>
  <si>
    <t>Vendor</t>
  </si>
  <si>
    <t>Amount Paid</t>
  </si>
  <si>
    <t>Total Expenses</t>
  </si>
  <si>
    <t>Other direct expenses</t>
  </si>
  <si>
    <t>Cash prizes</t>
  </si>
  <si>
    <t>*</t>
  </si>
  <si>
    <t>Rent/facility costs</t>
  </si>
  <si>
    <t>Full Name OR Organization</t>
  </si>
  <si>
    <t>cell automatically linked- do not enter any information</t>
  </si>
  <si>
    <t>Sales tax paid</t>
  </si>
  <si>
    <t>EVENT DATE(S):</t>
  </si>
  <si>
    <t>Sales Tax (8.25%)</t>
  </si>
  <si>
    <t>Total Sales Tax</t>
  </si>
  <si>
    <t>Total Cash Prizes</t>
  </si>
  <si>
    <t>Account:</t>
  </si>
  <si>
    <t>CASH</t>
  </si>
  <si>
    <t>Breakout of Total Amount</t>
  </si>
  <si>
    <t>Check</t>
  </si>
  <si>
    <t>Sales Tax Payable</t>
  </si>
  <si>
    <t>Expense Reimbursement</t>
  </si>
  <si>
    <t>Donation</t>
  </si>
  <si>
    <t>EVENT PROFIT/LOSS</t>
  </si>
  <si>
    <t># of Tickets/ Items</t>
  </si>
  <si>
    <t>Total Exp Before Sales Tax</t>
  </si>
  <si>
    <t>*Please enter expense information in peach cells for all event costs incurred in the current fiscal year. For donated items/prizes, list item followed by "DONATED" in description column, donor name in vendor name and $0 in amount paid.</t>
  </si>
  <si>
    <t>Cullie Enters</t>
  </si>
  <si>
    <t>Cashiers Enter</t>
  </si>
  <si>
    <t>Price per Ticket/ Item</t>
  </si>
  <si>
    <t>QUESTIONS:</t>
  </si>
  <si>
    <t>SU Cost per meal/Item being sold?</t>
  </si>
  <si>
    <t>$ Amount</t>
  </si>
  <si>
    <t>Sales Price of meal/item?</t>
  </si>
  <si>
    <t>FUNDRAISING EVENT - MONEY COLLECTED</t>
  </si>
  <si>
    <t>FUNDRAISING EVENT - RELATED EXPENSES/COSTS</t>
  </si>
  <si>
    <t>No</t>
  </si>
  <si>
    <t>Does SU need to pay sales tax on the cost?</t>
  </si>
  <si>
    <t>Does SU need to pay sales tax on the sale price?</t>
  </si>
  <si>
    <t>If Sales Tax is Applicable - Pick 1 of the 3 options below:</t>
  </si>
  <si>
    <t>Does SU need to pay sales tax already included in the sales price?</t>
  </si>
  <si>
    <r>
      <t>Expense/ Cost Per Ticket</t>
    </r>
    <r>
      <rPr>
        <b/>
        <sz val="11"/>
        <color indexed="10"/>
        <rFont val="Calibri"/>
        <family val="2"/>
      </rPr>
      <t xml:space="preserve"> </t>
    </r>
  </si>
  <si>
    <r>
      <t>Gifts/Contributions    (</t>
    </r>
    <r>
      <rPr>
        <b/>
        <sz val="11"/>
        <color indexed="10"/>
        <rFont val="Calibri"/>
        <family val="2"/>
      </rPr>
      <t>ANY Negative Gifts will be deducted from Exp/Cost)</t>
    </r>
  </si>
  <si>
    <t>*Please enter all information for income received for this event in peach shaded areas.  Enter additional rows as necessary. See inserted comments for additional instructions.</t>
  </si>
  <si>
    <t>Event Name (Prefils from Summary Tab)</t>
  </si>
  <si>
    <t>Event Date (Prefils from Summary Tab)</t>
  </si>
  <si>
    <t>Description of Activity</t>
  </si>
  <si>
    <t>Auction Item</t>
  </si>
  <si>
    <t>Account used for purchase</t>
  </si>
  <si>
    <t>If Donation - Who donated item</t>
  </si>
  <si>
    <t>Auction Items</t>
  </si>
  <si>
    <t>SU Cost of Item Purchased</t>
  </si>
  <si>
    <t>LIST OF ITEMS AUCTIONED -</t>
  </si>
  <si>
    <t>EXAMPLE</t>
  </si>
  <si>
    <t>Athetic Shirt</t>
  </si>
  <si>
    <t>11-0271-54571</t>
  </si>
  <si>
    <t>SU BOUGHT ITEM</t>
  </si>
  <si>
    <t>ITEM DONATED</t>
  </si>
  <si>
    <t>Chili's Gift Certificate</t>
  </si>
  <si>
    <t xml:space="preserve">400 N IH 35 </t>
  </si>
  <si>
    <t>Georgetown</t>
  </si>
  <si>
    <t xml:space="preserve">TX </t>
  </si>
  <si>
    <t>Chili's - Sam Persons, Manager</t>
  </si>
  <si>
    <t>Value if Known</t>
  </si>
  <si>
    <t>Name of Person Who Bought Item</t>
  </si>
  <si>
    <t>Sam Peters</t>
  </si>
  <si>
    <t>1234 Red Bud Lane</t>
  </si>
  <si>
    <t>Yolanda Perez</t>
  </si>
  <si>
    <t>4545 Cat Hollow Blvd.</t>
  </si>
  <si>
    <t>Florence</t>
  </si>
  <si>
    <t>LIST OF ITEMS COLLECTED FOR AUCTION OR RAFFLE</t>
  </si>
  <si>
    <t>Ending Bid</t>
  </si>
  <si>
    <t xml:space="preserve">Check # </t>
  </si>
  <si>
    <t>Cash       Credit Card (CC) or Check</t>
  </si>
  <si>
    <t>Cash</t>
  </si>
  <si>
    <t>SU Cost if applicable</t>
  </si>
  <si>
    <t xml:space="preserve">Total Amount Collected </t>
  </si>
  <si>
    <t>Total Amount SU spent on items</t>
  </si>
  <si>
    <t xml:space="preserve">Total Fundraising Amount Earned </t>
  </si>
  <si>
    <t>Account Number for Deposit</t>
  </si>
  <si>
    <t>** Only enter information in the peach colored cells.</t>
  </si>
  <si>
    <t>FUNDRAISING EVENT - Summary sheet for auctions, silent auctions, and raffles</t>
  </si>
  <si>
    <t>TOTALS</t>
  </si>
  <si>
    <t>Yes</t>
  </si>
  <si>
    <t>Total $ Amount Charged</t>
  </si>
  <si>
    <t>$ Amount Received</t>
  </si>
  <si>
    <t>Total Verification</t>
  </si>
  <si>
    <t>TOTAL CASH RECEIVED</t>
  </si>
  <si>
    <r>
      <t xml:space="preserve">FUNDRAISING EVENT - SUMMARY SHEET </t>
    </r>
    <r>
      <rPr>
        <sz val="8"/>
        <color indexed="8"/>
        <rFont val="Calibri"/>
        <family val="2"/>
      </rPr>
      <t>rev. 03/2012</t>
    </r>
  </si>
  <si>
    <t>11-0000-21041</t>
  </si>
</sst>
</file>

<file path=xl/styles.xml><?xml version="1.0" encoding="utf-8"?>
<styleSheet xmlns="http://schemas.openxmlformats.org/spreadsheetml/2006/main">
  <numFmts count="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?_);_(@_)"/>
    <numFmt numFmtId="165" formatCode="mm/dd/yy;@"/>
    <numFmt numFmtId="166" formatCode="&quot;$&quot;#,##0.00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indexed="8"/>
      <name val="Calibri"/>
      <family val="2"/>
    </font>
    <font>
      <sz val="11"/>
      <color indexed="30"/>
      <name val="Calibri"/>
      <family val="2"/>
    </font>
    <font>
      <b/>
      <sz val="11"/>
      <color indexed="30"/>
      <name val="Calibri"/>
      <family val="2"/>
    </font>
    <font>
      <b/>
      <sz val="11"/>
      <name val="Calibri"/>
      <family val="2"/>
    </font>
    <font>
      <sz val="11"/>
      <color indexed="62"/>
      <name val="Calibri"/>
      <family val="2"/>
    </font>
    <font>
      <b/>
      <sz val="14"/>
      <color indexed="8"/>
      <name val="Calibri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1509B7"/>
      <name val="Calibri"/>
      <family val="2"/>
    </font>
    <font>
      <sz val="8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ck">
        <color rgb="FF7F7F7F"/>
      </left>
      <right/>
      <top/>
      <bottom style="thin">
        <color indexed="64"/>
      </bottom>
      <diagonal/>
    </border>
    <border>
      <left/>
      <right style="thick">
        <color rgb="FF7F7F7F"/>
      </right>
      <top/>
      <bottom style="thin">
        <color indexed="64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rgb="FF7F7F7F"/>
      </bottom>
      <diagonal/>
    </border>
    <border>
      <left style="thick">
        <color rgb="FF7F7F7F"/>
      </left>
      <right/>
      <top style="thick">
        <color rgb="FF7F7F7F"/>
      </top>
      <bottom style="thick">
        <color rgb="FF7F7F7F"/>
      </bottom>
      <diagonal/>
    </border>
    <border>
      <left/>
      <right style="thick">
        <color rgb="FF7F7F7F"/>
      </right>
      <top style="thick">
        <color rgb="FF7F7F7F"/>
      </top>
      <bottom style="thick">
        <color rgb="FF7F7F7F"/>
      </bottom>
      <diagonal/>
    </border>
    <border>
      <left/>
      <right/>
      <top style="thick">
        <color rgb="FF7F7F7F"/>
      </top>
      <bottom style="thick">
        <color rgb="FF7F7F7F"/>
      </bottom>
      <diagonal/>
    </border>
    <border>
      <left style="thick">
        <color rgb="FF7F7F7F"/>
      </left>
      <right/>
      <top/>
      <bottom/>
      <diagonal/>
    </border>
    <border>
      <left style="thick">
        <color rgb="FF7F7F7F"/>
      </left>
      <right/>
      <top style="thick">
        <color rgb="FF7F7F7F"/>
      </top>
      <bottom style="thin">
        <color indexed="64"/>
      </bottom>
      <diagonal/>
    </border>
    <border>
      <left/>
      <right/>
      <top style="thick">
        <color rgb="FF7F7F7F"/>
      </top>
      <bottom style="thin">
        <color indexed="64"/>
      </bottom>
      <diagonal/>
    </border>
    <border>
      <left/>
      <right style="thick">
        <color rgb="FF7F7F7F"/>
      </right>
      <top style="thick">
        <color rgb="FF7F7F7F"/>
      </top>
      <bottom style="thin">
        <color indexed="64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6" borderId="16" applyNumberFormat="0" applyAlignment="0" applyProtection="0"/>
  </cellStyleXfs>
  <cellXfs count="159">
    <xf numFmtId="0" fontId="0" fillId="0" borderId="0" xfId="0"/>
    <xf numFmtId="0" fontId="2" fillId="0" borderId="0" xfId="0" applyFont="1"/>
    <xf numFmtId="44" fontId="0" fillId="0" borderId="0" xfId="2" applyFont="1"/>
    <xf numFmtId="44" fontId="0" fillId="0" borderId="0" xfId="0" applyNumberFormat="1"/>
    <xf numFmtId="44" fontId="0" fillId="0" borderId="0" xfId="2" applyFont="1" applyBorder="1"/>
    <xf numFmtId="44" fontId="0" fillId="0" borderId="2" xfId="2" applyFont="1" applyBorder="1"/>
    <xf numFmtId="44" fontId="0" fillId="0" borderId="3" xfId="2" applyFont="1" applyFill="1" applyBorder="1"/>
    <xf numFmtId="44" fontId="0" fillId="0" borderId="4" xfId="2" applyFont="1" applyBorder="1"/>
    <xf numFmtId="44" fontId="0" fillId="0" borderId="5" xfId="2" applyFont="1" applyBorder="1"/>
    <xf numFmtId="0" fontId="2" fillId="0" borderId="6" xfId="0" applyFont="1" applyBorder="1"/>
    <xf numFmtId="0" fontId="0" fillId="0" borderId="0" xfId="0" applyAlignment="1"/>
    <xf numFmtId="0" fontId="2" fillId="0" borderId="6" xfId="0" applyFont="1" applyBorder="1" applyAlignment="1">
      <alignment wrapText="1"/>
    </xf>
    <xf numFmtId="44" fontId="2" fillId="0" borderId="7" xfId="2" applyFont="1" applyFill="1" applyBorder="1" applyAlignment="1">
      <alignment horizontal="center" wrapText="1"/>
    </xf>
    <xf numFmtId="0" fontId="0" fillId="0" borderId="0" xfId="0" applyBorder="1"/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44" fontId="0" fillId="0" borderId="0" xfId="0" applyNumberFormat="1" applyBorder="1"/>
    <xf numFmtId="43" fontId="0" fillId="0" borderId="0" xfId="1" applyFont="1" applyBorder="1"/>
    <xf numFmtId="0" fontId="3" fillId="0" borderId="0" xfId="0" applyFont="1" applyBorder="1"/>
    <xf numFmtId="44" fontId="0" fillId="0" borderId="8" xfId="0" applyNumberFormat="1" applyBorder="1"/>
    <xf numFmtId="0" fontId="6" fillId="0" borderId="0" xfId="0" applyFont="1"/>
    <xf numFmtId="44" fontId="0" fillId="0" borderId="9" xfId="0" applyNumberFormat="1" applyBorder="1"/>
    <xf numFmtId="0" fontId="0" fillId="0" borderId="6" xfId="0" applyBorder="1"/>
    <xf numFmtId="0" fontId="2" fillId="0" borderId="0" xfId="0" applyFont="1" applyAlignment="1">
      <alignment horizontal="right"/>
    </xf>
    <xf numFmtId="0" fontId="0" fillId="0" borderId="6" xfId="0" applyBorder="1" applyAlignment="1">
      <alignment horizontal="center"/>
    </xf>
    <xf numFmtId="44" fontId="0" fillId="3" borderId="0" xfId="2" applyFont="1" applyFill="1"/>
    <xf numFmtId="44" fontId="0" fillId="4" borderId="5" xfId="0" applyNumberFormat="1" applyFill="1" applyBorder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164" fontId="0" fillId="0" borderId="0" xfId="0" applyNumberFormat="1"/>
    <xf numFmtId="44" fontId="0" fillId="3" borderId="0" xfId="0" applyNumberFormat="1" applyFill="1"/>
    <xf numFmtId="0" fontId="2" fillId="0" borderId="10" xfId="0" applyFont="1" applyBorder="1" applyAlignment="1">
      <alignment wrapText="1"/>
    </xf>
    <xf numFmtId="0" fontId="0" fillId="5" borderId="0" xfId="0" applyFill="1"/>
    <xf numFmtId="44" fontId="3" fillId="0" borderId="0" xfId="2" applyFont="1" applyFill="1"/>
    <xf numFmtId="44" fontId="2" fillId="0" borderId="0" xfId="2" applyFont="1" applyFill="1"/>
    <xf numFmtId="8" fontId="9" fillId="0" borderId="0" xfId="2" applyNumberFormat="1" applyFont="1" applyFill="1" applyAlignment="1">
      <alignment horizontal="center"/>
    </xf>
    <xf numFmtId="44" fontId="9" fillId="0" borderId="0" xfId="2" applyFont="1" applyAlignment="1">
      <alignment horizontal="right"/>
    </xf>
    <xf numFmtId="44" fontId="2" fillId="0" borderId="11" xfId="2" applyFont="1" applyFill="1" applyBorder="1" applyAlignment="1">
      <alignment horizontal="center" wrapText="1"/>
    </xf>
    <xf numFmtId="44" fontId="2" fillId="3" borderId="12" xfId="2" applyFont="1" applyFill="1" applyBorder="1" applyAlignment="1">
      <alignment horizontal="center" wrapText="1"/>
    </xf>
    <xf numFmtId="44" fontId="0" fillId="0" borderId="0" xfId="2" applyFont="1" applyFill="1"/>
    <xf numFmtId="44" fontId="2" fillId="0" borderId="0" xfId="2" applyFont="1" applyAlignment="1">
      <alignment horizontal="right"/>
    </xf>
    <xf numFmtId="44" fontId="2" fillId="0" borderId="0" xfId="2" applyFont="1"/>
    <xf numFmtId="44" fontId="1" fillId="0" borderId="8" xfId="2" applyFont="1" applyBorder="1"/>
    <xf numFmtId="44" fontId="2" fillId="0" borderId="0" xfId="0" applyNumberFormat="1" applyFont="1"/>
    <xf numFmtId="0" fontId="13" fillId="6" borderId="16" xfId="3"/>
    <xf numFmtId="43" fontId="13" fillId="6" borderId="16" xfId="3" applyNumberFormat="1"/>
    <xf numFmtId="44" fontId="13" fillId="6" borderId="16" xfId="3" applyNumberFormat="1"/>
    <xf numFmtId="44" fontId="2" fillId="3" borderId="0" xfId="0" applyNumberFormat="1" applyFont="1" applyFill="1"/>
    <xf numFmtId="0" fontId="13" fillId="6" borderId="16" xfId="3" applyAlignment="1">
      <alignment horizontal="center"/>
    </xf>
    <xf numFmtId="6" fontId="0" fillId="0" borderId="0" xfId="0" applyNumberFormat="1"/>
    <xf numFmtId="14" fontId="13" fillId="6" borderId="16" xfId="3" applyNumberFormat="1"/>
    <xf numFmtId="0" fontId="13" fillId="6" borderId="16" xfId="3" applyAlignment="1">
      <alignment horizontal="right"/>
    </xf>
    <xf numFmtId="0" fontId="11" fillId="0" borderId="0" xfId="0" applyFont="1"/>
    <xf numFmtId="0" fontId="12" fillId="6" borderId="16" xfId="3" applyFont="1"/>
    <xf numFmtId="7" fontId="10" fillId="0" borderId="0" xfId="2" applyNumberFormat="1" applyFont="1" applyFill="1" applyBorder="1" applyAlignment="1">
      <alignment horizontal="center"/>
    </xf>
    <xf numFmtId="44" fontId="9" fillId="0" borderId="0" xfId="2" applyFont="1" applyFill="1"/>
    <xf numFmtId="40" fontId="0" fillId="3" borderId="3" xfId="2" applyNumberFormat="1" applyFont="1" applyFill="1" applyBorder="1"/>
    <xf numFmtId="4" fontId="13" fillId="6" borderId="16" xfId="3" applyNumberFormat="1" applyAlignment="1">
      <alignment horizontal="center"/>
    </xf>
    <xf numFmtId="4" fontId="10" fillId="2" borderId="1" xfId="2" applyNumberFormat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165" fontId="13" fillId="6" borderId="16" xfId="3" applyNumberFormat="1"/>
    <xf numFmtId="0" fontId="13" fillId="6" borderId="16" xfId="3" applyNumberFormat="1" applyAlignment="1">
      <alignment horizontal="center"/>
    </xf>
    <xf numFmtId="0" fontId="0" fillId="0" borderId="0" xfId="0" applyNumberFormat="1"/>
    <xf numFmtId="165" fontId="0" fillId="0" borderId="0" xfId="0" applyNumberFormat="1"/>
    <xf numFmtId="0" fontId="2" fillId="0" borderId="6" xfId="0" applyFont="1" applyBorder="1" applyAlignment="1">
      <alignment horizontal="center" wrapText="1"/>
    </xf>
    <xf numFmtId="0" fontId="16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wrapText="1"/>
    </xf>
    <xf numFmtId="44" fontId="2" fillId="0" borderId="0" xfId="2" applyFont="1" applyFill="1" applyBorder="1" applyAlignment="1">
      <alignment horizontal="center" wrapText="1"/>
    </xf>
    <xf numFmtId="6" fontId="0" fillId="0" borderId="0" xfId="0" applyNumberFormat="1" applyBorder="1"/>
    <xf numFmtId="44" fontId="0" fillId="0" borderId="0" xfId="2" applyFont="1" applyFill="1" applyBorder="1"/>
    <xf numFmtId="44" fontId="9" fillId="0" borderId="0" xfId="2" applyFont="1" applyFill="1" applyBorder="1"/>
    <xf numFmtId="164" fontId="0" fillId="0" borderId="0" xfId="0" applyNumberFormat="1" applyBorder="1"/>
    <xf numFmtId="0" fontId="0" fillId="0" borderId="0" xfId="0" applyFill="1"/>
    <xf numFmtId="0" fontId="13" fillId="0" borderId="0" xfId="3" applyFill="1" applyBorder="1"/>
    <xf numFmtId="6" fontId="0" fillId="0" borderId="0" xfId="0" applyNumberFormat="1" applyFill="1" applyBorder="1"/>
    <xf numFmtId="40" fontId="0" fillId="0" borderId="0" xfId="2" applyNumberFormat="1" applyFont="1" applyFill="1" applyBorder="1"/>
    <xf numFmtId="164" fontId="0" fillId="0" borderId="0" xfId="0" applyNumberFormat="1" applyFill="1" applyBorder="1"/>
    <xf numFmtId="0" fontId="0" fillId="0" borderId="0" xfId="0" applyFill="1" applyBorder="1"/>
    <xf numFmtId="166" fontId="13" fillId="0" borderId="0" xfId="3" applyNumberFormat="1" applyFill="1" applyBorder="1"/>
    <xf numFmtId="0" fontId="2" fillId="0" borderId="20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166" fontId="12" fillId="6" borderId="22" xfId="3" applyNumberFormat="1" applyFont="1" applyBorder="1"/>
    <xf numFmtId="0" fontId="10" fillId="6" borderId="23" xfId="3" applyFont="1" applyBorder="1"/>
    <xf numFmtId="0" fontId="12" fillId="6" borderId="23" xfId="3" applyFont="1" applyBorder="1"/>
    <xf numFmtId="166" fontId="13" fillId="6" borderId="22" xfId="3" applyNumberFormat="1" applyBorder="1"/>
    <xf numFmtId="0" fontId="13" fillId="6" borderId="23" xfId="3" applyBorder="1"/>
    <xf numFmtId="166" fontId="13" fillId="6" borderId="24" xfId="3" applyNumberFormat="1" applyBorder="1"/>
    <xf numFmtId="0" fontId="13" fillId="6" borderId="25" xfId="3" applyBorder="1"/>
    <xf numFmtId="0" fontId="13" fillId="0" borderId="0" xfId="3" applyFill="1" applyBorder="1" applyAlignment="1">
      <alignment horizontal="right"/>
    </xf>
    <xf numFmtId="0" fontId="2" fillId="0" borderId="21" xfId="0" applyFont="1" applyBorder="1" applyAlignment="1">
      <alignment wrapText="1"/>
    </xf>
    <xf numFmtId="0" fontId="12" fillId="6" borderId="22" xfId="3" applyFont="1" applyBorder="1"/>
    <xf numFmtId="0" fontId="12" fillId="6" borderId="16" xfId="3" applyFont="1" applyBorder="1"/>
    <xf numFmtId="0" fontId="13" fillId="6" borderId="16" xfId="3" applyBorder="1" applyAlignment="1">
      <alignment horizontal="right"/>
    </xf>
    <xf numFmtId="0" fontId="13" fillId="6" borderId="16" xfId="3" applyBorder="1"/>
    <xf numFmtId="0" fontId="13" fillId="6" borderId="22" xfId="3" applyBorder="1"/>
    <xf numFmtId="0" fontId="13" fillId="6" borderId="24" xfId="3" applyBorder="1"/>
    <xf numFmtId="0" fontId="13" fillId="6" borderId="26" xfId="3" applyBorder="1"/>
    <xf numFmtId="0" fontId="13" fillId="6" borderId="26" xfId="3" applyBorder="1" applyAlignment="1">
      <alignment horizontal="right"/>
    </xf>
    <xf numFmtId="0" fontId="13" fillId="6" borderId="16" xfId="3" applyNumberFormat="1" applyAlignment="1">
      <alignment horizontal="right"/>
    </xf>
    <xf numFmtId="0" fontId="8" fillId="0" borderId="0" xfId="0" applyFont="1"/>
    <xf numFmtId="44" fontId="13" fillId="6" borderId="23" xfId="2" applyFont="1" applyFill="1" applyBorder="1"/>
    <xf numFmtId="44" fontId="13" fillId="6" borderId="25" xfId="2" applyFont="1" applyFill="1" applyBorder="1"/>
    <xf numFmtId="0" fontId="2" fillId="0" borderId="31" xfId="0" applyFont="1" applyBorder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2" fillId="0" borderId="32" xfId="0" applyFont="1" applyBorder="1"/>
    <xf numFmtId="0" fontId="2" fillId="0" borderId="33" xfId="0" applyFont="1" applyBorder="1" applyAlignment="1">
      <alignment wrapText="1"/>
    </xf>
    <xf numFmtId="0" fontId="13" fillId="6" borderId="23" xfId="2" applyNumberFormat="1" applyFont="1" applyFill="1" applyBorder="1" applyAlignment="1">
      <alignment horizontal="center"/>
    </xf>
    <xf numFmtId="0" fontId="13" fillId="6" borderId="25" xfId="2" applyNumberFormat="1" applyFont="1" applyFill="1" applyBorder="1" applyAlignment="1">
      <alignment horizontal="center"/>
    </xf>
    <xf numFmtId="0" fontId="13" fillId="6" borderId="18" xfId="3" applyNumberFormat="1" applyBorder="1"/>
    <xf numFmtId="14" fontId="13" fillId="0" borderId="18" xfId="3" applyNumberFormat="1" applyFill="1" applyBorder="1"/>
    <xf numFmtId="0" fontId="13" fillId="0" borderId="18" xfId="3" applyNumberFormat="1" applyFill="1" applyBorder="1"/>
    <xf numFmtId="166" fontId="12" fillId="0" borderId="22" xfId="3" applyNumberFormat="1" applyFont="1" applyFill="1" applyBorder="1"/>
    <xf numFmtId="0" fontId="10" fillId="0" borderId="23" xfId="3" applyFont="1" applyFill="1" applyBorder="1"/>
    <xf numFmtId="0" fontId="12" fillId="0" borderId="22" xfId="3" applyFont="1" applyFill="1" applyBorder="1"/>
    <xf numFmtId="0" fontId="12" fillId="0" borderId="16" xfId="3" applyFont="1" applyFill="1" applyBorder="1"/>
    <xf numFmtId="0" fontId="13" fillId="0" borderId="16" xfId="3" applyFill="1" applyBorder="1" applyAlignment="1">
      <alignment horizontal="right"/>
    </xf>
    <xf numFmtId="0" fontId="13" fillId="0" borderId="16" xfId="3" applyFill="1" applyBorder="1"/>
    <xf numFmtId="44" fontId="13" fillId="0" borderId="23" xfId="2" applyFont="1" applyFill="1" applyBorder="1"/>
    <xf numFmtId="0" fontId="10" fillId="0" borderId="22" xfId="3" applyFont="1" applyFill="1" applyBorder="1"/>
    <xf numFmtId="0" fontId="10" fillId="0" borderId="16" xfId="3" applyFont="1" applyFill="1" applyBorder="1"/>
    <xf numFmtId="0" fontId="13" fillId="0" borderId="23" xfId="2" applyNumberFormat="1" applyFont="1" applyFill="1" applyBorder="1" applyAlignment="1">
      <alignment horizontal="center"/>
    </xf>
    <xf numFmtId="0" fontId="2" fillId="0" borderId="30" xfId="0" applyFont="1" applyBorder="1" applyAlignment="1">
      <alignment wrapText="1"/>
    </xf>
    <xf numFmtId="0" fontId="2" fillId="0" borderId="32" xfId="0" applyFont="1" applyBorder="1" applyAlignment="1">
      <alignment wrapText="1"/>
    </xf>
    <xf numFmtId="0" fontId="1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44" fontId="13" fillId="0" borderId="0" xfId="2" applyFont="1" applyFill="1" applyBorder="1"/>
    <xf numFmtId="166" fontId="13" fillId="6" borderId="34" xfId="3" applyNumberFormat="1" applyBorder="1"/>
    <xf numFmtId="166" fontId="10" fillId="0" borderId="23" xfId="3" applyNumberFormat="1" applyFont="1" applyFill="1" applyBorder="1"/>
    <xf numFmtId="166" fontId="0" fillId="0" borderId="11" xfId="0" applyNumberFormat="1" applyBorder="1"/>
    <xf numFmtId="166" fontId="0" fillId="0" borderId="35" xfId="0" applyNumberFormat="1" applyBorder="1"/>
    <xf numFmtId="166" fontId="0" fillId="0" borderId="36" xfId="0" applyNumberFormat="1" applyBorder="1"/>
    <xf numFmtId="166" fontId="0" fillId="0" borderId="11" xfId="0" applyNumberFormat="1" applyFill="1" applyBorder="1"/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14" fontId="13" fillId="0" borderId="0" xfId="3" applyNumberFormat="1" applyFill="1" applyBorder="1"/>
    <xf numFmtId="44" fontId="13" fillId="0" borderId="0" xfId="3" applyNumberFormat="1" applyFill="1" applyBorder="1"/>
    <xf numFmtId="14" fontId="13" fillId="0" borderId="19" xfId="3" applyNumberFormat="1" applyFill="1" applyBorder="1" applyAlignment="1">
      <alignment horizontal="right"/>
    </xf>
    <xf numFmtId="8" fontId="0" fillId="0" borderId="0" xfId="0" applyNumberFormat="1"/>
    <xf numFmtId="44" fontId="10" fillId="6" borderId="16" xfId="3" applyNumberFormat="1" applyFont="1"/>
    <xf numFmtId="44" fontId="13" fillId="6" borderId="16" xfId="2" applyFont="1" applyFill="1" applyBorder="1"/>
    <xf numFmtId="44" fontId="13" fillId="6" borderId="16" xfId="2" applyFont="1" applyFill="1" applyBorder="1" applyAlignment="1">
      <alignment horizontal="center"/>
    </xf>
    <xf numFmtId="44" fontId="2" fillId="7" borderId="6" xfId="2" applyFont="1" applyFill="1" applyBorder="1" applyAlignment="1">
      <alignment wrapText="1"/>
    </xf>
    <xf numFmtId="44" fontId="0" fillId="0" borderId="16" xfId="2" applyFont="1" applyBorder="1"/>
    <xf numFmtId="44" fontId="2" fillId="4" borderId="2" xfId="2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17" xfId="0" applyBorder="1" applyAlignment="1">
      <alignment horizontal="left" wrapText="1"/>
    </xf>
    <xf numFmtId="0" fontId="13" fillId="6" borderId="16" xfId="3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7" fillId="0" borderId="0" xfId="0" applyFont="1" applyAlignment="1">
      <alignment horizontal="left" wrapText="1"/>
    </xf>
    <xf numFmtId="0" fontId="14" fillId="7" borderId="27" xfId="0" applyFont="1" applyFill="1" applyBorder="1" applyAlignment="1">
      <alignment horizontal="center"/>
    </xf>
    <xf numFmtId="0" fontId="14" fillId="7" borderId="28" xfId="0" applyFont="1" applyFill="1" applyBorder="1" applyAlignment="1">
      <alignment horizontal="center"/>
    </xf>
    <xf numFmtId="0" fontId="14" fillId="7" borderId="29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9" defaultPivotStyle="PivotStyleLight16"/>
  <colors>
    <mruColors>
      <color rgb="FF1509B7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zoomScaleNormal="100" workbookViewId="0">
      <selection activeCell="B2" sqref="B2"/>
    </sheetView>
  </sheetViews>
  <sheetFormatPr defaultRowHeight="15"/>
  <cols>
    <col min="1" max="1" width="30.42578125" customWidth="1"/>
    <col min="2" max="2" width="29.5703125" customWidth="1"/>
    <col min="3" max="3" width="6" customWidth="1"/>
    <col min="5" max="5" width="11.5703125" customWidth="1"/>
    <col min="6" max="6" width="16.28515625" customWidth="1"/>
    <col min="7" max="7" width="10.5703125" bestFit="1" customWidth="1"/>
    <col min="9" max="9" width="9.5703125" bestFit="1" customWidth="1"/>
  </cols>
  <sheetData>
    <row r="1" spans="1:19" ht="18.75">
      <c r="A1" s="54" t="s">
        <v>103</v>
      </c>
    </row>
    <row r="2" spans="1:19" ht="18.75">
      <c r="A2" s="54"/>
    </row>
    <row r="4" spans="1:19">
      <c r="A4" s="1" t="s">
        <v>11</v>
      </c>
      <c r="B4" s="64"/>
    </row>
    <row r="5" spans="1:19">
      <c r="A5" s="1" t="s">
        <v>27</v>
      </c>
      <c r="B5" s="63"/>
      <c r="C5" s="13"/>
      <c r="D5" s="13"/>
      <c r="E5" s="14"/>
      <c r="F5" s="4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>
      <c r="A6" s="1" t="s">
        <v>31</v>
      </c>
      <c r="B6" s="102"/>
      <c r="C6" s="13"/>
      <c r="D6" s="13"/>
      <c r="E6" s="1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>
      <c r="C7" s="13"/>
      <c r="D7" s="13"/>
      <c r="E7" s="13"/>
      <c r="F7" s="4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>
      <c r="A8" s="30" t="s">
        <v>22</v>
      </c>
      <c r="B8" s="103" t="s">
        <v>25</v>
      </c>
    </row>
    <row r="9" spans="1:19">
      <c r="C9" s="13"/>
      <c r="D9" s="13"/>
      <c r="E9" s="13"/>
      <c r="F9" s="4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>
      <c r="A10" s="1" t="s">
        <v>6</v>
      </c>
      <c r="B10" s="21">
        <f>Income!M32</f>
        <v>0</v>
      </c>
      <c r="C10" s="28" t="s">
        <v>22</v>
      </c>
      <c r="D10" s="13"/>
      <c r="E10" s="15"/>
      <c r="F10" s="4"/>
      <c r="G10" s="16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>
      <c r="C11" s="29"/>
      <c r="D11" s="13"/>
      <c r="E11" s="15"/>
      <c r="F11" s="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>
      <c r="A12" s="20" t="s">
        <v>9</v>
      </c>
      <c r="C12" s="29"/>
      <c r="D12" s="13"/>
      <c r="E12" s="13"/>
      <c r="F12" s="4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>
      <c r="A13" s="1" t="s">
        <v>10</v>
      </c>
      <c r="B13" s="3">
        <f>Income!P32</f>
        <v>0</v>
      </c>
      <c r="C13" s="28" t="s">
        <v>22</v>
      </c>
      <c r="D13" s="13"/>
      <c r="E13" s="13"/>
      <c r="F13" s="4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>
      <c r="A14" s="1" t="s">
        <v>8</v>
      </c>
      <c r="B14" s="3">
        <f>B10-B13</f>
        <v>0</v>
      </c>
      <c r="C14" s="28" t="s">
        <v>22</v>
      </c>
      <c r="D14" s="13"/>
      <c r="E14" s="13"/>
      <c r="F14" s="4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ht="15.75" thickBot="1">
      <c r="B15" s="19">
        <f>SUM(B13:B14)</f>
        <v>0</v>
      </c>
      <c r="C15" s="28" t="s">
        <v>22</v>
      </c>
      <c r="D15" s="16">
        <f>B15-B10</f>
        <v>0</v>
      </c>
      <c r="I15" s="4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5.75" thickTop="1">
      <c r="C16" s="29"/>
      <c r="D16" s="18" t="s">
        <v>12</v>
      </c>
      <c r="E16" s="15"/>
      <c r="F16" s="4"/>
      <c r="G16" s="16"/>
      <c r="H16" s="13"/>
      <c r="I16" s="17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>
      <c r="C17" s="29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>
      <c r="C18" s="29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>
      <c r="C19" s="29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>
      <c r="A20" s="1" t="s">
        <v>13</v>
      </c>
      <c r="B20" s="21">
        <f>Expenses!H29</f>
        <v>0</v>
      </c>
      <c r="C20" s="28" t="s">
        <v>22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>
      <c r="C21" s="29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>
      <c r="A22" s="20" t="s">
        <v>14</v>
      </c>
      <c r="C22" s="2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>
      <c r="A23" s="1" t="s">
        <v>21</v>
      </c>
      <c r="B23" s="3">
        <f>Expenses!H23</f>
        <v>0</v>
      </c>
      <c r="C23" s="28" t="s">
        <v>22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>
      <c r="A24" s="1" t="s">
        <v>15</v>
      </c>
      <c r="B24" s="3">
        <f>Expenses!D13</f>
        <v>0</v>
      </c>
      <c r="C24" s="28" t="s">
        <v>22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>
      <c r="A25" s="1" t="s">
        <v>23</v>
      </c>
      <c r="B25" s="3">
        <f>Expenses!H13</f>
        <v>0</v>
      </c>
      <c r="C25" s="28" t="s">
        <v>22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>
      <c r="A26" s="1" t="s">
        <v>20</v>
      </c>
      <c r="B26" s="3">
        <f>Expenses!D23</f>
        <v>0</v>
      </c>
      <c r="C26" s="28" t="s">
        <v>22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>
      <c r="A27" s="1" t="s">
        <v>26</v>
      </c>
      <c r="B27" s="3">
        <f>Expenses!H27</f>
        <v>0</v>
      </c>
      <c r="C27" s="28" t="s">
        <v>22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ht="15.75" thickBot="1">
      <c r="B28" s="19">
        <f>SUM(B23:B27)</f>
        <v>0</v>
      </c>
      <c r="C28" s="28" t="s">
        <v>22</v>
      </c>
      <c r="D28" s="16">
        <f>B20-B28</f>
        <v>0</v>
      </c>
    </row>
    <row r="29" spans="1:19" ht="15.75" thickTop="1">
      <c r="D29" s="18" t="s">
        <v>12</v>
      </c>
    </row>
    <row r="30" spans="1:19">
      <c r="A30" s="1" t="s">
        <v>38</v>
      </c>
      <c r="B30" s="45">
        <f>B15-B28</f>
        <v>0</v>
      </c>
      <c r="C30" s="28" t="s">
        <v>22</v>
      </c>
      <c r="D30" s="18"/>
    </row>
    <row r="32" spans="1:19">
      <c r="A32" s="30"/>
      <c r="B32" s="27"/>
    </row>
  </sheetData>
  <phoneticPr fontId="0" type="noConversion"/>
  <pageMargins left="0.7" right="0.7" top="0.75" bottom="0.75" header="0.3" footer="0.3"/>
  <pageSetup scale="92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1"/>
  <sheetViews>
    <sheetView tabSelected="1" topLeftCell="D10" workbookViewId="0">
      <selection activeCell="P41" sqref="P41"/>
    </sheetView>
  </sheetViews>
  <sheetFormatPr defaultRowHeight="15"/>
  <cols>
    <col min="1" max="1" width="5.7109375" customWidth="1"/>
    <col min="2" max="2" width="9.7109375" bestFit="1" customWidth="1"/>
    <col min="3" max="3" width="33.7109375" customWidth="1"/>
    <col min="4" max="4" width="20" customWidth="1"/>
    <col min="5" max="5" width="14.140625" customWidth="1"/>
    <col min="6" max="6" width="5.5703125" bestFit="1" customWidth="1"/>
    <col min="7" max="7" width="10.7109375" bestFit="1" customWidth="1"/>
    <col min="8" max="8" width="7.28515625" customWidth="1"/>
    <col min="9" max="9" width="13.7109375" bestFit="1" customWidth="1"/>
    <col min="10" max="10" width="13.7109375" style="2" customWidth="1"/>
    <col min="11" max="11" width="10.85546875" bestFit="1" customWidth="1"/>
    <col min="12" max="12" width="14.7109375" bestFit="1" customWidth="1"/>
    <col min="13" max="14" width="20.28515625" style="2" customWidth="1"/>
    <col min="15" max="15" width="16" style="2" customWidth="1"/>
    <col min="16" max="16" width="20.140625" style="2" customWidth="1"/>
    <col min="17" max="17" width="16.140625" style="2" customWidth="1"/>
  </cols>
  <sheetData>
    <row r="1" spans="1:17" ht="18.75">
      <c r="A1" s="54" t="s">
        <v>49</v>
      </c>
    </row>
    <row r="3" spans="1:17">
      <c r="A3" s="1" t="s">
        <v>58</v>
      </c>
      <c r="M3" s="35"/>
      <c r="N3" s="35"/>
      <c r="O3" s="35"/>
      <c r="P3" s="35"/>
    </row>
    <row r="4" spans="1:17">
      <c r="A4" s="1"/>
      <c r="M4" s="35"/>
      <c r="N4" s="35"/>
      <c r="O4" s="35"/>
      <c r="P4" s="35"/>
    </row>
    <row r="5" spans="1:17">
      <c r="A5" s="1"/>
      <c r="B5" s="61" t="s">
        <v>59</v>
      </c>
      <c r="D5" s="65">
        <f>Summary!B4</f>
        <v>0</v>
      </c>
      <c r="M5" s="35"/>
      <c r="N5" s="35"/>
      <c r="O5" s="35"/>
      <c r="P5" s="35"/>
    </row>
    <row r="6" spans="1:17">
      <c r="A6" s="1"/>
      <c r="B6" s="61" t="s">
        <v>60</v>
      </c>
      <c r="D6" s="66">
        <f>Summary!B5</f>
        <v>0</v>
      </c>
      <c r="M6" s="35"/>
      <c r="N6" s="35"/>
      <c r="O6" s="35"/>
      <c r="P6" s="35"/>
    </row>
    <row r="7" spans="1:17" ht="18.75">
      <c r="A7" s="1"/>
      <c r="B7" s="62" t="s">
        <v>45</v>
      </c>
      <c r="M7" s="35"/>
      <c r="N7" s="35"/>
      <c r="O7" s="35"/>
      <c r="P7" s="35"/>
    </row>
    <row r="8" spans="1:17" ht="45.75" customHeight="1">
      <c r="A8" s="1">
        <v>1</v>
      </c>
      <c r="B8" t="s">
        <v>61</v>
      </c>
      <c r="D8" s="150"/>
      <c r="E8" s="150"/>
      <c r="F8" s="150"/>
      <c r="G8" s="150"/>
      <c r="H8" s="150"/>
      <c r="M8" s="35"/>
      <c r="N8" s="35"/>
      <c r="O8" s="35"/>
      <c r="P8" s="35"/>
    </row>
    <row r="9" spans="1:17">
      <c r="A9" s="1">
        <v>2</v>
      </c>
      <c r="B9" t="s">
        <v>48</v>
      </c>
      <c r="D9" s="59">
        <v>10</v>
      </c>
      <c r="E9" t="s">
        <v>47</v>
      </c>
      <c r="M9" s="35"/>
      <c r="N9" s="35"/>
      <c r="O9" s="35"/>
      <c r="P9" s="35"/>
    </row>
    <row r="10" spans="1:17">
      <c r="A10" s="1">
        <v>3</v>
      </c>
      <c r="B10" t="s">
        <v>46</v>
      </c>
      <c r="D10" s="60">
        <v>2.5</v>
      </c>
      <c r="E10" t="s">
        <v>47</v>
      </c>
      <c r="F10" s="2"/>
      <c r="M10" s="35"/>
      <c r="N10" s="35"/>
      <c r="O10" s="35"/>
      <c r="P10" s="35"/>
    </row>
    <row r="11" spans="1:17">
      <c r="A11" s="1" t="s">
        <v>54</v>
      </c>
      <c r="D11" s="56"/>
      <c r="F11" s="2"/>
      <c r="M11" s="35"/>
      <c r="N11" s="35"/>
      <c r="O11" s="35"/>
      <c r="P11" s="35"/>
    </row>
    <row r="12" spans="1:17">
      <c r="A12" s="1">
        <v>4</v>
      </c>
      <c r="B12" t="s">
        <v>52</v>
      </c>
      <c r="D12" s="50" t="s">
        <v>51</v>
      </c>
      <c r="M12" s="36"/>
      <c r="N12" s="36"/>
      <c r="O12" s="36"/>
      <c r="P12" s="37"/>
    </row>
    <row r="13" spans="1:17">
      <c r="A13" s="1">
        <v>5</v>
      </c>
      <c r="B13" t="s">
        <v>53</v>
      </c>
      <c r="D13" s="50" t="s">
        <v>51</v>
      </c>
      <c r="M13" s="36"/>
      <c r="N13" s="36"/>
      <c r="O13" s="36"/>
      <c r="P13" s="37"/>
    </row>
    <row r="14" spans="1:17" ht="28.5" customHeight="1">
      <c r="A14" s="1">
        <v>6</v>
      </c>
      <c r="B14" s="148" t="s">
        <v>55</v>
      </c>
      <c r="C14" s="149"/>
      <c r="D14" s="50" t="s">
        <v>98</v>
      </c>
      <c r="M14" s="36"/>
      <c r="N14" s="36"/>
      <c r="O14" s="36"/>
      <c r="P14" s="37"/>
    </row>
    <row r="15" spans="1:17" ht="15.75" thickBot="1">
      <c r="D15" s="10"/>
      <c r="E15" s="10"/>
      <c r="F15" s="10"/>
      <c r="G15" s="10"/>
      <c r="H15" s="10"/>
      <c r="M15" s="5"/>
      <c r="N15" s="147" t="s">
        <v>33</v>
      </c>
      <c r="O15" s="147"/>
      <c r="P15" s="147"/>
    </row>
    <row r="16" spans="1:17" s="1" customFormat="1" ht="60.75" thickBot="1">
      <c r="B16" s="9" t="s">
        <v>5</v>
      </c>
      <c r="C16" s="11" t="s">
        <v>24</v>
      </c>
      <c r="D16" s="9" t="s">
        <v>0</v>
      </c>
      <c r="E16" s="9" t="s">
        <v>1</v>
      </c>
      <c r="F16" s="9" t="s">
        <v>2</v>
      </c>
      <c r="G16" s="9" t="s">
        <v>3</v>
      </c>
      <c r="H16" s="9" t="s">
        <v>4</v>
      </c>
      <c r="I16" s="11" t="s">
        <v>7</v>
      </c>
      <c r="J16" s="145" t="s">
        <v>100</v>
      </c>
      <c r="K16" s="11" t="s">
        <v>39</v>
      </c>
      <c r="L16" s="33" t="s">
        <v>44</v>
      </c>
      <c r="M16" s="12" t="s">
        <v>99</v>
      </c>
      <c r="N16" s="39" t="s">
        <v>56</v>
      </c>
      <c r="O16" s="39" t="s">
        <v>28</v>
      </c>
      <c r="P16" s="40" t="s">
        <v>57</v>
      </c>
      <c r="Q16" s="43" t="s">
        <v>101</v>
      </c>
    </row>
    <row r="17" spans="1:17">
      <c r="A17">
        <v>1</v>
      </c>
      <c r="B17" s="52"/>
      <c r="C17" s="55"/>
      <c r="D17" s="55"/>
      <c r="E17" s="55"/>
      <c r="F17" s="55"/>
      <c r="G17" s="53"/>
      <c r="H17" s="46"/>
      <c r="I17" s="46"/>
      <c r="J17" s="143"/>
      <c r="K17" s="46"/>
      <c r="L17" s="141">
        <f>$D$9</f>
        <v>10</v>
      </c>
      <c r="M17" s="6">
        <f t="shared" ref="M17:M29" si="0">K17*L17</f>
        <v>0</v>
      </c>
      <c r="N17" s="6">
        <f>ROUND(IF($D$10&gt;$D$9,($D$9*K17)-O17,$D$10*K17),2)</f>
        <v>0</v>
      </c>
      <c r="O17" s="57">
        <f>ROUND(IF($D$12="Yes", N17*8.25%,IF($D$13="Yes", M17*8.25%,IF($D$14="Yes",(M17/1.0825)*8.25%,"0"))),2)</f>
        <v>0</v>
      </c>
      <c r="P17" s="58">
        <f>ROUND(J17-N17-O17,2)</f>
        <v>0</v>
      </c>
      <c r="Q17" s="2">
        <f>SUM(N17:P17)</f>
        <v>0</v>
      </c>
    </row>
    <row r="18" spans="1:17">
      <c r="A18">
        <f>A17+1</f>
        <v>2</v>
      </c>
      <c r="B18" s="52"/>
      <c r="C18" s="55"/>
      <c r="D18" s="55"/>
      <c r="E18" s="55"/>
      <c r="F18" s="55"/>
      <c r="G18" s="53"/>
      <c r="H18" s="46"/>
      <c r="I18" s="46"/>
      <c r="J18" s="143"/>
      <c r="K18" s="46"/>
      <c r="L18" s="141">
        <f t="shared" ref="L18:L29" si="1">$D$9</f>
        <v>10</v>
      </c>
      <c r="M18" s="6">
        <f t="shared" si="0"/>
        <v>0</v>
      </c>
      <c r="N18" s="6">
        <f t="shared" ref="N18:N31" si="2">ROUND(IF($D$10&gt;$D$9,($D$9*K18)-O18,$D$10*K18),2)</f>
        <v>0</v>
      </c>
      <c r="O18" s="57">
        <f t="shared" ref="O18:O31" si="3">ROUND(IF($D$12="Yes", N18*8.25%,IF($D$13="Yes", M18*8.25%,IF($D$14="Yes",(M18/1.0825)*8.25%,"0"))),2)</f>
        <v>0</v>
      </c>
      <c r="P18" s="58">
        <f t="shared" ref="P18:P31" si="4">ROUND(J18-N18-O18,2)</f>
        <v>0</v>
      </c>
      <c r="Q18" s="2">
        <f t="shared" ref="Q18:Q31" si="5">SUM(N18:P18)</f>
        <v>0</v>
      </c>
    </row>
    <row r="19" spans="1:17">
      <c r="A19">
        <f>A18+1</f>
        <v>3</v>
      </c>
      <c r="B19" s="52"/>
      <c r="C19" s="55"/>
      <c r="D19" s="55"/>
      <c r="E19" s="55"/>
      <c r="F19" s="55"/>
      <c r="G19" s="53"/>
      <c r="H19" s="46"/>
      <c r="I19" s="46"/>
      <c r="J19" s="143"/>
      <c r="K19" s="46"/>
      <c r="L19" s="141">
        <f t="shared" si="1"/>
        <v>10</v>
      </c>
      <c r="M19" s="6">
        <f t="shared" si="0"/>
        <v>0</v>
      </c>
      <c r="N19" s="6">
        <f t="shared" si="2"/>
        <v>0</v>
      </c>
      <c r="O19" s="57">
        <f t="shared" si="3"/>
        <v>0</v>
      </c>
      <c r="P19" s="58">
        <f t="shared" si="4"/>
        <v>0</v>
      </c>
      <c r="Q19" s="2">
        <f t="shared" si="5"/>
        <v>0</v>
      </c>
    </row>
    <row r="20" spans="1:17">
      <c r="A20">
        <f t="shared" ref="A20:A31" si="6">A19+1</f>
        <v>4</v>
      </c>
      <c r="B20" s="52"/>
      <c r="C20" s="55"/>
      <c r="D20" s="55"/>
      <c r="E20" s="55"/>
      <c r="F20" s="55"/>
      <c r="G20" s="53"/>
      <c r="H20" s="46"/>
      <c r="I20" s="46"/>
      <c r="J20" s="143"/>
      <c r="K20" s="46"/>
      <c r="L20" s="141">
        <f t="shared" si="1"/>
        <v>10</v>
      </c>
      <c r="M20" s="6">
        <f t="shared" si="0"/>
        <v>0</v>
      </c>
      <c r="N20" s="6">
        <f t="shared" si="2"/>
        <v>0</v>
      </c>
      <c r="O20" s="57">
        <f t="shared" si="3"/>
        <v>0</v>
      </c>
      <c r="P20" s="58">
        <f t="shared" si="4"/>
        <v>0</v>
      </c>
      <c r="Q20" s="2">
        <f t="shared" si="5"/>
        <v>0</v>
      </c>
    </row>
    <row r="21" spans="1:17">
      <c r="A21">
        <f t="shared" si="6"/>
        <v>5</v>
      </c>
      <c r="B21" s="52"/>
      <c r="C21" s="55"/>
      <c r="D21" s="46"/>
      <c r="E21" s="46"/>
      <c r="F21" s="46"/>
      <c r="G21" s="53"/>
      <c r="H21" s="46"/>
      <c r="I21" s="46"/>
      <c r="J21" s="143"/>
      <c r="K21" s="46"/>
      <c r="L21" s="141">
        <f t="shared" si="1"/>
        <v>10</v>
      </c>
      <c r="M21" s="6">
        <f t="shared" si="0"/>
        <v>0</v>
      </c>
      <c r="N21" s="6">
        <f t="shared" si="2"/>
        <v>0</v>
      </c>
      <c r="O21" s="57">
        <f t="shared" si="3"/>
        <v>0</v>
      </c>
      <c r="P21" s="58">
        <f t="shared" si="4"/>
        <v>0</v>
      </c>
      <c r="Q21" s="2">
        <f t="shared" si="5"/>
        <v>0</v>
      </c>
    </row>
    <row r="22" spans="1:17">
      <c r="A22">
        <f t="shared" si="6"/>
        <v>6</v>
      </c>
      <c r="B22" s="52"/>
      <c r="C22" s="46"/>
      <c r="D22" s="46"/>
      <c r="E22" s="46"/>
      <c r="F22" s="46"/>
      <c r="G22" s="53"/>
      <c r="H22" s="46"/>
      <c r="I22" s="46"/>
      <c r="J22" s="143"/>
      <c r="K22" s="46"/>
      <c r="L22" s="141">
        <f t="shared" si="1"/>
        <v>10</v>
      </c>
      <c r="M22" s="6">
        <f t="shared" si="0"/>
        <v>0</v>
      </c>
      <c r="N22" s="6">
        <f t="shared" si="2"/>
        <v>0</v>
      </c>
      <c r="O22" s="57">
        <f t="shared" si="3"/>
        <v>0</v>
      </c>
      <c r="P22" s="58">
        <f t="shared" si="4"/>
        <v>0</v>
      </c>
      <c r="Q22" s="2">
        <f t="shared" si="5"/>
        <v>0</v>
      </c>
    </row>
    <row r="23" spans="1:17">
      <c r="A23">
        <f t="shared" si="6"/>
        <v>7</v>
      </c>
      <c r="B23" s="52"/>
      <c r="C23" s="46"/>
      <c r="D23" s="46"/>
      <c r="E23" s="46"/>
      <c r="F23" s="46"/>
      <c r="G23" s="53"/>
      <c r="H23" s="46"/>
      <c r="I23" s="46"/>
      <c r="J23" s="143"/>
      <c r="K23" s="46"/>
      <c r="L23" s="141">
        <f t="shared" si="1"/>
        <v>10</v>
      </c>
      <c r="M23" s="6">
        <f t="shared" si="0"/>
        <v>0</v>
      </c>
      <c r="N23" s="6">
        <f t="shared" si="2"/>
        <v>0</v>
      </c>
      <c r="O23" s="57">
        <f t="shared" si="3"/>
        <v>0</v>
      </c>
      <c r="P23" s="58">
        <f t="shared" si="4"/>
        <v>0</v>
      </c>
      <c r="Q23" s="2">
        <f t="shared" si="5"/>
        <v>0</v>
      </c>
    </row>
    <row r="24" spans="1:17">
      <c r="A24">
        <f t="shared" si="6"/>
        <v>8</v>
      </c>
      <c r="B24" s="52"/>
      <c r="C24" s="46"/>
      <c r="D24" s="46"/>
      <c r="E24" s="46"/>
      <c r="F24" s="46"/>
      <c r="G24" s="53"/>
      <c r="H24" s="46"/>
      <c r="I24" s="46"/>
      <c r="J24" s="143"/>
      <c r="K24" s="46"/>
      <c r="L24" s="141">
        <f t="shared" si="1"/>
        <v>10</v>
      </c>
      <c r="M24" s="6">
        <f t="shared" si="0"/>
        <v>0</v>
      </c>
      <c r="N24" s="6">
        <f t="shared" si="2"/>
        <v>0</v>
      </c>
      <c r="O24" s="57">
        <f t="shared" si="3"/>
        <v>0</v>
      </c>
      <c r="P24" s="58">
        <f t="shared" si="4"/>
        <v>0</v>
      </c>
      <c r="Q24" s="2">
        <f t="shared" si="5"/>
        <v>0</v>
      </c>
    </row>
    <row r="25" spans="1:17">
      <c r="A25">
        <f t="shared" si="6"/>
        <v>9</v>
      </c>
      <c r="B25" s="52"/>
      <c r="C25" s="46"/>
      <c r="D25" s="46"/>
      <c r="E25" s="46"/>
      <c r="F25" s="46"/>
      <c r="G25" s="53"/>
      <c r="H25" s="46"/>
      <c r="I25" s="46"/>
      <c r="J25" s="143"/>
      <c r="K25" s="46"/>
      <c r="L25" s="141">
        <f t="shared" si="1"/>
        <v>10</v>
      </c>
      <c r="M25" s="6">
        <f t="shared" si="0"/>
        <v>0</v>
      </c>
      <c r="N25" s="6">
        <f t="shared" si="2"/>
        <v>0</v>
      </c>
      <c r="O25" s="57">
        <f t="shared" si="3"/>
        <v>0</v>
      </c>
      <c r="P25" s="58">
        <f t="shared" si="4"/>
        <v>0</v>
      </c>
      <c r="Q25" s="2">
        <f t="shared" si="5"/>
        <v>0</v>
      </c>
    </row>
    <row r="26" spans="1:17">
      <c r="A26">
        <f t="shared" si="6"/>
        <v>10</v>
      </c>
      <c r="B26" s="52"/>
      <c r="C26" s="46"/>
      <c r="D26" s="46"/>
      <c r="E26" s="46"/>
      <c r="F26" s="46"/>
      <c r="G26" s="53"/>
      <c r="H26" s="46"/>
      <c r="I26" s="46"/>
      <c r="J26" s="143"/>
      <c r="K26" s="46"/>
      <c r="L26" s="141">
        <f t="shared" si="1"/>
        <v>10</v>
      </c>
      <c r="M26" s="6">
        <f t="shared" si="0"/>
        <v>0</v>
      </c>
      <c r="N26" s="6">
        <f t="shared" si="2"/>
        <v>0</v>
      </c>
      <c r="O26" s="57">
        <f t="shared" si="3"/>
        <v>0</v>
      </c>
      <c r="P26" s="58">
        <f t="shared" si="4"/>
        <v>0</v>
      </c>
      <c r="Q26" s="2">
        <f t="shared" si="5"/>
        <v>0</v>
      </c>
    </row>
    <row r="27" spans="1:17">
      <c r="A27">
        <f t="shared" si="6"/>
        <v>11</v>
      </c>
      <c r="B27" s="52"/>
      <c r="C27" s="46"/>
      <c r="D27" s="46"/>
      <c r="E27" s="46"/>
      <c r="F27" s="46"/>
      <c r="G27" s="53"/>
      <c r="H27" s="46"/>
      <c r="I27" s="46"/>
      <c r="J27" s="143"/>
      <c r="K27" s="46"/>
      <c r="L27" s="141">
        <f t="shared" si="1"/>
        <v>10</v>
      </c>
      <c r="M27" s="6">
        <f t="shared" si="0"/>
        <v>0</v>
      </c>
      <c r="N27" s="6">
        <f t="shared" si="2"/>
        <v>0</v>
      </c>
      <c r="O27" s="57">
        <f t="shared" si="3"/>
        <v>0</v>
      </c>
      <c r="P27" s="58">
        <f t="shared" si="4"/>
        <v>0</v>
      </c>
      <c r="Q27" s="2">
        <f t="shared" si="5"/>
        <v>0</v>
      </c>
    </row>
    <row r="28" spans="1:17">
      <c r="A28">
        <f t="shared" si="6"/>
        <v>12</v>
      </c>
      <c r="B28" s="52"/>
      <c r="C28" s="46"/>
      <c r="D28" s="46"/>
      <c r="E28" s="46"/>
      <c r="F28" s="46"/>
      <c r="G28" s="53"/>
      <c r="H28" s="46"/>
      <c r="I28" s="46"/>
      <c r="J28" s="143"/>
      <c r="K28" s="46"/>
      <c r="L28" s="141">
        <f t="shared" si="1"/>
        <v>10</v>
      </c>
      <c r="M28" s="6">
        <f t="shared" si="0"/>
        <v>0</v>
      </c>
      <c r="N28" s="6">
        <f t="shared" si="2"/>
        <v>0</v>
      </c>
      <c r="O28" s="57">
        <f t="shared" si="3"/>
        <v>0</v>
      </c>
      <c r="P28" s="58">
        <f t="shared" si="4"/>
        <v>0</v>
      </c>
      <c r="Q28" s="2">
        <f t="shared" si="5"/>
        <v>0</v>
      </c>
    </row>
    <row r="29" spans="1:17">
      <c r="A29">
        <f t="shared" si="6"/>
        <v>13</v>
      </c>
      <c r="B29" s="34"/>
      <c r="C29" s="34"/>
      <c r="D29" s="34"/>
      <c r="E29" s="34"/>
      <c r="F29" s="34"/>
      <c r="G29" s="34"/>
      <c r="H29" s="34"/>
      <c r="I29" s="50" t="s">
        <v>32</v>
      </c>
      <c r="J29" s="144"/>
      <c r="K29" s="46"/>
      <c r="L29" s="141">
        <f t="shared" si="1"/>
        <v>10</v>
      </c>
      <c r="M29" s="6">
        <f t="shared" si="0"/>
        <v>0</v>
      </c>
      <c r="N29" s="6">
        <f t="shared" si="2"/>
        <v>0</v>
      </c>
      <c r="O29" s="57">
        <f t="shared" si="3"/>
        <v>0</v>
      </c>
      <c r="P29" s="58">
        <f t="shared" si="4"/>
        <v>0</v>
      </c>
      <c r="Q29" s="2">
        <f t="shared" si="5"/>
        <v>0</v>
      </c>
    </row>
    <row r="30" spans="1:17">
      <c r="A30">
        <f t="shared" si="6"/>
        <v>14</v>
      </c>
      <c r="M30" s="6">
        <f>K30*L30</f>
        <v>0</v>
      </c>
      <c r="N30" s="6">
        <f t="shared" si="2"/>
        <v>0</v>
      </c>
      <c r="O30" s="57">
        <f t="shared" si="3"/>
        <v>0</v>
      </c>
      <c r="P30" s="58">
        <f t="shared" si="4"/>
        <v>0</v>
      </c>
      <c r="Q30" s="2">
        <f t="shared" si="5"/>
        <v>0</v>
      </c>
    </row>
    <row r="31" spans="1:17">
      <c r="A31">
        <f t="shared" si="6"/>
        <v>15</v>
      </c>
      <c r="M31" s="6">
        <f>K31*L31</f>
        <v>0</v>
      </c>
      <c r="N31" s="6">
        <f t="shared" si="2"/>
        <v>0</v>
      </c>
      <c r="O31" s="57">
        <f t="shared" si="3"/>
        <v>0</v>
      </c>
      <c r="P31" s="58">
        <f t="shared" si="4"/>
        <v>0</v>
      </c>
      <c r="Q31" s="2">
        <f t="shared" si="5"/>
        <v>0</v>
      </c>
    </row>
    <row r="32" spans="1:17" ht="15.75" thickBot="1">
      <c r="I32" s="137" t="s">
        <v>102</v>
      </c>
      <c r="J32" s="146">
        <f>SUM(J17:J31)</f>
        <v>0</v>
      </c>
      <c r="M32" s="7">
        <f>SUM(M17:M31)</f>
        <v>0</v>
      </c>
      <c r="N32" s="7">
        <f>SUM(N17:N31)</f>
        <v>0</v>
      </c>
      <c r="O32" s="7">
        <f>SUM(O17:O31)</f>
        <v>0</v>
      </c>
      <c r="P32" s="8">
        <f>SUM(P17:P31)</f>
        <v>0</v>
      </c>
      <c r="Q32" s="8">
        <f>SUM(Q17:Q31)</f>
        <v>0</v>
      </c>
    </row>
    <row r="33" spans="13:17" ht="15.75" thickTop="1"/>
    <row r="34" spans="13:17">
      <c r="M34" s="38"/>
    </row>
    <row r="37" spans="13:17">
      <c r="N37" s="42" t="s">
        <v>36</v>
      </c>
      <c r="O37" s="2">
        <f>IF($P$32&lt;0, $N$32+$P$32, N32)</f>
        <v>0</v>
      </c>
      <c r="P37" s="142"/>
      <c r="Q37" s="2" t="s">
        <v>43</v>
      </c>
    </row>
    <row r="38" spans="13:17">
      <c r="N38" s="42" t="s">
        <v>35</v>
      </c>
      <c r="O38" s="41">
        <f>O32</f>
        <v>0</v>
      </c>
      <c r="P38" s="43" t="s">
        <v>104</v>
      </c>
      <c r="Q38" s="2" t="s">
        <v>43</v>
      </c>
    </row>
    <row r="39" spans="13:17">
      <c r="N39" s="42" t="s">
        <v>37</v>
      </c>
      <c r="O39" s="2">
        <f>IF($P$32&lt;0, "",$P$32)</f>
        <v>0</v>
      </c>
      <c r="P39" s="48"/>
      <c r="Q39" s="2" t="s">
        <v>42</v>
      </c>
    </row>
    <row r="40" spans="13:17" ht="15.75" thickBot="1">
      <c r="O40" s="44">
        <f>SUM(O37:O39)</f>
        <v>0</v>
      </c>
    </row>
    <row r="41" spans="13:17" ht="15.75" thickTop="1"/>
  </sheetData>
  <mergeCells count="3">
    <mergeCell ref="N15:P15"/>
    <mergeCell ref="B14:C14"/>
    <mergeCell ref="D8:H8"/>
  </mergeCells>
  <phoneticPr fontId="0" type="noConversion"/>
  <dataValidations count="1">
    <dataValidation type="list" allowBlank="1" showInputMessage="1" showErrorMessage="1" sqref="D12:D14">
      <formula1>"Yes, No"</formula1>
    </dataValidation>
  </dataValidations>
  <printOptions gridLines="1"/>
  <pageMargins left="0.7" right="0.7" top="0.75" bottom="0.75" header="0.3" footer="0.3"/>
  <pageSetup scale="4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zoomScaleNormal="100" workbookViewId="0">
      <selection activeCell="D18" sqref="D18"/>
    </sheetView>
  </sheetViews>
  <sheetFormatPr defaultRowHeight="15"/>
  <cols>
    <col min="2" max="2" width="24" customWidth="1"/>
    <col min="3" max="3" width="18.140625" customWidth="1"/>
    <col min="4" max="4" width="14.140625" customWidth="1"/>
    <col min="6" max="6" width="21.7109375" customWidth="1"/>
    <col min="7" max="7" width="17" customWidth="1"/>
    <col min="8" max="8" width="12.5703125" customWidth="1"/>
    <col min="10" max="10" width="17.5703125" customWidth="1"/>
    <col min="11" max="11" width="12.28515625" customWidth="1"/>
    <col min="12" max="12" width="18.7109375" customWidth="1"/>
    <col min="14" max="14" width="15.28515625" customWidth="1"/>
    <col min="15" max="15" width="13.5703125" customWidth="1"/>
  </cols>
  <sheetData>
    <row r="1" spans="1:8" ht="18.75">
      <c r="A1" s="54" t="s">
        <v>50</v>
      </c>
    </row>
    <row r="3" spans="1:8" ht="30" customHeight="1">
      <c r="A3" s="154" t="s">
        <v>41</v>
      </c>
      <c r="B3" s="154"/>
      <c r="C3" s="154"/>
      <c r="D3" s="154"/>
      <c r="E3" s="154"/>
      <c r="F3" s="154"/>
      <c r="G3" s="154"/>
      <c r="H3" s="154"/>
    </row>
    <row r="4" spans="1:8">
      <c r="A4" s="1"/>
    </row>
    <row r="6" spans="1:8">
      <c r="B6" s="151" t="s">
        <v>15</v>
      </c>
      <c r="C6" s="152"/>
      <c r="D6" s="153"/>
      <c r="F6" s="151" t="s">
        <v>23</v>
      </c>
      <c r="G6" s="152"/>
      <c r="H6" s="153"/>
    </row>
    <row r="7" spans="1:8">
      <c r="A7" s="1"/>
      <c r="B7" s="24" t="s">
        <v>16</v>
      </c>
      <c r="C7" s="24" t="s">
        <v>17</v>
      </c>
      <c r="D7" s="24" t="s">
        <v>18</v>
      </c>
      <c r="F7" s="24" t="s">
        <v>16</v>
      </c>
      <c r="G7" s="24" t="s">
        <v>17</v>
      </c>
      <c r="H7" s="24" t="s">
        <v>18</v>
      </c>
    </row>
    <row r="8" spans="1:8">
      <c r="A8">
        <v>1</v>
      </c>
      <c r="B8" s="55"/>
      <c r="C8" s="55"/>
      <c r="D8" s="46"/>
      <c r="E8">
        <v>1</v>
      </c>
      <c r="F8" s="46"/>
      <c r="G8" s="46"/>
      <c r="H8" s="46"/>
    </row>
    <row r="9" spans="1:8">
      <c r="A9">
        <v>2</v>
      </c>
      <c r="B9" s="46"/>
      <c r="C9" s="46"/>
      <c r="D9" s="46"/>
      <c r="E9">
        <v>2</v>
      </c>
      <c r="F9" s="46"/>
      <c r="G9" s="46"/>
      <c r="H9" s="46"/>
    </row>
    <row r="10" spans="1:8">
      <c r="A10">
        <v>3</v>
      </c>
      <c r="B10" s="46"/>
      <c r="C10" s="46"/>
      <c r="D10" s="46"/>
      <c r="E10">
        <v>3</v>
      </c>
      <c r="F10" s="46"/>
      <c r="G10" s="46"/>
      <c r="H10" s="46"/>
    </row>
    <row r="11" spans="1:8">
      <c r="A11">
        <v>4</v>
      </c>
      <c r="B11" s="46"/>
      <c r="C11" s="46"/>
      <c r="D11" s="46"/>
      <c r="E11">
        <v>4</v>
      </c>
      <c r="F11" s="46"/>
      <c r="G11" s="46"/>
      <c r="H11" s="46"/>
    </row>
    <row r="12" spans="1:8">
      <c r="A12">
        <v>5</v>
      </c>
      <c r="B12" s="46"/>
      <c r="C12" s="46"/>
      <c r="D12" s="46"/>
      <c r="E12">
        <v>5</v>
      </c>
      <c r="F12" s="46"/>
      <c r="G12" s="46"/>
      <c r="H12" s="46"/>
    </row>
    <row r="13" spans="1:8">
      <c r="D13" s="25">
        <f>SUM(D8:D10)</f>
        <v>0</v>
      </c>
      <c r="H13" s="25">
        <f>SUM(H8:H10)</f>
        <v>0</v>
      </c>
    </row>
    <row r="16" spans="1:8">
      <c r="B16" s="151" t="s">
        <v>20</v>
      </c>
      <c r="C16" s="152"/>
      <c r="D16" s="153"/>
    </row>
    <row r="17" spans="1:8">
      <c r="B17" s="24" t="s">
        <v>16</v>
      </c>
      <c r="C17" s="24" t="s">
        <v>17</v>
      </c>
      <c r="D17" s="24" t="s">
        <v>18</v>
      </c>
    </row>
    <row r="18" spans="1:8">
      <c r="A18">
        <v>1</v>
      </c>
      <c r="B18" s="46"/>
      <c r="C18" s="46"/>
      <c r="D18" s="47"/>
    </row>
    <row r="19" spans="1:8">
      <c r="A19">
        <v>2</v>
      </c>
      <c r="B19" s="46"/>
      <c r="C19" s="46"/>
      <c r="D19" s="46"/>
    </row>
    <row r="20" spans="1:8">
      <c r="A20">
        <v>3</v>
      </c>
      <c r="B20" s="46"/>
      <c r="C20" s="46"/>
      <c r="D20" s="46"/>
    </row>
    <row r="21" spans="1:8">
      <c r="A21">
        <v>4</v>
      </c>
      <c r="B21" s="46"/>
      <c r="C21" s="46"/>
      <c r="D21" s="46"/>
    </row>
    <row r="22" spans="1:8">
      <c r="A22">
        <v>5</v>
      </c>
      <c r="B22" s="46"/>
      <c r="C22" s="46"/>
      <c r="D22" s="46"/>
    </row>
    <row r="23" spans="1:8">
      <c r="D23" s="25">
        <f>SUM(D18:D20)</f>
        <v>0</v>
      </c>
      <c r="G23" s="23" t="s">
        <v>30</v>
      </c>
      <c r="H23" s="48">
        <v>0</v>
      </c>
    </row>
    <row r="25" spans="1:8">
      <c r="B25" s="2"/>
      <c r="G25" s="23" t="s">
        <v>40</v>
      </c>
      <c r="H25" s="49">
        <f>H23+H13+D13+D23</f>
        <v>0</v>
      </c>
    </row>
    <row r="27" spans="1:8">
      <c r="G27" s="23" t="s">
        <v>29</v>
      </c>
      <c r="H27" s="32">
        <f>Income!O32</f>
        <v>0</v>
      </c>
    </row>
    <row r="28" spans="1:8">
      <c r="H28" s="22"/>
    </row>
    <row r="29" spans="1:8" ht="15.75" thickBot="1">
      <c r="G29" s="23" t="s">
        <v>19</v>
      </c>
      <c r="H29" s="26">
        <f>H25+H27</f>
        <v>0</v>
      </c>
    </row>
    <row r="30" spans="1:8" ht="15.75" thickTop="1"/>
  </sheetData>
  <mergeCells count="4">
    <mergeCell ref="B16:D16"/>
    <mergeCell ref="B6:D6"/>
    <mergeCell ref="F6:H6"/>
    <mergeCell ref="A3:H3"/>
  </mergeCells>
  <phoneticPr fontId="0" type="noConversion"/>
  <pageMargins left="0.7" right="0.7" top="0.75" bottom="0.75" header="0.3" footer="0.3"/>
  <pageSetup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1"/>
  <sheetViews>
    <sheetView topLeftCell="A7" workbookViewId="0">
      <selection activeCell="E17" sqref="E17"/>
    </sheetView>
  </sheetViews>
  <sheetFormatPr defaultRowHeight="15"/>
  <cols>
    <col min="2" max="2" width="26.7109375" customWidth="1"/>
    <col min="3" max="3" width="11.5703125" customWidth="1"/>
    <col min="4" max="4" width="14" customWidth="1"/>
    <col min="5" max="5" width="35.42578125" customWidth="1"/>
    <col min="6" max="6" width="26" customWidth="1"/>
    <col min="7" max="7" width="13.7109375" customWidth="1"/>
    <col min="8" max="8" width="5.42578125" customWidth="1"/>
    <col min="9" max="9" width="6.85546875" customWidth="1"/>
    <col min="10" max="10" width="12.42578125" bestFit="1" customWidth="1"/>
  </cols>
  <sheetData>
    <row r="1" spans="1:18" ht="18.75">
      <c r="A1" s="54" t="s">
        <v>96</v>
      </c>
    </row>
    <row r="3" spans="1:18" ht="22.5" customHeight="1">
      <c r="A3" s="155" t="s">
        <v>95</v>
      </c>
      <c r="B3" s="155"/>
      <c r="C3" s="155"/>
      <c r="D3" s="155"/>
      <c r="E3" s="155"/>
      <c r="F3" s="155"/>
      <c r="G3" s="155"/>
      <c r="H3" s="155"/>
      <c r="I3" s="155"/>
      <c r="J3" s="155"/>
    </row>
    <row r="5" spans="1:18" ht="21" customHeight="1" thickBot="1">
      <c r="A5" s="68" t="s">
        <v>85</v>
      </c>
    </row>
    <row r="6" spans="1:18" ht="21" customHeight="1" thickTop="1" thickBot="1">
      <c r="A6" s="68"/>
      <c r="C6" s="156" t="s">
        <v>71</v>
      </c>
      <c r="D6" s="157"/>
      <c r="E6" s="156" t="s">
        <v>72</v>
      </c>
      <c r="F6" s="158"/>
      <c r="G6" s="158"/>
      <c r="H6" s="158"/>
      <c r="I6" s="158"/>
      <c r="J6" s="157"/>
      <c r="K6" s="127"/>
    </row>
    <row r="7" spans="1:18" s="1" customFormat="1" ht="67.5" customHeight="1" thickTop="1">
      <c r="B7" s="9" t="s">
        <v>62</v>
      </c>
      <c r="C7" s="83" t="s">
        <v>66</v>
      </c>
      <c r="D7" s="84" t="s">
        <v>63</v>
      </c>
      <c r="E7" s="83" t="s">
        <v>64</v>
      </c>
      <c r="F7" s="67" t="s">
        <v>0</v>
      </c>
      <c r="G7" s="9" t="s">
        <v>1</v>
      </c>
      <c r="H7" s="9" t="s">
        <v>2</v>
      </c>
      <c r="I7" s="9" t="s">
        <v>3</v>
      </c>
      <c r="J7" s="93" t="s">
        <v>78</v>
      </c>
      <c r="K7" s="128"/>
      <c r="L7" s="70"/>
      <c r="M7" s="71"/>
      <c r="N7" s="71"/>
      <c r="O7" s="71"/>
      <c r="P7" s="71"/>
      <c r="Q7" s="69"/>
      <c r="R7" s="69"/>
    </row>
    <row r="8" spans="1:18">
      <c r="A8" t="s">
        <v>68</v>
      </c>
      <c r="B8" s="114" t="s">
        <v>69</v>
      </c>
      <c r="C8" s="115">
        <v>4.87</v>
      </c>
      <c r="D8" s="116" t="s">
        <v>70</v>
      </c>
      <c r="E8" s="117"/>
      <c r="F8" s="118"/>
      <c r="G8" s="118"/>
      <c r="H8" s="118"/>
      <c r="I8" s="119"/>
      <c r="J8" s="121"/>
      <c r="K8" s="129"/>
      <c r="L8" s="72"/>
      <c r="M8" s="73"/>
      <c r="N8" s="73"/>
      <c r="O8" s="74"/>
      <c r="P8" s="79"/>
      <c r="Q8" s="75"/>
      <c r="R8" s="13"/>
    </row>
    <row r="9" spans="1:18">
      <c r="A9" t="s">
        <v>68</v>
      </c>
      <c r="B9" s="114" t="s">
        <v>73</v>
      </c>
      <c r="C9" s="115"/>
      <c r="D9" s="116"/>
      <c r="E9" s="122" t="s">
        <v>77</v>
      </c>
      <c r="F9" s="123" t="s">
        <v>74</v>
      </c>
      <c r="G9" s="123" t="s">
        <v>75</v>
      </c>
      <c r="H9" s="123" t="s">
        <v>76</v>
      </c>
      <c r="I9" s="119">
        <v>78626</v>
      </c>
      <c r="J9" s="121">
        <v>25</v>
      </c>
      <c r="K9" s="129"/>
      <c r="L9" s="72"/>
      <c r="M9" s="73"/>
      <c r="N9" s="73"/>
      <c r="O9" s="74"/>
      <c r="P9" s="79"/>
      <c r="Q9" s="75"/>
      <c r="R9" s="13"/>
    </row>
    <row r="10" spans="1:18">
      <c r="A10">
        <v>1</v>
      </c>
      <c r="B10" s="112"/>
      <c r="C10" s="85"/>
      <c r="D10" s="86"/>
      <c r="E10" s="94"/>
      <c r="F10" s="95"/>
      <c r="G10" s="95"/>
      <c r="H10" s="95"/>
      <c r="I10" s="96"/>
      <c r="J10" s="104"/>
      <c r="K10" s="129"/>
      <c r="L10" s="72"/>
      <c r="M10" s="73"/>
      <c r="N10" s="73"/>
      <c r="O10" s="74"/>
      <c r="P10" s="79"/>
      <c r="Q10" s="75"/>
      <c r="R10" s="13"/>
    </row>
    <row r="11" spans="1:18">
      <c r="A11">
        <f>A10+1</f>
        <v>2</v>
      </c>
      <c r="B11" s="112"/>
      <c r="C11" s="85"/>
      <c r="D11" s="87"/>
      <c r="E11" s="94"/>
      <c r="F11" s="95"/>
      <c r="G11" s="95"/>
      <c r="H11" s="95"/>
      <c r="I11" s="96"/>
      <c r="J11" s="104"/>
      <c r="K11" s="129"/>
      <c r="L11" s="72"/>
      <c r="M11" s="73"/>
      <c r="N11" s="73"/>
      <c r="O11" s="74"/>
      <c r="P11" s="79"/>
      <c r="Q11" s="75"/>
      <c r="R11" s="13"/>
    </row>
    <row r="12" spans="1:18">
      <c r="A12">
        <f>A11+1</f>
        <v>3</v>
      </c>
      <c r="B12" s="112"/>
      <c r="C12" s="85"/>
      <c r="D12" s="87"/>
      <c r="E12" s="94"/>
      <c r="F12" s="95"/>
      <c r="G12" s="95"/>
      <c r="H12" s="95"/>
      <c r="I12" s="96"/>
      <c r="J12" s="104"/>
      <c r="K12" s="129"/>
      <c r="L12" s="72"/>
      <c r="M12" s="73"/>
      <c r="N12" s="73"/>
      <c r="O12" s="74"/>
      <c r="P12" s="79"/>
      <c r="Q12" s="75"/>
      <c r="R12" s="13"/>
    </row>
    <row r="13" spans="1:18">
      <c r="A13">
        <f t="shared" ref="A13:A28" si="0">A12+1</f>
        <v>4</v>
      </c>
      <c r="B13" s="112"/>
      <c r="C13" s="85"/>
      <c r="D13" s="87"/>
      <c r="E13" s="94"/>
      <c r="F13" s="95"/>
      <c r="G13" s="95"/>
      <c r="H13" s="95"/>
      <c r="I13" s="96"/>
      <c r="J13" s="104"/>
      <c r="K13" s="129"/>
      <c r="L13" s="72"/>
      <c r="M13" s="73"/>
      <c r="N13" s="73"/>
      <c r="O13" s="74"/>
      <c r="P13" s="79"/>
      <c r="Q13" s="75"/>
      <c r="R13" s="13"/>
    </row>
    <row r="14" spans="1:18">
      <c r="A14">
        <f t="shared" si="0"/>
        <v>5</v>
      </c>
      <c r="B14" s="112"/>
      <c r="C14" s="85"/>
      <c r="D14" s="87"/>
      <c r="E14" s="98"/>
      <c r="F14" s="97"/>
      <c r="G14" s="97"/>
      <c r="H14" s="97"/>
      <c r="I14" s="96"/>
      <c r="J14" s="104"/>
      <c r="K14" s="129"/>
      <c r="L14" s="72"/>
      <c r="M14" s="73"/>
      <c r="N14" s="73"/>
      <c r="O14" s="74"/>
      <c r="P14" s="79"/>
      <c r="Q14" s="75"/>
      <c r="R14" s="13"/>
    </row>
    <row r="15" spans="1:18">
      <c r="A15">
        <f t="shared" si="0"/>
        <v>6</v>
      </c>
      <c r="B15" s="112"/>
      <c r="C15" s="88"/>
      <c r="D15" s="89"/>
      <c r="E15" s="98"/>
      <c r="F15" s="97"/>
      <c r="G15" s="97"/>
      <c r="H15" s="97"/>
      <c r="I15" s="96"/>
      <c r="J15" s="104"/>
      <c r="K15" s="129"/>
      <c r="L15" s="72"/>
      <c r="M15" s="73"/>
      <c r="N15" s="73"/>
      <c r="O15" s="74"/>
      <c r="P15" s="79"/>
      <c r="Q15" s="75"/>
      <c r="R15" s="13"/>
    </row>
    <row r="16" spans="1:18">
      <c r="A16">
        <f t="shared" si="0"/>
        <v>7</v>
      </c>
      <c r="B16" s="112"/>
      <c r="C16" s="88"/>
      <c r="D16" s="89"/>
      <c r="E16" s="98"/>
      <c r="F16" s="97"/>
      <c r="G16" s="97"/>
      <c r="H16" s="97"/>
      <c r="I16" s="96"/>
      <c r="J16" s="104"/>
      <c r="K16" s="129"/>
      <c r="L16" s="72"/>
      <c r="M16" s="73"/>
      <c r="N16" s="73"/>
      <c r="O16" s="74"/>
      <c r="P16" s="79"/>
      <c r="Q16" s="75"/>
      <c r="R16" s="13"/>
    </row>
    <row r="17" spans="1:18">
      <c r="A17">
        <f t="shared" si="0"/>
        <v>8</v>
      </c>
      <c r="B17" s="112"/>
      <c r="C17" s="88"/>
      <c r="D17" s="89"/>
      <c r="E17" s="98"/>
      <c r="F17" s="97"/>
      <c r="G17" s="97"/>
      <c r="H17" s="97"/>
      <c r="I17" s="96"/>
      <c r="J17" s="104"/>
      <c r="K17" s="129"/>
      <c r="L17" s="72"/>
      <c r="M17" s="73"/>
      <c r="N17" s="73"/>
      <c r="O17" s="74"/>
      <c r="P17" s="79"/>
      <c r="Q17" s="75"/>
      <c r="R17" s="13"/>
    </row>
    <row r="18" spans="1:18">
      <c r="A18">
        <f t="shared" si="0"/>
        <v>9</v>
      </c>
      <c r="B18" s="112"/>
      <c r="C18" s="88"/>
      <c r="D18" s="89"/>
      <c r="E18" s="98"/>
      <c r="F18" s="97"/>
      <c r="G18" s="97"/>
      <c r="H18" s="97"/>
      <c r="I18" s="96"/>
      <c r="J18" s="104"/>
      <c r="K18" s="129"/>
      <c r="L18" s="72"/>
      <c r="M18" s="73"/>
      <c r="N18" s="73"/>
      <c r="O18" s="74"/>
      <c r="P18" s="79"/>
      <c r="Q18" s="75"/>
      <c r="R18" s="13"/>
    </row>
    <row r="19" spans="1:18">
      <c r="A19">
        <f t="shared" si="0"/>
        <v>10</v>
      </c>
      <c r="B19" s="112"/>
      <c r="C19" s="88"/>
      <c r="D19" s="89"/>
      <c r="E19" s="98"/>
      <c r="F19" s="97"/>
      <c r="G19" s="97"/>
      <c r="H19" s="97"/>
      <c r="I19" s="96"/>
      <c r="J19" s="104"/>
      <c r="K19" s="129"/>
      <c r="L19" s="72"/>
      <c r="M19" s="73"/>
      <c r="N19" s="73"/>
      <c r="O19" s="74"/>
      <c r="P19" s="79"/>
      <c r="Q19" s="75"/>
      <c r="R19" s="13"/>
    </row>
    <row r="20" spans="1:18">
      <c r="A20">
        <f t="shared" si="0"/>
        <v>11</v>
      </c>
      <c r="B20" s="112"/>
      <c r="C20" s="88"/>
      <c r="D20" s="89"/>
      <c r="E20" s="98"/>
      <c r="F20" s="97"/>
      <c r="G20" s="97"/>
      <c r="H20" s="97"/>
      <c r="I20" s="96"/>
      <c r="J20" s="104"/>
      <c r="K20" s="129"/>
      <c r="L20" s="72"/>
      <c r="M20" s="73"/>
      <c r="N20" s="73"/>
      <c r="O20" s="74"/>
      <c r="P20" s="79"/>
      <c r="Q20" s="75"/>
      <c r="R20" s="13"/>
    </row>
    <row r="21" spans="1:18">
      <c r="A21">
        <f t="shared" si="0"/>
        <v>12</v>
      </c>
      <c r="B21" s="112"/>
      <c r="C21" s="88"/>
      <c r="D21" s="89"/>
      <c r="E21" s="98"/>
      <c r="F21" s="97"/>
      <c r="G21" s="97"/>
      <c r="H21" s="97"/>
      <c r="I21" s="96"/>
      <c r="J21" s="104"/>
      <c r="K21" s="129"/>
      <c r="L21" s="72"/>
      <c r="M21" s="73"/>
      <c r="N21" s="73"/>
      <c r="O21" s="74"/>
      <c r="P21" s="79"/>
      <c r="Q21" s="75"/>
      <c r="R21" s="13"/>
    </row>
    <row r="22" spans="1:18">
      <c r="A22">
        <f t="shared" si="0"/>
        <v>13</v>
      </c>
      <c r="B22" s="112"/>
      <c r="C22" s="88"/>
      <c r="D22" s="89"/>
      <c r="E22" s="98"/>
      <c r="F22" s="97"/>
      <c r="G22" s="97"/>
      <c r="H22" s="97"/>
      <c r="I22" s="96"/>
      <c r="J22" s="104"/>
      <c r="K22" s="129"/>
      <c r="L22" s="72"/>
      <c r="M22" s="73"/>
      <c r="N22" s="73"/>
      <c r="O22" s="74"/>
      <c r="P22" s="79"/>
      <c r="Q22" s="75"/>
      <c r="R22" s="13"/>
    </row>
    <row r="23" spans="1:18">
      <c r="A23">
        <f t="shared" si="0"/>
        <v>14</v>
      </c>
      <c r="B23" s="112"/>
      <c r="C23" s="88"/>
      <c r="D23" s="89"/>
      <c r="E23" s="98"/>
      <c r="F23" s="97"/>
      <c r="G23" s="97"/>
      <c r="H23" s="97"/>
      <c r="I23" s="96"/>
      <c r="J23" s="104"/>
      <c r="K23" s="129"/>
      <c r="L23" s="72"/>
      <c r="M23" s="73"/>
      <c r="N23" s="73"/>
      <c r="O23" s="74"/>
      <c r="P23" s="79"/>
      <c r="Q23" s="75"/>
      <c r="R23" s="13"/>
    </row>
    <row r="24" spans="1:18">
      <c r="A24">
        <f t="shared" si="0"/>
        <v>15</v>
      </c>
      <c r="B24" s="112"/>
      <c r="C24" s="88"/>
      <c r="D24" s="89"/>
      <c r="E24" s="98"/>
      <c r="F24" s="97"/>
      <c r="G24" s="97"/>
      <c r="H24" s="97"/>
      <c r="I24" s="96"/>
      <c r="J24" s="104"/>
      <c r="K24" s="129"/>
      <c r="L24" s="72"/>
      <c r="M24" s="73"/>
      <c r="N24" s="73"/>
      <c r="O24" s="74"/>
      <c r="P24" s="79"/>
      <c r="Q24" s="75"/>
      <c r="R24" s="13"/>
    </row>
    <row r="25" spans="1:18">
      <c r="A25">
        <f t="shared" si="0"/>
        <v>16</v>
      </c>
      <c r="B25" s="112"/>
      <c r="C25" s="88"/>
      <c r="D25" s="89"/>
      <c r="E25" s="98"/>
      <c r="F25" s="97"/>
      <c r="G25" s="97"/>
      <c r="H25" s="97"/>
      <c r="I25" s="96"/>
      <c r="J25" s="104"/>
      <c r="K25" s="129"/>
      <c r="L25" s="72"/>
      <c r="M25" s="73"/>
      <c r="N25" s="73"/>
      <c r="O25" s="74"/>
      <c r="P25" s="79"/>
      <c r="Q25" s="75"/>
      <c r="R25" s="13"/>
    </row>
    <row r="26" spans="1:18">
      <c r="A26">
        <f t="shared" si="0"/>
        <v>17</v>
      </c>
      <c r="B26" s="112"/>
      <c r="C26" s="88"/>
      <c r="D26" s="89"/>
      <c r="E26" s="98"/>
      <c r="F26" s="97"/>
      <c r="G26" s="97"/>
      <c r="H26" s="97"/>
      <c r="I26" s="96"/>
      <c r="J26" s="104"/>
      <c r="K26" s="129"/>
      <c r="L26" s="72"/>
      <c r="M26" s="73"/>
      <c r="N26" s="73"/>
      <c r="O26" s="74"/>
      <c r="P26" s="79"/>
      <c r="Q26" s="75"/>
      <c r="R26" s="13"/>
    </row>
    <row r="27" spans="1:18">
      <c r="A27">
        <f t="shared" si="0"/>
        <v>18</v>
      </c>
      <c r="B27" s="112"/>
      <c r="C27" s="88"/>
      <c r="D27" s="89"/>
      <c r="E27" s="98"/>
      <c r="F27" s="97"/>
      <c r="G27" s="97"/>
      <c r="H27" s="97"/>
      <c r="I27" s="96"/>
      <c r="J27" s="104"/>
      <c r="K27" s="129"/>
      <c r="L27" s="72"/>
      <c r="M27" s="73"/>
      <c r="N27" s="73"/>
      <c r="O27" s="74"/>
      <c r="P27" s="79"/>
      <c r="Q27" s="75"/>
      <c r="R27" s="13"/>
    </row>
    <row r="28" spans="1:18">
      <c r="A28">
        <f t="shared" si="0"/>
        <v>19</v>
      </c>
      <c r="B28" s="112"/>
      <c r="C28" s="88"/>
      <c r="D28" s="89"/>
      <c r="E28" s="98"/>
      <c r="F28" s="97"/>
      <c r="G28" s="97"/>
      <c r="H28" s="97"/>
      <c r="I28" s="96"/>
      <c r="J28" s="104"/>
      <c r="K28" s="129"/>
      <c r="L28" s="72"/>
      <c r="M28" s="73"/>
      <c r="N28" s="73"/>
      <c r="O28" s="74"/>
      <c r="P28" s="79"/>
      <c r="Q28" s="75"/>
      <c r="R28" s="13"/>
    </row>
    <row r="29" spans="1:18" ht="15.75" thickBot="1">
      <c r="A29">
        <f>A28+1</f>
        <v>20</v>
      </c>
      <c r="B29" s="112"/>
      <c r="C29" s="90"/>
      <c r="D29" s="91"/>
      <c r="E29" s="99"/>
      <c r="F29" s="100"/>
      <c r="G29" s="100"/>
      <c r="H29" s="100"/>
      <c r="I29" s="101"/>
      <c r="J29" s="105"/>
      <c r="K29" s="129"/>
      <c r="L29" s="72"/>
      <c r="M29" s="73"/>
      <c r="N29" s="73"/>
      <c r="O29" s="74"/>
      <c r="P29" s="79"/>
      <c r="Q29" s="75"/>
      <c r="R29" s="13"/>
    </row>
    <row r="30" spans="1:18" s="76" customFormat="1" ht="15.75" thickTop="1">
      <c r="B30" s="140" t="s">
        <v>97</v>
      </c>
      <c r="C30" s="82">
        <f>SUM(C8:C29)</f>
        <v>4.87</v>
      </c>
      <c r="D30" s="77"/>
      <c r="E30" s="77"/>
      <c r="F30" s="77"/>
      <c r="G30" s="77"/>
      <c r="H30" s="77"/>
      <c r="I30" s="92"/>
      <c r="J30" s="139">
        <f>SUM(J9:J29)</f>
        <v>25</v>
      </c>
      <c r="K30" s="77"/>
      <c r="L30" s="78"/>
      <c r="M30" s="73"/>
      <c r="N30" s="73"/>
      <c r="O30" s="74"/>
      <c r="P30" s="79"/>
      <c r="Q30" s="80"/>
      <c r="R30" s="81"/>
    </row>
    <row r="31" spans="1:18" s="76" customFormat="1">
      <c r="B31" s="138"/>
      <c r="C31" s="82"/>
      <c r="D31" s="77"/>
      <c r="E31" s="77"/>
      <c r="F31" s="77"/>
      <c r="G31" s="77"/>
      <c r="H31" s="77"/>
      <c r="I31" s="92"/>
      <c r="J31" s="77"/>
      <c r="K31" s="77"/>
      <c r="L31" s="78"/>
      <c r="M31" s="73"/>
      <c r="N31" s="73"/>
      <c r="O31" s="74"/>
      <c r="P31" s="79"/>
      <c r="Q31" s="80"/>
      <c r="R31" s="81"/>
    </row>
    <row r="32" spans="1:18" ht="20.25" customHeight="1" thickBot="1">
      <c r="A32" s="68" t="s">
        <v>67</v>
      </c>
    </row>
    <row r="33" spans="1:17" s="1" customFormat="1" ht="67.5" customHeight="1" thickTop="1">
      <c r="B33" s="9" t="s">
        <v>65</v>
      </c>
      <c r="C33" s="106" t="s">
        <v>86</v>
      </c>
      <c r="D33" s="107" t="s">
        <v>90</v>
      </c>
      <c r="E33" s="107" t="s">
        <v>79</v>
      </c>
      <c r="F33" s="107" t="s">
        <v>0</v>
      </c>
      <c r="G33" s="108" t="s">
        <v>1</v>
      </c>
      <c r="H33" s="108" t="s">
        <v>2</v>
      </c>
      <c r="I33" s="108" t="s">
        <v>3</v>
      </c>
      <c r="J33" s="126" t="s">
        <v>88</v>
      </c>
      <c r="K33" s="109" t="s">
        <v>87</v>
      </c>
      <c r="L33" s="125"/>
      <c r="M33" s="71"/>
      <c r="N33" s="71"/>
      <c r="O33" s="71"/>
      <c r="P33" s="71"/>
    </row>
    <row r="34" spans="1:17">
      <c r="A34" t="s">
        <v>68</v>
      </c>
      <c r="B34" s="113" t="s">
        <v>69</v>
      </c>
      <c r="C34" s="115">
        <v>10</v>
      </c>
      <c r="D34" s="131">
        <f t="shared" ref="D34:D54" si="1">C8</f>
        <v>4.87</v>
      </c>
      <c r="E34" s="122" t="s">
        <v>80</v>
      </c>
      <c r="F34" s="123" t="s">
        <v>81</v>
      </c>
      <c r="G34" s="123" t="s">
        <v>75</v>
      </c>
      <c r="H34" s="123" t="s">
        <v>76</v>
      </c>
      <c r="I34" s="119">
        <v>78628</v>
      </c>
      <c r="J34" s="120" t="s">
        <v>34</v>
      </c>
      <c r="K34" s="124">
        <v>5798</v>
      </c>
      <c r="L34" s="51"/>
      <c r="M34" s="73"/>
      <c r="N34" s="73"/>
      <c r="O34" s="74"/>
      <c r="P34" s="79"/>
      <c r="Q34" s="31"/>
    </row>
    <row r="35" spans="1:17">
      <c r="A35" t="s">
        <v>68</v>
      </c>
      <c r="B35" s="113" t="s">
        <v>73</v>
      </c>
      <c r="C35" s="115">
        <v>40</v>
      </c>
      <c r="D35" s="131">
        <f t="shared" si="1"/>
        <v>0</v>
      </c>
      <c r="E35" s="122" t="s">
        <v>82</v>
      </c>
      <c r="F35" s="123" t="s">
        <v>83</v>
      </c>
      <c r="G35" s="123" t="s">
        <v>84</v>
      </c>
      <c r="H35" s="123" t="s">
        <v>76</v>
      </c>
      <c r="I35" s="119">
        <v>76527</v>
      </c>
      <c r="J35" s="120" t="s">
        <v>89</v>
      </c>
      <c r="K35" s="124"/>
      <c r="L35" s="51"/>
      <c r="M35" s="73"/>
      <c r="N35" s="73"/>
      <c r="O35" s="74"/>
      <c r="P35" s="79"/>
      <c r="Q35" s="31"/>
    </row>
    <row r="36" spans="1:17">
      <c r="A36">
        <v>1</v>
      </c>
      <c r="B36" s="114">
        <f t="shared" ref="B36:B55" si="2">B10</f>
        <v>0</v>
      </c>
      <c r="C36" s="85"/>
      <c r="D36" s="131">
        <f t="shared" si="1"/>
        <v>0</v>
      </c>
      <c r="E36" s="94"/>
      <c r="F36" s="95"/>
      <c r="G36" s="95"/>
      <c r="H36" s="95"/>
      <c r="I36" s="96"/>
      <c r="J36" s="46" t="s">
        <v>89</v>
      </c>
      <c r="K36" s="110"/>
      <c r="L36" s="51"/>
      <c r="M36" s="73"/>
      <c r="N36" s="73"/>
      <c r="O36" s="74"/>
      <c r="P36" s="79"/>
      <c r="Q36" s="31"/>
    </row>
    <row r="37" spans="1:17">
      <c r="A37">
        <f>A36+1</f>
        <v>2</v>
      </c>
      <c r="B37" s="114">
        <f t="shared" si="2"/>
        <v>0</v>
      </c>
      <c r="C37" s="85"/>
      <c r="D37" s="131">
        <f t="shared" si="1"/>
        <v>0</v>
      </c>
      <c r="E37" s="94"/>
      <c r="F37" s="95"/>
      <c r="G37" s="95"/>
      <c r="H37" s="95"/>
      <c r="I37" s="96"/>
      <c r="J37" s="46" t="s">
        <v>89</v>
      </c>
      <c r="K37" s="110"/>
      <c r="L37" s="51"/>
      <c r="M37" s="73"/>
      <c r="N37" s="73"/>
      <c r="O37" s="74"/>
      <c r="P37" s="79"/>
      <c r="Q37" s="31"/>
    </row>
    <row r="38" spans="1:17">
      <c r="A38">
        <f>A37+1</f>
        <v>3</v>
      </c>
      <c r="B38" s="114">
        <f t="shared" si="2"/>
        <v>0</v>
      </c>
      <c r="C38" s="85"/>
      <c r="D38" s="131">
        <f t="shared" si="1"/>
        <v>0</v>
      </c>
      <c r="E38" s="94"/>
      <c r="F38" s="95"/>
      <c r="G38" s="95"/>
      <c r="H38" s="95"/>
      <c r="I38" s="96"/>
      <c r="J38" s="46" t="s">
        <v>89</v>
      </c>
      <c r="K38" s="110"/>
      <c r="L38" s="51"/>
      <c r="M38" s="73"/>
      <c r="N38" s="73"/>
      <c r="O38" s="74"/>
      <c r="P38" s="79"/>
      <c r="Q38" s="31"/>
    </row>
    <row r="39" spans="1:17">
      <c r="A39">
        <f t="shared" ref="A39:A55" si="3">A38+1</f>
        <v>4</v>
      </c>
      <c r="B39" s="114">
        <f t="shared" si="2"/>
        <v>0</v>
      </c>
      <c r="C39" s="85"/>
      <c r="D39" s="131">
        <f t="shared" si="1"/>
        <v>0</v>
      </c>
      <c r="E39" s="94"/>
      <c r="F39" s="95"/>
      <c r="G39" s="95"/>
      <c r="H39" s="95"/>
      <c r="I39" s="96"/>
      <c r="J39" s="46" t="s">
        <v>89</v>
      </c>
      <c r="K39" s="110"/>
      <c r="L39" s="51"/>
      <c r="M39" s="73"/>
      <c r="N39" s="73"/>
      <c r="O39" s="74"/>
      <c r="P39" s="79"/>
      <c r="Q39" s="31"/>
    </row>
    <row r="40" spans="1:17">
      <c r="A40">
        <f t="shared" si="3"/>
        <v>5</v>
      </c>
      <c r="B40" s="114">
        <f t="shared" si="2"/>
        <v>0</v>
      </c>
      <c r="C40" s="85"/>
      <c r="D40" s="131">
        <f t="shared" si="1"/>
        <v>0</v>
      </c>
      <c r="E40" s="98"/>
      <c r="F40" s="97"/>
      <c r="G40" s="97"/>
      <c r="H40" s="97"/>
      <c r="I40" s="96"/>
      <c r="J40" s="46" t="s">
        <v>89</v>
      </c>
      <c r="K40" s="110"/>
      <c r="L40" s="51"/>
      <c r="M40" s="73"/>
      <c r="N40" s="73"/>
      <c r="O40" s="74"/>
      <c r="P40" s="79"/>
      <c r="Q40" s="31"/>
    </row>
    <row r="41" spans="1:17">
      <c r="A41">
        <f t="shared" si="3"/>
        <v>6</v>
      </c>
      <c r="B41" s="114">
        <f t="shared" si="2"/>
        <v>0</v>
      </c>
      <c r="C41" s="88"/>
      <c r="D41" s="131">
        <f t="shared" si="1"/>
        <v>0</v>
      </c>
      <c r="E41" s="98"/>
      <c r="F41" s="97"/>
      <c r="G41" s="97"/>
      <c r="H41" s="97"/>
      <c r="I41" s="96"/>
      <c r="J41" s="46" t="s">
        <v>89</v>
      </c>
      <c r="K41" s="110"/>
      <c r="L41" s="51"/>
      <c r="M41" s="73"/>
      <c r="N41" s="73"/>
      <c r="O41" s="74"/>
      <c r="P41" s="79"/>
      <c r="Q41" s="31"/>
    </row>
    <row r="42" spans="1:17">
      <c r="A42">
        <f t="shared" si="3"/>
        <v>7</v>
      </c>
      <c r="B42" s="114">
        <f t="shared" si="2"/>
        <v>0</v>
      </c>
      <c r="C42" s="88"/>
      <c r="D42" s="131">
        <f t="shared" si="1"/>
        <v>0</v>
      </c>
      <c r="E42" s="98"/>
      <c r="F42" s="97"/>
      <c r="G42" s="97"/>
      <c r="H42" s="97"/>
      <c r="I42" s="96"/>
      <c r="J42" s="46" t="s">
        <v>89</v>
      </c>
      <c r="K42" s="110"/>
      <c r="L42" s="51"/>
      <c r="M42" s="73"/>
      <c r="N42" s="73"/>
      <c r="O42" s="74"/>
      <c r="P42" s="79"/>
      <c r="Q42" s="31"/>
    </row>
    <row r="43" spans="1:17">
      <c r="A43">
        <f t="shared" si="3"/>
        <v>8</v>
      </c>
      <c r="B43" s="114">
        <f t="shared" si="2"/>
        <v>0</v>
      </c>
      <c r="C43" s="88"/>
      <c r="D43" s="131">
        <f t="shared" si="1"/>
        <v>0</v>
      </c>
      <c r="E43" s="98"/>
      <c r="F43" s="97"/>
      <c r="G43" s="97"/>
      <c r="H43" s="97"/>
      <c r="I43" s="96"/>
      <c r="J43" s="46" t="s">
        <v>89</v>
      </c>
      <c r="K43" s="110"/>
      <c r="L43" s="51"/>
      <c r="M43" s="73"/>
      <c r="N43" s="73"/>
      <c r="O43" s="74"/>
      <c r="P43" s="79"/>
      <c r="Q43" s="31"/>
    </row>
    <row r="44" spans="1:17">
      <c r="A44">
        <f t="shared" si="3"/>
        <v>9</v>
      </c>
      <c r="B44" s="114">
        <f t="shared" si="2"/>
        <v>0</v>
      </c>
      <c r="C44" s="88"/>
      <c r="D44" s="131">
        <f t="shared" si="1"/>
        <v>0</v>
      </c>
      <c r="E44" s="98"/>
      <c r="F44" s="97"/>
      <c r="G44" s="97"/>
      <c r="H44" s="97"/>
      <c r="I44" s="96"/>
      <c r="J44" s="46" t="s">
        <v>89</v>
      </c>
      <c r="K44" s="110"/>
      <c r="L44" s="51"/>
      <c r="M44" s="73"/>
      <c r="N44" s="73"/>
      <c r="O44" s="74"/>
      <c r="P44" s="79"/>
      <c r="Q44" s="31"/>
    </row>
    <row r="45" spans="1:17">
      <c r="A45">
        <f t="shared" si="3"/>
        <v>10</v>
      </c>
      <c r="B45" s="114">
        <f t="shared" si="2"/>
        <v>0</v>
      </c>
      <c r="C45" s="88"/>
      <c r="D45" s="131">
        <f t="shared" si="1"/>
        <v>0</v>
      </c>
      <c r="E45" s="98"/>
      <c r="F45" s="97"/>
      <c r="G45" s="97"/>
      <c r="H45" s="97"/>
      <c r="I45" s="96"/>
      <c r="J45" s="46" t="s">
        <v>89</v>
      </c>
      <c r="K45" s="110"/>
      <c r="L45" s="51"/>
      <c r="M45" s="73"/>
      <c r="N45" s="73"/>
      <c r="O45" s="74"/>
      <c r="P45" s="79"/>
      <c r="Q45" s="31"/>
    </row>
    <row r="46" spans="1:17">
      <c r="A46">
        <f t="shared" si="3"/>
        <v>11</v>
      </c>
      <c r="B46" s="114">
        <f t="shared" si="2"/>
        <v>0</v>
      </c>
      <c r="C46" s="88"/>
      <c r="D46" s="131">
        <f t="shared" si="1"/>
        <v>0</v>
      </c>
      <c r="E46" s="98"/>
      <c r="F46" s="97"/>
      <c r="G46" s="97"/>
      <c r="H46" s="97"/>
      <c r="I46" s="96"/>
      <c r="J46" s="46" t="s">
        <v>89</v>
      </c>
      <c r="K46" s="110"/>
      <c r="L46" s="51"/>
      <c r="M46" s="73"/>
      <c r="N46" s="73"/>
      <c r="O46" s="74"/>
      <c r="P46" s="79"/>
      <c r="Q46" s="31"/>
    </row>
    <row r="47" spans="1:17">
      <c r="A47">
        <f t="shared" si="3"/>
        <v>12</v>
      </c>
      <c r="B47" s="114">
        <f t="shared" si="2"/>
        <v>0</v>
      </c>
      <c r="C47" s="88"/>
      <c r="D47" s="131">
        <f t="shared" si="1"/>
        <v>0</v>
      </c>
      <c r="E47" s="98"/>
      <c r="F47" s="97"/>
      <c r="G47" s="97"/>
      <c r="H47" s="97"/>
      <c r="I47" s="96"/>
      <c r="J47" s="46" t="s">
        <v>89</v>
      </c>
      <c r="K47" s="110"/>
      <c r="M47" s="73"/>
      <c r="N47" s="73"/>
      <c r="O47" s="74"/>
      <c r="P47" s="79"/>
      <c r="Q47" s="31"/>
    </row>
    <row r="48" spans="1:17">
      <c r="A48">
        <f t="shared" si="3"/>
        <v>13</v>
      </c>
      <c r="B48" s="114">
        <f t="shared" si="2"/>
        <v>0</v>
      </c>
      <c r="C48" s="88"/>
      <c r="D48" s="131">
        <f t="shared" si="1"/>
        <v>0</v>
      </c>
      <c r="E48" s="98"/>
      <c r="F48" s="97"/>
      <c r="G48" s="97"/>
      <c r="H48" s="97"/>
      <c r="I48" s="96"/>
      <c r="J48" s="46" t="s">
        <v>89</v>
      </c>
      <c r="K48" s="110"/>
      <c r="M48" s="73"/>
      <c r="N48" s="73"/>
      <c r="O48" s="74"/>
      <c r="P48" s="79"/>
      <c r="Q48" s="31"/>
    </row>
    <row r="49" spans="1:18">
      <c r="A49">
        <f t="shared" si="3"/>
        <v>14</v>
      </c>
      <c r="B49" s="114">
        <f t="shared" si="2"/>
        <v>0</v>
      </c>
      <c r="C49" s="88"/>
      <c r="D49" s="131">
        <f t="shared" si="1"/>
        <v>0</v>
      </c>
      <c r="E49" s="98"/>
      <c r="F49" s="97"/>
      <c r="G49" s="97"/>
      <c r="H49" s="97"/>
      <c r="I49" s="96"/>
      <c r="J49" s="46" t="s">
        <v>89</v>
      </c>
      <c r="K49" s="110"/>
      <c r="M49" s="4"/>
      <c r="N49" s="4"/>
      <c r="O49" s="4"/>
      <c r="P49" s="4"/>
      <c r="Q49" s="3"/>
      <c r="R49" t="s">
        <v>34</v>
      </c>
    </row>
    <row r="50" spans="1:18">
      <c r="A50">
        <f t="shared" si="3"/>
        <v>15</v>
      </c>
      <c r="B50" s="114">
        <f t="shared" si="2"/>
        <v>0</v>
      </c>
      <c r="C50" s="88"/>
      <c r="D50" s="131">
        <f t="shared" si="1"/>
        <v>0</v>
      </c>
      <c r="E50" s="98"/>
      <c r="F50" s="97"/>
      <c r="G50" s="97"/>
      <c r="H50" s="97"/>
      <c r="I50" s="96"/>
      <c r="J50" s="46" t="s">
        <v>89</v>
      </c>
      <c r="K50" s="110"/>
    </row>
    <row r="51" spans="1:18">
      <c r="A51">
        <f t="shared" si="3"/>
        <v>16</v>
      </c>
      <c r="B51" s="114">
        <f t="shared" si="2"/>
        <v>0</v>
      </c>
      <c r="C51" s="88"/>
      <c r="D51" s="131">
        <f t="shared" si="1"/>
        <v>0</v>
      </c>
      <c r="E51" s="98"/>
      <c r="F51" s="97"/>
      <c r="G51" s="97"/>
      <c r="H51" s="97"/>
      <c r="I51" s="96"/>
      <c r="J51" s="46" t="s">
        <v>89</v>
      </c>
      <c r="K51" s="110"/>
    </row>
    <row r="52" spans="1:18">
      <c r="A52">
        <f t="shared" si="3"/>
        <v>17</v>
      </c>
      <c r="B52" s="114">
        <f t="shared" si="2"/>
        <v>0</v>
      </c>
      <c r="C52" s="88"/>
      <c r="D52" s="131">
        <f t="shared" si="1"/>
        <v>0</v>
      </c>
      <c r="E52" s="98"/>
      <c r="F52" s="97"/>
      <c r="G52" s="97"/>
      <c r="H52" s="97"/>
      <c r="I52" s="96"/>
      <c r="J52" s="46" t="s">
        <v>89</v>
      </c>
      <c r="K52" s="110"/>
    </row>
    <row r="53" spans="1:18">
      <c r="A53">
        <f t="shared" si="3"/>
        <v>18</v>
      </c>
      <c r="B53" s="114">
        <f t="shared" si="2"/>
        <v>0</v>
      </c>
      <c r="C53" s="88"/>
      <c r="D53" s="131">
        <f t="shared" si="1"/>
        <v>0</v>
      </c>
      <c r="E53" s="98"/>
      <c r="F53" s="97"/>
      <c r="G53" s="97"/>
      <c r="H53" s="97"/>
      <c r="I53" s="96"/>
      <c r="J53" s="46" t="s">
        <v>89</v>
      </c>
      <c r="K53" s="110"/>
    </row>
    <row r="54" spans="1:18">
      <c r="A54">
        <f t="shared" si="3"/>
        <v>19</v>
      </c>
      <c r="B54" s="114">
        <f t="shared" si="2"/>
        <v>0</v>
      </c>
      <c r="C54" s="88"/>
      <c r="D54" s="131">
        <f t="shared" si="1"/>
        <v>0</v>
      </c>
      <c r="E54" s="98"/>
      <c r="F54" s="97"/>
      <c r="G54" s="97"/>
      <c r="H54" s="97"/>
      <c r="I54" s="96"/>
      <c r="J54" s="46" t="s">
        <v>89</v>
      </c>
      <c r="K54" s="110"/>
    </row>
    <row r="55" spans="1:18" ht="15.75" thickBot="1">
      <c r="A55">
        <f t="shared" si="3"/>
        <v>20</v>
      </c>
      <c r="B55" s="114">
        <f t="shared" si="2"/>
        <v>0</v>
      </c>
      <c r="C55" s="130"/>
      <c r="D55" s="131">
        <f t="shared" ref="D55" si="4">C29</f>
        <v>0</v>
      </c>
      <c r="E55" s="99"/>
      <c r="F55" s="100"/>
      <c r="G55" s="100"/>
      <c r="H55" s="100"/>
      <c r="I55" s="101"/>
      <c r="J55" s="100" t="s">
        <v>89</v>
      </c>
      <c r="K55" s="111"/>
    </row>
    <row r="56" spans="1:18" ht="16.5" thickTop="1" thickBot="1">
      <c r="C56" s="135">
        <f>SUM(C36:C55)</f>
        <v>0</v>
      </c>
      <c r="D56" s="135">
        <f>SUM(D36:D55)</f>
        <v>0</v>
      </c>
    </row>
    <row r="57" spans="1:18" ht="15.75" thickBot="1"/>
    <row r="58" spans="1:18" ht="15.75" thickBot="1">
      <c r="C58" s="136" t="s">
        <v>91</v>
      </c>
      <c r="D58" s="132">
        <f>C56</f>
        <v>0</v>
      </c>
    </row>
    <row r="59" spans="1:18">
      <c r="C59" s="136" t="s">
        <v>92</v>
      </c>
      <c r="D59" s="133">
        <f>D56</f>
        <v>0</v>
      </c>
    </row>
    <row r="60" spans="1:18" ht="15.75" thickBot="1">
      <c r="C60" s="136" t="s">
        <v>93</v>
      </c>
      <c r="D60" s="134">
        <f>D58-D59</f>
        <v>0</v>
      </c>
      <c r="E60" s="137" t="s">
        <v>94</v>
      </c>
      <c r="F60" s="46"/>
    </row>
    <row r="61" spans="1:18" ht="15.75" thickTop="1"/>
  </sheetData>
  <mergeCells count="3">
    <mergeCell ref="A3:J3"/>
    <mergeCell ref="C6:D6"/>
    <mergeCell ref="E6:J6"/>
  </mergeCells>
  <dataValidations count="2">
    <dataValidation type="list" allowBlank="1" showInputMessage="1" showErrorMessage="1" sqref="J34:J35 J55">
      <formula1>"Cash, Check, CC"</formula1>
    </dataValidation>
    <dataValidation type="list" showInputMessage="1" showErrorMessage="1" sqref="J36:J54">
      <formula1>"Cash, Check, CC, "</formula1>
    </dataValidation>
  </dataValidations>
  <pageMargins left="0.18" right="0.22" top="0.26" bottom="0.21" header="0.3" footer="0.3"/>
  <pageSetup paperSize="5" fitToHeight="2" orientation="landscape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Summary</vt:lpstr>
      <vt:lpstr>Income</vt:lpstr>
      <vt:lpstr>Expenses</vt:lpstr>
      <vt:lpstr>Silent Auctions-Auctions</vt:lpstr>
      <vt:lpstr>Expenses!Print_Area</vt:lpstr>
      <vt:lpstr>'Silent Auctions-Auctions'!Print_Area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</dc:creator>
  <cp:lastModifiedBy>taylord</cp:lastModifiedBy>
  <cp:lastPrinted>2010-08-09T13:54:33Z</cp:lastPrinted>
  <dcterms:created xsi:type="dcterms:W3CDTF">2010-01-20T02:30:42Z</dcterms:created>
  <dcterms:modified xsi:type="dcterms:W3CDTF">2012-09-20T19:42:49Z</dcterms:modified>
</cp:coreProperties>
</file>