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" windowWidth="15195" windowHeight="8190" activeTab="1"/>
  </bookViews>
  <sheets>
    <sheet name="Residential" sheetId="1" r:id="rId1"/>
    <sheet name="Commercial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B44" i="2"/>
  <c r="D44" s="1"/>
  <c r="F44" s="1"/>
  <c r="H44" s="1"/>
  <c r="B42"/>
  <c r="D42" s="1"/>
  <c r="F42" s="1"/>
  <c r="H42" s="1"/>
  <c r="B40"/>
  <c r="D40" s="1"/>
  <c r="B39"/>
  <c r="D39" s="1"/>
  <c r="B35"/>
  <c r="D35" s="1"/>
  <c r="F35" s="1"/>
  <c r="H35" s="1"/>
  <c r="B34"/>
  <c r="D34" s="1"/>
  <c r="F34" s="1"/>
  <c r="H34" s="1"/>
  <c r="E33"/>
  <c r="E37" s="1"/>
  <c r="E48" s="1"/>
  <c r="B33"/>
  <c r="D33" s="1"/>
  <c r="D32"/>
  <c r="B32"/>
  <c r="B31"/>
  <c r="D31" s="1"/>
  <c r="B20"/>
  <c r="D20" s="1"/>
  <c r="F20" s="1"/>
  <c r="H20" s="1"/>
  <c r="B18"/>
  <c r="D18" s="1"/>
  <c r="F18" s="1"/>
  <c r="H18" s="1"/>
  <c r="B14"/>
  <c r="D14" s="1"/>
  <c r="F14" s="1"/>
  <c r="H14" s="1"/>
  <c r="B13"/>
  <c r="D13" s="1"/>
  <c r="F13" s="1"/>
  <c r="H13" s="1"/>
  <c r="E12"/>
  <c r="E16" s="1"/>
  <c r="E24" s="1"/>
  <c r="B12"/>
  <c r="D12" s="1"/>
  <c r="D11"/>
  <c r="B11"/>
  <c r="B10"/>
  <c r="D10" s="1"/>
  <c r="D9"/>
  <c r="B9"/>
  <c r="B8"/>
  <c r="D8" s="1"/>
  <c r="B44" i="1"/>
  <c r="D44" s="1"/>
  <c r="F44" s="1"/>
  <c r="H44" s="1"/>
  <c r="B42"/>
  <c r="D42" s="1"/>
  <c r="F42" s="1"/>
  <c r="H42" s="1"/>
  <c r="B40"/>
  <c r="D40" s="1"/>
  <c r="F40" s="1"/>
  <c r="B39"/>
  <c r="D39" s="1"/>
  <c r="F39" s="1"/>
  <c r="B35"/>
  <c r="D35" s="1"/>
  <c r="F35" s="1"/>
  <c r="H35" s="1"/>
  <c r="B34"/>
  <c r="D34" s="1"/>
  <c r="F34" s="1"/>
  <c r="H34" s="1"/>
  <c r="E33"/>
  <c r="E37" s="1"/>
  <c r="E48" s="1"/>
  <c r="D33"/>
  <c r="G33" s="1"/>
  <c r="B33"/>
  <c r="B32"/>
  <c r="D32" s="1"/>
  <c r="B31"/>
  <c r="D31" s="1"/>
  <c r="F31" s="1"/>
  <c r="B20"/>
  <c r="D20" s="1"/>
  <c r="F20" s="1"/>
  <c r="H20" s="1"/>
  <c r="B18"/>
  <c r="D18" s="1"/>
  <c r="F18" s="1"/>
  <c r="H18" s="1"/>
  <c r="B14"/>
  <c r="D14" s="1"/>
  <c r="F14" s="1"/>
  <c r="H14" s="1"/>
  <c r="B13"/>
  <c r="D13" s="1"/>
  <c r="F13" s="1"/>
  <c r="H13" s="1"/>
  <c r="E12"/>
  <c r="E16" s="1"/>
  <c r="E24" s="1"/>
  <c r="D12"/>
  <c r="G12" s="1"/>
  <c r="B12"/>
  <c r="B11"/>
  <c r="D11" s="1"/>
  <c r="B10"/>
  <c r="D10" s="1"/>
  <c r="F10" s="1"/>
  <c r="B9"/>
  <c r="D9" s="1"/>
  <c r="D8"/>
  <c r="F8" s="1"/>
  <c r="B8"/>
  <c r="F10" i="2" l="1"/>
  <c r="F33"/>
  <c r="F39"/>
  <c r="H39"/>
  <c r="F8"/>
  <c r="G16"/>
  <c r="G24" s="1"/>
  <c r="F12"/>
  <c r="H12" s="1"/>
  <c r="F31"/>
  <c r="G37"/>
  <c r="G48" s="1"/>
  <c r="F40"/>
  <c r="H40"/>
  <c r="F9"/>
  <c r="H9" s="1"/>
  <c r="F11"/>
  <c r="H11" s="1"/>
  <c r="F32"/>
  <c r="H32" s="1"/>
  <c r="G11" i="1"/>
  <c r="F11"/>
  <c r="H11" s="1"/>
  <c r="G32"/>
  <c r="F32"/>
  <c r="H32" s="1"/>
  <c r="G9"/>
  <c r="F9"/>
  <c r="H9" s="1"/>
  <c r="G8"/>
  <c r="G10"/>
  <c r="H10" s="1"/>
  <c r="F12"/>
  <c r="H12" s="1"/>
  <c r="G31"/>
  <c r="G37" s="1"/>
  <c r="G48" s="1"/>
  <c r="F33"/>
  <c r="H33" s="1"/>
  <c r="H39"/>
  <c r="H40"/>
  <c r="H33" i="2" l="1"/>
  <c r="H31"/>
  <c r="H37" s="1"/>
  <c r="H48" s="1"/>
  <c r="F37"/>
  <c r="F48" s="1"/>
  <c r="H8"/>
  <c r="F16"/>
  <c r="F24" s="1"/>
  <c r="H10"/>
  <c r="G16" i="1"/>
  <c r="G24" s="1"/>
  <c r="F37"/>
  <c r="F48" s="1"/>
  <c r="F16"/>
  <c r="F24" s="1"/>
  <c r="H31"/>
  <c r="H37" s="1"/>
  <c r="H48" s="1"/>
  <c r="H8"/>
  <c r="H16" s="1"/>
  <c r="H24" s="1"/>
  <c r="H16" i="2" l="1"/>
  <c r="H24" s="1"/>
</calcChain>
</file>

<file path=xl/sharedStrings.xml><?xml version="1.0" encoding="utf-8"?>
<sst xmlns="http://schemas.openxmlformats.org/spreadsheetml/2006/main" count="110" uniqueCount="33">
  <si>
    <t>Home Value</t>
  </si>
  <si>
    <t>2012  UNINCORPORATED DEKALB TAXES</t>
  </si>
  <si>
    <t>Taxing</t>
  </si>
  <si>
    <t>Gross</t>
  </si>
  <si>
    <t>Standard</t>
  </si>
  <si>
    <t>Net</t>
  </si>
  <si>
    <t>Millage</t>
  </si>
  <si>
    <t>Tax</t>
  </si>
  <si>
    <t>HOST</t>
  </si>
  <si>
    <t xml:space="preserve">Net Tax </t>
  </si>
  <si>
    <t>Authority</t>
  </si>
  <si>
    <t>Assess</t>
  </si>
  <si>
    <t>Exemption</t>
  </si>
  <si>
    <t>Credit</t>
  </si>
  <si>
    <t>Due</t>
  </si>
  <si>
    <t>County Operations</t>
  </si>
  <si>
    <t>Hospital</t>
  </si>
  <si>
    <t>Fire</t>
  </si>
  <si>
    <t>Police</t>
  </si>
  <si>
    <t>STD-Unincorporated</t>
  </si>
  <si>
    <t>County Bonds</t>
  </si>
  <si>
    <t>Parks Bonds</t>
  </si>
  <si>
    <t>Total County</t>
  </si>
  <si>
    <t>School Operations</t>
  </si>
  <si>
    <t>State Taxes</t>
  </si>
  <si>
    <t>Stormwater &amp; Streetlights</t>
  </si>
  <si>
    <t>Total Taxes</t>
  </si>
  <si>
    <t>2012 COUNTY &amp; DECATUR TAXES</t>
  </si>
  <si>
    <t>STD-Decatur</t>
  </si>
  <si>
    <t>Decatur</t>
  </si>
  <si>
    <t>Decatur Bond</t>
  </si>
  <si>
    <t>Stormwater</t>
  </si>
  <si>
    <t>Property Value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</si>
</sst>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_(* #,##0_);_(* \(#,##0\);_(* &quot;-&quot;??_);_(@_)"/>
    <numFmt numFmtId="165" formatCode="0.00000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164" fontId="0" fillId="2" borderId="0" xfId="1" applyNumberFormat="1" applyFont="1" applyFill="1"/>
    <xf numFmtId="0" fontId="2" fillId="3" borderId="0" xfId="0" applyFont="1" applyFill="1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1" applyNumberFormat="1" applyFont="1"/>
    <xf numFmtId="165" fontId="2" fillId="0" borderId="0" xfId="0" applyNumberFormat="1" applyFont="1"/>
    <xf numFmtId="43" fontId="2" fillId="0" borderId="0" xfId="1" applyNumberFormat="1" applyFont="1"/>
    <xf numFmtId="0" fontId="2" fillId="0" borderId="1" xfId="0" applyFont="1" applyFill="1" applyBorder="1"/>
    <xf numFmtId="0" fontId="2" fillId="0" borderId="2" xfId="0" applyFont="1" applyFill="1" applyBorder="1"/>
    <xf numFmtId="164" fontId="2" fillId="0" borderId="2" xfId="1" applyNumberFormat="1" applyFont="1" applyFill="1" applyBorder="1"/>
    <xf numFmtId="165" fontId="2" fillId="0" borderId="2" xfId="0" applyNumberFormat="1" applyFont="1" applyFill="1" applyBorder="1"/>
    <xf numFmtId="43" fontId="2" fillId="0" borderId="2" xfId="1" applyNumberFormat="1" applyFont="1" applyFill="1" applyBorder="1"/>
    <xf numFmtId="43" fontId="2" fillId="0" borderId="3" xfId="1" applyNumberFormat="1" applyFont="1" applyFill="1" applyBorder="1"/>
    <xf numFmtId="164" fontId="2" fillId="0" borderId="0" xfId="1" applyNumberFormat="1" applyFont="1" applyFill="1"/>
    <xf numFmtId="43" fontId="2" fillId="0" borderId="0" xfId="0" applyNumberFormat="1" applyFont="1"/>
    <xf numFmtId="43" fontId="2" fillId="0" borderId="2" xfId="0" applyNumberFormat="1" applyFont="1" applyFill="1" applyBorder="1"/>
    <xf numFmtId="43" fontId="2" fillId="0" borderId="3" xfId="0" applyNumberFormat="1" applyFont="1" applyFill="1" applyBorder="1"/>
    <xf numFmtId="0" fontId="2" fillId="0" borderId="0" xfId="0" applyFont="1" applyFill="1" applyBorder="1"/>
    <xf numFmtId="164" fontId="2" fillId="0" borderId="0" xfId="1" applyNumberFormat="1" applyFont="1" applyFill="1" applyBorder="1"/>
    <xf numFmtId="165" fontId="2" fillId="0" borderId="0" xfId="0" applyNumberFormat="1" applyFont="1" applyFill="1" applyBorder="1"/>
    <xf numFmtId="43" fontId="2" fillId="0" borderId="0" xfId="0" applyNumberFormat="1" applyFont="1" applyFill="1" applyBorder="1"/>
    <xf numFmtId="43" fontId="2" fillId="0" borderId="2" xfId="1" applyFont="1" applyFill="1" applyBorder="1"/>
    <xf numFmtId="43" fontId="2" fillId="0" borderId="0" xfId="1" applyNumberFormat="1" applyFont="1" applyFill="1" applyBorder="1"/>
    <xf numFmtId="0" fontId="2" fillId="0" borderId="4" xfId="0" applyFont="1" applyFill="1" applyBorder="1"/>
    <xf numFmtId="164" fontId="2" fillId="0" borderId="5" xfId="0" applyNumberFormat="1" applyFont="1" applyFill="1" applyBorder="1"/>
    <xf numFmtId="164" fontId="2" fillId="0" borderId="5" xfId="1" applyNumberFormat="1" applyFont="1" applyFill="1" applyBorder="1"/>
    <xf numFmtId="165" fontId="2" fillId="0" borderId="5" xfId="0" applyNumberFormat="1" applyFont="1" applyFill="1" applyBorder="1"/>
    <xf numFmtId="43" fontId="2" fillId="0" borderId="5" xfId="1" applyNumberFormat="1" applyFont="1" applyFill="1" applyBorder="1"/>
    <xf numFmtId="43" fontId="2" fillId="0" borderId="6" xfId="1" applyNumberFormat="1" applyFont="1" applyFill="1" applyBorder="1"/>
    <xf numFmtId="0" fontId="2" fillId="0" borderId="7" xfId="0" applyFont="1" applyFill="1" applyBorder="1"/>
    <xf numFmtId="164" fontId="2" fillId="0" borderId="8" xfId="0" applyNumberFormat="1" applyFont="1" applyFill="1" applyBorder="1"/>
    <xf numFmtId="164" fontId="2" fillId="0" borderId="8" xfId="1" applyNumberFormat="1" applyFont="1" applyFill="1" applyBorder="1"/>
    <xf numFmtId="165" fontId="2" fillId="0" borderId="8" xfId="0" applyNumberFormat="1" applyFont="1" applyFill="1" applyBorder="1"/>
    <xf numFmtId="43" fontId="2" fillId="0" borderId="8" xfId="1" applyNumberFormat="1" applyFont="1" applyFill="1" applyBorder="1"/>
    <xf numFmtId="43" fontId="2" fillId="0" borderId="9" xfId="1" applyNumberFormat="1" applyFont="1" applyFill="1" applyBorder="1"/>
    <xf numFmtId="0" fontId="2" fillId="0" borderId="1" xfId="0" applyFont="1" applyBorder="1"/>
    <xf numFmtId="164" fontId="2" fillId="0" borderId="2" xfId="1" applyNumberFormat="1" applyFont="1" applyBorder="1"/>
    <xf numFmtId="165" fontId="2" fillId="0" borderId="2" xfId="0" applyNumberFormat="1" applyFont="1" applyBorder="1"/>
    <xf numFmtId="43" fontId="2" fillId="0" borderId="2" xfId="0" applyNumberFormat="1" applyFont="1" applyBorder="1"/>
    <xf numFmtId="43" fontId="2" fillId="0" borderId="3" xfId="0" applyNumberFormat="1" applyFont="1" applyBorder="1"/>
    <xf numFmtId="0" fontId="3" fillId="0" borderId="0" xfId="0" applyFont="1"/>
    <xf numFmtId="43" fontId="4" fillId="0" borderId="0" xfId="0" applyNumberFormat="1" applyFont="1" applyFill="1" applyBorder="1"/>
    <xf numFmtId="0" fontId="0" fillId="0" borderId="0" xfId="0" applyBorder="1"/>
    <xf numFmtId="9" fontId="0" fillId="0" borderId="0" xfId="2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workbookViewId="0">
      <selection activeCell="E39" sqref="E39"/>
    </sheetView>
  </sheetViews>
  <sheetFormatPr defaultRowHeight="15"/>
  <cols>
    <col min="1" max="1" width="15.28515625" customWidth="1"/>
  </cols>
  <sheetData>
    <row r="1" spans="1:8">
      <c r="A1" t="s">
        <v>0</v>
      </c>
      <c r="C1" s="1">
        <v>300000</v>
      </c>
    </row>
    <row r="3" spans="1:8">
      <c r="A3" s="2"/>
      <c r="B3" s="2"/>
      <c r="C3" s="2" t="s">
        <v>1</v>
      </c>
      <c r="D3" s="2"/>
      <c r="E3" s="2"/>
      <c r="F3" s="2"/>
      <c r="G3" s="2"/>
      <c r="H3" s="2"/>
    </row>
    <row r="4" spans="1:8">
      <c r="A4" s="3"/>
      <c r="B4" s="3"/>
      <c r="C4" s="3"/>
      <c r="D4" s="3"/>
      <c r="E4" s="3"/>
      <c r="F4" s="3"/>
      <c r="G4" s="3"/>
      <c r="H4" s="3"/>
    </row>
    <row r="5" spans="1:8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</row>
    <row r="6" spans="1:8">
      <c r="A6" s="4" t="s">
        <v>10</v>
      </c>
      <c r="B6" s="4" t="s">
        <v>11</v>
      </c>
      <c r="C6" s="4" t="s">
        <v>12</v>
      </c>
      <c r="D6" s="4" t="s">
        <v>11</v>
      </c>
      <c r="E6" s="4"/>
      <c r="F6" s="4"/>
      <c r="G6" s="4" t="s">
        <v>13</v>
      </c>
      <c r="H6" s="4" t="s">
        <v>14</v>
      </c>
    </row>
    <row r="7" spans="1:8">
      <c r="A7" s="3"/>
      <c r="B7" s="3"/>
      <c r="C7" s="3"/>
      <c r="D7" s="3"/>
      <c r="E7" s="3"/>
      <c r="F7" s="3"/>
      <c r="G7" s="3"/>
      <c r="H7" s="3"/>
    </row>
    <row r="8" spans="1:8">
      <c r="A8" s="3" t="s">
        <v>15</v>
      </c>
      <c r="B8" s="5">
        <f>C$1*0.4</f>
        <v>120000</v>
      </c>
      <c r="C8" s="5">
        <v>10000</v>
      </c>
      <c r="D8" s="5">
        <f t="shared" ref="D8:D14" si="0">B8-C8</f>
        <v>110000</v>
      </c>
      <c r="E8" s="6">
        <v>1.043E-2</v>
      </c>
      <c r="F8" s="7">
        <f t="shared" ref="F8:F14" si="1">D8*E8</f>
        <v>1147.3</v>
      </c>
      <c r="G8" s="7">
        <f>(D8)*0.59*E8</f>
        <v>676.90700000000004</v>
      </c>
      <c r="H8" s="7">
        <f>F8-G8</f>
        <v>470.39299999999992</v>
      </c>
    </row>
    <row r="9" spans="1:8">
      <c r="A9" s="3" t="s">
        <v>16</v>
      </c>
      <c r="B9" s="5">
        <f t="shared" ref="B9:B14" si="2">C$1*0.4</f>
        <v>120000</v>
      </c>
      <c r="C9" s="5">
        <v>10000</v>
      </c>
      <c r="D9" s="5">
        <f t="shared" si="0"/>
        <v>110000</v>
      </c>
      <c r="E9" s="6">
        <v>9.3999999999999997E-4</v>
      </c>
      <c r="F9" s="7">
        <f t="shared" si="1"/>
        <v>103.39999999999999</v>
      </c>
      <c r="G9" s="7">
        <f>(D9)*0.59*E9</f>
        <v>61.006</v>
      </c>
      <c r="H9" s="7">
        <f t="shared" ref="H9:H14" si="3">F9-G9</f>
        <v>42.393999999999991</v>
      </c>
    </row>
    <row r="10" spans="1:8">
      <c r="A10" s="3" t="s">
        <v>17</v>
      </c>
      <c r="B10" s="5">
        <f t="shared" si="2"/>
        <v>120000</v>
      </c>
      <c r="C10" s="5">
        <v>10000</v>
      </c>
      <c r="D10" s="5">
        <f t="shared" si="0"/>
        <v>110000</v>
      </c>
      <c r="E10" s="6">
        <v>3.2499999999999999E-3</v>
      </c>
      <c r="F10" s="7">
        <f t="shared" si="1"/>
        <v>357.5</v>
      </c>
      <c r="G10" s="7">
        <f>(D10)*0.59*E10</f>
        <v>210.92499999999998</v>
      </c>
      <c r="H10" s="7">
        <f t="shared" si="3"/>
        <v>146.57500000000002</v>
      </c>
    </row>
    <row r="11" spans="1:8">
      <c r="A11" s="3" t="s">
        <v>18</v>
      </c>
      <c r="B11" s="5">
        <f t="shared" si="2"/>
        <v>120000</v>
      </c>
      <c r="C11" s="5">
        <v>10000</v>
      </c>
      <c r="D11" s="5">
        <f t="shared" si="0"/>
        <v>110000</v>
      </c>
      <c r="E11" s="6">
        <v>3.79E-3</v>
      </c>
      <c r="F11" s="7">
        <f t="shared" si="1"/>
        <v>416.9</v>
      </c>
      <c r="G11" s="7">
        <f>(D11)*0.59*E11</f>
        <v>245.971</v>
      </c>
      <c r="H11" s="7">
        <f t="shared" si="3"/>
        <v>170.92899999999997</v>
      </c>
    </row>
    <row r="12" spans="1:8">
      <c r="A12" s="3" t="s">
        <v>19</v>
      </c>
      <c r="B12" s="5">
        <f t="shared" si="2"/>
        <v>120000</v>
      </c>
      <c r="C12" s="5">
        <v>10000</v>
      </c>
      <c r="D12" s="5">
        <f t="shared" si="0"/>
        <v>110000</v>
      </c>
      <c r="E12" s="6">
        <f>0.00038</f>
        <v>3.8000000000000002E-4</v>
      </c>
      <c r="F12" s="7">
        <f t="shared" si="1"/>
        <v>41.800000000000004</v>
      </c>
      <c r="G12" s="7">
        <f>(D12)*0.59*E12</f>
        <v>24.662000000000003</v>
      </c>
      <c r="H12" s="7">
        <f t="shared" si="3"/>
        <v>17.138000000000002</v>
      </c>
    </row>
    <row r="13" spans="1:8">
      <c r="A13" s="3" t="s">
        <v>20</v>
      </c>
      <c r="B13" s="5">
        <f t="shared" si="2"/>
        <v>120000</v>
      </c>
      <c r="C13" s="5">
        <v>0</v>
      </c>
      <c r="D13" s="5">
        <f t="shared" si="0"/>
        <v>120000</v>
      </c>
      <c r="E13" s="6">
        <v>6.9999999999999999E-4</v>
      </c>
      <c r="F13" s="7">
        <f t="shared" si="1"/>
        <v>84</v>
      </c>
      <c r="G13" s="7">
        <v>0</v>
      </c>
      <c r="H13" s="7">
        <f t="shared" si="3"/>
        <v>84</v>
      </c>
    </row>
    <row r="14" spans="1:8">
      <c r="A14" s="3" t="s">
        <v>21</v>
      </c>
      <c r="B14" s="5">
        <f t="shared" si="2"/>
        <v>120000</v>
      </c>
      <c r="C14" s="5">
        <v>0</v>
      </c>
      <c r="D14" s="5">
        <f t="shared" si="0"/>
        <v>120000</v>
      </c>
      <c r="E14" s="6">
        <v>1.72E-3</v>
      </c>
      <c r="F14" s="7">
        <f t="shared" si="1"/>
        <v>206.4</v>
      </c>
      <c r="G14" s="7">
        <v>0</v>
      </c>
      <c r="H14" s="7">
        <f t="shared" si="3"/>
        <v>206.4</v>
      </c>
    </row>
    <row r="15" spans="1:8">
      <c r="A15" s="3"/>
      <c r="B15" s="3"/>
      <c r="C15" s="5"/>
      <c r="D15" s="3"/>
      <c r="E15" s="6"/>
      <c r="F15" s="7"/>
      <c r="G15" s="7"/>
      <c r="H15" s="7"/>
    </row>
    <row r="16" spans="1:8">
      <c r="A16" s="8" t="s">
        <v>22</v>
      </c>
      <c r="B16" s="9"/>
      <c r="C16" s="10"/>
      <c r="D16" s="9"/>
      <c r="E16" s="11">
        <f>SUM(E8:E14)</f>
        <v>2.1209999999999996E-2</v>
      </c>
      <c r="F16" s="12">
        <f>SUM(F8:F14)</f>
        <v>2357.3000000000002</v>
      </c>
      <c r="G16" s="12">
        <f>SUM(G8:G14)</f>
        <v>1219.471</v>
      </c>
      <c r="H16" s="13">
        <f>SUM(H8:H14)</f>
        <v>1137.829</v>
      </c>
    </row>
    <row r="17" spans="1:8">
      <c r="A17" s="3"/>
      <c r="B17" s="5"/>
      <c r="C17" s="5"/>
      <c r="D17" s="5"/>
      <c r="E17" s="6"/>
      <c r="F17" s="7"/>
      <c r="G17" s="7"/>
      <c r="H17" s="7"/>
    </row>
    <row r="18" spans="1:8">
      <c r="A18" s="8" t="s">
        <v>23</v>
      </c>
      <c r="B18" s="10">
        <f>C$1*0.4</f>
        <v>120000</v>
      </c>
      <c r="C18" s="10">
        <v>12500</v>
      </c>
      <c r="D18" s="10">
        <f>B18-C18</f>
        <v>107500</v>
      </c>
      <c r="E18" s="11">
        <v>2.3980000000000001E-2</v>
      </c>
      <c r="F18" s="12">
        <f>D18*E18</f>
        <v>2577.8500000000004</v>
      </c>
      <c r="G18" s="12">
        <v>0</v>
      </c>
      <c r="H18" s="13">
        <f>F18-G18</f>
        <v>2577.8500000000004</v>
      </c>
    </row>
    <row r="19" spans="1:8">
      <c r="A19" s="3"/>
      <c r="B19" s="5"/>
      <c r="C19" s="5"/>
      <c r="D19" s="14"/>
      <c r="E19" s="6"/>
      <c r="F19" s="15"/>
      <c r="G19" s="15"/>
      <c r="H19" s="15"/>
    </row>
    <row r="20" spans="1:8">
      <c r="A20" s="8" t="s">
        <v>24</v>
      </c>
      <c r="B20" s="10">
        <f>C$1*0.4</f>
        <v>120000</v>
      </c>
      <c r="C20" s="10">
        <v>2000</v>
      </c>
      <c r="D20" s="10">
        <f>B20-C20</f>
        <v>118000</v>
      </c>
      <c r="E20" s="11">
        <v>2.0000000000000001E-4</v>
      </c>
      <c r="F20" s="16">
        <f>D20*E20</f>
        <v>23.6</v>
      </c>
      <c r="G20" s="16">
        <v>0</v>
      </c>
      <c r="H20" s="17">
        <f>F20-G20</f>
        <v>23.6</v>
      </c>
    </row>
    <row r="21" spans="1:8">
      <c r="A21" s="18"/>
      <c r="B21" s="19"/>
      <c r="C21" s="19"/>
      <c r="D21" s="19"/>
      <c r="E21" s="20"/>
      <c r="F21" s="21"/>
      <c r="G21" s="21"/>
      <c r="H21" s="21"/>
    </row>
    <row r="22" spans="1:8">
      <c r="A22" s="8" t="s">
        <v>25</v>
      </c>
      <c r="B22" s="10"/>
      <c r="C22" s="10"/>
      <c r="D22" s="10"/>
      <c r="E22" s="11"/>
      <c r="F22" s="16"/>
      <c r="G22" s="16"/>
      <c r="H22" s="17">
        <v>98</v>
      </c>
    </row>
    <row r="23" spans="1:8">
      <c r="A23" s="3"/>
      <c r="B23" s="5"/>
      <c r="C23" s="5"/>
      <c r="D23" s="5"/>
      <c r="E23" s="6"/>
      <c r="F23" s="15"/>
      <c r="G23" s="15"/>
      <c r="H23" s="15"/>
    </row>
    <row r="24" spans="1:8">
      <c r="A24" s="8" t="s">
        <v>26</v>
      </c>
      <c r="B24" s="10"/>
      <c r="C24" s="10"/>
      <c r="D24" s="10"/>
      <c r="E24" s="11">
        <f>E16+E18+E20</f>
        <v>4.5389999999999993E-2</v>
      </c>
      <c r="F24" s="22">
        <f>F16+F18+F20</f>
        <v>4958.7500000000009</v>
      </c>
      <c r="G24" s="22">
        <f>G16+G18+G20</f>
        <v>1219.471</v>
      </c>
      <c r="H24" s="17">
        <f>H16+H18+H20+H22</f>
        <v>3837.279</v>
      </c>
    </row>
    <row r="26" spans="1:8">
      <c r="A26" s="2"/>
      <c r="B26" s="2"/>
      <c r="C26" s="2" t="s">
        <v>27</v>
      </c>
      <c r="D26" s="2"/>
      <c r="E26" s="2"/>
      <c r="F26" s="2"/>
      <c r="G26" s="2"/>
      <c r="H26" s="2"/>
    </row>
    <row r="27" spans="1:8">
      <c r="A27" s="3"/>
      <c r="B27" s="3"/>
      <c r="C27" s="3"/>
      <c r="D27" s="3"/>
      <c r="E27" s="3"/>
      <c r="F27" s="3"/>
      <c r="G27" s="3"/>
      <c r="H27" s="3"/>
    </row>
    <row r="28" spans="1:8">
      <c r="A28" s="4" t="s">
        <v>2</v>
      </c>
      <c r="B28" s="4" t="s">
        <v>3</v>
      </c>
      <c r="C28" s="4" t="s">
        <v>4</v>
      </c>
      <c r="D28" s="4" t="s">
        <v>5</v>
      </c>
      <c r="E28" s="4" t="s">
        <v>6</v>
      </c>
      <c r="F28" s="4" t="s">
        <v>7</v>
      </c>
      <c r="G28" s="4" t="s">
        <v>8</v>
      </c>
      <c r="H28" s="4" t="s">
        <v>9</v>
      </c>
    </row>
    <row r="29" spans="1:8">
      <c r="A29" s="4" t="s">
        <v>10</v>
      </c>
      <c r="B29" s="4" t="s">
        <v>11</v>
      </c>
      <c r="C29" s="4" t="s">
        <v>12</v>
      </c>
      <c r="D29" s="4" t="s">
        <v>11</v>
      </c>
      <c r="E29" s="4"/>
      <c r="F29" s="4"/>
      <c r="G29" s="4" t="s">
        <v>13</v>
      </c>
      <c r="H29" s="4" t="s">
        <v>14</v>
      </c>
    </row>
    <row r="30" spans="1:8">
      <c r="A30" s="3"/>
      <c r="B30" s="3"/>
      <c r="C30" s="3"/>
      <c r="D30" s="3"/>
      <c r="E30" s="3"/>
      <c r="F30" s="3"/>
      <c r="G30" s="3"/>
      <c r="H30" s="3"/>
    </row>
    <row r="31" spans="1:8">
      <c r="A31" s="3" t="s">
        <v>15</v>
      </c>
      <c r="B31" s="5">
        <f>C$1*0.4</f>
        <v>120000</v>
      </c>
      <c r="C31" s="5">
        <v>10000</v>
      </c>
      <c r="D31" s="5">
        <f t="shared" ref="D31:D35" si="4">B31-C31</f>
        <v>110000</v>
      </c>
      <c r="E31" s="6">
        <v>1.043E-2</v>
      </c>
      <c r="F31" s="7">
        <f t="shared" ref="F31:F35" si="5">D31*E31</f>
        <v>1147.3</v>
      </c>
      <c r="G31" s="7">
        <f>(D31)*0.59*E31</f>
        <v>676.90700000000004</v>
      </c>
      <c r="H31" s="7">
        <f>F31-G31</f>
        <v>470.39299999999992</v>
      </c>
    </row>
    <row r="32" spans="1:8">
      <c r="A32" s="3" t="s">
        <v>16</v>
      </c>
      <c r="B32" s="5">
        <f t="shared" ref="B32:B35" si="6">C$1*0.4</f>
        <v>120000</v>
      </c>
      <c r="C32" s="5">
        <v>10000</v>
      </c>
      <c r="D32" s="5">
        <f t="shared" si="4"/>
        <v>110000</v>
      </c>
      <c r="E32" s="6">
        <v>9.3999999999999997E-4</v>
      </c>
      <c r="F32" s="7">
        <f t="shared" si="5"/>
        <v>103.39999999999999</v>
      </c>
      <c r="G32" s="7">
        <f>(D32)*0.59*E32</f>
        <v>61.006</v>
      </c>
      <c r="H32" s="7">
        <f t="shared" ref="H32:H35" si="7">F32-G32</f>
        <v>42.393999999999991</v>
      </c>
    </row>
    <row r="33" spans="1:8">
      <c r="A33" s="3" t="s">
        <v>28</v>
      </c>
      <c r="B33" s="5">
        <f t="shared" si="6"/>
        <v>120000</v>
      </c>
      <c r="C33" s="5">
        <v>10000</v>
      </c>
      <c r="D33" s="5">
        <f t="shared" si="4"/>
        <v>110000</v>
      </c>
      <c r="E33" s="6">
        <f>0.00038</f>
        <v>3.8000000000000002E-4</v>
      </c>
      <c r="F33" s="7">
        <f t="shared" si="5"/>
        <v>41.800000000000004</v>
      </c>
      <c r="G33" s="7">
        <f>(D33)*0.59*E33</f>
        <v>24.662000000000003</v>
      </c>
      <c r="H33" s="7">
        <f t="shared" si="7"/>
        <v>17.138000000000002</v>
      </c>
    </row>
    <row r="34" spans="1:8">
      <c r="A34" s="3" t="s">
        <v>20</v>
      </c>
      <c r="B34" s="5">
        <f t="shared" si="6"/>
        <v>120000</v>
      </c>
      <c r="C34" s="5">
        <v>0</v>
      </c>
      <c r="D34" s="5">
        <f t="shared" si="4"/>
        <v>120000</v>
      </c>
      <c r="E34" s="6">
        <v>6.9999999999999999E-4</v>
      </c>
      <c r="F34" s="7">
        <f t="shared" si="5"/>
        <v>84</v>
      </c>
      <c r="G34" s="7">
        <v>0</v>
      </c>
      <c r="H34" s="7">
        <f t="shared" si="7"/>
        <v>84</v>
      </c>
    </row>
    <row r="35" spans="1:8">
      <c r="A35" s="3" t="s">
        <v>21</v>
      </c>
      <c r="B35" s="5">
        <f t="shared" si="6"/>
        <v>120000</v>
      </c>
      <c r="C35" s="5">
        <v>0</v>
      </c>
      <c r="D35" s="5">
        <f t="shared" si="4"/>
        <v>120000</v>
      </c>
      <c r="E35" s="6">
        <v>1.72E-3</v>
      </c>
      <c r="F35" s="7">
        <f t="shared" si="5"/>
        <v>206.4</v>
      </c>
      <c r="G35" s="7">
        <v>0</v>
      </c>
      <c r="H35" s="7">
        <f t="shared" si="7"/>
        <v>206.4</v>
      </c>
    </row>
    <row r="36" spans="1:8">
      <c r="A36" s="3"/>
      <c r="B36" s="3"/>
      <c r="C36" s="5"/>
      <c r="D36" s="3"/>
      <c r="E36" s="6"/>
      <c r="F36" s="7"/>
      <c r="G36" s="7"/>
      <c r="H36" s="7"/>
    </row>
    <row r="37" spans="1:8">
      <c r="A37" s="8" t="s">
        <v>22</v>
      </c>
      <c r="B37" s="9"/>
      <c r="C37" s="10"/>
      <c r="D37" s="9"/>
      <c r="E37" s="11">
        <f>SUM(E31:E35)</f>
        <v>1.4169999999999999E-2</v>
      </c>
      <c r="F37" s="12">
        <f>SUM(F31:F35)</f>
        <v>1582.9</v>
      </c>
      <c r="G37" s="12">
        <f>SUM(G31:G35)</f>
        <v>762.57500000000005</v>
      </c>
      <c r="H37" s="13">
        <f>SUM(H31:H35)</f>
        <v>820.32499999999993</v>
      </c>
    </row>
    <row r="38" spans="1:8">
      <c r="A38" s="18"/>
      <c r="B38" s="18"/>
      <c r="C38" s="19"/>
      <c r="D38" s="18"/>
      <c r="E38" s="20"/>
      <c r="F38" s="23"/>
      <c r="G38" s="23"/>
      <c r="H38" s="23"/>
    </row>
    <row r="39" spans="1:8">
      <c r="A39" s="24" t="s">
        <v>29</v>
      </c>
      <c r="B39" s="25">
        <f>C$1*0.5</f>
        <v>150000</v>
      </c>
      <c r="C39" s="26">
        <v>20000</v>
      </c>
      <c r="D39" s="25">
        <f>B39-C39</f>
        <v>130000</v>
      </c>
      <c r="E39" s="27">
        <v>1.158E-2</v>
      </c>
      <c r="F39" s="28">
        <f>D39*E39</f>
        <v>1505.4</v>
      </c>
      <c r="G39" s="28">
        <v>0</v>
      </c>
      <c r="H39" s="29">
        <f>D39*E39</f>
        <v>1505.4</v>
      </c>
    </row>
    <row r="40" spans="1:8">
      <c r="A40" s="30" t="s">
        <v>30</v>
      </c>
      <c r="B40" s="31">
        <f>C$1*0.5</f>
        <v>150000</v>
      </c>
      <c r="C40" s="32">
        <v>0</v>
      </c>
      <c r="D40" s="31">
        <f>B40-C40</f>
        <v>150000</v>
      </c>
      <c r="E40" s="33">
        <v>1.42E-3</v>
      </c>
      <c r="F40" s="34">
        <f>D40*E40</f>
        <v>213</v>
      </c>
      <c r="G40" s="34">
        <v>0</v>
      </c>
      <c r="H40" s="35">
        <f>D40*E40</f>
        <v>213</v>
      </c>
    </row>
    <row r="41" spans="1:8">
      <c r="A41" s="3"/>
      <c r="B41" s="5"/>
      <c r="C41" s="5"/>
      <c r="D41" s="5"/>
      <c r="E41" s="6"/>
      <c r="F41" s="7"/>
      <c r="G41" s="7"/>
      <c r="H41" s="7"/>
    </row>
    <row r="42" spans="1:8">
      <c r="A42" s="8" t="s">
        <v>23</v>
      </c>
      <c r="B42" s="10">
        <f>C$1*0.5</f>
        <v>150000</v>
      </c>
      <c r="C42" s="10">
        <v>0</v>
      </c>
      <c r="D42" s="10">
        <f>B42-C42</f>
        <v>150000</v>
      </c>
      <c r="E42" s="11">
        <v>2.0899999999999998E-2</v>
      </c>
      <c r="F42" s="12">
        <f>D42*E42</f>
        <v>3134.9999999999995</v>
      </c>
      <c r="G42" s="12">
        <v>0</v>
      </c>
      <c r="H42" s="13">
        <f>F42-G42</f>
        <v>3134.9999999999995</v>
      </c>
    </row>
    <row r="43" spans="1:8">
      <c r="A43" s="3"/>
      <c r="B43" s="5"/>
      <c r="C43" s="5"/>
      <c r="D43" s="14"/>
      <c r="E43" s="6"/>
      <c r="F43" s="15"/>
      <c r="G43" s="15"/>
      <c r="H43" s="15"/>
    </row>
    <row r="44" spans="1:8">
      <c r="A44" s="8" t="s">
        <v>24</v>
      </c>
      <c r="B44" s="10">
        <f>C$1*0.4</f>
        <v>120000</v>
      </c>
      <c r="C44" s="10">
        <v>2000</v>
      </c>
      <c r="D44" s="10">
        <f>B44-C44</f>
        <v>118000</v>
      </c>
      <c r="E44" s="11">
        <v>2.0000000000000001E-4</v>
      </c>
      <c r="F44" s="16">
        <f>D44*E44</f>
        <v>23.6</v>
      </c>
      <c r="G44" s="16">
        <v>0</v>
      </c>
      <c r="H44" s="17">
        <f>F44-G44</f>
        <v>23.6</v>
      </c>
    </row>
    <row r="45" spans="1:8">
      <c r="A45" s="3"/>
      <c r="B45" s="5"/>
      <c r="C45" s="5"/>
      <c r="D45" s="5"/>
      <c r="E45" s="6"/>
      <c r="F45" s="15"/>
      <c r="G45" s="15"/>
      <c r="H45" s="15"/>
    </row>
    <row r="46" spans="1:8">
      <c r="A46" s="36" t="s">
        <v>31</v>
      </c>
      <c r="B46" s="37"/>
      <c r="C46" s="37"/>
      <c r="D46" s="37"/>
      <c r="E46" s="38"/>
      <c r="F46" s="39"/>
      <c r="G46" s="39"/>
      <c r="H46" s="40">
        <v>75</v>
      </c>
    </row>
    <row r="47" spans="1:8">
      <c r="A47" s="3"/>
      <c r="B47" s="5"/>
      <c r="C47" s="5"/>
      <c r="D47" s="5"/>
      <c r="E47" s="6"/>
      <c r="F47" s="15"/>
      <c r="G47" s="15"/>
      <c r="H47" s="15"/>
    </row>
    <row r="48" spans="1:8">
      <c r="A48" s="8" t="s">
        <v>26</v>
      </c>
      <c r="B48" s="10"/>
      <c r="C48" s="10"/>
      <c r="D48" s="10"/>
      <c r="E48" s="11">
        <f>E37+E42+E44</f>
        <v>3.5269999999999996E-2</v>
      </c>
      <c r="F48" s="22">
        <f>F37+F42+F44</f>
        <v>4741.5</v>
      </c>
      <c r="G48" s="22">
        <f>G37+G42+G44</f>
        <v>762.57500000000005</v>
      </c>
      <c r="H48" s="17">
        <f>H37+H42+H44+H39+H40+H46</f>
        <v>5772.3249999999989</v>
      </c>
    </row>
    <row r="50" spans="1:8">
      <c r="A50" s="41"/>
      <c r="B50" s="41"/>
      <c r="C50" s="41"/>
      <c r="D50" s="41"/>
      <c r="E50" s="41"/>
      <c r="F50" s="41"/>
      <c r="G50" s="41"/>
      <c r="H50" s="42"/>
    </row>
    <row r="51" spans="1:8">
      <c r="H51" s="43"/>
    </row>
    <row r="52" spans="1:8">
      <c r="H52" s="4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>
      <selection activeCell="I22" sqref="I22"/>
    </sheetView>
  </sheetViews>
  <sheetFormatPr defaultRowHeight="15"/>
  <cols>
    <col min="1" max="1" width="15.28515625" customWidth="1"/>
  </cols>
  <sheetData>
    <row r="1" spans="1:8">
      <c r="A1" t="s">
        <v>32</v>
      </c>
      <c r="C1" s="1">
        <v>300000</v>
      </c>
    </row>
    <row r="3" spans="1:8">
      <c r="A3" s="2"/>
      <c r="B3" s="2"/>
      <c r="C3" s="2" t="s">
        <v>1</v>
      </c>
      <c r="D3" s="2"/>
      <c r="E3" s="2"/>
      <c r="F3" s="2"/>
      <c r="G3" s="2"/>
      <c r="H3" s="2"/>
    </row>
    <row r="4" spans="1:8">
      <c r="A4" s="3"/>
      <c r="B4" s="3"/>
      <c r="C4" s="3"/>
      <c r="D4" s="3"/>
      <c r="E4" s="3"/>
      <c r="F4" s="3"/>
      <c r="G4" s="3"/>
      <c r="H4" s="3"/>
    </row>
    <row r="5" spans="1:8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</row>
    <row r="6" spans="1:8">
      <c r="A6" s="4" t="s">
        <v>10</v>
      </c>
      <c r="B6" s="4" t="s">
        <v>11</v>
      </c>
      <c r="C6" s="4" t="s">
        <v>12</v>
      </c>
      <c r="D6" s="4" t="s">
        <v>11</v>
      </c>
      <c r="E6" s="4"/>
      <c r="F6" s="4"/>
      <c r="G6" s="4" t="s">
        <v>13</v>
      </c>
      <c r="H6" s="4" t="s">
        <v>14</v>
      </c>
    </row>
    <row r="7" spans="1:8">
      <c r="A7" s="3"/>
      <c r="B7" s="3"/>
      <c r="C7" s="3"/>
      <c r="D7" s="3"/>
      <c r="E7" s="3"/>
      <c r="F7" s="3"/>
      <c r="G7" s="3"/>
      <c r="H7" s="3"/>
    </row>
    <row r="8" spans="1:8">
      <c r="A8" s="3" t="s">
        <v>15</v>
      </c>
      <c r="B8" s="5">
        <f>C$1*0.4</f>
        <v>120000</v>
      </c>
      <c r="C8" s="5">
        <v>0</v>
      </c>
      <c r="D8" s="5">
        <f t="shared" ref="D8:D14" si="0">B8-C8</f>
        <v>120000</v>
      </c>
      <c r="E8" s="6">
        <v>1.043E-2</v>
      </c>
      <c r="F8" s="7">
        <f t="shared" ref="F8:F14" si="1">D8*E8</f>
        <v>1251.5999999999999</v>
      </c>
      <c r="G8" s="7">
        <v>0</v>
      </c>
      <c r="H8" s="7">
        <f>F8-G8</f>
        <v>1251.5999999999999</v>
      </c>
    </row>
    <row r="9" spans="1:8">
      <c r="A9" s="3" t="s">
        <v>16</v>
      </c>
      <c r="B9" s="5">
        <f t="shared" ref="B9:B14" si="2">C$1*0.4</f>
        <v>120000</v>
      </c>
      <c r="C9" s="5">
        <v>0</v>
      </c>
      <c r="D9" s="5">
        <f t="shared" si="0"/>
        <v>120000</v>
      </c>
      <c r="E9" s="6">
        <v>9.3999999999999997E-4</v>
      </c>
      <c r="F9" s="7">
        <f t="shared" si="1"/>
        <v>112.8</v>
      </c>
      <c r="G9" s="7">
        <v>0</v>
      </c>
      <c r="H9" s="7">
        <f t="shared" ref="H9:H14" si="3">F9-G9</f>
        <v>112.8</v>
      </c>
    </row>
    <row r="10" spans="1:8">
      <c r="A10" s="3" t="s">
        <v>17</v>
      </c>
      <c r="B10" s="5">
        <f t="shared" si="2"/>
        <v>120000</v>
      </c>
      <c r="C10" s="5">
        <v>0</v>
      </c>
      <c r="D10" s="5">
        <f t="shared" si="0"/>
        <v>120000</v>
      </c>
      <c r="E10" s="6">
        <v>3.2499999999999999E-3</v>
      </c>
      <c r="F10" s="7">
        <f t="shared" si="1"/>
        <v>390</v>
      </c>
      <c r="G10" s="7">
        <v>0</v>
      </c>
      <c r="H10" s="7">
        <f t="shared" si="3"/>
        <v>390</v>
      </c>
    </row>
    <row r="11" spans="1:8">
      <c r="A11" s="3" t="s">
        <v>18</v>
      </c>
      <c r="B11" s="5">
        <f t="shared" si="2"/>
        <v>120000</v>
      </c>
      <c r="C11" s="5">
        <v>0</v>
      </c>
      <c r="D11" s="5">
        <f t="shared" si="0"/>
        <v>120000</v>
      </c>
      <c r="E11" s="6">
        <v>3.79E-3</v>
      </c>
      <c r="F11" s="7">
        <f t="shared" si="1"/>
        <v>454.8</v>
      </c>
      <c r="G11" s="7">
        <v>0</v>
      </c>
      <c r="H11" s="7">
        <f t="shared" si="3"/>
        <v>454.8</v>
      </c>
    </row>
    <row r="12" spans="1:8">
      <c r="A12" s="3" t="s">
        <v>19</v>
      </c>
      <c r="B12" s="5">
        <f t="shared" si="2"/>
        <v>120000</v>
      </c>
      <c r="C12" s="5">
        <v>0</v>
      </c>
      <c r="D12" s="5">
        <f t="shared" si="0"/>
        <v>120000</v>
      </c>
      <c r="E12" s="6">
        <f>0.00038</f>
        <v>3.8000000000000002E-4</v>
      </c>
      <c r="F12" s="7">
        <f t="shared" si="1"/>
        <v>45.6</v>
      </c>
      <c r="G12" s="7">
        <v>0</v>
      </c>
      <c r="H12" s="7">
        <f t="shared" si="3"/>
        <v>45.6</v>
      </c>
    </row>
    <row r="13" spans="1:8">
      <c r="A13" s="3" t="s">
        <v>20</v>
      </c>
      <c r="B13" s="5">
        <f t="shared" si="2"/>
        <v>120000</v>
      </c>
      <c r="C13" s="5">
        <v>0</v>
      </c>
      <c r="D13" s="5">
        <f t="shared" si="0"/>
        <v>120000</v>
      </c>
      <c r="E13" s="6">
        <v>6.9999999999999999E-4</v>
      </c>
      <c r="F13" s="7">
        <f t="shared" si="1"/>
        <v>84</v>
      </c>
      <c r="G13" s="7">
        <v>0</v>
      </c>
      <c r="H13" s="7">
        <f t="shared" si="3"/>
        <v>84</v>
      </c>
    </row>
    <row r="14" spans="1:8">
      <c r="A14" s="3" t="s">
        <v>21</v>
      </c>
      <c r="B14" s="5">
        <f t="shared" si="2"/>
        <v>120000</v>
      </c>
      <c r="C14" s="5">
        <v>0</v>
      </c>
      <c r="D14" s="5">
        <f t="shared" si="0"/>
        <v>120000</v>
      </c>
      <c r="E14" s="6">
        <v>1.72E-3</v>
      </c>
      <c r="F14" s="7">
        <f t="shared" si="1"/>
        <v>206.4</v>
      </c>
      <c r="G14" s="7">
        <v>0</v>
      </c>
      <c r="H14" s="7">
        <f t="shared" si="3"/>
        <v>206.4</v>
      </c>
    </row>
    <row r="15" spans="1:8">
      <c r="A15" s="3"/>
      <c r="B15" s="3"/>
      <c r="C15" s="5"/>
      <c r="D15" s="3"/>
      <c r="E15" s="6"/>
      <c r="F15" s="7"/>
      <c r="G15" s="7"/>
      <c r="H15" s="7"/>
    </row>
    <row r="16" spans="1:8">
      <c r="A16" s="8" t="s">
        <v>22</v>
      </c>
      <c r="B16" s="9"/>
      <c r="C16" s="10"/>
      <c r="D16" s="9"/>
      <c r="E16" s="11">
        <f>SUM(E8:E14)</f>
        <v>2.1209999999999996E-2</v>
      </c>
      <c r="F16" s="12">
        <f>SUM(F8:F14)</f>
        <v>2545.1999999999998</v>
      </c>
      <c r="G16" s="12">
        <f>SUM(G8:G14)</f>
        <v>0</v>
      </c>
      <c r="H16" s="13">
        <f>SUM(H8:H14)</f>
        <v>2545.1999999999998</v>
      </c>
    </row>
    <row r="17" spans="1:8">
      <c r="A17" s="3"/>
      <c r="B17" s="5"/>
      <c r="C17" s="5"/>
      <c r="D17" s="5"/>
      <c r="E17" s="6"/>
      <c r="F17" s="7"/>
      <c r="G17" s="7"/>
      <c r="H17" s="7"/>
    </row>
    <row r="18" spans="1:8">
      <c r="A18" s="8" t="s">
        <v>23</v>
      </c>
      <c r="B18" s="10">
        <f>C$1*0.4</f>
        <v>120000</v>
      </c>
      <c r="C18" s="10">
        <v>0</v>
      </c>
      <c r="D18" s="10">
        <f>B18-C18</f>
        <v>120000</v>
      </c>
      <c r="E18" s="11">
        <v>2.3980000000000001E-2</v>
      </c>
      <c r="F18" s="12">
        <f>D18*E18</f>
        <v>2877.6000000000004</v>
      </c>
      <c r="G18" s="12">
        <v>0</v>
      </c>
      <c r="H18" s="13">
        <f>F18-G18</f>
        <v>2877.6000000000004</v>
      </c>
    </row>
    <row r="19" spans="1:8">
      <c r="A19" s="3"/>
      <c r="B19" s="5"/>
      <c r="C19" s="5"/>
      <c r="D19" s="14"/>
      <c r="E19" s="6"/>
      <c r="F19" s="15"/>
      <c r="G19" s="15"/>
      <c r="H19" s="15"/>
    </row>
    <row r="20" spans="1:8">
      <c r="A20" s="8" t="s">
        <v>24</v>
      </c>
      <c r="B20" s="10">
        <f>C$1*0.4</f>
        <v>120000</v>
      </c>
      <c r="C20" s="10">
        <v>0</v>
      </c>
      <c r="D20" s="10">
        <f>B20-C20</f>
        <v>120000</v>
      </c>
      <c r="E20" s="11">
        <v>2.0000000000000001E-4</v>
      </c>
      <c r="F20" s="16">
        <f>D20*E20</f>
        <v>24</v>
      </c>
      <c r="G20" s="16">
        <v>0</v>
      </c>
      <c r="H20" s="17">
        <f>F20-G20</f>
        <v>24</v>
      </c>
    </row>
    <row r="21" spans="1:8">
      <c r="A21" s="18"/>
      <c r="B21" s="19"/>
      <c r="C21" s="19"/>
      <c r="D21" s="19"/>
      <c r="E21" s="20"/>
      <c r="F21" s="21"/>
      <c r="G21" s="21"/>
      <c r="H21" s="21"/>
    </row>
    <row r="22" spans="1:8">
      <c r="A22" s="8" t="s">
        <v>25</v>
      </c>
      <c r="B22" s="10"/>
      <c r="C22" s="10"/>
      <c r="D22" s="10"/>
      <c r="E22" s="11"/>
      <c r="F22" s="16"/>
      <c r="G22" s="16"/>
      <c r="H22" s="17">
        <v>48</v>
      </c>
    </row>
    <row r="23" spans="1:8">
      <c r="A23" s="3"/>
      <c r="B23" s="5"/>
      <c r="C23" s="5"/>
      <c r="D23" s="5"/>
      <c r="E23" s="6"/>
      <c r="F23" s="15"/>
      <c r="G23" s="15"/>
      <c r="H23" s="15"/>
    </row>
    <row r="24" spans="1:8">
      <c r="A24" s="8" t="s">
        <v>26</v>
      </c>
      <c r="B24" s="10"/>
      <c r="C24" s="10"/>
      <c r="D24" s="10"/>
      <c r="E24" s="11">
        <f>E16+E18+E20</f>
        <v>4.5389999999999993E-2</v>
      </c>
      <c r="F24" s="22">
        <f>F16+F18+F20</f>
        <v>5446.8</v>
      </c>
      <c r="G24" s="22">
        <f>G16+G18+G20</f>
        <v>0</v>
      </c>
      <c r="H24" s="17">
        <f>H16+H18+H20+H22</f>
        <v>5494.8</v>
      </c>
    </row>
    <row r="26" spans="1:8">
      <c r="A26" s="2"/>
      <c r="B26" s="2"/>
      <c r="C26" s="2" t="s">
        <v>27</v>
      </c>
      <c r="D26" s="2"/>
      <c r="E26" s="2"/>
      <c r="F26" s="2"/>
      <c r="G26" s="2"/>
      <c r="H26" s="2"/>
    </row>
    <row r="27" spans="1:8">
      <c r="A27" s="3"/>
      <c r="B27" s="3"/>
      <c r="C27" s="3"/>
      <c r="D27" s="3"/>
      <c r="E27" s="3"/>
      <c r="F27" s="3"/>
      <c r="G27" s="3"/>
      <c r="H27" s="3"/>
    </row>
    <row r="28" spans="1:8">
      <c r="A28" s="4" t="s">
        <v>2</v>
      </c>
      <c r="B28" s="4" t="s">
        <v>3</v>
      </c>
      <c r="C28" s="4" t="s">
        <v>4</v>
      </c>
      <c r="D28" s="4" t="s">
        <v>5</v>
      </c>
      <c r="E28" s="4" t="s">
        <v>6</v>
      </c>
      <c r="F28" s="4" t="s">
        <v>7</v>
      </c>
      <c r="G28" s="4" t="s">
        <v>8</v>
      </c>
      <c r="H28" s="4" t="s">
        <v>9</v>
      </c>
    </row>
    <row r="29" spans="1:8">
      <c r="A29" s="4" t="s">
        <v>10</v>
      </c>
      <c r="B29" s="4" t="s">
        <v>11</v>
      </c>
      <c r="C29" s="4" t="s">
        <v>12</v>
      </c>
      <c r="D29" s="4" t="s">
        <v>11</v>
      </c>
      <c r="E29" s="4"/>
      <c r="F29" s="4"/>
      <c r="G29" s="4" t="s">
        <v>13</v>
      </c>
      <c r="H29" s="4" t="s">
        <v>14</v>
      </c>
    </row>
    <row r="30" spans="1:8">
      <c r="A30" s="3"/>
      <c r="B30" s="3"/>
      <c r="C30" s="3"/>
      <c r="D30" s="3"/>
      <c r="E30" s="3"/>
      <c r="F30" s="3"/>
      <c r="G30" s="3"/>
      <c r="H30" s="3"/>
    </row>
    <row r="31" spans="1:8">
      <c r="A31" s="3" t="s">
        <v>15</v>
      </c>
      <c r="B31" s="5">
        <f>C$1*0.4</f>
        <v>120000</v>
      </c>
      <c r="C31" s="5">
        <v>0</v>
      </c>
      <c r="D31" s="5">
        <f t="shared" ref="D31:D35" si="4">B31-C31</f>
        <v>120000</v>
      </c>
      <c r="E31" s="6">
        <v>1.043E-2</v>
      </c>
      <c r="F31" s="7">
        <f t="shared" ref="F31:F35" si="5">D31*E31</f>
        <v>1251.5999999999999</v>
      </c>
      <c r="G31" s="7">
        <v>0</v>
      </c>
      <c r="H31" s="7">
        <f>F31-G31</f>
        <v>1251.5999999999999</v>
      </c>
    </row>
    <row r="32" spans="1:8">
      <c r="A32" s="3" t="s">
        <v>16</v>
      </c>
      <c r="B32" s="5">
        <f t="shared" ref="B32:B35" si="6">C$1*0.4</f>
        <v>120000</v>
      </c>
      <c r="C32" s="5">
        <v>0</v>
      </c>
      <c r="D32" s="5">
        <f t="shared" si="4"/>
        <v>120000</v>
      </c>
      <c r="E32" s="6">
        <v>9.3999999999999997E-4</v>
      </c>
      <c r="F32" s="7">
        <f t="shared" si="5"/>
        <v>112.8</v>
      </c>
      <c r="G32" s="7">
        <v>0</v>
      </c>
      <c r="H32" s="7">
        <f t="shared" ref="H32:H35" si="7">F32-G32</f>
        <v>112.8</v>
      </c>
    </row>
    <row r="33" spans="1:8">
      <c r="A33" s="3" t="s">
        <v>28</v>
      </c>
      <c r="B33" s="5">
        <f t="shared" si="6"/>
        <v>120000</v>
      </c>
      <c r="C33" s="5">
        <v>0</v>
      </c>
      <c r="D33" s="5">
        <f t="shared" si="4"/>
        <v>120000</v>
      </c>
      <c r="E33" s="6">
        <f>0.00038</f>
        <v>3.8000000000000002E-4</v>
      </c>
      <c r="F33" s="7">
        <f t="shared" si="5"/>
        <v>45.6</v>
      </c>
      <c r="G33" s="7">
        <v>0</v>
      </c>
      <c r="H33" s="7">
        <f t="shared" si="7"/>
        <v>45.6</v>
      </c>
    </row>
    <row r="34" spans="1:8">
      <c r="A34" s="3" t="s">
        <v>20</v>
      </c>
      <c r="B34" s="5">
        <f t="shared" si="6"/>
        <v>120000</v>
      </c>
      <c r="C34" s="5">
        <v>0</v>
      </c>
      <c r="D34" s="5">
        <f t="shared" si="4"/>
        <v>120000</v>
      </c>
      <c r="E34" s="6">
        <v>6.9999999999999999E-4</v>
      </c>
      <c r="F34" s="7">
        <f t="shared" si="5"/>
        <v>84</v>
      </c>
      <c r="G34" s="7">
        <v>0</v>
      </c>
      <c r="H34" s="7">
        <f t="shared" si="7"/>
        <v>84</v>
      </c>
    </row>
    <row r="35" spans="1:8">
      <c r="A35" s="3" t="s">
        <v>21</v>
      </c>
      <c r="B35" s="5">
        <f t="shared" si="6"/>
        <v>120000</v>
      </c>
      <c r="C35" s="5">
        <v>0</v>
      </c>
      <c r="D35" s="5">
        <f t="shared" si="4"/>
        <v>120000</v>
      </c>
      <c r="E35" s="6">
        <v>1.72E-3</v>
      </c>
      <c r="F35" s="7">
        <f t="shared" si="5"/>
        <v>206.4</v>
      </c>
      <c r="G35" s="7">
        <v>0</v>
      </c>
      <c r="H35" s="7">
        <f t="shared" si="7"/>
        <v>206.4</v>
      </c>
    </row>
    <row r="36" spans="1:8">
      <c r="A36" s="3"/>
      <c r="B36" s="3"/>
      <c r="C36" s="5"/>
      <c r="D36" s="3"/>
      <c r="E36" s="6"/>
      <c r="F36" s="7"/>
      <c r="G36" s="7"/>
      <c r="H36" s="7"/>
    </row>
    <row r="37" spans="1:8">
      <c r="A37" s="8" t="s">
        <v>22</v>
      </c>
      <c r="B37" s="9"/>
      <c r="C37" s="10"/>
      <c r="D37" s="9"/>
      <c r="E37" s="11">
        <f>SUM(E31:E35)</f>
        <v>1.4169999999999999E-2</v>
      </c>
      <c r="F37" s="12">
        <f>SUM(F31:F35)</f>
        <v>1700.3999999999999</v>
      </c>
      <c r="G37" s="12">
        <f>SUM(G31:G35)</f>
        <v>0</v>
      </c>
      <c r="H37" s="13">
        <f>SUM(H31:H35)</f>
        <v>1700.3999999999999</v>
      </c>
    </row>
    <row r="38" spans="1:8">
      <c r="A38" s="18"/>
      <c r="B38" s="18"/>
      <c r="C38" s="19"/>
      <c r="D38" s="18"/>
      <c r="E38" s="20"/>
      <c r="F38" s="23"/>
      <c r="G38" s="23"/>
      <c r="H38" s="23"/>
    </row>
    <row r="39" spans="1:8">
      <c r="A39" s="24" t="s">
        <v>29</v>
      </c>
      <c r="B39" s="25">
        <f>C$1*0.5</f>
        <v>150000</v>
      </c>
      <c r="C39" s="26">
        <v>0</v>
      </c>
      <c r="D39" s="25">
        <f>B39-C39</f>
        <v>150000</v>
      </c>
      <c r="E39" s="27">
        <v>1.158E-2</v>
      </c>
      <c r="F39" s="28">
        <f>D39*E39</f>
        <v>1737</v>
      </c>
      <c r="G39" s="28">
        <v>0</v>
      </c>
      <c r="H39" s="29">
        <f>D39*E39</f>
        <v>1737</v>
      </c>
    </row>
    <row r="40" spans="1:8">
      <c r="A40" s="30" t="s">
        <v>30</v>
      </c>
      <c r="B40" s="31">
        <f>C$1*0.5</f>
        <v>150000</v>
      </c>
      <c r="C40" s="32">
        <v>0</v>
      </c>
      <c r="D40" s="31">
        <f>B40-C40</f>
        <v>150000</v>
      </c>
      <c r="E40" s="33">
        <v>1.42E-3</v>
      </c>
      <c r="F40" s="34">
        <f>D40*E40</f>
        <v>213</v>
      </c>
      <c r="G40" s="34">
        <v>0</v>
      </c>
      <c r="H40" s="35">
        <f>D40*E40</f>
        <v>213</v>
      </c>
    </row>
    <row r="41" spans="1:8">
      <c r="A41" s="3"/>
      <c r="B41" s="5"/>
      <c r="C41" s="5"/>
      <c r="D41" s="5"/>
      <c r="E41" s="6"/>
      <c r="F41" s="7"/>
      <c r="G41" s="7"/>
      <c r="H41" s="7"/>
    </row>
    <row r="42" spans="1:8">
      <c r="A42" s="8" t="s">
        <v>23</v>
      </c>
      <c r="B42" s="10">
        <f>C$1*0.5</f>
        <v>150000</v>
      </c>
      <c r="C42" s="10">
        <v>0</v>
      </c>
      <c r="D42" s="10">
        <f>B42-C42</f>
        <v>150000</v>
      </c>
      <c r="E42" s="11">
        <v>2.0899999999999998E-2</v>
      </c>
      <c r="F42" s="12">
        <f>D42*E42</f>
        <v>3134.9999999999995</v>
      </c>
      <c r="G42" s="12">
        <v>0</v>
      </c>
      <c r="H42" s="13">
        <f>F42-G42</f>
        <v>3134.9999999999995</v>
      </c>
    </row>
    <row r="43" spans="1:8">
      <c r="A43" s="3"/>
      <c r="B43" s="5"/>
      <c r="C43" s="5"/>
      <c r="D43" s="14"/>
      <c r="E43" s="6"/>
      <c r="F43" s="15"/>
      <c r="G43" s="15"/>
      <c r="H43" s="15"/>
    </row>
    <row r="44" spans="1:8">
      <c r="A44" s="8" t="s">
        <v>24</v>
      </c>
      <c r="B44" s="10">
        <f>C$1*0.4</f>
        <v>120000</v>
      </c>
      <c r="C44" s="10">
        <v>2000</v>
      </c>
      <c r="D44" s="10">
        <f>B44-C44</f>
        <v>118000</v>
      </c>
      <c r="E44" s="11">
        <v>2.0000000000000001E-4</v>
      </c>
      <c r="F44" s="16">
        <f>D44*E44</f>
        <v>23.6</v>
      </c>
      <c r="G44" s="16">
        <v>0</v>
      </c>
      <c r="H44" s="17">
        <f>F44-G44</f>
        <v>23.6</v>
      </c>
    </row>
    <row r="45" spans="1:8">
      <c r="A45" s="3"/>
      <c r="B45" s="5"/>
      <c r="C45" s="5"/>
      <c r="D45" s="5"/>
      <c r="E45" s="6"/>
      <c r="F45" s="15"/>
      <c r="G45" s="15"/>
      <c r="H45" s="15"/>
    </row>
    <row r="46" spans="1:8">
      <c r="A46" s="36" t="s">
        <v>31</v>
      </c>
      <c r="B46" s="37"/>
      <c r="C46" s="37"/>
      <c r="D46" s="37"/>
      <c r="E46" s="38"/>
      <c r="F46" s="39"/>
      <c r="G46" s="39"/>
      <c r="H46" s="40">
        <v>75</v>
      </c>
    </row>
    <row r="47" spans="1:8">
      <c r="A47" s="3"/>
      <c r="B47" s="5"/>
      <c r="C47" s="5"/>
      <c r="D47" s="5"/>
      <c r="E47" s="6"/>
      <c r="F47" s="15"/>
      <c r="G47" s="15"/>
      <c r="H47" s="15"/>
    </row>
    <row r="48" spans="1:8">
      <c r="A48" s="8" t="s">
        <v>26</v>
      </c>
      <c r="B48" s="10"/>
      <c r="C48" s="10"/>
      <c r="D48" s="10"/>
      <c r="E48" s="11">
        <f>E37+E42+E44</f>
        <v>3.5269999999999996E-2</v>
      </c>
      <c r="F48" s="22">
        <f>F37+F42+F44</f>
        <v>4859</v>
      </c>
      <c r="G48" s="22">
        <f>G37+G42+G44</f>
        <v>0</v>
      </c>
      <c r="H48" s="17">
        <f>H37+H42+H44+H39+H40+H46</f>
        <v>6884</v>
      </c>
    </row>
    <row r="50" spans="1:8">
      <c r="A50" s="41"/>
      <c r="B50" s="41"/>
      <c r="C50" s="41"/>
      <c r="D50" s="41"/>
      <c r="E50" s="41"/>
      <c r="F50" s="41"/>
      <c r="G50" s="41"/>
      <c r="H50" s="42"/>
    </row>
    <row r="51" spans="1:8">
      <c r="H51" s="43"/>
    </row>
    <row r="52" spans="1:8">
      <c r="H52" s="4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Residential</vt:lpstr>
      <vt:lpstr>Commercial</vt:lpstr>
      <vt:lpstr>Sheet3</vt:lpstr>
    </vt:vector>
  </TitlesOfParts>
  <Company>..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Peggy Merriss</dc:creator>
  <cp:lastModifiedBy>Peggy Merriss</cp:lastModifiedBy>
  <dcterms:created xsi:type="dcterms:W3CDTF">2012-09-05T15:37:21Z</dcterms:created>
  <dcterms:modified xsi:type="dcterms:W3CDTF">2012-10-16T18:24:30Z</dcterms:modified>
</cp:coreProperties>
</file>