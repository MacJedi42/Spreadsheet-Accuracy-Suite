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45" windowWidth="24555" windowHeight="1201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Y38" i="1"/>
  <c r="P31"/>
  <c r="X35"/>
  <c r="P30"/>
  <c r="X34"/>
  <c r="Y25"/>
  <c r="X25"/>
  <c r="P25"/>
  <c r="Y24"/>
  <c r="P24"/>
  <c r="P23"/>
  <c r="P22"/>
  <c r="X24"/>
  <c r="X26"/>
  <c r="P21"/>
  <c r="Y20"/>
  <c r="P20"/>
  <c r="Y19"/>
  <c r="P19"/>
  <c r="X20"/>
  <c r="P18"/>
  <c r="X19"/>
  <c r="X21"/>
  <c r="P14"/>
  <c r="X7"/>
  <c r="P13"/>
  <c r="P12"/>
  <c r="P11"/>
  <c r="P10"/>
  <c r="P9"/>
  <c r="P8"/>
  <c r="Y7"/>
  <c r="P7"/>
  <c r="X6"/>
  <c r="X8"/>
  <c r="P6"/>
  <c r="P5"/>
  <c r="X38"/>
  <c r="X40"/>
</calcChain>
</file>

<file path=xl/sharedStrings.xml><?xml version="1.0" encoding="utf-8"?>
<sst xmlns="http://schemas.openxmlformats.org/spreadsheetml/2006/main" count="301" uniqueCount="54">
  <si>
    <t>Missed x 60 multiplier</t>
  </si>
  <si>
    <t>Original reporting</t>
  </si>
  <si>
    <t>RECORD TYPE</t>
  </si>
  <si>
    <t>ICP</t>
  </si>
  <si>
    <t>START DATE</t>
  </si>
  <si>
    <t>END DATE</t>
  </si>
  <si>
    <t>NETWORK TARIFF DESC</t>
  </si>
  <si>
    <t>UNIT TYPE</t>
  </si>
  <si>
    <t>UNITS</t>
  </si>
  <si>
    <t>STATUS</t>
  </si>
  <si>
    <t>BUS NAME</t>
  </si>
  <si>
    <t>DISTRIBUTOR</t>
  </si>
  <si>
    <t>SPARE1</t>
  </si>
  <si>
    <t>NETWORK TARIFF CODE</t>
  </si>
  <si>
    <t>NETWORK TARIFF RATE</t>
  </si>
  <si>
    <t>FIXED VARIABLE</t>
  </si>
  <si>
    <t>DAYS</t>
  </si>
  <si>
    <t>NETWORK CHARGE</t>
  </si>
  <si>
    <t>REPORT MONTH</t>
  </si>
  <si>
    <t>CUSTOMER NO</t>
  </si>
  <si>
    <t>CONSUMER NO</t>
  </si>
  <si>
    <t>INVOICE DATE</t>
  </si>
  <si>
    <t>INVOICE NO</t>
  </si>
  <si>
    <t>Missed x10 Multiplier</t>
  </si>
  <si>
    <t>DET</t>
  </si>
  <si>
    <t>00000009997B3</t>
  </si>
  <si>
    <t/>
  </si>
  <si>
    <t>GFD0331</t>
  </si>
  <si>
    <t>UNET</t>
  </si>
  <si>
    <t>G100</t>
  </si>
  <si>
    <t>F</t>
  </si>
  <si>
    <t xml:space="preserve">Total reported </t>
  </si>
  <si>
    <t>kWh</t>
  </si>
  <si>
    <t>RD</t>
  </si>
  <si>
    <t>G100/24UC</t>
  </si>
  <si>
    <t>V</t>
  </si>
  <si>
    <t xml:space="preserve">FIXED </t>
  </si>
  <si>
    <t>Days</t>
  </si>
  <si>
    <t xml:space="preserve">VARIABLE </t>
  </si>
  <si>
    <t>ES</t>
  </si>
  <si>
    <t xml:space="preserve">TOTAL  </t>
  </si>
  <si>
    <t>Example shows reversal and re-reporting of prior period fixed and variable charges</t>
  </si>
  <si>
    <t>With rate change taken into account (fixed and variable rate change as of 1st December)</t>
  </si>
  <si>
    <t>Reversal of events and revised reporting (DATES and RV event)</t>
  </si>
  <si>
    <t>Total reported with multiplier</t>
  </si>
  <si>
    <t>RV</t>
  </si>
  <si>
    <t>Reversal of prior period events</t>
  </si>
  <si>
    <t>TOTAL</t>
  </si>
  <si>
    <t>Reversal of events and revised reporting - DELTA</t>
  </si>
  <si>
    <t>"Delta" Version shows difference in variable volume only</t>
  </si>
  <si>
    <t>Would not take  rate changes into account (ie all volume reported at latest rate)</t>
  </si>
  <si>
    <t>160152</t>
  </si>
  <si>
    <t xml:space="preserve">Volume (ie "delta")  reported against current month </t>
  </si>
  <si>
    <t>Taking previously reported days and volume into account</t>
  </si>
</sst>
</file>

<file path=xl/styles.xml><?xml version="1.0" encoding="utf-8"?>
<styleSheet xmlns="http://schemas.openxmlformats.org/spreadsheetml/2006/main">
  <numFmts count="3">
    <numFmt numFmtId="8" formatCode="&quot;$&quot;#,##0.00;[Red]\-&quot;$&quot;#,##0.00"/>
    <numFmt numFmtId="164" formatCode="dd\-mmm\-yy"/>
    <numFmt numFmtId="165" formatCode="&quot;$&quot;#,##0.00"/>
  </numFmts>
  <fonts count="7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Calibri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1" fillId="2" borderId="0" xfId="0" applyFont="1" applyFill="1" applyAlignment="1"/>
    <xf numFmtId="0" fontId="2" fillId="2" borderId="0" xfId="0" applyFont="1" applyFill="1" applyAlignment="1"/>
    <xf numFmtId="0" fontId="2" fillId="0" borderId="0" xfId="0" applyFont="1" applyAlignment="1"/>
    <xf numFmtId="49" fontId="2" fillId="0" borderId="0" xfId="0" applyNumberFormat="1" applyFont="1" applyAlignment="1"/>
    <xf numFmtId="0" fontId="2" fillId="0" borderId="0" xfId="0" applyFont="1" applyAlignment="1">
      <alignment horizontal="center"/>
    </xf>
    <xf numFmtId="2" fontId="2" fillId="0" borderId="0" xfId="0" applyNumberFormat="1" applyFont="1" applyAlignment="1"/>
    <xf numFmtId="0" fontId="1" fillId="0" borderId="0" xfId="0" applyFont="1" applyAlignment="1"/>
    <xf numFmtId="0" fontId="4" fillId="3" borderId="2" xfId="1" applyFont="1" applyFill="1" applyBorder="1" applyAlignment="1">
      <alignment horizontal="center" wrapText="1"/>
    </xf>
    <xf numFmtId="49" fontId="4" fillId="3" borderId="2" xfId="1" applyNumberFormat="1" applyFont="1" applyFill="1" applyBorder="1" applyAlignment="1">
      <alignment horizontal="center" wrapText="1"/>
    </xf>
    <xf numFmtId="2" fontId="4" fillId="3" borderId="2" xfId="1" applyNumberFormat="1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5" fillId="0" borderId="0" xfId="0" applyFont="1" applyAlignment="1"/>
    <xf numFmtId="0" fontId="4" fillId="0" borderId="1" xfId="1" applyFont="1" applyFill="1" applyBorder="1" applyAlignment="1"/>
    <xf numFmtId="164" fontId="4" fillId="0" borderId="1" xfId="1" applyNumberFormat="1" applyFont="1" applyFill="1" applyBorder="1" applyAlignment="1">
      <alignment horizontal="right"/>
    </xf>
    <xf numFmtId="49" fontId="4" fillId="0" borderId="0" xfId="1" applyNumberFormat="1" applyFont="1" applyAlignment="1"/>
    <xf numFmtId="0" fontId="4" fillId="0" borderId="1" xfId="1" applyFont="1" applyFill="1" applyBorder="1" applyAlignment="1">
      <alignment horizontal="right"/>
    </xf>
    <xf numFmtId="0" fontId="4" fillId="0" borderId="1" xfId="1" applyFont="1" applyFill="1" applyBorder="1" applyAlignment="1">
      <alignment horizontal="center"/>
    </xf>
    <xf numFmtId="2" fontId="4" fillId="0" borderId="1" xfId="1" applyNumberFormat="1" applyFont="1" applyFill="1" applyBorder="1" applyAlignment="1">
      <alignment horizontal="right"/>
    </xf>
    <xf numFmtId="0" fontId="4" fillId="0" borderId="0" xfId="1" applyFont="1" applyAlignment="1"/>
    <xf numFmtId="49" fontId="4" fillId="0" borderId="1" xfId="1" applyNumberFormat="1" applyFont="1" applyFill="1" applyBorder="1" applyAlignment="1">
      <alignment horizontal="right"/>
    </xf>
    <xf numFmtId="8" fontId="2" fillId="0" borderId="0" xfId="0" applyNumberFormat="1" applyFont="1" applyAlignment="1"/>
    <xf numFmtId="49" fontId="2" fillId="0" borderId="0" xfId="0" applyNumberFormat="1" applyFont="1" applyAlignment="1">
      <alignment horizontal="right"/>
    </xf>
    <xf numFmtId="49" fontId="4" fillId="0" borderId="1" xfId="1" applyNumberFormat="1" applyFont="1" applyBorder="1" applyAlignment="1"/>
    <xf numFmtId="0" fontId="4" fillId="0" borderId="0" xfId="1" applyFont="1" applyFill="1" applyAlignment="1">
      <alignment horizontal="right"/>
    </xf>
    <xf numFmtId="49" fontId="4" fillId="0" borderId="0" xfId="1" applyNumberFormat="1" applyFont="1" applyFill="1" applyAlignment="1">
      <alignment horizontal="right"/>
    </xf>
    <xf numFmtId="0" fontId="4" fillId="0" borderId="1" xfId="1" applyFont="1" applyBorder="1" applyAlignment="1"/>
    <xf numFmtId="0" fontId="6" fillId="0" borderId="0" xfId="1" applyFont="1" applyFill="1" applyBorder="1" applyAlignment="1"/>
    <xf numFmtId="0" fontId="4" fillId="0" borderId="0" xfId="1" applyFont="1" applyFill="1" applyBorder="1" applyAlignment="1"/>
    <xf numFmtId="164" fontId="4" fillId="0" borderId="0" xfId="1" applyNumberFormat="1" applyFont="1" applyFill="1" applyBorder="1" applyAlignment="1">
      <alignment horizontal="right"/>
    </xf>
    <xf numFmtId="49" fontId="4" fillId="0" borderId="0" xfId="1" applyNumberFormat="1" applyFont="1" applyBorder="1" applyAlignment="1"/>
    <xf numFmtId="0" fontId="4" fillId="0" borderId="0" xfId="1" applyFont="1" applyFill="1" applyBorder="1" applyAlignment="1">
      <alignment horizontal="right"/>
    </xf>
    <xf numFmtId="0" fontId="4" fillId="0" borderId="0" xfId="1" applyFont="1" applyFill="1" applyBorder="1" applyAlignment="1">
      <alignment horizontal="center"/>
    </xf>
    <xf numFmtId="2" fontId="4" fillId="0" borderId="0" xfId="1" applyNumberFormat="1" applyFont="1" applyFill="1" applyBorder="1" applyAlignment="1">
      <alignment horizontal="right"/>
    </xf>
    <xf numFmtId="1" fontId="4" fillId="0" borderId="1" xfId="1" applyNumberFormat="1" applyFont="1" applyFill="1" applyBorder="1" applyAlignment="1">
      <alignment horizontal="right"/>
    </xf>
    <xf numFmtId="1" fontId="2" fillId="0" borderId="0" xfId="0" applyNumberFormat="1" applyFont="1" applyAlignment="1"/>
    <xf numFmtId="8" fontId="5" fillId="2" borderId="0" xfId="0" applyNumberFormat="1" applyFont="1" applyFill="1" applyAlignment="1"/>
    <xf numFmtId="165" fontId="2" fillId="0" borderId="0" xfId="0" applyNumberFormat="1" applyFont="1" applyAlignment="1"/>
    <xf numFmtId="8" fontId="5" fillId="0" borderId="0" xfId="0" applyNumberFormat="1" applyFont="1" applyFill="1" applyAlignment="1"/>
  </cellXfs>
  <cellStyles count="2">
    <cellStyle name="Normal" xfId="0" builtinId="0"/>
    <cellStyle name="Normal_Sheet1_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2"/>
  <sheetViews>
    <sheetView tabSelected="1" workbookViewId="0">
      <selection activeCell="C5" sqref="C5"/>
    </sheetView>
  </sheetViews>
  <sheetFormatPr defaultRowHeight="15"/>
  <cols>
    <col min="1" max="1" width="7.28515625" customWidth="1"/>
    <col min="4" max="5" width="8.28515625" bestFit="1" customWidth="1"/>
    <col min="6" max="6" width="4.7109375" bestFit="1" customWidth="1"/>
    <col min="7" max="7" width="6.140625" bestFit="1" customWidth="1"/>
    <col min="8" max="8" width="6.85546875" bestFit="1" customWidth="1"/>
    <col min="9" max="9" width="7.7109375" customWidth="1"/>
    <col min="10" max="10" width="11.5703125" customWidth="1"/>
    <col min="11" max="11" width="6.7109375" bestFit="1" customWidth="1"/>
    <col min="13" max="13" width="8.28515625" bestFit="1" customWidth="1"/>
    <col min="14" max="14" width="8.42578125" bestFit="1" customWidth="1"/>
    <col min="15" max="15" width="5.28515625" bestFit="1" customWidth="1"/>
    <col min="19" max="19" width="9.5703125" bestFit="1" customWidth="1"/>
    <col min="20" max="20" width="6.7109375" bestFit="1" customWidth="1"/>
    <col min="21" max="21" width="7.140625" customWidth="1"/>
    <col min="22" max="22" width="3.28515625" customWidth="1"/>
  </cols>
  <sheetData>
    <row r="1" spans="1:26" s="3" customFormat="1" ht="12.75">
      <c r="A1" s="1" t="s">
        <v>0</v>
      </c>
      <c r="B1" s="2"/>
      <c r="G1" s="4"/>
      <c r="N1" s="5"/>
      <c r="P1" s="6"/>
    </row>
    <row r="2" spans="1:26" s="3" customFormat="1" ht="12.75">
      <c r="A2" s="7"/>
      <c r="G2" s="4"/>
      <c r="N2" s="5"/>
      <c r="P2" s="6"/>
    </row>
    <row r="3" spans="1:26" s="3" customFormat="1" ht="12.75">
      <c r="A3" s="7" t="s">
        <v>1</v>
      </c>
      <c r="G3" s="4"/>
      <c r="N3" s="5"/>
      <c r="P3" s="6"/>
    </row>
    <row r="4" spans="1:26" s="11" customFormat="1" ht="33.7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10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22</v>
      </c>
      <c r="W4" s="12" t="s">
        <v>23</v>
      </c>
    </row>
    <row r="5" spans="1:26" s="3" customFormat="1" ht="11.25">
      <c r="A5" s="13" t="s">
        <v>24</v>
      </c>
      <c r="B5" s="13" t="s">
        <v>25</v>
      </c>
      <c r="C5" s="14">
        <v>39479</v>
      </c>
      <c r="D5" s="14">
        <v>39507</v>
      </c>
      <c r="E5" s="13" t="s">
        <v>26</v>
      </c>
      <c r="F5" s="13" t="s">
        <v>26</v>
      </c>
      <c r="G5" s="15"/>
      <c r="H5" s="13" t="s">
        <v>26</v>
      </c>
      <c r="I5" s="13" t="s">
        <v>27</v>
      </c>
      <c r="J5" s="13" t="s">
        <v>28</v>
      </c>
      <c r="K5" s="13" t="s">
        <v>26</v>
      </c>
      <c r="L5" s="13" t="s">
        <v>29</v>
      </c>
      <c r="M5" s="16">
        <v>0.15</v>
      </c>
      <c r="N5" s="17" t="s">
        <v>30</v>
      </c>
      <c r="O5" s="16">
        <v>29</v>
      </c>
      <c r="P5" s="18">
        <f>SUM(M5*O5)</f>
        <v>4.3499999999999996</v>
      </c>
      <c r="Q5" s="16">
        <v>200802</v>
      </c>
      <c r="R5" s="16">
        <v>402408386</v>
      </c>
      <c r="S5" s="16">
        <v>2701721110</v>
      </c>
      <c r="T5" s="19"/>
      <c r="U5" s="19"/>
      <c r="W5" s="3" t="s">
        <v>31</v>
      </c>
    </row>
    <row r="6" spans="1:26" s="3" customFormat="1" ht="11.25">
      <c r="A6" s="13" t="s">
        <v>24</v>
      </c>
      <c r="B6" s="13" t="s">
        <v>25</v>
      </c>
      <c r="C6" s="14">
        <v>39479</v>
      </c>
      <c r="D6" s="14">
        <v>39507</v>
      </c>
      <c r="E6" s="13" t="s">
        <v>26</v>
      </c>
      <c r="F6" s="13" t="s">
        <v>32</v>
      </c>
      <c r="G6" s="20">
        <v>242</v>
      </c>
      <c r="H6" s="13" t="s">
        <v>33</v>
      </c>
      <c r="I6" s="13" t="s">
        <v>27</v>
      </c>
      <c r="J6" s="13" t="s">
        <v>28</v>
      </c>
      <c r="K6" s="13" t="s">
        <v>26</v>
      </c>
      <c r="L6" s="13" t="s">
        <v>34</v>
      </c>
      <c r="M6" s="16">
        <v>8.0399999999999999E-2</v>
      </c>
      <c r="N6" s="17" t="s">
        <v>35</v>
      </c>
      <c r="O6" s="19"/>
      <c r="P6" s="18">
        <f>SUM(G6*M6)</f>
        <v>19.456800000000001</v>
      </c>
      <c r="Q6" s="16">
        <v>200802</v>
      </c>
      <c r="R6" s="16">
        <v>402408386</v>
      </c>
      <c r="S6" s="16">
        <v>2701721110</v>
      </c>
      <c r="T6" s="19"/>
      <c r="U6" s="19"/>
      <c r="W6" s="3" t="s">
        <v>36</v>
      </c>
      <c r="X6" s="21">
        <f>SUM(P13+P11+P9+P7+P5)</f>
        <v>21.274999999999999</v>
      </c>
      <c r="Y6" s="3">
        <v>152</v>
      </c>
      <c r="Z6" s="3" t="s">
        <v>37</v>
      </c>
    </row>
    <row r="7" spans="1:26" s="3" customFormat="1" ht="11.25">
      <c r="A7" s="13" t="s">
        <v>24</v>
      </c>
      <c r="B7" s="13" t="s">
        <v>25</v>
      </c>
      <c r="C7" s="14">
        <v>39448</v>
      </c>
      <c r="D7" s="14">
        <v>39478</v>
      </c>
      <c r="E7" s="13" t="s">
        <v>26</v>
      </c>
      <c r="F7" s="13" t="s">
        <v>26</v>
      </c>
      <c r="G7" s="15"/>
      <c r="H7" s="13" t="s">
        <v>26</v>
      </c>
      <c r="I7" s="13" t="s">
        <v>27</v>
      </c>
      <c r="J7" s="13" t="s">
        <v>28</v>
      </c>
      <c r="K7" s="13" t="s">
        <v>26</v>
      </c>
      <c r="L7" s="13" t="s">
        <v>29</v>
      </c>
      <c r="M7" s="16">
        <v>0.15</v>
      </c>
      <c r="N7" s="17" t="s">
        <v>30</v>
      </c>
      <c r="O7" s="16">
        <v>31</v>
      </c>
      <c r="P7" s="18">
        <f>SUM(M7*O7)</f>
        <v>4.6499999999999995</v>
      </c>
      <c r="Q7" s="16">
        <v>200801</v>
      </c>
      <c r="R7" s="16">
        <v>402408386</v>
      </c>
      <c r="S7" s="16">
        <v>2701721110</v>
      </c>
      <c r="T7" s="19"/>
      <c r="U7" s="19"/>
      <c r="W7" s="3" t="s">
        <v>38</v>
      </c>
      <c r="X7" s="21">
        <f>SUM(P14+P12+P10+P8+P6)</f>
        <v>173.99</v>
      </c>
      <c r="Y7" s="22">
        <f>SUM(G6:G14)</f>
        <v>2268</v>
      </c>
      <c r="Z7" s="3" t="s">
        <v>32</v>
      </c>
    </row>
    <row r="8" spans="1:26" s="3" customFormat="1" ht="11.25">
      <c r="A8" s="13" t="s">
        <v>24</v>
      </c>
      <c r="B8" s="13" t="s">
        <v>25</v>
      </c>
      <c r="C8" s="14">
        <v>39448</v>
      </c>
      <c r="D8" s="14">
        <v>39478</v>
      </c>
      <c r="E8" s="13" t="s">
        <v>26</v>
      </c>
      <c r="F8" s="13" t="s">
        <v>32</v>
      </c>
      <c r="G8" s="20">
        <v>498</v>
      </c>
      <c r="H8" s="13" t="s">
        <v>39</v>
      </c>
      <c r="I8" s="13" t="s">
        <v>27</v>
      </c>
      <c r="J8" s="13" t="s">
        <v>28</v>
      </c>
      <c r="K8" s="13" t="s">
        <v>26</v>
      </c>
      <c r="L8" s="13" t="s">
        <v>34</v>
      </c>
      <c r="M8" s="16">
        <v>8.0399999999999999E-2</v>
      </c>
      <c r="N8" s="17" t="s">
        <v>35</v>
      </c>
      <c r="O8" s="19"/>
      <c r="P8" s="18">
        <f>SUM(G8*M8)</f>
        <v>40.039200000000001</v>
      </c>
      <c r="Q8" s="16">
        <v>200801</v>
      </c>
      <c r="R8" s="16">
        <v>402408386</v>
      </c>
      <c r="S8" s="16">
        <v>2701721110</v>
      </c>
      <c r="T8" s="19"/>
      <c r="U8" s="19"/>
      <c r="W8" s="3" t="s">
        <v>40</v>
      </c>
      <c r="X8" s="21">
        <f>SUM(X6:X7)</f>
        <v>195.26500000000001</v>
      </c>
    </row>
    <row r="9" spans="1:26" s="3" customFormat="1" ht="11.25">
      <c r="A9" s="13" t="s">
        <v>24</v>
      </c>
      <c r="B9" s="13" t="s">
        <v>25</v>
      </c>
      <c r="C9" s="14">
        <v>39417</v>
      </c>
      <c r="D9" s="14">
        <v>39447</v>
      </c>
      <c r="E9" s="13" t="s">
        <v>26</v>
      </c>
      <c r="F9" s="13" t="s">
        <v>26</v>
      </c>
      <c r="G9" s="15"/>
      <c r="H9" s="13" t="s">
        <v>26</v>
      </c>
      <c r="I9" s="13" t="s">
        <v>27</v>
      </c>
      <c r="J9" s="13" t="s">
        <v>28</v>
      </c>
      <c r="K9" s="13" t="s">
        <v>26</v>
      </c>
      <c r="L9" s="13" t="s">
        <v>29</v>
      </c>
      <c r="M9" s="16">
        <v>0.15</v>
      </c>
      <c r="N9" s="17" t="s">
        <v>30</v>
      </c>
      <c r="O9" s="16">
        <v>31</v>
      </c>
      <c r="P9" s="18">
        <f>SUM(M9*O9)</f>
        <v>4.6499999999999995</v>
      </c>
      <c r="Q9" s="16">
        <v>200712</v>
      </c>
      <c r="R9" s="16">
        <v>402408386</v>
      </c>
      <c r="S9" s="16">
        <v>2701721110</v>
      </c>
      <c r="T9" s="19"/>
      <c r="U9" s="19"/>
    </row>
    <row r="10" spans="1:26" s="3" customFormat="1" ht="11.25">
      <c r="A10" s="13" t="s">
        <v>24</v>
      </c>
      <c r="B10" s="13" t="s">
        <v>25</v>
      </c>
      <c r="C10" s="14">
        <v>39417</v>
      </c>
      <c r="D10" s="14">
        <v>39447</v>
      </c>
      <c r="E10" s="13" t="s">
        <v>26</v>
      </c>
      <c r="F10" s="13" t="s">
        <v>32</v>
      </c>
      <c r="G10" s="20">
        <v>299</v>
      </c>
      <c r="H10" s="13" t="s">
        <v>33</v>
      </c>
      <c r="I10" s="13" t="s">
        <v>27</v>
      </c>
      <c r="J10" s="13" t="s">
        <v>28</v>
      </c>
      <c r="K10" s="13" t="s">
        <v>26</v>
      </c>
      <c r="L10" s="13" t="s">
        <v>34</v>
      </c>
      <c r="M10" s="16">
        <v>8.0399999999999999E-2</v>
      </c>
      <c r="N10" s="17" t="s">
        <v>35</v>
      </c>
      <c r="O10" s="19"/>
      <c r="P10" s="18">
        <f>SUM(G10*M10)</f>
        <v>24.0396</v>
      </c>
      <c r="Q10" s="16">
        <v>200712</v>
      </c>
      <c r="R10" s="16">
        <v>402408386</v>
      </c>
      <c r="S10" s="16">
        <v>2701721110</v>
      </c>
      <c r="T10" s="19"/>
      <c r="U10" s="19"/>
      <c r="W10" s="3" t="s">
        <v>41</v>
      </c>
    </row>
    <row r="11" spans="1:26" s="3" customFormat="1" ht="11.25">
      <c r="A11" s="13" t="s">
        <v>24</v>
      </c>
      <c r="B11" s="13" t="s">
        <v>25</v>
      </c>
      <c r="C11" s="14">
        <v>39387</v>
      </c>
      <c r="D11" s="14">
        <v>39416</v>
      </c>
      <c r="E11" s="13" t="s">
        <v>26</v>
      </c>
      <c r="F11" s="13" t="s">
        <v>26</v>
      </c>
      <c r="G11" s="23"/>
      <c r="H11" s="13" t="s">
        <v>26</v>
      </c>
      <c r="I11" s="13" t="s">
        <v>27</v>
      </c>
      <c r="J11" s="13" t="s">
        <v>28</v>
      </c>
      <c r="K11" s="13" t="s">
        <v>26</v>
      </c>
      <c r="L11" s="13" t="s">
        <v>29</v>
      </c>
      <c r="M11" s="16">
        <v>0.125</v>
      </c>
      <c r="N11" s="17" t="s">
        <v>30</v>
      </c>
      <c r="O11" s="24">
        <v>30</v>
      </c>
      <c r="P11" s="18">
        <f>SUM(M11*O11)</f>
        <v>3.75</v>
      </c>
      <c r="Q11" s="16">
        <v>200711</v>
      </c>
      <c r="R11" s="16">
        <v>402408386</v>
      </c>
      <c r="S11" s="16">
        <v>2701721110</v>
      </c>
      <c r="T11" s="19"/>
      <c r="U11" s="19"/>
      <c r="W11" s="3" t="s">
        <v>42</v>
      </c>
    </row>
    <row r="12" spans="1:26" s="3" customFormat="1" ht="11.25">
      <c r="A12" s="13" t="s">
        <v>24</v>
      </c>
      <c r="B12" s="13" t="s">
        <v>25</v>
      </c>
      <c r="C12" s="14">
        <v>39387</v>
      </c>
      <c r="D12" s="14">
        <v>39416</v>
      </c>
      <c r="E12" s="13" t="s">
        <v>26</v>
      </c>
      <c r="F12" s="13" t="s">
        <v>32</v>
      </c>
      <c r="G12" s="25">
        <v>540</v>
      </c>
      <c r="H12" s="13" t="s">
        <v>39</v>
      </c>
      <c r="I12" s="13" t="s">
        <v>27</v>
      </c>
      <c r="J12" s="13" t="s">
        <v>28</v>
      </c>
      <c r="K12" s="13" t="s">
        <v>26</v>
      </c>
      <c r="L12" s="13" t="s">
        <v>34</v>
      </c>
      <c r="M12" s="16">
        <v>7.3599999999999999E-2</v>
      </c>
      <c r="N12" s="17" t="s">
        <v>35</v>
      </c>
      <c r="O12" s="26"/>
      <c r="P12" s="18">
        <f>SUM(G12*M12)</f>
        <v>39.744</v>
      </c>
      <c r="Q12" s="16">
        <v>200711</v>
      </c>
      <c r="R12" s="16">
        <v>402408386</v>
      </c>
      <c r="S12" s="16">
        <v>2701721110</v>
      </c>
      <c r="T12" s="19"/>
      <c r="U12" s="19"/>
    </row>
    <row r="13" spans="1:26" s="3" customFormat="1" ht="11.25">
      <c r="A13" s="13" t="s">
        <v>24</v>
      </c>
      <c r="B13" s="13" t="s">
        <v>25</v>
      </c>
      <c r="C13" s="14">
        <v>39356</v>
      </c>
      <c r="D13" s="14">
        <v>39386</v>
      </c>
      <c r="E13" s="13" t="s">
        <v>26</v>
      </c>
      <c r="F13" s="13" t="s">
        <v>26</v>
      </c>
      <c r="G13" s="15"/>
      <c r="H13" s="13" t="s">
        <v>26</v>
      </c>
      <c r="I13" s="13" t="s">
        <v>27</v>
      </c>
      <c r="J13" s="13" t="s">
        <v>28</v>
      </c>
      <c r="K13" s="13" t="s">
        <v>26</v>
      </c>
      <c r="L13" s="13" t="s">
        <v>29</v>
      </c>
      <c r="M13" s="16">
        <v>0.125</v>
      </c>
      <c r="N13" s="17" t="s">
        <v>30</v>
      </c>
      <c r="O13" s="16">
        <v>31</v>
      </c>
      <c r="P13" s="18">
        <f>SUM(M13*O13)</f>
        <v>3.875</v>
      </c>
      <c r="Q13" s="16">
        <v>200710</v>
      </c>
      <c r="R13" s="16">
        <v>402408386</v>
      </c>
      <c r="S13" s="16">
        <v>2701721110</v>
      </c>
      <c r="T13" s="19"/>
      <c r="U13" s="19"/>
    </row>
    <row r="14" spans="1:26" s="3" customFormat="1" ht="11.25">
      <c r="A14" s="13" t="s">
        <v>24</v>
      </c>
      <c r="B14" s="13" t="s">
        <v>25</v>
      </c>
      <c r="C14" s="14">
        <v>39356</v>
      </c>
      <c r="D14" s="14">
        <v>39386</v>
      </c>
      <c r="E14" s="13" t="s">
        <v>26</v>
      </c>
      <c r="F14" s="13" t="s">
        <v>32</v>
      </c>
      <c r="G14" s="20">
        <v>689</v>
      </c>
      <c r="H14" s="13" t="s">
        <v>33</v>
      </c>
      <c r="I14" s="13" t="s">
        <v>27</v>
      </c>
      <c r="J14" s="13" t="s">
        <v>28</v>
      </c>
      <c r="K14" s="13" t="s">
        <v>26</v>
      </c>
      <c r="L14" s="13" t="s">
        <v>34</v>
      </c>
      <c r="M14" s="16">
        <v>7.3599999999999999E-2</v>
      </c>
      <c r="N14" s="17" t="s">
        <v>35</v>
      </c>
      <c r="O14" s="19"/>
      <c r="P14" s="18">
        <f>SUM(G14*M14)</f>
        <v>50.7104</v>
      </c>
      <c r="Q14" s="16">
        <v>200710</v>
      </c>
      <c r="R14" s="16">
        <v>402408386</v>
      </c>
      <c r="S14" s="16">
        <v>2701721110</v>
      </c>
      <c r="T14" s="19"/>
      <c r="U14" s="19"/>
    </row>
    <row r="15" spans="1:26" s="3" customFormat="1" ht="11.25">
      <c r="A15" s="13"/>
      <c r="B15" s="13"/>
      <c r="C15" s="14"/>
      <c r="D15" s="14"/>
      <c r="E15" s="13"/>
      <c r="F15" s="13"/>
      <c r="G15" s="23"/>
      <c r="H15" s="13"/>
      <c r="I15" s="13"/>
      <c r="J15" s="13"/>
      <c r="K15" s="13"/>
      <c r="L15" s="13"/>
      <c r="M15" s="16"/>
      <c r="N15" s="17"/>
      <c r="O15" s="24"/>
      <c r="P15" s="18"/>
      <c r="Q15" s="16"/>
      <c r="R15" s="16"/>
      <c r="S15" s="16"/>
      <c r="T15" s="19"/>
      <c r="U15" s="19"/>
    </row>
    <row r="16" spans="1:26" s="3" customFormat="1" ht="11.25">
      <c r="A16" s="27" t="s">
        <v>43</v>
      </c>
      <c r="B16" s="28"/>
      <c r="C16" s="29"/>
      <c r="D16" s="29"/>
      <c r="E16" s="28"/>
      <c r="F16" s="28"/>
      <c r="G16" s="30"/>
      <c r="H16" s="28"/>
      <c r="I16" s="28"/>
      <c r="J16" s="28"/>
      <c r="K16" s="28"/>
      <c r="L16" s="28"/>
      <c r="M16" s="31"/>
      <c r="N16" s="32"/>
      <c r="O16" s="24"/>
      <c r="P16" s="33"/>
      <c r="Q16" s="31"/>
      <c r="R16" s="31"/>
      <c r="S16" s="31"/>
      <c r="T16" s="19"/>
      <c r="U16" s="19"/>
    </row>
    <row r="17" spans="1:26" s="11" customFormat="1" ht="33.75">
      <c r="A17" s="8" t="s">
        <v>2</v>
      </c>
      <c r="B17" s="8" t="s">
        <v>3</v>
      </c>
      <c r="C17" s="8" t="s">
        <v>4</v>
      </c>
      <c r="D17" s="8" t="s">
        <v>5</v>
      </c>
      <c r="E17" s="8" t="s">
        <v>6</v>
      </c>
      <c r="F17" s="8" t="s">
        <v>7</v>
      </c>
      <c r="G17" s="9" t="s">
        <v>8</v>
      </c>
      <c r="H17" s="8" t="s">
        <v>9</v>
      </c>
      <c r="I17" s="8" t="s">
        <v>10</v>
      </c>
      <c r="J17" s="8" t="s">
        <v>11</v>
      </c>
      <c r="K17" s="8" t="s">
        <v>12</v>
      </c>
      <c r="L17" s="8" t="s">
        <v>13</v>
      </c>
      <c r="M17" s="8" t="s">
        <v>14</v>
      </c>
      <c r="N17" s="8" t="s">
        <v>15</v>
      </c>
      <c r="O17" s="8" t="s">
        <v>16</v>
      </c>
      <c r="P17" s="10" t="s">
        <v>17</v>
      </c>
      <c r="Q17" s="8" t="s">
        <v>18</v>
      </c>
      <c r="R17" s="8" t="s">
        <v>19</v>
      </c>
      <c r="S17" s="8" t="s">
        <v>20</v>
      </c>
      <c r="T17" s="8" t="s">
        <v>21</v>
      </c>
      <c r="U17" s="8" t="s">
        <v>22</v>
      </c>
    </row>
    <row r="18" spans="1:26" s="3" customFormat="1" ht="11.25">
      <c r="A18" s="13" t="s">
        <v>24</v>
      </c>
      <c r="B18" s="13" t="s">
        <v>25</v>
      </c>
      <c r="C18" s="14">
        <v>39417</v>
      </c>
      <c r="D18" s="14">
        <v>39538</v>
      </c>
      <c r="E18" s="13" t="s">
        <v>26</v>
      </c>
      <c r="F18" s="13" t="s">
        <v>26</v>
      </c>
      <c r="G18" s="15"/>
      <c r="H18" s="13" t="s">
        <v>26</v>
      </c>
      <c r="I18" s="13" t="s">
        <v>27</v>
      </c>
      <c r="J18" s="13" t="s">
        <v>28</v>
      </c>
      <c r="K18" s="13" t="s">
        <v>26</v>
      </c>
      <c r="L18" s="13" t="s">
        <v>29</v>
      </c>
      <c r="M18" s="16">
        <v>0.15</v>
      </c>
      <c r="N18" s="17" t="s">
        <v>30</v>
      </c>
      <c r="O18" s="16">
        <v>122</v>
      </c>
      <c r="P18" s="18">
        <f>SUM(O18*M18)</f>
        <v>18.3</v>
      </c>
      <c r="Q18" s="16">
        <v>200803</v>
      </c>
      <c r="R18" s="16">
        <v>402408386</v>
      </c>
      <c r="S18" s="16">
        <v>2701721110</v>
      </c>
      <c r="T18" s="19"/>
      <c r="U18" s="19"/>
      <c r="W18" s="3" t="s">
        <v>44</v>
      </c>
    </row>
    <row r="19" spans="1:26" s="3" customFormat="1" ht="11.25">
      <c r="A19" s="13" t="s">
        <v>24</v>
      </c>
      <c r="B19" s="13" t="s">
        <v>25</v>
      </c>
      <c r="C19" s="14">
        <v>39417</v>
      </c>
      <c r="D19" s="14">
        <v>39538</v>
      </c>
      <c r="E19" s="13" t="s">
        <v>26</v>
      </c>
      <c r="F19" s="13" t="s">
        <v>32</v>
      </c>
      <c r="G19" s="34">
        <v>88680</v>
      </c>
      <c r="H19" s="13" t="s">
        <v>33</v>
      </c>
      <c r="I19" s="13" t="s">
        <v>27</v>
      </c>
      <c r="J19" s="13" t="s">
        <v>28</v>
      </c>
      <c r="K19" s="13" t="s">
        <v>26</v>
      </c>
      <c r="L19" s="13" t="s">
        <v>34</v>
      </c>
      <c r="M19" s="16">
        <v>8.0399999999999999E-2</v>
      </c>
      <c r="N19" s="17" t="s">
        <v>35</v>
      </c>
      <c r="O19" s="19"/>
      <c r="P19" s="18">
        <f>SUM(G19*M19)</f>
        <v>7129.8720000000003</v>
      </c>
      <c r="Q19" s="16">
        <v>200803</v>
      </c>
      <c r="R19" s="16">
        <v>402408386</v>
      </c>
      <c r="S19" s="16">
        <v>2701721110</v>
      </c>
      <c r="T19" s="19"/>
      <c r="U19" s="19"/>
      <c r="W19" s="3" t="s">
        <v>36</v>
      </c>
      <c r="X19" s="21">
        <f>SUM(P18+P20)</f>
        <v>27.450000000000003</v>
      </c>
      <c r="Y19" s="3">
        <f>SUM(O18:O20)</f>
        <v>183</v>
      </c>
      <c r="Z19" s="3" t="s">
        <v>37</v>
      </c>
    </row>
    <row r="20" spans="1:26" s="3" customFormat="1" ht="11.25">
      <c r="A20" s="13" t="s">
        <v>24</v>
      </c>
      <c r="B20" s="13" t="s">
        <v>25</v>
      </c>
      <c r="C20" s="14">
        <v>39356</v>
      </c>
      <c r="D20" s="14">
        <v>39416</v>
      </c>
      <c r="E20" s="13" t="s">
        <v>26</v>
      </c>
      <c r="F20" s="13" t="s">
        <v>26</v>
      </c>
      <c r="G20" s="15"/>
      <c r="H20" s="13" t="s">
        <v>26</v>
      </c>
      <c r="I20" s="13" t="s">
        <v>27</v>
      </c>
      <c r="J20" s="13" t="s">
        <v>28</v>
      </c>
      <c r="K20" s="13" t="s">
        <v>26</v>
      </c>
      <c r="L20" s="13" t="s">
        <v>29</v>
      </c>
      <c r="M20" s="16">
        <v>0.15</v>
      </c>
      <c r="N20" s="17" t="s">
        <v>30</v>
      </c>
      <c r="O20" s="16">
        <v>61</v>
      </c>
      <c r="P20" s="18">
        <f>SUM(O20*M20)</f>
        <v>9.15</v>
      </c>
      <c r="Q20" s="16">
        <v>200803</v>
      </c>
      <c r="R20" s="16">
        <v>402408386</v>
      </c>
      <c r="S20" s="16">
        <v>2701721110</v>
      </c>
      <c r="T20" s="19"/>
      <c r="U20" s="19"/>
      <c r="W20" s="3" t="s">
        <v>38</v>
      </c>
      <c r="X20" s="21">
        <f>SUM(P21+P19)</f>
        <v>12557.136</v>
      </c>
      <c r="Y20" s="35">
        <f>SUM(G19:G21)</f>
        <v>162420</v>
      </c>
      <c r="Z20" s="3" t="s">
        <v>32</v>
      </c>
    </row>
    <row r="21" spans="1:26" s="3" customFormat="1" ht="11.25">
      <c r="A21" s="13" t="s">
        <v>24</v>
      </c>
      <c r="B21" s="13" t="s">
        <v>25</v>
      </c>
      <c r="C21" s="14">
        <v>39356</v>
      </c>
      <c r="D21" s="14">
        <v>39416</v>
      </c>
      <c r="E21" s="13" t="s">
        <v>26</v>
      </c>
      <c r="F21" s="13" t="s">
        <v>32</v>
      </c>
      <c r="G21" s="34">
        <v>73740</v>
      </c>
      <c r="H21" s="13" t="s">
        <v>33</v>
      </c>
      <c r="I21" s="13" t="s">
        <v>27</v>
      </c>
      <c r="J21" s="13" t="s">
        <v>28</v>
      </c>
      <c r="K21" s="13" t="s">
        <v>26</v>
      </c>
      <c r="L21" s="13" t="s">
        <v>34</v>
      </c>
      <c r="M21" s="16">
        <v>7.3599999999999999E-2</v>
      </c>
      <c r="N21" s="17" t="s">
        <v>35</v>
      </c>
      <c r="O21" s="19"/>
      <c r="P21" s="18">
        <f>SUM(G21*M21)</f>
        <v>5427.2640000000001</v>
      </c>
      <c r="Q21" s="16">
        <v>200803</v>
      </c>
      <c r="R21" s="16">
        <v>402408386</v>
      </c>
      <c r="S21" s="16">
        <v>2701721110</v>
      </c>
      <c r="T21" s="19"/>
      <c r="U21" s="19"/>
      <c r="W21" s="3" t="s">
        <v>40</v>
      </c>
      <c r="X21" s="36">
        <f>SUM(X19:X20)</f>
        <v>12584.586000000001</v>
      </c>
    </row>
    <row r="22" spans="1:26" s="3" customFormat="1" ht="11.25">
      <c r="A22" s="13" t="s">
        <v>24</v>
      </c>
      <c r="B22" s="13" t="s">
        <v>25</v>
      </c>
      <c r="C22" s="14">
        <v>39417</v>
      </c>
      <c r="D22" s="14">
        <v>39507</v>
      </c>
      <c r="E22" s="13" t="s">
        <v>26</v>
      </c>
      <c r="F22" s="13" t="s">
        <v>26</v>
      </c>
      <c r="G22" s="15"/>
      <c r="H22" s="13" t="s">
        <v>26</v>
      </c>
      <c r="I22" s="13" t="s">
        <v>27</v>
      </c>
      <c r="J22" s="13" t="s">
        <v>28</v>
      </c>
      <c r="K22" s="13" t="s">
        <v>26</v>
      </c>
      <c r="L22" s="13" t="s">
        <v>29</v>
      </c>
      <c r="M22" s="16">
        <v>0.15</v>
      </c>
      <c r="N22" s="17" t="s">
        <v>30</v>
      </c>
      <c r="O22" s="16">
        <v>-91</v>
      </c>
      <c r="P22" s="18">
        <f>SUM(O22*M22)</f>
        <v>-13.65</v>
      </c>
      <c r="Q22" s="16">
        <v>200803</v>
      </c>
      <c r="R22" s="16">
        <v>402408386</v>
      </c>
      <c r="S22" s="16">
        <v>2701721110</v>
      </c>
      <c r="T22" s="19"/>
      <c r="U22" s="19"/>
    </row>
    <row r="23" spans="1:26" s="3" customFormat="1" ht="11.25">
      <c r="A23" s="13" t="s">
        <v>24</v>
      </c>
      <c r="B23" s="13" t="s">
        <v>25</v>
      </c>
      <c r="C23" s="14">
        <v>39417</v>
      </c>
      <c r="D23" s="14">
        <v>39507</v>
      </c>
      <c r="E23" s="13" t="s">
        <v>26</v>
      </c>
      <c r="F23" s="13" t="s">
        <v>32</v>
      </c>
      <c r="G23" s="34">
        <v>-1039</v>
      </c>
      <c r="H23" s="13" t="s">
        <v>45</v>
      </c>
      <c r="I23" s="13" t="s">
        <v>27</v>
      </c>
      <c r="J23" s="13" t="s">
        <v>28</v>
      </c>
      <c r="K23" s="13" t="s">
        <v>26</v>
      </c>
      <c r="L23" s="13" t="s">
        <v>34</v>
      </c>
      <c r="M23" s="16">
        <v>8.0399999999999999E-2</v>
      </c>
      <c r="N23" s="17" t="s">
        <v>35</v>
      </c>
      <c r="O23" s="19"/>
      <c r="P23" s="18">
        <f>SUM(G23*M23)</f>
        <v>-83.535600000000002</v>
      </c>
      <c r="Q23" s="16">
        <v>200803</v>
      </c>
      <c r="R23" s="16">
        <v>402408386</v>
      </c>
      <c r="S23" s="16">
        <v>2701721110</v>
      </c>
      <c r="T23" s="19"/>
      <c r="U23" s="19"/>
      <c r="W23" s="3" t="s">
        <v>46</v>
      </c>
    </row>
    <row r="24" spans="1:26" s="3" customFormat="1" ht="11.25">
      <c r="A24" s="13" t="s">
        <v>24</v>
      </c>
      <c r="B24" s="13" t="s">
        <v>25</v>
      </c>
      <c r="C24" s="14">
        <v>39356</v>
      </c>
      <c r="D24" s="14">
        <v>39416</v>
      </c>
      <c r="E24" s="13" t="s">
        <v>26</v>
      </c>
      <c r="F24" s="13" t="s">
        <v>26</v>
      </c>
      <c r="G24" s="15"/>
      <c r="H24" s="13" t="s">
        <v>26</v>
      </c>
      <c r="I24" s="13" t="s">
        <v>27</v>
      </c>
      <c r="J24" s="13" t="s">
        <v>28</v>
      </c>
      <c r="K24" s="13" t="s">
        <v>26</v>
      </c>
      <c r="L24" s="13" t="s">
        <v>29</v>
      </c>
      <c r="M24" s="16">
        <v>0.125</v>
      </c>
      <c r="N24" s="17" t="s">
        <v>30</v>
      </c>
      <c r="O24" s="16">
        <v>-61</v>
      </c>
      <c r="P24" s="18">
        <f>SUM(O24*M24)</f>
        <v>-7.625</v>
      </c>
      <c r="Q24" s="16">
        <v>200803</v>
      </c>
      <c r="R24" s="16">
        <v>402408386</v>
      </c>
      <c r="S24" s="16">
        <v>2701721110</v>
      </c>
      <c r="T24" s="19"/>
      <c r="U24" s="19"/>
      <c r="W24" s="3" t="s">
        <v>36</v>
      </c>
      <c r="X24" s="21">
        <f>SUM(P22+P24)</f>
        <v>-21.274999999999999</v>
      </c>
      <c r="Y24" s="3">
        <f>SUM(O22:O24)</f>
        <v>-152</v>
      </c>
      <c r="Z24" s="3" t="s">
        <v>37</v>
      </c>
    </row>
    <row r="25" spans="1:26" s="3" customFormat="1" ht="11.25">
      <c r="A25" s="13" t="s">
        <v>24</v>
      </c>
      <c r="B25" s="13" t="s">
        <v>25</v>
      </c>
      <c r="C25" s="14">
        <v>39356</v>
      </c>
      <c r="D25" s="14">
        <v>39416</v>
      </c>
      <c r="E25" s="13" t="s">
        <v>26</v>
      </c>
      <c r="F25" s="13" t="s">
        <v>32</v>
      </c>
      <c r="G25" s="34">
        <v>-1229</v>
      </c>
      <c r="H25" s="13" t="s">
        <v>45</v>
      </c>
      <c r="I25" s="13" t="s">
        <v>27</v>
      </c>
      <c r="J25" s="13" t="s">
        <v>28</v>
      </c>
      <c r="K25" s="13" t="s">
        <v>26</v>
      </c>
      <c r="L25" s="13" t="s">
        <v>34</v>
      </c>
      <c r="M25" s="16">
        <v>7.3599999999999999E-2</v>
      </c>
      <c r="N25" s="17" t="s">
        <v>35</v>
      </c>
      <c r="O25" s="19"/>
      <c r="P25" s="18">
        <f>SUM(G25*M25)</f>
        <v>-90.454399999999993</v>
      </c>
      <c r="Q25" s="16">
        <v>200803</v>
      </c>
      <c r="R25" s="16">
        <v>402408386</v>
      </c>
      <c r="S25" s="16">
        <v>2701721110</v>
      </c>
      <c r="T25" s="19"/>
      <c r="U25" s="19"/>
      <c r="W25" s="3" t="s">
        <v>38</v>
      </c>
      <c r="X25" s="21">
        <f>SUM(P23+P25)</f>
        <v>-173.99</v>
      </c>
      <c r="Y25" s="35">
        <f>SUM(G23:G25)</f>
        <v>-2268</v>
      </c>
      <c r="Z25" s="3" t="s">
        <v>32</v>
      </c>
    </row>
    <row r="26" spans="1:26" s="3" customFormat="1" ht="11.25">
      <c r="A26" s="13"/>
      <c r="B26" s="13"/>
      <c r="C26" s="14"/>
      <c r="D26" s="14"/>
      <c r="E26" s="13"/>
      <c r="F26" s="13"/>
      <c r="G26" s="25"/>
      <c r="H26" s="13"/>
      <c r="I26" s="13"/>
      <c r="J26" s="13"/>
      <c r="K26" s="13"/>
      <c r="L26" s="13"/>
      <c r="M26" s="16"/>
      <c r="N26" s="17"/>
      <c r="O26" s="26"/>
      <c r="P26" s="18"/>
      <c r="Q26" s="16"/>
      <c r="R26" s="16"/>
      <c r="S26" s="16"/>
      <c r="T26" s="19"/>
      <c r="U26" s="19"/>
      <c r="W26" s="3" t="s">
        <v>47</v>
      </c>
      <c r="X26" s="21">
        <f>SUM(X24:X25)</f>
        <v>-195.26500000000001</v>
      </c>
      <c r="Z26" s="21"/>
    </row>
    <row r="27" spans="1:26" s="3" customFormat="1" ht="11.25">
      <c r="A27" s="13"/>
      <c r="B27" s="13"/>
      <c r="C27" s="14"/>
      <c r="D27" s="14"/>
      <c r="E27" s="13"/>
      <c r="F27" s="13"/>
      <c r="G27" s="25"/>
      <c r="H27" s="13"/>
      <c r="I27" s="13"/>
      <c r="J27" s="13"/>
      <c r="K27" s="13"/>
      <c r="L27" s="13"/>
      <c r="M27" s="16"/>
      <c r="N27" s="17"/>
      <c r="O27" s="26"/>
      <c r="P27" s="18"/>
      <c r="Q27" s="16"/>
      <c r="R27" s="16"/>
      <c r="S27" s="16"/>
      <c r="T27" s="19"/>
      <c r="U27" s="19"/>
      <c r="X27" s="21"/>
    </row>
    <row r="28" spans="1:26" s="3" customFormat="1" ht="11.25">
      <c r="A28" s="27" t="s">
        <v>48</v>
      </c>
      <c r="B28" s="28"/>
      <c r="C28" s="29"/>
      <c r="D28" s="29"/>
      <c r="E28" s="28"/>
      <c r="F28" s="28"/>
      <c r="G28" s="30"/>
      <c r="H28" s="28"/>
      <c r="I28" s="28"/>
      <c r="J28" s="28"/>
      <c r="K28" s="28"/>
      <c r="L28" s="28"/>
      <c r="M28" s="31"/>
      <c r="N28" s="32"/>
      <c r="O28" s="24"/>
      <c r="P28" s="33"/>
      <c r="Q28" s="31"/>
      <c r="R28" s="31"/>
      <c r="S28" s="31"/>
      <c r="T28" s="19"/>
      <c r="U28" s="19"/>
    </row>
    <row r="29" spans="1:26" s="11" customFormat="1" ht="33.75">
      <c r="A29" s="8" t="s">
        <v>2</v>
      </c>
      <c r="B29" s="8" t="s">
        <v>3</v>
      </c>
      <c r="C29" s="8" t="s">
        <v>4</v>
      </c>
      <c r="D29" s="8" t="s">
        <v>5</v>
      </c>
      <c r="E29" s="8" t="s">
        <v>6</v>
      </c>
      <c r="F29" s="8" t="s">
        <v>7</v>
      </c>
      <c r="G29" s="9" t="s">
        <v>8</v>
      </c>
      <c r="H29" s="8" t="s">
        <v>9</v>
      </c>
      <c r="I29" s="8" t="s">
        <v>10</v>
      </c>
      <c r="J29" s="8" t="s">
        <v>11</v>
      </c>
      <c r="K29" s="8" t="s">
        <v>12</v>
      </c>
      <c r="L29" s="8" t="s">
        <v>13</v>
      </c>
      <c r="M29" s="8" t="s">
        <v>14</v>
      </c>
      <c r="N29" s="8" t="s">
        <v>15</v>
      </c>
      <c r="O29" s="8" t="s">
        <v>16</v>
      </c>
      <c r="P29" s="10" t="s">
        <v>17</v>
      </c>
      <c r="Q29" s="8" t="s">
        <v>18</v>
      </c>
      <c r="R29" s="8" t="s">
        <v>19</v>
      </c>
      <c r="S29" s="8" t="s">
        <v>20</v>
      </c>
      <c r="T29" s="8" t="s">
        <v>21</v>
      </c>
      <c r="U29" s="8" t="s">
        <v>22</v>
      </c>
      <c r="W29" s="3" t="s">
        <v>49</v>
      </c>
    </row>
    <row r="30" spans="1:26" s="3" customFormat="1" ht="11.25">
      <c r="A30" s="13" t="s">
        <v>24</v>
      </c>
      <c r="B30" s="13" t="s">
        <v>25</v>
      </c>
      <c r="C30" s="14">
        <v>39508</v>
      </c>
      <c r="D30" s="14">
        <v>39538</v>
      </c>
      <c r="E30" s="13" t="s">
        <v>26</v>
      </c>
      <c r="F30" s="13" t="s">
        <v>26</v>
      </c>
      <c r="G30" s="15"/>
      <c r="H30" s="13" t="s">
        <v>26</v>
      </c>
      <c r="I30" s="13" t="s">
        <v>27</v>
      </c>
      <c r="J30" s="13" t="s">
        <v>28</v>
      </c>
      <c r="K30" s="13" t="s">
        <v>26</v>
      </c>
      <c r="L30" s="13" t="s">
        <v>29</v>
      </c>
      <c r="M30" s="16">
        <v>0.15</v>
      </c>
      <c r="N30" s="17" t="s">
        <v>30</v>
      </c>
      <c r="O30" s="16">
        <v>31</v>
      </c>
      <c r="P30" s="18">
        <f>SUM(O30*M30)</f>
        <v>4.6499999999999995</v>
      </c>
      <c r="Q30" s="16">
        <v>200803</v>
      </c>
      <c r="R30" s="16">
        <v>402408386</v>
      </c>
      <c r="S30" s="16">
        <v>2701721110</v>
      </c>
      <c r="T30" s="19"/>
      <c r="U30" s="19"/>
      <c r="W30" s="3" t="s">
        <v>50</v>
      </c>
    </row>
    <row r="31" spans="1:26" s="3" customFormat="1" ht="11.25">
      <c r="A31" s="13" t="s">
        <v>24</v>
      </c>
      <c r="B31" s="13" t="s">
        <v>25</v>
      </c>
      <c r="C31" s="14">
        <v>39508</v>
      </c>
      <c r="D31" s="14">
        <v>39538</v>
      </c>
      <c r="E31" s="13" t="s">
        <v>26</v>
      </c>
      <c r="F31" s="13" t="s">
        <v>32</v>
      </c>
      <c r="G31" s="20" t="s">
        <v>51</v>
      </c>
      <c r="H31" s="13" t="s">
        <v>33</v>
      </c>
      <c r="I31" s="13" t="s">
        <v>27</v>
      </c>
      <c r="J31" s="13" t="s">
        <v>28</v>
      </c>
      <c r="K31" s="13" t="s">
        <v>26</v>
      </c>
      <c r="L31" s="13" t="s">
        <v>34</v>
      </c>
      <c r="M31" s="16">
        <v>8.0399999999999999E-2</v>
      </c>
      <c r="N31" s="17" t="s">
        <v>35</v>
      </c>
      <c r="O31" s="19"/>
      <c r="P31" s="18">
        <f>SUM(G31*M31)</f>
        <v>12876.220799999999</v>
      </c>
      <c r="Q31" s="16">
        <v>200803</v>
      </c>
      <c r="R31" s="16">
        <v>402408386</v>
      </c>
      <c r="S31" s="16">
        <v>2701721110</v>
      </c>
      <c r="T31" s="19"/>
      <c r="U31" s="19"/>
      <c r="W31" s="3" t="s">
        <v>52</v>
      </c>
    </row>
    <row r="32" spans="1:26" s="3" customFormat="1" ht="11.25">
      <c r="A32" s="13"/>
      <c r="B32" s="13"/>
      <c r="C32" s="14"/>
      <c r="E32" s="13"/>
      <c r="F32" s="13"/>
      <c r="G32" s="15"/>
      <c r="H32" s="13"/>
      <c r="I32" s="13"/>
      <c r="J32" s="13"/>
      <c r="K32" s="13"/>
      <c r="L32" s="13"/>
      <c r="M32" s="16"/>
      <c r="N32" s="17"/>
      <c r="O32" s="16"/>
      <c r="P32" s="18"/>
      <c r="Q32" s="16"/>
      <c r="R32" s="16"/>
      <c r="S32" s="16"/>
      <c r="T32" s="19"/>
      <c r="U32" s="19"/>
    </row>
    <row r="33" spans="1:26" s="3" customFormat="1" ht="11.25">
      <c r="A33" s="13"/>
      <c r="B33" s="13"/>
      <c r="C33" s="14"/>
      <c r="E33" s="13"/>
      <c r="F33" s="13"/>
      <c r="G33" s="18"/>
      <c r="H33" s="13"/>
      <c r="I33" s="13"/>
      <c r="J33" s="13"/>
      <c r="K33" s="13"/>
      <c r="L33" s="13"/>
      <c r="M33" s="16"/>
      <c r="N33" s="17"/>
      <c r="O33" s="19"/>
      <c r="P33" s="18"/>
      <c r="Q33" s="16"/>
      <c r="R33" s="16"/>
      <c r="S33" s="16"/>
      <c r="T33" s="19"/>
      <c r="U33" s="19"/>
      <c r="W33" s="3" t="s">
        <v>44</v>
      </c>
      <c r="Y33" s="3" t="s">
        <v>37</v>
      </c>
    </row>
    <row r="34" spans="1:26" s="3" customFormat="1" ht="11.25">
      <c r="A34" s="13"/>
      <c r="B34" s="13"/>
      <c r="C34" s="14"/>
      <c r="D34" s="14"/>
      <c r="E34" s="13"/>
      <c r="F34" s="13"/>
      <c r="G34" s="25"/>
      <c r="H34" s="13"/>
      <c r="I34" s="13"/>
      <c r="J34" s="13"/>
      <c r="K34" s="13"/>
      <c r="L34" s="13"/>
      <c r="M34" s="16"/>
      <c r="N34" s="17"/>
      <c r="O34" s="26"/>
      <c r="P34" s="18"/>
      <c r="Q34" s="16"/>
      <c r="R34" s="16"/>
      <c r="S34" s="16"/>
      <c r="T34" s="19"/>
      <c r="U34" s="19"/>
      <c r="W34" s="3" t="s">
        <v>36</v>
      </c>
      <c r="X34" s="21">
        <f>SUM(P30)</f>
        <v>4.6499999999999995</v>
      </c>
      <c r="Y34" s="3">
        <v>31</v>
      </c>
    </row>
    <row r="35" spans="1:26" s="3" customFormat="1" ht="11.25">
      <c r="A35" s="13"/>
      <c r="B35" s="13"/>
      <c r="C35" s="14"/>
      <c r="D35" s="14"/>
      <c r="E35" s="13"/>
      <c r="F35" s="13"/>
      <c r="G35" s="25"/>
      <c r="H35" s="13"/>
      <c r="I35" s="13"/>
      <c r="J35" s="13"/>
      <c r="K35" s="13"/>
      <c r="L35" s="13"/>
      <c r="M35" s="16"/>
      <c r="N35" s="17"/>
      <c r="O35" s="26"/>
      <c r="P35" s="18"/>
      <c r="Q35" s="16"/>
      <c r="R35" s="16"/>
      <c r="S35" s="16"/>
      <c r="T35" s="19"/>
      <c r="U35" s="19"/>
      <c r="W35" s="3" t="s">
        <v>38</v>
      </c>
      <c r="X35" s="21">
        <f>SUM(P31)</f>
        <v>12876.220799999999</v>
      </c>
      <c r="Y35" s="3">
        <v>160152</v>
      </c>
    </row>
    <row r="36" spans="1:26" s="3" customFormat="1" ht="11.25">
      <c r="A36" s="13"/>
      <c r="B36" s="13"/>
      <c r="C36" s="14"/>
      <c r="D36" s="14"/>
      <c r="E36" s="13"/>
      <c r="F36" s="13"/>
      <c r="G36" s="25"/>
      <c r="H36" s="13"/>
      <c r="I36" s="13"/>
      <c r="J36" s="13"/>
      <c r="K36" s="13"/>
      <c r="L36" s="13"/>
      <c r="M36" s="16"/>
      <c r="N36" s="17"/>
      <c r="O36" s="26"/>
      <c r="P36" s="18"/>
      <c r="Q36" s="16"/>
      <c r="R36" s="16"/>
      <c r="S36" s="16"/>
      <c r="T36" s="19"/>
      <c r="U36" s="19"/>
    </row>
    <row r="37" spans="1:26" s="3" customFormat="1" ht="11.25">
      <c r="A37" s="13"/>
      <c r="B37" s="13"/>
      <c r="C37" s="14"/>
      <c r="D37" s="14"/>
      <c r="E37" s="13"/>
      <c r="F37" s="13"/>
      <c r="G37" s="25"/>
      <c r="H37" s="13"/>
      <c r="I37" s="13"/>
      <c r="J37" s="13"/>
      <c r="K37" s="13"/>
      <c r="L37" s="13"/>
      <c r="M37" s="16"/>
      <c r="N37" s="17"/>
      <c r="O37" s="26"/>
      <c r="P37" s="18"/>
      <c r="Q37" s="16"/>
      <c r="R37" s="16"/>
      <c r="S37" s="16"/>
      <c r="T37" s="19"/>
      <c r="U37" s="19"/>
      <c r="W37" s="3" t="s">
        <v>53</v>
      </c>
    </row>
    <row r="38" spans="1:26" s="3" customFormat="1" ht="11.25">
      <c r="A38" s="13"/>
      <c r="B38" s="13"/>
      <c r="C38" s="14"/>
      <c r="D38" s="14"/>
      <c r="E38" s="13"/>
      <c r="F38" s="13"/>
      <c r="G38" s="25"/>
      <c r="H38" s="13"/>
      <c r="I38" s="13"/>
      <c r="J38" s="13"/>
      <c r="K38" s="13"/>
      <c r="L38" s="13"/>
      <c r="M38" s="16"/>
      <c r="N38" s="17"/>
      <c r="O38" s="26"/>
      <c r="P38" s="18"/>
      <c r="Q38" s="16"/>
      <c r="R38" s="16"/>
      <c r="S38" s="16"/>
      <c r="T38" s="19"/>
      <c r="U38" s="19"/>
      <c r="W38" s="3" t="s">
        <v>36</v>
      </c>
      <c r="X38" s="37">
        <f>SUM(P5+P7+P9+P11+P13)</f>
        <v>21.274999999999999</v>
      </c>
      <c r="Y38" s="3">
        <f>SUM(O5:O13)</f>
        <v>152</v>
      </c>
      <c r="Z38" s="3" t="s">
        <v>37</v>
      </c>
    </row>
    <row r="39" spans="1:26" s="3" customFormat="1" ht="11.25">
      <c r="A39" s="13"/>
      <c r="B39" s="13"/>
      <c r="C39" s="14"/>
      <c r="D39" s="14"/>
      <c r="E39" s="13"/>
      <c r="F39" s="13"/>
      <c r="G39" s="25"/>
      <c r="H39" s="13"/>
      <c r="I39" s="13"/>
      <c r="J39" s="13"/>
      <c r="K39" s="13"/>
      <c r="L39" s="13"/>
      <c r="M39" s="16"/>
      <c r="N39" s="17"/>
      <c r="O39" s="26"/>
      <c r="P39" s="18"/>
      <c r="Q39" s="16"/>
      <c r="R39" s="16"/>
      <c r="S39" s="16"/>
      <c r="T39" s="19"/>
      <c r="U39" s="19"/>
      <c r="X39" s="3">
        <v>181.36</v>
      </c>
      <c r="Y39" s="3">
        <v>2268</v>
      </c>
      <c r="Z39" s="3" t="s">
        <v>32</v>
      </c>
    </row>
    <row r="40" spans="1:26" s="3" customFormat="1" ht="11.25">
      <c r="A40" s="13"/>
      <c r="B40" s="13"/>
      <c r="C40" s="14"/>
      <c r="D40" s="14"/>
      <c r="E40" s="13"/>
      <c r="F40" s="13"/>
      <c r="G40" s="25"/>
      <c r="H40" s="13"/>
      <c r="I40" s="13"/>
      <c r="J40" s="13"/>
      <c r="K40" s="13"/>
      <c r="L40" s="13"/>
      <c r="M40" s="16"/>
      <c r="N40" s="17"/>
      <c r="O40" s="26"/>
      <c r="P40" s="18"/>
      <c r="Q40" s="16"/>
      <c r="R40" s="16"/>
      <c r="S40" s="16"/>
      <c r="T40" s="19"/>
      <c r="U40" s="19"/>
      <c r="W40" s="3" t="s">
        <v>47</v>
      </c>
      <c r="X40" s="36">
        <f>SUM(X34:X39)</f>
        <v>13083.505799999999</v>
      </c>
    </row>
    <row r="41" spans="1:26" s="3" customFormat="1" ht="11.25">
      <c r="A41" s="13"/>
      <c r="B41" s="13"/>
      <c r="C41" s="14"/>
      <c r="D41" s="14"/>
      <c r="E41" s="13"/>
      <c r="F41" s="13"/>
      <c r="G41" s="25"/>
      <c r="H41" s="13"/>
      <c r="I41" s="13"/>
      <c r="J41" s="13"/>
      <c r="K41" s="13"/>
      <c r="L41" s="13"/>
      <c r="M41" s="16"/>
      <c r="N41" s="17"/>
      <c r="O41" s="26"/>
      <c r="P41" s="18"/>
      <c r="Q41" s="16"/>
      <c r="R41" s="16"/>
      <c r="S41" s="16"/>
      <c r="T41" s="19"/>
      <c r="U41" s="19"/>
      <c r="X41" s="38"/>
    </row>
    <row r="42" spans="1:26" s="3" customFormat="1" ht="11.25">
      <c r="A42" s="13"/>
      <c r="B42" s="13"/>
      <c r="C42" s="14"/>
      <c r="D42" s="14"/>
      <c r="E42" s="13"/>
      <c r="F42" s="13"/>
      <c r="G42" s="25"/>
      <c r="H42" s="13"/>
      <c r="I42" s="13"/>
      <c r="J42" s="13"/>
      <c r="K42" s="13"/>
      <c r="L42" s="13"/>
      <c r="M42" s="16"/>
      <c r="N42" s="17"/>
      <c r="O42" s="26"/>
      <c r="P42" s="18"/>
      <c r="Q42" s="16"/>
      <c r="R42" s="16"/>
      <c r="S42" s="16"/>
      <c r="T42" s="19"/>
      <c r="U42" s="19"/>
      <c r="X42" s="38"/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Contact Energy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mcmanamd</dc:creator>
  <cp:lastModifiedBy>gagnonn</cp:lastModifiedBy>
  <dcterms:created xsi:type="dcterms:W3CDTF">2011-09-26T22:19:18Z</dcterms:created>
  <dcterms:modified xsi:type="dcterms:W3CDTF">2012-01-12T23:13:24Z</dcterms:modified>
</cp:coreProperties>
</file>