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9155" windowHeight="850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13" i="1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4"/>
</calcChain>
</file>

<file path=xl/sharedStrings.xml><?xml version="1.0" encoding="utf-8"?>
<sst xmlns="http://schemas.openxmlformats.org/spreadsheetml/2006/main" count="70" uniqueCount="42">
  <si>
    <t>Lecture</t>
  </si>
  <si>
    <t>Day</t>
  </si>
  <si>
    <t>Date</t>
  </si>
  <si>
    <t>Topic</t>
  </si>
  <si>
    <t>Wednesday</t>
  </si>
  <si>
    <t xml:space="preserve">Lecture: Overview of Course/Marketing Metrics </t>
  </si>
  <si>
    <t>Monday</t>
  </si>
  <si>
    <t>Ikea  Invades America - 9-504-094</t>
  </si>
  <si>
    <t xml:space="preserve">Lecture: Market Management </t>
  </si>
  <si>
    <t>Lecture: Market Share Performance Metrics and Share Growth</t>
  </si>
  <si>
    <t>Lecture: High Technology Marketing</t>
  </si>
  <si>
    <t>Lecture :New Product Management I</t>
  </si>
  <si>
    <t>Synthes (9-502-008)</t>
  </si>
  <si>
    <t>Midterm Exam Review</t>
  </si>
  <si>
    <t>Flexible class: Global</t>
  </si>
  <si>
    <t>Genicon: A Surgical Strike into Emerging Markets (910M41)</t>
  </si>
  <si>
    <t>Course Wrap-up</t>
  </si>
  <si>
    <t>Lecture: Pricing Metrics</t>
  </si>
  <si>
    <t>Lecture: Advertising &amp; Promotions Management</t>
  </si>
  <si>
    <t>Lecture: Customer Relationship Management: Mismanagement of Customer Loyalty: R0207F)</t>
  </si>
  <si>
    <t>Lecture: BusinesstoBusinessMarketing: Building Loyalty in Business Markets (R0509H)</t>
  </si>
  <si>
    <t>Metrics Application to Marketing Current Events: I</t>
  </si>
  <si>
    <t>Lecture: Social Media (9-510-095), ROI on Social Media (SMR 363)</t>
  </si>
  <si>
    <t>United Breaks Guitars (9-510-057)</t>
  </si>
  <si>
    <t>Twitter (910M28)</t>
  </si>
  <si>
    <t>Marketing-Finance Interface I ((SSF Journal of Marketing 1998)</t>
  </si>
  <si>
    <t>Marketing-Finance Interface II</t>
  </si>
  <si>
    <t>Lecture: Emerging Markets: Strategies that Fit Emerging Markets (R0506C)</t>
  </si>
  <si>
    <t>Grading</t>
  </si>
  <si>
    <t>Attendance</t>
  </si>
  <si>
    <t>CP</t>
  </si>
  <si>
    <t>Midterm Exam</t>
  </si>
  <si>
    <t>Final Exam</t>
  </si>
  <si>
    <t>Case Submissions</t>
  </si>
  <si>
    <t>Classic Knitwear - Case (HBS 4217): Submission 1</t>
  </si>
  <si>
    <t>Harrington Collection - Case (HBS 3258): Submission 2</t>
  </si>
  <si>
    <t>Metabical: (HBS 4183): Submission 3</t>
  </si>
  <si>
    <t>Culinarian Cookware (HBS 4057): Submission 4</t>
  </si>
  <si>
    <t>Harrahs - Case (HBS: 9-502-211): Submission 5</t>
  </si>
  <si>
    <t>Soren Chemical (HBS 4188): Submission 6</t>
  </si>
  <si>
    <t>3: 10, 10, 5 points each;</t>
  </si>
  <si>
    <t>MKT 382 Srinivasan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</si>
</sst>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u/>
      <sz val="12"/>
      <color indexed="8"/>
      <name val="Garamond"/>
      <family val="1"/>
    </font>
    <font>
      <sz val="12"/>
      <color indexed="8"/>
      <name val="Garamond"/>
      <family val="1"/>
    </font>
    <font>
      <sz val="12"/>
      <color theme="1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15" fontId="2" fillId="2" borderId="6" xfId="0" applyNumberFormat="1" applyFont="1" applyFill="1" applyBorder="1"/>
    <xf numFmtId="0" fontId="2" fillId="2" borderId="6" xfId="0" applyFont="1" applyFill="1" applyBorder="1"/>
    <xf numFmtId="0" fontId="2" fillId="0" borderId="6" xfId="0" applyFont="1" applyFill="1" applyBorder="1"/>
    <xf numFmtId="0" fontId="2" fillId="2" borderId="8" xfId="0" applyFont="1" applyFill="1" applyBorder="1"/>
    <xf numFmtId="0" fontId="2" fillId="3" borderId="6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15" fontId="2" fillId="3" borderId="6" xfId="0" applyNumberFormat="1" applyFont="1" applyFill="1" applyBorder="1"/>
    <xf numFmtId="0" fontId="2" fillId="3" borderId="6" xfId="0" applyFont="1" applyFill="1" applyBorder="1" applyAlignment="1">
      <alignment wrapText="1"/>
    </xf>
    <xf numFmtId="0" fontId="2" fillId="3" borderId="9" xfId="0" applyFont="1" applyFill="1" applyBorder="1"/>
    <xf numFmtId="0" fontId="2" fillId="2" borderId="11" xfId="0" applyFont="1" applyFill="1" applyBorder="1"/>
    <xf numFmtId="0" fontId="2" fillId="3" borderId="7" xfId="0" applyFont="1" applyFill="1" applyBorder="1"/>
    <xf numFmtId="0" fontId="3" fillId="3" borderId="10" xfId="0" applyFont="1" applyFill="1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topLeftCell="B1" workbookViewId="0">
      <selection activeCell="F1" sqref="F1"/>
    </sheetView>
  </sheetViews>
  <sheetFormatPr defaultRowHeight="15"/>
  <cols>
    <col min="1" max="1" width="8.7109375" bestFit="1" customWidth="1"/>
    <col min="2" max="2" width="13.140625" customWidth="1"/>
    <col min="3" max="3" width="12.7109375" customWidth="1"/>
    <col min="4" max="4" width="86" customWidth="1"/>
    <col min="6" max="6" width="24.140625" customWidth="1"/>
  </cols>
  <sheetData>
    <row r="1" spans="1:9" ht="15.75">
      <c r="A1" s="1" t="s">
        <v>0</v>
      </c>
      <c r="B1" s="2" t="s">
        <v>1</v>
      </c>
      <c r="C1" s="3" t="s">
        <v>2</v>
      </c>
      <c r="D1" s="3" t="s">
        <v>3</v>
      </c>
      <c r="F1" s="19" t="s">
        <v>41</v>
      </c>
    </row>
    <row r="2" spans="1:9" ht="15.75">
      <c r="A2" s="11">
        <v>1</v>
      </c>
      <c r="B2" s="12" t="s">
        <v>4</v>
      </c>
      <c r="C2" s="13">
        <v>40562</v>
      </c>
      <c r="D2" s="10" t="s">
        <v>5</v>
      </c>
    </row>
    <row r="3" spans="1:9" ht="15.75">
      <c r="A3" s="4">
        <v>2</v>
      </c>
      <c r="B3" s="5" t="s">
        <v>6</v>
      </c>
      <c r="C3" s="6">
        <v>40567</v>
      </c>
      <c r="D3" s="7" t="s">
        <v>7</v>
      </c>
    </row>
    <row r="4" spans="1:9" ht="15.75">
      <c r="A4" s="11">
        <f>A3+1</f>
        <v>3</v>
      </c>
      <c r="B4" s="12" t="s">
        <v>4</v>
      </c>
      <c r="C4" s="13">
        <v>40569</v>
      </c>
      <c r="D4" s="10" t="s">
        <v>8</v>
      </c>
    </row>
    <row r="5" spans="1:9" ht="15.75">
      <c r="A5" s="4">
        <v>4</v>
      </c>
      <c r="B5" s="5" t="s">
        <v>6</v>
      </c>
      <c r="C5" s="6">
        <v>40574</v>
      </c>
      <c r="D5" s="7" t="s">
        <v>34</v>
      </c>
      <c r="F5" t="s">
        <v>28</v>
      </c>
    </row>
    <row r="6" spans="1:9" ht="15.75">
      <c r="A6" s="11">
        <v>5</v>
      </c>
      <c r="B6" s="12" t="s">
        <v>4</v>
      </c>
      <c r="C6" s="13">
        <v>40576</v>
      </c>
      <c r="D6" s="10" t="s">
        <v>9</v>
      </c>
    </row>
    <row r="7" spans="1:9" ht="15.75">
      <c r="A7" s="4">
        <v>6</v>
      </c>
      <c r="B7" s="5" t="s">
        <v>6</v>
      </c>
      <c r="C7" s="6">
        <v>40581</v>
      </c>
      <c r="D7" s="7" t="s">
        <v>35</v>
      </c>
      <c r="F7" t="s">
        <v>29</v>
      </c>
      <c r="G7">
        <v>10</v>
      </c>
    </row>
    <row r="8" spans="1:9" ht="15.75">
      <c r="A8" s="11">
        <f>A7+1</f>
        <v>7</v>
      </c>
      <c r="B8" s="12" t="s">
        <v>4</v>
      </c>
      <c r="C8" s="13">
        <v>40583</v>
      </c>
      <c r="D8" s="10" t="s">
        <v>10</v>
      </c>
      <c r="F8" t="s">
        <v>30</v>
      </c>
      <c r="G8">
        <v>20</v>
      </c>
    </row>
    <row r="9" spans="1:9" ht="15.75">
      <c r="A9" s="4">
        <f t="shared" ref="A9:A30" si="0">A8+1</f>
        <v>8</v>
      </c>
      <c r="B9" s="5" t="s">
        <v>6</v>
      </c>
      <c r="C9" s="6">
        <v>40588</v>
      </c>
      <c r="D9" s="7" t="s">
        <v>11</v>
      </c>
      <c r="F9" t="s">
        <v>31</v>
      </c>
      <c r="G9">
        <v>20</v>
      </c>
    </row>
    <row r="10" spans="1:9" ht="15.75">
      <c r="A10" s="11">
        <f t="shared" si="0"/>
        <v>9</v>
      </c>
      <c r="B10" s="12" t="s">
        <v>4</v>
      </c>
      <c r="C10" s="13">
        <v>40590</v>
      </c>
      <c r="D10" s="10" t="s">
        <v>12</v>
      </c>
      <c r="F10" t="s">
        <v>33</v>
      </c>
      <c r="G10">
        <v>25</v>
      </c>
      <c r="I10" t="s">
        <v>40</v>
      </c>
    </row>
    <row r="11" spans="1:9" ht="15.75">
      <c r="A11" s="4">
        <f>A10+1</f>
        <v>10</v>
      </c>
      <c r="B11" s="5" t="s">
        <v>6</v>
      </c>
      <c r="C11" s="6">
        <v>40595</v>
      </c>
      <c r="D11" s="8" t="s">
        <v>21</v>
      </c>
      <c r="F11" t="s">
        <v>32</v>
      </c>
      <c r="G11">
        <v>25</v>
      </c>
    </row>
    <row r="12" spans="1:9" ht="15.75">
      <c r="A12" s="11">
        <f t="shared" si="0"/>
        <v>11</v>
      </c>
      <c r="B12" s="12" t="s">
        <v>4</v>
      </c>
      <c r="C12" s="13">
        <v>40597</v>
      </c>
      <c r="D12" s="10" t="s">
        <v>17</v>
      </c>
    </row>
    <row r="13" spans="1:9" ht="15.75">
      <c r="A13" s="4">
        <f t="shared" si="0"/>
        <v>12</v>
      </c>
      <c r="B13" s="5" t="s">
        <v>6</v>
      </c>
      <c r="C13" s="6">
        <v>40602</v>
      </c>
      <c r="D13" s="7" t="s">
        <v>36</v>
      </c>
      <c r="G13">
        <f>SUM(G7:G11)</f>
        <v>100</v>
      </c>
    </row>
    <row r="14" spans="1:9" ht="15.75" customHeight="1">
      <c r="A14" s="11">
        <f>A13+1</f>
        <v>13</v>
      </c>
      <c r="B14" s="12" t="s">
        <v>4</v>
      </c>
      <c r="C14" s="13">
        <v>40604</v>
      </c>
      <c r="D14" s="14" t="s">
        <v>13</v>
      </c>
    </row>
    <row r="15" spans="1:9" ht="15.75">
      <c r="A15" s="4">
        <f t="shared" si="0"/>
        <v>14</v>
      </c>
      <c r="B15" s="5" t="s">
        <v>6</v>
      </c>
      <c r="C15" s="6">
        <v>40609</v>
      </c>
      <c r="D15" s="7" t="s">
        <v>14</v>
      </c>
    </row>
    <row r="16" spans="1:9" ht="15.75">
      <c r="A16" s="11">
        <f t="shared" si="0"/>
        <v>15</v>
      </c>
      <c r="B16" s="12" t="s">
        <v>4</v>
      </c>
      <c r="C16" s="13">
        <v>40611</v>
      </c>
      <c r="D16" s="10" t="s">
        <v>14</v>
      </c>
    </row>
    <row r="17" spans="1:4" ht="15.75">
      <c r="A17" s="4">
        <f>+A16+1</f>
        <v>16</v>
      </c>
      <c r="B17" s="5" t="s">
        <v>6</v>
      </c>
      <c r="C17" s="6">
        <v>40623</v>
      </c>
      <c r="D17" s="7" t="s">
        <v>18</v>
      </c>
    </row>
    <row r="18" spans="1:4" ht="15.75">
      <c r="A18" s="11">
        <f>A17+1</f>
        <v>17</v>
      </c>
      <c r="B18" s="12" t="s">
        <v>4</v>
      </c>
      <c r="C18" s="13">
        <v>40625</v>
      </c>
      <c r="D18" s="10" t="s">
        <v>37</v>
      </c>
    </row>
    <row r="19" spans="1:4" ht="15.75">
      <c r="A19" s="4">
        <f t="shared" si="0"/>
        <v>18</v>
      </c>
      <c r="B19" s="5" t="s">
        <v>6</v>
      </c>
      <c r="C19" s="6">
        <v>40630</v>
      </c>
      <c r="D19" s="7" t="s">
        <v>27</v>
      </c>
    </row>
    <row r="20" spans="1:4" ht="15.75">
      <c r="A20" s="11">
        <f t="shared" si="0"/>
        <v>19</v>
      </c>
      <c r="B20" s="12" t="s">
        <v>4</v>
      </c>
      <c r="C20" s="13">
        <v>40632</v>
      </c>
      <c r="D20" s="10" t="s">
        <v>15</v>
      </c>
    </row>
    <row r="21" spans="1:4" ht="15.75">
      <c r="A21" s="4">
        <f>A20+1</f>
        <v>20</v>
      </c>
      <c r="B21" s="5" t="s">
        <v>6</v>
      </c>
      <c r="C21" s="6">
        <v>40637</v>
      </c>
      <c r="D21" s="9" t="s">
        <v>19</v>
      </c>
    </row>
    <row r="22" spans="1:4" ht="15.75">
      <c r="A22" s="11">
        <f t="shared" si="0"/>
        <v>21</v>
      </c>
      <c r="B22" s="12" t="s">
        <v>4</v>
      </c>
      <c r="C22" s="13">
        <v>40639</v>
      </c>
      <c r="D22" s="15" t="s">
        <v>38</v>
      </c>
    </row>
    <row r="23" spans="1:4" ht="15.75">
      <c r="A23" s="4">
        <f t="shared" si="0"/>
        <v>22</v>
      </c>
      <c r="B23" s="5" t="s">
        <v>6</v>
      </c>
      <c r="C23" s="6">
        <v>40644</v>
      </c>
      <c r="D23" s="7" t="s">
        <v>20</v>
      </c>
    </row>
    <row r="24" spans="1:4" ht="15.75">
      <c r="A24" s="11">
        <f>A23+1</f>
        <v>23</v>
      </c>
      <c r="B24" s="12" t="s">
        <v>4</v>
      </c>
      <c r="C24" s="13">
        <v>40646</v>
      </c>
      <c r="D24" s="10" t="s">
        <v>39</v>
      </c>
    </row>
    <row r="25" spans="1:4" ht="15.75">
      <c r="A25" s="4">
        <f t="shared" si="0"/>
        <v>24</v>
      </c>
      <c r="B25" s="5" t="s">
        <v>6</v>
      </c>
      <c r="C25" s="6">
        <v>40651</v>
      </c>
      <c r="D25" s="7" t="s">
        <v>22</v>
      </c>
    </row>
    <row r="26" spans="1:4" ht="15.75">
      <c r="A26" s="11">
        <f t="shared" si="0"/>
        <v>25</v>
      </c>
      <c r="B26" s="12" t="s">
        <v>4</v>
      </c>
      <c r="C26" s="13">
        <v>40653</v>
      </c>
      <c r="D26" s="18" t="s">
        <v>24</v>
      </c>
    </row>
    <row r="27" spans="1:4" ht="15.75">
      <c r="A27" s="4">
        <f>A26+1</f>
        <v>26</v>
      </c>
      <c r="B27" s="5" t="s">
        <v>6</v>
      </c>
      <c r="C27" s="6">
        <v>40658</v>
      </c>
      <c r="D27" s="16" t="s">
        <v>25</v>
      </c>
    </row>
    <row r="28" spans="1:4" ht="15.75">
      <c r="A28" s="11">
        <f t="shared" si="0"/>
        <v>27</v>
      </c>
      <c r="B28" s="12" t="s">
        <v>4</v>
      </c>
      <c r="C28" s="13">
        <v>40660</v>
      </c>
      <c r="D28" s="17" t="s">
        <v>26</v>
      </c>
    </row>
    <row r="29" spans="1:4" ht="15.75">
      <c r="A29" s="4">
        <f t="shared" si="0"/>
        <v>28</v>
      </c>
      <c r="B29" s="5" t="s">
        <v>6</v>
      </c>
      <c r="C29" s="6">
        <v>40665</v>
      </c>
      <c r="D29" s="8" t="s">
        <v>23</v>
      </c>
    </row>
    <row r="30" spans="1:4" ht="15.75">
      <c r="A30" s="11">
        <f t="shared" si="0"/>
        <v>29</v>
      </c>
      <c r="B30" s="12" t="s">
        <v>4</v>
      </c>
      <c r="C30" s="13">
        <v>40667</v>
      </c>
      <c r="D30" s="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F45EB59CC864BBD240126B2A3A809" ma:contentTypeVersion="0" ma:contentTypeDescription="Create a new document." ma:contentTypeScope="" ma:versionID="4668733de91b46d748a5f7d574e5e6d9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FCD940BC-D49F-4B9D-A208-280169507002}"/>
</file>

<file path=customXml/itemProps2.xml><?xml version="1.0" encoding="utf-8"?>
<ds:datastoreItem xmlns:ds="http://schemas.openxmlformats.org/officeDocument/2006/customXml" ds:itemID="{6ACAD06C-1068-4376-89F2-99D3CD72542C}"/>
</file>

<file path=customXml/itemProps3.xml><?xml version="1.0" encoding="utf-8"?>
<ds:datastoreItem xmlns:ds="http://schemas.openxmlformats.org/officeDocument/2006/customXml" ds:itemID="{419BCA64-5390-43BB-8288-3C225F28FD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MKT 382 Marketing Metrics Pt 2 Srinivasan</dc:title>
  <dc:creator>Rajashri</dc:creator>
  <cp:lastModifiedBy>RaulinoS</cp:lastModifiedBy>
  <dcterms:created xsi:type="dcterms:W3CDTF">2010-12-24T20:50:12Z</dcterms:created>
  <dcterms:modified xsi:type="dcterms:W3CDTF">2010-12-28T14:17:29Z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0x010100F7FF45EB59CC864BBD240126B2A3A809</vt:lpwstr>
  </property>
</Properties>
</file>