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autoCompressPictures="0" defaultThemeVersion="124226"/>
  <bookViews>
    <workbookView xWindow="150" yWindow="75" windowWidth="18180" windowHeight="7575"/>
  </bookViews>
  <sheets>
    <sheet name="CountyDetailData" sheetId="21" r:id="rId1"/>
    <sheet name="CongressionalDistrictDetail" sheetId="23" r:id="rId2"/>
    <sheet name="State Overview" sheetId="18" r:id="rId3"/>
    <sheet name="Chartsource" sheetId="19" state="hidden" r:id="rId4"/>
  </sheets>
  <definedNames>
    <definedName name="_xlnm.Print_Area" localSheetId="1">CongressionalDistrictDetail!$A$1:$G$21</definedName>
    <definedName name="_xlnm.Print_Area" localSheetId="0">CountyDetailData!$A$1:$G$80</definedName>
    <definedName name="_xlnm.Print_Area" localSheetId="2">'State Overview'!$A$1:$H$38</definedName>
    <definedName name="_xlnm.Print_Titles" localSheetId="1">CongressionalDistrictDetail!$6:$6</definedName>
    <definedName name="_xlnm.Print_Titles" localSheetId="0">CountyDetailData!$6:$7</definedName>
  </definedNames>
  <calcPr calcId="145621"/>
  <extLst>
    <ext xmlns:mx="http://schemas.microsoft.com/office/mac/excel/2008/main" uri="http://schemas.microsoft.com/office/mac/excel/2008/main">
      <mx:ArchID Flags="2"/>
    </ext>
  </extLst>
</workbook>
</file>

<file path=xl/calcChain.xml><?xml version="1.0" encoding="utf-8"?>
<calcChain xmlns="http://schemas.openxmlformats.org/spreadsheetml/2006/main">
  <c r="A17" i="23" l="1"/>
  <c r="B3" i="23"/>
  <c r="E6" i="23" s="1"/>
  <c r="F6" i="23"/>
  <c r="H72" i="21"/>
  <c r="F71" i="21"/>
  <c r="F70" i="21"/>
  <c r="F69" i="21"/>
  <c r="F68" i="21"/>
  <c r="F67" i="21"/>
  <c r="F66" i="21"/>
  <c r="F65" i="21"/>
  <c r="F64" i="21"/>
  <c r="F63" i="21"/>
  <c r="F62" i="21"/>
  <c r="F61" i="21"/>
  <c r="F60" i="21"/>
  <c r="F59" i="21"/>
  <c r="F58" i="21"/>
  <c r="F57" i="21"/>
  <c r="F56" i="21"/>
  <c r="F55" i="21"/>
  <c r="F54" i="21"/>
  <c r="F53" i="21"/>
  <c r="F52" i="21"/>
  <c r="F51" i="21"/>
  <c r="F50" i="21"/>
  <c r="F49" i="21"/>
  <c r="F48" i="21"/>
  <c r="F47" i="21"/>
  <c r="F46" i="21"/>
  <c r="F45" i="21"/>
  <c r="F44" i="21"/>
  <c r="F43" i="21"/>
  <c r="F42" i="21"/>
  <c r="F41" i="21"/>
  <c r="F40" i="21"/>
  <c r="F39" i="21"/>
  <c r="F38" i="21"/>
  <c r="F37" i="21"/>
  <c r="F36" i="21"/>
  <c r="F35" i="21"/>
  <c r="F34" i="21"/>
  <c r="F33" i="21"/>
  <c r="F32" i="21"/>
  <c r="F31" i="21"/>
  <c r="F30" i="21"/>
  <c r="F29" i="21"/>
  <c r="F28" i="21"/>
  <c r="F27" i="21"/>
  <c r="F26" i="21"/>
  <c r="F25" i="21"/>
  <c r="F24" i="21"/>
  <c r="F23" i="21"/>
  <c r="F22" i="21"/>
  <c r="F21" i="21"/>
  <c r="F20" i="21"/>
  <c r="F19" i="21"/>
  <c r="F18" i="21"/>
  <c r="F17" i="21"/>
  <c r="F16" i="21"/>
  <c r="F15" i="21"/>
  <c r="F14" i="21"/>
  <c r="F13" i="21"/>
  <c r="F12" i="21"/>
  <c r="F11" i="21"/>
  <c r="F10" i="21"/>
  <c r="F9" i="21"/>
  <c r="F8" i="21"/>
  <c r="K71" i="21"/>
  <c r="I71" i="21"/>
  <c r="J71" i="21" s="1"/>
  <c r="L71" i="21" s="1"/>
  <c r="K70" i="21"/>
  <c r="I70" i="21"/>
  <c r="J70" i="21" s="1"/>
  <c r="K69" i="21"/>
  <c r="I69" i="21"/>
  <c r="J69" i="21" s="1"/>
  <c r="L69" i="21" s="1"/>
  <c r="K68" i="21"/>
  <c r="I68" i="21"/>
  <c r="J68" i="21" s="1"/>
  <c r="K67" i="21"/>
  <c r="I67" i="21"/>
  <c r="J67" i="21" s="1"/>
  <c r="L67" i="21" s="1"/>
  <c r="K66" i="21"/>
  <c r="I66" i="21"/>
  <c r="J66" i="21" s="1"/>
  <c r="L66" i="21" s="1"/>
  <c r="K65" i="21"/>
  <c r="I65" i="21"/>
  <c r="J65" i="21" s="1"/>
  <c r="L65" i="21" s="1"/>
  <c r="K64" i="21"/>
  <c r="I64" i="21"/>
  <c r="J64" i="21" s="1"/>
  <c r="K63" i="21"/>
  <c r="I63" i="21"/>
  <c r="J63" i="21" s="1"/>
  <c r="L63" i="21" s="1"/>
  <c r="K62" i="21"/>
  <c r="I62" i="21"/>
  <c r="J62" i="21" s="1"/>
  <c r="K61" i="21"/>
  <c r="I61" i="21"/>
  <c r="J61" i="21" s="1"/>
  <c r="K60" i="21"/>
  <c r="I60" i="21"/>
  <c r="J60" i="21" s="1"/>
  <c r="K59" i="21"/>
  <c r="I59" i="21"/>
  <c r="J59" i="21"/>
  <c r="K58" i="21"/>
  <c r="I58" i="21"/>
  <c r="J58" i="21" s="1"/>
  <c r="L58" i="21" s="1"/>
  <c r="K57" i="21"/>
  <c r="I57" i="21"/>
  <c r="J57" i="21" s="1"/>
  <c r="L57" i="21" s="1"/>
  <c r="K56" i="21"/>
  <c r="I56" i="21"/>
  <c r="J56" i="21" s="1"/>
  <c r="K55" i="21"/>
  <c r="I55" i="21"/>
  <c r="J55" i="21" s="1"/>
  <c r="L55" i="21" s="1"/>
  <c r="K54" i="21"/>
  <c r="I54" i="21"/>
  <c r="J54" i="21" s="1"/>
  <c r="K53" i="21"/>
  <c r="I53" i="21"/>
  <c r="J53" i="21" s="1"/>
  <c r="K52" i="21"/>
  <c r="I52" i="21"/>
  <c r="J52" i="21" s="1"/>
  <c r="K51" i="21"/>
  <c r="I51" i="21"/>
  <c r="J51" i="21"/>
  <c r="K50" i="21"/>
  <c r="I50" i="21"/>
  <c r="J50" i="21" s="1"/>
  <c r="L50" i="21" s="1"/>
  <c r="K49" i="21"/>
  <c r="I49" i="21"/>
  <c r="J49" i="21" s="1"/>
  <c r="L49" i="21" s="1"/>
  <c r="K48" i="21"/>
  <c r="I48" i="21"/>
  <c r="J48" i="21" s="1"/>
  <c r="K47" i="21"/>
  <c r="I47" i="21"/>
  <c r="J47" i="21" s="1"/>
  <c r="L47" i="21" s="1"/>
  <c r="K46" i="21"/>
  <c r="I46" i="21"/>
  <c r="J46" i="21" s="1"/>
  <c r="K45" i="21"/>
  <c r="I45" i="21"/>
  <c r="J45" i="21" s="1"/>
  <c r="K44" i="21"/>
  <c r="I44" i="21"/>
  <c r="J44" i="21" s="1"/>
  <c r="K43" i="21"/>
  <c r="I43" i="21"/>
  <c r="J43" i="21"/>
  <c r="K42" i="21"/>
  <c r="I42" i="21"/>
  <c r="J42" i="21" s="1"/>
  <c r="L42" i="21" s="1"/>
  <c r="K41" i="21"/>
  <c r="I41" i="21"/>
  <c r="J41" i="21" s="1"/>
  <c r="L41" i="21" s="1"/>
  <c r="K40" i="21"/>
  <c r="I40" i="21"/>
  <c r="J40" i="21" s="1"/>
  <c r="K39" i="21"/>
  <c r="I39" i="21"/>
  <c r="J39" i="21" s="1"/>
  <c r="L39" i="21" s="1"/>
  <c r="K38" i="21"/>
  <c r="I38" i="21"/>
  <c r="J38" i="21" s="1"/>
  <c r="K37" i="21"/>
  <c r="I37" i="21"/>
  <c r="J37" i="21" s="1"/>
  <c r="K36" i="21"/>
  <c r="I36" i="21"/>
  <c r="J36" i="21" s="1"/>
  <c r="K35" i="21"/>
  <c r="I35" i="21"/>
  <c r="J35" i="21"/>
  <c r="L35" i="21" s="1"/>
  <c r="K34" i="21"/>
  <c r="I34" i="21"/>
  <c r="J34" i="21" s="1"/>
  <c r="L34" i="21" s="1"/>
  <c r="K33" i="21"/>
  <c r="I33" i="21"/>
  <c r="J33" i="21" s="1"/>
  <c r="L33" i="21" s="1"/>
  <c r="K32" i="21"/>
  <c r="I32" i="21"/>
  <c r="J32" i="21" s="1"/>
  <c r="K31" i="21"/>
  <c r="I31" i="21"/>
  <c r="J31" i="21" s="1"/>
  <c r="L31" i="21" s="1"/>
  <c r="K30" i="21"/>
  <c r="I30" i="21"/>
  <c r="J30" i="21" s="1"/>
  <c r="K29" i="21"/>
  <c r="I29" i="21"/>
  <c r="J29" i="21" s="1"/>
  <c r="K28" i="21"/>
  <c r="I28" i="21"/>
  <c r="J28" i="21" s="1"/>
  <c r="K27" i="21"/>
  <c r="I27" i="21"/>
  <c r="J27" i="21"/>
  <c r="L27" i="21" s="1"/>
  <c r="K26" i="21"/>
  <c r="I26" i="21"/>
  <c r="J26" i="21" s="1"/>
  <c r="L26" i="21" s="1"/>
  <c r="K25" i="21"/>
  <c r="I25" i="21"/>
  <c r="J25" i="21" s="1"/>
  <c r="L25" i="21" s="1"/>
  <c r="K24" i="21"/>
  <c r="I24" i="21"/>
  <c r="J24" i="21" s="1"/>
  <c r="K23" i="21"/>
  <c r="I23" i="21"/>
  <c r="J23" i="21" s="1"/>
  <c r="L23" i="21" s="1"/>
  <c r="K22" i="21"/>
  <c r="I22" i="21"/>
  <c r="J22" i="21" s="1"/>
  <c r="K21" i="21"/>
  <c r="I21" i="21"/>
  <c r="J21" i="21" s="1"/>
  <c r="K20" i="21"/>
  <c r="I20" i="21"/>
  <c r="J20" i="21" s="1"/>
  <c r="K19" i="21"/>
  <c r="I19" i="21"/>
  <c r="J19" i="21"/>
  <c r="K18" i="21"/>
  <c r="I18" i="21"/>
  <c r="J18" i="21" s="1"/>
  <c r="L18" i="21" s="1"/>
  <c r="K17" i="21"/>
  <c r="I17" i="21"/>
  <c r="J17" i="21" s="1"/>
  <c r="L17" i="21" s="1"/>
  <c r="K16" i="21"/>
  <c r="I16" i="21"/>
  <c r="J16" i="21" s="1"/>
  <c r="K15" i="21"/>
  <c r="I15" i="21"/>
  <c r="J15" i="21" s="1"/>
  <c r="L15" i="21" s="1"/>
  <c r="K14" i="21"/>
  <c r="I14" i="21"/>
  <c r="J14" i="21" s="1"/>
  <c r="K13" i="21"/>
  <c r="I13" i="21"/>
  <c r="J13" i="21" s="1"/>
  <c r="K12" i="21"/>
  <c r="I12" i="21"/>
  <c r="J12" i="21" s="1"/>
  <c r="K11" i="21"/>
  <c r="I11" i="21"/>
  <c r="J11" i="21"/>
  <c r="L11" i="21" s="1"/>
  <c r="K10" i="21"/>
  <c r="I10" i="21"/>
  <c r="J10" i="21" s="1"/>
  <c r="L10" i="21" s="1"/>
  <c r="K9" i="21"/>
  <c r="I9" i="21"/>
  <c r="J9" i="21" s="1"/>
  <c r="L9" i="21" s="1"/>
  <c r="K8" i="21"/>
  <c r="I8" i="21"/>
  <c r="J8" i="21" s="1"/>
  <c r="L51" i="21"/>
  <c r="L43" i="21"/>
  <c r="L19" i="21"/>
  <c r="L59" i="21"/>
  <c r="O71" i="21"/>
  <c r="N71" i="21"/>
  <c r="O70" i="21"/>
  <c r="N70" i="21"/>
  <c r="O69" i="21"/>
  <c r="N69" i="21"/>
  <c r="O68" i="21"/>
  <c r="N68" i="21"/>
  <c r="O67" i="21"/>
  <c r="N67" i="21"/>
  <c r="O66" i="21"/>
  <c r="N66" i="21"/>
  <c r="O65" i="21"/>
  <c r="N65" i="21"/>
  <c r="O64" i="21"/>
  <c r="N64" i="21"/>
  <c r="O63" i="21"/>
  <c r="N63" i="21"/>
  <c r="O62" i="21"/>
  <c r="N62" i="21"/>
  <c r="O61" i="21"/>
  <c r="N61" i="21"/>
  <c r="O60" i="21"/>
  <c r="N60" i="21"/>
  <c r="O59" i="21"/>
  <c r="N59" i="21"/>
  <c r="O58" i="21"/>
  <c r="N58" i="21"/>
  <c r="O57" i="21"/>
  <c r="N57" i="21"/>
  <c r="O56" i="21"/>
  <c r="N56" i="21"/>
  <c r="O55" i="21"/>
  <c r="N55" i="21"/>
  <c r="O54" i="21"/>
  <c r="N54" i="21"/>
  <c r="O53" i="21"/>
  <c r="N53" i="21"/>
  <c r="O52" i="21"/>
  <c r="N52" i="21"/>
  <c r="O51" i="21"/>
  <c r="N51" i="21"/>
  <c r="O50" i="21"/>
  <c r="N50" i="21"/>
  <c r="O49" i="21"/>
  <c r="N49" i="21"/>
  <c r="O48" i="21"/>
  <c r="N48" i="21"/>
  <c r="O47" i="21"/>
  <c r="N47" i="21"/>
  <c r="O46" i="21"/>
  <c r="N46" i="21"/>
  <c r="O45" i="21"/>
  <c r="N45" i="21"/>
  <c r="O44" i="21"/>
  <c r="N44" i="21"/>
  <c r="O43" i="21"/>
  <c r="N43" i="21"/>
  <c r="O42" i="21"/>
  <c r="N42" i="21"/>
  <c r="O41" i="21"/>
  <c r="N41" i="21"/>
  <c r="O40" i="21"/>
  <c r="N40" i="21"/>
  <c r="O39" i="21"/>
  <c r="N39" i="21"/>
  <c r="O38" i="21"/>
  <c r="N38" i="21"/>
  <c r="O37" i="21"/>
  <c r="N37" i="21"/>
  <c r="O36" i="21"/>
  <c r="N36" i="21"/>
  <c r="O35" i="21"/>
  <c r="N35" i="21"/>
  <c r="O34" i="21"/>
  <c r="N34" i="21"/>
  <c r="O33" i="21"/>
  <c r="N33" i="21"/>
  <c r="O32" i="21"/>
  <c r="N32" i="21"/>
  <c r="O31" i="21"/>
  <c r="N31" i="21"/>
  <c r="O30" i="21"/>
  <c r="N30" i="21"/>
  <c r="O29" i="21"/>
  <c r="N29" i="21"/>
  <c r="O28" i="21"/>
  <c r="N28" i="21"/>
  <c r="O27" i="21"/>
  <c r="N27" i="21"/>
  <c r="O26" i="21"/>
  <c r="N26" i="21"/>
  <c r="O25" i="21"/>
  <c r="N25" i="21"/>
  <c r="O24" i="21"/>
  <c r="N24" i="21"/>
  <c r="O23" i="21"/>
  <c r="N23" i="21"/>
  <c r="O22" i="21"/>
  <c r="N22" i="21"/>
  <c r="O21" i="21"/>
  <c r="N21" i="21"/>
  <c r="O20" i="21"/>
  <c r="N20" i="21"/>
  <c r="O19" i="21"/>
  <c r="N19" i="21"/>
  <c r="O18" i="21"/>
  <c r="N18" i="21"/>
  <c r="O17" i="21"/>
  <c r="N17" i="21"/>
  <c r="O16" i="21"/>
  <c r="N16" i="21"/>
  <c r="O15" i="21"/>
  <c r="N15" i="21"/>
  <c r="O14" i="21"/>
  <c r="N14" i="21"/>
  <c r="O13" i="21"/>
  <c r="N13" i="21"/>
  <c r="O12" i="21"/>
  <c r="N12" i="21"/>
  <c r="O11" i="21"/>
  <c r="N11" i="21"/>
  <c r="O10" i="21"/>
  <c r="N10" i="21"/>
  <c r="O9" i="21"/>
  <c r="N9" i="21"/>
  <c r="O8" i="21"/>
  <c r="N8" i="21"/>
  <c r="B5" i="18"/>
  <c r="O72" i="21"/>
  <c r="N72" i="21"/>
  <c r="F7" i="21"/>
  <c r="A4" i="19" s="1"/>
  <c r="G7" i="21"/>
  <c r="A5" i="19" s="1"/>
  <c r="E7" i="21"/>
  <c r="A3" i="19" s="1"/>
  <c r="I72" i="21"/>
  <c r="J72" i="21" s="1"/>
  <c r="K72" i="21"/>
  <c r="F7" i="18" s="1"/>
  <c r="A27" i="18"/>
  <c r="A4" i="18"/>
  <c r="F6" i="18"/>
  <c r="G6" i="18" s="1"/>
  <c r="L13" i="21" l="1"/>
  <c r="L14" i="21"/>
  <c r="L21" i="21"/>
  <c r="L22" i="21"/>
  <c r="L29" i="21"/>
  <c r="L30" i="21"/>
  <c r="L37" i="21"/>
  <c r="L38" i="21"/>
  <c r="L45" i="21"/>
  <c r="L46" i="21"/>
  <c r="L53" i="21"/>
  <c r="L54" i="21"/>
  <c r="L61" i="21"/>
  <c r="L62" i="21"/>
  <c r="L70" i="21"/>
  <c r="G6" i="23"/>
  <c r="L72" i="21"/>
  <c r="F8" i="18" s="1"/>
  <c r="B7" i="18"/>
  <c r="L8" i="21"/>
  <c r="L12" i="21"/>
  <c r="L16" i="21"/>
  <c r="L20" i="21"/>
  <c r="L24" i="21"/>
  <c r="L28" i="21"/>
  <c r="L32" i="21"/>
  <c r="L36" i="21"/>
  <c r="L40" i="21"/>
  <c r="L44" i="21"/>
  <c r="L48" i="21"/>
  <c r="L52" i="21"/>
  <c r="L56" i="21"/>
  <c r="L60" i="21"/>
  <c r="L64" i="21"/>
  <c r="L68" i="21"/>
  <c r="F72" i="21"/>
  <c r="C2" i="19"/>
  <c r="B2" i="19" s="1"/>
  <c r="B5" i="19"/>
  <c r="B8" i="18"/>
  <c r="B4" i="19" l="1"/>
  <c r="B3" i="19"/>
</calcChain>
</file>

<file path=xl/sharedStrings.xml><?xml version="1.0" encoding="utf-8"?>
<sst xmlns="http://schemas.openxmlformats.org/spreadsheetml/2006/main" count="377" uniqueCount="228">
  <si>
    <t>Routt County</t>
  </si>
  <si>
    <t>Saguache County</t>
  </si>
  <si>
    <t>San Juan County</t>
  </si>
  <si>
    <t>San Miguel County</t>
  </si>
  <si>
    <t>Sedgwick County</t>
  </si>
  <si>
    <t>Summit County</t>
  </si>
  <si>
    <t>Teller County</t>
  </si>
  <si>
    <t>Washington County</t>
  </si>
  <si>
    <t>Weld County</t>
  </si>
  <si>
    <t>Yuma County</t>
  </si>
  <si>
    <t>Adams County</t>
  </si>
  <si>
    <t>Colorado</t>
    <phoneticPr fontId="58" type="noConversion"/>
  </si>
  <si>
    <t>Alamosa County</t>
  </si>
  <si>
    <t>Arapahoe County</t>
  </si>
  <si>
    <t>Archuleta County</t>
  </si>
  <si>
    <t>Baca County</t>
  </si>
  <si>
    <t>Bent County</t>
  </si>
  <si>
    <t>Boulder County</t>
  </si>
  <si>
    <t>Broomfield County</t>
  </si>
  <si>
    <t>Chaffee County</t>
  </si>
  <si>
    <t>Cheyenne County</t>
  </si>
  <si>
    <t>Clear Creek County</t>
  </si>
  <si>
    <t>Conejos County</t>
  </si>
  <si>
    <t>Costilla County</t>
  </si>
  <si>
    <t>Crowley County</t>
  </si>
  <si>
    <t>Custer County</t>
  </si>
  <si>
    <t>Delta County</t>
  </si>
  <si>
    <t>Denver County</t>
  </si>
  <si>
    <t>Dolores County</t>
  </si>
  <si>
    <t>Douglas County</t>
  </si>
  <si>
    <t>Eagle County</t>
  </si>
  <si>
    <t>Elbert County</t>
  </si>
  <si>
    <t>El Paso County</t>
  </si>
  <si>
    <t>Fremont County</t>
  </si>
  <si>
    <t>Garfield County</t>
  </si>
  <si>
    <t>Gilpin County</t>
  </si>
  <si>
    <t>Grand County</t>
  </si>
  <si>
    <t>Gunnison County</t>
  </si>
  <si>
    <t>Hinsdale County</t>
  </si>
  <si>
    <t>Huerfano County</t>
  </si>
  <si>
    <t>Jackson County</t>
  </si>
  <si>
    <t>Jefferson County</t>
  </si>
  <si>
    <t>Kiowa County</t>
  </si>
  <si>
    <t>Kit Carson County</t>
  </si>
  <si>
    <t>Lake County</t>
  </si>
  <si>
    <t>La Plata County</t>
  </si>
  <si>
    <t>Larimer County</t>
  </si>
  <si>
    <t>Las Animas County</t>
  </si>
  <si>
    <t>Lincoln County</t>
  </si>
  <si>
    <t>Logan County</t>
  </si>
  <si>
    <t>Mesa County</t>
  </si>
  <si>
    <t>Mineral County</t>
  </si>
  <si>
    <t>Moffat County</t>
  </si>
  <si>
    <t>Montezuma County</t>
  </si>
  <si>
    <t>Montrose County</t>
  </si>
  <si>
    <t>Morgan County</t>
  </si>
  <si>
    <t>Otero County</t>
  </si>
  <si>
    <t>Ouray County</t>
  </si>
  <si>
    <t>Park County</t>
  </si>
  <si>
    <t>Phillips County</t>
  </si>
  <si>
    <t>Pitkin County</t>
  </si>
  <si>
    <t>Prowers County</t>
  </si>
  <si>
    <t>Pueblo County</t>
  </si>
  <si>
    <t>Rio Blanco County</t>
  </si>
  <si>
    <t>Rio Grande County</t>
  </si>
  <si>
    <r>
      <rPr>
        <vertAlign val="superscript"/>
        <sz val="10"/>
        <color theme="1"/>
        <rFont val="Calibri"/>
        <family val="2"/>
        <scheme val="minor"/>
      </rPr>
      <t>1</t>
    </r>
    <r>
      <rPr>
        <sz val="10"/>
        <color theme="1"/>
        <rFont val="Calibri"/>
        <family val="2"/>
        <scheme val="minor"/>
      </rPr>
      <t xml:space="preserve">A person is defined as being food insecure if he or she lives in a household experiencing food insecurity. The food insecurity measures here are derived from the measures of food insecurity found in the nationally representative Current Population Survey. Since 1995, those measures have been calculated from responses to a series of questions about conditions and behaviors known to characterize households having difficulty meeting basic food needs. For more details about how food insecurity is calculated, see Coleman-Jensen, A., Nord, M., Andrews, M. &amp; Carlson, S. "Household Food Security in the United States in 2010." U.S. Department of Agriculture, Economic Research Service: Washington D.C. 2011.
</t>
    </r>
  </si>
  <si>
    <r>
      <t>Food insecurity rate (2010)</t>
    </r>
    <r>
      <rPr>
        <b/>
        <vertAlign val="superscript"/>
        <sz val="10"/>
        <color theme="1"/>
        <rFont val="Calibri"/>
        <family val="2"/>
        <scheme val="minor"/>
      </rPr>
      <t>1,2</t>
    </r>
  </si>
  <si>
    <r>
      <t>Income within the food insecure population</t>
    </r>
    <r>
      <rPr>
        <b/>
        <vertAlign val="superscript"/>
        <sz val="10"/>
        <rFont val="Calibri"/>
        <family val="2"/>
        <scheme val="minor"/>
      </rPr>
      <t>2</t>
    </r>
  </si>
  <si>
    <r>
      <t>Food Insecurity by County in 2010</t>
    </r>
    <r>
      <rPr>
        <b/>
        <vertAlign val="superscript"/>
        <sz val="11"/>
        <color theme="1" tint="0.14996795556505021"/>
        <rFont val="Calibri"/>
        <family val="2"/>
        <scheme val="minor"/>
      </rPr>
      <t>1</t>
    </r>
  </si>
  <si>
    <r>
      <rPr>
        <vertAlign val="superscript"/>
        <sz val="10"/>
        <color theme="1"/>
        <rFont val="Calibri"/>
        <family val="2"/>
        <scheme val="minor"/>
      </rPr>
      <t>3</t>
    </r>
    <r>
      <rPr>
        <sz val="10"/>
        <color theme="1"/>
        <rFont val="Calibri"/>
        <family val="2"/>
        <scheme val="minor"/>
      </rPr>
      <t>Pricing index created from actual cost of food relative to the cost of food in other states across the U.S.</t>
    </r>
  </si>
  <si>
    <t xml:space="preserve">                    Map the Meal Gap 2012        </t>
  </si>
  <si>
    <t xml:space="preserve">                             Map the Meal Gap 2012               </t>
  </si>
  <si>
    <t>Map the Meal Gap 2012: Food Insecurity</t>
  </si>
  <si>
    <t>Estimated number food insecure people</t>
  </si>
  <si>
    <r>
      <rPr>
        <vertAlign val="superscript"/>
        <sz val="10"/>
        <color theme="1"/>
        <rFont val="Calibri"/>
        <family val="2"/>
        <scheme val="minor"/>
      </rPr>
      <t>4</t>
    </r>
    <r>
      <rPr>
        <sz val="10"/>
        <color theme="1"/>
        <rFont val="Calibri"/>
        <family val="2"/>
        <scheme val="minor"/>
      </rPr>
      <t>Total food-budget shortfall for this year calculated using the following formula:</t>
    </r>
  </si>
  <si>
    <r>
      <t>Weighted cost per meal</t>
    </r>
    <r>
      <rPr>
        <b/>
        <vertAlign val="superscript"/>
        <sz val="10"/>
        <rFont val="Calibri"/>
        <family val="2"/>
        <scheme val="minor"/>
      </rPr>
      <t>5</t>
    </r>
  </si>
  <si>
    <r>
      <t>Total food-budget shortfall reported by the food insecure in 2010</t>
    </r>
    <r>
      <rPr>
        <b/>
        <vertAlign val="superscript"/>
        <sz val="10"/>
        <rFont val="Calibri"/>
        <family val="2"/>
        <scheme val="minor"/>
      </rPr>
      <t>4</t>
    </r>
  </si>
  <si>
    <r>
      <rPr>
        <vertAlign val="superscript"/>
        <sz val="10"/>
        <color theme="1"/>
        <rFont val="Calibri"/>
        <family val="2"/>
        <scheme val="minor"/>
      </rPr>
      <t>2</t>
    </r>
    <r>
      <rPr>
        <sz val="10"/>
        <color theme="1"/>
        <rFont val="Calibri"/>
        <family val="2"/>
        <scheme val="minor"/>
      </rPr>
      <t>Food insecurity rates shown here may differ from the state-level prevalence rates of food insecurity presented in "Household Food Security in the United States, 2010" (ibid.) Among other factors, those rates are three-year average rates for the period 2008-2010; the rates presented above reflect one-year rates for 2010. For more information about these factors, please see the supplemental methodology information on HungerNet.</t>
    </r>
  </si>
  <si>
    <r>
      <t>Ratio of cost-of-food in the state to national average</t>
    </r>
    <r>
      <rPr>
        <b/>
        <vertAlign val="superscript"/>
        <sz val="10"/>
        <color theme="1"/>
        <rFont val="Calibri"/>
        <family val="2"/>
        <scheme val="minor"/>
      </rPr>
      <t>3</t>
    </r>
  </si>
  <si>
    <r>
      <rPr>
        <vertAlign val="superscript"/>
        <sz val="10"/>
        <color theme="1"/>
        <rFont val="Calibri"/>
        <family val="2"/>
        <scheme val="minor"/>
      </rPr>
      <t xml:space="preserve">5 </t>
    </r>
    <r>
      <rPr>
        <sz val="10"/>
        <color theme="1"/>
        <rFont val="Calibri"/>
        <family val="2"/>
        <scheme val="minor"/>
      </rPr>
      <t>Annual "meal gap" represents the following formula:</t>
    </r>
  </si>
  <si>
    <r>
      <t>Annual "Meal Gap"</t>
    </r>
    <r>
      <rPr>
        <b/>
        <vertAlign val="superscript"/>
        <sz val="10"/>
        <color theme="1"/>
        <rFont val="Calibri"/>
        <family val="2"/>
        <scheme val="minor"/>
      </rPr>
      <t>5</t>
    </r>
  </si>
  <si>
    <r>
      <t>Cost of an average meal in the state</t>
    </r>
    <r>
      <rPr>
        <b/>
        <vertAlign val="superscript"/>
        <sz val="10"/>
        <color theme="1"/>
        <rFont val="Calibri"/>
        <family val="2"/>
        <scheme val="minor"/>
      </rPr>
      <t>4</t>
    </r>
  </si>
  <si>
    <r>
      <rPr>
        <vertAlign val="superscript"/>
        <sz val="10"/>
        <color theme="1"/>
        <rFont val="Calibri"/>
        <family val="2"/>
        <scheme val="minor"/>
      </rPr>
      <t xml:space="preserve">4 </t>
    </r>
    <r>
      <rPr>
        <sz val="10"/>
        <color theme="1"/>
        <rFont val="Calibri"/>
        <family val="2"/>
        <scheme val="minor"/>
      </rPr>
      <t>Weighted cost per meal is the national average cost spent on a meal by food secure persons, $2.52, weighted by the cost of food in the area</t>
    </r>
  </si>
  <si>
    <t>Gundersen, C., Waxman, E., Engelhard, E., &amp; Del Vecchio, T. Map the Meal Gap 2012: Food Insecurity Estimates at the County Level. Feeding America, 2012. This research is generously supported by the Howard G. Buffett Foundation and The Nielsen Company.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</si>
  <si>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</si>
  <si>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</si>
  <si>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</si>
  <si>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</si>
  <si>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</si>
  <si>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</si>
  <si>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</si>
  <si>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</si>
  <si>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</si>
  <si>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</si>
  <si>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</si>
  <si>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</si>
  <si>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</si>
  <si>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</si>
  <si>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</si>
  <si>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</si>
  <si>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</si>
  <si>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</si>
  <si>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</si>
  <si>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</si>
  <si>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</si>
  <si>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</si>
  <si>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</si>
  <si>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</si>
  <si>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</si>
  <si>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</si>
  <si>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</si>
  <si>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</si>
  <si>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Annual dollars food insecure persons report needing to meet their food needs in this area / Average cost of a meal for food secure individuals in the U.S.</t>
  </si>
  <si>
    <r>
      <t>Food Insecurity by Congressional District in 2010</t>
    </r>
    <r>
      <rPr>
        <b/>
        <vertAlign val="superscript"/>
        <sz val="11"/>
        <color theme="1" tint="0.14996795556505021"/>
        <rFont val="Calibri"/>
        <family val="2"/>
        <scheme val="minor"/>
      </rPr>
      <t>1</t>
    </r>
  </si>
  <si>
    <t>% below SNAP threshold of 130% poverty</t>
  </si>
  <si>
    <t>% between 130% and 185% poverty</t>
  </si>
  <si>
    <t>% above Nutrition Pgm threshold of 185% poverty</t>
  </si>
  <si>
    <t>% below SNAP threshold of 185% poverty</t>
  </si>
  <si>
    <t>-</t>
  </si>
  <si>
    <t>% above SNAP threshold of 185% poverty</t>
  </si>
  <si>
    <t>% below SNAP threshold of 200% poverty</t>
  </si>
  <si>
    <t>% above SNAP threshold of 200% poverty</t>
  </si>
  <si>
    <t>% below SNAP threshold of 160% poverty</t>
  </si>
  <si>
    <t>% between 160% and 185% poverty</t>
  </si>
  <si>
    <t>% below SNAP threshold of 165% poverty</t>
  </si>
  <si>
    <t>% between 165% and 185% poverty</t>
  </si>
  <si>
    <r>
      <rPr>
        <vertAlign val="superscript"/>
        <sz val="10"/>
        <color theme="1"/>
        <rFont val="Calibri"/>
        <family val="2"/>
        <scheme val="minor"/>
      </rPr>
      <t>1</t>
    </r>
    <r>
      <rPr>
        <sz val="10"/>
        <color theme="1"/>
        <rFont val="Calibri"/>
        <family val="2"/>
        <scheme val="minor"/>
      </rPr>
      <t xml:space="preserve">Map the Meal Gap's food insecurity rates are determined using data from the 2001-2010 Current Population Survey on individuals in food insecure households; and data from the 2010 American Community Survey on median household incomes, unemployment rates, poverty rates, and race and ethnic demographics. </t>
    </r>
  </si>
  <si>
    <r>
      <rPr>
        <vertAlign val="superscript"/>
        <sz val="10"/>
        <color theme="1"/>
        <rFont val="Calibri"/>
        <family val="2"/>
        <scheme val="minor"/>
      </rPr>
      <t>2</t>
    </r>
    <r>
      <rPr>
        <sz val="10"/>
        <color theme="1"/>
        <rFont val="Calibri"/>
        <family val="2"/>
        <scheme val="minor"/>
      </rPr>
      <t>Numbers reflect percentage of food insecure individuals living in households with incomes within the income bands indicated. Eligibility for federal nutrition programs is determined in part by these income thresholds which can vary by state.</t>
    </r>
  </si>
  <si>
    <t>Low Threshold Label</t>
  </si>
  <si>
    <t>Medium Threshold Label</t>
  </si>
  <si>
    <t>High Threshold Label</t>
  </si>
  <si>
    <t>The "Meal Gap"</t>
  </si>
  <si>
    <t>Population</t>
  </si>
  <si>
    <t>Food insecurity rate</t>
  </si>
  <si>
    <t>Estimated number food insecure individuals (rounded)</t>
  </si>
  <si>
    <t>Weekly Food Budget Shortfall:</t>
  </si>
  <si>
    <t>National Cost Per Meal:</t>
  </si>
  <si>
    <t>Cost-of-food Index</t>
  </si>
  <si>
    <t>Virginia</t>
  </si>
  <si>
    <t>Washington</t>
  </si>
  <si>
    <t>West Virginia</t>
  </si>
  <si>
    <t>Wisconsin</t>
  </si>
  <si>
    <t>Wyoming</t>
  </si>
  <si>
    <t>Abbr.</t>
  </si>
  <si>
    <r>
      <rPr>
        <vertAlign val="superscript"/>
        <sz val="10"/>
        <color theme="1"/>
        <rFont val="Calibri"/>
        <family val="2"/>
        <scheme val="minor"/>
      </rPr>
      <t>1</t>
    </r>
    <r>
      <rPr>
        <sz val="10"/>
        <color theme="1"/>
        <rFont val="Calibri"/>
        <family val="2"/>
        <scheme val="minor"/>
      </rPr>
      <t>Map the Meal Gap's food insecurity rates are determined using data from the 2001-2010 Current Population Survey on individuals in food insecure households; data from the 2010 American Community Survey on median household incomes, poverty rates, and race and ethnic demographics; and 2010 data from the Bureau of Labor Statistics on unemployment rates.</t>
    </r>
  </si>
  <si>
    <r>
      <t>Weekly food-budget shortfall per food insecure person</t>
    </r>
    <r>
      <rPr>
        <b/>
        <vertAlign val="superscript"/>
        <sz val="10"/>
        <rFont val="Calibri"/>
        <family val="2"/>
        <scheme val="minor"/>
      </rPr>
      <t>3</t>
    </r>
  </si>
  <si>
    <t>Cost-of-food index</t>
  </si>
  <si>
    <t>Annual dollars=weekly food budget shortfall * # food insecure persons * 52 weeks * Average months of the year a person is food insecure (7/12)</t>
  </si>
  <si>
    <r>
      <rPr>
        <vertAlign val="superscript"/>
        <sz val="10"/>
        <color indexed="8"/>
        <rFont val="Calibri"/>
        <family val="2"/>
      </rPr>
      <t>3</t>
    </r>
    <r>
      <rPr>
        <sz val="10"/>
        <color indexed="8"/>
        <rFont val="Calibri"/>
        <family val="2"/>
      </rPr>
      <t>Weekly food-budget shortfall is the national average amount of money food insecure people report needing to move to food security, weighted by the cost of food in the area.</t>
    </r>
  </si>
  <si>
    <r>
      <rPr>
        <vertAlign val="superscript"/>
        <sz val="10"/>
        <color indexed="8"/>
        <rFont val="Calibri"/>
        <family val="2"/>
      </rPr>
      <t>5</t>
    </r>
    <r>
      <rPr>
        <sz val="10"/>
        <color indexed="8"/>
        <rFont val="Calibri"/>
        <family val="2"/>
      </rPr>
      <t>Weighted cost per meal is the national average cost spent on a meal by food secure persons weighted by the cost of food in the area.</t>
    </r>
  </si>
  <si>
    <t>County</t>
  </si>
  <si>
    <t>Service Area Chart Source</t>
  </si>
  <si>
    <t>Food Secure</t>
  </si>
  <si>
    <t>State Overview</t>
  </si>
  <si>
    <t>DE</t>
  </si>
  <si>
    <t>State Name</t>
  </si>
  <si>
    <t>AK</t>
  </si>
  <si>
    <t>AL</t>
  </si>
  <si>
    <t>AR</t>
  </si>
  <si>
    <t>AZ</t>
  </si>
  <si>
    <t>CA</t>
  </si>
  <si>
    <t>CO</t>
  </si>
  <si>
    <t>CT</t>
  </si>
  <si>
    <t>DC</t>
  </si>
  <si>
    <t>FL</t>
  </si>
  <si>
    <t>GA</t>
  </si>
  <si>
    <t>HI</t>
  </si>
  <si>
    <t>IA</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</si>
  <si>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</si>
  <si>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</si>
  <si>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</si>
  <si>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</si>
  <si>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</si>
  <si>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</si>
  <si>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</si>
  <si>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</si>
  <si>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</si>
  <si>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</si>
  <si>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</si>
  <si>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</si>
  <si>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</si>
  <si>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</si>
  <si>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</si>
  <si>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</si>
  <si>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</si>
  <si>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</si>
  <si>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</si>
  <si>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</si>
  <si>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</si>
  <si>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</si>
  <si>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</si>
  <si>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</si>
  <si>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</si>
  <si>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</si>
  <si>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RI</t>
  </si>
  <si>
    <t>SC</t>
  </si>
  <si>
    <t>SD</t>
  </si>
  <si>
    <t>TN</t>
  </si>
  <si>
    <t>TX</t>
  </si>
  <si>
    <t>UT</t>
  </si>
  <si>
    <t>VA</t>
  </si>
  <si>
    <t>VT</t>
  </si>
  <si>
    <t>WA</t>
  </si>
  <si>
    <t>WI</t>
  </si>
  <si>
    <t>WV</t>
  </si>
  <si>
    <t>WY</t>
  </si>
  <si>
    <t>Arizona</t>
  </si>
  <si>
    <r>
      <t xml:space="preserve">For additional data and maps by county, state, and congressional district, please visit </t>
    </r>
    <r>
      <rPr>
        <b/>
        <i/>
        <u/>
        <sz val="10.5"/>
        <color rgb="FF0000FF"/>
        <rFont val="Calibri"/>
        <family val="2"/>
        <scheme val="minor"/>
      </rPr>
      <t>www.feedingamerica.org/mapthegap</t>
    </r>
    <r>
      <rPr>
        <b/>
        <i/>
        <sz val="10.5"/>
        <color theme="1"/>
        <rFont val="Calibri"/>
        <family val="2"/>
        <scheme val="minor"/>
      </rPr>
      <t>.</t>
    </r>
  </si>
  <si>
    <t>Congressional District</t>
  </si>
  <si>
    <t>Alabama</t>
  </si>
  <si>
    <t>Alaska</t>
  </si>
  <si>
    <t>Arkansas</t>
  </si>
  <si>
    <t>California</t>
  </si>
  <si>
    <t>Colorado</t>
  </si>
  <si>
    <t>Connecticut</t>
  </si>
  <si>
    <t>Delaware</t>
  </si>
  <si>
    <t>District of Columbia</t>
  </si>
  <si>
    <t>Florida</t>
  </si>
  <si>
    <t>Georgia</t>
  </si>
  <si>
    <t>Hawaii</t>
  </si>
  <si>
    <t>Idaho</t>
  </si>
  <si>
    <t>Illinois</t>
  </si>
  <si>
    <t>Indiana</t>
  </si>
  <si>
    <t>Iowa</t>
  </si>
  <si>
    <t>Kansas</t>
  </si>
  <si>
    <t>Kentucky</t>
  </si>
  <si>
    <r>
      <t>State Total</t>
    </r>
    <r>
      <rPr>
        <b/>
        <vertAlign val="superscript"/>
        <sz val="10"/>
        <color theme="1"/>
        <rFont val="Calibri"/>
        <family val="2"/>
        <scheme val="minor"/>
      </rPr>
      <t>6</t>
    </r>
  </si>
  <si>
    <r>
      <rPr>
        <vertAlign val="superscript"/>
        <sz val="10"/>
        <color theme="1"/>
        <rFont val="Calibri"/>
        <family val="2"/>
        <scheme val="minor"/>
      </rPr>
      <t>6</t>
    </r>
    <r>
      <rPr>
        <sz val="10"/>
        <color theme="1"/>
        <rFont val="Calibri"/>
        <family val="2"/>
        <scheme val="minor"/>
      </rPr>
      <t>Population and food insecurity data in the state totals row do not reflect the sum of all counties in that state. The state totals are aggregated from the congressional districts data in that state. All data in the state totals row pertaining to the cost of food or the "Meal Gap" reflect state-level data and are not aggregations of either counties or congressional districts.</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</si>
</sst>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0.0%"/>
    <numFmt numFmtId="165" formatCode="_(* #,##0_);_(* \(#,##0\);_(* &quot;-&quot;??_);_(@_)"/>
    <numFmt numFmtId="166" formatCode="_(* #,##0.000_);_(* \(#,##0.000\);_(* &quot;-&quot;??_);_(@_)"/>
    <numFmt numFmtId="167" formatCode="_(&quot;$&quot;* #,##0_);_(&quot;$&quot;* \(#,##0\);_(&quot;$&quot;* &quot;-&quot;??_);_(@_)"/>
  </numFmts>
  <fonts count="60" x14ac:knownFonts="1">
    <font>
      <sz val="11"/>
      <color theme="1"/>
      <name val="Calibri"/>
      <family val="2"/>
      <scheme val="minor"/>
    </font>
    <font>
      <sz val="11"/>
      <color indexed="8"/>
      <name val="Calibri"/>
      <family val="2"/>
    </font>
    <font>
      <sz val="11"/>
      <color theme="1"/>
      <name val="Calibri"/>
      <family val="2"/>
      <scheme val="minor"/>
    </font>
    <font>
      <sz val="12"/>
      <color indexed="8"/>
      <name val="Times New Roman"/>
      <family val="2"/>
    </font>
    <font>
      <sz val="11"/>
      <color theme="0"/>
      <name val="Calibri"/>
      <family val="2"/>
      <scheme val="minor"/>
    </font>
    <font>
      <sz val="12"/>
      <color indexed="9"/>
      <name val="Times New Roman"/>
      <family val="2"/>
    </font>
    <font>
      <sz val="11"/>
      <color rgb="FF9C0006"/>
      <name val="Calibri"/>
      <family val="2"/>
      <scheme val="minor"/>
    </font>
    <font>
      <sz val="12"/>
      <color rgb="FF9C0006"/>
      <name val="Times New Roman"/>
      <family val="2"/>
    </font>
    <font>
      <b/>
      <sz val="11"/>
      <color rgb="FFFA7D00"/>
      <name val="Calibri"/>
      <family val="2"/>
      <scheme val="minor"/>
    </font>
    <font>
      <b/>
      <sz val="12"/>
      <color rgb="FFFA7D00"/>
      <name val="Times New Roman"/>
      <family val="2"/>
    </font>
    <font>
      <b/>
      <sz val="11"/>
      <color theme="0"/>
      <name val="Calibri"/>
      <family val="2"/>
      <scheme val="minor"/>
    </font>
    <font>
      <b/>
      <sz val="12"/>
      <color indexed="9"/>
      <name val="Times New Roman"/>
      <family val="2"/>
    </font>
    <font>
      <i/>
      <sz val="11"/>
      <color rgb="FF7F7F7F"/>
      <name val="Calibri"/>
      <family val="2"/>
      <scheme val="minor"/>
    </font>
    <font>
      <i/>
      <sz val="12"/>
      <color rgb="FF7F7F7F"/>
      <name val="Times New Roman"/>
      <family val="2"/>
    </font>
    <font>
      <sz val="11"/>
      <color rgb="FF006100"/>
      <name val="Calibri"/>
      <family val="2"/>
      <scheme val="minor"/>
    </font>
    <font>
      <sz val="12"/>
      <color rgb="FF006100"/>
      <name val="Times New Roman"/>
      <family val="2"/>
    </font>
    <font>
      <b/>
      <sz val="15"/>
      <color theme="3"/>
      <name val="Calibri"/>
      <family val="2"/>
      <scheme val="minor"/>
    </font>
    <font>
      <b/>
      <sz val="15"/>
      <color theme="3"/>
      <name val="Times New Roman"/>
      <family val="2"/>
    </font>
    <font>
      <b/>
      <sz val="13"/>
      <color theme="3"/>
      <name val="Calibri"/>
      <family val="2"/>
      <scheme val="minor"/>
    </font>
    <font>
      <b/>
      <sz val="13"/>
      <color theme="3"/>
      <name val="Times New Roman"/>
      <family val="2"/>
    </font>
    <font>
      <b/>
      <sz val="11"/>
      <color theme="3"/>
      <name val="Calibri"/>
      <family val="2"/>
      <scheme val="minor"/>
    </font>
    <font>
      <b/>
      <sz val="11"/>
      <color theme="3"/>
      <name val="Times New Roman"/>
      <family val="2"/>
    </font>
    <font>
      <sz val="11"/>
      <color rgb="FF3F3F76"/>
      <name val="Calibri"/>
      <family val="2"/>
      <scheme val="minor"/>
    </font>
    <font>
      <sz val="12"/>
      <color rgb="FF3F3F76"/>
      <name val="Times New Roman"/>
      <family val="2"/>
    </font>
    <font>
      <sz val="11"/>
      <color rgb="FFFA7D00"/>
      <name val="Calibri"/>
      <family val="2"/>
      <scheme val="minor"/>
    </font>
    <font>
      <sz val="12"/>
      <color rgb="FFFA7D00"/>
      <name val="Times New Roman"/>
      <family val="2"/>
    </font>
    <font>
      <sz val="11"/>
      <color rgb="FF9C6500"/>
      <name val="Calibri"/>
      <family val="2"/>
      <scheme val="minor"/>
    </font>
    <font>
      <sz val="12"/>
      <color rgb="FF9C6500"/>
      <name val="Times New Roman"/>
      <family val="2"/>
    </font>
    <font>
      <b/>
      <sz val="11"/>
      <color rgb="FF3F3F3F"/>
      <name val="Calibri"/>
      <family val="2"/>
      <scheme val="minor"/>
    </font>
    <font>
      <b/>
      <sz val="12"/>
      <color rgb="FF3F3F3F"/>
      <name val="Times New Roman"/>
      <family val="2"/>
    </font>
    <font>
      <b/>
      <sz val="18"/>
      <color theme="3"/>
      <name val="Cambria"/>
      <family val="2"/>
      <scheme val="major"/>
    </font>
    <font>
      <b/>
      <sz val="11"/>
      <color theme="1"/>
      <name val="Calibri"/>
      <family val="2"/>
      <scheme val="minor"/>
    </font>
    <font>
      <b/>
      <sz val="12"/>
      <color indexed="8"/>
      <name val="Times New Roman"/>
      <family val="2"/>
    </font>
    <font>
      <sz val="11"/>
      <color rgb="FFFF0000"/>
      <name val="Calibri"/>
      <family val="2"/>
      <scheme val="minor"/>
    </font>
    <font>
      <sz val="12"/>
      <color indexed="10"/>
      <name val="Times New Roman"/>
      <family val="2"/>
    </font>
    <font>
      <b/>
      <sz val="10"/>
      <color theme="1"/>
      <name val="Calibri"/>
      <family val="2"/>
      <scheme val="minor"/>
    </font>
    <font>
      <sz val="10"/>
      <color theme="1"/>
      <name val="Calibri"/>
      <family val="2"/>
      <scheme val="minor"/>
    </font>
    <font>
      <i/>
      <sz val="10"/>
      <color theme="1"/>
      <name val="Calibri"/>
      <family val="2"/>
      <scheme val="minor"/>
    </font>
    <font>
      <b/>
      <sz val="14"/>
      <color theme="1"/>
      <name val="Calibri"/>
      <family val="2"/>
      <scheme val="minor"/>
    </font>
    <font>
      <sz val="10"/>
      <name val="Calibri"/>
      <family val="2"/>
      <scheme val="minor"/>
    </font>
    <font>
      <sz val="10"/>
      <name val="Calibri"/>
      <family val="2"/>
    </font>
    <font>
      <b/>
      <sz val="10"/>
      <name val="Calibri"/>
      <family val="2"/>
      <scheme val="minor"/>
    </font>
    <font>
      <b/>
      <sz val="24"/>
      <color theme="9" tint="-0.249977111117893"/>
      <name val="Calibri"/>
      <family val="2"/>
      <scheme val="minor"/>
    </font>
    <font>
      <b/>
      <i/>
      <sz val="16"/>
      <color theme="1" tint="0.14999847407452621"/>
      <name val="Calibri"/>
      <family val="2"/>
      <scheme val="minor"/>
    </font>
    <font>
      <b/>
      <vertAlign val="superscript"/>
      <sz val="11"/>
      <color theme="1" tint="0.14996795556505021"/>
      <name val="Calibri"/>
      <family val="2"/>
      <scheme val="minor"/>
    </font>
    <font>
      <b/>
      <i/>
      <sz val="14"/>
      <color theme="1" tint="0.14999847407452621"/>
      <name val="Calibri"/>
      <family val="2"/>
      <scheme val="minor"/>
    </font>
    <font>
      <i/>
      <sz val="11"/>
      <color theme="1" tint="0.14999847407452621"/>
      <name val="Calibri"/>
      <family val="2"/>
      <scheme val="minor"/>
    </font>
    <font>
      <b/>
      <i/>
      <sz val="10.5"/>
      <color theme="1"/>
      <name val="Calibri"/>
      <family val="2"/>
      <scheme val="minor"/>
    </font>
    <font>
      <b/>
      <i/>
      <u/>
      <sz val="10.5"/>
      <color rgb="FF0000FF"/>
      <name val="Calibri"/>
      <family val="2"/>
      <scheme val="minor"/>
    </font>
    <font>
      <vertAlign val="superscript"/>
      <sz val="10"/>
      <color theme="1"/>
      <name val="Calibri"/>
      <family val="2"/>
      <scheme val="minor"/>
    </font>
    <font>
      <i/>
      <sz val="16"/>
      <color theme="1" tint="0.14999847407452621"/>
      <name val="Calibri"/>
      <family val="2"/>
      <scheme val="minor"/>
    </font>
    <font>
      <sz val="16"/>
      <color theme="1"/>
      <name val="Calibri"/>
      <family val="2"/>
      <scheme val="minor"/>
    </font>
    <font>
      <sz val="9"/>
      <color theme="1"/>
      <name val="Calibri"/>
      <family val="2"/>
      <scheme val="minor"/>
    </font>
    <font>
      <b/>
      <vertAlign val="superscript"/>
      <sz val="10"/>
      <color theme="1"/>
      <name val="Calibri"/>
      <family val="2"/>
      <scheme val="minor"/>
    </font>
    <font>
      <sz val="10"/>
      <color indexed="8"/>
      <name val="Calibri"/>
      <family val="2"/>
    </font>
    <font>
      <vertAlign val="superscript"/>
      <sz val="10"/>
      <color indexed="8"/>
      <name val="Calibri"/>
      <family val="2"/>
    </font>
    <font>
      <b/>
      <vertAlign val="superscript"/>
      <sz val="10"/>
      <name val="Calibri"/>
      <family val="2"/>
      <scheme val="minor"/>
    </font>
    <font>
      <b/>
      <i/>
      <sz val="10"/>
      <color theme="1"/>
      <name val="Calibri"/>
      <family val="2"/>
      <scheme val="minor"/>
    </font>
    <font>
      <sz val="8"/>
      <name val="Verdana"/>
      <family val="2"/>
    </font>
    <font>
      <b/>
      <i/>
      <sz val="16"/>
      <color indexed="63"/>
      <name val="Calibri"/>
      <family val="2"/>
    </font>
  </fonts>
  <fills count="41">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6" tint="0.59999389629810485"/>
        <bgColor indexed="64"/>
      </patternFill>
    </fill>
    <fill>
      <patternFill patternType="solid">
        <fgColor theme="9"/>
        <bgColor indexed="64"/>
      </patternFill>
    </fill>
    <fill>
      <patternFill patternType="solid">
        <fgColor theme="9" tint="0.39997558519241921"/>
        <bgColor theme="6"/>
      </patternFill>
    </fill>
    <fill>
      <patternFill patternType="solid">
        <fgColor theme="6" tint="0.39997558519241921"/>
        <bgColor theme="6"/>
      </patternFill>
    </fill>
    <fill>
      <patternFill patternType="solid">
        <fgColor theme="9" tint="0.79998168889431442"/>
        <bgColor theme="0" tint="-0.14999847407452621"/>
      </patternFill>
    </fill>
    <fill>
      <patternFill patternType="solid">
        <fgColor theme="6" tint="0.79998168889431442"/>
        <bgColor theme="0" tint="-0.14999847407452621"/>
      </patternFill>
    </fill>
    <fill>
      <patternFill patternType="solid">
        <fgColor theme="7" tint="0.39997558519241921"/>
        <bgColor indexed="64"/>
      </patternFill>
    </fill>
    <fill>
      <patternFill patternType="solid">
        <fgColor theme="9" tint="0.59999389629810485"/>
        <bgColor indexed="64"/>
      </patternFill>
    </fill>
  </fills>
  <borders count="2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medium">
        <color indexed="64"/>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medium">
        <color indexed="64"/>
      </top>
      <bottom style="medium">
        <color indexed="64"/>
      </bottom>
      <diagonal/>
    </border>
    <border>
      <left style="thin">
        <color theme="0"/>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89">
    <xf numFmtId="0" fontId="0" fillId="0" borderId="0"/>
    <xf numFmtId="0" fontId="2" fillId="2" borderId="0" applyNumberFormat="0" applyBorder="0" applyAlignment="0" applyProtection="0"/>
    <xf numFmtId="0" fontId="3" fillId="2" borderId="0" applyNumberFormat="0" applyBorder="0" applyAlignment="0" applyProtection="0"/>
    <xf numFmtId="0" fontId="2" fillId="3" borderId="0" applyNumberFormat="0" applyBorder="0" applyAlignment="0" applyProtection="0"/>
    <xf numFmtId="0" fontId="3" fillId="3" borderId="0" applyNumberFormat="0" applyBorder="0" applyAlignment="0" applyProtection="0"/>
    <xf numFmtId="0" fontId="2" fillId="4" borderId="0" applyNumberFormat="0" applyBorder="0" applyAlignment="0" applyProtection="0"/>
    <xf numFmtId="0" fontId="3" fillId="4" borderId="0" applyNumberFormat="0" applyBorder="0" applyAlignment="0" applyProtection="0"/>
    <xf numFmtId="0" fontId="2" fillId="5" borderId="0" applyNumberFormat="0" applyBorder="0" applyAlignment="0" applyProtection="0"/>
    <xf numFmtId="0" fontId="3" fillId="5" borderId="0" applyNumberFormat="0" applyBorder="0" applyAlignment="0" applyProtection="0"/>
    <xf numFmtId="0" fontId="2" fillId="6" borderId="0" applyNumberFormat="0" applyBorder="0" applyAlignment="0" applyProtection="0"/>
    <xf numFmtId="0" fontId="3" fillId="6" borderId="0" applyNumberFormat="0" applyBorder="0" applyAlignment="0" applyProtection="0"/>
    <xf numFmtId="0" fontId="2" fillId="7" borderId="0" applyNumberFormat="0" applyBorder="0" applyAlignment="0" applyProtection="0"/>
    <xf numFmtId="0" fontId="3" fillId="7" borderId="0" applyNumberFormat="0" applyBorder="0" applyAlignment="0" applyProtection="0"/>
    <xf numFmtId="0" fontId="2" fillId="8" borderId="0" applyNumberFormat="0" applyBorder="0" applyAlignment="0" applyProtection="0"/>
    <xf numFmtId="0" fontId="3" fillId="8" borderId="0" applyNumberFormat="0" applyBorder="0" applyAlignment="0" applyProtection="0"/>
    <xf numFmtId="0" fontId="2" fillId="9" borderId="0" applyNumberFormat="0" applyBorder="0" applyAlignment="0" applyProtection="0"/>
    <xf numFmtId="0" fontId="3" fillId="9" borderId="0" applyNumberFormat="0" applyBorder="0" applyAlignment="0" applyProtection="0"/>
    <xf numFmtId="0" fontId="2" fillId="10" borderId="0" applyNumberFormat="0" applyBorder="0" applyAlignment="0" applyProtection="0"/>
    <xf numFmtId="0" fontId="3" fillId="10" borderId="0" applyNumberFormat="0" applyBorder="0" applyAlignment="0" applyProtection="0"/>
    <xf numFmtId="0" fontId="2" fillId="11" borderId="0" applyNumberFormat="0" applyBorder="0" applyAlignment="0" applyProtection="0"/>
    <xf numFmtId="0" fontId="3" fillId="11" borderId="0" applyNumberFormat="0" applyBorder="0" applyAlignment="0" applyProtection="0"/>
    <xf numFmtId="0" fontId="2" fillId="12" borderId="0" applyNumberFormat="0" applyBorder="0" applyAlignment="0" applyProtection="0"/>
    <xf numFmtId="0" fontId="3" fillId="12" borderId="0" applyNumberFormat="0" applyBorder="0" applyAlignment="0" applyProtection="0"/>
    <xf numFmtId="0" fontId="2"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5" fillId="14" borderId="0" applyNumberFormat="0" applyBorder="0" applyAlignment="0" applyProtection="0"/>
    <xf numFmtId="0" fontId="4" fillId="15" borderId="0" applyNumberFormat="0" applyBorder="0" applyAlignment="0" applyProtection="0"/>
    <xf numFmtId="0" fontId="5" fillId="15" borderId="0" applyNumberFormat="0" applyBorder="0" applyAlignment="0" applyProtection="0"/>
    <xf numFmtId="0" fontId="4" fillId="16" borderId="0" applyNumberFormat="0" applyBorder="0" applyAlignment="0" applyProtection="0"/>
    <xf numFmtId="0" fontId="5" fillId="16" borderId="0" applyNumberFormat="0" applyBorder="0" applyAlignment="0" applyProtection="0"/>
    <xf numFmtId="0" fontId="4" fillId="17" borderId="0" applyNumberFormat="0" applyBorder="0" applyAlignment="0" applyProtection="0"/>
    <xf numFmtId="0" fontId="5" fillId="17" borderId="0" applyNumberFormat="0" applyBorder="0" applyAlignment="0" applyProtection="0"/>
    <xf numFmtId="0" fontId="4" fillId="18" borderId="0" applyNumberFormat="0" applyBorder="0" applyAlignment="0" applyProtection="0"/>
    <xf numFmtId="0" fontId="5" fillId="18" borderId="0" applyNumberFormat="0" applyBorder="0" applyAlignment="0" applyProtection="0"/>
    <xf numFmtId="0" fontId="4" fillId="19" borderId="0" applyNumberFormat="0" applyBorder="0" applyAlignment="0" applyProtection="0"/>
    <xf numFmtId="0" fontId="5" fillId="19" borderId="0" applyNumberFormat="0" applyBorder="0" applyAlignment="0" applyProtection="0"/>
    <xf numFmtId="0" fontId="4" fillId="20" borderId="0" applyNumberFormat="0" applyBorder="0" applyAlignment="0" applyProtection="0"/>
    <xf numFmtId="0" fontId="5" fillId="20" borderId="0" applyNumberFormat="0" applyBorder="0" applyAlignment="0" applyProtection="0"/>
    <xf numFmtId="0" fontId="4" fillId="21" borderId="0" applyNumberFormat="0" applyBorder="0" applyAlignment="0" applyProtection="0"/>
    <xf numFmtId="0" fontId="5" fillId="21" borderId="0" applyNumberFormat="0" applyBorder="0" applyAlignment="0" applyProtection="0"/>
    <xf numFmtId="0" fontId="4" fillId="22" borderId="0" applyNumberFormat="0" applyBorder="0" applyAlignment="0" applyProtection="0"/>
    <xf numFmtId="0" fontId="5" fillId="22" borderId="0" applyNumberFormat="0" applyBorder="0" applyAlignment="0" applyProtection="0"/>
    <xf numFmtId="0" fontId="4" fillId="23" borderId="0" applyNumberFormat="0" applyBorder="0" applyAlignment="0" applyProtection="0"/>
    <xf numFmtId="0" fontId="5" fillId="23" borderId="0" applyNumberFormat="0" applyBorder="0" applyAlignment="0" applyProtection="0"/>
    <xf numFmtId="0" fontId="4" fillId="24" borderId="0" applyNumberFormat="0" applyBorder="0" applyAlignment="0" applyProtection="0"/>
    <xf numFmtId="0" fontId="5" fillId="24" borderId="0" applyNumberFormat="0" applyBorder="0" applyAlignment="0" applyProtection="0"/>
    <xf numFmtId="0" fontId="4" fillId="25" borderId="0" applyNumberFormat="0" applyBorder="0" applyAlignment="0" applyProtection="0"/>
    <xf numFmtId="0" fontId="5" fillId="25" borderId="0" applyNumberFormat="0" applyBorder="0" applyAlignment="0" applyProtection="0"/>
    <xf numFmtId="0" fontId="6" fillId="26" borderId="0" applyNumberFormat="0" applyBorder="0" applyAlignment="0" applyProtection="0"/>
    <xf numFmtId="0" fontId="7" fillId="26" borderId="0" applyNumberFormat="0" applyBorder="0" applyAlignment="0" applyProtection="0"/>
    <xf numFmtId="0" fontId="8" fillId="27" borderId="7" applyNumberFormat="0" applyAlignment="0" applyProtection="0"/>
    <xf numFmtId="0" fontId="9" fillId="27" borderId="7" applyNumberFormat="0" applyAlignment="0" applyProtection="0"/>
    <xf numFmtId="0" fontId="10" fillId="28" borderId="8" applyNumberFormat="0" applyAlignment="0" applyProtection="0"/>
    <xf numFmtId="0" fontId="11" fillId="28" borderId="8" applyNumberFormat="0" applyAlignment="0" applyProtection="0"/>
    <xf numFmtId="43" fontId="2"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4" fontId="2" fillId="0" borderId="0" applyFon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29" borderId="0" applyNumberFormat="0" applyBorder="0" applyAlignment="0" applyProtection="0"/>
    <xf numFmtId="0" fontId="16" fillId="0" borderId="9" applyNumberFormat="0" applyFill="0" applyAlignment="0" applyProtection="0"/>
    <xf numFmtId="0" fontId="17" fillId="0" borderId="9" applyNumberFormat="0" applyFill="0" applyAlignment="0" applyProtection="0"/>
    <xf numFmtId="0" fontId="18" fillId="0" borderId="10" applyNumberFormat="0" applyFill="0" applyAlignment="0" applyProtection="0"/>
    <xf numFmtId="0" fontId="19" fillId="0" borderId="10" applyNumberFormat="0" applyFill="0" applyAlignment="0" applyProtection="0"/>
    <xf numFmtId="0" fontId="20" fillId="0" borderId="11" applyNumberFormat="0" applyFill="0" applyAlignment="0" applyProtection="0"/>
    <xf numFmtId="0" fontId="21" fillId="0" borderId="11" applyNumberFormat="0" applyFill="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30" borderId="7" applyNumberFormat="0" applyAlignment="0" applyProtection="0"/>
    <xf numFmtId="0" fontId="23" fillId="30" borderId="7" applyNumberFormat="0" applyAlignment="0" applyProtection="0"/>
    <xf numFmtId="0" fontId="24" fillId="0" borderId="12" applyNumberFormat="0" applyFill="0" applyAlignment="0" applyProtection="0"/>
    <xf numFmtId="0" fontId="25" fillId="0" borderId="12" applyNumberFormat="0" applyFill="0" applyAlignment="0" applyProtection="0"/>
    <xf numFmtId="0" fontId="26" fillId="31" borderId="0" applyNumberFormat="0" applyBorder="0" applyAlignment="0" applyProtection="0"/>
    <xf numFmtId="0" fontId="27" fillId="31" borderId="0" applyNumberFormat="0" applyBorder="0" applyAlignment="0" applyProtection="0"/>
    <xf numFmtId="0" fontId="3" fillId="0" borderId="0"/>
    <xf numFmtId="0" fontId="2" fillId="32" borderId="13" applyNumberFormat="0" applyFont="0" applyAlignment="0" applyProtection="0"/>
    <xf numFmtId="0" fontId="3" fillId="32" borderId="13" applyNumberFormat="0" applyFont="0" applyAlignment="0" applyProtection="0"/>
    <xf numFmtId="0" fontId="28" fillId="27" borderId="14" applyNumberFormat="0" applyAlignment="0" applyProtection="0"/>
    <xf numFmtId="0" fontId="29" fillId="27" borderId="14" applyNumberFormat="0" applyAlignment="0" applyProtection="0"/>
    <xf numFmtId="9" fontId="2" fillId="0" borderId="0" applyFont="0" applyFill="0" applyBorder="0" applyAlignment="0" applyProtection="0"/>
    <xf numFmtId="9" fontId="3" fillId="0" borderId="0" applyFont="0" applyFill="0" applyBorder="0" applyAlignment="0" applyProtection="0"/>
    <xf numFmtId="0" fontId="30" fillId="0" borderId="0" applyNumberFormat="0" applyFill="0" applyBorder="0" applyAlignment="0" applyProtection="0"/>
    <xf numFmtId="0" fontId="31" fillId="0" borderId="15" applyNumberFormat="0" applyFill="0" applyAlignment="0" applyProtection="0"/>
    <xf numFmtId="0" fontId="32" fillId="0" borderId="15" applyNumberFormat="0" applyFill="0" applyAlignment="0" applyProtection="0"/>
    <xf numFmtId="0" fontId="33" fillId="0" borderId="0" applyNumberFormat="0" applyFill="0" applyBorder="0" applyAlignment="0" applyProtection="0"/>
    <xf numFmtId="0" fontId="34" fillId="0" borderId="0" applyNumberFormat="0" applyFill="0" applyBorder="0" applyAlignment="0" applyProtection="0"/>
  </cellStyleXfs>
  <cellXfs count="153">
    <xf numFmtId="0" fontId="0" fillId="0" borderId="0" xfId="0"/>
    <xf numFmtId="0" fontId="0" fillId="0" borderId="0" xfId="0" applyFill="1" applyAlignment="1">
      <alignment wrapText="1"/>
    </xf>
    <xf numFmtId="0" fontId="37" fillId="0" borderId="0" xfId="0" applyFont="1"/>
    <xf numFmtId="0" fontId="0" fillId="0" borderId="0" xfId="0" applyFill="1"/>
    <xf numFmtId="0" fontId="31" fillId="0" borderId="0" xfId="0" applyFont="1" applyFill="1"/>
    <xf numFmtId="0" fontId="0" fillId="0" borderId="0" xfId="0"/>
    <xf numFmtId="0" fontId="36" fillId="0" borderId="0" xfId="0" applyFont="1"/>
    <xf numFmtId="0" fontId="31" fillId="0" borderId="0" xfId="0" applyFont="1"/>
    <xf numFmtId="0" fontId="35" fillId="0" borderId="0" xfId="0" applyFont="1" applyFill="1" applyAlignment="1">
      <alignment horizontal="left"/>
    </xf>
    <xf numFmtId="0" fontId="35" fillId="33" borderId="1" xfId="0" applyFont="1" applyFill="1" applyBorder="1" applyAlignment="1">
      <alignment horizontal="left"/>
    </xf>
    <xf numFmtId="0" fontId="35" fillId="33" borderId="4" xfId="0" applyFont="1" applyFill="1" applyBorder="1" applyAlignment="1">
      <alignment horizontal="left"/>
    </xf>
    <xf numFmtId="0" fontId="38" fillId="0" borderId="0" xfId="0" applyFont="1" applyFill="1" applyAlignment="1">
      <alignment horizontal="left"/>
    </xf>
    <xf numFmtId="0" fontId="35" fillId="0" borderId="0" xfId="0" applyFont="1" applyFill="1" applyBorder="1" applyAlignment="1">
      <alignment horizontal="left"/>
    </xf>
    <xf numFmtId="0" fontId="0" fillId="0" borderId="0" xfId="0"/>
    <xf numFmtId="0" fontId="0" fillId="0" borderId="0" xfId="0" applyFill="1" applyBorder="1"/>
    <xf numFmtId="0" fontId="0" fillId="0" borderId="0" xfId="0" applyBorder="1"/>
    <xf numFmtId="165" fontId="35" fillId="0" borderId="0" xfId="55" applyNumberFormat="1" applyFont="1" applyFill="1" applyBorder="1" applyAlignment="1">
      <alignment horizontal="left"/>
    </xf>
    <xf numFmtId="0" fontId="38" fillId="0" borderId="0" xfId="0" applyFont="1" applyFill="1" applyBorder="1" applyAlignment="1">
      <alignment horizontal="left"/>
    </xf>
    <xf numFmtId="0" fontId="0" fillId="0" borderId="0" xfId="0" applyBorder="1" applyAlignment="1">
      <alignment horizontal="right"/>
    </xf>
    <xf numFmtId="0" fontId="36" fillId="0" borderId="0" xfId="0" applyFont="1" applyAlignment="1">
      <alignment horizontal="right"/>
    </xf>
    <xf numFmtId="0" fontId="0" fillId="0" borderId="0" xfId="0" applyAlignment="1">
      <alignment horizontal="right"/>
    </xf>
    <xf numFmtId="0" fontId="36" fillId="0" borderId="0" xfId="0" applyFont="1" applyAlignment="1">
      <alignment horizontal="left" wrapText="1"/>
    </xf>
    <xf numFmtId="0" fontId="36" fillId="0" borderId="0" xfId="0" applyFont="1" applyFill="1" applyAlignment="1">
      <alignment wrapText="1"/>
    </xf>
    <xf numFmtId="0" fontId="36" fillId="0" borderId="0" xfId="0" applyFont="1" applyAlignment="1">
      <alignment wrapText="1"/>
    </xf>
    <xf numFmtId="9" fontId="0" fillId="0" borderId="0" xfId="82" applyFont="1" applyBorder="1"/>
    <xf numFmtId="9" fontId="36" fillId="0" borderId="0" xfId="82" applyFont="1"/>
    <xf numFmtId="9" fontId="0" fillId="0" borderId="0" xfId="82" applyFont="1"/>
    <xf numFmtId="164" fontId="35" fillId="33" borderId="2" xfId="82" applyNumberFormat="1" applyFont="1" applyFill="1" applyBorder="1" applyAlignment="1">
      <alignment horizontal="right"/>
    </xf>
    <xf numFmtId="165" fontId="35" fillId="33" borderId="5" xfId="55" applyNumberFormat="1" applyFont="1" applyFill="1" applyBorder="1" applyAlignment="1">
      <alignment horizontal="left"/>
    </xf>
    <xf numFmtId="0" fontId="0" fillId="0" borderId="0" xfId="0" applyNumberFormat="1"/>
    <xf numFmtId="0" fontId="0" fillId="0" borderId="0" xfId="0" applyNumberFormat="1" applyFill="1"/>
    <xf numFmtId="0" fontId="0" fillId="0" borderId="0" xfId="0" applyAlignment="1">
      <alignment horizontal="left"/>
    </xf>
    <xf numFmtId="0" fontId="42" fillId="0" borderId="0" xfId="0" applyFont="1" applyFill="1" applyBorder="1" applyAlignment="1">
      <alignment horizontal="center"/>
    </xf>
    <xf numFmtId="0" fontId="43" fillId="0" borderId="0" xfId="0" applyFont="1" applyFill="1" applyBorder="1" applyAlignment="1">
      <alignment horizontal="right"/>
    </xf>
    <xf numFmtId="0" fontId="43" fillId="0" borderId="0" xfId="0" applyFont="1" applyFill="1" applyBorder="1" applyAlignment="1">
      <alignment horizontal="left"/>
    </xf>
    <xf numFmtId="0" fontId="46" fillId="0" borderId="0" xfId="0" applyFont="1" applyBorder="1"/>
    <xf numFmtId="0" fontId="45" fillId="0" borderId="0" xfId="0" applyFont="1" applyFill="1" applyBorder="1" applyAlignment="1">
      <alignment horizontal="left"/>
    </xf>
    <xf numFmtId="0" fontId="46" fillId="0" borderId="0" xfId="0" applyFont="1" applyBorder="1" applyAlignment="1">
      <alignment horizontal="right"/>
    </xf>
    <xf numFmtId="9" fontId="41" fillId="36" borderId="1" xfId="82" applyNumberFormat="1" applyFont="1" applyFill="1" applyBorder="1" applyAlignment="1">
      <alignment horizontal="center" vertical="center" wrapText="1"/>
    </xf>
    <xf numFmtId="9" fontId="41" fillId="36" borderId="2" xfId="82" applyNumberFormat="1" applyFont="1" applyFill="1" applyBorder="1" applyAlignment="1">
      <alignment horizontal="center" vertical="center" wrapText="1"/>
    </xf>
    <xf numFmtId="0" fontId="39" fillId="37" borderId="3" xfId="0" applyFont="1" applyFill="1" applyBorder="1" applyAlignment="1">
      <alignment horizontal="left"/>
    </xf>
    <xf numFmtId="164" fontId="39" fillId="37" borderId="0" xfId="82" applyNumberFormat="1" applyFont="1" applyFill="1" applyBorder="1" applyAlignment="1">
      <alignment horizontal="center"/>
    </xf>
    <xf numFmtId="0" fontId="39" fillId="0" borderId="3" xfId="0" applyFont="1" applyBorder="1" applyAlignment="1">
      <alignment horizontal="left"/>
    </xf>
    <xf numFmtId="164" fontId="39" fillId="0" borderId="0" xfId="82" applyNumberFormat="1" applyFont="1" applyBorder="1" applyAlignment="1">
      <alignment horizontal="center"/>
    </xf>
    <xf numFmtId="0" fontId="36" fillId="0" borderId="0" xfId="0" applyFont="1" applyAlignment="1">
      <alignment horizontal="left"/>
    </xf>
    <xf numFmtId="0" fontId="37" fillId="0" borderId="0" xfId="0" applyFont="1" applyAlignment="1">
      <alignment horizontal="left"/>
    </xf>
    <xf numFmtId="0" fontId="50" fillId="0" borderId="0" xfId="0" applyFont="1" applyBorder="1" applyAlignment="1">
      <alignment horizontal="right"/>
    </xf>
    <xf numFmtId="9" fontId="51" fillId="0" borderId="0" xfId="82" applyFont="1" applyBorder="1"/>
    <xf numFmtId="0" fontId="39" fillId="37" borderId="3" xfId="0" applyFont="1" applyFill="1" applyBorder="1" applyAlignment="1">
      <alignment horizontal="center"/>
    </xf>
    <xf numFmtId="0" fontId="39" fillId="0" borderId="3" xfId="0" applyFont="1" applyBorder="1" applyAlignment="1">
      <alignment horizontal="center"/>
    </xf>
    <xf numFmtId="0" fontId="36" fillId="0" borderId="0" xfId="0" applyFont="1" applyAlignment="1">
      <alignment horizontal="left" wrapText="1"/>
    </xf>
    <xf numFmtId="0" fontId="0" fillId="0" borderId="0" xfId="0" applyAlignment="1">
      <alignment vertical="center" wrapText="1"/>
    </xf>
    <xf numFmtId="0" fontId="36" fillId="0" borderId="0" xfId="0" applyFont="1" applyAlignment="1">
      <alignment vertical="top" wrapText="1"/>
    </xf>
    <xf numFmtId="9" fontId="41" fillId="36" borderId="16" xfId="82" applyNumberFormat="1" applyFont="1" applyFill="1" applyBorder="1" applyAlignment="1">
      <alignment horizontal="center" vertical="center" wrapText="1"/>
    </xf>
    <xf numFmtId="164" fontId="35" fillId="39" borderId="0" xfId="82" applyNumberFormat="1" applyFont="1" applyFill="1" applyBorder="1" applyAlignment="1">
      <alignment horizontal="center" wrapText="1"/>
    </xf>
    <xf numFmtId="166" fontId="0" fillId="0" borderId="0" xfId="0" applyNumberFormat="1" applyBorder="1"/>
    <xf numFmtId="166" fontId="35" fillId="0" borderId="20" xfId="55" applyNumberFormat="1" applyFont="1" applyFill="1" applyBorder="1"/>
    <xf numFmtId="44" fontId="35" fillId="0" borderId="21" xfId="58" applyNumberFormat="1" applyFont="1" applyBorder="1"/>
    <xf numFmtId="167" fontId="35" fillId="0" borderId="21" xfId="58" applyNumberFormat="1" applyFont="1" applyBorder="1"/>
    <xf numFmtId="165" fontId="35" fillId="0" borderId="22" xfId="55" applyNumberFormat="1" applyFont="1" applyBorder="1"/>
    <xf numFmtId="166" fontId="36" fillId="0" borderId="0" xfId="58" applyNumberFormat="1" applyFont="1"/>
    <xf numFmtId="44" fontId="36" fillId="0" borderId="0" xfId="58" applyFont="1"/>
    <xf numFmtId="167" fontId="39" fillId="37" borderId="0" xfId="58" applyNumberFormat="1" applyFont="1" applyFill="1" applyBorder="1" applyAlignment="1">
      <alignment horizontal="center"/>
    </xf>
    <xf numFmtId="167" fontId="39" fillId="0" borderId="0" xfId="58" applyNumberFormat="1" applyFont="1" applyBorder="1" applyAlignment="1">
      <alignment horizontal="center"/>
    </xf>
    <xf numFmtId="44" fontId="39" fillId="37" borderId="0" xfId="58" applyFont="1" applyFill="1" applyBorder="1" applyAlignment="1">
      <alignment horizontal="center" vertical="center"/>
    </xf>
    <xf numFmtId="44" fontId="39" fillId="0" borderId="0" xfId="58" applyFont="1" applyBorder="1" applyAlignment="1">
      <alignment horizontal="center" vertical="center"/>
    </xf>
    <xf numFmtId="166" fontId="39" fillId="37" borderId="3" xfId="55" applyNumberFormat="1" applyFont="1" applyFill="1" applyBorder="1" applyAlignment="1">
      <alignment horizontal="right"/>
    </xf>
    <xf numFmtId="166" fontId="39" fillId="0" borderId="3" xfId="55" applyNumberFormat="1" applyFont="1" applyBorder="1" applyAlignment="1">
      <alignment horizontal="right"/>
    </xf>
    <xf numFmtId="0" fontId="0" fillId="33" borderId="16" xfId="0" applyFill="1" applyBorder="1" applyAlignment="1">
      <alignment horizontal="right"/>
    </xf>
    <xf numFmtId="0" fontId="0" fillId="33" borderId="2" xfId="0" applyFill="1" applyBorder="1"/>
    <xf numFmtId="0" fontId="0" fillId="33" borderId="4" xfId="0" applyFill="1" applyBorder="1"/>
    <xf numFmtId="0" fontId="0" fillId="33" borderId="5" xfId="0" applyFill="1" applyBorder="1"/>
    <xf numFmtId="0" fontId="0" fillId="33" borderId="3" xfId="0" applyFill="1" applyBorder="1"/>
    <xf numFmtId="0" fontId="0" fillId="40" borderId="1" xfId="0" applyFill="1" applyBorder="1"/>
    <xf numFmtId="0" fontId="0" fillId="40" borderId="17" xfId="0" applyFill="1" applyBorder="1"/>
    <xf numFmtId="0" fontId="0" fillId="40" borderId="5" xfId="0" applyFill="1" applyBorder="1"/>
    <xf numFmtId="0" fontId="0" fillId="40" borderId="3" xfId="0" applyNumberFormat="1" applyFill="1" applyBorder="1"/>
    <xf numFmtId="0" fontId="0" fillId="40" borderId="4" xfId="0" applyNumberFormat="1" applyFill="1" applyBorder="1"/>
    <xf numFmtId="0" fontId="0" fillId="33" borderId="6" xfId="0" applyFill="1" applyBorder="1" applyAlignment="1">
      <alignment horizontal="right"/>
    </xf>
    <xf numFmtId="0" fontId="35" fillId="0" borderId="23" xfId="0" applyFont="1" applyBorder="1" applyAlignment="1">
      <alignment horizontal="left"/>
    </xf>
    <xf numFmtId="165" fontId="39" fillId="37" borderId="19" xfId="55" applyNumberFormat="1" applyFont="1" applyFill="1" applyBorder="1" applyAlignment="1">
      <alignment horizontal="center"/>
    </xf>
    <xf numFmtId="165" fontId="39" fillId="0" borderId="19" xfId="55" applyNumberFormat="1" applyFont="1" applyBorder="1" applyAlignment="1">
      <alignment horizontal="center"/>
    </xf>
    <xf numFmtId="165" fontId="39" fillId="37" borderId="0" xfId="55" applyNumberFormat="1" applyFont="1" applyFill="1" applyBorder="1" applyAlignment="1">
      <alignment horizontal="right"/>
    </xf>
    <xf numFmtId="37" fontId="39" fillId="37" borderId="0" xfId="55" applyNumberFormat="1" applyFont="1" applyFill="1" applyBorder="1" applyAlignment="1">
      <alignment horizontal="right" vertical="center"/>
    </xf>
    <xf numFmtId="165" fontId="39" fillId="0" borderId="0" xfId="55" applyNumberFormat="1" applyFont="1" applyBorder="1" applyAlignment="1">
      <alignment horizontal="right"/>
    </xf>
    <xf numFmtId="37" fontId="39" fillId="0" borderId="0" xfId="55" applyNumberFormat="1" applyFont="1" applyBorder="1" applyAlignment="1">
      <alignment horizontal="right" vertical="center"/>
    </xf>
    <xf numFmtId="165" fontId="35" fillId="0" borderId="21" xfId="55" applyNumberFormat="1" applyFont="1" applyBorder="1" applyAlignment="1">
      <alignment horizontal="right"/>
    </xf>
    <xf numFmtId="3" fontId="35" fillId="0" borderId="20" xfId="55" applyNumberFormat="1" applyFont="1" applyBorder="1" applyAlignment="1">
      <alignment horizontal="right"/>
    </xf>
    <xf numFmtId="9" fontId="0" fillId="40" borderId="16" xfId="82" applyFont="1" applyFill="1" applyBorder="1"/>
    <xf numFmtId="9" fontId="0" fillId="40" borderId="0" xfId="82" applyFont="1" applyFill="1" applyBorder="1"/>
    <xf numFmtId="9" fontId="0" fillId="40" borderId="6" xfId="82" applyFont="1" applyFill="1" applyBorder="1"/>
    <xf numFmtId="164" fontId="36" fillId="0" borderId="0" xfId="0" applyNumberFormat="1" applyFont="1"/>
    <xf numFmtId="166" fontId="36" fillId="0" borderId="0" xfId="55" applyNumberFormat="1" applyFont="1"/>
    <xf numFmtId="0" fontId="54" fillId="0" borderId="0" xfId="0" applyFont="1"/>
    <xf numFmtId="0" fontId="57" fillId="0" borderId="0" xfId="0" applyFont="1"/>
    <xf numFmtId="0" fontId="36" fillId="0" borderId="0" xfId="0" applyFont="1" applyAlignment="1">
      <alignment horizontal="left" wrapText="1"/>
    </xf>
    <xf numFmtId="9" fontId="41" fillId="36" borderId="23" xfId="82" applyNumberFormat="1" applyFont="1" applyFill="1" applyBorder="1" applyAlignment="1">
      <alignment horizontal="center" vertical="center" wrapText="1"/>
    </xf>
    <xf numFmtId="9" fontId="41" fillId="36" borderId="20" xfId="82" applyNumberFormat="1" applyFont="1" applyFill="1" applyBorder="1" applyAlignment="1">
      <alignment horizontal="center" vertical="center" wrapText="1"/>
    </xf>
    <xf numFmtId="9" fontId="41" fillId="36" borderId="25" xfId="82" applyNumberFormat="1" applyFont="1" applyFill="1" applyBorder="1" applyAlignment="1">
      <alignment horizontal="center" vertical="center" wrapText="1"/>
    </xf>
    <xf numFmtId="0" fontId="47" fillId="0" borderId="0" xfId="0" applyFont="1" applyAlignment="1">
      <alignment vertical="top" wrapText="1"/>
    </xf>
    <xf numFmtId="166" fontId="35" fillId="33" borderId="2" xfId="55" applyNumberFormat="1" applyFont="1" applyFill="1" applyBorder="1" applyAlignment="1">
      <alignment horizontal="left"/>
    </xf>
    <xf numFmtId="0" fontId="0" fillId="0" borderId="0" xfId="0" applyFill="1" applyAlignment="1">
      <alignment horizontal="right"/>
    </xf>
    <xf numFmtId="0" fontId="36" fillId="0" borderId="0" xfId="0" applyFont="1" applyAlignment="1">
      <alignment horizontal="right" wrapText="1"/>
    </xf>
    <xf numFmtId="0" fontId="0" fillId="0" borderId="0" xfId="0" applyFill="1" applyAlignment="1">
      <alignment horizontal="left"/>
    </xf>
    <xf numFmtId="0" fontId="36" fillId="0" borderId="0" xfId="0" applyFont="1" applyBorder="1"/>
    <xf numFmtId="9" fontId="36" fillId="0" borderId="0" xfId="0" applyNumberFormat="1" applyFont="1"/>
    <xf numFmtId="0" fontId="36" fillId="0" borderId="0" xfId="0" applyFont="1" applyAlignment="1">
      <alignment horizontal="left" wrapText="1"/>
    </xf>
    <xf numFmtId="44" fontId="39" fillId="37" borderId="0" xfId="58" applyNumberFormat="1" applyFont="1" applyFill="1" applyBorder="1" applyAlignment="1">
      <alignment horizontal="center"/>
    </xf>
    <xf numFmtId="44" fontId="39" fillId="0" borderId="0" xfId="58" applyNumberFormat="1" applyFont="1" applyBorder="1" applyAlignment="1">
      <alignment horizontal="center"/>
    </xf>
    <xf numFmtId="0" fontId="35" fillId="33" borderId="3" xfId="0" applyFont="1" applyFill="1" applyBorder="1" applyAlignment="1">
      <alignment horizontal="left"/>
    </xf>
    <xf numFmtId="0" fontId="0" fillId="33" borderId="17" xfId="0" applyFill="1" applyBorder="1" applyAlignment="1">
      <alignment horizontal="left"/>
    </xf>
    <xf numFmtId="167" fontId="35" fillId="33" borderId="6" xfId="58" applyNumberFormat="1" applyFont="1" applyFill="1" applyBorder="1" applyAlignment="1">
      <alignment horizontal="right"/>
    </xf>
    <xf numFmtId="44" fontId="35" fillId="33" borderId="0" xfId="0" applyNumberFormat="1" applyFont="1" applyFill="1" applyBorder="1" applyAlignment="1">
      <alignment horizontal="right"/>
    </xf>
    <xf numFmtId="9" fontId="0" fillId="40" borderId="2" xfId="82" applyFont="1" applyFill="1" applyBorder="1"/>
    <xf numFmtId="0" fontId="35" fillId="34" borderId="0" xfId="0" applyFont="1" applyFill="1" applyBorder="1" applyAlignment="1">
      <alignment wrapText="1"/>
    </xf>
    <xf numFmtId="9" fontId="36" fillId="0" borderId="0" xfId="0" applyNumberFormat="1" applyFont="1" applyBorder="1"/>
    <xf numFmtId="166" fontId="35" fillId="33" borderId="16" xfId="55" applyNumberFormat="1" applyFont="1" applyFill="1" applyBorder="1" applyAlignment="1">
      <alignment horizontal="right"/>
    </xf>
    <xf numFmtId="9" fontId="39" fillId="38" borderId="3" xfId="82" applyNumberFormat="1" applyFont="1" applyFill="1" applyBorder="1" applyAlignment="1">
      <alignment horizontal="right"/>
    </xf>
    <xf numFmtId="9" fontId="39" fillId="38" borderId="0" xfId="82" applyNumberFormat="1" applyFont="1" applyFill="1" applyBorder="1" applyAlignment="1">
      <alignment horizontal="right"/>
    </xf>
    <xf numFmtId="9" fontId="40" fillId="38" borderId="17" xfId="82" applyNumberFormat="1" applyFont="1" applyFill="1" applyBorder="1" applyAlignment="1">
      <alignment horizontal="right"/>
    </xf>
    <xf numFmtId="9" fontId="39" fillId="0" borderId="3" xfId="82" applyNumberFormat="1" applyFont="1" applyBorder="1" applyAlignment="1">
      <alignment horizontal="right"/>
    </xf>
    <xf numFmtId="9" fontId="39" fillId="0" borderId="0" xfId="82" applyNumberFormat="1" applyFont="1" applyBorder="1" applyAlignment="1">
      <alignment horizontal="right"/>
    </xf>
    <xf numFmtId="9" fontId="40" fillId="0" borderId="17" xfId="82" applyNumberFormat="1" applyFont="1" applyBorder="1" applyAlignment="1">
      <alignment horizontal="right"/>
    </xf>
    <xf numFmtId="164" fontId="39" fillId="37" borderId="0" xfId="82" applyNumberFormat="1" applyFont="1" applyFill="1" applyBorder="1" applyAlignment="1">
      <alignment horizontal="right"/>
    </xf>
    <xf numFmtId="164" fontId="39" fillId="0" borderId="0" xfId="82" applyNumberFormat="1" applyFont="1" applyBorder="1" applyAlignment="1">
      <alignment horizontal="right"/>
    </xf>
    <xf numFmtId="0" fontId="59" fillId="0" borderId="0" xfId="0" applyFont="1" applyFill="1" applyBorder="1" applyAlignment="1">
      <alignment horizontal="right"/>
    </xf>
    <xf numFmtId="9" fontId="35" fillId="0" borderId="23" xfId="82" applyFont="1" applyBorder="1" applyAlignment="1">
      <alignment horizontal="right"/>
    </xf>
    <xf numFmtId="9" fontId="35" fillId="0" borderId="20" xfId="82" applyFont="1" applyBorder="1" applyAlignment="1">
      <alignment horizontal="right"/>
    </xf>
    <xf numFmtId="9" fontId="35" fillId="0" borderId="24" xfId="82" applyFont="1" applyBorder="1" applyAlignment="1">
      <alignment horizontal="right"/>
    </xf>
    <xf numFmtId="164" fontId="35" fillId="0" borderId="21" xfId="82" applyNumberFormat="1" applyFont="1" applyBorder="1" applyAlignment="1">
      <alignment horizontal="center"/>
    </xf>
    <xf numFmtId="0" fontId="41" fillId="35" borderId="16" xfId="0" applyFont="1" applyFill="1" applyBorder="1" applyAlignment="1">
      <alignment horizontal="center" vertical="center" wrapText="1"/>
    </xf>
    <xf numFmtId="0" fontId="41" fillId="35" borderId="6" xfId="0" applyFont="1" applyFill="1" applyBorder="1" applyAlignment="1">
      <alignment horizontal="center" vertical="center" wrapText="1"/>
    </xf>
    <xf numFmtId="164" fontId="41" fillId="35" borderId="16" xfId="82" applyNumberFormat="1" applyFont="1" applyFill="1" applyBorder="1" applyAlignment="1">
      <alignment horizontal="center" vertical="center" wrapText="1"/>
    </xf>
    <xf numFmtId="164" fontId="41" fillId="35" borderId="6" xfId="82" applyNumberFormat="1" applyFont="1" applyFill="1" applyBorder="1" applyAlignment="1">
      <alignment horizontal="center" vertical="center" wrapText="1"/>
    </xf>
    <xf numFmtId="9" fontId="41" fillId="35" borderId="16" xfId="82" applyNumberFormat="1" applyFont="1" applyFill="1" applyBorder="1" applyAlignment="1">
      <alignment horizontal="center" vertical="center" wrapText="1"/>
    </xf>
    <xf numFmtId="9" fontId="41" fillId="35" borderId="6" xfId="82" applyNumberFormat="1" applyFont="1" applyFill="1" applyBorder="1" applyAlignment="1">
      <alignment horizontal="center" vertical="center" wrapText="1"/>
    </xf>
    <xf numFmtId="0" fontId="41" fillId="35" borderId="18" xfId="0" applyFont="1" applyFill="1" applyBorder="1" applyAlignment="1">
      <alignment horizontal="center" vertical="center" wrapText="1"/>
    </xf>
    <xf numFmtId="0" fontId="41" fillId="35" borderId="26" xfId="0" applyFont="1" applyFill="1" applyBorder="1" applyAlignment="1">
      <alignment horizontal="center" vertical="center" wrapText="1"/>
    </xf>
    <xf numFmtId="9" fontId="41" fillId="36" borderId="23" xfId="82" applyNumberFormat="1" applyFont="1" applyFill="1" applyBorder="1" applyAlignment="1">
      <alignment horizontal="center" vertical="center" wrapText="1"/>
    </xf>
    <xf numFmtId="9" fontId="41" fillId="36" borderId="20" xfId="82" applyNumberFormat="1" applyFont="1" applyFill="1" applyBorder="1" applyAlignment="1">
      <alignment horizontal="center" vertical="center" wrapText="1"/>
    </xf>
    <xf numFmtId="9" fontId="41" fillId="36" borderId="25" xfId="82" applyNumberFormat="1" applyFont="1" applyFill="1" applyBorder="1" applyAlignment="1">
      <alignment horizontal="center" vertical="center" wrapText="1"/>
    </xf>
    <xf numFmtId="0" fontId="41" fillId="35" borderId="1" xfId="0" applyFont="1" applyFill="1" applyBorder="1" applyAlignment="1">
      <alignment horizontal="center" vertical="center" wrapText="1"/>
    </xf>
    <xf numFmtId="0" fontId="41" fillId="35" borderId="4" xfId="0" applyFont="1" applyFill="1" applyBorder="1" applyAlignment="1">
      <alignment horizontal="center" vertical="center" wrapText="1"/>
    </xf>
    <xf numFmtId="0" fontId="36" fillId="0" borderId="0" xfId="0" applyFont="1" applyAlignment="1">
      <alignment horizontal="left" wrapText="1"/>
    </xf>
    <xf numFmtId="0" fontId="36" fillId="0" borderId="0" xfId="0" applyFont="1" applyAlignment="1">
      <alignment horizontal="left" vertical="top" wrapText="1"/>
    </xf>
    <xf numFmtId="0" fontId="47" fillId="0" borderId="0" xfId="0" applyFont="1" applyAlignment="1">
      <alignment horizontal="left" vertical="top" wrapText="1"/>
    </xf>
    <xf numFmtId="0" fontId="39" fillId="0" borderId="0" xfId="0" applyFont="1" applyAlignment="1">
      <alignment horizontal="left" vertical="top" wrapText="1"/>
    </xf>
    <xf numFmtId="0" fontId="54" fillId="0" borderId="0" xfId="0" applyFont="1" applyAlignment="1">
      <alignment horizontal="left" wrapText="1"/>
    </xf>
    <xf numFmtId="9" fontId="41" fillId="35" borderId="2" xfId="82" applyNumberFormat="1" applyFont="1" applyFill="1" applyBorder="1" applyAlignment="1">
      <alignment horizontal="center" vertical="center" wrapText="1"/>
    </xf>
    <xf numFmtId="9" fontId="41" fillId="35" borderId="5" xfId="82" applyNumberFormat="1" applyFont="1" applyFill="1" applyBorder="1" applyAlignment="1">
      <alignment horizontal="center" vertical="center" wrapText="1"/>
    </xf>
    <xf numFmtId="0" fontId="36" fillId="0" borderId="0" xfId="0" applyFont="1" applyFill="1" applyAlignment="1">
      <alignment horizontal="left" wrapText="1"/>
    </xf>
    <xf numFmtId="0" fontId="52" fillId="0" borderId="0" xfId="0" applyFont="1" applyAlignment="1">
      <alignment horizontal="left" vertical="top" wrapText="1"/>
    </xf>
    <xf numFmtId="0" fontId="36" fillId="0" borderId="0" xfId="0" applyFont="1" applyFill="1" applyAlignment="1">
      <alignment horizontal="left" vertical="top" wrapText="1"/>
    </xf>
  </cellXfs>
  <cellStyles count="89">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2" xfId="56"/>
    <cellStyle name="Comma 2 2" xfId="57"/>
    <cellStyle name="Currency" xfId="58" builtinId="4"/>
    <cellStyle name="Explanatory Text" xfId="59" builtinId="53" customBuiltin="1"/>
    <cellStyle name="Explanatory Text 2" xfId="60"/>
    <cellStyle name="Good" xfId="61" builtinId="26" customBuiltin="1"/>
    <cellStyle name="Good 2" xfId="62"/>
    <cellStyle name="Heading 1" xfId="63" builtinId="16" customBuiltin="1"/>
    <cellStyle name="Heading 1 2" xfId="64"/>
    <cellStyle name="Heading 2" xfId="65" builtinId="17" customBuiltin="1"/>
    <cellStyle name="Heading 2 2" xfId="66"/>
    <cellStyle name="Heading 3" xfId="67" builtinId="18" customBuiltin="1"/>
    <cellStyle name="Heading 3 2" xfId="68"/>
    <cellStyle name="Heading 4" xfId="69" builtinId="19" customBuiltin="1"/>
    <cellStyle name="Heading 4 2" xfId="70"/>
    <cellStyle name="Input" xfId="71" builtinId="20" customBuiltin="1"/>
    <cellStyle name="Input 2" xfId="72"/>
    <cellStyle name="Linked Cell" xfId="73" builtinId="24" customBuiltin="1"/>
    <cellStyle name="Linked Cell 2" xfId="74"/>
    <cellStyle name="Neutral" xfId="75" builtinId="28" customBuiltin="1"/>
    <cellStyle name="Neutral 2" xfId="76"/>
    <cellStyle name="Normal" xfId="0" builtinId="0"/>
    <cellStyle name="Normal 2" xfId="77"/>
    <cellStyle name="Note" xfId="78" builtinId="10" customBuiltin="1"/>
    <cellStyle name="Note 2" xfId="79"/>
    <cellStyle name="Output" xfId="80" builtinId="21" customBuiltin="1"/>
    <cellStyle name="Output 2" xfId="81"/>
    <cellStyle name="Percent" xfId="82" builtinId="5"/>
    <cellStyle name="Percent 2" xfId="83"/>
    <cellStyle name="Title" xfId="84" builtinId="15" customBuiltin="1"/>
    <cellStyle name="Total" xfId="85" builtinId="25" customBuiltin="1"/>
    <cellStyle name="Total 2" xfId="86"/>
    <cellStyle name="Warning Text" xfId="87" builtinId="11" customBuiltin="1"/>
    <cellStyle name="Warning Text 2" xfId="88"/>
  </cellStyles>
  <dxfs count="0"/>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6"/>
    </mc:Choice>
    <mc:Fallback>
      <c:style val="16"/>
    </mc:Fallback>
  </mc:AlternateContent>
  <c:chart>
    <c:title>
      <c:tx>
        <c:rich>
          <a:bodyPr/>
          <a:lstStyle/>
          <a:p>
            <a:pPr>
              <a:defRPr sz="1800" b="1" i="0" u="none" strike="noStrike" baseline="0">
                <a:solidFill>
                  <a:srgbClr val="000000"/>
                </a:solidFill>
                <a:latin typeface="Calibri"/>
                <a:ea typeface="Calibri"/>
                <a:cs typeface="Calibri"/>
              </a:defRPr>
            </a:pPr>
            <a:r>
              <a:rPr lang="en-US"/>
              <a:t>State Food Insecurity</a:t>
            </a:r>
          </a:p>
        </c:rich>
      </c:tx>
      <c:layout/>
      <c:overlay val="0"/>
    </c:title>
    <c:autoTitleDeleted val="0"/>
    <c:plotArea>
      <c:layout>
        <c:manualLayout>
          <c:layoutTarget val="inner"/>
          <c:xMode val="edge"/>
          <c:yMode val="edge"/>
          <c:x val="8.7191319331952913E-2"/>
          <c:y val="0.14807658245173344"/>
          <c:w val="0.82767505913612716"/>
          <c:h val="0.65963565409587022"/>
        </c:manualLayout>
      </c:layout>
      <c:ofPieChart>
        <c:ofPieType val="pie"/>
        <c:varyColors val="1"/>
        <c:ser>
          <c:idx val="0"/>
          <c:order val="0"/>
          <c:dLbls>
            <c:dLbl>
              <c:idx val="0"/>
              <c:layout>
                <c:manualLayout>
                  <c:x val="7.2609692081172794E-2"/>
                  <c:y val="-4.3059050608364692E-3"/>
                </c:manualLayout>
              </c:layout>
              <c:tx>
                <c:rich>
                  <a:bodyPr/>
                  <a:lstStyle/>
                  <a:p>
                    <a:r>
                      <a:rPr lang="en-US"/>
                      <a:t>Food Secure</a:t>
                    </a:r>
                  </a:p>
                </c:rich>
              </c:tx>
              <c:showLegendKey val="0"/>
              <c:showVal val="1"/>
              <c:showCatName val="1"/>
              <c:showSerName val="0"/>
              <c:showPercent val="0"/>
              <c:showBubbleSize val="0"/>
            </c:dLbl>
            <c:dLbl>
              <c:idx val="1"/>
              <c:layout>
                <c:manualLayout>
                  <c:x val="7.6131525226013394E-2"/>
                  <c:y val="5.2873034998739014E-2"/>
                </c:manualLayout>
              </c:layout>
              <c:showLegendKey val="0"/>
              <c:showVal val="0"/>
              <c:showCatName val="1"/>
              <c:showSerName val="0"/>
              <c:showPercent val="0"/>
              <c:showBubbleSize val="0"/>
            </c:dLbl>
            <c:dLbl>
              <c:idx val="2"/>
              <c:layout>
                <c:manualLayout>
                  <c:x val="-1.9034740514323008E-4"/>
                  <c:y val="-6.6225786193903638E-2"/>
                </c:manualLayout>
              </c:layout>
              <c:tx>
                <c:rich>
                  <a:bodyPr/>
                  <a:lstStyle/>
                  <a:p>
                    <a:r>
                      <a:rPr lang="en-US"/>
                      <a:t>% between </a:t>
                    </a:r>
                  </a:p>
                  <a:p>
                    <a:r>
                      <a:rPr lang="en-US"/>
                      <a:t>130% and </a:t>
                    </a:r>
                  </a:p>
                  <a:p>
                    <a:r>
                      <a:rPr lang="en-US"/>
                      <a:t>185% poverty</a:t>
                    </a:r>
                  </a:p>
                </c:rich>
              </c:tx>
              <c:dLblPos val="bestFit"/>
              <c:showLegendKey val="0"/>
              <c:showVal val="0"/>
              <c:showCatName val="1"/>
              <c:showSerName val="0"/>
              <c:showPercent val="0"/>
              <c:showBubbleSize val="0"/>
            </c:dLbl>
            <c:dLbl>
              <c:idx val="3"/>
              <c:layout>
                <c:manualLayout>
                  <c:x val="0"/>
                  <c:y val="-3.2536217670300106E-2"/>
                </c:manualLayout>
              </c:layout>
              <c:showLegendKey val="0"/>
              <c:showVal val="0"/>
              <c:showCatName val="1"/>
              <c:showSerName val="0"/>
              <c:showPercent val="0"/>
              <c:showBubbleSize val="0"/>
            </c:dLbl>
            <c:dLbl>
              <c:idx val="4"/>
              <c:layout>
                <c:manualLayout>
                  <c:x val="-9.5964203043492513E-2"/>
                  <c:y val="3.5112635460444745E-3"/>
                </c:manualLayout>
              </c:layout>
              <c:tx>
                <c:rich>
                  <a:bodyPr/>
                  <a:lstStyle/>
                  <a:p>
                    <a:r>
                      <a:rPr lang="en-US"/>
                      <a:t>Food Insecure</a:t>
                    </a:r>
                  </a:p>
                </c:rich>
              </c:tx>
              <c:showLegendKey val="0"/>
              <c:showVal val="1"/>
              <c:showCatName val="1"/>
              <c:showSerName val="0"/>
              <c:showPercent val="0"/>
              <c:showBubbleSize val="0"/>
            </c:dLbl>
            <c:numFmt formatCode="0.0%" sourceLinked="0"/>
            <c:txPr>
              <a:bodyPr/>
              <a:lstStyle/>
              <a:p>
                <a:pPr>
                  <a:defRPr sz="1000" b="0" i="0" u="none" strike="noStrike" baseline="0">
                    <a:solidFill>
                      <a:srgbClr val="000000"/>
                    </a:solidFill>
                    <a:latin typeface="Calibri"/>
                    <a:ea typeface="Calibri"/>
                    <a:cs typeface="Calibri"/>
                  </a:defRPr>
                </a:pPr>
                <a:endParaRPr lang="en-US"/>
              </a:p>
            </c:txPr>
            <c:showLegendKey val="0"/>
            <c:showVal val="1"/>
            <c:showCatName val="1"/>
            <c:showSerName val="0"/>
            <c:showPercent val="0"/>
            <c:showBubbleSize val="0"/>
            <c:showLeaderLines val="1"/>
          </c:dLbls>
          <c:cat>
            <c:strRef>
              <c:f>Chartsource!$A$2:$A$5</c:f>
              <c:strCache>
                <c:ptCount val="4"/>
                <c:pt idx="0">
                  <c:v>Food Secure</c:v>
                </c:pt>
                <c:pt idx="1">
                  <c:v>% below SNAP threshold of 130% poverty</c:v>
                </c:pt>
                <c:pt idx="2">
                  <c:v>% between 130% and 185% poverty</c:v>
                </c:pt>
                <c:pt idx="3">
                  <c:v>% above Nutrition Pgm threshold of 185% poverty</c:v>
                </c:pt>
              </c:strCache>
            </c:strRef>
          </c:cat>
          <c:val>
            <c:numRef>
              <c:f>Chartsource!$B$2:$B$5</c:f>
              <c:numCache>
                <c:formatCode>0%</c:formatCode>
                <c:ptCount val="4"/>
                <c:pt idx="0">
                  <c:v>0.8448467054632427</c:v>
                </c:pt>
                <c:pt idx="1">
                  <c:v>5.8014818963726199E-2</c:v>
                </c:pt>
                <c:pt idx="2">
                  <c:v>1.4385927629062836E-2</c:v>
                </c:pt>
                <c:pt idx="3">
                  <c:v>8.2752547943968316E-2</c:v>
                </c:pt>
              </c:numCache>
            </c:numRef>
          </c:val>
        </c:ser>
        <c:dLbls>
          <c:showLegendKey val="0"/>
          <c:showVal val="1"/>
          <c:showCatName val="0"/>
          <c:showSerName val="0"/>
          <c:showPercent val="0"/>
          <c:showBubbleSize val="0"/>
          <c:showLeaderLines val="1"/>
        </c:dLbls>
        <c:gapWidth val="100"/>
        <c:splitType val="pos"/>
        <c:splitPos val="3"/>
        <c:secondPieSize val="75"/>
        <c:serLines/>
      </c:ofPieChart>
      <c:spPr>
        <a:noFill/>
        <a:ln w="25400">
          <a:noFill/>
        </a:ln>
      </c:spPr>
    </c:plotArea>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11" l="0.70000000000000095" r="0.70000000000000095" t="0.75000000000000111" header="0.30000000000000004" footer="0.30000000000000004"/>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1358</xdr:colOff>
      <xdr:row>0</xdr:row>
      <xdr:rowOff>4533</xdr:rowOff>
    </xdr:from>
    <xdr:to>
      <xdr:col>0</xdr:col>
      <xdr:colOff>1306285</xdr:colOff>
      <xdr:row>2</xdr:row>
      <xdr:rowOff>35829</xdr:rowOff>
    </xdr:to>
    <xdr:pic>
      <xdr:nvPicPr>
        <xdr:cNvPr id="4" name="Picture 3"/>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7008" b="13044"/>
        <a:stretch/>
      </xdr:blipFill>
      <xdr:spPr>
        <a:xfrm>
          <a:off x="1358" y="4533"/>
          <a:ext cx="1304927" cy="621846"/>
        </a:xfrm>
        <a:prstGeom prst="rect">
          <a:avLst/>
        </a:prstGeom>
      </xdr:spPr>
    </xdr:pic>
    <xdr:clientData/>
  </xdr:twoCellAnchor>
  <xdr:twoCellAnchor editAs="oneCell">
    <xdr:from>
      <xdr:col>6</xdr:col>
      <xdr:colOff>47625</xdr:colOff>
      <xdr:row>0</xdr:row>
      <xdr:rowOff>95250</xdr:rowOff>
    </xdr:from>
    <xdr:to>
      <xdr:col>6</xdr:col>
      <xdr:colOff>1057275</xdr:colOff>
      <xdr:row>3</xdr:row>
      <xdr:rowOff>141164</xdr:rowOff>
    </xdr:to>
    <xdr:pic>
      <xdr:nvPicPr>
        <xdr:cNvPr id="5" name="Picture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48375" y="95250"/>
          <a:ext cx="1009650" cy="9031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352424</xdr:colOff>
      <xdr:row>0</xdr:row>
      <xdr:rowOff>19050</xdr:rowOff>
    </xdr:from>
    <xdr:to>
      <xdr:col>7</xdr:col>
      <xdr:colOff>9524</xdr:colOff>
      <xdr:row>3</xdr:row>
      <xdr:rowOff>76200</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91299" y="19050"/>
          <a:ext cx="1038225" cy="914400"/>
        </a:xfrm>
        <a:prstGeom prst="rect">
          <a:avLst/>
        </a:prstGeom>
      </xdr:spPr>
    </xdr:pic>
    <xdr:clientData/>
  </xdr:twoCellAnchor>
  <xdr:twoCellAnchor editAs="oneCell">
    <xdr:from>
      <xdr:col>0</xdr:col>
      <xdr:colOff>9526</xdr:colOff>
      <xdr:row>0</xdr:row>
      <xdr:rowOff>19050</xdr:rowOff>
    </xdr:from>
    <xdr:to>
      <xdr:col>1</xdr:col>
      <xdr:colOff>238126</xdr:colOff>
      <xdr:row>2</xdr:row>
      <xdr:rowOff>76201</xdr:rowOff>
    </xdr:to>
    <xdr:pic>
      <xdr:nvPicPr>
        <xdr:cNvPr id="5" name="Picture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6" y="19050"/>
          <a:ext cx="1181100" cy="6477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304800</xdr:colOff>
      <xdr:row>9</xdr:row>
      <xdr:rowOff>66675</xdr:rowOff>
    </xdr:from>
    <xdr:to>
      <xdr:col>7</xdr:col>
      <xdr:colOff>304800</xdr:colOff>
      <xdr:row>23</xdr:row>
      <xdr:rowOff>504825</xdr:rowOff>
    </xdr:to>
    <xdr:graphicFrame macro="">
      <xdr:nvGraphicFramePr>
        <xdr:cNvPr id="1066"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0.09105</cdr:x>
      <cdr:y>0.93092</cdr:y>
    </cdr:from>
    <cdr:to>
      <cdr:x>1</cdr:x>
      <cdr:y>1</cdr:y>
    </cdr:to>
    <cdr:sp macro="" textlink="">
      <cdr:nvSpPr>
        <cdr:cNvPr id="2" name="TextBox 1"/>
        <cdr:cNvSpPr txBox="1"/>
      </cdr:nvSpPr>
      <cdr:spPr>
        <a:xfrm xmlns:a="http://schemas.openxmlformats.org/drawingml/2006/main">
          <a:off x="614010" y="2580304"/>
          <a:ext cx="6129690" cy="19147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r"/>
          <a:r>
            <a:rPr lang="en-US" sz="800"/>
            <a:t>Eligibility for federal nutrition programs is determined in part by these income thresholds which can vary by state.</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9"/>
  <sheetViews>
    <sheetView tabSelected="1" zoomScaleNormal="100" workbookViewId="0">
      <selection activeCell="I10" sqref="I10"/>
    </sheetView>
  </sheetViews>
  <sheetFormatPr defaultColWidth="8.85546875" defaultRowHeight="15" x14ac:dyDescent="0.25"/>
  <cols>
    <col min="1" max="1" width="19.7109375" style="31" customWidth="1"/>
    <col min="2" max="2" width="10.85546875" style="13" customWidth="1"/>
    <col min="3" max="3" width="8.42578125" style="13" bestFit="1" customWidth="1"/>
    <col min="4" max="4" width="18" style="20" customWidth="1"/>
    <col min="5" max="5" width="15.42578125" style="26" bestFit="1" customWidth="1"/>
    <col min="6" max="6" width="16.42578125" style="26" customWidth="1"/>
    <col min="7" max="7" width="17" style="26" bestFit="1" customWidth="1"/>
    <col min="8" max="8" width="9.85546875" style="60" customWidth="1"/>
    <col min="9" max="9" width="18.85546875" style="61" customWidth="1"/>
    <col min="10" max="10" width="20.7109375" style="61" customWidth="1"/>
    <col min="11" max="11" width="11.42578125" style="61" customWidth="1"/>
    <col min="12" max="12" width="15.42578125" style="13" customWidth="1"/>
    <col min="13" max="13" width="8.85546875" style="13"/>
    <col min="14" max="15" width="9.140625" style="29" hidden="1" customWidth="1"/>
    <col min="16" max="16384" width="8.85546875" style="13"/>
  </cols>
  <sheetData>
    <row r="1" spans="1:18" x14ac:dyDescent="0.25">
      <c r="H1" s="55"/>
      <c r="I1" s="15"/>
      <c r="J1" s="15"/>
      <c r="K1" s="13"/>
      <c r="N1" s="13"/>
      <c r="O1" s="13"/>
    </row>
    <row r="2" spans="1:18" ht="31.5" x14ac:dyDescent="0.5">
      <c r="C2" s="20"/>
      <c r="D2" s="32" t="s">
        <v>70</v>
      </c>
      <c r="G2" s="24"/>
      <c r="H2" s="55"/>
      <c r="I2" s="15"/>
      <c r="J2" s="15"/>
      <c r="K2" s="13"/>
      <c r="N2" s="13"/>
      <c r="O2" s="13"/>
    </row>
    <row r="3" spans="1:18" ht="21" x14ac:dyDescent="0.35">
      <c r="C3" s="125" t="s">
        <v>11</v>
      </c>
      <c r="D3" s="34" t="s">
        <v>68</v>
      </c>
      <c r="G3" s="24"/>
      <c r="H3" s="55"/>
      <c r="I3" s="15"/>
      <c r="J3" s="15"/>
      <c r="K3" s="13"/>
      <c r="N3" s="13"/>
      <c r="O3" s="13"/>
    </row>
    <row r="4" spans="1:18" ht="18.75" x14ac:dyDescent="0.3">
      <c r="B4" s="35"/>
      <c r="C4" s="36"/>
      <c r="D4" s="37"/>
      <c r="E4" s="24"/>
      <c r="F4" s="24"/>
      <c r="G4" s="24"/>
      <c r="H4" s="55"/>
      <c r="I4" s="15"/>
      <c r="J4" s="15"/>
      <c r="K4" s="13"/>
      <c r="N4" s="13"/>
      <c r="O4" s="13"/>
    </row>
    <row r="5" spans="1:18" ht="15.75" thickBot="1" x14ac:dyDescent="0.3">
      <c r="C5" s="15"/>
      <c r="D5" s="18"/>
      <c r="E5" s="24"/>
      <c r="F5" s="24"/>
      <c r="G5" s="24"/>
      <c r="H5" s="55"/>
      <c r="I5" s="15"/>
      <c r="J5" s="15"/>
      <c r="K5" s="13"/>
      <c r="N5" s="13"/>
      <c r="O5" s="13"/>
    </row>
    <row r="6" spans="1:18" ht="16.5" customHeight="1" thickBot="1" x14ac:dyDescent="0.3">
      <c r="A6" s="141" t="s">
        <v>150</v>
      </c>
      <c r="B6" s="130" t="s">
        <v>132</v>
      </c>
      <c r="C6" s="132" t="s">
        <v>133</v>
      </c>
      <c r="D6" s="134" t="s">
        <v>134</v>
      </c>
      <c r="E6" s="138" t="s">
        <v>67</v>
      </c>
      <c r="F6" s="139"/>
      <c r="G6" s="140"/>
      <c r="H6" s="130" t="s">
        <v>146</v>
      </c>
      <c r="I6" s="130" t="s">
        <v>145</v>
      </c>
      <c r="J6" s="132" t="s">
        <v>76</v>
      </c>
      <c r="K6" s="134" t="s">
        <v>75</v>
      </c>
      <c r="L6" s="136" t="s">
        <v>131</v>
      </c>
      <c r="N6" s="13"/>
      <c r="O6" s="13"/>
    </row>
    <row r="7" spans="1:18" s="1" customFormat="1" ht="45.75" customHeight="1" thickBot="1" x14ac:dyDescent="0.3">
      <c r="A7" s="142"/>
      <c r="B7" s="131"/>
      <c r="C7" s="133"/>
      <c r="D7" s="135"/>
      <c r="E7" s="96" t="str">
        <f>VLOOKUP(C3,Chartsource!A8:E59,3,FALSE)</f>
        <v>% below SNAP threshold of 130% poverty</v>
      </c>
      <c r="F7" s="97" t="str">
        <f>VLOOKUP(C3,Chartsource!A8:E59,4,FALSE)</f>
        <v>% between 130% and 185% poverty</v>
      </c>
      <c r="G7" s="98" t="str">
        <f>VLOOKUP(C3,Chartsource!A8:E59,5,FALSE)</f>
        <v>% above Nutrition Pgm threshold of 185% poverty</v>
      </c>
      <c r="H7" s="131"/>
      <c r="I7" s="131"/>
      <c r="J7" s="133"/>
      <c r="K7" s="135"/>
      <c r="L7" s="137"/>
      <c r="Q7" s="13"/>
      <c r="R7" s="13"/>
    </row>
    <row r="8" spans="1:18" s="3" customFormat="1" x14ac:dyDescent="0.25">
      <c r="A8" s="42" t="s">
        <v>10</v>
      </c>
      <c r="B8" s="84">
        <v>425330</v>
      </c>
      <c r="C8" s="43">
        <v>0.14899999999999999</v>
      </c>
      <c r="D8" s="85">
        <v>63460</v>
      </c>
      <c r="E8" s="120">
        <v>0.45900000000000002</v>
      </c>
      <c r="F8" s="121">
        <f t="shared" ref="F8:F71" si="0">1-E8-G8</f>
        <v>0.22299999999999992</v>
      </c>
      <c r="G8" s="122">
        <v>0.318</v>
      </c>
      <c r="H8" s="67">
        <v>0.94841269841269848</v>
      </c>
      <c r="I8" s="108">
        <f>H8*Chartsource!$E$6</f>
        <v>13.562301587301588</v>
      </c>
      <c r="J8" s="63">
        <f>ROUND((CountyDetailData!$I8*52*(7/12)*CountyDetailData!$D8),-1)</f>
        <v>26106800</v>
      </c>
      <c r="K8" s="65">
        <f>H8*Chartsource!$E$7</f>
        <v>2.39</v>
      </c>
      <c r="L8" s="81">
        <f t="shared" ref="L8:L70" si="1">J8/K8</f>
        <v>10923347.280334728</v>
      </c>
      <c r="N8" s="30">
        <f>CountyDetailData!$E8*CountyDetailData!$D8</f>
        <v>29128.14</v>
      </c>
      <c r="O8" s="30">
        <f>CountyDetailData!$G8*CountyDetailData!$D8</f>
        <v>20180.28</v>
      </c>
      <c r="Q8" s="13"/>
      <c r="R8" s="13"/>
    </row>
    <row r="9" spans="1:18" s="3" customFormat="1" x14ac:dyDescent="0.25">
      <c r="A9" s="40" t="s">
        <v>12</v>
      </c>
      <c r="B9" s="82">
        <v>15293</v>
      </c>
      <c r="C9" s="41">
        <v>0.152</v>
      </c>
      <c r="D9" s="83">
        <v>2330</v>
      </c>
      <c r="E9" s="117">
        <v>0.60599999999999998</v>
      </c>
      <c r="F9" s="118">
        <f t="shared" si="0"/>
        <v>0.191</v>
      </c>
      <c r="G9" s="119">
        <v>0.20300000000000001</v>
      </c>
      <c r="H9" s="66">
        <v>1.003968253968254</v>
      </c>
      <c r="I9" s="107">
        <f>H9*Chartsource!$E$6</f>
        <v>14.356746031746033</v>
      </c>
      <c r="J9" s="62">
        <f>ROUND((CountyDetailData!$I9*52*(7/12)*CountyDetailData!$D9),-1)</f>
        <v>1014690</v>
      </c>
      <c r="K9" s="64">
        <f>H9*Chartsource!$E$7</f>
        <v>2.5299999999999998</v>
      </c>
      <c r="L9" s="80">
        <f t="shared" si="1"/>
        <v>401063.24110671942</v>
      </c>
      <c r="N9" s="30">
        <f>CountyDetailData!$E9*CountyDetailData!$D9</f>
        <v>1411.98</v>
      </c>
      <c r="O9" s="30">
        <f>CountyDetailData!$G9*CountyDetailData!$D9</f>
        <v>472.99</v>
      </c>
      <c r="Q9" s="1"/>
      <c r="R9" s="1"/>
    </row>
    <row r="10" spans="1:18" s="3" customFormat="1" x14ac:dyDescent="0.25">
      <c r="A10" s="42" t="s">
        <v>13</v>
      </c>
      <c r="B10" s="84">
        <v>552860</v>
      </c>
      <c r="C10" s="43">
        <v>0.152</v>
      </c>
      <c r="D10" s="85">
        <v>83790</v>
      </c>
      <c r="E10" s="120">
        <v>0.41299999999999998</v>
      </c>
      <c r="F10" s="121">
        <f t="shared" si="0"/>
        <v>0.13999999999999996</v>
      </c>
      <c r="G10" s="122">
        <v>0.44700000000000001</v>
      </c>
      <c r="H10" s="67">
        <v>1.003968253968254</v>
      </c>
      <c r="I10" s="108">
        <f>H10*Chartsource!$E$6</f>
        <v>14.356746031746033</v>
      </c>
      <c r="J10" s="63">
        <f>ROUND((CountyDetailData!$I10*52*(7/12)*CountyDetailData!$D10),-1)</f>
        <v>36489540</v>
      </c>
      <c r="K10" s="65">
        <f>H10*Chartsource!$E$7</f>
        <v>2.5299999999999998</v>
      </c>
      <c r="L10" s="81">
        <f t="shared" si="1"/>
        <v>14422743.083003953</v>
      </c>
      <c r="N10" s="30">
        <f>CountyDetailData!$E10*CountyDetailData!$D10</f>
        <v>34605.269999999997</v>
      </c>
      <c r="O10" s="30">
        <f>CountyDetailData!$G10*CountyDetailData!$D10</f>
        <v>37454.129999999997</v>
      </c>
      <c r="Q10" s="13"/>
      <c r="R10" s="13"/>
    </row>
    <row r="11" spans="1:18" s="3" customFormat="1" x14ac:dyDescent="0.25">
      <c r="A11" s="40" t="s">
        <v>14</v>
      </c>
      <c r="B11" s="82">
        <v>12136</v>
      </c>
      <c r="C11" s="41">
        <v>0.14299999999999999</v>
      </c>
      <c r="D11" s="83">
        <v>1740</v>
      </c>
      <c r="E11" s="117">
        <v>0.38400000000000001</v>
      </c>
      <c r="F11" s="118">
        <f t="shared" si="0"/>
        <v>0.25</v>
      </c>
      <c r="G11" s="119">
        <v>0.36599999999999999</v>
      </c>
      <c r="H11" s="66">
        <v>1.1865079365079365</v>
      </c>
      <c r="I11" s="107">
        <f>H11*Chartsource!$E$6</f>
        <v>16.967063492063492</v>
      </c>
      <c r="J11" s="62">
        <f>ROUND((CountyDetailData!$I11*52*(7/12)*CountyDetailData!$D11),-1)</f>
        <v>895520</v>
      </c>
      <c r="K11" s="64">
        <f>H11*Chartsource!$E$7</f>
        <v>2.99</v>
      </c>
      <c r="L11" s="80">
        <f t="shared" si="1"/>
        <v>299505.01672240801</v>
      </c>
      <c r="N11" s="30">
        <f>CountyDetailData!$E11*CountyDetailData!$D11</f>
        <v>668.16</v>
      </c>
      <c r="O11" s="30">
        <f>CountyDetailData!$G11*CountyDetailData!$D11</f>
        <v>636.84</v>
      </c>
    </row>
    <row r="12" spans="1:18" s="3" customFormat="1" x14ac:dyDescent="0.25">
      <c r="A12" s="42" t="s">
        <v>15</v>
      </c>
      <c r="B12" s="84">
        <v>3833</v>
      </c>
      <c r="C12" s="43">
        <v>0.125</v>
      </c>
      <c r="D12" s="85">
        <v>480</v>
      </c>
      <c r="E12" s="120">
        <v>0.61499999999999999</v>
      </c>
      <c r="F12" s="121">
        <f t="shared" si="0"/>
        <v>0.24200000000000002</v>
      </c>
      <c r="G12" s="122">
        <v>0.14299999999999999</v>
      </c>
      <c r="H12" s="67">
        <v>0.92857142857142849</v>
      </c>
      <c r="I12" s="108">
        <f>H12*Chartsource!$E$6</f>
        <v>13.278571428571428</v>
      </c>
      <c r="J12" s="63">
        <f>ROUND((CountyDetailData!$I12*52*(7/12)*CountyDetailData!$D12),-1)</f>
        <v>193340</v>
      </c>
      <c r="K12" s="65">
        <f>H12*Chartsource!$E$7</f>
        <v>2.34</v>
      </c>
      <c r="L12" s="81">
        <f t="shared" si="1"/>
        <v>82623.931623931625</v>
      </c>
      <c r="N12" s="30">
        <f>CountyDetailData!$E12*CountyDetailData!$D12</f>
        <v>295.2</v>
      </c>
      <c r="O12" s="30">
        <f>CountyDetailData!$G12*CountyDetailData!$D12</f>
        <v>68.64</v>
      </c>
    </row>
    <row r="13" spans="1:18" s="3" customFormat="1" x14ac:dyDescent="0.25">
      <c r="A13" s="40" t="s">
        <v>16</v>
      </c>
      <c r="B13" s="82">
        <v>6125</v>
      </c>
      <c r="C13" s="41">
        <v>0.17</v>
      </c>
      <c r="D13" s="83">
        <v>1040</v>
      </c>
      <c r="E13" s="117">
        <v>0.45</v>
      </c>
      <c r="F13" s="118">
        <f t="shared" si="0"/>
        <v>0.23600000000000004</v>
      </c>
      <c r="G13" s="119">
        <v>0.314</v>
      </c>
      <c r="H13" s="66">
        <v>1.0714285714285714</v>
      </c>
      <c r="I13" s="107">
        <f>H13*Chartsource!$E$6</f>
        <v>15.321428571428571</v>
      </c>
      <c r="J13" s="62">
        <f>ROUND((CountyDetailData!$I13*52*(7/12)*CountyDetailData!$D13),-1)</f>
        <v>483340</v>
      </c>
      <c r="K13" s="64">
        <f>H13*Chartsource!$E$7</f>
        <v>2.6999999999999997</v>
      </c>
      <c r="L13" s="80">
        <f t="shared" si="1"/>
        <v>179014.81481481483</v>
      </c>
      <c r="N13" s="30">
        <f>CountyDetailData!$E13*CountyDetailData!$D13</f>
        <v>468</v>
      </c>
      <c r="O13" s="30">
        <f>CountyDetailData!$G13*CountyDetailData!$D13</f>
        <v>326.56</v>
      </c>
    </row>
    <row r="14" spans="1:18" s="3" customFormat="1" x14ac:dyDescent="0.25">
      <c r="A14" s="42" t="s">
        <v>17</v>
      </c>
      <c r="B14" s="84">
        <v>290177</v>
      </c>
      <c r="C14" s="43">
        <v>0.13400000000000001</v>
      </c>
      <c r="D14" s="85">
        <v>38920</v>
      </c>
      <c r="E14" s="120">
        <v>0.44</v>
      </c>
      <c r="F14" s="121">
        <f t="shared" si="0"/>
        <v>0.12100000000000005</v>
      </c>
      <c r="G14" s="122">
        <v>0.439</v>
      </c>
      <c r="H14" s="67">
        <v>1.1388888888888888</v>
      </c>
      <c r="I14" s="108">
        <f>H14*Chartsource!$E$6</f>
        <v>16.286111111111111</v>
      </c>
      <c r="J14" s="63">
        <f>ROUND((CountyDetailData!$I14*52*(7/12)*CountyDetailData!$D14),-1)</f>
        <v>19226950</v>
      </c>
      <c r="K14" s="65">
        <f>H14*Chartsource!$E$7</f>
        <v>2.87</v>
      </c>
      <c r="L14" s="81">
        <f t="shared" si="1"/>
        <v>6699285.7142857136</v>
      </c>
      <c r="N14" s="30">
        <f>CountyDetailData!$E14*CountyDetailData!$D14</f>
        <v>17124.8</v>
      </c>
      <c r="O14" s="30">
        <f>CountyDetailData!$G14*CountyDetailData!$D14</f>
        <v>17085.88</v>
      </c>
    </row>
    <row r="15" spans="1:18" s="3" customFormat="1" x14ac:dyDescent="0.25">
      <c r="A15" s="40" t="s">
        <v>18</v>
      </c>
      <c r="B15" s="82">
        <v>52872</v>
      </c>
      <c r="C15" s="41">
        <v>0.121</v>
      </c>
      <c r="D15" s="83">
        <v>6410</v>
      </c>
      <c r="E15" s="117">
        <v>0.22800000000000001</v>
      </c>
      <c r="F15" s="118">
        <f t="shared" si="0"/>
        <v>0.13</v>
      </c>
      <c r="G15" s="119">
        <v>0.64200000000000002</v>
      </c>
      <c r="H15" s="66">
        <v>1.0833333333333333</v>
      </c>
      <c r="I15" s="107">
        <f>H15*Chartsource!$E$6</f>
        <v>15.491666666666667</v>
      </c>
      <c r="J15" s="62">
        <f>ROUND((CountyDetailData!$I15*52*(7/12)*CountyDetailData!$D15),-1)</f>
        <v>3012150</v>
      </c>
      <c r="K15" s="64">
        <f>H15*Chartsource!$E$7</f>
        <v>2.73</v>
      </c>
      <c r="L15" s="80">
        <f t="shared" si="1"/>
        <v>1103351.6483516484</v>
      </c>
      <c r="N15" s="30">
        <f>CountyDetailData!$E15*CountyDetailData!$D15</f>
        <v>1461.48</v>
      </c>
      <c r="O15" s="30">
        <f>CountyDetailData!$G15*CountyDetailData!$D15</f>
        <v>4115.22</v>
      </c>
    </row>
    <row r="16" spans="1:18" s="3" customFormat="1" x14ac:dyDescent="0.25">
      <c r="A16" s="42" t="s">
        <v>19</v>
      </c>
      <c r="B16" s="84">
        <v>17540</v>
      </c>
      <c r="C16" s="43">
        <v>0.14299999999999999</v>
      </c>
      <c r="D16" s="85">
        <v>2510</v>
      </c>
      <c r="E16" s="120">
        <v>0.437</v>
      </c>
      <c r="F16" s="121">
        <f t="shared" si="0"/>
        <v>0.19699999999999995</v>
      </c>
      <c r="G16" s="122">
        <v>0.36599999999999999</v>
      </c>
      <c r="H16" s="67">
        <v>1.0357142857142856</v>
      </c>
      <c r="I16" s="108">
        <f>H16*Chartsource!$E$6</f>
        <v>14.810714285714285</v>
      </c>
      <c r="J16" s="63">
        <f>ROUND((CountyDetailData!$I16*52*(7/12)*CountyDetailData!$D16),-1)</f>
        <v>1127640</v>
      </c>
      <c r="K16" s="65">
        <f>H16*Chartsource!$E$7</f>
        <v>2.61</v>
      </c>
      <c r="L16" s="81">
        <f t="shared" si="1"/>
        <v>432045.97701149428</v>
      </c>
      <c r="N16" s="30">
        <f>CountyDetailData!$E16*CountyDetailData!$D16</f>
        <v>1096.8699999999999</v>
      </c>
      <c r="O16" s="30">
        <f>CountyDetailData!$G16*CountyDetailData!$D16</f>
        <v>918.66</v>
      </c>
    </row>
    <row r="17" spans="1:15" s="3" customFormat="1" x14ac:dyDescent="0.25">
      <c r="A17" s="40" t="s">
        <v>20</v>
      </c>
      <c r="B17" s="82">
        <v>2194</v>
      </c>
      <c r="C17" s="41">
        <v>0.111</v>
      </c>
      <c r="D17" s="83">
        <v>240</v>
      </c>
      <c r="E17" s="117">
        <v>0.45600000000000002</v>
      </c>
      <c r="F17" s="118">
        <f t="shared" si="0"/>
        <v>0.17900000000000005</v>
      </c>
      <c r="G17" s="119">
        <v>0.36499999999999999</v>
      </c>
      <c r="H17" s="66">
        <v>0.94047619047619047</v>
      </c>
      <c r="I17" s="107">
        <f>H17*Chartsource!$E$6</f>
        <v>13.448809523809524</v>
      </c>
      <c r="J17" s="62">
        <f>ROUND((CountyDetailData!$I17*52*(7/12)*CountyDetailData!$D17),-1)</f>
        <v>97910</v>
      </c>
      <c r="K17" s="64">
        <f>H17*Chartsource!$E$7</f>
        <v>2.37</v>
      </c>
      <c r="L17" s="80">
        <f t="shared" si="1"/>
        <v>41312.236286919826</v>
      </c>
      <c r="N17" s="30">
        <f>CountyDetailData!$E17*CountyDetailData!$D17</f>
        <v>109.44</v>
      </c>
      <c r="O17" s="30">
        <f>CountyDetailData!$G17*CountyDetailData!$D17</f>
        <v>87.6</v>
      </c>
    </row>
    <row r="18" spans="1:15" s="3" customFormat="1" x14ac:dyDescent="0.25">
      <c r="A18" s="42" t="s">
        <v>21</v>
      </c>
      <c r="B18" s="84">
        <v>9088</v>
      </c>
      <c r="C18" s="43">
        <v>0.13600000000000001</v>
      </c>
      <c r="D18" s="85">
        <v>1240</v>
      </c>
      <c r="E18" s="120">
        <v>0.33400000000000002</v>
      </c>
      <c r="F18" s="121">
        <f t="shared" si="0"/>
        <v>0.1369999999999999</v>
      </c>
      <c r="G18" s="122">
        <v>0.52900000000000003</v>
      </c>
      <c r="H18" s="67">
        <v>1.2936507936507935</v>
      </c>
      <c r="I18" s="108">
        <f>H18*Chartsource!$E$6</f>
        <v>18.499206349206347</v>
      </c>
      <c r="J18" s="63">
        <f>ROUND((CountyDetailData!$I18*52*(7/12)*CountyDetailData!$D18),-1)</f>
        <v>695820</v>
      </c>
      <c r="K18" s="65">
        <f>H18*Chartsource!$E$7</f>
        <v>3.26</v>
      </c>
      <c r="L18" s="81">
        <f t="shared" si="1"/>
        <v>213441.71779141107</v>
      </c>
      <c r="N18" s="30">
        <f>CountyDetailData!$E18*CountyDetailData!$D18</f>
        <v>414.16</v>
      </c>
      <c r="O18" s="30">
        <f>CountyDetailData!$G18*CountyDetailData!$D18</f>
        <v>655.96</v>
      </c>
    </row>
    <row r="19" spans="1:15" s="3" customFormat="1" x14ac:dyDescent="0.25">
      <c r="A19" s="40" t="s">
        <v>22</v>
      </c>
      <c r="B19" s="82">
        <v>8220</v>
      </c>
      <c r="C19" s="41">
        <v>0.14299999999999999</v>
      </c>
      <c r="D19" s="83">
        <v>1180</v>
      </c>
      <c r="E19" s="117">
        <v>0.68799999999999994</v>
      </c>
      <c r="F19" s="118">
        <f t="shared" si="0"/>
        <v>0.31200000000000006</v>
      </c>
      <c r="G19" s="119">
        <v>0</v>
      </c>
      <c r="H19" s="66">
        <v>1.0674603174603174</v>
      </c>
      <c r="I19" s="107">
        <f>H19*Chartsource!$E$6</f>
        <v>15.264682539682541</v>
      </c>
      <c r="J19" s="62">
        <f>ROUND((CountyDetailData!$I19*52*(7/12)*CountyDetailData!$D19),-1)</f>
        <v>546370</v>
      </c>
      <c r="K19" s="64">
        <f>H19*Chartsource!$E$7</f>
        <v>2.69</v>
      </c>
      <c r="L19" s="80">
        <f t="shared" si="1"/>
        <v>203111.52416356877</v>
      </c>
      <c r="N19" s="30">
        <f>CountyDetailData!$E19*CountyDetailData!$D19</f>
        <v>811.83999999999992</v>
      </c>
      <c r="O19" s="30">
        <f>CountyDetailData!$G19*CountyDetailData!$D19</f>
        <v>0</v>
      </c>
    </row>
    <row r="20" spans="1:15" s="3" customFormat="1" x14ac:dyDescent="0.25">
      <c r="A20" s="42" t="s">
        <v>23</v>
      </c>
      <c r="B20" s="84">
        <v>3536</v>
      </c>
      <c r="C20" s="43">
        <v>0.17799999999999999</v>
      </c>
      <c r="D20" s="85">
        <v>630</v>
      </c>
      <c r="E20" s="120">
        <v>0.71099999999999997</v>
      </c>
      <c r="F20" s="121">
        <f t="shared" si="0"/>
        <v>0.21300000000000002</v>
      </c>
      <c r="G20" s="122">
        <v>7.5999999999999998E-2</v>
      </c>
      <c r="H20" s="67">
        <v>1.103174603174603</v>
      </c>
      <c r="I20" s="108">
        <f>H20*Chartsource!$E$6</f>
        <v>15.775396825396824</v>
      </c>
      <c r="J20" s="63">
        <f>ROUND((CountyDetailData!$I20*52*(7/12)*CountyDetailData!$D20),-1)</f>
        <v>301470</v>
      </c>
      <c r="K20" s="65">
        <f>H20*Chartsource!$E$7</f>
        <v>2.78</v>
      </c>
      <c r="L20" s="81">
        <f t="shared" si="1"/>
        <v>108442.44604316547</v>
      </c>
      <c r="N20" s="30">
        <f>CountyDetailData!$E20*CountyDetailData!$D20</f>
        <v>447.92999999999995</v>
      </c>
      <c r="O20" s="30">
        <f>CountyDetailData!$G20*CountyDetailData!$D20</f>
        <v>47.879999999999995</v>
      </c>
    </row>
    <row r="21" spans="1:15" s="3" customFormat="1" x14ac:dyDescent="0.25">
      <c r="A21" s="40" t="s">
        <v>24</v>
      </c>
      <c r="B21" s="82">
        <v>5897</v>
      </c>
      <c r="C21" s="41">
        <v>0.184</v>
      </c>
      <c r="D21" s="83">
        <v>1080</v>
      </c>
      <c r="E21" s="117">
        <v>0.46300000000000002</v>
      </c>
      <c r="F21" s="118">
        <f t="shared" si="0"/>
        <v>0.16299999999999992</v>
      </c>
      <c r="G21" s="119">
        <v>0.374</v>
      </c>
      <c r="H21" s="66">
        <v>0.96825396825396826</v>
      </c>
      <c r="I21" s="107">
        <f>H21*Chartsource!$E$6</f>
        <v>13.846031746031747</v>
      </c>
      <c r="J21" s="62">
        <f>ROUND((CountyDetailData!$I21*52*(7/12)*CountyDetailData!$D21),-1)</f>
        <v>453600</v>
      </c>
      <c r="K21" s="64">
        <f>H21*Chartsource!$E$7</f>
        <v>2.44</v>
      </c>
      <c r="L21" s="80">
        <f t="shared" si="1"/>
        <v>185901.63934426231</v>
      </c>
      <c r="N21" s="30">
        <f>CountyDetailData!$E21*CountyDetailData!$D21</f>
        <v>500.04</v>
      </c>
      <c r="O21" s="30">
        <f>CountyDetailData!$G21*CountyDetailData!$D21</f>
        <v>403.92</v>
      </c>
    </row>
    <row r="22" spans="1:15" s="3" customFormat="1" x14ac:dyDescent="0.25">
      <c r="A22" s="42" t="s">
        <v>25</v>
      </c>
      <c r="B22" s="84">
        <v>3899</v>
      </c>
      <c r="C22" s="43">
        <v>0.14599999999999999</v>
      </c>
      <c r="D22" s="85">
        <v>570</v>
      </c>
      <c r="E22" s="120">
        <v>0.48499999999999999</v>
      </c>
      <c r="F22" s="121">
        <f t="shared" si="0"/>
        <v>0.26100000000000001</v>
      </c>
      <c r="G22" s="122">
        <v>0.254</v>
      </c>
      <c r="H22" s="67">
        <v>1.0952380952380951</v>
      </c>
      <c r="I22" s="108">
        <f>H22*Chartsource!$E$6</f>
        <v>15.661904761904761</v>
      </c>
      <c r="J22" s="63">
        <f>ROUND((CountyDetailData!$I22*52*(7/12)*CountyDetailData!$D22),-1)</f>
        <v>270790</v>
      </c>
      <c r="K22" s="65">
        <f>H22*Chartsource!$E$7</f>
        <v>2.76</v>
      </c>
      <c r="L22" s="81">
        <f t="shared" si="1"/>
        <v>98112.318840579712</v>
      </c>
      <c r="N22" s="30">
        <f>CountyDetailData!$E22*CountyDetailData!$D22</f>
        <v>276.45</v>
      </c>
      <c r="O22" s="30">
        <f>CountyDetailData!$G22*CountyDetailData!$D22</f>
        <v>144.78</v>
      </c>
    </row>
    <row r="23" spans="1:15" s="3" customFormat="1" x14ac:dyDescent="0.25">
      <c r="A23" s="40" t="s">
        <v>26</v>
      </c>
      <c r="B23" s="82">
        <v>30533</v>
      </c>
      <c r="C23" s="41">
        <v>0.156</v>
      </c>
      <c r="D23" s="83">
        <v>4750</v>
      </c>
      <c r="E23" s="117">
        <v>0.48499999999999999</v>
      </c>
      <c r="F23" s="118">
        <f t="shared" si="0"/>
        <v>0.22300000000000003</v>
      </c>
      <c r="G23" s="119">
        <v>0.29199999999999998</v>
      </c>
      <c r="H23" s="66">
        <v>0.99603174603174593</v>
      </c>
      <c r="I23" s="107">
        <f>H23*Chartsource!$E$6</f>
        <v>14.243253968253967</v>
      </c>
      <c r="J23" s="62">
        <f>ROUND((CountyDetailData!$I23*52*(7/12)*CountyDetailData!$D23),-1)</f>
        <v>2052220</v>
      </c>
      <c r="K23" s="64">
        <f>H23*Chartsource!$E$7</f>
        <v>2.5099999999999998</v>
      </c>
      <c r="L23" s="80">
        <f t="shared" si="1"/>
        <v>817617.52988047816</v>
      </c>
      <c r="N23" s="30">
        <f>CountyDetailData!$E23*CountyDetailData!$D23</f>
        <v>2303.75</v>
      </c>
      <c r="O23" s="30">
        <f>CountyDetailData!$G23*CountyDetailData!$D23</f>
        <v>1387</v>
      </c>
    </row>
    <row r="24" spans="1:15" s="3" customFormat="1" x14ac:dyDescent="0.25">
      <c r="A24" s="42" t="s">
        <v>27</v>
      </c>
      <c r="B24" s="84">
        <v>578087</v>
      </c>
      <c r="C24" s="43">
        <v>0.17100000000000001</v>
      </c>
      <c r="D24" s="85">
        <v>98970</v>
      </c>
      <c r="E24" s="120">
        <v>0.56200000000000006</v>
      </c>
      <c r="F24" s="121">
        <f t="shared" si="0"/>
        <v>0.16399999999999992</v>
      </c>
      <c r="G24" s="122">
        <v>0.27400000000000002</v>
      </c>
      <c r="H24" s="67">
        <v>1.0238095238095237</v>
      </c>
      <c r="I24" s="108">
        <f>H24*Chartsource!$E$6</f>
        <v>14.640476190476191</v>
      </c>
      <c r="J24" s="63">
        <f>ROUND((CountyDetailData!$I24*52*(7/12)*CountyDetailData!$D24),-1)</f>
        <v>43952030</v>
      </c>
      <c r="K24" s="65">
        <f>H24*Chartsource!$E$7</f>
        <v>2.5799999999999996</v>
      </c>
      <c r="L24" s="81">
        <f t="shared" si="1"/>
        <v>17035670.542635661</v>
      </c>
      <c r="N24" s="30">
        <f>CountyDetailData!$E24*CountyDetailData!$D24</f>
        <v>55621.140000000007</v>
      </c>
      <c r="O24" s="30">
        <f>CountyDetailData!$G24*CountyDetailData!$D24</f>
        <v>27117.780000000002</v>
      </c>
    </row>
    <row r="25" spans="1:15" s="3" customFormat="1" x14ac:dyDescent="0.25">
      <c r="A25" s="40" t="s">
        <v>28</v>
      </c>
      <c r="B25" s="82">
        <v>2027</v>
      </c>
      <c r="C25" s="41">
        <v>0.22</v>
      </c>
      <c r="D25" s="83">
        <v>450</v>
      </c>
      <c r="E25" s="117">
        <v>0.47499999999999998</v>
      </c>
      <c r="F25" s="118">
        <f t="shared" si="0"/>
        <v>0.10300000000000004</v>
      </c>
      <c r="G25" s="119">
        <v>0.42199999999999999</v>
      </c>
      <c r="H25" s="66">
        <v>0.98412698412698407</v>
      </c>
      <c r="I25" s="107">
        <f>H25*Chartsource!$E$6</f>
        <v>14.073015873015873</v>
      </c>
      <c r="J25" s="62">
        <f>ROUND((CountyDetailData!$I25*52*(7/12)*CountyDetailData!$D25),-1)</f>
        <v>192100</v>
      </c>
      <c r="K25" s="64">
        <f>H25*Chartsource!$E$7</f>
        <v>2.48</v>
      </c>
      <c r="L25" s="80">
        <f t="shared" si="1"/>
        <v>77459.677419354834</v>
      </c>
      <c r="N25" s="30">
        <f>CountyDetailData!$E25*CountyDetailData!$D25</f>
        <v>213.75</v>
      </c>
      <c r="O25" s="30">
        <f>CountyDetailData!$G25*CountyDetailData!$D25</f>
        <v>189.9</v>
      </c>
    </row>
    <row r="26" spans="1:15" s="3" customFormat="1" x14ac:dyDescent="0.25">
      <c r="A26" s="42" t="s">
        <v>29</v>
      </c>
      <c r="B26" s="84">
        <v>273440</v>
      </c>
      <c r="C26" s="43">
        <v>0.108</v>
      </c>
      <c r="D26" s="85">
        <v>29560</v>
      </c>
      <c r="E26" s="120">
        <v>0.14399999999999999</v>
      </c>
      <c r="F26" s="121">
        <f t="shared" si="0"/>
        <v>8.0999999999999961E-2</v>
      </c>
      <c r="G26" s="122">
        <v>0.77500000000000002</v>
      </c>
      <c r="H26" s="67">
        <v>1.0158730158730158</v>
      </c>
      <c r="I26" s="108">
        <f>H26*Chartsource!$E$6</f>
        <v>14.526984126984127</v>
      </c>
      <c r="J26" s="63">
        <f>ROUND((CountyDetailData!$I26*52*(7/12)*CountyDetailData!$D26),-1)</f>
        <v>13025670</v>
      </c>
      <c r="K26" s="65">
        <f>H26*Chartsource!$E$7</f>
        <v>2.56</v>
      </c>
      <c r="L26" s="81">
        <f t="shared" si="1"/>
        <v>5088152.34375</v>
      </c>
      <c r="N26" s="30">
        <f>CountyDetailData!$E26*CountyDetailData!$D26</f>
        <v>4256.6399999999994</v>
      </c>
      <c r="O26" s="30">
        <f>CountyDetailData!$G26*CountyDetailData!$D26</f>
        <v>22909</v>
      </c>
    </row>
    <row r="27" spans="1:15" s="3" customFormat="1" x14ac:dyDescent="0.25">
      <c r="A27" s="40" t="s">
        <v>30</v>
      </c>
      <c r="B27" s="82">
        <v>50793</v>
      </c>
      <c r="C27" s="41">
        <v>0.13200000000000001</v>
      </c>
      <c r="D27" s="83">
        <v>6690</v>
      </c>
      <c r="E27" s="117">
        <v>0.4</v>
      </c>
      <c r="F27" s="118">
        <f t="shared" si="0"/>
        <v>0.20299999999999996</v>
      </c>
      <c r="G27" s="119">
        <v>0.39700000000000002</v>
      </c>
      <c r="H27" s="66">
        <v>1.0198412698412698</v>
      </c>
      <c r="I27" s="107">
        <f>H27*Chartsource!$E$6</f>
        <v>14.583730158730159</v>
      </c>
      <c r="J27" s="62">
        <f>ROUND((CountyDetailData!$I27*52*(7/12)*CountyDetailData!$D27),-1)</f>
        <v>2959480</v>
      </c>
      <c r="K27" s="64">
        <f>H27*Chartsource!$E$7</f>
        <v>2.57</v>
      </c>
      <c r="L27" s="80">
        <f t="shared" si="1"/>
        <v>1151548.6381322958</v>
      </c>
      <c r="N27" s="30">
        <f>CountyDetailData!$E27*CountyDetailData!$D27</f>
        <v>2676</v>
      </c>
      <c r="O27" s="30">
        <f>CountyDetailData!$G27*CountyDetailData!$D27</f>
        <v>2655.9300000000003</v>
      </c>
    </row>
    <row r="28" spans="1:15" s="3" customFormat="1" x14ac:dyDescent="0.25">
      <c r="A28" s="42" t="s">
        <v>31</v>
      </c>
      <c r="B28" s="84">
        <v>22712</v>
      </c>
      <c r="C28" s="43">
        <v>0.121</v>
      </c>
      <c r="D28" s="85">
        <v>2750</v>
      </c>
      <c r="E28" s="120">
        <v>0.19600000000000001</v>
      </c>
      <c r="F28" s="121">
        <f t="shared" si="0"/>
        <v>0.124</v>
      </c>
      <c r="G28" s="122">
        <v>0.68</v>
      </c>
      <c r="H28" s="67">
        <v>0.98412698412698407</v>
      </c>
      <c r="I28" s="108">
        <f>H28*Chartsource!$E$6</f>
        <v>14.073015873015873</v>
      </c>
      <c r="J28" s="63">
        <f>ROUND((CountyDetailData!$I28*52*(7/12)*CountyDetailData!$D28),-1)</f>
        <v>1173920</v>
      </c>
      <c r="K28" s="65">
        <f>H28*Chartsource!$E$7</f>
        <v>2.48</v>
      </c>
      <c r="L28" s="81">
        <f t="shared" si="1"/>
        <v>473354.83870967739</v>
      </c>
      <c r="N28" s="30">
        <f>CountyDetailData!$E28*CountyDetailData!$D28</f>
        <v>539</v>
      </c>
      <c r="O28" s="30">
        <f>CountyDetailData!$G28*CountyDetailData!$D28</f>
        <v>1870.0000000000002</v>
      </c>
    </row>
    <row r="29" spans="1:15" s="3" customFormat="1" x14ac:dyDescent="0.25">
      <c r="A29" s="40" t="s">
        <v>32</v>
      </c>
      <c r="B29" s="82">
        <v>599988</v>
      </c>
      <c r="C29" s="41">
        <v>0.153</v>
      </c>
      <c r="D29" s="83">
        <v>91950</v>
      </c>
      <c r="E29" s="117">
        <v>0.38400000000000001</v>
      </c>
      <c r="F29" s="118">
        <f t="shared" si="0"/>
        <v>0.16499999999999998</v>
      </c>
      <c r="G29" s="119">
        <v>0.45100000000000001</v>
      </c>
      <c r="H29" s="66">
        <v>0.97222222222222232</v>
      </c>
      <c r="I29" s="107">
        <f>H29*Chartsource!$E$6</f>
        <v>13.90277777777778</v>
      </c>
      <c r="J29" s="62">
        <f>ROUND((CountyDetailData!$I29*52*(7/12)*CountyDetailData!$D29),-1)</f>
        <v>38776930</v>
      </c>
      <c r="K29" s="64">
        <f>H29*Chartsource!$E$7</f>
        <v>2.4500000000000002</v>
      </c>
      <c r="L29" s="80">
        <f t="shared" si="1"/>
        <v>15827318.367346937</v>
      </c>
      <c r="N29" s="30">
        <f>CountyDetailData!$E29*CountyDetailData!$D29</f>
        <v>35308.800000000003</v>
      </c>
      <c r="O29" s="30">
        <f>CountyDetailData!$G29*CountyDetailData!$D29</f>
        <v>41469.450000000004</v>
      </c>
    </row>
    <row r="30" spans="1:15" s="3" customFormat="1" x14ac:dyDescent="0.25">
      <c r="A30" s="42" t="s">
        <v>33</v>
      </c>
      <c r="B30" s="84">
        <v>46941</v>
      </c>
      <c r="C30" s="43">
        <v>0.17299999999999999</v>
      </c>
      <c r="D30" s="85">
        <v>8110</v>
      </c>
      <c r="E30" s="120">
        <v>0.39700000000000002</v>
      </c>
      <c r="F30" s="121">
        <f t="shared" si="0"/>
        <v>0.15399999999999997</v>
      </c>
      <c r="G30" s="122">
        <v>0.44900000000000001</v>
      </c>
      <c r="H30" s="67">
        <v>0.96825396825396826</v>
      </c>
      <c r="I30" s="108">
        <f>H30*Chartsource!$E$6</f>
        <v>13.846031746031747</v>
      </c>
      <c r="J30" s="63">
        <f>ROUND((CountyDetailData!$I30*52*(7/12)*CountyDetailData!$D30),-1)</f>
        <v>3406170</v>
      </c>
      <c r="K30" s="65">
        <f>H30*Chartsource!$E$7</f>
        <v>2.44</v>
      </c>
      <c r="L30" s="81">
        <f t="shared" si="1"/>
        <v>1395971.3114754099</v>
      </c>
      <c r="N30" s="30">
        <f>CountyDetailData!$E30*CountyDetailData!$D30</f>
        <v>3219.67</v>
      </c>
      <c r="O30" s="30">
        <f>CountyDetailData!$G30*CountyDetailData!$D30</f>
        <v>3641.39</v>
      </c>
    </row>
    <row r="31" spans="1:15" s="3" customFormat="1" x14ac:dyDescent="0.25">
      <c r="A31" s="40" t="s">
        <v>34</v>
      </c>
      <c r="B31" s="82">
        <v>54761</v>
      </c>
      <c r="C31" s="41">
        <v>0.13800000000000001</v>
      </c>
      <c r="D31" s="83">
        <v>7540</v>
      </c>
      <c r="E31" s="117">
        <v>0.34799999999999998</v>
      </c>
      <c r="F31" s="118">
        <f t="shared" si="0"/>
        <v>0.21800000000000003</v>
      </c>
      <c r="G31" s="119">
        <v>0.434</v>
      </c>
      <c r="H31" s="66">
        <v>1.0674603174603174</v>
      </c>
      <c r="I31" s="107">
        <f>H31*Chartsource!$E$6</f>
        <v>15.264682539682541</v>
      </c>
      <c r="J31" s="62">
        <f>ROUND((CountyDetailData!$I31*52*(7/12)*CountyDetailData!$D31),-1)</f>
        <v>3491240</v>
      </c>
      <c r="K31" s="64">
        <f>H31*Chartsource!$E$7</f>
        <v>2.69</v>
      </c>
      <c r="L31" s="80">
        <f t="shared" si="1"/>
        <v>1297858.7360594796</v>
      </c>
      <c r="N31" s="30">
        <f>CountyDetailData!$E31*CountyDetailData!$D31</f>
        <v>2623.9199999999996</v>
      </c>
      <c r="O31" s="30">
        <f>CountyDetailData!$G31*CountyDetailData!$D31</f>
        <v>3272.36</v>
      </c>
    </row>
    <row r="32" spans="1:15" s="3" customFormat="1" x14ac:dyDescent="0.25">
      <c r="A32" s="42" t="s">
        <v>35</v>
      </c>
      <c r="B32" s="84">
        <v>5126</v>
      </c>
      <c r="C32" s="43">
        <v>0.14099999999999999</v>
      </c>
      <c r="D32" s="85">
        <v>720</v>
      </c>
      <c r="E32" s="120">
        <v>0.38200000000000001</v>
      </c>
      <c r="F32" s="121">
        <f t="shared" si="0"/>
        <v>0.10399999999999998</v>
      </c>
      <c r="G32" s="122">
        <v>0.51400000000000001</v>
      </c>
      <c r="H32" s="67">
        <v>0.96825396825396826</v>
      </c>
      <c r="I32" s="108">
        <f>H32*Chartsource!$E$6</f>
        <v>13.846031746031747</v>
      </c>
      <c r="J32" s="63">
        <f>ROUND((CountyDetailData!$I32*52*(7/12)*CountyDetailData!$D32),-1)</f>
        <v>302400</v>
      </c>
      <c r="K32" s="65">
        <f>H32*Chartsource!$E$7</f>
        <v>2.44</v>
      </c>
      <c r="L32" s="81">
        <f t="shared" si="1"/>
        <v>123934.4262295082</v>
      </c>
      <c r="N32" s="30">
        <f>CountyDetailData!$E32*CountyDetailData!$D32</f>
        <v>275.04000000000002</v>
      </c>
      <c r="O32" s="30">
        <f>CountyDetailData!$G32*CountyDetailData!$D32</f>
        <v>370.08</v>
      </c>
    </row>
    <row r="33" spans="1:15" s="3" customFormat="1" x14ac:dyDescent="0.25">
      <c r="A33" s="40" t="s">
        <v>36</v>
      </c>
      <c r="B33" s="82">
        <v>14526</v>
      </c>
      <c r="C33" s="41">
        <v>0.13500000000000001</v>
      </c>
      <c r="D33" s="83">
        <v>1960</v>
      </c>
      <c r="E33" s="117">
        <v>0.33</v>
      </c>
      <c r="F33" s="118">
        <f t="shared" si="0"/>
        <v>0.2649999999999999</v>
      </c>
      <c r="G33" s="119">
        <v>0.40500000000000003</v>
      </c>
      <c r="H33" s="66">
        <v>1.2222222222222223</v>
      </c>
      <c r="I33" s="107">
        <f>H33*Chartsource!$E$6</f>
        <v>17.477777777777781</v>
      </c>
      <c r="J33" s="62">
        <f>ROUND((CountyDetailData!$I33*52*(7/12)*CountyDetailData!$D33),-1)</f>
        <v>1039110</v>
      </c>
      <c r="K33" s="64">
        <f>H33*Chartsource!$E$7</f>
        <v>3.08</v>
      </c>
      <c r="L33" s="80">
        <f t="shared" si="1"/>
        <v>337373.37662337662</v>
      </c>
      <c r="N33" s="30">
        <f>CountyDetailData!$E33*CountyDetailData!$D33</f>
        <v>646.80000000000007</v>
      </c>
      <c r="O33" s="30">
        <f>CountyDetailData!$G33*CountyDetailData!$D33</f>
        <v>793.80000000000007</v>
      </c>
    </row>
    <row r="34" spans="1:15" s="3" customFormat="1" x14ac:dyDescent="0.25">
      <c r="A34" s="42" t="s">
        <v>37</v>
      </c>
      <c r="B34" s="84">
        <v>15136</v>
      </c>
      <c r="C34" s="43">
        <v>0.13400000000000001</v>
      </c>
      <c r="D34" s="85">
        <v>2030</v>
      </c>
      <c r="E34" s="120">
        <v>0.496</v>
      </c>
      <c r="F34" s="121">
        <f t="shared" si="0"/>
        <v>0.10499999999999998</v>
      </c>
      <c r="G34" s="122">
        <v>0.39900000000000002</v>
      </c>
      <c r="H34" s="67">
        <v>1.1547619047619049</v>
      </c>
      <c r="I34" s="108">
        <f>H34*Chartsource!$E$6</f>
        <v>16.513095238095239</v>
      </c>
      <c r="J34" s="63">
        <f>ROUND((CountyDetailData!$I34*52*(7/12)*CountyDetailData!$D34),-1)</f>
        <v>1016820</v>
      </c>
      <c r="K34" s="65">
        <f>H34*Chartsource!$E$7</f>
        <v>2.91</v>
      </c>
      <c r="L34" s="81">
        <f t="shared" si="1"/>
        <v>349422.68041237112</v>
      </c>
      <c r="N34" s="30">
        <f>CountyDetailData!$E34*CountyDetailData!$D34</f>
        <v>1006.88</v>
      </c>
      <c r="O34" s="30">
        <f>CountyDetailData!$G34*CountyDetailData!$D34</f>
        <v>809.97</v>
      </c>
    </row>
    <row r="35" spans="1:15" s="3" customFormat="1" x14ac:dyDescent="0.25">
      <c r="A35" s="40" t="s">
        <v>38</v>
      </c>
      <c r="B35" s="82">
        <v>489</v>
      </c>
      <c r="C35" s="41">
        <v>9.6000000000000002E-2</v>
      </c>
      <c r="D35" s="83">
        <v>50</v>
      </c>
      <c r="E35" s="117">
        <v>0.60699999999999998</v>
      </c>
      <c r="F35" s="118">
        <f t="shared" si="0"/>
        <v>0.16600000000000001</v>
      </c>
      <c r="G35" s="119">
        <v>0.22700000000000001</v>
      </c>
      <c r="H35" s="66">
        <v>1.0198412698412698</v>
      </c>
      <c r="I35" s="107">
        <f>H35*Chartsource!$E$6</f>
        <v>14.583730158730159</v>
      </c>
      <c r="J35" s="62">
        <f>ROUND((CountyDetailData!$I35*52*(7/12)*CountyDetailData!$D35),-1)</f>
        <v>22120</v>
      </c>
      <c r="K35" s="64">
        <f>H35*Chartsource!$E$7</f>
        <v>2.57</v>
      </c>
      <c r="L35" s="80">
        <f t="shared" si="1"/>
        <v>8607.0038910505846</v>
      </c>
      <c r="N35" s="30">
        <f>CountyDetailData!$E35*CountyDetailData!$D35</f>
        <v>30.349999999999998</v>
      </c>
      <c r="O35" s="30">
        <f>CountyDetailData!$G35*CountyDetailData!$D35</f>
        <v>11.35</v>
      </c>
    </row>
    <row r="36" spans="1:15" s="3" customFormat="1" x14ac:dyDescent="0.25">
      <c r="A36" s="42" t="s">
        <v>39</v>
      </c>
      <c r="B36" s="84">
        <v>6948</v>
      </c>
      <c r="C36" s="43">
        <v>0.185</v>
      </c>
      <c r="D36" s="85">
        <v>1280</v>
      </c>
      <c r="E36" s="120">
        <v>0.55600000000000005</v>
      </c>
      <c r="F36" s="121">
        <f t="shared" si="0"/>
        <v>0.21399999999999994</v>
      </c>
      <c r="G36" s="122">
        <v>0.23</v>
      </c>
      <c r="H36" s="67">
        <v>1.123015873015873</v>
      </c>
      <c r="I36" s="108">
        <f>H36*Chartsource!$E$6</f>
        <v>16.059126984126983</v>
      </c>
      <c r="J36" s="63">
        <f>ROUND((CountyDetailData!$I36*52*(7/12)*CountyDetailData!$D36),-1)</f>
        <v>623520</v>
      </c>
      <c r="K36" s="65">
        <f>H36*Chartsource!$E$7</f>
        <v>2.83</v>
      </c>
      <c r="L36" s="81">
        <f t="shared" si="1"/>
        <v>220325.0883392226</v>
      </c>
      <c r="N36" s="30">
        <f>CountyDetailData!$E36*CountyDetailData!$D36</f>
        <v>711.68000000000006</v>
      </c>
      <c r="O36" s="30">
        <f>CountyDetailData!$G36*CountyDetailData!$D36</f>
        <v>294.40000000000003</v>
      </c>
    </row>
    <row r="37" spans="1:15" s="3" customFormat="1" x14ac:dyDescent="0.25">
      <c r="A37" s="40" t="s">
        <v>40</v>
      </c>
      <c r="B37" s="82">
        <v>1464</v>
      </c>
      <c r="C37" s="41">
        <v>0.14099999999999999</v>
      </c>
      <c r="D37" s="83">
        <v>210</v>
      </c>
      <c r="E37" s="117">
        <v>0.441</v>
      </c>
      <c r="F37" s="118">
        <f t="shared" si="0"/>
        <v>0.32299999999999995</v>
      </c>
      <c r="G37" s="119">
        <v>0.23599999999999999</v>
      </c>
      <c r="H37" s="66">
        <v>1</v>
      </c>
      <c r="I37" s="107">
        <f>H37*Chartsource!$E$6</f>
        <v>14.3</v>
      </c>
      <c r="J37" s="62">
        <f>ROUND((CountyDetailData!$I37*52*(7/12)*CountyDetailData!$D37),-1)</f>
        <v>91090</v>
      </c>
      <c r="K37" s="64">
        <f>H37*Chartsource!$E$7</f>
        <v>2.52</v>
      </c>
      <c r="L37" s="80">
        <f t="shared" si="1"/>
        <v>36146.825396825399</v>
      </c>
      <c r="N37" s="30">
        <f>CountyDetailData!$E37*CountyDetailData!$D37</f>
        <v>92.61</v>
      </c>
      <c r="O37" s="30">
        <f>CountyDetailData!$G37*CountyDetailData!$D37</f>
        <v>49.559999999999995</v>
      </c>
    </row>
    <row r="38" spans="1:15" s="3" customFormat="1" x14ac:dyDescent="0.25">
      <c r="A38" s="42" t="s">
        <v>41</v>
      </c>
      <c r="B38" s="84">
        <v>528614</v>
      </c>
      <c r="C38" s="43">
        <v>0.13200000000000001</v>
      </c>
      <c r="D38" s="85">
        <v>69870</v>
      </c>
      <c r="E38" s="120">
        <v>0.30399999999999999</v>
      </c>
      <c r="F38" s="121">
        <f t="shared" si="0"/>
        <v>0.14699999999999991</v>
      </c>
      <c r="G38" s="122">
        <v>0.54900000000000004</v>
      </c>
      <c r="H38" s="67">
        <v>1.0436507936507935</v>
      </c>
      <c r="I38" s="108">
        <f>H38*Chartsource!$E$6</f>
        <v>14.924206349206347</v>
      </c>
      <c r="J38" s="63">
        <f>ROUND((CountyDetailData!$I38*52*(7/12)*CountyDetailData!$D38),-1)</f>
        <v>31630210</v>
      </c>
      <c r="K38" s="65">
        <f>H38*Chartsource!$E$7</f>
        <v>2.6299999999999994</v>
      </c>
      <c r="L38" s="81">
        <f t="shared" si="1"/>
        <v>12026695.817490498</v>
      </c>
      <c r="N38" s="30">
        <f>CountyDetailData!$E38*CountyDetailData!$D38</f>
        <v>21240.48</v>
      </c>
      <c r="O38" s="30">
        <f>CountyDetailData!$G38*CountyDetailData!$D38</f>
        <v>38358.630000000005</v>
      </c>
    </row>
    <row r="39" spans="1:15" s="3" customFormat="1" x14ac:dyDescent="0.25">
      <c r="A39" s="40" t="s">
        <v>42</v>
      </c>
      <c r="B39" s="82">
        <v>1643</v>
      </c>
      <c r="C39" s="41">
        <v>0.128</v>
      </c>
      <c r="D39" s="83">
        <v>210</v>
      </c>
      <c r="E39" s="117">
        <v>0.54500000000000004</v>
      </c>
      <c r="F39" s="118">
        <f t="shared" si="0"/>
        <v>0.25999999999999995</v>
      </c>
      <c r="G39" s="119">
        <v>0.19500000000000001</v>
      </c>
      <c r="H39" s="66">
        <v>0.94047619047619047</v>
      </c>
      <c r="I39" s="107">
        <f>H39*Chartsource!$E$6</f>
        <v>13.448809523809524</v>
      </c>
      <c r="J39" s="62">
        <f>ROUND((CountyDetailData!$I39*52*(7/12)*CountyDetailData!$D39),-1)</f>
        <v>85670</v>
      </c>
      <c r="K39" s="64">
        <f>H39*Chartsource!$E$7</f>
        <v>2.37</v>
      </c>
      <c r="L39" s="80">
        <f t="shared" si="1"/>
        <v>36147.679324894511</v>
      </c>
      <c r="N39" s="30">
        <f>CountyDetailData!$E39*CountyDetailData!$D39</f>
        <v>114.45</v>
      </c>
      <c r="O39" s="30">
        <f>CountyDetailData!$G39*CountyDetailData!$D39</f>
        <v>40.950000000000003</v>
      </c>
    </row>
    <row r="40" spans="1:15" s="3" customFormat="1" x14ac:dyDescent="0.25">
      <c r="A40" s="42" t="s">
        <v>43</v>
      </c>
      <c r="B40" s="84">
        <v>8156</v>
      </c>
      <c r="C40" s="43">
        <v>0.112</v>
      </c>
      <c r="D40" s="85">
        <v>910</v>
      </c>
      <c r="E40" s="120">
        <v>0.51500000000000001</v>
      </c>
      <c r="F40" s="121">
        <f t="shared" si="0"/>
        <v>0.28000000000000003</v>
      </c>
      <c r="G40" s="122">
        <v>0.20499999999999999</v>
      </c>
      <c r="H40" s="67">
        <v>1.103174603174603</v>
      </c>
      <c r="I40" s="108">
        <f>H40*Chartsource!$E$6</f>
        <v>15.775396825396824</v>
      </c>
      <c r="J40" s="63">
        <f>ROUND((CountyDetailData!$I40*52*(7/12)*CountyDetailData!$D40),-1)</f>
        <v>435450</v>
      </c>
      <c r="K40" s="65">
        <f>H40*Chartsource!$E$7</f>
        <v>2.78</v>
      </c>
      <c r="L40" s="81">
        <f t="shared" si="1"/>
        <v>156636.69064748203</v>
      </c>
      <c r="N40" s="30">
        <f>CountyDetailData!$E40*CountyDetailData!$D40</f>
        <v>468.65000000000003</v>
      </c>
      <c r="O40" s="30">
        <f>CountyDetailData!$G40*CountyDetailData!$D40</f>
        <v>186.54999999999998</v>
      </c>
    </row>
    <row r="41" spans="1:15" s="3" customFormat="1" x14ac:dyDescent="0.25">
      <c r="A41" s="40" t="s">
        <v>44</v>
      </c>
      <c r="B41" s="82">
        <v>7039</v>
      </c>
      <c r="C41" s="41">
        <v>0.183</v>
      </c>
      <c r="D41" s="83">
        <v>1290</v>
      </c>
      <c r="E41" s="117">
        <v>0.66900000000000004</v>
      </c>
      <c r="F41" s="118">
        <f t="shared" si="0"/>
        <v>0.21899999999999997</v>
      </c>
      <c r="G41" s="119">
        <v>0.112</v>
      </c>
      <c r="H41" s="66">
        <v>1.2222222222222223</v>
      </c>
      <c r="I41" s="107">
        <f>H41*Chartsource!$E$6</f>
        <v>17.477777777777781</v>
      </c>
      <c r="J41" s="62">
        <f>ROUND((CountyDetailData!$I41*52*(7/12)*CountyDetailData!$D41),-1)</f>
        <v>683910</v>
      </c>
      <c r="K41" s="64">
        <f>H41*Chartsource!$E$7</f>
        <v>3.08</v>
      </c>
      <c r="L41" s="80">
        <f t="shared" si="1"/>
        <v>222048.70129870129</v>
      </c>
      <c r="N41" s="30">
        <f>CountyDetailData!$E41*CountyDetailData!$D41</f>
        <v>863.0100000000001</v>
      </c>
      <c r="O41" s="30">
        <f>CountyDetailData!$G41*CountyDetailData!$D41</f>
        <v>144.47999999999999</v>
      </c>
    </row>
    <row r="42" spans="1:15" s="3" customFormat="1" x14ac:dyDescent="0.25">
      <c r="A42" s="42" t="s">
        <v>45</v>
      </c>
      <c r="B42" s="84">
        <v>50149</v>
      </c>
      <c r="C42" s="43">
        <v>0.13</v>
      </c>
      <c r="D42" s="85">
        <v>6530</v>
      </c>
      <c r="E42" s="120">
        <v>0.38800000000000001</v>
      </c>
      <c r="F42" s="121">
        <f t="shared" si="0"/>
        <v>0.19400000000000001</v>
      </c>
      <c r="G42" s="122">
        <v>0.41799999999999998</v>
      </c>
      <c r="H42" s="67">
        <v>1.1428571428571428</v>
      </c>
      <c r="I42" s="108">
        <f>H42*Chartsource!$E$6</f>
        <v>16.342857142857142</v>
      </c>
      <c r="J42" s="63">
        <f>ROUND((CountyDetailData!$I42*52*(7/12)*CountyDetailData!$D42),-1)</f>
        <v>3237140</v>
      </c>
      <c r="K42" s="65">
        <f>H42*Chartsource!$E$7</f>
        <v>2.88</v>
      </c>
      <c r="L42" s="81">
        <f t="shared" si="1"/>
        <v>1124006.9444444445</v>
      </c>
      <c r="N42" s="30">
        <f>CountyDetailData!$E42*CountyDetailData!$D42</f>
        <v>2533.64</v>
      </c>
      <c r="O42" s="30">
        <f>CountyDetailData!$G42*CountyDetailData!$D42</f>
        <v>2729.54</v>
      </c>
    </row>
    <row r="43" spans="1:15" s="3" customFormat="1" x14ac:dyDescent="0.25">
      <c r="A43" s="40" t="s">
        <v>46</v>
      </c>
      <c r="B43" s="82">
        <v>291162</v>
      </c>
      <c r="C43" s="41">
        <v>0.14000000000000001</v>
      </c>
      <c r="D43" s="83">
        <v>40770</v>
      </c>
      <c r="E43" s="117">
        <v>0.45</v>
      </c>
      <c r="F43" s="118">
        <f t="shared" si="0"/>
        <v>0.12500000000000006</v>
      </c>
      <c r="G43" s="119">
        <v>0.42499999999999999</v>
      </c>
      <c r="H43" s="66">
        <v>1.0158730158730158</v>
      </c>
      <c r="I43" s="107">
        <f>H43*Chartsource!$E$6</f>
        <v>14.526984126984127</v>
      </c>
      <c r="J43" s="62">
        <f>ROUND((CountyDetailData!$I43*52*(7/12)*CountyDetailData!$D43),-1)</f>
        <v>17965380</v>
      </c>
      <c r="K43" s="64">
        <f>H43*Chartsource!$E$7</f>
        <v>2.56</v>
      </c>
      <c r="L43" s="80">
        <f t="shared" si="1"/>
        <v>7017726.5625</v>
      </c>
      <c r="N43" s="30">
        <f>CountyDetailData!$E43*CountyDetailData!$D43</f>
        <v>18346.5</v>
      </c>
      <c r="O43" s="30">
        <f>CountyDetailData!$G43*CountyDetailData!$D43</f>
        <v>17327.25</v>
      </c>
    </row>
    <row r="44" spans="1:15" s="3" customFormat="1" x14ac:dyDescent="0.25">
      <c r="A44" s="42" t="s">
        <v>47</v>
      </c>
      <c r="B44" s="84">
        <v>15675</v>
      </c>
      <c r="C44" s="43">
        <v>0.151</v>
      </c>
      <c r="D44" s="85">
        <v>2360</v>
      </c>
      <c r="E44" s="120">
        <v>0.52700000000000002</v>
      </c>
      <c r="F44" s="121">
        <f t="shared" si="0"/>
        <v>0.29199999999999998</v>
      </c>
      <c r="G44" s="122">
        <v>0.18099999999999999</v>
      </c>
      <c r="H44" s="67">
        <v>0.96825396825396826</v>
      </c>
      <c r="I44" s="108">
        <f>H44*Chartsource!$E$6</f>
        <v>13.846031746031747</v>
      </c>
      <c r="J44" s="63">
        <f>ROUND((CountyDetailData!$I44*52*(7/12)*CountyDetailData!$D44),-1)</f>
        <v>991190</v>
      </c>
      <c r="K44" s="65">
        <f>H44*Chartsource!$E$7</f>
        <v>2.44</v>
      </c>
      <c r="L44" s="81">
        <f t="shared" si="1"/>
        <v>406225.40983606561</v>
      </c>
      <c r="N44" s="30">
        <f>CountyDetailData!$E44*CountyDetailData!$D44</f>
        <v>1243.72</v>
      </c>
      <c r="O44" s="30">
        <f>CountyDetailData!$G44*CountyDetailData!$D44</f>
        <v>427.15999999999997</v>
      </c>
    </row>
    <row r="45" spans="1:15" s="3" customFormat="1" x14ac:dyDescent="0.25">
      <c r="A45" s="40" t="s">
        <v>48</v>
      </c>
      <c r="B45" s="82">
        <v>5476</v>
      </c>
      <c r="C45" s="41">
        <v>0.129</v>
      </c>
      <c r="D45" s="83">
        <v>710</v>
      </c>
      <c r="E45" s="117">
        <v>0.40899999999999997</v>
      </c>
      <c r="F45" s="118">
        <f t="shared" si="0"/>
        <v>0.16999999999999998</v>
      </c>
      <c r="G45" s="119">
        <v>0.42099999999999999</v>
      </c>
      <c r="H45" s="66">
        <v>1.0753968253968254</v>
      </c>
      <c r="I45" s="107">
        <f>H45*Chartsource!$E$6</f>
        <v>15.378174603174603</v>
      </c>
      <c r="J45" s="62">
        <f>ROUND((CountyDetailData!$I45*52*(7/12)*CountyDetailData!$D45),-1)</f>
        <v>331190</v>
      </c>
      <c r="K45" s="64">
        <f>H45*Chartsource!$E$7</f>
        <v>2.71</v>
      </c>
      <c r="L45" s="80">
        <f t="shared" si="1"/>
        <v>122210.33210332104</v>
      </c>
      <c r="N45" s="30">
        <f>CountyDetailData!$E45*CountyDetailData!$D45</f>
        <v>290.39</v>
      </c>
      <c r="O45" s="30">
        <f>CountyDetailData!$G45*CountyDetailData!$D45</f>
        <v>298.90999999999997</v>
      </c>
    </row>
    <row r="46" spans="1:15" s="3" customFormat="1" x14ac:dyDescent="0.25">
      <c r="A46" s="42" t="s">
        <v>49</v>
      </c>
      <c r="B46" s="84">
        <v>22278</v>
      </c>
      <c r="C46" s="43">
        <v>0.13400000000000001</v>
      </c>
      <c r="D46" s="85">
        <v>2980</v>
      </c>
      <c r="E46" s="120">
        <v>0.44800000000000001</v>
      </c>
      <c r="F46" s="121">
        <f t="shared" si="0"/>
        <v>0.27000000000000007</v>
      </c>
      <c r="G46" s="122">
        <v>0.28199999999999997</v>
      </c>
      <c r="H46" s="67">
        <v>0.95238095238095233</v>
      </c>
      <c r="I46" s="108">
        <f>H46*Chartsource!$E$6</f>
        <v>13.619047619047619</v>
      </c>
      <c r="J46" s="63">
        <f>ROUND((CountyDetailData!$I46*52*(7/12)*CountyDetailData!$D46),-1)</f>
        <v>1231070</v>
      </c>
      <c r="K46" s="65">
        <f>H46*Chartsource!$E$7</f>
        <v>2.4</v>
      </c>
      <c r="L46" s="81">
        <f t="shared" si="1"/>
        <v>512945.83333333337</v>
      </c>
      <c r="N46" s="30">
        <f>CountyDetailData!$E46*CountyDetailData!$D46</f>
        <v>1335.04</v>
      </c>
      <c r="O46" s="30">
        <f>CountyDetailData!$G46*CountyDetailData!$D46</f>
        <v>840.3599999999999</v>
      </c>
    </row>
    <row r="47" spans="1:15" s="3" customFormat="1" x14ac:dyDescent="0.25">
      <c r="A47" s="40" t="s">
        <v>50</v>
      </c>
      <c r="B47" s="82">
        <v>142284</v>
      </c>
      <c r="C47" s="41">
        <v>0.158</v>
      </c>
      <c r="D47" s="83">
        <v>22540</v>
      </c>
      <c r="E47" s="117">
        <v>0.40100000000000002</v>
      </c>
      <c r="F47" s="118">
        <f t="shared" si="0"/>
        <v>0.17099999999999999</v>
      </c>
      <c r="G47" s="119">
        <v>0.42799999999999999</v>
      </c>
      <c r="H47" s="66">
        <v>0.96825396825396826</v>
      </c>
      <c r="I47" s="107">
        <f>H47*Chartsource!$E$6</f>
        <v>13.846031746031747</v>
      </c>
      <c r="J47" s="62">
        <f>ROUND((CountyDetailData!$I47*52*(7/12)*CountyDetailData!$D47),-1)</f>
        <v>9466720</v>
      </c>
      <c r="K47" s="64">
        <f>H47*Chartsource!$E$7</f>
        <v>2.44</v>
      </c>
      <c r="L47" s="80">
        <f t="shared" si="1"/>
        <v>3879803.2786885248</v>
      </c>
      <c r="N47" s="30">
        <f>CountyDetailData!$E47*CountyDetailData!$D47</f>
        <v>9038.5400000000009</v>
      </c>
      <c r="O47" s="30">
        <f>CountyDetailData!$G47*CountyDetailData!$D47</f>
        <v>9647.119999999999</v>
      </c>
    </row>
    <row r="48" spans="1:15" s="3" customFormat="1" x14ac:dyDescent="0.25">
      <c r="A48" s="42" t="s">
        <v>51</v>
      </c>
      <c r="B48" s="84">
        <v>1020</v>
      </c>
      <c r="C48" s="43">
        <v>0.129</v>
      </c>
      <c r="D48" s="85">
        <v>130</v>
      </c>
      <c r="E48" s="120">
        <v>0.36599999999999999</v>
      </c>
      <c r="F48" s="121">
        <f t="shared" si="0"/>
        <v>0.186</v>
      </c>
      <c r="G48" s="122">
        <v>0.44800000000000001</v>
      </c>
      <c r="H48" s="67">
        <v>0.99206349206349209</v>
      </c>
      <c r="I48" s="108">
        <f>H48*Chartsource!$E$6</f>
        <v>14.186507936507937</v>
      </c>
      <c r="J48" s="63">
        <f>ROUND((CountyDetailData!$I48*52*(7/12)*CountyDetailData!$D48),-1)</f>
        <v>55940</v>
      </c>
      <c r="K48" s="65">
        <f>H48*Chartsource!$E$7</f>
        <v>2.5</v>
      </c>
      <c r="L48" s="81">
        <f t="shared" si="1"/>
        <v>22376</v>
      </c>
      <c r="N48" s="30">
        <f>CountyDetailData!$E48*CountyDetailData!$D48</f>
        <v>47.58</v>
      </c>
      <c r="O48" s="30">
        <f>CountyDetailData!$G48*CountyDetailData!$D48</f>
        <v>58.24</v>
      </c>
    </row>
    <row r="49" spans="1:15" s="3" customFormat="1" x14ac:dyDescent="0.25">
      <c r="A49" s="40" t="s">
        <v>52</v>
      </c>
      <c r="B49" s="82">
        <v>13519</v>
      </c>
      <c r="C49" s="41">
        <v>0.151</v>
      </c>
      <c r="D49" s="83">
        <v>2050</v>
      </c>
      <c r="E49" s="117">
        <v>0.434</v>
      </c>
      <c r="F49" s="118">
        <f t="shared" si="0"/>
        <v>0.13300000000000006</v>
      </c>
      <c r="G49" s="119">
        <v>0.433</v>
      </c>
      <c r="H49" s="66">
        <v>0.98412698412698407</v>
      </c>
      <c r="I49" s="107">
        <f>H49*Chartsource!$E$6</f>
        <v>14.073015873015873</v>
      </c>
      <c r="J49" s="62">
        <f>ROUND((CountyDetailData!$I49*52*(7/12)*CountyDetailData!$D49),-1)</f>
        <v>875110</v>
      </c>
      <c r="K49" s="64">
        <f>H49*Chartsource!$E$7</f>
        <v>2.48</v>
      </c>
      <c r="L49" s="80">
        <f t="shared" si="1"/>
        <v>352866.93548387097</v>
      </c>
      <c r="N49" s="30">
        <f>CountyDetailData!$E49*CountyDetailData!$D49</f>
        <v>889.7</v>
      </c>
      <c r="O49" s="30">
        <f>CountyDetailData!$G49*CountyDetailData!$D49</f>
        <v>887.65</v>
      </c>
    </row>
    <row r="50" spans="1:15" s="3" customFormat="1" x14ac:dyDescent="0.25">
      <c r="A50" s="42" t="s">
        <v>53</v>
      </c>
      <c r="B50" s="84">
        <v>25279</v>
      </c>
      <c r="C50" s="43">
        <v>0.16300000000000001</v>
      </c>
      <c r="D50" s="85">
        <v>4130</v>
      </c>
      <c r="E50" s="120">
        <v>0.55100000000000005</v>
      </c>
      <c r="F50" s="121">
        <f t="shared" si="0"/>
        <v>0.16899999999999993</v>
      </c>
      <c r="G50" s="122">
        <v>0.28000000000000003</v>
      </c>
      <c r="H50" s="67">
        <v>1</v>
      </c>
      <c r="I50" s="108">
        <f>H50*Chartsource!$E$6</f>
        <v>14.3</v>
      </c>
      <c r="J50" s="63">
        <f>ROUND((CountyDetailData!$I50*52*(7/12)*CountyDetailData!$D50),-1)</f>
        <v>1791460</v>
      </c>
      <c r="K50" s="65">
        <f>H50*Chartsource!$E$7</f>
        <v>2.52</v>
      </c>
      <c r="L50" s="81">
        <f t="shared" si="1"/>
        <v>710896.82539682544</v>
      </c>
      <c r="N50" s="30">
        <f>CountyDetailData!$E50*CountyDetailData!$D50</f>
        <v>2275.63</v>
      </c>
      <c r="O50" s="30">
        <f>CountyDetailData!$G50*CountyDetailData!$D50</f>
        <v>1156.4000000000001</v>
      </c>
    </row>
    <row r="51" spans="1:15" s="3" customFormat="1" x14ac:dyDescent="0.25">
      <c r="A51" s="40" t="s">
        <v>54</v>
      </c>
      <c r="B51" s="82">
        <v>40266</v>
      </c>
      <c r="C51" s="41">
        <v>0.156</v>
      </c>
      <c r="D51" s="83">
        <v>6270</v>
      </c>
      <c r="E51" s="117">
        <v>0.48399999999999999</v>
      </c>
      <c r="F51" s="118">
        <f t="shared" si="0"/>
        <v>0.21500000000000002</v>
      </c>
      <c r="G51" s="119">
        <v>0.30099999999999999</v>
      </c>
      <c r="H51" s="66">
        <v>1.0476190476190477</v>
      </c>
      <c r="I51" s="107">
        <f>H51*Chartsource!$E$6</f>
        <v>14.980952380952383</v>
      </c>
      <c r="J51" s="62">
        <f>ROUND((CountyDetailData!$I51*52*(7/12)*CountyDetailData!$D51),-1)</f>
        <v>2849230</v>
      </c>
      <c r="K51" s="64">
        <f>H51*Chartsource!$E$7</f>
        <v>2.64</v>
      </c>
      <c r="L51" s="80">
        <f t="shared" si="1"/>
        <v>1079253.7878787878</v>
      </c>
      <c r="N51" s="30">
        <f>CountyDetailData!$E51*CountyDetailData!$D51</f>
        <v>3034.68</v>
      </c>
      <c r="O51" s="30">
        <f>CountyDetailData!$G51*CountyDetailData!$D51</f>
        <v>1887.27</v>
      </c>
    </row>
    <row r="52" spans="1:15" s="3" customFormat="1" x14ac:dyDescent="0.25">
      <c r="A52" s="42" t="s">
        <v>55</v>
      </c>
      <c r="B52" s="84">
        <v>27911</v>
      </c>
      <c r="C52" s="43">
        <v>0.13200000000000001</v>
      </c>
      <c r="D52" s="85">
        <v>3670</v>
      </c>
      <c r="E52" s="120">
        <v>0.52300000000000002</v>
      </c>
      <c r="F52" s="121">
        <f t="shared" si="0"/>
        <v>0.25900000000000001</v>
      </c>
      <c r="G52" s="122">
        <v>0.218</v>
      </c>
      <c r="H52" s="67">
        <v>0.95634920634920639</v>
      </c>
      <c r="I52" s="108">
        <f>H52*Chartsource!$E$6</f>
        <v>13.675793650793652</v>
      </c>
      <c r="J52" s="63">
        <f>ROUND((CountyDetailData!$I52*52*(7/12)*CountyDetailData!$D52),-1)</f>
        <v>1522430</v>
      </c>
      <c r="K52" s="65">
        <f>H52*Chartsource!$E$7</f>
        <v>2.41</v>
      </c>
      <c r="L52" s="81">
        <f t="shared" si="1"/>
        <v>631713.692946058</v>
      </c>
      <c r="N52" s="30">
        <f>CountyDetailData!$E52*CountyDetailData!$D52</f>
        <v>1919.41</v>
      </c>
      <c r="O52" s="30">
        <f>CountyDetailData!$G52*CountyDetailData!$D52</f>
        <v>800.06</v>
      </c>
    </row>
    <row r="53" spans="1:15" s="3" customFormat="1" x14ac:dyDescent="0.25">
      <c r="A53" s="40" t="s">
        <v>56</v>
      </c>
      <c r="B53" s="82">
        <v>18830</v>
      </c>
      <c r="C53" s="41">
        <v>0.156</v>
      </c>
      <c r="D53" s="83">
        <v>2940</v>
      </c>
      <c r="E53" s="117">
        <v>0.61599999999999999</v>
      </c>
      <c r="F53" s="118">
        <f t="shared" si="0"/>
        <v>0.316</v>
      </c>
      <c r="G53" s="119">
        <v>6.8000000000000005E-2</v>
      </c>
      <c r="H53" s="66">
        <v>0.94841269841269848</v>
      </c>
      <c r="I53" s="107">
        <f>H53*Chartsource!$E$6</f>
        <v>13.562301587301588</v>
      </c>
      <c r="J53" s="62">
        <f>ROUND((CountyDetailData!$I53*52*(7/12)*CountyDetailData!$D53),-1)</f>
        <v>1209490</v>
      </c>
      <c r="K53" s="64">
        <f>H53*Chartsource!$E$7</f>
        <v>2.39</v>
      </c>
      <c r="L53" s="80">
        <f t="shared" si="1"/>
        <v>506062.76150627615</v>
      </c>
      <c r="N53" s="30">
        <f>CountyDetailData!$E53*CountyDetailData!$D53</f>
        <v>1811.04</v>
      </c>
      <c r="O53" s="30">
        <f>CountyDetailData!$G53*CountyDetailData!$D53</f>
        <v>199.92000000000002</v>
      </c>
    </row>
    <row r="54" spans="1:15" s="3" customFormat="1" x14ac:dyDescent="0.25">
      <c r="A54" s="42" t="s">
        <v>57</v>
      </c>
      <c r="B54" s="84">
        <v>4319</v>
      </c>
      <c r="C54" s="43">
        <v>0.13200000000000001</v>
      </c>
      <c r="D54" s="85">
        <v>570</v>
      </c>
      <c r="E54" s="120">
        <v>0.40300000000000002</v>
      </c>
      <c r="F54" s="121">
        <f t="shared" si="0"/>
        <v>0.19699999999999995</v>
      </c>
      <c r="G54" s="122">
        <v>0.4</v>
      </c>
      <c r="H54" s="67">
        <v>0.98809523809523814</v>
      </c>
      <c r="I54" s="108">
        <f>H54*Chartsource!$E$6</f>
        <v>14.129761904761907</v>
      </c>
      <c r="J54" s="63">
        <f>ROUND((CountyDetailData!$I54*52*(7/12)*CountyDetailData!$D54),-1)</f>
        <v>244300</v>
      </c>
      <c r="K54" s="65">
        <f>H54*Chartsource!$E$7</f>
        <v>2.4900000000000002</v>
      </c>
      <c r="L54" s="81">
        <f t="shared" si="1"/>
        <v>98112.44979919678</v>
      </c>
      <c r="N54" s="30">
        <f>CountyDetailData!$E54*CountyDetailData!$D54</f>
        <v>229.71</v>
      </c>
      <c r="O54" s="30">
        <f>CountyDetailData!$G54*CountyDetailData!$D54</f>
        <v>228</v>
      </c>
    </row>
    <row r="55" spans="1:15" s="3" customFormat="1" x14ac:dyDescent="0.25">
      <c r="A55" s="40" t="s">
        <v>58</v>
      </c>
      <c r="B55" s="82">
        <v>16286</v>
      </c>
      <c r="C55" s="41">
        <v>0.13400000000000001</v>
      </c>
      <c r="D55" s="83">
        <v>2180</v>
      </c>
      <c r="E55" s="117">
        <v>0.22900000000000001</v>
      </c>
      <c r="F55" s="118">
        <f t="shared" si="0"/>
        <v>0.14100000000000001</v>
      </c>
      <c r="G55" s="119">
        <v>0.63</v>
      </c>
      <c r="H55" s="66">
        <v>0.96825396825396826</v>
      </c>
      <c r="I55" s="107">
        <f>H55*Chartsource!$E$6</f>
        <v>13.846031746031747</v>
      </c>
      <c r="J55" s="62">
        <f>ROUND((CountyDetailData!$I55*52*(7/12)*CountyDetailData!$D55),-1)</f>
        <v>915590</v>
      </c>
      <c r="K55" s="64">
        <f>H55*Chartsource!$E$7</f>
        <v>2.44</v>
      </c>
      <c r="L55" s="80">
        <f t="shared" si="1"/>
        <v>375241.80327868852</v>
      </c>
      <c r="N55" s="30">
        <f>CountyDetailData!$E55*CountyDetailData!$D55</f>
        <v>499.22</v>
      </c>
      <c r="O55" s="30">
        <f>CountyDetailData!$G55*CountyDetailData!$D55</f>
        <v>1373.4</v>
      </c>
    </row>
    <row r="56" spans="1:15" s="3" customFormat="1" x14ac:dyDescent="0.25">
      <c r="A56" s="42" t="s">
        <v>59</v>
      </c>
      <c r="B56" s="84">
        <v>4394</v>
      </c>
      <c r="C56" s="43">
        <v>0.111</v>
      </c>
      <c r="D56" s="85">
        <v>490</v>
      </c>
      <c r="E56" s="120">
        <v>0.44</v>
      </c>
      <c r="F56" s="121">
        <f t="shared" si="0"/>
        <v>0.37800000000000006</v>
      </c>
      <c r="G56" s="122">
        <v>0.182</v>
      </c>
      <c r="H56" s="67">
        <v>1.2301587301587302</v>
      </c>
      <c r="I56" s="108">
        <f>H56*Chartsource!$E$6</f>
        <v>17.591269841269842</v>
      </c>
      <c r="J56" s="63">
        <f>ROUND((CountyDetailData!$I56*52*(7/12)*CountyDetailData!$D56),-1)</f>
        <v>261460</v>
      </c>
      <c r="K56" s="65">
        <f>H56*Chartsource!$E$7</f>
        <v>3.1</v>
      </c>
      <c r="L56" s="81">
        <f t="shared" si="1"/>
        <v>84341.93548387097</v>
      </c>
      <c r="N56" s="30">
        <f>CountyDetailData!$E56*CountyDetailData!$D56</f>
        <v>215.6</v>
      </c>
      <c r="O56" s="30">
        <f>CountyDetailData!$G56*CountyDetailData!$D56</f>
        <v>89.179999999999993</v>
      </c>
    </row>
    <row r="57" spans="1:15" s="3" customFormat="1" x14ac:dyDescent="0.25">
      <c r="A57" s="40" t="s">
        <v>60</v>
      </c>
      <c r="B57" s="82">
        <v>16389</v>
      </c>
      <c r="C57" s="41">
        <v>0.13200000000000001</v>
      </c>
      <c r="D57" s="83">
        <v>2160</v>
      </c>
      <c r="E57" s="117">
        <v>0.26800000000000002</v>
      </c>
      <c r="F57" s="118">
        <f t="shared" si="0"/>
        <v>0.13800000000000001</v>
      </c>
      <c r="G57" s="119">
        <v>0.59399999999999997</v>
      </c>
      <c r="H57" s="66">
        <v>1.6666666666666667</v>
      </c>
      <c r="I57" s="107">
        <f>H57*Chartsource!$E$6</f>
        <v>23.833333333333336</v>
      </c>
      <c r="J57" s="62">
        <f>ROUND((CountyDetailData!$I57*52*(7/12)*CountyDetailData!$D57),-1)</f>
        <v>1561560</v>
      </c>
      <c r="K57" s="64">
        <f>H57*Chartsource!$E$7</f>
        <v>4.2</v>
      </c>
      <c r="L57" s="80">
        <f t="shared" si="1"/>
        <v>371800</v>
      </c>
      <c r="N57" s="30">
        <f>CountyDetailData!$E57*CountyDetailData!$D57</f>
        <v>578.88</v>
      </c>
      <c r="O57" s="30">
        <f>CountyDetailData!$G57*CountyDetailData!$D57</f>
        <v>1283.04</v>
      </c>
    </row>
    <row r="58" spans="1:15" s="3" customFormat="1" x14ac:dyDescent="0.25">
      <c r="A58" s="42" t="s">
        <v>61</v>
      </c>
      <c r="B58" s="84">
        <v>12734</v>
      </c>
      <c r="C58" s="43">
        <v>0.14599999999999999</v>
      </c>
      <c r="D58" s="85">
        <v>1860</v>
      </c>
      <c r="E58" s="120">
        <v>0.64800000000000002</v>
      </c>
      <c r="F58" s="121">
        <f t="shared" si="0"/>
        <v>0.22599999999999998</v>
      </c>
      <c r="G58" s="122">
        <v>0.126</v>
      </c>
      <c r="H58" s="67">
        <v>0.96031746031746024</v>
      </c>
      <c r="I58" s="108">
        <f>H58*Chartsource!$E$6</f>
        <v>13.732539682539683</v>
      </c>
      <c r="J58" s="63">
        <f>ROUND((CountyDetailData!$I58*52*(7/12)*CountyDetailData!$D58),-1)</f>
        <v>774790</v>
      </c>
      <c r="K58" s="65">
        <f>H58*Chartsource!$E$7</f>
        <v>2.42</v>
      </c>
      <c r="L58" s="81">
        <f t="shared" si="1"/>
        <v>320161.15702479339</v>
      </c>
      <c r="N58" s="30">
        <f>CountyDetailData!$E58*CountyDetailData!$D58</f>
        <v>1205.28</v>
      </c>
      <c r="O58" s="30">
        <f>CountyDetailData!$G58*CountyDetailData!$D58</f>
        <v>234.36</v>
      </c>
    </row>
    <row r="59" spans="1:15" s="3" customFormat="1" x14ac:dyDescent="0.25">
      <c r="A59" s="40" t="s">
        <v>62</v>
      </c>
      <c r="B59" s="82">
        <v>156244</v>
      </c>
      <c r="C59" s="41">
        <v>0.158</v>
      </c>
      <c r="D59" s="83">
        <v>24620</v>
      </c>
      <c r="E59" s="117">
        <v>0.52100000000000002</v>
      </c>
      <c r="F59" s="118">
        <f t="shared" si="0"/>
        <v>0.24999999999999997</v>
      </c>
      <c r="G59" s="119">
        <v>0.22900000000000001</v>
      </c>
      <c r="H59" s="66">
        <v>0.92857142857142849</v>
      </c>
      <c r="I59" s="107">
        <f>H59*Chartsource!$E$6</f>
        <v>13.278571428571428</v>
      </c>
      <c r="J59" s="62">
        <f>ROUND((CountyDetailData!$I59*52*(7/12)*CountyDetailData!$D59),-1)</f>
        <v>9916530</v>
      </c>
      <c r="K59" s="64">
        <f>H59*Chartsource!$E$7</f>
        <v>2.34</v>
      </c>
      <c r="L59" s="80">
        <f t="shared" si="1"/>
        <v>4237833.333333334</v>
      </c>
      <c r="N59" s="30">
        <f>CountyDetailData!$E59*CountyDetailData!$D59</f>
        <v>12827.02</v>
      </c>
      <c r="O59" s="30">
        <f>CountyDetailData!$G59*CountyDetailData!$D59</f>
        <v>5637.9800000000005</v>
      </c>
    </row>
    <row r="60" spans="1:15" s="3" customFormat="1" x14ac:dyDescent="0.25">
      <c r="A60" s="42" t="s">
        <v>63</v>
      </c>
      <c r="B60" s="84">
        <v>6494</v>
      </c>
      <c r="C60" s="43">
        <v>0.115</v>
      </c>
      <c r="D60" s="85">
        <v>750</v>
      </c>
      <c r="E60" s="120">
        <v>0.25900000000000001</v>
      </c>
      <c r="F60" s="121">
        <f t="shared" si="0"/>
        <v>0.32600000000000001</v>
      </c>
      <c r="G60" s="122">
        <v>0.41499999999999998</v>
      </c>
      <c r="H60" s="67">
        <v>1.0198412698412698</v>
      </c>
      <c r="I60" s="108">
        <f>H60*Chartsource!$E$6</f>
        <v>14.583730158730159</v>
      </c>
      <c r="J60" s="63">
        <f>ROUND((CountyDetailData!$I60*52*(7/12)*CountyDetailData!$D60),-1)</f>
        <v>331780</v>
      </c>
      <c r="K60" s="65">
        <f>H60*Chartsource!$E$7</f>
        <v>2.57</v>
      </c>
      <c r="L60" s="81">
        <f t="shared" si="1"/>
        <v>129097.27626459145</v>
      </c>
      <c r="N60" s="30">
        <f>CountyDetailData!$E60*CountyDetailData!$D60</f>
        <v>194.25</v>
      </c>
      <c r="O60" s="30">
        <f>CountyDetailData!$G60*CountyDetailData!$D60</f>
        <v>311.25</v>
      </c>
    </row>
    <row r="61" spans="1:15" s="3" customFormat="1" x14ac:dyDescent="0.25">
      <c r="A61" s="40" t="s">
        <v>64</v>
      </c>
      <c r="B61" s="82">
        <v>11926</v>
      </c>
      <c r="C61" s="41">
        <v>0.13900000000000001</v>
      </c>
      <c r="D61" s="83">
        <v>1660</v>
      </c>
      <c r="E61" s="117">
        <v>0.53900000000000003</v>
      </c>
      <c r="F61" s="118">
        <f t="shared" si="0"/>
        <v>0.33499999999999996</v>
      </c>
      <c r="G61" s="119">
        <v>0.126</v>
      </c>
      <c r="H61" s="66">
        <v>1.1428571428571428</v>
      </c>
      <c r="I61" s="107">
        <f>H61*Chartsource!$E$6</f>
        <v>16.342857142857142</v>
      </c>
      <c r="J61" s="62">
        <f>ROUND((CountyDetailData!$I61*52*(7/12)*CountyDetailData!$D61),-1)</f>
        <v>822920</v>
      </c>
      <c r="K61" s="64">
        <f>H61*Chartsource!$E$7</f>
        <v>2.88</v>
      </c>
      <c r="L61" s="80">
        <f t="shared" si="1"/>
        <v>285736.11111111112</v>
      </c>
      <c r="N61" s="30">
        <f>CountyDetailData!$E61*CountyDetailData!$D61</f>
        <v>894.74</v>
      </c>
      <c r="O61" s="30">
        <f>CountyDetailData!$G61*CountyDetailData!$D61</f>
        <v>209.16</v>
      </c>
    </row>
    <row r="62" spans="1:15" s="3" customFormat="1" x14ac:dyDescent="0.25">
      <c r="A62" s="42" t="s">
        <v>0</v>
      </c>
      <c r="B62" s="84">
        <v>22924</v>
      </c>
      <c r="C62" s="43">
        <v>0.13900000000000001</v>
      </c>
      <c r="D62" s="85">
        <v>3180</v>
      </c>
      <c r="E62" s="120">
        <v>0.27500000000000002</v>
      </c>
      <c r="F62" s="121">
        <f t="shared" si="0"/>
        <v>0.17899999999999994</v>
      </c>
      <c r="G62" s="122">
        <v>0.54600000000000004</v>
      </c>
      <c r="H62" s="67">
        <v>1.2380952380952381</v>
      </c>
      <c r="I62" s="108">
        <f>H62*Chartsource!$E$6</f>
        <v>17.704761904761906</v>
      </c>
      <c r="J62" s="63">
        <f>ROUND((CountyDetailData!$I62*52*(7/12)*CountyDetailData!$D62),-1)</f>
        <v>1707800</v>
      </c>
      <c r="K62" s="65">
        <f>H62*Chartsource!$E$7</f>
        <v>3.12</v>
      </c>
      <c r="L62" s="81">
        <f t="shared" si="1"/>
        <v>547371.79487179487</v>
      </c>
      <c r="N62" s="30">
        <f>CountyDetailData!$E62*CountyDetailData!$D62</f>
        <v>874.50000000000011</v>
      </c>
      <c r="O62" s="30">
        <f>CountyDetailData!$G62*CountyDetailData!$D62</f>
        <v>1736.2800000000002</v>
      </c>
    </row>
    <row r="63" spans="1:15" s="3" customFormat="1" x14ac:dyDescent="0.25">
      <c r="A63" s="40" t="s">
        <v>1</v>
      </c>
      <c r="B63" s="82">
        <v>6161</v>
      </c>
      <c r="C63" s="41">
        <v>0.16900000000000001</v>
      </c>
      <c r="D63" s="83">
        <v>1040</v>
      </c>
      <c r="E63" s="117">
        <v>0.70899999999999996</v>
      </c>
      <c r="F63" s="118">
        <f t="shared" si="0"/>
        <v>0.28000000000000003</v>
      </c>
      <c r="G63" s="119">
        <v>1.0999999999999999E-2</v>
      </c>
      <c r="H63" s="66">
        <v>1.1111111111111109</v>
      </c>
      <c r="I63" s="107">
        <f>H63*Chartsource!$E$6</f>
        <v>15.888888888888888</v>
      </c>
      <c r="J63" s="62">
        <f>ROUND((CountyDetailData!$I63*52*(7/12)*CountyDetailData!$D63),-1)</f>
        <v>501240</v>
      </c>
      <c r="K63" s="64">
        <f>H63*Chartsource!$E$7</f>
        <v>2.7999999999999994</v>
      </c>
      <c r="L63" s="80">
        <f t="shared" si="1"/>
        <v>179014.28571428577</v>
      </c>
      <c r="N63" s="30">
        <f>CountyDetailData!$E63*CountyDetailData!$D63</f>
        <v>737.36</v>
      </c>
      <c r="O63" s="30">
        <f>CountyDetailData!$G63*CountyDetailData!$D63</f>
        <v>11.44</v>
      </c>
    </row>
    <row r="64" spans="1:15" s="3" customFormat="1" x14ac:dyDescent="0.25">
      <c r="A64" s="42" t="s">
        <v>2</v>
      </c>
      <c r="B64" s="84">
        <v>752</v>
      </c>
      <c r="C64" s="43">
        <v>0.158</v>
      </c>
      <c r="D64" s="85">
        <v>120</v>
      </c>
      <c r="E64" s="120">
        <v>0.37</v>
      </c>
      <c r="F64" s="121">
        <f t="shared" si="0"/>
        <v>6.4000000000000057E-2</v>
      </c>
      <c r="G64" s="122">
        <v>0.56599999999999995</v>
      </c>
      <c r="H64" s="67">
        <v>1.0079365079365079</v>
      </c>
      <c r="I64" s="108">
        <f>H64*Chartsource!$E$6</f>
        <v>14.413492063492065</v>
      </c>
      <c r="J64" s="63">
        <f>ROUND((CountyDetailData!$I64*52*(7/12)*CountyDetailData!$D64),-1)</f>
        <v>52470</v>
      </c>
      <c r="K64" s="65">
        <f>H64*Chartsource!$E$7</f>
        <v>2.54</v>
      </c>
      <c r="L64" s="81">
        <f t="shared" si="1"/>
        <v>20657.48031496063</v>
      </c>
      <c r="N64" s="30">
        <f>CountyDetailData!$E64*CountyDetailData!$D64</f>
        <v>44.4</v>
      </c>
      <c r="O64" s="30">
        <f>CountyDetailData!$G64*CountyDetailData!$D64</f>
        <v>67.919999999999987</v>
      </c>
    </row>
    <row r="65" spans="1:18" s="3" customFormat="1" x14ac:dyDescent="0.25">
      <c r="A65" s="40" t="s">
        <v>3</v>
      </c>
      <c r="B65" s="82">
        <v>7299</v>
      </c>
      <c r="C65" s="41">
        <v>0.13200000000000001</v>
      </c>
      <c r="D65" s="83">
        <v>970</v>
      </c>
      <c r="E65" s="117">
        <v>0.36499999999999999</v>
      </c>
      <c r="F65" s="118">
        <f t="shared" si="0"/>
        <v>0.15000000000000002</v>
      </c>
      <c r="G65" s="119">
        <v>0.48499999999999999</v>
      </c>
      <c r="H65" s="66">
        <v>0.97222222222222232</v>
      </c>
      <c r="I65" s="107">
        <f>H65*Chartsource!$E$6</f>
        <v>13.90277777777778</v>
      </c>
      <c r="J65" s="62">
        <f>ROUND((CountyDetailData!$I65*52*(7/12)*CountyDetailData!$D65),-1)</f>
        <v>409070</v>
      </c>
      <c r="K65" s="64">
        <f>H65*Chartsource!$E$7</f>
        <v>2.4500000000000002</v>
      </c>
      <c r="L65" s="80">
        <f t="shared" si="1"/>
        <v>166967.3469387755</v>
      </c>
      <c r="N65" s="30">
        <f>CountyDetailData!$E65*CountyDetailData!$D65</f>
        <v>354.05</v>
      </c>
      <c r="O65" s="30">
        <f>CountyDetailData!$G65*CountyDetailData!$D65</f>
        <v>470.45</v>
      </c>
    </row>
    <row r="66" spans="1:18" s="3" customFormat="1" x14ac:dyDescent="0.25">
      <c r="A66" s="42" t="s">
        <v>4</v>
      </c>
      <c r="B66" s="84">
        <v>2412</v>
      </c>
      <c r="C66" s="43">
        <v>0.129</v>
      </c>
      <c r="D66" s="85">
        <v>310</v>
      </c>
      <c r="E66" s="120">
        <v>0.51800000000000002</v>
      </c>
      <c r="F66" s="121">
        <f t="shared" si="0"/>
        <v>0.184</v>
      </c>
      <c r="G66" s="122">
        <v>0.29799999999999999</v>
      </c>
      <c r="H66" s="67">
        <v>0.96031746031746024</v>
      </c>
      <c r="I66" s="108">
        <f>H66*Chartsource!$E$6</f>
        <v>13.732539682539683</v>
      </c>
      <c r="J66" s="63">
        <f>ROUND((CountyDetailData!$I66*52*(7/12)*CountyDetailData!$D66),-1)</f>
        <v>129130</v>
      </c>
      <c r="K66" s="65">
        <f>H66*Chartsource!$E$7</f>
        <v>2.42</v>
      </c>
      <c r="L66" s="81">
        <f t="shared" si="1"/>
        <v>53359.504132231406</v>
      </c>
      <c r="N66" s="30">
        <f>CountyDetailData!$E66*CountyDetailData!$D66</f>
        <v>160.58000000000001</v>
      </c>
      <c r="O66" s="30">
        <f>CountyDetailData!$G66*CountyDetailData!$D66</f>
        <v>92.38</v>
      </c>
    </row>
    <row r="67" spans="1:18" s="3" customFormat="1" x14ac:dyDescent="0.25">
      <c r="A67" s="40" t="s">
        <v>5</v>
      </c>
      <c r="B67" s="82">
        <v>27105</v>
      </c>
      <c r="C67" s="41">
        <v>0.124</v>
      </c>
      <c r="D67" s="83">
        <v>3370</v>
      </c>
      <c r="E67" s="117">
        <v>0.27800000000000002</v>
      </c>
      <c r="F67" s="118">
        <f t="shared" si="0"/>
        <v>0.17599999999999993</v>
      </c>
      <c r="G67" s="119">
        <v>0.54600000000000004</v>
      </c>
      <c r="H67" s="66">
        <v>1.246031746031746</v>
      </c>
      <c r="I67" s="107">
        <f>H67*Chartsource!$E$6</f>
        <v>17.81825396825397</v>
      </c>
      <c r="J67" s="62">
        <f>ROUND((CountyDetailData!$I67*52*(7/12)*CountyDetailData!$D67),-1)</f>
        <v>1821440</v>
      </c>
      <c r="K67" s="64">
        <f>H67*Chartsource!$E$7</f>
        <v>3.14</v>
      </c>
      <c r="L67" s="80">
        <f t="shared" si="1"/>
        <v>580076.43312101904</v>
      </c>
      <c r="N67" s="30">
        <f>CountyDetailData!$E67*CountyDetailData!$D67</f>
        <v>936.86000000000013</v>
      </c>
      <c r="O67" s="30">
        <f>CountyDetailData!$G67*CountyDetailData!$D67</f>
        <v>1840.0200000000002</v>
      </c>
    </row>
    <row r="68" spans="1:18" s="3" customFormat="1" x14ac:dyDescent="0.25">
      <c r="A68" s="42" t="s">
        <v>6</v>
      </c>
      <c r="B68" s="84">
        <v>22821</v>
      </c>
      <c r="C68" s="43">
        <v>0.14299999999999999</v>
      </c>
      <c r="D68" s="85">
        <v>3270</v>
      </c>
      <c r="E68" s="120">
        <v>0.315</v>
      </c>
      <c r="F68" s="121">
        <f t="shared" si="0"/>
        <v>0.17100000000000004</v>
      </c>
      <c r="G68" s="122">
        <v>0.51400000000000001</v>
      </c>
      <c r="H68" s="67">
        <v>1.0158730158730158</v>
      </c>
      <c r="I68" s="108">
        <f>H68*Chartsource!$E$6</f>
        <v>14.526984126984127</v>
      </c>
      <c r="J68" s="63">
        <f>ROUND((CountyDetailData!$I68*52*(7/12)*CountyDetailData!$D68),-1)</f>
        <v>1440930</v>
      </c>
      <c r="K68" s="65">
        <f>H68*Chartsource!$E$7</f>
        <v>2.56</v>
      </c>
      <c r="L68" s="81">
        <f t="shared" si="1"/>
        <v>562863.28125</v>
      </c>
      <c r="N68" s="30">
        <f>CountyDetailData!$E68*CountyDetailData!$D68</f>
        <v>1030.05</v>
      </c>
      <c r="O68" s="30">
        <f>CountyDetailData!$G68*CountyDetailData!$D68</f>
        <v>1680.78</v>
      </c>
    </row>
    <row r="69" spans="1:18" s="3" customFormat="1" x14ac:dyDescent="0.25">
      <c r="A69" s="40" t="s">
        <v>7</v>
      </c>
      <c r="B69" s="82">
        <v>4773</v>
      </c>
      <c r="C69" s="41">
        <v>0.13100000000000001</v>
      </c>
      <c r="D69" s="83">
        <v>630</v>
      </c>
      <c r="E69" s="117">
        <v>0.55000000000000004</v>
      </c>
      <c r="F69" s="118">
        <f t="shared" si="0"/>
        <v>0.21999999999999995</v>
      </c>
      <c r="G69" s="119">
        <v>0.23</v>
      </c>
      <c r="H69" s="66">
        <v>0.94841269841269848</v>
      </c>
      <c r="I69" s="107">
        <f>H69*Chartsource!$E$6</f>
        <v>13.562301587301588</v>
      </c>
      <c r="J69" s="62">
        <f>ROUND((CountyDetailData!$I69*52*(7/12)*CountyDetailData!$D69),-1)</f>
        <v>259180</v>
      </c>
      <c r="K69" s="64">
        <f>H69*Chartsource!$E$7</f>
        <v>2.39</v>
      </c>
      <c r="L69" s="80">
        <f t="shared" si="1"/>
        <v>108443.51464435145</v>
      </c>
      <c r="N69" s="30">
        <f>CountyDetailData!$E69*CountyDetailData!$D69</f>
        <v>346.5</v>
      </c>
      <c r="O69" s="30">
        <f>CountyDetailData!$G69*CountyDetailData!$D69</f>
        <v>144.9</v>
      </c>
    </row>
    <row r="70" spans="1:18" s="3" customFormat="1" x14ac:dyDescent="0.25">
      <c r="A70" s="42" t="s">
        <v>8</v>
      </c>
      <c r="B70" s="84">
        <v>242860</v>
      </c>
      <c r="C70" s="43">
        <v>0.151</v>
      </c>
      <c r="D70" s="85">
        <v>36700</v>
      </c>
      <c r="E70" s="120">
        <v>0.45</v>
      </c>
      <c r="F70" s="121">
        <f t="shared" si="0"/>
        <v>0.20800000000000002</v>
      </c>
      <c r="G70" s="122">
        <v>0.34200000000000003</v>
      </c>
      <c r="H70" s="67">
        <v>0.98412698412698407</v>
      </c>
      <c r="I70" s="108">
        <f>H70*Chartsource!$E$6</f>
        <v>14.073015873015873</v>
      </c>
      <c r="J70" s="63">
        <f>ROUND((CountyDetailData!$I70*52*(7/12)*CountyDetailData!$D70),-1)</f>
        <v>15666550</v>
      </c>
      <c r="K70" s="65">
        <f>H70*Chartsource!$E$7</f>
        <v>2.48</v>
      </c>
      <c r="L70" s="81">
        <f t="shared" si="1"/>
        <v>6317157.2580645159</v>
      </c>
      <c r="N70" s="30">
        <f>CountyDetailData!$E70*CountyDetailData!$D70</f>
        <v>16515</v>
      </c>
      <c r="O70" s="30">
        <f>CountyDetailData!$G70*CountyDetailData!$D70</f>
        <v>12551.400000000001</v>
      </c>
    </row>
    <row r="71" spans="1:18" s="3" customFormat="1" ht="15.75" thickBot="1" x14ac:dyDescent="0.3">
      <c r="A71" s="40" t="s">
        <v>9</v>
      </c>
      <c r="B71" s="82">
        <v>9896</v>
      </c>
      <c r="C71" s="41">
        <v>0.107</v>
      </c>
      <c r="D71" s="83">
        <v>1060</v>
      </c>
      <c r="E71" s="117">
        <v>0.47899999999999998</v>
      </c>
      <c r="F71" s="118">
        <f t="shared" si="0"/>
        <v>0.41300000000000003</v>
      </c>
      <c r="G71" s="119">
        <v>0.108</v>
      </c>
      <c r="H71" s="66">
        <v>0.98412698412698407</v>
      </c>
      <c r="I71" s="107">
        <f>H71*Chartsource!$E$6</f>
        <v>14.073015873015873</v>
      </c>
      <c r="J71" s="62">
        <f>ROUND((CountyDetailData!$I71*52*(7/12)*CountyDetailData!$D71),-1)</f>
        <v>452490</v>
      </c>
      <c r="K71" s="64">
        <f>H71*Chartsource!$E$7</f>
        <v>2.48</v>
      </c>
      <c r="L71" s="80">
        <f t="shared" ref="L71" si="2">J71/K71</f>
        <v>182455.64516129033</v>
      </c>
      <c r="N71" s="30">
        <f>CountyDetailData!$E71*CountyDetailData!$D71</f>
        <v>507.73999999999995</v>
      </c>
      <c r="O71" s="30">
        <f>CountyDetailData!$G71*CountyDetailData!$D71</f>
        <v>114.48</v>
      </c>
    </row>
    <row r="72" spans="1:18" ht="16.5" thickBot="1" x14ac:dyDescent="0.3">
      <c r="A72" s="79" t="s">
        <v>226</v>
      </c>
      <c r="B72" s="86">
        <v>5049071</v>
      </c>
      <c r="C72" s="129">
        <v>0.15515329453675736</v>
      </c>
      <c r="D72" s="87">
        <v>783380</v>
      </c>
      <c r="E72" s="126">
        <v>0.37391934948556255</v>
      </c>
      <c r="F72" s="127">
        <f>1-E72-G72</f>
        <v>9.2720735785953079E-2</v>
      </c>
      <c r="G72" s="128">
        <v>0.53335991472848432</v>
      </c>
      <c r="H72" s="56">
        <f>VLOOKUP(C3,Chartsource!A8:F59,6,FALSE)</f>
        <v>0.9642857142857143</v>
      </c>
      <c r="I72" s="57">
        <f>H72*Chartsource!$E$6</f>
        <v>13.789285714285715</v>
      </c>
      <c r="J72" s="58">
        <f>ROUND((CountyDetailData!$I72*52*(7/12)*CountyDetailData!$D72),-1)</f>
        <v>327668270</v>
      </c>
      <c r="K72" s="57">
        <f>H72*Chartsource!$E$7</f>
        <v>2.4300000000000002</v>
      </c>
      <c r="L72" s="59">
        <f>J72/K72</f>
        <v>134842909.46502057</v>
      </c>
      <c r="N72" s="7">
        <f>SUM(N8:N71)</f>
        <v>301949.99000000005</v>
      </c>
      <c r="O72" s="7">
        <f>SUM(O8:O71)</f>
        <v>292508.22000000003</v>
      </c>
      <c r="Q72" s="3"/>
      <c r="R72" s="3"/>
    </row>
    <row r="73" spans="1:18" s="6" customFormat="1" ht="9" customHeight="1" x14ac:dyDescent="0.25">
      <c r="A73" s="44"/>
      <c r="D73" s="19"/>
      <c r="E73" s="25"/>
      <c r="F73" s="25"/>
      <c r="G73" s="25"/>
      <c r="H73" s="60"/>
      <c r="I73" s="61"/>
      <c r="J73" s="61"/>
      <c r="K73" s="61"/>
      <c r="L73" s="13"/>
      <c r="Q73" s="3"/>
      <c r="R73" s="3"/>
    </row>
    <row r="74" spans="1:18" ht="16.5" customHeight="1" x14ac:dyDescent="0.25">
      <c r="A74" s="145" t="s">
        <v>207</v>
      </c>
      <c r="B74" s="145"/>
      <c r="C74" s="145"/>
      <c r="D74" s="145"/>
      <c r="E74" s="145"/>
      <c r="F74" s="145"/>
      <c r="G74" s="145"/>
      <c r="N74" s="13"/>
      <c r="O74" s="13"/>
      <c r="Q74" s="3"/>
      <c r="R74" s="3"/>
    </row>
    <row r="75" spans="1:18" s="6" customFormat="1" ht="7.5" customHeight="1" x14ac:dyDescent="0.25">
      <c r="A75" s="2"/>
      <c r="D75" s="19"/>
      <c r="E75" s="25"/>
      <c r="F75" s="25"/>
      <c r="G75" s="25"/>
      <c r="H75" s="60"/>
      <c r="I75" s="61"/>
      <c r="J75" s="61"/>
      <c r="K75" s="61"/>
      <c r="L75" s="13"/>
      <c r="Q75" s="13"/>
      <c r="R75" s="13"/>
    </row>
    <row r="76" spans="1:18" ht="31.5" customHeight="1" x14ac:dyDescent="0.25">
      <c r="A76" s="146" t="s">
        <v>83</v>
      </c>
      <c r="B76" s="146"/>
      <c r="C76" s="146"/>
      <c r="D76" s="146"/>
      <c r="E76" s="146"/>
      <c r="F76" s="146"/>
      <c r="G76" s="146"/>
      <c r="N76" s="13"/>
      <c r="O76" s="13"/>
      <c r="Q76" s="6"/>
      <c r="R76" s="6"/>
    </row>
    <row r="77" spans="1:18" s="6" customFormat="1" ht="5.25" customHeight="1" x14ac:dyDescent="0.25">
      <c r="H77" s="60"/>
      <c r="I77" s="61"/>
      <c r="J77" s="61"/>
      <c r="K77" s="61"/>
      <c r="L77" s="13"/>
      <c r="Q77" s="13"/>
      <c r="R77" s="13"/>
    </row>
    <row r="78" spans="1:18" s="6" customFormat="1" ht="45" customHeight="1" x14ac:dyDescent="0.25">
      <c r="A78" s="143" t="s">
        <v>144</v>
      </c>
      <c r="B78" s="143"/>
      <c r="C78" s="143"/>
      <c r="D78" s="143"/>
      <c r="E78" s="143"/>
      <c r="F78" s="143"/>
      <c r="G78" s="143"/>
      <c r="H78" s="60"/>
      <c r="I78" s="61"/>
      <c r="J78" s="61"/>
      <c r="K78" s="61"/>
      <c r="L78" s="13"/>
    </row>
    <row r="79" spans="1:18" s="6" customFormat="1" ht="5.25" customHeight="1" x14ac:dyDescent="0.25">
      <c r="H79" s="60"/>
      <c r="I79" s="61"/>
      <c r="J79" s="61"/>
      <c r="K79" s="61"/>
      <c r="L79" s="13"/>
      <c r="Q79" s="13"/>
      <c r="R79" s="13"/>
    </row>
    <row r="80" spans="1:18" s="6" customFormat="1" ht="34.5" customHeight="1" x14ac:dyDescent="0.25">
      <c r="A80" s="144" t="s">
        <v>127</v>
      </c>
      <c r="B80" s="144"/>
      <c r="C80" s="144"/>
      <c r="D80" s="144"/>
      <c r="E80" s="144"/>
      <c r="F80" s="144"/>
      <c r="G80" s="144"/>
      <c r="H80" s="60"/>
      <c r="I80" s="61"/>
      <c r="J80" s="61"/>
      <c r="K80" s="61"/>
      <c r="L80" s="13"/>
    </row>
    <row r="81" spans="1:18" ht="5.25" customHeight="1" x14ac:dyDescent="0.25">
      <c r="A81" s="45"/>
      <c r="B81" s="6"/>
      <c r="C81" s="6"/>
      <c r="D81" s="19"/>
      <c r="E81" s="25"/>
      <c r="F81" s="25"/>
      <c r="G81" s="25"/>
      <c r="Q81" s="6"/>
      <c r="R81" s="6"/>
    </row>
    <row r="82" spans="1:18" s="6" customFormat="1" ht="26.25" customHeight="1" x14ac:dyDescent="0.2">
      <c r="A82" s="147" t="s">
        <v>148</v>
      </c>
      <c r="B82" s="147"/>
      <c r="C82" s="147"/>
      <c r="D82" s="147"/>
      <c r="E82" s="147"/>
      <c r="F82" s="147"/>
      <c r="G82" s="147"/>
      <c r="I82" s="92"/>
      <c r="J82" s="61"/>
      <c r="K82" s="61"/>
      <c r="L82" s="61"/>
    </row>
    <row r="83" spans="1:18" s="6" customFormat="1" ht="8.25" customHeight="1" x14ac:dyDescent="0.2">
      <c r="D83" s="91"/>
      <c r="I83" s="92"/>
      <c r="J83" s="61"/>
      <c r="K83" s="61"/>
      <c r="L83" s="61"/>
    </row>
    <row r="84" spans="1:18" s="6" customFormat="1" x14ac:dyDescent="0.2">
      <c r="A84" s="6" t="s">
        <v>74</v>
      </c>
      <c r="D84" s="91"/>
      <c r="I84" s="92"/>
      <c r="J84" s="61"/>
      <c r="K84" s="61"/>
      <c r="L84" s="61"/>
    </row>
    <row r="85" spans="1:18" s="6" customFormat="1" ht="12.75" x14ac:dyDescent="0.2">
      <c r="A85" s="94" t="s">
        <v>147</v>
      </c>
      <c r="B85" s="2"/>
      <c r="D85" s="91"/>
      <c r="I85" s="92"/>
      <c r="J85" s="61"/>
      <c r="K85" s="61"/>
      <c r="L85" s="61"/>
    </row>
    <row r="86" spans="1:18" s="6" customFormat="1" ht="7.5" customHeight="1" x14ac:dyDescent="0.2">
      <c r="A86" s="2"/>
      <c r="B86" s="2"/>
      <c r="D86" s="91"/>
      <c r="I86" s="92"/>
      <c r="J86" s="61"/>
      <c r="K86" s="61"/>
      <c r="L86" s="61"/>
    </row>
    <row r="87" spans="1:18" s="6" customFormat="1" x14ac:dyDescent="0.2">
      <c r="A87" s="93" t="s">
        <v>149</v>
      </c>
      <c r="D87" s="91"/>
      <c r="I87" s="92"/>
      <c r="J87" s="61"/>
      <c r="K87" s="61"/>
      <c r="L87" s="61"/>
    </row>
    <row r="88" spans="1:18" s="6" customFormat="1" ht="5.25" customHeight="1" x14ac:dyDescent="0.25">
      <c r="H88" s="60"/>
      <c r="I88" s="61"/>
      <c r="J88" s="61"/>
      <c r="K88" s="61"/>
      <c r="L88" s="13"/>
      <c r="Q88" s="13"/>
      <c r="R88" s="13"/>
    </row>
    <row r="89" spans="1:18" s="6" customFormat="1" ht="45" customHeight="1" x14ac:dyDescent="0.25">
      <c r="A89" s="143" t="s">
        <v>227</v>
      </c>
      <c r="B89" s="143"/>
      <c r="C89" s="143"/>
      <c r="D89" s="143"/>
      <c r="E89" s="143"/>
      <c r="F89" s="143"/>
      <c r="G89" s="143"/>
      <c r="H89" s="60"/>
      <c r="I89" s="61"/>
      <c r="J89" s="61"/>
      <c r="K89" s="61"/>
      <c r="L89" s="13"/>
    </row>
  </sheetData>
  <mergeCells count="16">
    <mergeCell ref="A89:G89"/>
    <mergeCell ref="A80:G80"/>
    <mergeCell ref="A74:G74"/>
    <mergeCell ref="A76:G76"/>
    <mergeCell ref="A78:G78"/>
    <mergeCell ref="A82:G82"/>
    <mergeCell ref="A6:A7"/>
    <mergeCell ref="B6:B7"/>
    <mergeCell ref="C6:C7"/>
    <mergeCell ref="D6:D7"/>
    <mergeCell ref="H6:H7"/>
    <mergeCell ref="I6:I7"/>
    <mergeCell ref="J6:J7"/>
    <mergeCell ref="K6:K7"/>
    <mergeCell ref="L6:L7"/>
    <mergeCell ref="E6:G6"/>
  </mergeCells>
  <phoneticPr fontId="58" type="noConversion"/>
  <pageMargins left="0.7" right="0.7" top="0.5" bottom="0.45" header="0.3" footer="0.3"/>
  <pageSetup scale="75" orientation="landscape" r:id="rId1"/>
  <drawing r:id="rId2"/>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2:H22"/>
  <sheetViews>
    <sheetView workbookViewId="0">
      <pane ySplit="6" topLeftCell="A7" activePane="bottomLeft" state="frozen"/>
      <selection pane="bottomLeft" activeCell="G11" sqref="G11"/>
    </sheetView>
  </sheetViews>
  <sheetFormatPr defaultColWidth="8.85546875" defaultRowHeight="15" x14ac:dyDescent="0.25"/>
  <cols>
    <col min="1" max="1" width="14.28515625" style="13" customWidth="1"/>
    <col min="2" max="2" width="14.42578125" style="13" customWidth="1"/>
    <col min="3" max="3" width="13.42578125" style="13" customWidth="1"/>
    <col min="4" max="4" width="18.42578125" style="20" customWidth="1"/>
    <col min="5" max="5" width="19.42578125" style="26" customWidth="1"/>
    <col min="6" max="6" width="13.28515625" style="26" customWidth="1"/>
    <col min="7" max="7" width="20.7109375" style="26" customWidth="1"/>
    <col min="8" max="16384" width="8.85546875" style="13"/>
  </cols>
  <sheetData>
    <row r="2" spans="1:7" ht="31.5" x14ac:dyDescent="0.5">
      <c r="A2" s="17"/>
      <c r="C2" s="15"/>
      <c r="D2" s="32" t="s">
        <v>71</v>
      </c>
      <c r="F2" s="24"/>
      <c r="G2" s="24"/>
    </row>
    <row r="3" spans="1:7" ht="21" x14ac:dyDescent="0.35">
      <c r="B3" s="33" t="str">
        <f>CountyDetailData!C3</f>
        <v>Colorado</v>
      </c>
      <c r="C3" s="34" t="s">
        <v>113</v>
      </c>
      <c r="E3" s="46"/>
      <c r="F3" s="47"/>
      <c r="G3" s="24"/>
    </row>
    <row r="4" spans="1:7" ht="19.5" thickBot="1" x14ac:dyDescent="0.35">
      <c r="B4" s="35"/>
      <c r="C4" s="36"/>
      <c r="D4" s="37"/>
      <c r="E4" s="24"/>
      <c r="F4" s="24"/>
      <c r="G4" s="24"/>
    </row>
    <row r="5" spans="1:7" ht="15.75" thickBot="1" x14ac:dyDescent="0.3">
      <c r="A5" s="141" t="s">
        <v>208</v>
      </c>
      <c r="B5" s="130" t="s">
        <v>132</v>
      </c>
      <c r="C5" s="132" t="s">
        <v>133</v>
      </c>
      <c r="D5" s="148" t="s">
        <v>134</v>
      </c>
      <c r="E5" s="138" t="s">
        <v>67</v>
      </c>
      <c r="F5" s="139"/>
      <c r="G5" s="140"/>
    </row>
    <row r="6" spans="1:7" s="1" customFormat="1" ht="44.25" customHeight="1" thickBot="1" x14ac:dyDescent="0.3">
      <c r="A6" s="142"/>
      <c r="B6" s="131"/>
      <c r="C6" s="133"/>
      <c r="D6" s="149"/>
      <c r="E6" s="38" t="str">
        <f>VLOOKUP(B3,Chartsource!A7:E58,3,FALSE)</f>
        <v>% below SNAP threshold of 130% poverty</v>
      </c>
      <c r="F6" s="53" t="str">
        <f>VLOOKUP(B3,Chartsource!A7:E58,4,FALSE)</f>
        <v>% between 130% and 185% poverty</v>
      </c>
      <c r="G6" s="39" t="str">
        <f>VLOOKUP(B3,Chartsource!A7:E58,5,FALSE)</f>
        <v>% above Nutrition Pgm threshold of 185% poverty</v>
      </c>
    </row>
    <row r="7" spans="1:7" x14ac:dyDescent="0.25">
      <c r="A7" s="48">
        <v>1</v>
      </c>
      <c r="B7" s="82">
        <v>666846</v>
      </c>
      <c r="C7" s="123">
        <v>0.189</v>
      </c>
      <c r="D7" s="83">
        <v>126230</v>
      </c>
      <c r="E7" s="117">
        <v>0.442</v>
      </c>
      <c r="F7" s="118">
        <v>7.8E-2</v>
      </c>
      <c r="G7" s="119">
        <v>0.48</v>
      </c>
    </row>
    <row r="8" spans="1:7" x14ac:dyDescent="0.25">
      <c r="A8" s="49">
        <v>2</v>
      </c>
      <c r="B8" s="84">
        <v>733438</v>
      </c>
      <c r="C8" s="124">
        <v>0.14099999999999999</v>
      </c>
      <c r="D8" s="85">
        <v>103470</v>
      </c>
      <c r="E8" s="120">
        <v>0.374</v>
      </c>
      <c r="F8" s="121">
        <v>0.104</v>
      </c>
      <c r="G8" s="122">
        <v>0.52300000000000002</v>
      </c>
    </row>
    <row r="9" spans="1:7" x14ac:dyDescent="0.25">
      <c r="A9" s="48">
        <v>3</v>
      </c>
      <c r="B9" s="82">
        <v>706811</v>
      </c>
      <c r="C9" s="123">
        <v>0.161</v>
      </c>
      <c r="D9" s="83">
        <v>113980</v>
      </c>
      <c r="E9" s="117">
        <v>0.41099999999999998</v>
      </c>
      <c r="F9" s="118">
        <v>9.9000000000000005E-2</v>
      </c>
      <c r="G9" s="119">
        <v>0.48899999999999999</v>
      </c>
    </row>
    <row r="10" spans="1:7" x14ac:dyDescent="0.25">
      <c r="A10" s="49">
        <v>4</v>
      </c>
      <c r="B10" s="84">
        <v>728198</v>
      </c>
      <c r="C10" s="124">
        <v>0.154</v>
      </c>
      <c r="D10" s="85">
        <v>112080</v>
      </c>
      <c r="E10" s="120">
        <v>0.36599999999999999</v>
      </c>
      <c r="F10" s="121">
        <v>0.09</v>
      </c>
      <c r="G10" s="122">
        <v>0.54400000000000004</v>
      </c>
    </row>
    <row r="11" spans="1:7" x14ac:dyDescent="0.25">
      <c r="A11" s="48">
        <v>5</v>
      </c>
      <c r="B11" s="82">
        <v>729036</v>
      </c>
      <c r="C11" s="123">
        <v>0.16400000000000001</v>
      </c>
      <c r="D11" s="83">
        <v>119850</v>
      </c>
      <c r="E11" s="117">
        <v>0.35699999999999998</v>
      </c>
      <c r="F11" s="118">
        <v>9.6000000000000002E-2</v>
      </c>
      <c r="G11" s="119">
        <v>0.54700000000000004</v>
      </c>
    </row>
    <row r="12" spans="1:7" x14ac:dyDescent="0.25">
      <c r="A12" s="49">
        <v>6</v>
      </c>
      <c r="B12" s="84">
        <v>806019</v>
      </c>
      <c r="C12" s="124">
        <v>0.114</v>
      </c>
      <c r="D12" s="85">
        <v>91850</v>
      </c>
      <c r="E12" s="120">
        <v>0.19900000000000001</v>
      </c>
      <c r="F12" s="121">
        <v>6.2E-2</v>
      </c>
      <c r="G12" s="122">
        <v>0.73899999999999999</v>
      </c>
    </row>
    <row r="13" spans="1:7" x14ac:dyDescent="0.25">
      <c r="A13" s="48">
        <v>7</v>
      </c>
      <c r="B13" s="82">
        <v>678723</v>
      </c>
      <c r="C13" s="123">
        <v>0.17100000000000001</v>
      </c>
      <c r="D13" s="83">
        <v>115920</v>
      </c>
      <c r="E13" s="117">
        <v>0.42699999999999999</v>
      </c>
      <c r="F13" s="118">
        <v>0.11600000000000001</v>
      </c>
      <c r="G13" s="119">
        <v>0.45700000000000002</v>
      </c>
    </row>
    <row r="14" spans="1:7" s="6" customFormat="1" ht="9" customHeight="1" x14ac:dyDescent="0.2">
      <c r="D14" s="19"/>
      <c r="E14" s="25"/>
      <c r="F14" s="25"/>
      <c r="G14" s="25"/>
    </row>
    <row r="15" spans="1:7" ht="17.25" customHeight="1" x14ac:dyDescent="0.25">
      <c r="A15" s="145" t="s">
        <v>207</v>
      </c>
      <c r="B15" s="145"/>
      <c r="C15" s="145"/>
      <c r="D15" s="145"/>
      <c r="E15" s="145"/>
      <c r="F15" s="145"/>
      <c r="G15" s="145"/>
    </row>
    <row r="16" spans="1:7" s="6" customFormat="1" ht="7.5" customHeight="1" x14ac:dyDescent="0.2">
      <c r="A16" s="2"/>
      <c r="D16" s="19"/>
      <c r="E16" s="25"/>
      <c r="F16" s="25"/>
      <c r="G16" s="25"/>
    </row>
    <row r="17" spans="1:8" ht="31.5" customHeight="1" x14ac:dyDescent="0.25">
      <c r="A17" s="144" t="str">
        <f>CountyDetailData!A76</f>
        <v>Gundersen, C., Waxman, E., Engelhard, E., &amp; Del Vecchio, T. Map the Meal Gap 2012: Food Insecurity Estimates at the County Level. Feeding America, 2012. This research is generously supported by the Howard G. Buffett Foundation and The Nielsen Company.</v>
      </c>
      <c r="B17" s="144"/>
      <c r="C17" s="144"/>
      <c r="D17" s="144"/>
      <c r="E17" s="144"/>
      <c r="F17" s="144"/>
      <c r="G17" s="144"/>
      <c r="H17" s="52"/>
    </row>
    <row r="18" spans="1:8" s="6" customFormat="1" ht="7.5" customHeight="1" x14ac:dyDescent="0.2">
      <c r="A18" s="2"/>
      <c r="D18" s="19"/>
      <c r="E18" s="25"/>
      <c r="F18" s="25"/>
      <c r="G18" s="25"/>
    </row>
    <row r="19" spans="1:8" s="6" customFormat="1" ht="49.5" customHeight="1" x14ac:dyDescent="0.2">
      <c r="A19" s="150" t="s">
        <v>126</v>
      </c>
      <c r="B19" s="150"/>
      <c r="C19" s="150"/>
      <c r="D19" s="150"/>
      <c r="E19" s="150"/>
      <c r="F19" s="150"/>
      <c r="G19" s="150"/>
      <c r="H19" s="23"/>
    </row>
    <row r="20" spans="1:8" s="6" customFormat="1" ht="5.25" customHeight="1" x14ac:dyDescent="0.2"/>
    <row r="21" spans="1:8" s="6" customFormat="1" ht="34.5" customHeight="1" x14ac:dyDescent="0.2">
      <c r="A21" s="144" t="s">
        <v>127</v>
      </c>
      <c r="B21" s="144"/>
      <c r="C21" s="144"/>
      <c r="D21" s="144"/>
      <c r="E21" s="144"/>
      <c r="F21" s="144"/>
      <c r="G21" s="144"/>
      <c r="H21" s="52"/>
    </row>
    <row r="22" spans="1:8" x14ac:dyDescent="0.25">
      <c r="A22" s="151"/>
      <c r="B22" s="151"/>
      <c r="C22" s="151"/>
      <c r="D22" s="151"/>
      <c r="E22" s="151"/>
      <c r="F22" s="151"/>
      <c r="G22" s="151"/>
    </row>
  </sheetData>
  <mergeCells count="10">
    <mergeCell ref="A19:G19"/>
    <mergeCell ref="A21:G21"/>
    <mergeCell ref="A22:G22"/>
    <mergeCell ref="A15:G15"/>
    <mergeCell ref="A17:G17"/>
    <mergeCell ref="A5:A6"/>
    <mergeCell ref="B5:B6"/>
    <mergeCell ref="C5:C6"/>
    <mergeCell ref="D5:D6"/>
    <mergeCell ref="E5:G5"/>
  </mergeCells>
  <phoneticPr fontId="58" type="noConversion"/>
  <pageMargins left="0.7" right="0.7" top="0.25" bottom="0.25" header="0.3" footer="0.3"/>
  <drawing r:id="rId1"/>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K38"/>
  <sheetViews>
    <sheetView workbookViewId="0">
      <selection activeCell="A4" sqref="A4"/>
    </sheetView>
  </sheetViews>
  <sheetFormatPr defaultColWidth="8.85546875" defaultRowHeight="15" x14ac:dyDescent="0.25"/>
  <cols>
    <col min="1" max="1" width="38.85546875" style="7" customWidth="1"/>
    <col min="2" max="2" width="28.28515625" style="5" customWidth="1"/>
    <col min="3" max="3" width="3.7109375" style="5" customWidth="1"/>
    <col min="4" max="4" width="3" style="5" customWidth="1"/>
    <col min="5" max="5" width="44.7109375" style="5" bestFit="1" customWidth="1"/>
    <col min="6" max="6" width="13.42578125" style="20" bestFit="1" customWidth="1"/>
    <col min="7" max="7" width="27.7109375" style="20" bestFit="1" customWidth="1"/>
    <col min="8" max="8" width="29.28515625" style="31" customWidth="1"/>
    <col min="9" max="9" width="13.42578125" style="5" customWidth="1"/>
    <col min="10" max="10" width="14.140625" style="5" customWidth="1"/>
    <col min="11" max="12" width="9.140625" style="5" customWidth="1"/>
    <col min="13" max="16384" width="8.85546875" style="5"/>
  </cols>
  <sheetData>
    <row r="1" spans="1:10" s="13" customFormat="1" ht="18.75" x14ac:dyDescent="0.3">
      <c r="A1" s="11" t="s">
        <v>72</v>
      </c>
      <c r="F1" s="20"/>
      <c r="G1" s="20"/>
      <c r="H1" s="31"/>
    </row>
    <row r="2" spans="1:10" ht="18.75" x14ac:dyDescent="0.3">
      <c r="A2" s="11" t="s">
        <v>153</v>
      </c>
      <c r="C2" s="3"/>
      <c r="D2" s="4"/>
      <c r="E2" s="3"/>
      <c r="F2" s="101"/>
      <c r="G2" s="101"/>
      <c r="H2" s="103"/>
      <c r="I2" s="3"/>
      <c r="J2" s="3"/>
    </row>
    <row r="3" spans="1:10" x14ac:dyDescent="0.25">
      <c r="A3" s="8"/>
      <c r="B3" s="8"/>
      <c r="E3" s="12"/>
    </row>
    <row r="4" spans="1:10" s="13" customFormat="1" x14ac:dyDescent="0.25">
      <c r="A4" s="4" t="str">
        <f>CountyDetailData!C3</f>
        <v>Colorado</v>
      </c>
      <c r="E4" s="12"/>
      <c r="F4" s="20"/>
      <c r="G4" s="20"/>
      <c r="H4" s="31"/>
    </row>
    <row r="5" spans="1:10" ht="15.75" thickBot="1" x14ac:dyDescent="0.3">
      <c r="A5" s="12" t="s">
        <v>132</v>
      </c>
      <c r="B5" s="16">
        <f>CountyDetailData!B72</f>
        <v>5049071</v>
      </c>
      <c r="C5" s="14"/>
      <c r="E5" s="12"/>
    </row>
    <row r="6" spans="1:10" s="13" customFormat="1" ht="16.5" thickBot="1" x14ac:dyDescent="0.3">
      <c r="A6" s="12"/>
      <c r="B6" s="16"/>
      <c r="C6" s="14"/>
      <c r="E6" s="9" t="s">
        <v>78</v>
      </c>
      <c r="F6" s="116">
        <f>CountyDetailData!H72</f>
        <v>0.9642857142857143</v>
      </c>
      <c r="G6" s="100" t="str">
        <f>IF(F6&gt;1,"higher than the national average","lower than the national average")</f>
        <v>lower than the national average</v>
      </c>
    </row>
    <row r="7" spans="1:10" ht="16.5" customHeight="1" x14ac:dyDescent="0.25">
      <c r="A7" s="9" t="s">
        <v>66</v>
      </c>
      <c r="B7" s="27">
        <f>CountyDetailData!C72</f>
        <v>0.15515329453675736</v>
      </c>
      <c r="D7" s="12"/>
      <c r="E7" s="109" t="s">
        <v>81</v>
      </c>
      <c r="F7" s="112">
        <f>CountyDetailData!K72</f>
        <v>2.4300000000000002</v>
      </c>
      <c r="G7" s="110"/>
      <c r="H7" s="5"/>
    </row>
    <row r="8" spans="1:10" ht="20.25" customHeight="1" thickBot="1" x14ac:dyDescent="0.3">
      <c r="A8" s="10" t="s">
        <v>73</v>
      </c>
      <c r="B8" s="28">
        <f>CountyDetailData!D72</f>
        <v>783380</v>
      </c>
      <c r="D8" s="12"/>
      <c r="E8" s="10" t="s">
        <v>80</v>
      </c>
      <c r="F8" s="111">
        <f>CountyDetailData!L72</f>
        <v>134842909.46502057</v>
      </c>
      <c r="G8" s="28"/>
      <c r="H8" s="5"/>
    </row>
    <row r="9" spans="1:10" x14ac:dyDescent="0.25">
      <c r="C9" s="14"/>
    </row>
    <row r="10" spans="1:10" x14ac:dyDescent="0.25">
      <c r="A10" s="8"/>
      <c r="B10" s="8"/>
    </row>
    <row r="11" spans="1:10" x14ac:dyDescent="0.25">
      <c r="A11" s="8"/>
      <c r="B11" s="8"/>
    </row>
    <row r="12" spans="1:10" x14ac:dyDescent="0.25">
      <c r="A12" s="8"/>
      <c r="B12" s="8"/>
    </row>
    <row r="13" spans="1:10" x14ac:dyDescent="0.25">
      <c r="A13" s="8"/>
      <c r="B13" s="8"/>
    </row>
    <row r="14" spans="1:10" x14ac:dyDescent="0.25">
      <c r="A14" s="8"/>
      <c r="B14" s="8"/>
    </row>
    <row r="15" spans="1:10" x14ac:dyDescent="0.25">
      <c r="A15" s="8"/>
      <c r="B15" s="8"/>
    </row>
    <row r="16" spans="1:10" x14ac:dyDescent="0.25">
      <c r="A16" s="8"/>
      <c r="B16" s="8"/>
    </row>
    <row r="17" spans="1:11" x14ac:dyDescent="0.25">
      <c r="A17" s="8"/>
      <c r="B17" s="8"/>
    </row>
    <row r="18" spans="1:11" x14ac:dyDescent="0.25">
      <c r="A18" s="8"/>
      <c r="B18" s="8"/>
    </row>
    <row r="19" spans="1:11" x14ac:dyDescent="0.25">
      <c r="A19" s="5"/>
    </row>
    <row r="20" spans="1:11" x14ac:dyDescent="0.25">
      <c r="A20" s="5"/>
    </row>
    <row r="21" spans="1:11" x14ac:dyDescent="0.25">
      <c r="A21" s="5"/>
    </row>
    <row r="22" spans="1:11" x14ac:dyDescent="0.25">
      <c r="A22" s="5"/>
    </row>
    <row r="23" spans="1:11" x14ac:dyDescent="0.25">
      <c r="A23" s="5"/>
    </row>
    <row r="24" spans="1:11" s="13" customFormat="1" ht="77.25" customHeight="1" x14ac:dyDescent="0.25">
      <c r="F24" s="20"/>
      <c r="G24" s="20"/>
      <c r="H24" s="31"/>
    </row>
    <row r="25" spans="1:11" s="13" customFormat="1" ht="17.25" customHeight="1" x14ac:dyDescent="0.25">
      <c r="A25" s="145" t="s">
        <v>207</v>
      </c>
      <c r="B25" s="145"/>
      <c r="C25" s="145"/>
      <c r="D25" s="145"/>
      <c r="E25" s="145"/>
      <c r="F25" s="145"/>
      <c r="G25" s="145"/>
      <c r="H25" s="145"/>
      <c r="I25" s="99"/>
    </row>
    <row r="26" spans="1:11" s="6" customFormat="1" ht="11.25" customHeight="1" x14ac:dyDescent="0.2">
      <c r="A26" s="50"/>
      <c r="B26" s="50"/>
      <c r="C26" s="50"/>
      <c r="D26" s="50"/>
      <c r="E26" s="50"/>
      <c r="F26" s="102"/>
      <c r="G26" s="102"/>
      <c r="H26" s="95"/>
      <c r="I26" s="23"/>
      <c r="J26" s="23"/>
      <c r="K26" s="23"/>
    </row>
    <row r="27" spans="1:11" s="6" customFormat="1" ht="30" customHeight="1" x14ac:dyDescent="0.2">
      <c r="A27" s="144" t="str">
        <f>CountyDetailData!A76</f>
        <v>Gundersen, C., Waxman, E., Engelhard, E., &amp; Del Vecchio, T. Map the Meal Gap 2012: Food Insecurity Estimates at the County Level. Feeding America, 2012. This research is generously supported by the Howard G. Buffett Foundation and The Nielsen Company.</v>
      </c>
      <c r="B27" s="144"/>
      <c r="C27" s="144"/>
      <c r="D27" s="144"/>
      <c r="E27" s="144"/>
      <c r="F27" s="144"/>
      <c r="G27" s="144"/>
      <c r="H27" s="144"/>
      <c r="I27" s="52"/>
      <c r="J27" s="23"/>
      <c r="K27" s="23"/>
    </row>
    <row r="28" spans="1:11" x14ac:dyDescent="0.25">
      <c r="A28" s="4"/>
      <c r="B28" s="3"/>
      <c r="C28" s="3"/>
      <c r="D28" s="3"/>
      <c r="E28" s="3"/>
      <c r="F28" s="101"/>
      <c r="G28" s="101"/>
      <c r="H28" s="103"/>
      <c r="I28" s="3"/>
      <c r="J28" s="3"/>
    </row>
    <row r="29" spans="1:11" ht="49.5" customHeight="1" x14ac:dyDescent="0.25">
      <c r="A29" s="152" t="s">
        <v>65</v>
      </c>
      <c r="B29" s="152"/>
      <c r="C29" s="152"/>
      <c r="D29" s="152"/>
      <c r="E29" s="152"/>
      <c r="F29" s="152"/>
      <c r="G29" s="152"/>
      <c r="H29" s="152"/>
      <c r="I29" s="22"/>
      <c r="J29" s="22"/>
    </row>
    <row r="30" spans="1:11" s="6" customFormat="1" ht="9" customHeight="1" x14ac:dyDescent="0.2">
      <c r="F30" s="19"/>
      <c r="G30" s="19"/>
      <c r="H30" s="44"/>
      <c r="I30" s="19"/>
    </row>
    <row r="31" spans="1:11" s="6" customFormat="1" ht="36" customHeight="1" x14ac:dyDescent="0.2">
      <c r="A31" s="143" t="s">
        <v>77</v>
      </c>
      <c r="B31" s="143"/>
      <c r="C31" s="143"/>
      <c r="D31" s="143"/>
      <c r="E31" s="143"/>
      <c r="F31" s="143"/>
      <c r="G31" s="143"/>
      <c r="H31" s="143"/>
      <c r="I31" s="23"/>
      <c r="J31" s="23"/>
      <c r="K31" s="23"/>
    </row>
    <row r="32" spans="1:11" s="6" customFormat="1" ht="11.25" customHeight="1" x14ac:dyDescent="0.2">
      <c r="A32" s="21"/>
      <c r="B32" s="21"/>
      <c r="C32" s="21"/>
      <c r="D32" s="21"/>
      <c r="E32" s="21"/>
      <c r="F32" s="102"/>
      <c r="G32" s="102"/>
      <c r="H32" s="95"/>
      <c r="I32" s="23"/>
      <c r="J32" s="23"/>
      <c r="K32" s="23"/>
    </row>
    <row r="33" spans="1:11" s="6" customFormat="1" ht="12.75" customHeight="1" x14ac:dyDescent="0.2">
      <c r="A33" s="143" t="s">
        <v>69</v>
      </c>
      <c r="B33" s="143"/>
      <c r="C33" s="143"/>
      <c r="D33" s="143"/>
      <c r="E33" s="143"/>
      <c r="F33" s="143"/>
      <c r="G33" s="143"/>
      <c r="H33" s="143"/>
      <c r="I33" s="23"/>
      <c r="J33" s="23"/>
      <c r="K33" s="23"/>
    </row>
    <row r="34" spans="1:11" s="6" customFormat="1" ht="12.75" customHeight="1" x14ac:dyDescent="0.2">
      <c r="A34" s="106"/>
      <c r="B34" s="106"/>
      <c r="C34" s="106"/>
      <c r="D34" s="106"/>
      <c r="E34" s="106"/>
      <c r="F34" s="106"/>
      <c r="G34" s="106"/>
      <c r="H34" s="106"/>
      <c r="I34" s="23"/>
      <c r="J34" s="23"/>
      <c r="K34" s="23"/>
    </row>
    <row r="35" spans="1:11" s="6" customFormat="1" ht="12.75" customHeight="1" x14ac:dyDescent="0.2">
      <c r="A35" s="143" t="s">
        <v>82</v>
      </c>
      <c r="B35" s="143"/>
      <c r="C35" s="143"/>
      <c r="D35" s="143"/>
      <c r="E35" s="143"/>
      <c r="F35" s="143"/>
      <c r="G35" s="143"/>
      <c r="H35" s="143"/>
      <c r="I35" s="23"/>
      <c r="J35" s="23"/>
      <c r="K35" s="23"/>
    </row>
    <row r="37" spans="1:11" s="6" customFormat="1" ht="12.75" customHeight="1" x14ac:dyDescent="0.2">
      <c r="A37" s="143" t="s">
        <v>79</v>
      </c>
      <c r="B37" s="143"/>
      <c r="C37" s="143"/>
      <c r="D37" s="143"/>
      <c r="E37" s="143"/>
      <c r="F37" s="143"/>
      <c r="G37" s="143"/>
      <c r="H37" s="143"/>
      <c r="I37" s="23"/>
      <c r="J37" s="23"/>
      <c r="K37" s="23"/>
    </row>
    <row r="38" spans="1:11" s="13" customFormat="1" ht="13.5" customHeight="1" x14ac:dyDescent="0.25">
      <c r="A38" s="94" t="s">
        <v>112</v>
      </c>
    </row>
  </sheetData>
  <mergeCells count="7">
    <mergeCell ref="A37:H37"/>
    <mergeCell ref="A25:H25"/>
    <mergeCell ref="A27:H27"/>
    <mergeCell ref="A29:H29"/>
    <mergeCell ref="A31:H31"/>
    <mergeCell ref="A33:H33"/>
    <mergeCell ref="A35:H35"/>
  </mergeCells>
  <phoneticPr fontId="58" type="noConversion"/>
  <pageMargins left="0.7" right="0.7" top="0.5" bottom="0.25" header="0.3" footer="0.3"/>
  <drawing r:id="rId1"/>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workbookViewId="0">
      <selection activeCell="E58" sqref="E58"/>
    </sheetView>
  </sheetViews>
  <sheetFormatPr defaultColWidth="8.85546875" defaultRowHeight="15" x14ac:dyDescent="0.25"/>
  <cols>
    <col min="1" max="1" width="45" style="5" customWidth="1"/>
    <col min="2" max="2" width="7.7109375" style="13" bestFit="1" customWidth="1"/>
    <col min="3" max="3" width="33.42578125" style="5" bestFit="1" customWidth="1"/>
    <col min="4" max="4" width="28.85546875" style="5" bestFit="1" customWidth="1"/>
    <col min="5" max="5" width="40.7109375" style="5" bestFit="1" customWidth="1"/>
    <col min="6" max="6" width="7.140625" style="5" bestFit="1" customWidth="1"/>
    <col min="7" max="7" width="12.42578125" style="5" customWidth="1"/>
    <col min="8" max="16384" width="8.85546875" style="5"/>
  </cols>
  <sheetData>
    <row r="1" spans="1:7" ht="15.75" thickBot="1" x14ac:dyDescent="0.3">
      <c r="A1" s="13" t="s">
        <v>151</v>
      </c>
      <c r="C1" s="13"/>
      <c r="D1" s="13"/>
      <c r="E1" s="13"/>
      <c r="F1" s="13"/>
    </row>
    <row r="2" spans="1:7" x14ac:dyDescent="0.25">
      <c r="A2" s="73" t="s">
        <v>152</v>
      </c>
      <c r="B2" s="88">
        <f>1-C2</f>
        <v>0.8448467054632427</v>
      </c>
      <c r="C2" s="113">
        <f>CountyDetailData!C72</f>
        <v>0.15515329453675736</v>
      </c>
      <c r="D2" s="13"/>
      <c r="E2" s="13"/>
    </row>
    <row r="3" spans="1:7" x14ac:dyDescent="0.25">
      <c r="A3" s="76" t="str">
        <f>CountyDetailData!E7</f>
        <v>% below SNAP threshold of 130% poverty</v>
      </c>
      <c r="B3" s="89">
        <f>CountyDetailData!E72*Chartsource!$C$2</f>
        <v>5.8014818963726199E-2</v>
      </c>
      <c r="C3" s="74"/>
      <c r="D3" s="13"/>
      <c r="E3" s="13"/>
    </row>
    <row r="4" spans="1:7" s="13" customFormat="1" x14ac:dyDescent="0.25">
      <c r="A4" s="76" t="str">
        <f>CountyDetailData!F7</f>
        <v>% between 130% and 185% poverty</v>
      </c>
      <c r="B4" s="89">
        <f>+CountyDetailData!F72*Chartsource!$C$2</f>
        <v>1.4385927629062836E-2</v>
      </c>
      <c r="C4" s="74"/>
    </row>
    <row r="5" spans="1:7" ht="15.75" thickBot="1" x14ac:dyDescent="0.3">
      <c r="A5" s="77" t="str">
        <f>CountyDetailData!G7</f>
        <v>% above Nutrition Pgm threshold of 185% poverty</v>
      </c>
      <c r="B5" s="90">
        <f>+CountyDetailData!G72*Chartsource!$C$2</f>
        <v>8.2752547943968316E-2</v>
      </c>
      <c r="C5" s="75"/>
      <c r="D5" s="13"/>
      <c r="E5" s="13"/>
      <c r="F5" s="13"/>
    </row>
    <row r="6" spans="1:7" x14ac:dyDescent="0.25">
      <c r="A6" s="13"/>
      <c r="C6" s="72"/>
      <c r="D6" s="68" t="s">
        <v>135</v>
      </c>
      <c r="E6" s="69">
        <v>14.3</v>
      </c>
    </row>
    <row r="7" spans="1:7" ht="15.75" thickBot="1" x14ac:dyDescent="0.3">
      <c r="A7" s="13"/>
      <c r="C7" s="70"/>
      <c r="D7" s="78" t="s">
        <v>136</v>
      </c>
      <c r="E7" s="71">
        <v>2.52</v>
      </c>
    </row>
    <row r="8" spans="1:7" ht="39" x14ac:dyDescent="0.25">
      <c r="A8" s="114" t="s">
        <v>155</v>
      </c>
      <c r="B8" s="114" t="s">
        <v>143</v>
      </c>
      <c r="C8" s="54" t="s">
        <v>128</v>
      </c>
      <c r="D8" s="54" t="s">
        <v>129</v>
      </c>
      <c r="E8" s="54" t="s">
        <v>130</v>
      </c>
      <c r="F8" s="54" t="s">
        <v>137</v>
      </c>
      <c r="G8" s="13"/>
    </row>
    <row r="9" spans="1:7" x14ac:dyDescent="0.25">
      <c r="A9" s="104" t="s">
        <v>210</v>
      </c>
      <c r="B9" s="104" t="s">
        <v>156</v>
      </c>
      <c r="C9" s="115" t="s">
        <v>114</v>
      </c>
      <c r="D9" s="115" t="s">
        <v>115</v>
      </c>
      <c r="E9" s="115" t="s">
        <v>116</v>
      </c>
      <c r="F9" s="13">
        <v>1.0595238095238095</v>
      </c>
      <c r="G9" s="51"/>
    </row>
    <row r="10" spans="1:7" x14ac:dyDescent="0.25">
      <c r="A10" s="104" t="s">
        <v>209</v>
      </c>
      <c r="B10" s="6" t="s">
        <v>157</v>
      </c>
      <c r="C10" s="115" t="s">
        <v>114</v>
      </c>
      <c r="D10" s="115" t="s">
        <v>115</v>
      </c>
      <c r="E10" s="115" t="s">
        <v>116</v>
      </c>
      <c r="F10" s="13">
        <v>0.98412698412698407</v>
      </c>
      <c r="G10" s="51"/>
    </row>
    <row r="11" spans="1:7" x14ac:dyDescent="0.25">
      <c r="A11" s="104" t="s">
        <v>211</v>
      </c>
      <c r="B11" s="6" t="s">
        <v>158</v>
      </c>
      <c r="C11" s="105" t="s">
        <v>114</v>
      </c>
      <c r="D11" s="105" t="s">
        <v>115</v>
      </c>
      <c r="E11" s="105" t="s">
        <v>116</v>
      </c>
      <c r="F11" s="13">
        <v>0.95238095238095233</v>
      </c>
      <c r="G11" s="51"/>
    </row>
    <row r="12" spans="1:7" x14ac:dyDescent="0.25">
      <c r="A12" s="104" t="s">
        <v>206</v>
      </c>
      <c r="B12" s="104" t="s">
        <v>159</v>
      </c>
      <c r="C12" s="105" t="s">
        <v>117</v>
      </c>
      <c r="D12" s="105" t="s">
        <v>118</v>
      </c>
      <c r="E12" s="105" t="s">
        <v>119</v>
      </c>
      <c r="F12" s="13">
        <v>0.95238095238095233</v>
      </c>
      <c r="G12" s="51"/>
    </row>
    <row r="13" spans="1:7" x14ac:dyDescent="0.25">
      <c r="A13" s="6" t="s">
        <v>212</v>
      </c>
      <c r="B13" s="6" t="s">
        <v>160</v>
      </c>
      <c r="C13" s="105" t="s">
        <v>114</v>
      </c>
      <c r="D13" s="105" t="s">
        <v>115</v>
      </c>
      <c r="E13" s="105" t="s">
        <v>116</v>
      </c>
      <c r="F13" s="13">
        <v>1.0119047619047619</v>
      </c>
      <c r="G13" s="51"/>
    </row>
    <row r="14" spans="1:7" x14ac:dyDescent="0.25">
      <c r="A14" s="6" t="s">
        <v>213</v>
      </c>
      <c r="B14" s="6" t="s">
        <v>161</v>
      </c>
      <c r="C14" s="105" t="s">
        <v>114</v>
      </c>
      <c r="D14" s="105" t="s">
        <v>115</v>
      </c>
      <c r="E14" s="105" t="s">
        <v>116</v>
      </c>
      <c r="F14" s="13">
        <v>0.9642857142857143</v>
      </c>
      <c r="G14" s="51"/>
    </row>
    <row r="15" spans="1:7" x14ac:dyDescent="0.25">
      <c r="A15" s="6" t="s">
        <v>214</v>
      </c>
      <c r="B15" s="6" t="s">
        <v>162</v>
      </c>
      <c r="C15" s="105" t="s">
        <v>117</v>
      </c>
      <c r="D15" s="105" t="s">
        <v>118</v>
      </c>
      <c r="E15" s="105" t="s">
        <v>119</v>
      </c>
      <c r="F15" s="13">
        <v>1.0833333333333333</v>
      </c>
      <c r="G15" s="51"/>
    </row>
    <row r="16" spans="1:7" x14ac:dyDescent="0.25">
      <c r="A16" s="6" t="s">
        <v>216</v>
      </c>
      <c r="B16" s="6" t="s">
        <v>163</v>
      </c>
      <c r="C16" s="105" t="s">
        <v>120</v>
      </c>
      <c r="D16" s="105" t="s">
        <v>118</v>
      </c>
      <c r="E16" s="105" t="s">
        <v>121</v>
      </c>
      <c r="F16" s="13">
        <v>1.3531746031746033</v>
      </c>
      <c r="G16" s="51"/>
    </row>
    <row r="17" spans="1:7" x14ac:dyDescent="0.25">
      <c r="A17" s="6" t="s">
        <v>215</v>
      </c>
      <c r="B17" s="6" t="s">
        <v>154</v>
      </c>
      <c r="C17" s="105" t="s">
        <v>120</v>
      </c>
      <c r="D17" s="105" t="s">
        <v>118</v>
      </c>
      <c r="E17" s="105" t="s">
        <v>121</v>
      </c>
      <c r="F17" s="13">
        <v>1.0436507936507935</v>
      </c>
      <c r="G17" s="51"/>
    </row>
    <row r="18" spans="1:7" x14ac:dyDescent="0.25">
      <c r="A18" s="6" t="s">
        <v>217</v>
      </c>
      <c r="B18" s="6" t="s">
        <v>164</v>
      </c>
      <c r="C18" s="105" t="s">
        <v>120</v>
      </c>
      <c r="D18" s="105" t="s">
        <v>118</v>
      </c>
      <c r="E18" s="105" t="s">
        <v>121</v>
      </c>
      <c r="F18" s="13">
        <v>1.0396825396825398</v>
      </c>
      <c r="G18" s="51"/>
    </row>
    <row r="19" spans="1:7" x14ac:dyDescent="0.25">
      <c r="A19" s="6" t="s">
        <v>218</v>
      </c>
      <c r="B19" s="6" t="s">
        <v>165</v>
      </c>
      <c r="C19" s="105" t="s">
        <v>114</v>
      </c>
      <c r="D19" s="105" t="s">
        <v>115</v>
      </c>
      <c r="E19" s="105" t="s">
        <v>116</v>
      </c>
      <c r="F19" s="13">
        <v>0.98809523809523814</v>
      </c>
      <c r="G19" s="51"/>
    </row>
    <row r="20" spans="1:7" x14ac:dyDescent="0.25">
      <c r="A20" s="6" t="s">
        <v>219</v>
      </c>
      <c r="B20" s="6" t="s">
        <v>166</v>
      </c>
      <c r="C20" s="105" t="s">
        <v>120</v>
      </c>
      <c r="D20" s="105" t="s">
        <v>118</v>
      </c>
      <c r="E20" s="105" t="s">
        <v>121</v>
      </c>
      <c r="F20" s="13">
        <v>1.0317460317460319</v>
      </c>
      <c r="G20" s="51"/>
    </row>
    <row r="21" spans="1:7" x14ac:dyDescent="0.25">
      <c r="A21" s="6" t="s">
        <v>223</v>
      </c>
      <c r="B21" s="6" t="s">
        <v>167</v>
      </c>
      <c r="C21" s="105" t="s">
        <v>122</v>
      </c>
      <c r="D21" s="105" t="s">
        <v>123</v>
      </c>
      <c r="E21" s="105" t="s">
        <v>116</v>
      </c>
      <c r="F21" s="13">
        <v>0.93253968253968256</v>
      </c>
      <c r="G21" s="51"/>
    </row>
    <row r="22" spans="1:7" x14ac:dyDescent="0.25">
      <c r="A22" s="6" t="s">
        <v>220</v>
      </c>
      <c r="B22" s="6" t="s">
        <v>168</v>
      </c>
      <c r="C22" s="105" t="s">
        <v>114</v>
      </c>
      <c r="D22" s="105" t="s">
        <v>115</v>
      </c>
      <c r="E22" s="105" t="s">
        <v>116</v>
      </c>
      <c r="F22" s="13">
        <v>1.0674603174603174</v>
      </c>
      <c r="G22" s="51"/>
    </row>
    <row r="23" spans="1:7" x14ac:dyDescent="0.25">
      <c r="A23" s="6" t="s">
        <v>221</v>
      </c>
      <c r="B23" s="6" t="s">
        <v>169</v>
      </c>
      <c r="C23" s="105" t="s">
        <v>114</v>
      </c>
      <c r="D23" s="105" t="s">
        <v>115</v>
      </c>
      <c r="E23" s="105" t="s">
        <v>116</v>
      </c>
      <c r="F23" s="13">
        <v>0.95238095238095233</v>
      </c>
      <c r="G23" s="51"/>
    </row>
    <row r="24" spans="1:7" x14ac:dyDescent="0.25">
      <c r="A24" s="6" t="s">
        <v>222</v>
      </c>
      <c r="B24" s="6" t="s">
        <v>170</v>
      </c>
      <c r="C24" s="105" t="s">
        <v>114</v>
      </c>
      <c r="D24" s="105" t="s">
        <v>115</v>
      </c>
      <c r="E24" s="105" t="s">
        <v>116</v>
      </c>
      <c r="F24" s="13">
        <v>0.95634920634920639</v>
      </c>
      <c r="G24" s="51"/>
    </row>
    <row r="25" spans="1:7" x14ac:dyDescent="0.25">
      <c r="A25" s="6" t="s">
        <v>224</v>
      </c>
      <c r="B25" s="6" t="s">
        <v>171</v>
      </c>
      <c r="C25" s="105" t="s">
        <v>114</v>
      </c>
      <c r="D25" s="105" t="s">
        <v>115</v>
      </c>
      <c r="E25" s="105" t="s">
        <v>116</v>
      </c>
      <c r="F25" s="13">
        <v>1</v>
      </c>
      <c r="G25" s="51"/>
    </row>
    <row r="26" spans="1:7" x14ac:dyDescent="0.25">
      <c r="A26" s="6" t="s">
        <v>225</v>
      </c>
      <c r="B26" s="6" t="s">
        <v>172</v>
      </c>
      <c r="C26" s="105" t="s">
        <v>114</v>
      </c>
      <c r="D26" s="105" t="s">
        <v>115</v>
      </c>
      <c r="E26" s="105" t="s">
        <v>116</v>
      </c>
      <c r="F26" s="13">
        <v>0.9642857142857143</v>
      </c>
      <c r="G26" s="51"/>
    </row>
    <row r="27" spans="1:7" x14ac:dyDescent="0.25">
      <c r="A27" s="6" t="s">
        <v>84</v>
      </c>
      <c r="B27" s="6" t="s">
        <v>173</v>
      </c>
      <c r="C27" s="105" t="s">
        <v>114</v>
      </c>
      <c r="D27" s="105" t="s">
        <v>115</v>
      </c>
      <c r="E27" s="105" t="s">
        <v>116</v>
      </c>
      <c r="F27" s="13">
        <v>0.94047619047619047</v>
      </c>
      <c r="G27" s="51"/>
    </row>
    <row r="28" spans="1:7" x14ac:dyDescent="0.25">
      <c r="A28" s="6" t="s">
        <v>87</v>
      </c>
      <c r="B28" s="6" t="s">
        <v>174</v>
      </c>
      <c r="C28" s="105" t="s">
        <v>120</v>
      </c>
      <c r="D28" s="105" t="s">
        <v>118</v>
      </c>
      <c r="E28" s="105" t="s">
        <v>121</v>
      </c>
      <c r="F28" s="13">
        <v>1.1150793650793651</v>
      </c>
      <c r="G28" s="51"/>
    </row>
    <row r="29" spans="1:7" x14ac:dyDescent="0.25">
      <c r="A29" s="6" t="s">
        <v>86</v>
      </c>
      <c r="B29" s="6" t="s">
        <v>175</v>
      </c>
      <c r="C29" s="105" t="s">
        <v>120</v>
      </c>
      <c r="D29" s="105" t="s">
        <v>118</v>
      </c>
      <c r="E29" s="105" t="s">
        <v>121</v>
      </c>
      <c r="F29" s="13">
        <v>1.0555555555555556</v>
      </c>
      <c r="G29" s="51"/>
    </row>
    <row r="30" spans="1:7" x14ac:dyDescent="0.25">
      <c r="A30" s="6" t="s">
        <v>85</v>
      </c>
      <c r="B30" s="6" t="s">
        <v>176</v>
      </c>
      <c r="C30" s="105" t="s">
        <v>117</v>
      </c>
      <c r="D30" s="105" t="s">
        <v>118</v>
      </c>
      <c r="E30" s="105" t="s">
        <v>119</v>
      </c>
      <c r="F30" s="13">
        <v>1.0833333333333333</v>
      </c>
      <c r="G30" s="51"/>
    </row>
    <row r="31" spans="1:7" x14ac:dyDescent="0.25">
      <c r="A31" s="6" t="s">
        <v>88</v>
      </c>
      <c r="B31" s="6" t="s">
        <v>177</v>
      </c>
      <c r="C31" s="105" t="s">
        <v>120</v>
      </c>
      <c r="D31" s="105" t="s">
        <v>118</v>
      </c>
      <c r="E31" s="105" t="s">
        <v>121</v>
      </c>
      <c r="F31" s="13">
        <v>0.9642857142857143</v>
      </c>
      <c r="G31" s="51"/>
    </row>
    <row r="32" spans="1:7" x14ac:dyDescent="0.25">
      <c r="A32" s="6" t="s">
        <v>89</v>
      </c>
      <c r="B32" s="6" t="s">
        <v>178</v>
      </c>
      <c r="C32" s="105" t="s">
        <v>124</v>
      </c>
      <c r="D32" s="105" t="s">
        <v>125</v>
      </c>
      <c r="E32" s="105" t="s">
        <v>116</v>
      </c>
      <c r="F32" s="13">
        <v>0.93253968253968256</v>
      </c>
      <c r="G32" s="51"/>
    </row>
    <row r="33" spans="1:7" x14ac:dyDescent="0.25">
      <c r="A33" s="6" t="s">
        <v>91</v>
      </c>
      <c r="B33" s="6" t="s">
        <v>179</v>
      </c>
      <c r="C33" s="105" t="s">
        <v>114</v>
      </c>
      <c r="D33" s="105" t="s">
        <v>115</v>
      </c>
      <c r="E33" s="105" t="s">
        <v>116</v>
      </c>
      <c r="F33" s="13">
        <v>0.96031746031746024</v>
      </c>
      <c r="G33" s="51"/>
    </row>
    <row r="34" spans="1:7" x14ac:dyDescent="0.25">
      <c r="A34" s="6" t="s">
        <v>90</v>
      </c>
      <c r="B34" s="6" t="s">
        <v>180</v>
      </c>
      <c r="C34" s="105" t="s">
        <v>114</v>
      </c>
      <c r="D34" s="105" t="s">
        <v>115</v>
      </c>
      <c r="E34" s="105" t="s">
        <v>116</v>
      </c>
      <c r="F34" s="13">
        <v>1.0079365079365079</v>
      </c>
      <c r="G34" s="51"/>
    </row>
    <row r="35" spans="1:7" x14ac:dyDescent="0.25">
      <c r="A35" s="6" t="s">
        <v>92</v>
      </c>
      <c r="B35" s="6" t="s">
        <v>181</v>
      </c>
      <c r="C35" s="105" t="s">
        <v>120</v>
      </c>
      <c r="D35" s="105" t="s">
        <v>118</v>
      </c>
      <c r="E35" s="105" t="s">
        <v>121</v>
      </c>
      <c r="F35" s="13">
        <v>0.98015873015873023</v>
      </c>
      <c r="G35" s="51"/>
    </row>
    <row r="36" spans="1:7" x14ac:dyDescent="0.25">
      <c r="A36" s="6" t="s">
        <v>99</v>
      </c>
      <c r="B36" s="6" t="s">
        <v>182</v>
      </c>
      <c r="C36" s="105" t="s">
        <v>120</v>
      </c>
      <c r="D36" s="105" t="s">
        <v>118</v>
      </c>
      <c r="E36" s="105" t="s">
        <v>121</v>
      </c>
      <c r="F36" s="13">
        <v>0.99603174603174593</v>
      </c>
      <c r="G36" s="51"/>
    </row>
    <row r="37" spans="1:7" x14ac:dyDescent="0.25">
      <c r="A37" s="6" t="s">
        <v>100</v>
      </c>
      <c r="B37" s="6" t="s">
        <v>183</v>
      </c>
      <c r="C37" s="105" t="s">
        <v>120</v>
      </c>
      <c r="D37" s="105" t="s">
        <v>118</v>
      </c>
      <c r="E37" s="105" t="s">
        <v>121</v>
      </c>
      <c r="F37" s="13">
        <v>0.94047619047619047</v>
      </c>
      <c r="G37" s="51"/>
    </row>
    <row r="38" spans="1:7" x14ac:dyDescent="0.25">
      <c r="A38" s="6" t="s">
        <v>93</v>
      </c>
      <c r="B38" s="6" t="s">
        <v>184</v>
      </c>
      <c r="C38" s="105" t="s">
        <v>114</v>
      </c>
      <c r="D38" s="105" t="s">
        <v>115</v>
      </c>
      <c r="E38" s="105" t="s">
        <v>116</v>
      </c>
      <c r="F38" s="13">
        <v>0.93253968253968256</v>
      </c>
      <c r="G38" s="51"/>
    </row>
    <row r="39" spans="1:7" x14ac:dyDescent="0.25">
      <c r="A39" s="6" t="s">
        <v>95</v>
      </c>
      <c r="B39" s="6" t="s">
        <v>185</v>
      </c>
      <c r="C39" s="105" t="s">
        <v>117</v>
      </c>
      <c r="D39" s="105" t="s">
        <v>118</v>
      </c>
      <c r="E39" s="105" t="s">
        <v>119</v>
      </c>
      <c r="F39" s="13">
        <v>1.0476190476190477</v>
      </c>
      <c r="G39" s="51"/>
    </row>
    <row r="40" spans="1:7" x14ac:dyDescent="0.25">
      <c r="A40" s="6" t="s">
        <v>96</v>
      </c>
      <c r="B40" s="6" t="s">
        <v>186</v>
      </c>
      <c r="C40" s="105" t="s">
        <v>117</v>
      </c>
      <c r="D40" s="105" t="s">
        <v>118</v>
      </c>
      <c r="E40" s="105" t="s">
        <v>119</v>
      </c>
      <c r="F40" s="13">
        <v>1.0595238095238095</v>
      </c>
      <c r="G40" s="51"/>
    </row>
    <row r="41" spans="1:7" x14ac:dyDescent="0.25">
      <c r="A41" s="6" t="s">
        <v>97</v>
      </c>
      <c r="B41" s="6" t="s">
        <v>187</v>
      </c>
      <c r="C41" s="105" t="s">
        <v>124</v>
      </c>
      <c r="D41" s="105" t="s">
        <v>125</v>
      </c>
      <c r="E41" s="105" t="s">
        <v>116</v>
      </c>
      <c r="F41" s="13">
        <v>0.94047619047619047</v>
      </c>
      <c r="G41" s="51"/>
    </row>
    <row r="42" spans="1:7" x14ac:dyDescent="0.25">
      <c r="A42" s="6" t="s">
        <v>94</v>
      </c>
      <c r="B42" s="6" t="s">
        <v>188</v>
      </c>
      <c r="C42" s="105" t="s">
        <v>120</v>
      </c>
      <c r="D42" s="105" t="s">
        <v>118</v>
      </c>
      <c r="E42" s="105" t="s">
        <v>121</v>
      </c>
      <c r="F42" s="13">
        <v>1.003968253968254</v>
      </c>
      <c r="G42" s="51"/>
    </row>
    <row r="43" spans="1:7" x14ac:dyDescent="0.25">
      <c r="A43" s="6" t="s">
        <v>98</v>
      </c>
      <c r="B43" s="6" t="s">
        <v>189</v>
      </c>
      <c r="C43" s="105" t="s">
        <v>114</v>
      </c>
      <c r="D43" s="105" t="s">
        <v>115</v>
      </c>
      <c r="E43" s="105" t="s">
        <v>116</v>
      </c>
      <c r="F43" s="13">
        <v>0.99206349206349209</v>
      </c>
      <c r="G43" s="51"/>
    </row>
    <row r="44" spans="1:7" x14ac:dyDescent="0.25">
      <c r="A44" s="6" t="s">
        <v>101</v>
      </c>
      <c r="B44" s="6" t="s">
        <v>190</v>
      </c>
      <c r="C44" s="105" t="s">
        <v>114</v>
      </c>
      <c r="D44" s="105" t="s">
        <v>115</v>
      </c>
      <c r="E44" s="105" t="s">
        <v>116</v>
      </c>
      <c r="F44" s="13">
        <v>0.92460317460317465</v>
      </c>
      <c r="G44" s="51"/>
    </row>
    <row r="45" spans="1:7" x14ac:dyDescent="0.25">
      <c r="A45" s="6" t="s">
        <v>102</v>
      </c>
      <c r="B45" s="6" t="s">
        <v>191</v>
      </c>
      <c r="C45" s="105" t="s">
        <v>114</v>
      </c>
      <c r="D45" s="105" t="s">
        <v>115</v>
      </c>
      <c r="E45" s="105" t="s">
        <v>116</v>
      </c>
      <c r="F45" s="13">
        <v>0.97619047619047616</v>
      </c>
      <c r="G45" s="51"/>
    </row>
    <row r="46" spans="1:7" x14ac:dyDescent="0.25">
      <c r="A46" s="6" t="s">
        <v>103</v>
      </c>
      <c r="B46" s="6" t="s">
        <v>192</v>
      </c>
      <c r="C46" s="105" t="s">
        <v>117</v>
      </c>
      <c r="D46" s="105" t="s">
        <v>118</v>
      </c>
      <c r="E46" s="105" t="s">
        <v>119</v>
      </c>
      <c r="F46" s="13">
        <v>1.0158730158730158</v>
      </c>
      <c r="G46" s="51"/>
    </row>
    <row r="47" spans="1:7" x14ac:dyDescent="0.25">
      <c r="A47" s="6" t="s">
        <v>104</v>
      </c>
      <c r="B47" s="6" t="s">
        <v>193</v>
      </c>
      <c r="C47" s="105" t="s">
        <v>122</v>
      </c>
      <c r="D47" s="105" t="s">
        <v>123</v>
      </c>
      <c r="E47" s="105" t="s">
        <v>116</v>
      </c>
      <c r="F47" s="13">
        <v>1.003968253968254</v>
      </c>
      <c r="G47" s="51"/>
    </row>
    <row r="48" spans="1:7" x14ac:dyDescent="0.25">
      <c r="A48" s="6" t="s">
        <v>105</v>
      </c>
      <c r="B48" s="6" t="s">
        <v>194</v>
      </c>
      <c r="C48" s="105" t="s">
        <v>117</v>
      </c>
      <c r="D48" s="105" t="s">
        <v>118</v>
      </c>
      <c r="E48" s="105" t="s">
        <v>119</v>
      </c>
      <c r="F48" s="13">
        <v>1.0793650793650795</v>
      </c>
      <c r="G48" s="51"/>
    </row>
    <row r="49" spans="1:7" x14ac:dyDescent="0.25">
      <c r="A49" s="6" t="s">
        <v>106</v>
      </c>
      <c r="B49" s="6" t="s">
        <v>195</v>
      </c>
      <c r="C49" s="105" t="s">
        <v>114</v>
      </c>
      <c r="D49" s="105" t="s">
        <v>115</v>
      </c>
      <c r="E49" s="105" t="s">
        <v>116</v>
      </c>
      <c r="F49" s="13">
        <v>0.9365079365079364</v>
      </c>
      <c r="G49" s="51"/>
    </row>
    <row r="50" spans="1:7" x14ac:dyDescent="0.25">
      <c r="A50" s="6" t="s">
        <v>107</v>
      </c>
      <c r="B50" s="6" t="s">
        <v>196</v>
      </c>
      <c r="C50" s="105" t="s">
        <v>114</v>
      </c>
      <c r="D50" s="105" t="s">
        <v>115</v>
      </c>
      <c r="E50" s="105" t="s">
        <v>116</v>
      </c>
      <c r="F50" s="13">
        <v>0.97222222222222232</v>
      </c>
      <c r="G50" s="51"/>
    </row>
    <row r="51" spans="1:7" x14ac:dyDescent="0.25">
      <c r="A51" s="6" t="s">
        <v>108</v>
      </c>
      <c r="B51" s="6" t="s">
        <v>197</v>
      </c>
      <c r="C51" s="105" t="s">
        <v>114</v>
      </c>
      <c r="D51" s="105" t="s">
        <v>115</v>
      </c>
      <c r="E51" s="105" t="s">
        <v>116</v>
      </c>
      <c r="F51" s="13">
        <v>1.0079365079365079</v>
      </c>
      <c r="G51" s="51"/>
    </row>
    <row r="52" spans="1:7" x14ac:dyDescent="0.25">
      <c r="A52" s="6" t="s">
        <v>109</v>
      </c>
      <c r="B52" s="6" t="s">
        <v>198</v>
      </c>
      <c r="C52" s="105" t="s">
        <v>124</v>
      </c>
      <c r="D52" s="105" t="s">
        <v>125</v>
      </c>
      <c r="E52" s="105" t="s">
        <v>116</v>
      </c>
      <c r="F52" s="13">
        <v>0.91666666666666663</v>
      </c>
      <c r="G52" s="51"/>
    </row>
    <row r="53" spans="1:7" x14ac:dyDescent="0.25">
      <c r="A53" s="6" t="s">
        <v>110</v>
      </c>
      <c r="B53" s="6" t="s">
        <v>199</v>
      </c>
      <c r="C53" s="105" t="s">
        <v>114</v>
      </c>
      <c r="D53" s="105" t="s">
        <v>115</v>
      </c>
      <c r="E53" s="105" t="s">
        <v>116</v>
      </c>
      <c r="F53" s="13">
        <v>1.0277777777777777</v>
      </c>
      <c r="G53" s="51"/>
    </row>
    <row r="54" spans="1:7" x14ac:dyDescent="0.25">
      <c r="A54" s="6" t="s">
        <v>138</v>
      </c>
      <c r="B54" s="6" t="s">
        <v>200</v>
      </c>
      <c r="C54" s="105" t="s">
        <v>114</v>
      </c>
      <c r="D54" s="105" t="s">
        <v>115</v>
      </c>
      <c r="E54" s="105" t="s">
        <v>116</v>
      </c>
      <c r="F54" s="13">
        <v>0.99603174603174593</v>
      </c>
      <c r="G54" s="51"/>
    </row>
    <row r="55" spans="1:7" x14ac:dyDescent="0.25">
      <c r="A55" s="6" t="s">
        <v>111</v>
      </c>
      <c r="B55" s="6" t="s">
        <v>201</v>
      </c>
      <c r="C55" s="105" t="s">
        <v>117</v>
      </c>
      <c r="D55" s="105" t="s">
        <v>118</v>
      </c>
      <c r="E55" s="105" t="s">
        <v>119</v>
      </c>
      <c r="F55" s="13">
        <v>1.003968253968254</v>
      </c>
      <c r="G55" s="51"/>
    </row>
    <row r="56" spans="1:7" x14ac:dyDescent="0.25">
      <c r="A56" s="6" t="s">
        <v>139</v>
      </c>
      <c r="B56" s="6" t="s">
        <v>202</v>
      </c>
      <c r="C56" s="105" t="s">
        <v>120</v>
      </c>
      <c r="D56" s="105" t="s">
        <v>118</v>
      </c>
      <c r="E56" s="105" t="s">
        <v>121</v>
      </c>
      <c r="F56" s="13">
        <v>1.003968253968254</v>
      </c>
      <c r="G56" s="51"/>
    </row>
    <row r="57" spans="1:7" x14ac:dyDescent="0.25">
      <c r="A57" s="6" t="s">
        <v>141</v>
      </c>
      <c r="B57" s="6" t="s">
        <v>203</v>
      </c>
      <c r="C57" s="105" t="s">
        <v>120</v>
      </c>
      <c r="D57" s="105" t="s">
        <v>118</v>
      </c>
      <c r="E57" s="105" t="s">
        <v>121</v>
      </c>
      <c r="F57" s="13">
        <v>0.94841269841269848</v>
      </c>
      <c r="G57" s="51"/>
    </row>
    <row r="58" spans="1:7" x14ac:dyDescent="0.25">
      <c r="A58" s="6" t="s">
        <v>140</v>
      </c>
      <c r="B58" s="6" t="s">
        <v>204</v>
      </c>
      <c r="C58" s="105" t="s">
        <v>114</v>
      </c>
      <c r="D58" s="105" t="s">
        <v>115</v>
      </c>
      <c r="E58" s="105" t="s">
        <v>116</v>
      </c>
      <c r="F58" s="13">
        <v>0.95238095238095233</v>
      </c>
      <c r="G58" s="51"/>
    </row>
    <row r="59" spans="1:7" x14ac:dyDescent="0.25">
      <c r="A59" s="6" t="s">
        <v>142</v>
      </c>
      <c r="B59" s="6" t="s">
        <v>205</v>
      </c>
      <c r="C59" s="105" t="s">
        <v>114</v>
      </c>
      <c r="D59" s="105" t="s">
        <v>115</v>
      </c>
      <c r="E59" s="105" t="s">
        <v>116</v>
      </c>
      <c r="F59" s="13">
        <v>0.9642857142857143</v>
      </c>
      <c r="G59" s="51"/>
    </row>
  </sheetData>
  <sheetProtection password="CC1E" sheet="1" objects="1" scenarios="1"/>
  <phoneticPr fontId="58" type="noConversion"/>
  <pageMargins left="0.7" right="0.7" top="0.75" bottom="0.75" header="0.3" footer="0.3"/>
  <extLst>
    <ext xmlns:mx="http://schemas.microsoft.com/office/mac/excel/2008/main" uri="http://schemas.microsoft.com/office/mac/excel/2008/main">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State xmlns="1536245a-8621-4fb2-aef2-ce3f72f85277">Colorado</State>
    <Data xmlns="1536245a-8621-4fb2-aef2-ce3f72f85277">Statewide Data</Data>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EB106B2419E584884FE15BE3561D89A" ma:contentTypeVersion="2" ma:contentTypeDescription="Create a new document." ma:contentTypeScope="" ma:versionID="20283e6c0e94aadb853d154eaac59468">
  <xsd:schema xmlns:xsd="http://www.w3.org/2001/XMLSchema" xmlns:p="http://schemas.microsoft.com/office/2006/metadata/properties" xmlns:ns3="1536245a-8621-4fb2-aef2-ce3f72f85277" targetNamespace="http://schemas.microsoft.com/office/2006/metadata/properties" ma:root="true" ma:fieldsID="ea4e2012cb789375d016f1604e6d89eb" ns3:_="">
    <xsd:import namespace="1536245a-8621-4fb2-aef2-ce3f72f85277"/>
    <xsd:element name="properties">
      <xsd:complexType>
        <xsd:sequence>
          <xsd:element name="documentManagement">
            <xsd:complexType>
              <xsd:all>
                <xsd:element ref="ns3:State" minOccurs="0"/>
                <xsd:element ref="ns3:Data" minOccurs="0"/>
              </xsd:all>
            </xsd:complexType>
          </xsd:element>
        </xsd:sequence>
      </xsd:complexType>
    </xsd:element>
  </xsd:schema>
  <xsd:schema xmlns:xsd="http://www.w3.org/2001/XMLSchema" xmlns:dms="http://schemas.microsoft.com/office/2006/documentManagement/types" targetNamespace="1536245a-8621-4fb2-aef2-ce3f72f85277" elementFormDefault="qualified">
    <xsd:import namespace="http://schemas.microsoft.com/office/2006/documentManagement/types"/>
    <xsd:element name="State" ma:index="10" nillable="true" ma:displayName="State" ma:internalName="State">
      <xsd:simpleType>
        <xsd:restriction base="dms:Text">
          <xsd:maxLength value="255"/>
        </xsd:restriction>
      </xsd:simpleType>
    </xsd:element>
    <xsd:element name="Data" ma:index="11" nillable="true" ma:displayName="Data" ma:internalName="Data">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9" ma:displayName="Author"/>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ma:index="8"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F4A819B2-AFF6-4C08-9A64-6ADD1247568B}">
  <ds:schemaRefs>
    <ds:schemaRef ds:uri="http://www.w3.org/XML/1998/namespace"/>
    <ds:schemaRef ds:uri="1536245a-8621-4fb2-aef2-ce3f72f85277"/>
    <ds:schemaRef ds:uri="http://schemas.microsoft.com/office/2006/documentManagement/types"/>
    <ds:schemaRef ds:uri="http://purl.org/dc/elements/1.1/"/>
    <ds:schemaRef ds:uri="http://purl.org/dc/dcmitype/"/>
    <ds:schemaRef ds:uri="http://schemas.openxmlformats.org/package/2006/metadata/core-propertie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AC4973D0-DFF0-406E-B295-9430D49FEAA0}">
  <ds:schemaRefs>
    <ds:schemaRef ds:uri="http://schemas.microsoft.com/sharepoint/v3/contenttype/forms"/>
  </ds:schemaRefs>
</ds:datastoreItem>
</file>

<file path=customXml/itemProps3.xml><?xml version="1.0" encoding="utf-8"?>
<ds:datastoreItem xmlns:ds="http://schemas.openxmlformats.org/officeDocument/2006/customXml" ds:itemID="{7C2EEEFA-98FB-42E3-82DE-00E9F93D81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36245a-8621-4fb2-aef2-ce3f72f85277"/>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CountyDetailData</vt:lpstr>
      <vt:lpstr>CongressionalDistrictDetail</vt:lpstr>
      <vt:lpstr>State Overview</vt:lpstr>
      <vt:lpstr>Chartsource</vt:lpstr>
      <vt:lpstr>CongressionalDistrictDetail!Print_Area</vt:lpstr>
      <vt:lpstr>CountyDetailData!Print_Area</vt:lpstr>
      <vt:lpstr>'State Overview'!Print_Area</vt:lpstr>
      <vt:lpstr>CongressionalDistrictDetail!Print_Titles</vt:lpstr>
      <vt:lpstr>CountyDetailData!Print_Titles</vt:lpstr>
    </vt:vector>
  </TitlesOfParts>
  <Company>Feeding America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asatoh</dc:creator>
  <cp:lastModifiedBy>Tom Ramirez</cp:lastModifiedBy>
  <cp:lastPrinted>2012-04-12T15:38:14Z</cp:lastPrinted>
  <dcterms:created xsi:type="dcterms:W3CDTF">2011-02-03T22:18:49Z</dcterms:created>
  <dcterms:modified xsi:type="dcterms:W3CDTF">2012-04-12T17:11:58Z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0x010100FEB106B2419E584884FE15BE3561D89A</vt:lpwstr>
  </property>
  <property fmtid="{D5CDD505-2E9C-101B-9397-08002B2CF9AE}" pid="3" name="Order">
    <vt:r8>22600</vt:r8>
  </property>
</Properties>
</file>