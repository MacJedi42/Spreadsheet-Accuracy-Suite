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Debt Calculation" state="visible" r:id="rId3"/>
    <sheet sheetId="2" name="Interest Calculation" state="visible" r:id="rId4"/>
  </sheets>
  <definedNames/>
  <calcPr/>
</workbook>
</file>

<file path=xl/sharedStrings.xml><?xml version="1.0" encoding="utf-8"?>
<sst xmlns="http://schemas.openxmlformats.org/spreadsheetml/2006/main" count="78" uniqueCount="63">
  <si>
    <t>Calculation of the Reagan-Bushes Debt</t>
  </si>
  <si>
    <t> </t>
  </si>
  <si>
    <t>Initial Run-Up of Debt</t>
  </si>
  <si>
    <t>Budget</t>
  </si>
  <si>
    <t>End</t>
  </si>
  <si>
    <t>Debt</t>
  </si>
  <si>
    <t>Increase</t>
  </si>
  <si>
    <t>Year</t>
  </si>
  <si>
    <t>Date</t>
  </si>
  <si>
    <t>$ Billions</t>
  </si>
  <si>
    <t>Whose Debt?</t>
  </si>
  <si>
    <t>Reagan-Bush 1993</t>
  </si>
  <si>
    <t>Reagan-Bush</t>
  </si>
  <si>
    <t>Oct.1 1993 -- Sept. 30, 2001</t>
  </si>
  <si>
    <t>Interest on their</t>
  </si>
  <si>
    <t>debt during the</t>
  </si>
  <si>
    <t>Clinton years.</t>
  </si>
  <si>
    <t>G. W. Bush 1993</t>
  </si>
  <si>
    <t>Subtract:</t>
  </si>
  <si>
    <t>Obama stimulus</t>
  </si>
  <si>
    <t>As of:</t>
  </si>
  <si>
    <t>Sub-total</t>
  </si>
  <si>
    <t>Reagan-Bushes</t>
  </si>
  <si>
    <t>Oct.1 2009 -- Sept. 30, 2010</t>
  </si>
  <si>
    <t>Interest on Total</t>
  </si>
  <si>
    <t>$12 Trillion =</t>
  </si>
  <si>
    <t>Total Reagan-Bush Debt on 9/30/2010</t>
  </si>
  <si>
    <t>Inputs are color coded. Click the links to check them.</t>
  </si>
  <si>
    <t>Interest is calculated on the next page, click the "Interest</t>
  </si>
  <si>
    <t>Calculation" tabe at the bottom</t>
  </si>
  <si>
    <t>Gross national debts before 2000 on are found here:</t>
  </si>
  <si>
    <t>www.treasurydirect.gov/govt/reports/pd/histdebt/histdebt_histo4.htm</t>
  </si>
  <si>
    <t>Gross national debts from 2000 on are found here:</t>
  </si>
  <si>
    <t>www.treasurydirect.gov/govt/reports/pd/histdebt/histdebt_histo5.htm</t>
  </si>
  <si>
    <t>Obama stimulus disbursed before 9/30/2009</t>
  </si>
  <si>
    <t>http://www.recovery.gov/Transparency/RecipientReportedData/Pages/QuarterlySum.aspx?qtr=2009Q3</t>
  </si>
  <si>
    <t>Click Tab Below for Interest Calculation</t>
  </si>
  <si>
    <t>...</t>
  </si>
  <si>
    <t>Calculating the Interest Rates</t>
  </si>
  <si>
    <t>Nat. Debt</t>
  </si>
  <si>
    <t>National</t>
  </si>
  <si>
    <t>Interest</t>
  </si>
  <si>
    <t>Rate</t>
  </si>
  <si>
    <t>Calculating Interest on Reagan-Bush Debt</t>
  </si>
  <si>
    <t>Budget Year End</t>
  </si>
  <si>
    <t>Interst</t>
  </si>
  <si>
    <t>Debt $Billions</t>
  </si>
  <si>
    <t>Sept. 30 1993</t>
  </si>
  <si>
    <t>Sept. 30 1994</t>
  </si>
  <si>
    <t>Sept. 30 1995</t>
  </si>
  <si>
    <t>Sept. 30 1996</t>
  </si>
  <si>
    <t>Sept. 30 1997</t>
  </si>
  <si>
    <t>Sept. 30 1998</t>
  </si>
  <si>
    <t>Sept. 30 1999</t>
  </si>
  <si>
    <t>Sept. 30 2000</t>
  </si>
  <si>
    <t>Sept. 30 2001</t>
  </si>
  <si>
    <t>Total Interest Owed</t>
  </si>
  <si>
    <t>During Clinton years</t>
  </si>
  <si>
    <t>Reagan-Bushes Debt, 9/30/2009:</t>
  </si>
  <si>
    <t>Interest since 9/2009:</t>
  </si>
  <si>
    <t>Inputs are color coded and found at the Treasury</t>
  </si>
  <si>
    <t>Annual Interest expenses are found here:</t>
  </si>
  <si>
    <t>www.treasurydirect.gov/govt/reports/ir/ir_expense.htm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</si>
</sst>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5">
    <numFmt numFmtId="164" formatCode="&quot;$&quot;#,##0"/>
    <numFmt numFmtId="165" formatCode="&quot;$&quot;#,##0"/>
    <numFmt numFmtId="166" formatCode="&quot;$&quot;#,##0"/>
    <numFmt numFmtId="167" formatCode="&quot;$&quot;#,##0"/>
    <numFmt numFmtId="168" formatCode="&quot;$&quot;#,##0"/>
    <numFmt numFmtId="169" formatCode="&quot;$&quot;#,##0"/>
    <numFmt numFmtId="170" formatCode="&quot;$&quot;#,##0"/>
    <numFmt numFmtId="171" formatCode="&quot;$&quot;#,##0"/>
    <numFmt numFmtId="172" formatCode="&quot;$&quot;#,##0"/>
    <numFmt numFmtId="173" formatCode="&quot;$&quot;#,##0"/>
    <numFmt numFmtId="174" formatCode="&quot;$&quot;#,##0"/>
    <numFmt numFmtId="175" formatCode="&quot;$&quot;#,##0"/>
    <numFmt numFmtId="176" formatCode="m/d/yyyy;@"/>
    <numFmt numFmtId="177" formatCode="&quot;$&quot;#,##0"/>
    <numFmt numFmtId="178" formatCode="&quot;$&quot;#,##0"/>
    <numFmt numFmtId="179" formatCode="&quot;$&quot;#,##0"/>
    <numFmt numFmtId="180" formatCode="&quot;$&quot;#,##0"/>
    <numFmt numFmtId="181" formatCode="&quot;$&quot;#,##0"/>
    <numFmt numFmtId="182" formatCode="&quot;$&quot;#,##0"/>
    <numFmt numFmtId="183" formatCode="&quot;$&quot;#,##0"/>
    <numFmt numFmtId="184" formatCode="&quot;$&quot;#,##0"/>
    <numFmt numFmtId="185" formatCode="&quot;$&quot;#,##0"/>
    <numFmt numFmtId="186" formatCode="&quot;$&quot;#,##0"/>
    <numFmt numFmtId="187" formatCode="&quot;$&quot;#,##0"/>
    <numFmt numFmtId="188" formatCode="&quot;$&quot;#,##0"/>
    <numFmt numFmtId="189" formatCode="&quot;$&quot;#,##0"/>
    <numFmt numFmtId="190" formatCode="&quot;$&quot;#,##0"/>
    <numFmt numFmtId="191" formatCode="m/d/yyyy;@"/>
    <numFmt numFmtId="192" formatCode="&quot;$&quot;#,##0"/>
    <numFmt numFmtId="193" formatCode="&quot;$&quot;#,##0"/>
    <numFmt numFmtId="194" formatCode="&quot;$&quot;#,##0"/>
    <numFmt numFmtId="195" formatCode="&quot;$&quot;#,##0"/>
    <numFmt numFmtId="196" formatCode="&quot;$&quot;#,##0"/>
    <numFmt numFmtId="197" formatCode="&quot;$&quot;#,##0"/>
    <numFmt numFmtId="198" formatCode="&quot;$&quot;#,##0"/>
  </numFmts>
  <fonts count="103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1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9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1.0"/>
      <color rgb="FF000000"/>
      <name val="Arial"/>
    </font>
  </fonts>
  <fills count="124">
    <fill>
      <patternFill patternType="none"/>
    </fill>
    <fill>
      <patternFill patternType="gray125">
        <bgColor rgb="FFFFFFFF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ADCB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2D1F0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1C7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C2D1F0"/>
        <bgColor indexed="64"/>
      </patternFill>
    </fill>
  </fills>
  <borders count="12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1">
    <xf fillId="0" numFmtId="0" borderId="0" fontId="0"/>
  </cellStyleXfs>
  <cellXfs count="166">
    <xf applyAlignment="1" fillId="0" xfId="0" numFmtId="0" borderId="0" fontId="0">
      <alignment vertical="bottom" horizontal="general" wrapText="1"/>
    </xf>
    <xf applyBorder="1" applyAlignment="1" fillId="2" xfId="0" numFmtId="0" borderId="1" fontId="0" applyFill="1">
      <alignment vertical="bottom" horizontal="general" wrapText="1"/>
    </xf>
    <xf applyBorder="1" applyAlignment="1" fillId="0" xfId="0" numFmtId="164" borderId="2" fontId="0" applyNumberFormat="1">
      <alignment vertical="bottom" horizontal="general" wrapText="1"/>
    </xf>
    <xf applyBorder="1" applyAlignment="1" fillId="0" xfId="0" numFmtId="0" borderId="3" fontId="0">
      <alignment vertical="bottom" horizontal="general" wrapText="1"/>
    </xf>
    <xf applyAlignment="1" fillId="0" xfId="0" numFmtId="165" borderId="0" fontId="0" applyNumberFormat="1">
      <alignment vertical="bottom" horizontal="general" wrapText="1"/>
    </xf>
    <xf applyBorder="1" applyAlignment="1" fillId="3" xfId="0" numFmtId="0" borderId="4" applyFont="1" fontId="1" applyFill="1">
      <alignment vertical="bottom" horizontal="general" wrapText="1"/>
    </xf>
    <xf applyAlignment="1" fillId="4" xfId="0" numFmtId="166" borderId="0" applyFont="1" fontId="2" applyNumberFormat="1" applyFill="1">
      <alignment vertical="bottom" horizontal="general" wrapText="1"/>
    </xf>
    <xf applyBorder="1" applyAlignment="1" fillId="0" xfId="0" numFmtId="0" borderId="5" applyFont="1" fontId="3">
      <alignment vertical="bottom" horizontal="general" wrapText="1"/>
    </xf>
    <xf applyAlignment="1" fillId="5" xfId="0" numFmtId="167" borderId="0" fontId="0" applyNumberFormat="1" applyFill="1">
      <alignment vertical="bottom" horizontal="general" wrapText="1"/>
    </xf>
    <xf applyBorder="1" applyAlignment="1" fillId="6" xfId="0" numFmtId="0" borderId="6" applyFont="1" fontId="4" applyFill="1">
      <alignment vertical="bottom" horizontal="general" wrapText="1"/>
    </xf>
    <xf applyBorder="1" applyAlignment="1" fillId="7" xfId="0" numFmtId="0" borderId="7" applyFont="1" fontId="5" applyFill="1">
      <alignment vertical="bottom" horizontal="general" wrapText="1"/>
    </xf>
    <xf applyBorder="1" applyAlignment="1" fillId="0" xfId="0" numFmtId="0" borderId="8" fontId="0">
      <alignment vertical="bottom" horizontal="general" wrapText="1"/>
    </xf>
    <xf applyBorder="1" applyAlignment="1" fillId="8" xfId="0" numFmtId="0" borderId="9" applyFont="1" fontId="6" applyFill="1">
      <alignment vertical="center" horizontal="center" wrapText="1"/>
    </xf>
    <xf applyBorder="1" applyAlignment="1" fillId="0" xfId="0" numFmtId="10" borderId="10" fontId="0" applyNumberFormat="1">
      <alignment vertical="bottom" horizontal="center" wrapText="1"/>
    </xf>
    <xf applyBorder="1" applyAlignment="1" fillId="9" xfId="0" numFmtId="0" borderId="11" applyFont="1" fontId="7" applyFill="1">
      <alignment vertical="center" horizontal="center" wrapText="1"/>
    </xf>
    <xf applyBorder="1" applyAlignment="1" fillId="10" xfId="0" numFmtId="168" borderId="12" fontId="0" applyNumberFormat="1" applyFill="1">
      <alignment vertical="bottom" horizontal="general" wrapText="1"/>
    </xf>
    <xf applyBorder="1" applyAlignment="1" fillId="0" xfId="0" numFmtId="0" borderId="13" applyFont="1" fontId="8">
      <alignment vertical="bottom" horizontal="general" wrapText="1"/>
    </xf>
    <xf applyBorder="1" applyAlignment="1" fillId="0" xfId="0" numFmtId="10" borderId="14" fontId="0" applyNumberFormat="1">
      <alignment vertical="bottom" horizontal="general" wrapText="1"/>
    </xf>
    <xf applyAlignment="1" fillId="11" xfId="0" numFmtId="0" borderId="0" fontId="0" applyFill="1">
      <alignment vertical="bottom" horizontal="general" wrapText="1"/>
    </xf>
    <xf applyBorder="1" applyAlignment="1" fillId="12" xfId="0" numFmtId="0" borderId="15" applyFont="1" fontId="9" applyFill="1">
      <alignment vertical="bottom" horizontal="general" wrapText="1"/>
    </xf>
    <xf applyBorder="1" applyAlignment="1" fillId="13" xfId="0" numFmtId="0" borderId="16" applyFont="1" fontId="10" applyFill="1">
      <alignment vertical="bottom" horizontal="center" wrapText="1"/>
    </xf>
    <xf applyBorder="1" applyAlignment="1" fillId="14" xfId="0" numFmtId="0" borderId="17" fontId="0" applyFill="1">
      <alignment vertical="bottom" horizontal="general" wrapText="1"/>
    </xf>
    <xf applyAlignment="1" fillId="15" xfId="0" numFmtId="0" borderId="0" applyFont="1" fontId="11" applyFill="1">
      <alignment vertical="bottom" horizontal="general" wrapText="1"/>
    </xf>
    <xf applyBorder="1" applyAlignment="1" fillId="0" xfId="0" numFmtId="0" borderId="18" fontId="0">
      <alignment vertical="bottom" horizontal="center" wrapText="1"/>
    </xf>
    <xf applyBorder="1" applyAlignment="1" fillId="16" xfId="0" numFmtId="0" borderId="19" fontId="0" applyFill="1">
      <alignment vertical="bottom" horizontal="general" wrapText="1"/>
    </xf>
    <xf applyBorder="1" applyAlignment="1" fillId="0" xfId="0" numFmtId="0" borderId="20" fontId="0">
      <alignment vertical="bottom" horizontal="general" wrapText="1"/>
    </xf>
    <xf applyBorder="1" applyAlignment="1" fillId="17" xfId="0" numFmtId="0" borderId="21" fontId="0" applyFill="1">
      <alignment vertical="bottom" horizontal="general" wrapText="1"/>
    </xf>
    <xf applyBorder="1" applyAlignment="1" fillId="18" xfId="0" numFmtId="0" borderId="22" applyFont="1" fontId="12" applyFill="1">
      <alignment vertical="bottom" horizontal="general" wrapText="1"/>
    </xf>
    <xf applyBorder="1" applyAlignment="1" fillId="0" xfId="0" numFmtId="0" borderId="23" fontId="0">
      <alignment vertical="bottom" horizontal="center" wrapText="1"/>
    </xf>
    <xf applyBorder="1" applyAlignment="1" fillId="19" xfId="0" numFmtId="0" borderId="24" fontId="0" applyFill="1">
      <alignment vertical="bottom" horizontal="right" wrapText="1"/>
    </xf>
    <xf applyBorder="1" applyAlignment="1" fillId="20" xfId="0" numFmtId="0" borderId="25" applyFont="1" fontId="13" applyFill="1">
      <alignment vertical="bottom" horizontal="general" wrapText="1"/>
    </xf>
    <xf applyBorder="1" applyAlignment="1" fillId="0" xfId="0" numFmtId="169" borderId="26" applyFont="1" fontId="14" applyNumberFormat="1">
      <alignment vertical="bottom" horizontal="general" wrapText="1"/>
    </xf>
    <xf applyBorder="1" applyAlignment="1" fillId="21" xfId="0" numFmtId="0" borderId="27" applyFont="1" fontId="15" applyFill="1">
      <alignment vertical="bottom" horizontal="right" wrapText="1"/>
    </xf>
    <xf applyBorder="1" applyAlignment="1" fillId="0" xfId="0" numFmtId="0" borderId="28" applyFont="1" fontId="16">
      <alignment vertical="bottom" horizontal="left" wrapText="1"/>
    </xf>
    <xf applyBorder="1" applyAlignment="1" fillId="22" xfId="0" numFmtId="170" borderId="29" applyFont="1" fontId="17" applyNumberFormat="1" applyFill="1">
      <alignment vertical="bottom" horizontal="general" wrapText="1"/>
    </xf>
    <xf applyAlignment="1" fillId="23" xfId="0" numFmtId="0" borderId="0" applyFont="1" fontId="18" applyFill="1">
      <alignment vertical="bottom" horizontal="general" wrapText="1"/>
    </xf>
    <xf applyAlignment="1" fillId="24" xfId="0" numFmtId="0" borderId="0" applyFont="1" fontId="19" applyFill="1">
      <alignment vertical="bottom" horizontal="general" wrapText="1"/>
    </xf>
    <xf applyAlignment="1" fillId="25" xfId="0" numFmtId="0" borderId="0" applyFont="1" fontId="20" applyFill="1">
      <alignment vertical="bottom" horizontal="right" wrapText="1"/>
    </xf>
    <xf applyBorder="1" applyAlignment="1" fillId="26" xfId="0" numFmtId="0" borderId="30" applyFont="1" fontId="21" applyFill="1">
      <alignment vertical="center" horizontal="center" wrapText="1"/>
    </xf>
    <xf applyBorder="1" applyAlignment="1" fillId="27" xfId="0" numFmtId="0" borderId="31" applyFont="1" fontId="22" applyFill="1">
      <alignment vertical="center" horizontal="center" wrapText="1"/>
    </xf>
    <xf applyBorder="1" applyAlignment="1" fillId="28" xfId="0" numFmtId="0" borderId="32" applyFont="1" fontId="23" applyFill="1">
      <alignment vertical="bottom" horizontal="general" wrapText="1"/>
    </xf>
    <xf applyBorder="1" applyAlignment="1" fillId="29" xfId="0" numFmtId="0" borderId="33" fontId="0" applyFill="1">
      <alignment vertical="bottom" horizontal="general" wrapText="1"/>
    </xf>
    <xf applyBorder="1" applyAlignment="1" fillId="30" xfId="0" numFmtId="0" borderId="34" applyFont="1" fontId="24" applyFill="1">
      <alignment vertical="bottom" horizontal="general" wrapText="1"/>
    </xf>
    <xf applyBorder="1" applyAlignment="1" fillId="31" xfId="0" numFmtId="0" borderId="35" fontId="0" applyFill="1">
      <alignment vertical="bottom" horizontal="general" wrapText="1"/>
    </xf>
    <xf applyBorder="1" applyAlignment="1" fillId="32" xfId="0" numFmtId="171" borderId="36" applyFont="1" fontId="25" applyNumberFormat="1" applyFill="1">
      <alignment vertical="center" horizontal="center" wrapText="1"/>
    </xf>
    <xf applyBorder="1" applyAlignment="1" fillId="0" xfId="0" numFmtId="0" borderId="37" applyFont="1" fontId="26">
      <alignment vertical="bottom" horizontal="general" wrapText="1"/>
    </xf>
    <xf applyBorder="1" applyAlignment="1" fillId="33" xfId="0" numFmtId="172" borderId="38" applyFont="1" fontId="27" applyNumberFormat="1" applyFill="1">
      <alignment vertical="bottom" horizontal="general" wrapText="1"/>
    </xf>
    <xf applyBorder="1" applyAlignment="1" fillId="34" xfId="0" numFmtId="0" borderId="39" applyFont="1" fontId="28" applyFill="1">
      <alignment vertical="bottom" horizontal="center" wrapText="1"/>
    </xf>
    <xf applyBorder="1" applyAlignment="1" fillId="35" xfId="0" numFmtId="0" borderId="40" applyFont="1" fontId="29" applyFill="1">
      <alignment vertical="bottom" horizontal="center" wrapText="1"/>
    </xf>
    <xf applyBorder="1" applyAlignment="1" fillId="36" xfId="0" numFmtId="0" borderId="41" applyFont="1" fontId="30" applyFill="1">
      <alignment vertical="bottom" horizontal="right" wrapText="1"/>
    </xf>
    <xf applyBorder="1" applyAlignment="1" fillId="0" xfId="0" numFmtId="173" borderId="42" fontId="0" applyNumberFormat="1">
      <alignment vertical="bottom" horizontal="general" wrapText="1"/>
    </xf>
    <xf applyBorder="1" applyAlignment="1" fillId="0" xfId="0" numFmtId="0" borderId="43" fontId="0">
      <alignment vertical="bottom" horizontal="general" wrapText="1"/>
    </xf>
    <xf applyAlignment="1" fillId="37" xfId="0" numFmtId="0" borderId="0" applyFont="1" fontId="31" applyFill="1">
      <alignment vertical="bottom" horizontal="general" wrapText="1"/>
    </xf>
    <xf applyAlignment="1" fillId="0" xfId="0" numFmtId="0" borderId="0" applyFont="1" fontId="32">
      <alignment vertical="bottom" horizontal="general" wrapText="1"/>
    </xf>
    <xf applyBorder="1" applyAlignment="1" fillId="38" xfId="0" numFmtId="0" borderId="44" applyFont="1" fontId="33" applyFill="1">
      <alignment vertical="bottom" horizontal="general" wrapText="1"/>
    </xf>
    <xf applyBorder="1" applyAlignment="1" fillId="39" xfId="0" numFmtId="0" borderId="45" applyFont="1" fontId="34" applyFill="1">
      <alignment vertical="center" horizontal="center" wrapText="1"/>
    </xf>
    <xf applyAlignment="1" fillId="40" xfId="0" numFmtId="0" borderId="0" applyFont="1" fontId="35" applyFill="1">
      <alignment vertical="bottom" horizontal="general" wrapText="1"/>
    </xf>
    <xf applyAlignment="1" fillId="0" xfId="0" numFmtId="10" borderId="0" fontId="0" applyNumberFormat="1">
      <alignment vertical="bottom" horizontal="center" wrapText="1"/>
    </xf>
    <xf applyBorder="1" applyAlignment="1" fillId="41" xfId="0" numFmtId="0" borderId="46" applyFont="1" fontId="36" applyFill="1">
      <alignment vertical="center" horizontal="center" wrapText="1"/>
    </xf>
    <xf applyAlignment="1" fillId="42" xfId="0" numFmtId="174" borderId="0" applyFont="1" fontId="37" applyNumberFormat="1" applyFill="1">
      <alignment vertical="bottom" horizontal="right" wrapText="1"/>
    </xf>
    <xf applyBorder="1" applyAlignment="1" fillId="0" xfId="0" numFmtId="0" borderId="47" fontId="0">
      <alignment vertical="bottom" horizontal="general" wrapText="1"/>
    </xf>
    <xf applyBorder="1" applyAlignment="1" fillId="0" xfId="0" numFmtId="0" borderId="48" fontId="0">
      <alignment vertical="bottom" horizontal="general" wrapText="1"/>
    </xf>
    <xf applyAlignment="1" fillId="43" xfId="0" numFmtId="0" borderId="0" applyFont="1" fontId="38" applyFill="1">
      <alignment vertical="bottom" horizontal="general" wrapText="1"/>
    </xf>
    <xf applyAlignment="1" fillId="44" xfId="0" numFmtId="0" borderId="0" applyFont="1" fontId="39" applyFill="1">
      <alignment vertical="bottom" horizontal="general" wrapText="1"/>
    </xf>
    <xf applyBorder="1" applyAlignment="1" fillId="45" xfId="0" numFmtId="0" borderId="49" applyFont="1" fontId="40" applyFill="1">
      <alignment vertical="bottom" horizontal="general" wrapText="1"/>
    </xf>
    <xf applyBorder="1" applyAlignment="1" fillId="46" xfId="0" numFmtId="0" borderId="50" applyFont="1" fontId="41" applyFill="1">
      <alignment vertical="bottom" horizontal="general" wrapText="1"/>
    </xf>
    <xf applyAlignment="1" fillId="0" xfId="0" numFmtId="175" borderId="0" applyFont="1" fontId="42" applyNumberFormat="1">
      <alignment vertical="bottom" horizontal="right" wrapText="1"/>
    </xf>
    <xf applyBorder="1" applyAlignment="1" fillId="0" xfId="0" numFmtId="0" borderId="51" applyFont="1" fontId="43">
      <alignment vertical="bottom" horizontal="general" wrapText="1"/>
    </xf>
    <xf applyBorder="1" applyAlignment="1" fillId="47" xfId="0" numFmtId="0" borderId="52" applyFont="1" fontId="44" applyFill="1">
      <alignment vertical="bottom" horizontal="general" wrapText="1"/>
    </xf>
    <xf applyBorder="1" applyAlignment="1" fillId="48" xfId="0" numFmtId="0" borderId="53" applyFont="1" fontId="45" applyFill="1">
      <alignment vertical="center" horizontal="center" wrapText="1"/>
    </xf>
    <xf applyBorder="1" applyAlignment="1" fillId="49" xfId="0" numFmtId="0" borderId="54" applyFont="1" fontId="46" applyFill="1">
      <alignment vertical="bottom" horizontal="right" wrapText="1"/>
    </xf>
    <xf applyBorder="1" applyAlignment="1" fillId="50" xfId="0" numFmtId="0" borderId="55" fontId="0" applyFill="1">
      <alignment vertical="bottom" horizontal="general" wrapText="1"/>
    </xf>
    <xf applyAlignment="1" fillId="0" xfId="0" numFmtId="176" borderId="0" fontId="0" applyNumberFormat="1">
      <alignment vertical="bottom" horizontal="general" wrapText="1"/>
    </xf>
    <xf applyAlignment="1" fillId="51" xfId="0" numFmtId="0" borderId="0" fontId="0" applyFill="1">
      <alignment vertical="bottom" horizontal="general" wrapText="1"/>
    </xf>
    <xf applyBorder="1" applyAlignment="1" fillId="52" xfId="0" numFmtId="0" borderId="56" applyFont="1" fontId="47" applyFill="1">
      <alignment vertical="bottom" horizontal="general" wrapText="1"/>
    </xf>
    <xf applyBorder="1" applyAlignment="1" fillId="53" xfId="0" numFmtId="0" borderId="57" fontId="0" applyFill="1">
      <alignment vertical="bottom" horizontal="general" wrapText="1"/>
    </xf>
    <xf applyAlignment="1" fillId="54" xfId="0" numFmtId="0" borderId="0" applyFont="1" fontId="48" applyFill="1">
      <alignment vertical="bottom" horizontal="general" wrapText="1"/>
    </xf>
    <xf applyAlignment="1" fillId="55" xfId="0" numFmtId="0" borderId="0" applyFont="1" fontId="49" applyFill="1">
      <alignment vertical="bottom" horizontal="general" wrapText="1"/>
    </xf>
    <xf applyAlignment="1" fillId="56" xfId="0" numFmtId="177" borderId="0" applyFont="1" fontId="50" applyNumberFormat="1" applyFill="1">
      <alignment vertical="bottom" horizontal="center" wrapText="1"/>
    </xf>
    <xf applyBorder="1" applyAlignment="1" fillId="57" xfId="0" numFmtId="0" borderId="58" applyFont="1" fontId="51" applyFill="1">
      <alignment vertical="bottom" horizontal="right" wrapText="1"/>
    </xf>
    <xf applyBorder="1" applyAlignment="1" fillId="58" xfId="0" numFmtId="0" borderId="59" fontId="0" applyFill="1">
      <alignment vertical="center" horizontal="general" wrapText="1"/>
    </xf>
    <xf applyBorder="1" applyAlignment="1" fillId="59" xfId="0" numFmtId="0" borderId="60" applyFont="1" fontId="52" applyFill="1">
      <alignment vertical="center" horizontal="general" wrapText="1"/>
    </xf>
    <xf applyAlignment="1" fillId="0" xfId="0" numFmtId="178" borderId="0" fontId="0" applyNumberFormat="1">
      <alignment vertical="bottom" horizontal="right" wrapText="1"/>
    </xf>
    <xf applyBorder="1" applyAlignment="1" fillId="60" xfId="0" numFmtId="0" borderId="61" applyFont="1" fontId="53" applyFill="1">
      <alignment vertical="bottom" horizontal="general" wrapText="1"/>
    </xf>
    <xf applyBorder="1" applyAlignment="1" fillId="61" xfId="0" numFmtId="0" borderId="62" applyFont="1" fontId="54" applyFill="1">
      <alignment vertical="center" horizontal="center" wrapText="1"/>
    </xf>
    <xf applyBorder="1" applyAlignment="1" fillId="0" xfId="0" numFmtId="0" borderId="63" fontId="0">
      <alignment vertical="bottom" horizontal="general" wrapText="1"/>
    </xf>
    <xf applyBorder="1" applyAlignment="1" fillId="62" xfId="0" numFmtId="0" borderId="64" applyFont="1" fontId="55" applyFill="1">
      <alignment vertical="bottom" horizontal="general" wrapText="1"/>
    </xf>
    <xf applyBorder="1" applyAlignment="1" fillId="0" xfId="0" numFmtId="179" borderId="65" fontId="0" applyNumberFormat="1">
      <alignment vertical="bottom" horizontal="general" wrapText="1"/>
    </xf>
    <xf applyBorder="1" applyAlignment="1" fillId="63" xfId="0" numFmtId="0" borderId="66" applyFont="1" fontId="56" applyFill="1">
      <alignment vertical="bottom" horizontal="general" wrapText="1"/>
    </xf>
    <xf applyBorder="1" applyAlignment="1" fillId="64" xfId="0" numFmtId="180" borderId="67" fontId="0" applyNumberFormat="1" applyFill="1">
      <alignment vertical="bottom" horizontal="general" wrapText="1"/>
    </xf>
    <xf applyAlignment="1" fillId="0" xfId="0" numFmtId="0" borderId="0" fontId="0">
      <alignment vertical="bottom" horizontal="center" wrapText="1"/>
    </xf>
    <xf applyAlignment="1" fillId="65" xfId="0" numFmtId="181" borderId="0" applyFont="1" fontId="57" applyNumberFormat="1" applyFill="1">
      <alignment vertical="bottom" horizontal="center" wrapText="1"/>
    </xf>
    <xf applyBorder="1" applyAlignment="1" fillId="0" xfId="0" numFmtId="0" borderId="68" fontId="0">
      <alignment vertical="bottom" horizontal="general" wrapText="1"/>
    </xf>
    <xf applyBorder="1" applyAlignment="1" fillId="66" xfId="0" numFmtId="0" borderId="69" applyFont="1" fontId="58" applyFill="1">
      <alignment vertical="bottom" horizontal="right" wrapText="1"/>
    </xf>
    <xf applyAlignment="1" fillId="67" xfId="0" numFmtId="0" borderId="0" applyFont="1" fontId="59" applyFill="1">
      <alignment vertical="bottom" horizontal="general" wrapText="1"/>
    </xf>
    <xf applyBorder="1" applyAlignment="1" fillId="68" xfId="0" numFmtId="0" borderId="70" fontId="0" applyFill="1">
      <alignment vertical="bottom" horizontal="general" wrapText="1"/>
    </xf>
    <xf applyBorder="1" applyAlignment="1" fillId="69" xfId="0" numFmtId="0" borderId="71" applyFont="1" fontId="60" applyFill="1">
      <alignment vertical="bottom" horizontal="general" wrapText="1"/>
    </xf>
    <xf applyBorder="1" applyAlignment="1" fillId="0" xfId="0" numFmtId="182" borderId="72" fontId="0" applyNumberFormat="1">
      <alignment vertical="bottom" horizontal="general" wrapText="1"/>
    </xf>
    <xf applyAlignment="1" fillId="0" xfId="0" numFmtId="0" borderId="0" applyFont="1" fontId="61">
      <alignment vertical="bottom" horizontal="right" wrapText="1"/>
    </xf>
    <xf applyBorder="1" applyAlignment="1" fillId="70" xfId="0" numFmtId="0" borderId="73" fontId="0" applyFill="1">
      <alignment vertical="center" horizontal="general" wrapText="1"/>
    </xf>
    <xf applyBorder="1" applyAlignment="1" fillId="71" xfId="0" numFmtId="183" borderId="74" applyFont="1" fontId="62" applyNumberFormat="1" applyFill="1">
      <alignment vertical="bottom" horizontal="general" wrapText="1"/>
    </xf>
    <xf applyBorder="1" applyAlignment="1" fillId="72" xfId="0" numFmtId="184" borderId="75" applyFont="1" fontId="63" applyNumberFormat="1" applyFill="1">
      <alignment vertical="bottom" horizontal="right" wrapText="1"/>
    </xf>
    <xf applyBorder="1" applyAlignment="1" fillId="73" xfId="0" numFmtId="0" borderId="76" fontId="0" applyFill="1">
      <alignment vertical="bottom" horizontal="general" wrapText="1"/>
    </xf>
    <xf applyBorder="1" applyAlignment="1" fillId="74" xfId="0" numFmtId="0" borderId="77" fontId="0" applyFill="1">
      <alignment vertical="bottom" horizontal="general" wrapText="1"/>
    </xf>
    <xf applyAlignment="1" fillId="0" xfId="0" numFmtId="10" borderId="0" fontId="0" applyNumberFormat="1">
      <alignment vertical="bottom" horizontal="general" wrapText="1"/>
    </xf>
    <xf applyBorder="1" applyAlignment="1" fillId="75" xfId="0" numFmtId="0" borderId="78" fontId="0" applyFill="1">
      <alignment vertical="bottom" horizontal="general" wrapText="1"/>
    </xf>
    <xf applyBorder="1" applyAlignment="1" fillId="76" xfId="0" numFmtId="0" borderId="79" applyFont="1" fontId="64" applyFill="1">
      <alignment vertical="bottom" horizontal="general" wrapText="1"/>
    </xf>
    <xf applyBorder="1" applyAlignment="1" fillId="0" xfId="0" numFmtId="0" borderId="80" fontId="0">
      <alignment vertical="bottom" horizontal="general" wrapText="1"/>
    </xf>
    <xf applyAlignment="1" fillId="77" xfId="0" numFmtId="185" borderId="0" fontId="0" applyNumberFormat="1" applyFill="1">
      <alignment vertical="bottom" horizontal="general" wrapText="1"/>
    </xf>
    <xf applyAlignment="1" fillId="78" xfId="0" numFmtId="186" borderId="0" fontId="0" applyNumberFormat="1" applyFill="1">
      <alignment vertical="bottom" horizontal="general" wrapText="1"/>
    </xf>
    <xf applyBorder="1" applyAlignment="1" fillId="0" xfId="0" numFmtId="187" borderId="81" fontId="0" applyNumberFormat="1">
      <alignment vertical="bottom" horizontal="general" wrapText="1"/>
    </xf>
    <xf applyBorder="1" applyAlignment="1" fillId="79" xfId="0" numFmtId="0" borderId="82" fontId="0" applyFill="1">
      <alignment vertical="bottom" horizontal="general" wrapText="1"/>
    </xf>
    <xf applyAlignment="1" fillId="80" xfId="0" numFmtId="188" borderId="0" fontId="0" applyNumberFormat="1" applyFill="1">
      <alignment vertical="bottom" horizontal="general" wrapText="1"/>
    </xf>
    <xf applyAlignment="1" fillId="81" xfId="0" numFmtId="0" borderId="0" applyFont="1" fontId="65" applyFill="1">
      <alignment vertical="bottom" horizontal="general" wrapText="1"/>
    </xf>
    <xf applyBorder="1" applyAlignment="1" fillId="0" xfId="0" numFmtId="0" borderId="83" fontId="0">
      <alignment vertical="bottom" horizontal="general" wrapText="1"/>
    </xf>
    <xf applyAlignment="1" fillId="82" xfId="0" numFmtId="0" borderId="0" applyFont="1" fontId="66" applyFill="1">
      <alignment vertical="bottom" horizontal="center" wrapText="1"/>
    </xf>
    <xf applyBorder="1" applyAlignment="1" fillId="83" xfId="0" numFmtId="0" borderId="84" applyFont="1" fontId="67" applyFill="1">
      <alignment vertical="bottom" horizontal="general" wrapText="1"/>
    </xf>
    <xf applyBorder="1" applyAlignment="1" fillId="84" xfId="0" numFmtId="0" borderId="85" applyFont="1" fontId="68" applyFill="1">
      <alignment vertical="bottom" horizontal="right" wrapText="1"/>
    </xf>
    <xf applyBorder="1" applyAlignment="1" fillId="85" xfId="0" numFmtId="189" borderId="86" applyFont="1" fontId="69" applyNumberFormat="1" applyFill="1">
      <alignment vertical="center" horizontal="general" wrapText="1"/>
    </xf>
    <xf applyBorder="1" applyAlignment="1" fillId="86" xfId="0" numFmtId="0" borderId="87" applyFont="1" fontId="70" applyFill="1">
      <alignment vertical="bottom" horizontal="general" wrapText="1"/>
    </xf>
    <xf applyAlignment="1" fillId="87" xfId="0" numFmtId="0" borderId="0" applyFont="1" fontId="71" applyFill="1">
      <alignment vertical="bottom" horizontal="general" wrapText="1"/>
    </xf>
    <xf applyBorder="1" applyAlignment="1" fillId="88" xfId="0" numFmtId="190" borderId="88" applyFont="1" fontId="72" applyNumberFormat="1" applyFill="1">
      <alignment vertical="bottom" horizontal="center" wrapText="1"/>
    </xf>
    <xf applyBorder="1" applyAlignment="1" fillId="89" xfId="0" numFmtId="0" borderId="89" fontId="0" applyFill="1">
      <alignment vertical="bottom" horizontal="general" wrapText="1"/>
    </xf>
    <xf applyBorder="1" applyAlignment="1" fillId="90" xfId="0" numFmtId="0" borderId="90" fontId="0" applyFill="1">
      <alignment vertical="bottom" horizontal="general" wrapText="1"/>
    </xf>
    <xf applyBorder="1" applyAlignment="1" fillId="0" xfId="0" numFmtId="191" borderId="91" fontId="0" applyNumberFormat="1">
      <alignment vertical="bottom" horizontal="general" wrapText="1"/>
    </xf>
    <xf applyBorder="1" applyAlignment="1" fillId="0" xfId="0" numFmtId="0" borderId="92" applyFont="1" fontId="73">
      <alignment vertical="bottom" horizontal="general" wrapText="1"/>
    </xf>
    <xf applyBorder="1" applyAlignment="1" fillId="91" xfId="0" numFmtId="0" borderId="93" applyFont="1" fontId="74" applyFill="1">
      <alignment vertical="bottom" horizontal="center" wrapText="1"/>
    </xf>
    <xf applyBorder="1" applyAlignment="1" fillId="92" xfId="0" numFmtId="0" borderId="94" applyFont="1" fontId="75" applyFill="1">
      <alignment vertical="bottom" horizontal="general" wrapText="1"/>
    </xf>
    <xf applyBorder="1" applyAlignment="1" fillId="93" xfId="0" numFmtId="0" borderId="95" applyFont="1" fontId="76" applyFill="1">
      <alignment vertical="bottom" horizontal="general" wrapText="1"/>
    </xf>
    <xf applyBorder="1" applyAlignment="1" fillId="94" xfId="0" numFmtId="0" borderId="96" applyFont="1" fontId="77" applyFill="1">
      <alignment vertical="bottom" horizontal="general" wrapText="1"/>
    </xf>
    <xf applyBorder="1" applyAlignment="1" fillId="95" xfId="0" numFmtId="0" borderId="97" applyFont="1" fontId="78" applyFill="1">
      <alignment vertical="bottom" horizontal="general" wrapText="1"/>
    </xf>
    <xf applyBorder="1" applyAlignment="1" fillId="96" xfId="0" numFmtId="0" borderId="98" applyFont="1" fontId="79" applyFill="1">
      <alignment vertical="center" horizontal="general" wrapText="1"/>
    </xf>
    <xf applyBorder="1" applyAlignment="1" fillId="97" xfId="0" numFmtId="0" borderId="99" applyFont="1" fontId="80" applyFill="1">
      <alignment vertical="center" horizontal="center" wrapText="1"/>
    </xf>
    <xf applyAlignment="1" fillId="98" xfId="0" numFmtId="0" borderId="0" applyFont="1" fontId="81" applyFill="1">
      <alignment vertical="bottom" horizontal="center" wrapText="1"/>
    </xf>
    <xf applyBorder="1" applyAlignment="1" fillId="0" xfId="0" numFmtId="10" borderId="100" fontId="0" applyNumberFormat="1">
      <alignment vertical="bottom" horizontal="center" wrapText="1"/>
    </xf>
    <xf applyBorder="1" applyAlignment="1" fillId="99" xfId="0" numFmtId="0" borderId="101" applyFont="1" fontId="82" applyFill="1">
      <alignment vertical="bottom" horizontal="general" wrapText="1"/>
    </xf>
    <xf applyAlignment="1" fillId="100" xfId="0" numFmtId="0" borderId="0" applyFont="1" fontId="83" applyFill="1">
      <alignment vertical="bottom" horizontal="general" wrapText="1"/>
    </xf>
    <xf applyBorder="1" applyAlignment="1" fillId="101" xfId="0" numFmtId="0" borderId="102" applyFont="1" fontId="84" applyFill="1">
      <alignment vertical="bottom" horizontal="right" wrapText="1"/>
    </xf>
    <xf applyAlignment="1" fillId="102" xfId="0" numFmtId="0" borderId="0" applyFont="1" fontId="85" applyFill="1">
      <alignment vertical="bottom" horizontal="center" wrapText="1"/>
    </xf>
    <xf applyBorder="1" applyAlignment="1" fillId="0" xfId="0" numFmtId="0" borderId="103" fontId="0">
      <alignment vertical="bottom" horizontal="general" wrapText="1"/>
    </xf>
    <xf applyBorder="1" applyAlignment="1" fillId="0" xfId="0" numFmtId="10" borderId="104" fontId="0" applyNumberFormat="1">
      <alignment vertical="bottom" horizontal="center" wrapText="1"/>
    </xf>
    <xf applyBorder="1" applyAlignment="1" fillId="103" xfId="0" numFmtId="0" borderId="105" fontId="0" applyFill="1">
      <alignment vertical="bottom" horizontal="general" wrapText="1"/>
    </xf>
    <xf applyAlignment="1" fillId="0" xfId="0" numFmtId="0" borderId="0" fontId="0">
      <alignment vertical="bottom" horizontal="right" wrapText="1"/>
    </xf>
    <xf applyBorder="1" applyAlignment="1" fillId="104" xfId="0" numFmtId="0" borderId="106" fontId="0" applyFill="1">
      <alignment vertical="bottom" horizontal="general" wrapText="1"/>
    </xf>
    <xf applyBorder="1" applyAlignment="1" fillId="0" xfId="0" numFmtId="0" borderId="107" fontId="0">
      <alignment vertical="bottom" horizontal="right" wrapText="1"/>
    </xf>
    <xf applyBorder="1" applyAlignment="1" fillId="105" xfId="0" numFmtId="192" borderId="108" fontId="0" applyNumberFormat="1" applyFill="1">
      <alignment vertical="bottom" horizontal="general" wrapText="1"/>
    </xf>
    <xf applyBorder="1" applyAlignment="1" fillId="106" xfId="0" numFmtId="0" borderId="109" fontId="0" applyFill="1">
      <alignment vertical="bottom" horizontal="general" wrapText="1"/>
    </xf>
    <xf applyAlignment="1" fillId="107" xfId="0" numFmtId="0" borderId="0" applyFont="1" fontId="86" applyFill="1">
      <alignment vertical="bottom" horizontal="general" wrapText="1"/>
    </xf>
    <xf applyAlignment="1" fillId="108" xfId="0" numFmtId="193" borderId="0" applyFont="1" fontId="87" applyNumberFormat="1" applyFill="1">
      <alignment vertical="bottom" horizontal="center" wrapText="1"/>
    </xf>
    <xf applyBorder="1" applyAlignment="1" fillId="109" xfId="0" numFmtId="0" borderId="110" applyFont="1" fontId="88" applyFill="1">
      <alignment vertical="bottom" horizontal="general" wrapText="1"/>
    </xf>
    <xf applyBorder="1" applyAlignment="1" fillId="0" xfId="0" numFmtId="194" borderId="111" applyFont="1" fontId="89" applyNumberFormat="1">
      <alignment vertical="bottom" horizontal="center" wrapText="1"/>
    </xf>
    <xf applyBorder="1" applyAlignment="1" fillId="110" xfId="0" numFmtId="0" borderId="112" applyFont="1" fontId="90" applyFill="1">
      <alignment vertical="bottom" horizontal="general" wrapText="1"/>
    </xf>
    <xf applyBorder="1" applyAlignment="1" fillId="111" xfId="0" numFmtId="0" borderId="113" applyFont="1" fontId="91" applyFill="1">
      <alignment vertical="bottom" horizontal="general" wrapText="1"/>
    </xf>
    <xf applyBorder="1" applyAlignment="1" fillId="112" xfId="0" numFmtId="0" borderId="114" applyFont="1" fontId="92" applyFill="1">
      <alignment vertical="bottom" horizontal="general" wrapText="1"/>
    </xf>
    <xf applyBorder="1" applyAlignment="1" fillId="113" xfId="0" numFmtId="0" borderId="115" applyFont="1" fontId="93" applyFill="1">
      <alignment vertical="center" horizontal="center" wrapText="1"/>
    </xf>
    <xf applyBorder="1" applyAlignment="1" fillId="114" xfId="0" numFmtId="195" borderId="116" applyFont="1" fontId="94" applyNumberFormat="1" applyFill="1">
      <alignment vertical="bottom" horizontal="center" wrapText="1"/>
    </xf>
    <xf applyBorder="1" applyAlignment="1" fillId="115" xfId="0" numFmtId="0" borderId="117" applyFont="1" fontId="95" applyFill="1">
      <alignment vertical="bottom" horizontal="general" wrapText="1"/>
    </xf>
    <xf applyAlignment="1" fillId="116" xfId="0" numFmtId="0" borderId="0" applyFont="1" fontId="96" applyFill="1">
      <alignment vertical="bottom" horizontal="right" wrapText="1"/>
    </xf>
    <xf applyBorder="1" applyAlignment="1" fillId="117" xfId="0" numFmtId="0" borderId="118" applyFont="1" fontId="97" applyFill="1">
      <alignment vertical="bottom" horizontal="general" wrapText="1"/>
    </xf>
    <xf applyBorder="1" applyAlignment="1" fillId="118" xfId="0" numFmtId="0" borderId="119" applyFont="1" fontId="98" applyFill="1">
      <alignment vertical="bottom" horizontal="general" wrapText="1"/>
    </xf>
    <xf applyAlignment="1" fillId="0" xfId="0" numFmtId="196" borderId="0" applyFont="1" fontId="99" applyNumberFormat="1">
      <alignment vertical="bottom" horizontal="general" wrapText="1"/>
    </xf>
    <xf applyBorder="1" applyAlignment="1" fillId="119" xfId="0" numFmtId="197" borderId="120" applyFont="1" fontId="100" applyNumberFormat="1" applyFill="1">
      <alignment vertical="bottom" horizontal="general" wrapText="1"/>
    </xf>
    <xf applyAlignment="1" fillId="120" xfId="0" numFmtId="0" borderId="0" fontId="0" applyFill="1">
      <alignment vertical="bottom" horizontal="general" wrapText="1"/>
    </xf>
    <xf applyBorder="1" applyAlignment="1" fillId="121" xfId="0" numFmtId="0" borderId="121" fontId="0" applyFill="1">
      <alignment vertical="bottom" horizontal="general" wrapText="1"/>
    </xf>
    <xf applyAlignment="1" fillId="122" xfId="0" numFmtId="198" borderId="0" applyFont="1" fontId="101" applyNumberFormat="1" applyFill="1">
      <alignment vertical="bottom" horizontal="general" wrapText="1"/>
    </xf>
    <xf applyBorder="1" applyAlignment="1" fillId="123" xfId="0" numFmtId="0" borderId="122" applyFont="1" fontId="102" applyFill="1">
      <alignment vertical="center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0.86"/>
    <col min="2" customWidth="1" max="2" width="6.57"/>
    <col min="3" customWidth="1" max="3" width="9.43"/>
    <col min="4" customWidth="1" max="4" width="9.14"/>
    <col min="5" customWidth="1" max="5" width="11.0"/>
    <col min="6" customWidth="1" max="6" width="9.0"/>
    <col min="7" customWidth="1" max="7" width="7.86"/>
    <col min="8" customWidth="1" max="8" width="0.86"/>
  </cols>
  <sheetData>
    <row customHeight="1" r="1" ht="18.0">
      <c t="s" s="115" r="B1">
        <v>0</v>
      </c>
      <c s="115" r="C1"/>
      <c s="115" r="D1"/>
      <c s="115" r="E1"/>
      <c s="115" r="F1"/>
      <c s="115" r="G1"/>
    </row>
    <row r="2">
      <c s="60" r="B2"/>
      <c s="60" r="C2"/>
      <c s="60" r="D2"/>
      <c s="60" r="E2"/>
      <c s="60" r="F2"/>
      <c s="60" r="G2"/>
      <c t="s" r="H2">
        <v>1</v>
      </c>
    </row>
    <row customHeight="1" r="3" ht="16.5">
      <c s="11" r="A3"/>
      <c t="s" s="84" r="B3">
        <v>2</v>
      </c>
      <c s="165" r="C3"/>
      <c s="165" r="D3"/>
      <c s="165" r="E3"/>
      <c s="165" r="F3"/>
      <c s="39" r="G3"/>
      <c s="61" r="H3"/>
    </row>
    <row r="4">
      <c s="11" r="A4"/>
      <c t="s" s="117" r="B4">
        <v>3</v>
      </c>
      <c t="s" s="138" r="C4">
        <v>4</v>
      </c>
      <c t="s" s="157" r="D4">
        <v>5</v>
      </c>
      <c t="s" s="157" r="E4">
        <v>6</v>
      </c>
      <c s="77" r="F4"/>
      <c s="40" r="G4"/>
      <c s="61" r="H4"/>
    </row>
    <row r="5">
      <c s="11" r="A5"/>
      <c t="s" s="93" r="B5">
        <v>7</v>
      </c>
      <c t="s" s="20" r="C5">
        <v>8</v>
      </c>
      <c t="s" s="137" r="D5">
        <v>9</v>
      </c>
      <c t="s" s="137" r="E5">
        <v>9</v>
      </c>
      <c t="s" s="96" r="F5">
        <v>10</v>
      </c>
      <c s="96" r="G5"/>
      <c s="61" r="H5"/>
    </row>
    <row r="6">
      <c s="11" r="A6"/>
      <c s="107" r="B6">
        <v>1981</v>
      </c>
      <c s="124" r="C6">
        <v>29859</v>
      </c>
      <c s="15" r="D6">
        <v>997.855</v>
      </c>
      <c s="50" r="E6"/>
      <c s="3" r="F6"/>
      <c s="114" r="G6"/>
      <c s="61" r="H6"/>
    </row>
    <row r="7">
      <c s="11" r="A7"/>
      <c s="61" r="B7">
        <v>1993</v>
      </c>
      <c s="72" r="C7">
        <v>34242</v>
      </c>
      <c s="8" r="D7">
        <v>4411.48888313938</v>
      </c>
      <c s="160" r="E7">
        <f>D7-D6</f>
        <v>3413.63388313938</v>
      </c>
      <c t="s" s="16" r="F7">
        <v>11</v>
      </c>
      <c s="16" r="G7"/>
      <c s="61" r="H7"/>
    </row>
    <row r="8">
      <c s="11" r="A8"/>
      <c s="61" r="B8"/>
      <c s="4" r="D8"/>
      <c s="4" r="E8"/>
      <c s="11" r="G8"/>
      <c s="61" r="H8"/>
    </row>
    <row r="9">
      <c s="11" r="A9"/>
      <c s="61" r="B9"/>
      <c s="4" r="E9"/>
      <c t="s" s="16" r="F9">
        <v>12</v>
      </c>
      <c s="16" r="G9"/>
      <c s="61" r="H9"/>
    </row>
    <row r="10">
      <c s="11" r="A10"/>
      <c t="s" s="144" r="B10">
        <v>13</v>
      </c>
      <c s="142" r="C10"/>
      <c s="82" r="D10"/>
      <c s="6" r="E10">
        <f>'Interest Calculation'!D29</f>
        <v>2212.3570624168</v>
      </c>
      <c t="s" s="16" r="F10">
        <v>14</v>
      </c>
      <c s="16" r="G10"/>
      <c s="61" r="H10"/>
    </row>
    <row r="11">
      <c s="11" r="A11"/>
      <c s="61" r="B11"/>
      <c s="4" r="D11"/>
      <c s="4" r="E11"/>
      <c t="s" s="16" r="F11">
        <v>15</v>
      </c>
      <c s="16" r="G11"/>
      <c s="61" r="H11"/>
    </row>
    <row r="12">
      <c s="11" r="A12"/>
      <c s="61" r="B12"/>
      <c s="4" r="D12"/>
      <c s="4" r="E12"/>
      <c t="s" s="16" r="F12">
        <v>16</v>
      </c>
      <c s="16" r="G12"/>
      <c s="61" r="H12"/>
    </row>
    <row r="13">
      <c s="11" r="A13"/>
      <c s="61" r="B13">
        <v>2001</v>
      </c>
      <c s="72" r="C13">
        <v>37164</v>
      </c>
      <c s="108" r="D13">
        <v>5807.46341220006</v>
      </c>
      <c s="4" r="E13"/>
      <c s="11" r="G13"/>
      <c s="61" r="H13"/>
    </row>
    <row r="14">
      <c s="11" r="A14"/>
      <c s="61" r="B14">
        <v>2009</v>
      </c>
      <c s="72" r="C14">
        <v>40086</v>
      </c>
      <c s="108" r="D14">
        <v>11909.8290035118</v>
      </c>
      <c s="160" r="E14">
        <f>D14-D13</f>
        <v>6102.36559131174</v>
      </c>
      <c t="s" s="16" r="F14">
        <v>17</v>
      </c>
      <c s="16" r="G14"/>
      <c s="61" r="H14"/>
    </row>
    <row r="15">
      <c s="11" r="A15"/>
      <c s="61" r="B15"/>
      <c t="s" s="142" r="C15">
        <v>18</v>
      </c>
      <c s="82" r="D15"/>
      <c s="34" r="E15">
        <v>-36</v>
      </c>
      <c t="s" s="125" r="F15">
        <v>19</v>
      </c>
      <c s="125" r="G15"/>
      <c s="61" r="H15"/>
    </row>
    <row r="16">
      <c s="11" r="A16"/>
      <c t="s" s="144" r="B16">
        <v>20</v>
      </c>
      <c s="72" r="C16">
        <v>40086</v>
      </c>
      <c s="4" r="D16"/>
      <c s="31" r="E16">
        <f>((E7+E10)+E14)+E15</f>
        <v>11692.3565368679</v>
      </c>
      <c t="s" s="67" r="F16">
        <v>21</v>
      </c>
      <c s="114" r="G16"/>
      <c s="61" r="H16"/>
    </row>
    <row r="17">
      <c s="11" r="A17"/>
      <c s="61" r="B17"/>
      <c s="4" r="D17"/>
      <c s="11" r="G17"/>
      <c s="61" r="H17"/>
    </row>
    <row customHeight="1" r="18" ht="13.5">
      <c s="11" r="A18"/>
      <c s="61" r="B18"/>
      <c t="s" s="16" r="F18">
        <v>22</v>
      </c>
      <c s="16" r="G18"/>
      <c s="61" r="H18"/>
    </row>
    <row r="19">
      <c s="11" r="A19"/>
      <c t="s" s="144" r="B19">
        <v>23</v>
      </c>
      <c s="142" r="C19"/>
      <c s="82" r="D19"/>
      <c s="6" r="E19">
        <f>'Interest Calculation'!D32</f>
        <v>356.897356405367</v>
      </c>
      <c t="s" s="16" r="F19">
        <v>24</v>
      </c>
      <c s="11" r="G19"/>
      <c s="61" r="H19"/>
    </row>
    <row r="20">
      <c s="11" r="A20"/>
      <c s="61" r="B20"/>
      <c s="11" r="G20"/>
      <c s="61" r="H20"/>
    </row>
    <row r="21">
      <c s="11" r="A21"/>
      <c s="99" r="B21"/>
      <c t="s" s="14" r="C21">
        <v>25</v>
      </c>
      <c s="14" r="D21"/>
      <c s="118" r="E21">
        <f>E16+E19</f>
        <v>12049.2538932733</v>
      </c>
      <c t="s" s="81" r="F21">
        <v>26</v>
      </c>
      <c s="81" r="G21"/>
      <c s="61" r="H21"/>
    </row>
    <row customHeight="1" r="22" ht="14.25">
      <c s="25" r="B22"/>
      <c s="25" r="C22"/>
      <c s="97" r="D22"/>
      <c s="25" r="E22"/>
      <c s="25" r="F22"/>
      <c s="25" r="G22"/>
    </row>
    <row customHeight="1" r="23" ht="13.5">
      <c s="11" r="A23"/>
      <c t="s" s="132" r="B23">
        <v>27</v>
      </c>
      <c s="69" r="C23"/>
      <c s="69" r="D23"/>
      <c s="69" r="E23"/>
      <c s="69" r="F23"/>
      <c s="12" r="G23"/>
      <c s="61" r="H23"/>
    </row>
    <row customHeight="1" r="24" ht="5.25">
      <c s="11" r="A24"/>
      <c s="7" r="B24"/>
      <c s="53" r="C24"/>
      <c s="53" r="D24"/>
      <c s="53" r="E24"/>
      <c s="53" r="F24"/>
      <c s="16" r="G24"/>
      <c s="61" r="H24"/>
    </row>
    <row r="25">
      <c s="11" r="A25"/>
      <c t="s" s="152" r="B25">
        <v>28</v>
      </c>
      <c s="22" r="C25"/>
      <c s="22" r="D25"/>
      <c s="22" r="E25"/>
      <c s="22" r="F25"/>
      <c s="9" r="G25"/>
      <c s="61" r="H25"/>
    </row>
    <row r="26">
      <c s="11" r="A26"/>
      <c t="s" s="152" r="B26">
        <v>29</v>
      </c>
      <c s="22" r="C26"/>
      <c s="22" r="D26"/>
      <c s="22" r="E26"/>
      <c s="22" r="F26"/>
      <c s="9" r="G26"/>
      <c s="61" r="H26"/>
    </row>
    <row customHeight="1" r="27" ht="4.5">
      <c s="11" r="A27"/>
      <c s="7" r="B27"/>
      <c s="53" r="C27"/>
      <c s="53" r="D27"/>
      <c s="53" r="E27"/>
      <c s="53" r="F27"/>
      <c s="16" r="G27"/>
      <c s="61" r="H27"/>
    </row>
    <row r="28">
      <c s="11" r="A28"/>
      <c t="s" s="42" r="B28">
        <v>30</v>
      </c>
      <c s="62" r="C28"/>
      <c s="62" r="D28"/>
      <c s="62" r="E28"/>
      <c s="62" r="F28"/>
      <c s="65" r="G28"/>
      <c s="61" r="H28"/>
    </row>
    <row r="29">
      <c s="11" r="A29"/>
      <c t="s" s="83" r="B29">
        <v>31</v>
      </c>
      <c s="52" r="C29"/>
      <c s="52" r="D29"/>
      <c s="52" r="E29"/>
      <c s="52" r="F29"/>
      <c s="151" r="G29"/>
      <c s="61" r="H29"/>
    </row>
    <row r="30">
      <c s="11" r="A30"/>
      <c t="s" s="88" r="B30">
        <v>32</v>
      </c>
      <c s="120" r="C30"/>
      <c s="120" r="D30"/>
      <c s="120" r="E30"/>
      <c s="120" r="F30"/>
      <c s="128" r="G30"/>
      <c s="61" r="H30"/>
    </row>
    <row r="31">
      <c s="11" r="A31"/>
      <c t="s" s="27" r="B31">
        <v>33</v>
      </c>
      <c s="76" r="C31"/>
      <c s="76" r="D31"/>
      <c s="76" r="E31"/>
      <c s="76" r="F31"/>
      <c s="19" r="G31"/>
      <c s="61" r="H31"/>
    </row>
    <row r="32">
      <c s="11" r="A32"/>
      <c t="s" s="159" r="B32">
        <v>34</v>
      </c>
      <c s="94" r="C32"/>
      <c s="94" r="D32"/>
      <c s="94" r="E32"/>
      <c s="94" r="F32"/>
      <c s="106" r="G32"/>
      <c s="61" r="H32"/>
    </row>
    <row r="33">
      <c s="11" r="A33"/>
      <c t="s" s="43" r="B33">
        <v>35</v>
      </c>
      <c s="102" r="C33"/>
      <c s="102" r="D33"/>
      <c s="102" r="E33"/>
      <c s="102" r="F33"/>
      <c s="123" r="G33"/>
      <c s="61" r="H33"/>
    </row>
    <row r="34">
      <c s="3" r="B34"/>
      <c s="3" r="C34"/>
      <c s="3" r="D34"/>
      <c s="3" r="E34"/>
      <c s="3" r="F34"/>
      <c s="3" r="G34"/>
    </row>
    <row r="36">
      <c t="s" s="133" r="C36">
        <v>36</v>
      </c>
      <c s="133" r="D36"/>
      <c s="133" r="E36"/>
      <c s="133" r="F36"/>
    </row>
    <row r="38">
      <c t="s" s="133" r="C38">
        <v>37</v>
      </c>
      <c s="133" r="D38"/>
      <c s="133" r="E38"/>
      <c s="133" r="F38"/>
    </row>
  </sheetData>
  <mergeCells count="28">
    <mergeCell ref="B1:G1"/>
    <mergeCell ref="B3:G3"/>
    <mergeCell ref="F5:G5"/>
    <mergeCell ref="F7:G7"/>
    <mergeCell ref="F9:G9"/>
    <mergeCell ref="B10:D10"/>
    <mergeCell ref="F10:G10"/>
    <mergeCell ref="F11:G11"/>
    <mergeCell ref="F12:G12"/>
    <mergeCell ref="F14:G14"/>
    <mergeCell ref="C15:D15"/>
    <mergeCell ref="F15:G15"/>
    <mergeCell ref="F18:G18"/>
    <mergeCell ref="B19:D19"/>
    <mergeCell ref="F19:G19"/>
    <mergeCell ref="C21:D21"/>
    <mergeCell ref="F21:G21"/>
    <mergeCell ref="B23:G23"/>
    <mergeCell ref="B25:G25"/>
    <mergeCell ref="B26:G26"/>
    <mergeCell ref="B28:G28"/>
    <mergeCell ref="B29:G29"/>
    <mergeCell ref="B30:G30"/>
    <mergeCell ref="B31:G31"/>
    <mergeCell ref="B32:G32"/>
    <mergeCell ref="B33:G33"/>
    <mergeCell ref="C36:F36"/>
    <mergeCell ref="C38:F38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1.43"/>
    <col min="2" customWidth="1" max="2" width="7.0"/>
    <col min="3" customWidth="1" max="3" width="12.0"/>
    <col min="4" customWidth="1" max="4" width="10.86"/>
    <col min="5" customWidth="1" max="5" width="12.86"/>
    <col min="6" customWidth="1" max="6" width="9.0"/>
    <col min="7" customWidth="1" max="7" width="0.86"/>
  </cols>
  <sheetData>
    <row customHeight="1" r="1" ht="15.75">
      <c s="11" r="A1"/>
      <c t="s" s="84" r="B1">
        <v>38</v>
      </c>
      <c s="165" r="C1"/>
      <c s="44" r="D1"/>
      <c s="44" r="E1"/>
      <c s="39" r="F1"/>
      <c s="61" r="G1"/>
    </row>
    <row r="2">
      <c s="11" r="A2"/>
      <c t="s" s="117" r="B2">
        <v>3</v>
      </c>
      <c t="s" s="157" r="C2">
        <v>39</v>
      </c>
      <c t="s" s="59" r="D2">
        <v>40</v>
      </c>
      <c s="164" r="E2"/>
      <c s="47" r="F2"/>
      <c s="61" r="G2"/>
    </row>
    <row r="3">
      <c s="11" r="A3"/>
      <c t="s" s="117" r="B3">
        <v>7</v>
      </c>
      <c t="s" s="157" r="C3">
        <v>41</v>
      </c>
      <c t="s" s="157" r="D3">
        <v>5</v>
      </c>
      <c t="s" s="138" r="E3">
        <v>41</v>
      </c>
      <c s="79" r="F3"/>
      <c s="61" r="G3"/>
    </row>
    <row r="4">
      <c s="11" r="A4"/>
      <c s="5" r="B4">
        <v>1993</v>
      </c>
      <c t="s" s="137" r="C4">
        <v>9</v>
      </c>
      <c t="s" s="101" r="D4">
        <v>9</v>
      </c>
      <c t="s" s="155" r="E4">
        <v>42</v>
      </c>
      <c s="100" r="F4"/>
      <c s="61" r="G4"/>
    </row>
    <row r="5">
      <c s="11" r="A5"/>
      <c s="107" r="B5">
        <v>1994</v>
      </c>
      <c s="89" r="C5">
        <v>296.27776424626</v>
      </c>
      <c s="15" r="D5">
        <v>4692.74991001332</v>
      </c>
      <c s="140" r="E5">
        <f>C5/D5</f>
        <v>0.063135212812868</v>
      </c>
      <c s="2" r="F5"/>
      <c s="61" r="G5"/>
    </row>
    <row r="6">
      <c s="11" r="A6"/>
      <c s="61" r="B6">
        <f>1+B5</f>
        <v>1995</v>
      </c>
      <c s="112" r="C6">
        <v>332.41355503062</v>
      </c>
      <c s="8" r="D6">
        <v>4973.98290070939</v>
      </c>
      <c s="57" r="E6">
        <f>C6/D6</f>
        <v>0.066830457938086</v>
      </c>
      <c s="87" r="F6"/>
      <c s="61" r="G6"/>
    </row>
    <row r="7">
      <c s="11" r="A7"/>
      <c s="61" r="B7">
        <f>1+B6</f>
        <v>1996</v>
      </c>
      <c s="112" r="C7">
        <v>343.95507669515</v>
      </c>
      <c s="8" r="D7">
        <v>5224.81093913573</v>
      </c>
      <c s="57" r="E7">
        <f>C7/D7</f>
        <v>0.065831104838417</v>
      </c>
      <c s="87" r="F7"/>
      <c s="61" r="G7"/>
    </row>
    <row r="8">
      <c s="11" r="A8"/>
      <c s="61" r="B8">
        <f>1+B7</f>
        <v>1997</v>
      </c>
      <c s="112" r="C8">
        <v>355.79583421466</v>
      </c>
      <c s="8" r="D8">
        <v>5413.14601139734</v>
      </c>
      <c s="57" r="E8">
        <f>C8/D8</f>
        <v>0.065728105886214</v>
      </c>
      <c s="87" r="F8"/>
      <c s="61" r="G8"/>
    </row>
    <row r="9">
      <c s="11" r="A9"/>
      <c s="61" r="B9">
        <f>1+B8</f>
        <v>1998</v>
      </c>
      <c s="112" r="C9">
        <v>363.82372292026</v>
      </c>
      <c s="8" r="D9">
        <v>5526.19300889762</v>
      </c>
      <c s="57" r="E9">
        <f>C9/D9</f>
        <v>0.065836231621746</v>
      </c>
      <c s="87" r="F9"/>
      <c s="61" r="G9"/>
    </row>
    <row r="10">
      <c s="11" r="A10"/>
      <c s="61" r="B10">
        <f>1+B9</f>
        <v>1999</v>
      </c>
      <c s="112" r="C10">
        <v>353.51147172287</v>
      </c>
      <c s="8" r="D10">
        <v>5656.27090161543</v>
      </c>
      <c s="57" r="E10">
        <f>C10/D10</f>
        <v>0.062499034765451</v>
      </c>
      <c s="87" r="F10"/>
      <c s="61" r="G10"/>
    </row>
    <row r="11">
      <c s="11" r="A11"/>
      <c s="61" r="B11">
        <f>1+B10</f>
        <v>2000</v>
      </c>
      <c s="112" r="C11">
        <v>361.99773430236</v>
      </c>
      <c s="108" r="D11">
        <v>5674.17820988686</v>
      </c>
      <c s="57" r="E11">
        <f>C11/D11</f>
        <v>0.063797385438407</v>
      </c>
      <c s="87" r="F11"/>
      <c s="61" r="G11"/>
    </row>
    <row r="12">
      <c s="11" r="A12"/>
      <c s="61" r="B12">
        <f>1+B11</f>
        <v>2001</v>
      </c>
      <c s="112" r="C12">
        <v>359.50763524241</v>
      </c>
      <c s="108" r="D12">
        <v>5807.46341220006</v>
      </c>
      <c s="57" r="E12">
        <f>C12/D12</f>
        <v>0.061904416735054</v>
      </c>
      <c s="87" r="F12"/>
      <c s="61" r="G12"/>
    </row>
    <row customHeight="1" r="13" ht="7.5">
      <c s="11" r="A13"/>
      <c s="61" r="B13"/>
      <c s="4" r="D13"/>
      <c s="90" r="E13"/>
      <c s="11" r="F13"/>
      <c s="61" r="G13"/>
    </row>
    <row r="14">
      <c s="11" r="A14"/>
      <c s="61" r="B14">
        <v>2010</v>
      </c>
      <c s="112" r="C14">
        <v>413.95482536217</v>
      </c>
      <c s="108" r="D14">
        <v>13561.6230308917</v>
      </c>
      <c s="57" r="E14">
        <f>C14/D14</f>
        <v>0.030523988494536</v>
      </c>
      <c s="11" r="F14"/>
      <c s="61" r="G14"/>
    </row>
    <row customHeight="1" r="15" ht="5.25">
      <c s="11" r="A15"/>
      <c s="71" r="B15"/>
      <c s="21" r="C15"/>
      <c s="145" r="D15"/>
      <c s="21" r="E15"/>
      <c s="32" r="F15"/>
      <c s="61" r="G15"/>
    </row>
    <row customHeight="1" r="16" ht="6.75">
      <c s="25" r="B16"/>
      <c s="25" r="C16"/>
      <c s="25" r="D16"/>
      <c s="25" r="E16"/>
      <c s="25" r="F16"/>
    </row>
    <row customHeight="1" r="17" ht="18.0">
      <c s="111" r="A17"/>
      <c t="s" s="84" r="B17">
        <v>43</v>
      </c>
      <c s="165" r="C17"/>
      <c s="44" r="D17"/>
      <c s="165" r="E17"/>
      <c s="39" r="F17"/>
      <c s="143" r="G17"/>
      <c s="18" r="H17"/>
      <c s="18" r="I17"/>
      <c s="18" r="J17"/>
      <c s="18" r="K17"/>
      <c s="18" r="L17"/>
      <c s="18" r="M17"/>
      <c s="18" r="N17"/>
      <c s="18" r="O17"/>
      <c s="18" r="P17"/>
      <c s="18" r="Q17"/>
      <c s="18" r="R17"/>
      <c s="18" r="S17"/>
    </row>
    <row r="18">
      <c s="111" r="A18"/>
      <c s="117" r="B18"/>
      <c s="73" r="C18"/>
      <c s="157" r="D18"/>
      <c t="s" s="78" r="E18">
        <v>12</v>
      </c>
      <c s="79" r="F18"/>
      <c s="143" r="G18"/>
      <c s="18" r="H18"/>
      <c s="18" r="I18"/>
      <c s="18" r="J18"/>
      <c s="18" r="K18"/>
      <c s="18" r="L18"/>
      <c s="18" r="M18"/>
      <c s="18" r="N18"/>
      <c s="18" r="O18"/>
      <c s="18" r="P18"/>
      <c s="18" r="Q18"/>
      <c s="18" r="R18"/>
      <c s="18" r="S18"/>
    </row>
    <row r="19">
      <c s="111" r="A19"/>
      <c t="s" s="117" r="B19">
        <v>44</v>
      </c>
      <c s="73" r="C19"/>
      <c t="s" s="138" r="D19">
        <v>45</v>
      </c>
      <c t="s" s="78" r="E19">
        <v>46</v>
      </c>
      <c t="s" s="47" r="F19">
        <v>41</v>
      </c>
      <c s="143" r="G19"/>
      <c s="18" r="H19"/>
      <c s="18" r="I19"/>
      <c s="18" r="J19"/>
      <c s="18" r="K19"/>
      <c s="18" r="L19"/>
      <c s="18" r="M19"/>
      <c s="18" r="N19"/>
      <c s="18" r="O19"/>
      <c s="18" r="P19"/>
      <c s="18" r="Q19"/>
      <c s="18" r="R19"/>
      <c s="18" r="S19"/>
    </row>
    <row r="20">
      <c s="111" r="A20"/>
      <c t="s" s="70" r="B20">
        <v>47</v>
      </c>
      <c s="29" r="C20"/>
      <c t="s" s="138" r="D20">
        <v>9</v>
      </c>
      <c s="78" r="E20">
        <f>'Debt Calculation'!E7</f>
        <v>3413.63388313938</v>
      </c>
      <c t="s" s="47" r="F20">
        <v>42</v>
      </c>
      <c s="143" r="G20"/>
      <c s="18" r="H20"/>
      <c s="18" r="I20"/>
      <c s="18" r="J20"/>
      <c s="18" r="K20"/>
      <c s="18" r="L20"/>
      <c s="18" r="M20"/>
      <c s="18" r="N20"/>
      <c s="18" r="O20"/>
      <c s="18" r="P20"/>
      <c s="18" r="Q20"/>
      <c s="18" r="R20"/>
      <c s="18" r="S20"/>
    </row>
    <row r="21">
      <c s="111" r="A21"/>
      <c t="s" s="163" r="B21">
        <v>48</v>
      </c>
      <c s="26" r="C21"/>
      <c s="148" r="D21">
        <f>E5*E20</f>
        <v>215.520501677223</v>
      </c>
      <c s="148" r="E21">
        <f>D21+E20</f>
        <v>3629.1543848166</v>
      </c>
      <c s="134" r="F21">
        <f>E5</f>
        <v>0.063135212812868</v>
      </c>
      <c s="143" r="G21"/>
      <c s="18" r="H21"/>
      <c s="18" r="I21"/>
      <c s="18" r="J21"/>
      <c s="18" r="K21"/>
      <c s="18" r="L21"/>
      <c s="18" r="M21"/>
      <c s="18" r="N21"/>
      <c s="18" r="O21"/>
      <c s="18" r="P21"/>
      <c s="18" r="Q21"/>
      <c s="18" r="R21"/>
      <c s="18" r="S21"/>
    </row>
    <row r="22">
      <c s="111" r="A22"/>
      <c t="s" s="163" r="B22">
        <v>49</v>
      </c>
      <c s="26" r="C22"/>
      <c s="148" r="D22">
        <f>E6*E21</f>
        <v>242.538049465308</v>
      </c>
      <c s="148" r="E22">
        <f>D22+E21</f>
        <v>3871.69243428191</v>
      </c>
      <c s="134" r="F22">
        <f>E6</f>
        <v>0.066830457938086</v>
      </c>
      <c s="143" r="G22"/>
      <c s="18" r="H22"/>
      <c s="18" r="I22"/>
      <c s="18" r="J22"/>
      <c s="18" r="K22"/>
      <c s="18" r="L22"/>
      <c s="18" r="M22"/>
      <c s="18" r="N22"/>
      <c s="18" r="O22"/>
      <c s="18" r="P22"/>
      <c s="18" r="Q22"/>
      <c s="18" r="R22"/>
      <c s="18" r="S22"/>
    </row>
    <row r="23">
      <c s="111" r="A23"/>
      <c t="s" s="163" r="B23">
        <v>50</v>
      </c>
      <c s="26" r="C23"/>
      <c s="148" r="D23">
        <f>E7*E22</f>
        <v>254.877790543317</v>
      </c>
      <c s="148" r="E23">
        <f>D23+E22</f>
        <v>4126.57022482523</v>
      </c>
      <c s="134" r="F23">
        <f>E7</f>
        <v>0.065831104838417</v>
      </c>
      <c s="143" r="G23"/>
      <c s="18" r="H23"/>
      <c s="18" r="I23"/>
      <c s="18" r="J23"/>
      <c s="18" r="K23"/>
      <c s="18" r="L23"/>
      <c s="18" r="M23"/>
      <c s="18" r="N23"/>
      <c s="18" r="O23"/>
      <c s="18" r="P23"/>
      <c s="18" r="Q23"/>
      <c s="18" r="R23"/>
      <c s="18" r="S23"/>
    </row>
    <row r="24">
      <c s="111" r="A24"/>
      <c t="s" s="163" r="B24">
        <v>51</v>
      </c>
      <c s="26" r="C24"/>
      <c s="148" r="D24">
        <f>E8*E23</f>
        <v>271.231644684209</v>
      </c>
      <c s="148" r="E24">
        <f>D24+E23</f>
        <v>4397.80186950944</v>
      </c>
      <c s="134" r="F24">
        <f>E8</f>
        <v>0.065728105886214</v>
      </c>
      <c s="143" r="G24"/>
      <c s="18" r="H24"/>
      <c s="18" r="I24"/>
      <c s="18" r="J24"/>
      <c s="18" r="K24"/>
      <c s="18" r="L24"/>
      <c s="18" r="M24"/>
      <c s="18" r="N24"/>
      <c s="18" r="O24"/>
      <c s="18" r="P24"/>
      <c s="18" r="Q24"/>
      <c s="18" r="R24"/>
      <c s="18" r="S24"/>
    </row>
    <row r="25">
      <c s="111" r="A25"/>
      <c t="s" s="163" r="B25">
        <v>52</v>
      </c>
      <c s="26" r="C25"/>
      <c s="148" r="D25">
        <f>E9*E24</f>
        <v>289.534702507573</v>
      </c>
      <c s="148" r="E25">
        <f>D25+E24</f>
        <v>4687.33657201701</v>
      </c>
      <c s="134" r="F25">
        <f>E9</f>
        <v>0.065836231621746</v>
      </c>
      <c s="143" r="G25"/>
      <c s="18" r="H25"/>
      <c s="18" r="I25"/>
      <c s="18" r="J25"/>
      <c s="18" r="K25"/>
      <c s="18" r="L25"/>
      <c s="18" r="M25"/>
      <c s="18" r="N25"/>
      <c s="18" r="O25"/>
      <c s="18" r="P25"/>
      <c s="18" r="Q25"/>
      <c s="18" r="R25"/>
      <c s="18" r="S25"/>
    </row>
    <row r="26">
      <c s="111" r="A26"/>
      <c t="s" s="122" r="B26">
        <v>53</v>
      </c>
      <c s="146" r="C26"/>
      <c s="148" r="D26">
        <f>E10*E25</f>
        <v>292.95401137186</v>
      </c>
      <c s="148" r="E26">
        <f>D26+E25</f>
        <v>4980.29058338887</v>
      </c>
      <c s="134" r="F26">
        <f>E10</f>
        <v>0.062499034765451</v>
      </c>
      <c s="143" r="G26"/>
      <c s="18" r="H26"/>
      <c s="18" r="I26"/>
      <c s="18" r="J26"/>
      <c s="18" r="K26"/>
      <c s="18" r="L26"/>
      <c s="18" r="M26"/>
      <c s="18" r="N26"/>
      <c s="18" r="O26"/>
      <c s="18" r="P26"/>
      <c s="18" r="Q26"/>
      <c s="18" r="R26"/>
      <c s="18" r="S26"/>
    </row>
    <row r="27">
      <c s="111" r="A27"/>
      <c t="s" s="75" r="B27">
        <v>54</v>
      </c>
      <c s="162" r="C27"/>
      <c s="148" r="D27">
        <f>E11*E26</f>
        <v>317.729517943727</v>
      </c>
      <c s="148" r="E27">
        <f>D27+E26</f>
        <v>5298.0201013326</v>
      </c>
      <c s="134" r="F27">
        <f>E11</f>
        <v>0.063797385438407</v>
      </c>
      <c s="143" r="G27"/>
      <c s="18" r="H27"/>
      <c s="18" r="I27"/>
      <c s="18" r="J27"/>
      <c s="18" r="K27"/>
      <c s="18" r="L27"/>
      <c s="18" r="M27"/>
      <c s="18" r="N27"/>
      <c s="18" r="O27"/>
      <c s="18" r="P27"/>
      <c s="18" r="Q27"/>
      <c s="18" r="R27"/>
      <c s="18" r="S27"/>
    </row>
    <row r="28">
      <c s="11" r="A28"/>
      <c t="s" s="141" r="B28">
        <v>55</v>
      </c>
      <c s="95" r="C28"/>
      <c s="121" r="D28">
        <f>E12*E27</f>
        <v>327.970844223585</v>
      </c>
      <c s="28" r="E28"/>
      <c s="13" r="F28">
        <f>E12</f>
        <v>0.061904416735054</v>
      </c>
      <c s="61" r="G28"/>
    </row>
    <row r="29">
      <c s="11" r="A29"/>
      <c t="s" s="45" r="B29">
        <v>56</v>
      </c>
      <c s="158" r="C29"/>
      <c s="150" r="D29">
        <f>sum(D21:D28)</f>
        <v>2212.3570624168</v>
      </c>
      <c t="s" s="33" r="E29">
        <v>57</v>
      </c>
      <c s="33" r="F29"/>
      <c s="61" r="G29"/>
    </row>
    <row customHeight="1" r="30" ht="6.75">
      <c s="11" r="A30"/>
      <c s="61" r="B30"/>
      <c s="90" r="E30"/>
      <c s="23" r="F30"/>
      <c s="61" r="G30"/>
    </row>
    <row r="31">
      <c s="11" r="A31"/>
      <c t="s" s="144" r="B31">
        <v>58</v>
      </c>
      <c s="142" r="C31"/>
      <c s="142" r="D31"/>
      <c s="148" r="E31">
        <f>'Debt Calculation'!E16</f>
        <v>11692.3565368679</v>
      </c>
      <c s="23" r="F31"/>
      <c s="61" r="G31"/>
    </row>
    <row r="32">
      <c s="11" r="A32"/>
      <c t="s" s="153" r="B32">
        <v>59</v>
      </c>
      <c s="147" r="C32"/>
      <c s="91" r="D32">
        <f>E14*E31</f>
        <v>356.897356405367</v>
      </c>
      <c s="134" r="F32">
        <f>E14</f>
        <v>0.030523988494536</v>
      </c>
      <c s="61" r="G32"/>
    </row>
    <row r="33">
      <c s="11" r="A33"/>
      <c s="71" r="B33"/>
      <c s="21" r="C33"/>
      <c s="21" r="D33"/>
      <c s="21" r="E33"/>
      <c s="1" r="F33"/>
      <c s="61" r="G33"/>
    </row>
    <row customHeight="1" r="34" ht="9.0">
      <c s="139" r="B34"/>
      <c s="139" r="C34"/>
      <c s="139" r="D34"/>
      <c s="139" r="E34"/>
      <c s="139" r="F34"/>
    </row>
    <row customHeight="1" r="35" ht="16.5">
      <c s="92" r="A35"/>
      <c t="s" s="58" r="B35">
        <v>60</v>
      </c>
      <c s="55" r="C35"/>
      <c s="55" r="D35"/>
      <c s="55" r="E35"/>
      <c s="38" r="F35"/>
      <c s="85" r="G35"/>
    </row>
    <row r="36">
      <c s="92" r="A36"/>
      <c t="s" s="68" r="B36">
        <v>30</v>
      </c>
      <c s="136" r="C36"/>
      <c s="136" r="D36"/>
      <c s="136" r="E36"/>
      <c s="127" r="F36"/>
      <c s="85" r="G36"/>
    </row>
    <row r="37">
      <c s="92" r="A37"/>
      <c t="s" s="149" r="B37">
        <v>31</v>
      </c>
      <c s="52" r="C37"/>
      <c s="52" r="D37"/>
      <c s="52" r="E37"/>
      <c s="30" r="F37"/>
      <c s="85" r="G37"/>
    </row>
    <row r="38">
      <c s="92" r="A38"/>
      <c t="s" s="130" r="B38">
        <v>32</v>
      </c>
      <c s="56" r="C38"/>
      <c s="56" r="D38"/>
      <c s="56" r="E38"/>
      <c s="54" r="F38"/>
      <c s="85" r="G38"/>
    </row>
    <row r="39">
      <c s="92" r="A39"/>
      <c t="s" s="116" r="B39">
        <v>33</v>
      </c>
      <c s="76" r="C39"/>
      <c s="76" r="D39"/>
      <c s="76" r="E39"/>
      <c s="10" r="F39"/>
      <c s="85" r="G39"/>
    </row>
    <row r="40">
      <c s="92" r="A40"/>
      <c t="s" s="86" r="B40">
        <v>61</v>
      </c>
      <c s="113" r="C40"/>
      <c s="113" r="D40"/>
      <c s="113" r="E40"/>
      <c s="129" r="F40"/>
      <c s="85" r="G40"/>
    </row>
    <row r="41">
      <c s="92" r="A41"/>
      <c t="s" s="41" r="B41">
        <v>62</v>
      </c>
      <c s="24" r="C41"/>
      <c s="24" r="D41"/>
      <c s="24" r="E41"/>
      <c s="103" r="F41"/>
      <c s="85" r="G41"/>
    </row>
    <row customHeight="1" r="42" ht="3.75">
      <c s="51" r="B42"/>
      <c s="51" r="C42"/>
      <c s="51" r="D42"/>
      <c s="51" r="E42"/>
      <c s="51" r="F42"/>
    </row>
  </sheetData>
  <mergeCells count="23">
    <mergeCell ref="B1:F1"/>
    <mergeCell ref="B17:F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E29:F29"/>
    <mergeCell ref="B31:D31"/>
    <mergeCell ref="B32:C32"/>
    <mergeCell ref="B35:F35"/>
    <mergeCell ref="B36:F36"/>
    <mergeCell ref="B37:F37"/>
    <mergeCell ref="B38:F38"/>
    <mergeCell ref="B39:F39"/>
    <mergeCell ref="B40:F40"/>
    <mergeCell ref="B41:F41"/>
  </mergeCells>
</worksheet>
</file>