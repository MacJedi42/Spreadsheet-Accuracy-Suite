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86" i="1"/>
  <c r="B86"/>
  <c r="D83"/>
  <c r="D82"/>
  <c r="D86" s="1"/>
  <c r="D78"/>
  <c r="D77"/>
  <c r="C76"/>
  <c r="D76" s="1"/>
  <c r="B76"/>
  <c r="D75"/>
  <c r="C75"/>
  <c r="C79" s="1"/>
  <c r="B75"/>
  <c r="B79" s="1"/>
  <c r="D71"/>
  <c r="D70"/>
  <c r="D69"/>
  <c r="C69"/>
  <c r="B69"/>
  <c r="C68"/>
  <c r="C72" s="1"/>
  <c r="B68"/>
  <c r="B72" s="1"/>
  <c r="D64"/>
  <c r="D63"/>
  <c r="C62"/>
  <c r="B62"/>
  <c r="D62" s="1"/>
  <c r="C61"/>
  <c r="C65" s="1"/>
  <c r="B61"/>
  <c r="D61" s="1"/>
  <c r="D55"/>
  <c r="D58" s="1"/>
  <c r="D54"/>
  <c r="C50"/>
  <c r="B50"/>
  <c r="D47"/>
  <c r="D46"/>
  <c r="D50" s="1"/>
  <c r="C43"/>
  <c r="B43"/>
  <c r="D41"/>
  <c r="D40"/>
  <c r="D39"/>
  <c r="D43" s="1"/>
  <c r="C35"/>
  <c r="B35"/>
  <c r="D34"/>
  <c r="D32"/>
  <c r="D31"/>
  <c r="D35" s="1"/>
  <c r="C28"/>
  <c r="B28"/>
  <c r="D25"/>
  <c r="D24"/>
  <c r="D28" s="1"/>
  <c r="C21"/>
  <c r="B21"/>
  <c r="D20"/>
  <c r="D18"/>
  <c r="D21" s="1"/>
  <c r="D17"/>
  <c r="C14"/>
  <c r="B14"/>
  <c r="D13"/>
  <c r="D12"/>
  <c r="D14" s="1"/>
  <c r="D11"/>
  <c r="D10"/>
  <c r="D7"/>
  <c r="C7"/>
  <c r="B7"/>
  <c r="D79" l="1"/>
  <c r="D65"/>
  <c r="B65"/>
  <c r="D68"/>
  <c r="D72" s="1"/>
</calcChain>
</file>

<file path=xl/comments1.xml><?xml version="1.0" encoding="utf-8"?>
<comments xmlns="http://schemas.openxmlformats.org/spreadsheetml/2006/main">
  <authors>
    <author>Kerry P. Hogan</author>
  </authors>
  <commentList>
    <comment ref="A2" authorId="0">
      <text>
        <r>
          <rPr>
            <b/>
            <sz val="8"/>
            <color indexed="81"/>
            <rFont val="Tahoma"/>
            <family val="2"/>
          </rPr>
          <t>Kerry P. Hogan:</t>
        </r>
        <r>
          <rPr>
            <sz val="8"/>
            <color indexed="81"/>
            <rFont val="Tahoma"/>
            <family val="2"/>
          </rPr>
          <t xml:space="preserve">
Albany, Fulton, Montgomery, Rensselaer, Saratoga, Schenectady, Schodarie Counties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Kerry P. Hogan:</t>
        </r>
        <r>
          <rPr>
            <sz val="8"/>
            <color indexed="81"/>
            <rFont val="Tahoma"/>
            <family val="2"/>
          </rPr>
          <t xml:space="preserve">
Cayuga, Cortland, Herkimer, Madison, Onedida, Onondaga, Oswego Counties
</t>
        </r>
      </text>
    </comment>
    <comment ref="A16" authorId="0">
      <text>
        <r>
          <rPr>
            <b/>
            <sz val="8"/>
            <color indexed="81"/>
            <rFont val="Tahoma"/>
            <family val="2"/>
          </rPr>
          <t>Kerry P. Hogan:</t>
        </r>
        <r>
          <rPr>
            <sz val="8"/>
            <color indexed="81"/>
            <rFont val="Tahoma"/>
            <family val="2"/>
          </rPr>
          <t xml:space="preserve">
Genesee, Livingston, Monroe, Ontario, Orleans, Seneca, Wayne, Wyoming, Yates Counties</t>
        </r>
      </text>
    </comment>
    <comment ref="A23" authorId="0">
      <text>
        <r>
          <rPr>
            <b/>
            <sz val="8"/>
            <color indexed="81"/>
            <rFont val="Tahoma"/>
            <family val="2"/>
          </rPr>
          <t>Kerry P. Hogan:</t>
        </r>
        <r>
          <rPr>
            <sz val="8"/>
            <color indexed="81"/>
            <rFont val="Tahoma"/>
            <family val="2"/>
          </rPr>
          <t xml:space="preserve">
Columbia, Delaware, Dutchess, Greene, Orange, Putnam, Rockland, Sullivan, Ulster Counties</t>
        </r>
      </text>
    </comment>
    <comment ref="A30" authorId="0">
      <text>
        <r>
          <rPr>
            <b/>
            <sz val="8"/>
            <color indexed="81"/>
            <rFont val="Tahoma"/>
            <family val="2"/>
          </rPr>
          <t>Kerry P. Hogan:</t>
        </r>
        <r>
          <rPr>
            <sz val="8"/>
            <color indexed="81"/>
            <rFont val="Tahoma"/>
            <family val="2"/>
          </rPr>
          <t xml:space="preserve">
Bronx, Kings, New York, Queens, Richmond Counties</t>
        </r>
      </text>
    </comment>
    <comment ref="A38" authorId="0">
      <text>
        <r>
          <rPr>
            <b/>
            <sz val="8"/>
            <color indexed="81"/>
            <rFont val="Tahoma"/>
            <family val="2"/>
          </rPr>
          <t>Kerry P. Hogan:</t>
        </r>
        <r>
          <rPr>
            <sz val="8"/>
            <color indexed="81"/>
            <rFont val="Tahoma"/>
            <family val="2"/>
          </rPr>
          <t xml:space="preserve">
Clinton, Essex, Franklin, Jefferson, Lewis, Saint Lawrence, Warren, Washington, Hamilton Counties</t>
        </r>
      </text>
    </comment>
    <comment ref="A45" authorId="0">
      <text>
        <r>
          <rPr>
            <b/>
            <sz val="8"/>
            <color indexed="81"/>
            <rFont val="Tahoma"/>
            <family val="2"/>
          </rPr>
          <t>Kerry P. Hogan:</t>
        </r>
        <r>
          <rPr>
            <sz val="8"/>
            <color indexed="81"/>
            <rFont val="Tahoma"/>
            <family val="2"/>
          </rPr>
          <t xml:space="preserve">
Broome, Chemung, Chenango, Otsego, Schuyler, Steuben, Tioga, Tompkins Counties</t>
        </r>
      </text>
    </comment>
    <comment ref="A53" authorId="0">
      <text>
        <r>
          <rPr>
            <b/>
            <sz val="8"/>
            <color indexed="81"/>
            <rFont val="Tahoma"/>
            <family val="2"/>
          </rPr>
          <t>Kerry P. Hogan:</t>
        </r>
        <r>
          <rPr>
            <sz val="8"/>
            <color indexed="81"/>
            <rFont val="Tahoma"/>
            <family val="2"/>
          </rPr>
          <t xml:space="preserve">
Allegany, Cattaraugus, Chautauqua, Erie, Niagara Counties</t>
        </r>
      </text>
    </comment>
  </commentList>
</comments>
</file>

<file path=xl/sharedStrings.xml><?xml version="1.0" encoding="utf-8"?>
<sst xmlns="http://schemas.openxmlformats.org/spreadsheetml/2006/main" count="76" uniqueCount="20">
  <si>
    <t xml:space="preserve">Region </t>
  </si>
  <si>
    <t># Appliances Without Recycle Rebate</t>
  </si>
  <si>
    <t># Appliances with Recycling Rebate</t>
  </si>
  <si>
    <t xml:space="preserve">Total </t>
  </si>
  <si>
    <t xml:space="preserve">Capital </t>
  </si>
  <si>
    <t xml:space="preserve">Refrigerator </t>
  </si>
  <si>
    <t xml:space="preserve">Clothes Washer </t>
  </si>
  <si>
    <t>Freezer</t>
  </si>
  <si>
    <t>Dishwasher</t>
  </si>
  <si>
    <t xml:space="preserve">Central </t>
  </si>
  <si>
    <t xml:space="preserve">Finger Lakes </t>
  </si>
  <si>
    <t xml:space="preserve">Hudson </t>
  </si>
  <si>
    <t xml:space="preserve">New York City </t>
  </si>
  <si>
    <t xml:space="preserve">North County </t>
  </si>
  <si>
    <t xml:space="preserve">Southern Tier </t>
  </si>
  <si>
    <t xml:space="preserve">Western </t>
  </si>
  <si>
    <t xml:space="preserve">Nassau County </t>
  </si>
  <si>
    <t xml:space="preserve">Suffolk County </t>
  </si>
  <si>
    <t xml:space="preserve">Westchester County </t>
  </si>
  <si>
    <t xml:space="preserve">No County Listed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</si>
</sst>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164" fontId="3" fillId="0" borderId="0" xfId="1" applyNumberFormat="1" applyFont="1"/>
    <xf numFmtId="0" fontId="0" fillId="2" borderId="0" xfId="0" applyFill="1"/>
    <xf numFmtId="0" fontId="2" fillId="0" borderId="0" xfId="0" applyFont="1" applyAlignment="1">
      <alignment horizontal="center" wrapText="1"/>
    </xf>
    <xf numFmtId="164" fontId="0" fillId="0" borderId="0" xfId="1" applyNumberFormat="1" applyFont="1"/>
    <xf numFmtId="0" fontId="2" fillId="0" borderId="0" xfId="0" applyFont="1" applyAlignment="1">
      <alignment horizontal="right"/>
    </xf>
    <xf numFmtId="164" fontId="1" fillId="0" borderId="0" xfId="1" applyNumberFormat="1" applyFont="1" applyFill="1"/>
    <xf numFmtId="164" fontId="1" fillId="3" borderId="0" xfId="1" applyNumberFormat="1" applyFont="1" applyFill="1"/>
    <xf numFmtId="164" fontId="0" fillId="0" borderId="0" xfId="1" applyNumberFormat="1" applyFont="1" applyFill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>
      <selection activeCell="A60" sqref="A60"/>
    </sheetView>
  </sheetViews>
  <sheetFormatPr defaultRowHeight="15"/>
  <cols>
    <col min="1" max="1" width="19.5703125" bestFit="1" customWidth="1"/>
    <col min="2" max="2" width="17.7109375" customWidth="1"/>
    <col min="3" max="3" width="18.42578125" customWidth="1"/>
    <col min="4" max="4" width="11.42578125" customWidth="1"/>
  </cols>
  <sheetData>
    <row r="1" spans="1:4" ht="75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/>
      <c r="C2" s="5"/>
      <c r="D2" s="6"/>
    </row>
    <row r="3" spans="1:4">
      <c r="A3" t="s">
        <v>5</v>
      </c>
      <c r="B3" s="6">
        <v>2231</v>
      </c>
      <c r="C3" s="6">
        <v>6144</v>
      </c>
      <c r="D3" s="6">
        <v>8375</v>
      </c>
    </row>
    <row r="4" spans="1:4">
      <c r="A4" t="s">
        <v>6</v>
      </c>
      <c r="B4" s="6">
        <v>2110</v>
      </c>
      <c r="C4" s="6">
        <v>6526</v>
      </c>
      <c r="D4" s="6">
        <v>8636</v>
      </c>
    </row>
    <row r="5" spans="1:4">
      <c r="A5" t="s">
        <v>7</v>
      </c>
      <c r="B5">
        <v>124</v>
      </c>
      <c r="C5">
        <v>283</v>
      </c>
      <c r="D5" s="6">
        <v>407</v>
      </c>
    </row>
    <row r="6" spans="1:4">
      <c r="A6" t="s">
        <v>8</v>
      </c>
      <c r="B6">
        <v>146</v>
      </c>
      <c r="C6">
        <v>257</v>
      </c>
      <c r="D6" s="6">
        <v>403</v>
      </c>
    </row>
    <row r="7" spans="1:4">
      <c r="A7" s="7" t="s">
        <v>3</v>
      </c>
      <c r="B7" s="8">
        <f>SUM(B3:B6)</f>
        <v>4611</v>
      </c>
      <c r="C7" s="8">
        <f>SUM(C3:C6)</f>
        <v>13210</v>
      </c>
      <c r="D7" s="9">
        <f>SUM(D3:D6)</f>
        <v>17821</v>
      </c>
    </row>
    <row r="8" spans="1:4">
      <c r="B8" s="6"/>
      <c r="C8" s="6"/>
      <c r="D8" s="6"/>
    </row>
    <row r="9" spans="1:4">
      <c r="A9" s="4" t="s">
        <v>9</v>
      </c>
      <c r="B9" s="10"/>
      <c r="C9" s="10"/>
      <c r="D9" s="10"/>
    </row>
    <row r="10" spans="1:4">
      <c r="A10" t="s">
        <v>5</v>
      </c>
      <c r="B10" s="10">
        <v>2244</v>
      </c>
      <c r="C10" s="10">
        <v>4842</v>
      </c>
      <c r="D10" s="10">
        <f>SUM(B10:C10)</f>
        <v>7086</v>
      </c>
    </row>
    <row r="11" spans="1:4">
      <c r="A11" t="s">
        <v>6</v>
      </c>
      <c r="B11" s="10">
        <v>2094</v>
      </c>
      <c r="C11" s="10">
        <v>5042</v>
      </c>
      <c r="D11" s="10">
        <f>SUM(B11:C11)</f>
        <v>7136</v>
      </c>
    </row>
    <row r="12" spans="1:4">
      <c r="A12" t="s">
        <v>7</v>
      </c>
      <c r="B12" s="6">
        <v>224</v>
      </c>
      <c r="C12" s="6">
        <v>417</v>
      </c>
      <c r="D12" s="10">
        <f>SUM(B12:C12)</f>
        <v>641</v>
      </c>
    </row>
    <row r="13" spans="1:4">
      <c r="A13" t="s">
        <v>8</v>
      </c>
      <c r="B13" s="6">
        <v>88</v>
      </c>
      <c r="C13" s="6">
        <v>103</v>
      </c>
      <c r="D13" s="10">
        <f>SUM(B13:C13)</f>
        <v>191</v>
      </c>
    </row>
    <row r="14" spans="1:4">
      <c r="A14" s="7" t="s">
        <v>3</v>
      </c>
      <c r="B14" s="10">
        <f t="shared" ref="B14:C14" si="0">SUM(B10:B13)</f>
        <v>4650</v>
      </c>
      <c r="C14" s="10">
        <f t="shared" si="0"/>
        <v>10404</v>
      </c>
      <c r="D14" s="11">
        <f>SUM(D10:D13)</f>
        <v>15054</v>
      </c>
    </row>
    <row r="15" spans="1:4">
      <c r="A15" s="7"/>
      <c r="B15" s="10"/>
      <c r="C15" s="10"/>
      <c r="D15" s="10"/>
    </row>
    <row r="16" spans="1:4">
      <c r="A16" s="4" t="s">
        <v>10</v>
      </c>
      <c r="B16" s="10"/>
      <c r="C16" s="10"/>
      <c r="D16" s="10"/>
    </row>
    <row r="17" spans="1:4">
      <c r="A17" t="s">
        <v>5</v>
      </c>
      <c r="B17" s="10">
        <v>2765</v>
      </c>
      <c r="C17" s="10">
        <v>6539</v>
      </c>
      <c r="D17" s="10">
        <f>SUM(B17:C17)</f>
        <v>9304</v>
      </c>
    </row>
    <row r="18" spans="1:4">
      <c r="A18" t="s">
        <v>6</v>
      </c>
      <c r="B18" s="10">
        <v>2503</v>
      </c>
      <c r="C18" s="10">
        <v>6725</v>
      </c>
      <c r="D18" s="10">
        <f>SUM(B18:C18)</f>
        <v>9228</v>
      </c>
    </row>
    <row r="19" spans="1:4">
      <c r="A19" t="s">
        <v>7</v>
      </c>
      <c r="B19" s="10">
        <v>242</v>
      </c>
      <c r="C19" s="10">
        <v>436</v>
      </c>
      <c r="D19" s="10">
        <v>678</v>
      </c>
    </row>
    <row r="20" spans="1:4">
      <c r="A20" t="s">
        <v>8</v>
      </c>
      <c r="B20">
        <v>113</v>
      </c>
      <c r="C20">
        <v>115</v>
      </c>
      <c r="D20" s="10">
        <f>SUM(B20:C20)</f>
        <v>228</v>
      </c>
    </row>
    <row r="21" spans="1:4">
      <c r="A21" s="7" t="s">
        <v>3</v>
      </c>
      <c r="B21" s="6">
        <f>SUM(B17:B20)</f>
        <v>5623</v>
      </c>
      <c r="C21" s="6">
        <f>SUM(C17:C20)</f>
        <v>13815</v>
      </c>
      <c r="D21" s="11">
        <f>SUM(D17:D20)</f>
        <v>19438</v>
      </c>
    </row>
    <row r="22" spans="1:4">
      <c r="A22" s="7"/>
      <c r="B22" s="6"/>
      <c r="C22" s="6"/>
      <c r="D22" s="6"/>
    </row>
    <row r="23" spans="1:4">
      <c r="A23" s="4" t="s">
        <v>11</v>
      </c>
      <c r="B23" s="6"/>
      <c r="C23" s="6"/>
      <c r="D23" s="6"/>
    </row>
    <row r="24" spans="1:4">
      <c r="A24" t="s">
        <v>5</v>
      </c>
      <c r="B24" s="6">
        <v>2186</v>
      </c>
      <c r="C24" s="6">
        <v>4805</v>
      </c>
      <c r="D24" s="6">
        <f>SUM(B24:C24)</f>
        <v>6991</v>
      </c>
    </row>
    <row r="25" spans="1:4">
      <c r="A25" t="s">
        <v>6</v>
      </c>
      <c r="B25" s="6">
        <v>2189</v>
      </c>
      <c r="C25" s="6">
        <v>5109</v>
      </c>
      <c r="D25" s="6">
        <f>SUM(B25:C25)</f>
        <v>7298</v>
      </c>
    </row>
    <row r="26" spans="1:4">
      <c r="A26" t="s">
        <v>7</v>
      </c>
      <c r="B26" s="6">
        <v>216</v>
      </c>
      <c r="C26" s="6">
        <v>276</v>
      </c>
      <c r="D26" s="6">
        <v>492</v>
      </c>
    </row>
    <row r="27" spans="1:4">
      <c r="A27" t="s">
        <v>8</v>
      </c>
      <c r="B27" s="6">
        <v>144</v>
      </c>
      <c r="C27" s="6">
        <v>88</v>
      </c>
      <c r="D27" s="6">
        <v>232</v>
      </c>
    </row>
    <row r="28" spans="1:4">
      <c r="A28" s="7" t="s">
        <v>3</v>
      </c>
      <c r="B28" s="6">
        <f t="shared" ref="B28:C28" si="1">SUM(B24:B27)</f>
        <v>4735</v>
      </c>
      <c r="C28" s="6">
        <f t="shared" si="1"/>
        <v>10278</v>
      </c>
      <c r="D28" s="11">
        <f>SUM(D24:D27)</f>
        <v>15013</v>
      </c>
    </row>
    <row r="29" spans="1:4">
      <c r="A29" s="7"/>
      <c r="B29" s="6"/>
      <c r="C29" s="6"/>
      <c r="D29" s="6"/>
    </row>
    <row r="30" spans="1:4">
      <c r="A30" s="4" t="s">
        <v>12</v>
      </c>
      <c r="B30" s="6"/>
      <c r="C30" s="6"/>
      <c r="D30" s="6"/>
    </row>
    <row r="31" spans="1:4">
      <c r="A31" t="s">
        <v>5</v>
      </c>
      <c r="B31" s="6">
        <v>4299</v>
      </c>
      <c r="C31" s="6">
        <v>8421</v>
      </c>
      <c r="D31" s="6">
        <f t="shared" ref="D31:D32" si="2">SUM(B31:C31)</f>
        <v>12720</v>
      </c>
    </row>
    <row r="32" spans="1:4">
      <c r="A32" t="s">
        <v>6</v>
      </c>
      <c r="B32" s="6">
        <v>3692</v>
      </c>
      <c r="C32" s="6">
        <v>5895</v>
      </c>
      <c r="D32" s="6">
        <f t="shared" si="2"/>
        <v>9587</v>
      </c>
    </row>
    <row r="33" spans="1:4">
      <c r="A33" t="s">
        <v>7</v>
      </c>
      <c r="B33" s="6">
        <v>63</v>
      </c>
      <c r="C33" s="6">
        <v>60</v>
      </c>
      <c r="D33" s="6">
        <v>123</v>
      </c>
    </row>
    <row r="34" spans="1:4">
      <c r="A34" t="s">
        <v>8</v>
      </c>
      <c r="B34" s="6">
        <v>308</v>
      </c>
      <c r="C34" s="6">
        <v>113</v>
      </c>
      <c r="D34" s="6">
        <f>SUM(B34:C34)</f>
        <v>421</v>
      </c>
    </row>
    <row r="35" spans="1:4">
      <c r="A35" s="7" t="s">
        <v>3</v>
      </c>
      <c r="B35" s="6">
        <f t="shared" ref="B35:C35" si="3">SUM(B31:B34)</f>
        <v>8362</v>
      </c>
      <c r="C35" s="6">
        <f t="shared" si="3"/>
        <v>14489</v>
      </c>
      <c r="D35" s="12">
        <f>SUM(D31:D34)</f>
        <v>22851</v>
      </c>
    </row>
    <row r="36" spans="1:4">
      <c r="B36" s="6"/>
      <c r="C36" s="6"/>
      <c r="D36" s="6"/>
    </row>
    <row r="37" spans="1:4">
      <c r="B37" s="6"/>
      <c r="C37" s="6"/>
      <c r="D37" s="6"/>
    </row>
    <row r="38" spans="1:4">
      <c r="A38" s="4" t="s">
        <v>13</v>
      </c>
      <c r="B38" s="6"/>
      <c r="C38" s="6"/>
      <c r="D38" s="6"/>
    </row>
    <row r="39" spans="1:4">
      <c r="A39" t="s">
        <v>5</v>
      </c>
      <c r="B39" s="6">
        <v>1108</v>
      </c>
      <c r="C39" s="6">
        <v>2067</v>
      </c>
      <c r="D39" s="6">
        <f>SUM(B39:C39)</f>
        <v>3175</v>
      </c>
    </row>
    <row r="40" spans="1:4">
      <c r="A40" t="s">
        <v>6</v>
      </c>
      <c r="B40" s="6">
        <v>1263</v>
      </c>
      <c r="C40" s="6">
        <v>1943</v>
      </c>
      <c r="D40" s="6">
        <f>SUM(B40:C40)</f>
        <v>3206</v>
      </c>
    </row>
    <row r="41" spans="1:4">
      <c r="A41" t="s">
        <v>7</v>
      </c>
      <c r="B41" s="6">
        <v>141</v>
      </c>
      <c r="C41" s="6">
        <v>173</v>
      </c>
      <c r="D41" s="6">
        <f t="shared" ref="D41" si="4">SUM(B41:C41)</f>
        <v>314</v>
      </c>
    </row>
    <row r="42" spans="1:4">
      <c r="A42" t="s">
        <v>8</v>
      </c>
      <c r="B42" s="6">
        <v>39</v>
      </c>
      <c r="C42" s="6">
        <v>39</v>
      </c>
      <c r="D42" s="6">
        <v>78</v>
      </c>
    </row>
    <row r="43" spans="1:4">
      <c r="A43" s="7" t="s">
        <v>3</v>
      </c>
      <c r="B43" s="6">
        <f t="shared" ref="B43:C43" si="5">SUM(B39:B42)</f>
        <v>2551</v>
      </c>
      <c r="C43" s="6">
        <f t="shared" si="5"/>
        <v>4222</v>
      </c>
      <c r="D43" s="12">
        <f>SUM(D39:D42)</f>
        <v>6773</v>
      </c>
    </row>
    <row r="44" spans="1:4">
      <c r="B44" s="6"/>
      <c r="C44" s="6"/>
      <c r="D44" s="6"/>
    </row>
    <row r="45" spans="1:4">
      <c r="A45" s="4" t="s">
        <v>14</v>
      </c>
      <c r="B45" s="6"/>
      <c r="C45" s="6"/>
      <c r="D45" s="6"/>
    </row>
    <row r="46" spans="1:4">
      <c r="A46" t="s">
        <v>5</v>
      </c>
      <c r="B46" s="6">
        <v>1155</v>
      </c>
      <c r="C46" s="6">
        <v>2778</v>
      </c>
      <c r="D46" s="6">
        <f>SUM(B46:C46)</f>
        <v>3933</v>
      </c>
    </row>
    <row r="47" spans="1:4">
      <c r="A47" t="s">
        <v>6</v>
      </c>
      <c r="B47" s="6">
        <v>1085</v>
      </c>
      <c r="C47" s="6">
        <v>2972</v>
      </c>
      <c r="D47" s="6">
        <f>SUM(B47:C47)</f>
        <v>4057</v>
      </c>
    </row>
    <row r="48" spans="1:4">
      <c r="A48" t="s">
        <v>7</v>
      </c>
      <c r="B48" s="6">
        <v>144</v>
      </c>
      <c r="C48" s="6">
        <v>283</v>
      </c>
      <c r="D48" s="6">
        <v>427</v>
      </c>
    </row>
    <row r="49" spans="1:4">
      <c r="A49" t="s">
        <v>8</v>
      </c>
      <c r="B49" s="6">
        <v>54</v>
      </c>
      <c r="C49" s="6">
        <v>56</v>
      </c>
      <c r="D49" s="6">
        <v>110</v>
      </c>
    </row>
    <row r="50" spans="1:4">
      <c r="A50" s="7" t="s">
        <v>3</v>
      </c>
      <c r="B50" s="6">
        <f t="shared" ref="B50:C50" si="6">SUM(B46:B49)</f>
        <v>2438</v>
      </c>
      <c r="C50" s="6">
        <f t="shared" si="6"/>
        <v>6089</v>
      </c>
      <c r="D50" s="12">
        <f>SUM(D46:D49)</f>
        <v>8527</v>
      </c>
    </row>
    <row r="51" spans="1:4">
      <c r="A51" s="7"/>
      <c r="B51" s="6"/>
      <c r="C51" s="6"/>
      <c r="D51" s="6"/>
    </row>
    <row r="52" spans="1:4">
      <c r="A52" s="7"/>
      <c r="B52" s="6"/>
      <c r="C52" s="6"/>
      <c r="D52" s="6"/>
    </row>
    <row r="53" spans="1:4">
      <c r="A53" s="4" t="s">
        <v>15</v>
      </c>
      <c r="B53" s="6"/>
      <c r="C53" s="6"/>
      <c r="D53" s="6"/>
    </row>
    <row r="54" spans="1:4">
      <c r="A54" t="s">
        <v>5</v>
      </c>
      <c r="B54" s="6">
        <v>2926</v>
      </c>
      <c r="C54" s="6">
        <v>8110</v>
      </c>
      <c r="D54" s="6">
        <f>SUM(B54:C54)</f>
        <v>11036</v>
      </c>
    </row>
    <row r="55" spans="1:4">
      <c r="A55" t="s">
        <v>6</v>
      </c>
      <c r="B55" s="6">
        <v>2448</v>
      </c>
      <c r="C55" s="6">
        <v>9029</v>
      </c>
      <c r="D55" s="6">
        <f>SUM(B55:C55)</f>
        <v>11477</v>
      </c>
    </row>
    <row r="56" spans="1:4">
      <c r="A56" t="s">
        <v>7</v>
      </c>
      <c r="B56" s="6">
        <v>192</v>
      </c>
      <c r="C56" s="6">
        <v>393</v>
      </c>
      <c r="D56" s="6">
        <v>585</v>
      </c>
    </row>
    <row r="57" spans="1:4">
      <c r="A57" t="s">
        <v>8</v>
      </c>
      <c r="B57" s="6">
        <v>90</v>
      </c>
      <c r="C57" s="6">
        <v>136</v>
      </c>
      <c r="D57" s="6">
        <v>226</v>
      </c>
    </row>
    <row r="58" spans="1:4">
      <c r="A58" s="7" t="s">
        <v>3</v>
      </c>
      <c r="B58" s="6"/>
      <c r="C58" s="6"/>
      <c r="D58" s="12">
        <f>SUM(D54:D57)</f>
        <v>23324</v>
      </c>
    </row>
    <row r="59" spans="1:4">
      <c r="A59" s="7"/>
      <c r="B59" s="6"/>
      <c r="C59" s="6"/>
      <c r="D59" s="6"/>
    </row>
    <row r="60" spans="1:4">
      <c r="A60" s="4" t="s">
        <v>16</v>
      </c>
      <c r="D60" s="6"/>
    </row>
    <row r="61" spans="1:4">
      <c r="A61" t="s">
        <v>5</v>
      </c>
      <c r="B61">
        <f>749+50</f>
        <v>799</v>
      </c>
      <c r="C61">
        <f>3129+36</f>
        <v>3165</v>
      </c>
      <c r="D61" s="6">
        <f>SUM(B61:C61)</f>
        <v>3964</v>
      </c>
    </row>
    <row r="62" spans="1:4">
      <c r="A62" t="s">
        <v>6</v>
      </c>
      <c r="B62">
        <f>980+52</f>
        <v>1032</v>
      </c>
      <c r="C62">
        <f>4757+37</f>
        <v>4794</v>
      </c>
      <c r="D62" s="6">
        <f t="shared" ref="D62:D64" si="7">SUM(B62:C62)</f>
        <v>5826</v>
      </c>
    </row>
    <row r="63" spans="1:4">
      <c r="A63" t="s">
        <v>7</v>
      </c>
      <c r="B63">
        <v>29</v>
      </c>
      <c r="C63">
        <v>50</v>
      </c>
      <c r="D63" s="6">
        <f t="shared" si="7"/>
        <v>79</v>
      </c>
    </row>
    <row r="64" spans="1:4">
      <c r="A64" t="s">
        <v>8</v>
      </c>
      <c r="B64">
        <v>53</v>
      </c>
      <c r="C64">
        <v>36</v>
      </c>
      <c r="D64" s="6">
        <f t="shared" si="7"/>
        <v>89</v>
      </c>
    </row>
    <row r="65" spans="1:4">
      <c r="A65" s="7" t="s">
        <v>3</v>
      </c>
      <c r="B65">
        <f t="shared" ref="B65:C65" si="8">SUM(B61:B64)</f>
        <v>1913</v>
      </c>
      <c r="C65">
        <f t="shared" si="8"/>
        <v>8045</v>
      </c>
      <c r="D65" s="12">
        <f>SUM(D61:D64)</f>
        <v>9958</v>
      </c>
    </row>
    <row r="66" spans="1:4">
      <c r="D66" s="6"/>
    </row>
    <row r="67" spans="1:4">
      <c r="A67" s="4" t="s">
        <v>17</v>
      </c>
      <c r="D67" s="6"/>
    </row>
    <row r="68" spans="1:4">
      <c r="A68" t="s">
        <v>5</v>
      </c>
      <c r="B68">
        <f>851+30</f>
        <v>881</v>
      </c>
      <c r="C68">
        <f>3275+52</f>
        <v>3327</v>
      </c>
      <c r="D68" s="6">
        <f>SUM(B68:C68)</f>
        <v>4208</v>
      </c>
    </row>
    <row r="69" spans="1:4">
      <c r="A69" t="s">
        <v>6</v>
      </c>
      <c r="B69">
        <f>1296+31</f>
        <v>1327</v>
      </c>
      <c r="C69">
        <f>5003+56</f>
        <v>5059</v>
      </c>
      <c r="D69" s="6">
        <f t="shared" ref="D69:D71" si="9">SUM(B69:C69)</f>
        <v>6386</v>
      </c>
    </row>
    <row r="70" spans="1:4">
      <c r="A70" t="s">
        <v>7</v>
      </c>
      <c r="B70">
        <v>41</v>
      </c>
      <c r="C70">
        <v>48</v>
      </c>
      <c r="D70" s="6">
        <f t="shared" si="9"/>
        <v>89</v>
      </c>
    </row>
    <row r="71" spans="1:4">
      <c r="A71" t="s">
        <v>8</v>
      </c>
      <c r="B71">
        <v>34</v>
      </c>
      <c r="C71">
        <v>51</v>
      </c>
      <c r="D71" s="6">
        <f t="shared" si="9"/>
        <v>85</v>
      </c>
    </row>
    <row r="72" spans="1:4">
      <c r="A72" s="7" t="s">
        <v>3</v>
      </c>
      <c r="B72">
        <f t="shared" ref="B72:C72" si="10">SUM(B68:B71)</f>
        <v>2283</v>
      </c>
      <c r="C72">
        <f t="shared" si="10"/>
        <v>8485</v>
      </c>
      <c r="D72" s="12">
        <f>SUM(D68:D71)</f>
        <v>10768</v>
      </c>
    </row>
    <row r="73" spans="1:4">
      <c r="D73" s="6"/>
    </row>
    <row r="74" spans="1:4">
      <c r="A74" s="4" t="s">
        <v>18</v>
      </c>
      <c r="D74" s="6"/>
    </row>
    <row r="75" spans="1:4">
      <c r="A75" t="s">
        <v>5</v>
      </c>
      <c r="B75">
        <f>730+53</f>
        <v>783</v>
      </c>
      <c r="C75">
        <f>2444+49</f>
        <v>2493</v>
      </c>
      <c r="D75" s="6">
        <f>SUM(B75:C75)</f>
        <v>3276</v>
      </c>
    </row>
    <row r="76" spans="1:4">
      <c r="A76" t="s">
        <v>6</v>
      </c>
      <c r="B76">
        <f>606+51</f>
        <v>657</v>
      </c>
      <c r="C76">
        <f>2499+51</f>
        <v>2550</v>
      </c>
      <c r="D76" s="6">
        <f t="shared" ref="D76:D78" si="11">SUM(B76:C76)</f>
        <v>3207</v>
      </c>
    </row>
    <row r="77" spans="1:4">
      <c r="A77" t="s">
        <v>7</v>
      </c>
      <c r="B77">
        <v>16</v>
      </c>
      <c r="C77">
        <v>36</v>
      </c>
      <c r="D77" s="6">
        <f t="shared" si="11"/>
        <v>52</v>
      </c>
    </row>
    <row r="78" spans="1:4">
      <c r="A78" t="s">
        <v>8</v>
      </c>
      <c r="B78">
        <v>53</v>
      </c>
      <c r="C78">
        <v>49</v>
      </c>
      <c r="D78" s="6">
        <f t="shared" si="11"/>
        <v>102</v>
      </c>
    </row>
    <row r="79" spans="1:4">
      <c r="A79" s="7" t="s">
        <v>3</v>
      </c>
      <c r="B79">
        <f t="shared" ref="B79:C79" si="12">SUM(B75:B78)</f>
        <v>1509</v>
      </c>
      <c r="C79">
        <f t="shared" si="12"/>
        <v>5128</v>
      </c>
      <c r="D79" s="12">
        <f>SUM(D75:D78)</f>
        <v>6637</v>
      </c>
    </row>
    <row r="80" spans="1:4">
      <c r="D80" s="6"/>
    </row>
    <row r="81" spans="1:4">
      <c r="A81" s="4" t="s">
        <v>19</v>
      </c>
      <c r="B81" s="6"/>
      <c r="C81" s="6"/>
      <c r="D81" s="6"/>
    </row>
    <row r="82" spans="1:4">
      <c r="A82" t="s">
        <v>5</v>
      </c>
      <c r="B82" s="6">
        <v>2178</v>
      </c>
      <c r="C82" s="6">
        <v>4392</v>
      </c>
      <c r="D82" s="6">
        <f>SUM(B82:C82)</f>
        <v>6570</v>
      </c>
    </row>
    <row r="83" spans="1:4">
      <c r="A83" t="s">
        <v>6</v>
      </c>
      <c r="B83" s="6">
        <v>2173</v>
      </c>
      <c r="C83" s="6">
        <v>4399</v>
      </c>
      <c r="D83" s="6">
        <f>SUM(B83:C83)</f>
        <v>6572</v>
      </c>
    </row>
    <row r="84" spans="1:4">
      <c r="A84" t="s">
        <v>7</v>
      </c>
      <c r="B84" s="6">
        <v>153</v>
      </c>
      <c r="C84" s="6">
        <v>202</v>
      </c>
      <c r="D84" s="6">
        <v>355</v>
      </c>
    </row>
    <row r="85" spans="1:4">
      <c r="A85" t="s">
        <v>8</v>
      </c>
      <c r="B85">
        <v>146</v>
      </c>
      <c r="C85">
        <v>59</v>
      </c>
      <c r="D85" s="6">
        <v>205</v>
      </c>
    </row>
    <row r="86" spans="1:4">
      <c r="A86" s="7" t="s">
        <v>3</v>
      </c>
      <c r="B86" s="13">
        <f t="shared" ref="B86:C86" si="13">SUM(B82:B85)</f>
        <v>4650</v>
      </c>
      <c r="C86" s="13">
        <f t="shared" si="13"/>
        <v>9052</v>
      </c>
      <c r="D86" s="12">
        <f>SUM(D82:D85)</f>
        <v>13702</v>
      </c>
    </row>
    <row r="88" spans="1:4">
      <c r="A88" s="7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NYS Energy R&amp;D Authority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P. Hogan</dc:creator>
  <cp:lastModifiedBy>John Catalfamo</cp:lastModifiedBy>
  <dcterms:created xsi:type="dcterms:W3CDTF">2011-08-09T13:21:54Z</dcterms:created>
  <dcterms:modified xsi:type="dcterms:W3CDTF">2011-09-13T13:56:12Z</dcterms:modified>
</cp:coreProperties>
</file>