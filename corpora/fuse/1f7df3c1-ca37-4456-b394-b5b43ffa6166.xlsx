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1105"/>
  <workbookPr autoCompressPictures="0"/>
  <bookViews>
    <workbookView xWindow="120" yWindow="200" windowWidth="33100" windowHeight="16380" tabRatio="783"/>
  </bookViews>
  <sheets>
    <sheet name="monographs productivity stats" sheetId="13" r:id="rId1"/>
    <sheet name="serials productivity stats" sheetId="28" r:id="rId2"/>
    <sheet name="total spending all materials" sheetId="29" r:id="rId3"/>
    <sheet name="$ monographs totals" sheetId="27" r:id="rId4"/>
    <sheet name="vols added monographs" sheetId="31" r:id="rId5"/>
    <sheet name="$ serials totals" sheetId="4" r:id="rId6"/>
    <sheet name="$ endowment" sheetId="30" r:id="rId7"/>
    <sheet name="$ by format" sheetId="5" r:id="rId8"/>
    <sheet name="serials v mono" sheetId="14" r:id="rId9"/>
    <sheet name="$ by fund - monographs" sheetId="26" r:id="rId10"/>
    <sheet name="$ by fund - serials" sheetId="9" r:id="rId11"/>
    <sheet name="$ backfiles" sheetId="2" r:id="rId12"/>
    <sheet name="$ serials by vendor" sheetId="3" r:id="rId13"/>
    <sheet name="$ mono by vendor" sheetId="32" r:id="rId14"/>
    <sheet name="$ serials by location" sheetId="15" r:id="rId15"/>
    <sheet name="$ mono by location" sheetId="33" r:id="rId16"/>
    <sheet name="Count by location" sheetId="25" r:id="rId17"/>
    <sheet name="$ FY10 content" sheetId="10" r:id="rId18"/>
    <sheet name="Journal Packages" sheetId="16" r:id="rId19"/>
    <sheet name="Backfiles owned" sheetId="34" r:id="rId20"/>
    <sheet name="Reference Databases" sheetId="17" r:id="rId21"/>
    <sheet name="ACRL1" sheetId="20" r:id="rId22"/>
    <sheet name="ACRL2" sheetId="21" r:id="rId23"/>
    <sheet name="ACRL3" sheetId="35" r:id="rId24"/>
    <sheet name="IPEDS1" sheetId="22" r:id="rId25"/>
    <sheet name="IPEDS2" sheetId="36" r:id="rId26"/>
  </sheets>
  <definedNames>
    <definedName name="_xlnm.Print_Area" localSheetId="11">'$ backfiles'!$A$1:$E$21</definedName>
    <definedName name="_xlnm.Print_Area" localSheetId="7">'$ by format'!$A$1:$F$96</definedName>
    <definedName name="_xlnm.Print_Area" localSheetId="9">'$ by fund - monographs'!$A$1:$F$132</definedName>
    <definedName name="_xlnm.Print_Area" localSheetId="10">'$ by fund - serials'!$A$1:$F$81</definedName>
    <definedName name="_xlnm.Print_Area" localSheetId="6">'$ endowment'!$A$1:$G$83</definedName>
    <definedName name="_xlnm.Print_Area" localSheetId="17">'$ FY10 content'!$A$1:$E$75</definedName>
    <definedName name="_xlnm.Print_Area" localSheetId="15">'$ mono by location'!$A$1:$G$31</definedName>
    <definedName name="_xlnm.Print_Area" localSheetId="13">'$ mono by vendor'!$A$1:$G$49</definedName>
    <definedName name="_xlnm.Print_Area" localSheetId="3">'$ monographs totals'!$A$1:$G$58</definedName>
    <definedName name="_xlnm.Print_Area" localSheetId="14">'$ serials by location'!$A$1:$G$37</definedName>
    <definedName name="_xlnm.Print_Area" localSheetId="12">'$ serials by vendor'!$A$1:$G$54</definedName>
    <definedName name="_xlnm.Print_Area" localSheetId="5">'$ serials totals'!$A$1:$G$49</definedName>
    <definedName name="_xlnm.Print_Area" localSheetId="21">ACRL1!$A$1:$D$175</definedName>
    <definedName name="_xlnm.Print_Area" localSheetId="22">ACRL2!$A$1:$D$123</definedName>
    <definedName name="_xlnm.Print_Area" localSheetId="23">ACRL3!$A$1:$D$83</definedName>
    <definedName name="_xlnm.Print_Area" localSheetId="19">'Backfiles owned'!$A$1:$F$52</definedName>
    <definedName name="_xlnm.Print_Area" localSheetId="16">'Count by location'!$A$1:$E$71</definedName>
    <definedName name="_xlnm.Print_Area" localSheetId="24">IPEDS1!$A$1:$D$78</definedName>
    <definedName name="_xlnm.Print_Area" localSheetId="25">IPEDS2!$A$1:$E$86</definedName>
    <definedName name="_xlnm.Print_Area" localSheetId="18">'Journal Packages'!$A$1:$F$31</definedName>
    <definedName name="_xlnm.Print_Area" localSheetId="0">'monographs productivity stats'!$A$1:$D$36</definedName>
    <definedName name="_xlnm.Print_Area" localSheetId="20">'Reference Databases'!$A$1:$F$139</definedName>
    <definedName name="_xlnm.Print_Area" localSheetId="1">'serials productivity stats'!$A$1:$D$33</definedName>
    <definedName name="_xlnm.Print_Area" localSheetId="8">'serials v mono'!$A$1:$F$44</definedName>
    <definedName name="_xlnm.Print_Area" localSheetId="2">'total spending all materials'!$A$1:$F$55</definedName>
    <definedName name="_xlnm.Print_Area" localSheetId="4">'vols added monographs'!$A$1:$G$41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F61" i="9" l="1"/>
  <c r="F62" i="9"/>
  <c r="D66" i="9"/>
  <c r="F59" i="9"/>
  <c r="C10" i="21"/>
  <c r="C17" i="20"/>
  <c r="E26" i="5"/>
  <c r="E30" i="5"/>
  <c r="E31" i="5"/>
  <c r="F26" i="5"/>
  <c r="F30" i="5"/>
  <c r="F31" i="5"/>
  <c r="F29" i="5"/>
  <c r="F28" i="5"/>
  <c r="F27" i="5"/>
  <c r="F23" i="5"/>
  <c r="E21" i="5"/>
  <c r="E22" i="5"/>
  <c r="F21" i="5"/>
  <c r="F22" i="5"/>
  <c r="E8" i="5"/>
  <c r="E14" i="5"/>
  <c r="E18" i="5"/>
  <c r="E19" i="5"/>
  <c r="F8" i="5"/>
  <c r="F14" i="5"/>
  <c r="F18" i="5"/>
  <c r="F19" i="5"/>
  <c r="F13" i="5"/>
  <c r="E32" i="5"/>
  <c r="D14" i="5"/>
  <c r="D26" i="5"/>
  <c r="D30" i="5"/>
  <c r="D31" i="5"/>
  <c r="F113" i="17"/>
  <c r="F31" i="17"/>
  <c r="F14" i="17"/>
  <c r="F11" i="17"/>
  <c r="F34" i="17"/>
  <c r="D67" i="17"/>
  <c r="F49" i="34"/>
  <c r="E49" i="34"/>
  <c r="C49" i="34"/>
  <c r="F8" i="16"/>
  <c r="F15" i="16"/>
  <c r="F9" i="16"/>
  <c r="D62" i="25"/>
  <c r="E44" i="25"/>
  <c r="E45" i="25"/>
  <c r="E46" i="25"/>
  <c r="E47" i="25"/>
  <c r="E48" i="25"/>
  <c r="E49" i="25"/>
  <c r="E50" i="25"/>
  <c r="E51" i="25"/>
  <c r="E52" i="25"/>
  <c r="E53" i="25"/>
  <c r="E54" i="25"/>
  <c r="E55" i="25"/>
  <c r="E56" i="25"/>
  <c r="E57" i="25"/>
  <c r="E58" i="25"/>
  <c r="E59" i="25"/>
  <c r="E60" i="25"/>
  <c r="E61" i="25"/>
  <c r="E24" i="25"/>
  <c r="E25" i="25"/>
  <c r="E26" i="25"/>
  <c r="E27" i="25"/>
  <c r="E28" i="25"/>
  <c r="E29" i="25"/>
  <c r="E30" i="25"/>
  <c r="E31" i="25"/>
  <c r="E32" i="25"/>
  <c r="E33" i="25"/>
  <c r="E34" i="25"/>
  <c r="E35" i="25"/>
  <c r="E36" i="25"/>
  <c r="E37" i="25"/>
  <c r="E38" i="25"/>
  <c r="E39" i="25"/>
  <c r="E40" i="25"/>
  <c r="E41" i="25"/>
  <c r="E42" i="25"/>
  <c r="E43" i="25"/>
  <c r="E5" i="25"/>
  <c r="E6" i="25"/>
  <c r="E7" i="25"/>
  <c r="E8" i="25"/>
  <c r="E9" i="25"/>
  <c r="E10" i="25"/>
  <c r="E11" i="25"/>
  <c r="E12" i="25"/>
  <c r="E13" i="25"/>
  <c r="E14" i="25"/>
  <c r="E15" i="25"/>
  <c r="E16" i="25"/>
  <c r="E17" i="25"/>
  <c r="E19" i="25"/>
  <c r="E20" i="25"/>
  <c r="E22" i="25"/>
  <c r="E23" i="25"/>
  <c r="E4" i="25"/>
  <c r="C62" i="25"/>
  <c r="C8" i="10"/>
  <c r="B8" i="10"/>
  <c r="D8" i="10"/>
  <c r="D5" i="10"/>
  <c r="D6" i="10"/>
  <c r="D7" i="10"/>
  <c r="D4" i="10"/>
  <c r="B16" i="10"/>
  <c r="E17" i="33"/>
  <c r="G4" i="33"/>
  <c r="G5" i="33"/>
  <c r="G6" i="33"/>
  <c r="G7" i="33"/>
  <c r="G8" i="33"/>
  <c r="G9" i="33"/>
  <c r="G10" i="33"/>
  <c r="G11" i="33"/>
  <c r="G12" i="33"/>
  <c r="G13" i="33"/>
  <c r="G14" i="33"/>
  <c r="G15" i="33"/>
  <c r="G16" i="33"/>
  <c r="G17" i="33"/>
  <c r="F10" i="33"/>
  <c r="F4" i="33"/>
  <c r="F7" i="33"/>
  <c r="D17" i="33"/>
  <c r="D29" i="32"/>
  <c r="E29" i="32"/>
  <c r="G29" i="32"/>
  <c r="G4" i="32"/>
  <c r="F4" i="32"/>
  <c r="F8" i="32"/>
  <c r="F9" i="32"/>
  <c r="F11" i="32"/>
  <c r="F12" i="32"/>
  <c r="F13" i="32"/>
  <c r="F14" i="32"/>
  <c r="F15" i="32"/>
  <c r="F16" i="32"/>
  <c r="F18" i="32"/>
  <c r="F19" i="32"/>
  <c r="F20" i="32"/>
  <c r="F21" i="32"/>
  <c r="F22" i="32"/>
  <c r="F23" i="32"/>
  <c r="F24" i="32"/>
  <c r="F25" i="32"/>
  <c r="F26" i="32"/>
  <c r="E21" i="15"/>
  <c r="E23" i="15"/>
  <c r="G23" i="15"/>
  <c r="D23" i="15"/>
  <c r="F16" i="33"/>
  <c r="F15" i="33"/>
  <c r="F14" i="33"/>
  <c r="F13" i="33"/>
  <c r="F12" i="33"/>
  <c r="F11" i="33"/>
  <c r="F9" i="33"/>
  <c r="F8" i="33"/>
  <c r="C6" i="4"/>
  <c r="F17" i="15"/>
  <c r="G15" i="15"/>
  <c r="F22" i="3"/>
  <c r="F5" i="3"/>
  <c r="F6" i="3"/>
  <c r="F7" i="3"/>
  <c r="F8" i="3"/>
  <c r="F9" i="3"/>
  <c r="F10" i="3"/>
  <c r="F12" i="3"/>
  <c r="D14" i="3"/>
  <c r="F27" i="32"/>
  <c r="C7" i="14"/>
  <c r="C10" i="14"/>
  <c r="C25" i="14"/>
  <c r="D13" i="29"/>
  <c r="D12" i="29"/>
  <c r="B10" i="29"/>
  <c r="B6" i="29"/>
  <c r="B14" i="29"/>
  <c r="D25" i="29"/>
  <c r="D21" i="29"/>
  <c r="C24" i="29"/>
  <c r="B24" i="29"/>
  <c r="C20" i="29"/>
  <c r="C28" i="29"/>
  <c r="B20" i="29"/>
  <c r="D20" i="29"/>
  <c r="E21" i="2"/>
  <c r="D21" i="2"/>
  <c r="E11" i="9"/>
  <c r="C66" i="9"/>
  <c r="C6" i="30"/>
  <c r="C10" i="30"/>
  <c r="E6" i="30"/>
  <c r="E9" i="30"/>
  <c r="E10" i="30"/>
  <c r="E8" i="30"/>
  <c r="E7" i="30"/>
  <c r="D8" i="30"/>
  <c r="D7" i="30"/>
  <c r="B6" i="30"/>
  <c r="B10" i="30"/>
  <c r="D20" i="30"/>
  <c r="D24" i="30"/>
  <c r="D28" i="30"/>
  <c r="D36" i="30"/>
  <c r="D44" i="30"/>
  <c r="D48" i="30"/>
  <c r="D50" i="30"/>
  <c r="D56" i="30"/>
  <c r="D61" i="30"/>
  <c r="C20" i="30"/>
  <c r="C24" i="30"/>
  <c r="C28" i="30"/>
  <c r="C36" i="30"/>
  <c r="C42" i="30"/>
  <c r="C44" i="30"/>
  <c r="C48" i="30"/>
  <c r="C50" i="30"/>
  <c r="C56" i="30"/>
  <c r="C58" i="30"/>
  <c r="C61" i="30"/>
  <c r="E59" i="30"/>
  <c r="E58" i="30"/>
  <c r="E57" i="30"/>
  <c r="E56" i="30"/>
  <c r="E49" i="30"/>
  <c r="E48" i="30"/>
  <c r="E47" i="30"/>
  <c r="E45" i="30"/>
  <c r="E43" i="30"/>
  <c r="E42" i="30"/>
  <c r="E39" i="30"/>
  <c r="E37" i="30"/>
  <c r="E30" i="30"/>
  <c r="E31" i="30"/>
  <c r="E29" i="30"/>
  <c r="E27" i="30"/>
  <c r="E44" i="30"/>
  <c r="E23" i="30"/>
  <c r="E22" i="30"/>
  <c r="E20" i="30"/>
  <c r="E28" i="30"/>
  <c r="E24" i="30"/>
  <c r="D9" i="30"/>
  <c r="D6" i="30"/>
  <c r="D16" i="31"/>
  <c r="C17" i="31"/>
  <c r="B17" i="31"/>
  <c r="D17" i="31"/>
  <c r="B18" i="31"/>
  <c r="B10" i="31"/>
  <c r="C10" i="31"/>
  <c r="E8" i="31"/>
  <c r="D7" i="31"/>
  <c r="D8" i="31"/>
  <c r="D9" i="31"/>
  <c r="D11" i="13"/>
  <c r="C28" i="27"/>
  <c r="C32" i="27"/>
  <c r="C36" i="27"/>
  <c r="C43" i="27"/>
  <c r="B28" i="27"/>
  <c r="B32" i="27"/>
  <c r="B36" i="27"/>
  <c r="B43" i="27"/>
  <c r="D36" i="27"/>
  <c r="C16" i="14"/>
  <c r="C21" i="14"/>
  <c r="B21" i="14"/>
  <c r="B16" i="14"/>
  <c r="B10" i="14"/>
  <c r="B25" i="14"/>
  <c r="B7" i="14"/>
  <c r="B11" i="14"/>
  <c r="D21" i="5"/>
  <c r="D22" i="5"/>
  <c r="D18" i="5"/>
  <c r="D8" i="5"/>
  <c r="C20" i="4"/>
  <c r="B27" i="4"/>
  <c r="B9" i="4"/>
  <c r="B26" i="4"/>
  <c r="D33" i="27"/>
  <c r="D29" i="27"/>
  <c r="B11" i="27"/>
  <c r="B10" i="27"/>
  <c r="C14" i="27"/>
  <c r="B14" i="27"/>
  <c r="D14" i="27"/>
  <c r="D15" i="27"/>
  <c r="D7" i="27"/>
  <c r="B6" i="27"/>
  <c r="B18" i="27"/>
  <c r="C6" i="27"/>
  <c r="D6" i="27"/>
  <c r="C6" i="29"/>
  <c r="D6" i="29"/>
  <c r="D9" i="29"/>
  <c r="D8" i="29"/>
  <c r="D7" i="29"/>
  <c r="D12" i="27"/>
  <c r="D13" i="27"/>
  <c r="D32" i="13"/>
  <c r="D24" i="13"/>
  <c r="D21" i="13"/>
  <c r="D22" i="13"/>
  <c r="D23" i="13"/>
  <c r="D29" i="13"/>
  <c r="D33" i="13"/>
  <c r="D14" i="13"/>
  <c r="D33" i="28"/>
  <c r="D32" i="28"/>
  <c r="D31" i="28"/>
  <c r="D30" i="28"/>
  <c r="D28" i="28"/>
  <c r="D26" i="28"/>
  <c r="D24" i="28"/>
  <c r="D23" i="28"/>
  <c r="D21" i="28"/>
  <c r="D15" i="28"/>
  <c r="D14" i="28"/>
  <c r="D12" i="28"/>
  <c r="D11" i="28"/>
  <c r="D10" i="28"/>
  <c r="D9" i="28"/>
  <c r="D6" i="28"/>
  <c r="E118" i="26"/>
  <c r="E117" i="26"/>
  <c r="E116" i="26"/>
  <c r="E115" i="26"/>
  <c r="E113" i="26"/>
  <c r="E111" i="26"/>
  <c r="E110" i="26"/>
  <c r="E109" i="26"/>
  <c r="E108" i="26"/>
  <c r="E107" i="26"/>
  <c r="E105" i="26"/>
  <c r="E103" i="26"/>
  <c r="E101" i="26"/>
  <c r="E99" i="26"/>
  <c r="E98" i="26"/>
  <c r="E97" i="26"/>
  <c r="E95" i="26"/>
  <c r="E91" i="26"/>
  <c r="E90" i="26"/>
  <c r="E89" i="26"/>
  <c r="E87" i="26"/>
  <c r="E85" i="26"/>
  <c r="E83" i="26"/>
  <c r="E82" i="26"/>
  <c r="E81" i="26"/>
  <c r="E79" i="26"/>
  <c r="E77" i="26"/>
  <c r="E76" i="26"/>
  <c r="E75" i="26"/>
  <c r="E73" i="26"/>
  <c r="E71" i="26"/>
  <c r="E70" i="26"/>
  <c r="E69" i="26"/>
  <c r="E67" i="26"/>
  <c r="E66" i="26"/>
  <c r="E65" i="26"/>
  <c r="E64" i="26"/>
  <c r="E63" i="26"/>
  <c r="E61" i="26"/>
  <c r="E59" i="26"/>
  <c r="E57" i="26"/>
  <c r="E56" i="26"/>
  <c r="E55" i="26"/>
  <c r="E53" i="26"/>
  <c r="E51" i="26"/>
  <c r="E49" i="26"/>
  <c r="E48" i="26"/>
  <c r="E47" i="26"/>
  <c r="E45" i="26"/>
  <c r="E43" i="26"/>
  <c r="E41" i="26"/>
  <c r="E39" i="26"/>
  <c r="E38" i="26"/>
  <c r="E37" i="26"/>
  <c r="E35" i="26"/>
  <c r="E33" i="26"/>
  <c r="E31" i="26"/>
  <c r="E29" i="26"/>
  <c r="E27" i="26"/>
  <c r="E23" i="26"/>
  <c r="E21" i="26"/>
  <c r="E19" i="26"/>
  <c r="E17" i="26"/>
  <c r="E15" i="26"/>
  <c r="E14" i="26"/>
  <c r="E13" i="26"/>
  <c r="E12" i="26"/>
  <c r="E11" i="26"/>
  <c r="E10" i="26"/>
  <c r="E9" i="26"/>
  <c r="E8" i="26"/>
  <c r="E7" i="26"/>
  <c r="E6" i="26"/>
  <c r="E4" i="26"/>
  <c r="D122" i="26"/>
  <c r="F112" i="26"/>
  <c r="C122" i="26"/>
  <c r="F4" i="26"/>
  <c r="D15" i="10"/>
  <c r="D14" i="10"/>
  <c r="D13" i="10"/>
  <c r="D12" i="10"/>
  <c r="F5" i="5"/>
  <c r="F3" i="5"/>
  <c r="F109" i="17"/>
  <c r="F110" i="17"/>
  <c r="F118" i="17"/>
  <c r="F120" i="17"/>
  <c r="F122" i="17"/>
  <c r="F126" i="17"/>
  <c r="F130" i="17"/>
  <c r="F131" i="17"/>
  <c r="F103" i="17"/>
  <c r="F102" i="17"/>
  <c r="F101" i="17"/>
  <c r="F98" i="17"/>
  <c r="F100" i="17"/>
  <c r="F108" i="17"/>
  <c r="F89" i="17"/>
  <c r="F88" i="17"/>
  <c r="F84" i="17"/>
  <c r="F83" i="17"/>
  <c r="F78" i="17"/>
  <c r="F75" i="17"/>
  <c r="F74" i="17"/>
  <c r="F72" i="17"/>
  <c r="F42" i="17"/>
  <c r="F71" i="17"/>
  <c r="E137" i="17"/>
  <c r="F66" i="17"/>
  <c r="F65" i="17"/>
  <c r="F99" i="17"/>
  <c r="F61" i="17"/>
  <c r="F54" i="17"/>
  <c r="F49" i="17"/>
  <c r="F51" i="17"/>
  <c r="F48" i="17"/>
  <c r="F41" i="17"/>
  <c r="F35" i="17"/>
  <c r="F38" i="17"/>
  <c r="F33" i="17"/>
  <c r="F37" i="17"/>
  <c r="F68" i="17"/>
  <c r="F32" i="17"/>
  <c r="F30" i="17"/>
  <c r="F25" i="17"/>
  <c r="F26" i="17"/>
  <c r="F27" i="17"/>
  <c r="F21" i="17"/>
  <c r="F23" i="17"/>
  <c r="F22" i="17"/>
  <c r="F20" i="17"/>
  <c r="F13" i="17"/>
  <c r="F10" i="17"/>
  <c r="F8" i="17"/>
  <c r="F5" i="17"/>
  <c r="D28" i="16"/>
  <c r="F5" i="16"/>
  <c r="F6" i="16"/>
  <c r="F7" i="16"/>
  <c r="F13" i="16"/>
  <c r="F14" i="16"/>
  <c r="F11" i="16"/>
  <c r="F12" i="16"/>
  <c r="F16" i="16"/>
  <c r="F18" i="16"/>
  <c r="F19" i="16"/>
  <c r="F20" i="16"/>
  <c r="F22" i="16"/>
  <c r="F23" i="16"/>
  <c r="F24" i="16"/>
  <c r="F25" i="16"/>
  <c r="F27" i="16"/>
  <c r="F17" i="16"/>
  <c r="F4" i="16"/>
  <c r="E28" i="16"/>
  <c r="B28" i="16"/>
  <c r="F12" i="5"/>
  <c r="D5" i="14"/>
  <c r="D6" i="14"/>
  <c r="D20" i="14"/>
  <c r="D15" i="14"/>
  <c r="D8" i="14"/>
  <c r="D9" i="14"/>
  <c r="D14" i="14"/>
  <c r="D19" i="14"/>
  <c r="F8" i="15"/>
  <c r="F29" i="3"/>
  <c r="F26" i="3"/>
  <c r="E53" i="9"/>
  <c r="C27" i="4"/>
  <c r="D36" i="13"/>
  <c r="D34" i="13"/>
  <c r="D27" i="13"/>
  <c r="D20" i="13"/>
  <c r="D9" i="13"/>
  <c r="D10" i="13"/>
  <c r="D12" i="13"/>
  <c r="D8" i="13"/>
  <c r="D6" i="13"/>
  <c r="F12" i="15"/>
  <c r="F13" i="15"/>
  <c r="F14" i="15"/>
  <c r="F15" i="15"/>
  <c r="F16" i="15"/>
  <c r="F9" i="15"/>
  <c r="F28" i="3"/>
  <c r="F30" i="3"/>
  <c r="F31" i="3"/>
  <c r="F33" i="3"/>
  <c r="F21" i="3"/>
  <c r="F24" i="3"/>
  <c r="F13" i="3"/>
  <c r="F15" i="3"/>
  <c r="F16" i="3"/>
  <c r="F19" i="3"/>
  <c r="F20" i="3"/>
  <c r="F4" i="3"/>
  <c r="F11" i="9"/>
  <c r="E54" i="9"/>
  <c r="E55" i="9"/>
  <c r="E56" i="9"/>
  <c r="E57" i="9"/>
  <c r="E60" i="9"/>
  <c r="E63" i="9"/>
  <c r="E65" i="9"/>
  <c r="E41" i="9"/>
  <c r="E42" i="9"/>
  <c r="E43" i="9"/>
  <c r="E44" i="9"/>
  <c r="E45" i="9"/>
  <c r="E46" i="9"/>
  <c r="E47" i="9"/>
  <c r="E48" i="9"/>
  <c r="E49" i="9"/>
  <c r="E50" i="9"/>
  <c r="E51" i="9"/>
  <c r="E52" i="9"/>
  <c r="E29" i="9"/>
  <c r="E30" i="9"/>
  <c r="E31" i="9"/>
  <c r="E33" i="9"/>
  <c r="E34" i="9"/>
  <c r="E35" i="9"/>
  <c r="E36" i="9"/>
  <c r="E37" i="9"/>
  <c r="E38" i="9"/>
  <c r="E39" i="9"/>
  <c r="E40" i="9"/>
  <c r="E18" i="9"/>
  <c r="E19" i="9"/>
  <c r="E20" i="9"/>
  <c r="E21" i="9"/>
  <c r="E22" i="9"/>
  <c r="E23" i="9"/>
  <c r="E24" i="9"/>
  <c r="E25" i="9"/>
  <c r="E26" i="9"/>
  <c r="E27" i="9"/>
  <c r="E28" i="9"/>
  <c r="E5" i="9"/>
  <c r="E6" i="9"/>
  <c r="E7" i="9"/>
  <c r="E8" i="9"/>
  <c r="E9" i="9"/>
  <c r="E10" i="9"/>
  <c r="E12" i="9"/>
  <c r="E13" i="9"/>
  <c r="E14" i="9"/>
  <c r="E16" i="9"/>
  <c r="E17" i="9"/>
  <c r="E4" i="9"/>
  <c r="D8" i="4"/>
  <c r="D7" i="4"/>
  <c r="D6" i="4"/>
  <c r="C9" i="4"/>
  <c r="E8" i="4"/>
  <c r="E7" i="10"/>
  <c r="D19" i="5"/>
  <c r="D32" i="5"/>
  <c r="F14" i="3"/>
  <c r="D34" i="3"/>
  <c r="C11" i="14"/>
  <c r="D24" i="29"/>
  <c r="G6" i="15"/>
  <c r="G4" i="15"/>
  <c r="G7" i="15"/>
  <c r="G5" i="15"/>
  <c r="G21" i="15"/>
  <c r="G22" i="15"/>
  <c r="G20" i="15"/>
  <c r="G14" i="15"/>
  <c r="G10" i="15"/>
  <c r="G16" i="15"/>
  <c r="G12" i="15"/>
  <c r="G18" i="15"/>
  <c r="G8" i="15"/>
  <c r="G13" i="15"/>
  <c r="G11" i="15"/>
  <c r="G9" i="15"/>
  <c r="G19" i="15"/>
  <c r="G17" i="15"/>
  <c r="G11" i="32"/>
  <c r="C24" i="14"/>
  <c r="C26" i="14"/>
  <c r="D7" i="14"/>
  <c r="B28" i="29"/>
  <c r="B35" i="29"/>
  <c r="C10" i="29"/>
  <c r="C14" i="29"/>
  <c r="E11" i="29"/>
  <c r="D11" i="29"/>
  <c r="B34" i="29"/>
  <c r="B36" i="29"/>
  <c r="F28" i="26"/>
  <c r="F26" i="26"/>
  <c r="F24" i="26"/>
  <c r="F22" i="26"/>
  <c r="F20" i="26"/>
  <c r="F18" i="26"/>
  <c r="F16" i="26"/>
  <c r="F14" i="26"/>
  <c r="F12" i="26"/>
  <c r="F10" i="26"/>
  <c r="F8" i="26"/>
  <c r="F6" i="26"/>
  <c r="F49" i="26"/>
  <c r="F47" i="26"/>
  <c r="F45" i="26"/>
  <c r="F43" i="26"/>
  <c r="F41" i="26"/>
  <c r="F39" i="26"/>
  <c r="F37" i="26"/>
  <c r="F35" i="26"/>
  <c r="F33" i="26"/>
  <c r="F31" i="26"/>
  <c r="F68" i="26"/>
  <c r="F66" i="26"/>
  <c r="F64" i="26"/>
  <c r="F62" i="26"/>
  <c r="F60" i="26"/>
  <c r="F58" i="26"/>
  <c r="F56" i="26"/>
  <c r="F54" i="26"/>
  <c r="F52" i="26"/>
  <c r="F50" i="26"/>
  <c r="F88" i="26"/>
  <c r="F86" i="26"/>
  <c r="F84" i="26"/>
  <c r="F82" i="26"/>
  <c r="F80" i="26"/>
  <c r="F78" i="26"/>
  <c r="F76" i="26"/>
  <c r="F74" i="26"/>
  <c r="F72" i="26"/>
  <c r="F70" i="26"/>
  <c r="F111" i="26"/>
  <c r="F109" i="26"/>
  <c r="F107" i="26"/>
  <c r="F105" i="26"/>
  <c r="F103" i="26"/>
  <c r="F101" i="26"/>
  <c r="F99" i="26"/>
  <c r="F97" i="26"/>
  <c r="F95" i="26"/>
  <c r="F93" i="26"/>
  <c r="F91" i="26"/>
  <c r="F121" i="26"/>
  <c r="F119" i="26"/>
  <c r="F117" i="26"/>
  <c r="F115" i="26"/>
  <c r="F113" i="26"/>
  <c r="F29" i="26"/>
  <c r="F27" i="26"/>
  <c r="F25" i="26"/>
  <c r="F23" i="26"/>
  <c r="F21" i="26"/>
  <c r="F19" i="26"/>
  <c r="F17" i="26"/>
  <c r="F15" i="26"/>
  <c r="F13" i="26"/>
  <c r="F11" i="26"/>
  <c r="F9" i="26"/>
  <c r="F7" i="26"/>
  <c r="F5" i="26"/>
  <c r="F48" i="26"/>
  <c r="F46" i="26"/>
  <c r="F44" i="26"/>
  <c r="F42" i="26"/>
  <c r="F40" i="26"/>
  <c r="F38" i="26"/>
  <c r="F36" i="26"/>
  <c r="F34" i="26"/>
  <c r="F32" i="26"/>
  <c r="F30" i="26"/>
  <c r="F67" i="26"/>
  <c r="F65" i="26"/>
  <c r="F63" i="26"/>
  <c r="F61" i="26"/>
  <c r="F59" i="26"/>
  <c r="F57" i="26"/>
  <c r="F55" i="26"/>
  <c r="F53" i="26"/>
  <c r="F51" i="26"/>
  <c r="F89" i="26"/>
  <c r="F87" i="26"/>
  <c r="F85" i="26"/>
  <c r="F83" i="26"/>
  <c r="F81" i="26"/>
  <c r="F79" i="26"/>
  <c r="F77" i="26"/>
  <c r="F75" i="26"/>
  <c r="F73" i="26"/>
  <c r="F71" i="26"/>
  <c r="F69" i="26"/>
  <c r="F110" i="26"/>
  <c r="F108" i="26"/>
  <c r="F106" i="26"/>
  <c r="F104" i="26"/>
  <c r="F102" i="26"/>
  <c r="F100" i="26"/>
  <c r="F98" i="26"/>
  <c r="F96" i="26"/>
  <c r="F94" i="26"/>
  <c r="F92" i="26"/>
  <c r="F90" i="26"/>
  <c r="F120" i="26"/>
  <c r="F118" i="26"/>
  <c r="F116" i="26"/>
  <c r="F114" i="26"/>
  <c r="F6" i="9"/>
  <c r="E36" i="30"/>
  <c r="E61" i="30"/>
  <c r="C18" i="31"/>
  <c r="E7" i="31"/>
  <c r="E9" i="31"/>
  <c r="D10" i="31"/>
  <c r="E6" i="31"/>
  <c r="E10" i="31"/>
  <c r="D6" i="31"/>
  <c r="B24" i="14"/>
  <c r="B26" i="14"/>
  <c r="D11" i="27"/>
  <c r="D32" i="27"/>
  <c r="D28" i="27"/>
  <c r="B42" i="27"/>
  <c r="B44" i="27"/>
  <c r="C10" i="27"/>
  <c r="D35" i="29"/>
  <c r="D28" i="29"/>
  <c r="E122" i="26"/>
  <c r="D43" i="27"/>
  <c r="F67" i="17"/>
  <c r="D137" i="17"/>
  <c r="F7" i="5"/>
  <c r="F9" i="5"/>
  <c r="F11" i="5"/>
  <c r="F15" i="5"/>
  <c r="F20" i="5"/>
  <c r="D27" i="4"/>
  <c r="F4" i="5"/>
  <c r="F6" i="5"/>
  <c r="F10" i="5"/>
  <c r="E34" i="3"/>
  <c r="E12" i="10"/>
  <c r="E13" i="10"/>
  <c r="E14" i="10"/>
  <c r="E15" i="10"/>
  <c r="C16" i="10"/>
  <c r="D10" i="14"/>
  <c r="E10" i="14"/>
  <c r="D21" i="14"/>
  <c r="D16" i="14"/>
  <c r="E15" i="14"/>
  <c r="E14" i="14"/>
  <c r="F44" i="9"/>
  <c r="F35" i="9"/>
  <c r="F28" i="9"/>
  <c r="F65" i="9"/>
  <c r="F53" i="9"/>
  <c r="F52" i="9"/>
  <c r="F43" i="9"/>
  <c r="F14" i="9"/>
  <c r="F45" i="9"/>
  <c r="F36" i="9"/>
  <c r="F21" i="9"/>
  <c r="F29" i="9"/>
  <c r="F58" i="9"/>
  <c r="F48" i="9"/>
  <c r="F31" i="9"/>
  <c r="F39" i="9"/>
  <c r="F24" i="9"/>
  <c r="F9" i="9"/>
  <c r="F18" i="9"/>
  <c r="F60" i="9"/>
  <c r="F49" i="9"/>
  <c r="F32" i="9"/>
  <c r="F40" i="9"/>
  <c r="F25" i="9"/>
  <c r="F10" i="9"/>
  <c r="F15" i="9"/>
  <c r="F19" i="9"/>
  <c r="F56" i="9"/>
  <c r="F63" i="9"/>
  <c r="F46" i="9"/>
  <c r="F50" i="9"/>
  <c r="F54" i="9"/>
  <c r="F33" i="9"/>
  <c r="F37" i="9"/>
  <c r="F41" i="9"/>
  <c r="F22" i="9"/>
  <c r="F26" i="9"/>
  <c r="F30" i="9"/>
  <c r="F12" i="9"/>
  <c r="F16" i="9"/>
  <c r="F20" i="9"/>
  <c r="F5" i="9"/>
  <c r="E66" i="9"/>
  <c r="F57" i="9"/>
  <c r="F64" i="9"/>
  <c r="F47" i="9"/>
  <c r="F51" i="9"/>
  <c r="F55" i="9"/>
  <c r="F34" i="9"/>
  <c r="F38" i="9"/>
  <c r="F42" i="9"/>
  <c r="F23" i="9"/>
  <c r="F27" i="9"/>
  <c r="F8" i="9"/>
  <c r="F13" i="9"/>
  <c r="F17" i="9"/>
  <c r="F4" i="9"/>
  <c r="F7" i="9"/>
  <c r="C26" i="4"/>
  <c r="D26" i="4"/>
  <c r="E6" i="4"/>
  <c r="E4" i="10"/>
  <c r="E5" i="10"/>
  <c r="E7" i="4"/>
  <c r="E9" i="4"/>
  <c r="E6" i="10"/>
  <c r="E8" i="10"/>
  <c r="C28" i="4"/>
  <c r="E27" i="4"/>
  <c r="E20" i="4"/>
  <c r="D9" i="4"/>
  <c r="G9" i="32"/>
  <c r="G20" i="32"/>
  <c r="G25" i="32"/>
  <c r="G16" i="32"/>
  <c r="G25" i="3"/>
  <c r="G34" i="3"/>
  <c r="D10" i="29"/>
  <c r="G24" i="3"/>
  <c r="G23" i="3"/>
  <c r="G32" i="3"/>
  <c r="G14" i="3"/>
  <c r="G17" i="3"/>
  <c r="G11" i="3"/>
  <c r="G28" i="32"/>
  <c r="G27" i="32"/>
  <c r="G26" i="32"/>
  <c r="G24" i="32"/>
  <c r="G23" i="32"/>
  <c r="G22" i="32"/>
  <c r="G21" i="32"/>
  <c r="G19" i="32"/>
  <c r="G18" i="32"/>
  <c r="G17" i="32"/>
  <c r="G15" i="32"/>
  <c r="G14" i="32"/>
  <c r="G13" i="32"/>
  <c r="G12" i="32"/>
  <c r="G10" i="32"/>
  <c r="G8" i="32"/>
  <c r="G7" i="32"/>
  <c r="G6" i="32"/>
  <c r="G5" i="32"/>
  <c r="E6" i="29"/>
  <c r="E10" i="29"/>
  <c r="E13" i="29"/>
  <c r="E9" i="29"/>
  <c r="E7" i="29"/>
  <c r="E12" i="29"/>
  <c r="E8" i="29"/>
  <c r="D18" i="31"/>
  <c r="D10" i="27"/>
  <c r="C18" i="27"/>
  <c r="E33" i="27"/>
  <c r="E31" i="27"/>
  <c r="E30" i="27"/>
  <c r="E25" i="27"/>
  <c r="E29" i="27"/>
  <c r="E24" i="27"/>
  <c r="E32" i="27"/>
  <c r="E28" i="27"/>
  <c r="E6" i="27"/>
  <c r="F122" i="26"/>
  <c r="G29" i="3"/>
  <c r="G30" i="3"/>
  <c r="G31" i="3"/>
  <c r="G16" i="3"/>
  <c r="G18" i="3"/>
  <c r="G20" i="3"/>
  <c r="G21" i="3"/>
  <c r="G4" i="3"/>
  <c r="G5" i="3"/>
  <c r="G7" i="3"/>
  <c r="G8" i="3"/>
  <c r="G10" i="3"/>
  <c r="G12" i="3"/>
  <c r="G15" i="3"/>
  <c r="G28" i="3"/>
  <c r="G33" i="3"/>
  <c r="G19" i="3"/>
  <c r="G22" i="3"/>
  <c r="G26" i="3"/>
  <c r="G27" i="3"/>
  <c r="G6" i="3"/>
  <c r="G9" i="3"/>
  <c r="G13" i="3"/>
  <c r="D16" i="10"/>
  <c r="E16" i="10"/>
  <c r="D11" i="14"/>
  <c r="E7" i="14"/>
  <c r="E11" i="14"/>
  <c r="E16" i="14"/>
  <c r="E20" i="14"/>
  <c r="D24" i="14"/>
  <c r="D26" i="14"/>
  <c r="D25" i="14"/>
  <c r="E25" i="14"/>
  <c r="E19" i="14"/>
  <c r="F66" i="9"/>
  <c r="E26" i="4"/>
  <c r="E28" i="4"/>
  <c r="B28" i="4"/>
  <c r="D28" i="4"/>
  <c r="E14" i="29"/>
  <c r="E7" i="27"/>
  <c r="E13" i="27"/>
  <c r="E15" i="27"/>
  <c r="E12" i="27"/>
  <c r="E14" i="27"/>
  <c r="E11" i="27"/>
  <c r="E10" i="27"/>
  <c r="E18" i="27"/>
  <c r="E36" i="27"/>
  <c r="D18" i="27"/>
  <c r="C42" i="27"/>
  <c r="D10" i="30"/>
  <c r="D14" i="29"/>
  <c r="C34" i="29"/>
  <c r="E21" i="14"/>
  <c r="E24" i="14"/>
  <c r="E26" i="14"/>
  <c r="D42" i="27"/>
  <c r="C44" i="27"/>
  <c r="D34" i="29"/>
  <c r="C36" i="29"/>
  <c r="E34" i="29"/>
  <c r="E42" i="27"/>
  <c r="D44" i="27"/>
  <c r="E43" i="27"/>
  <c r="E44" i="27"/>
  <c r="D36" i="29"/>
  <c r="E35" i="29"/>
  <c r="E36" i="29"/>
</calcChain>
</file>

<file path=xl/sharedStrings.xml><?xml version="1.0" encoding="utf-8"?>
<sst xmlns="http://schemas.openxmlformats.org/spreadsheetml/2006/main" count="2228" uniqueCount="1264">
  <si>
    <t>Oxford</t>
  </si>
  <si>
    <t>Title</t>
  </si>
  <si>
    <t>EBSCO</t>
  </si>
  <si>
    <t>Vendor</t>
  </si>
  <si>
    <t>ARTstor</t>
  </si>
  <si>
    <t>FY09</t>
  </si>
  <si>
    <t>Backfile name</t>
  </si>
  <si>
    <t>TOTAL</t>
  </si>
  <si>
    <t>Library</t>
  </si>
  <si>
    <t>CCE (ccep)</t>
  </si>
  <si>
    <t>Kingston serials funds</t>
  </si>
  <si>
    <t>Fund</t>
  </si>
  <si>
    <t>Fund code</t>
  </si>
  <si>
    <t>xbwp</t>
  </si>
  <si>
    <t>xcap</t>
  </si>
  <si>
    <t>xclp</t>
  </si>
  <si>
    <t>xgap</t>
  </si>
  <si>
    <t>xiip</t>
  </si>
  <si>
    <t>B.Woods serials</t>
  </si>
  <si>
    <t>Carr fund serials</t>
  </si>
  <si>
    <t>Cloudman serials</t>
  </si>
  <si>
    <t>Galanti serials</t>
  </si>
  <si>
    <t>Ind.Ins.Agt serials</t>
  </si>
  <si>
    <t>TOTALS</t>
  </si>
  <si>
    <t>Pell (pelp)</t>
  </si>
  <si>
    <t>ccep</t>
  </si>
  <si>
    <t>aafp</t>
  </si>
  <si>
    <t>% change</t>
  </si>
  <si>
    <t>artp</t>
  </si>
  <si>
    <t>biop</t>
  </si>
  <si>
    <t>bmmp</t>
  </si>
  <si>
    <t>bpsp</t>
  </si>
  <si>
    <t>busp</t>
  </si>
  <si>
    <t>chep</t>
  </si>
  <si>
    <t>chmp</t>
  </si>
  <si>
    <t>cmdp</t>
  </si>
  <si>
    <t>coep</t>
  </si>
  <si>
    <t>comp</t>
  </si>
  <si>
    <t>cplp</t>
  </si>
  <si>
    <t>cscp</t>
  </si>
  <si>
    <t>cvep</t>
  </si>
  <si>
    <t>ecnp</t>
  </si>
  <si>
    <t>edcp</t>
  </si>
  <si>
    <t>elep</t>
  </si>
  <si>
    <t>engp</t>
  </si>
  <si>
    <t>feep</t>
  </si>
  <si>
    <t>flmp</t>
  </si>
  <si>
    <t>fstp</t>
  </si>
  <si>
    <t>geop</t>
  </si>
  <si>
    <t>hdfp</t>
  </si>
  <si>
    <t>hisp</t>
  </si>
  <si>
    <t>hltp</t>
  </si>
  <si>
    <t>imep</t>
  </si>
  <si>
    <t>jorp</t>
  </si>
  <si>
    <t>kinp</t>
  </si>
  <si>
    <t>lanp</t>
  </si>
  <si>
    <t>lrsp</t>
  </si>
  <si>
    <t>lscp</t>
  </si>
  <si>
    <t>mafp</t>
  </si>
  <si>
    <t>mcep</t>
  </si>
  <si>
    <t>mthp</t>
  </si>
  <si>
    <t>musp</t>
  </si>
  <si>
    <t>nfsp</t>
  </si>
  <si>
    <t>nrsp</t>
  </si>
  <si>
    <t>nurp</t>
  </si>
  <si>
    <t>ocep</t>
  </si>
  <si>
    <t>peep</t>
  </si>
  <si>
    <t>pelp</t>
  </si>
  <si>
    <t>phlp</t>
  </si>
  <si>
    <t>phpp</t>
  </si>
  <si>
    <t>phyp</t>
  </si>
  <si>
    <t>plsp</t>
  </si>
  <si>
    <t>pscp</t>
  </si>
  <si>
    <t>psyp</t>
  </si>
  <si>
    <t>pthp</t>
  </si>
  <si>
    <t>renp</t>
  </si>
  <si>
    <t>socp</t>
  </si>
  <si>
    <t>thep</t>
  </si>
  <si>
    <t>tmdp</t>
  </si>
  <si>
    <t>wmsp</t>
  </si>
  <si>
    <t>zzap</t>
  </si>
  <si>
    <t>zzrp</t>
  </si>
  <si>
    <t>zzsp</t>
  </si>
  <si>
    <t>zzwp</t>
  </si>
  <si>
    <t>Afro/Amer St serial</t>
  </si>
  <si>
    <t>Art serials</t>
  </si>
  <si>
    <t>Biology serials</t>
  </si>
  <si>
    <t>BioMM serials</t>
  </si>
  <si>
    <t>Biopharmacy serials</t>
  </si>
  <si>
    <t>Chem Engin. serials</t>
  </si>
  <si>
    <t>Chemistry serials</t>
  </si>
  <si>
    <t>Com Disorder serial</t>
  </si>
  <si>
    <t>Gen Engineer serial</t>
  </si>
  <si>
    <t>Comm Studies serial</t>
  </si>
  <si>
    <t>Com Planning serial</t>
  </si>
  <si>
    <t>Computer Sci serial</t>
  </si>
  <si>
    <t>Civil Engin serials</t>
  </si>
  <si>
    <t>Economics serials</t>
  </si>
  <si>
    <t>Education serials</t>
  </si>
  <si>
    <t>Elec Engin serials</t>
  </si>
  <si>
    <t>English serials</t>
  </si>
  <si>
    <t>Film Studies serial</t>
  </si>
  <si>
    <t>Fisheries serials</t>
  </si>
  <si>
    <t>Geology Serials</t>
  </si>
  <si>
    <t>Hum Dev Fam serials</t>
  </si>
  <si>
    <t>History serials</t>
  </si>
  <si>
    <t>Gen Health serials</t>
  </si>
  <si>
    <t>Indus Engin serials</t>
  </si>
  <si>
    <t>Journalism serials</t>
  </si>
  <si>
    <t>Kinesiology serials</t>
  </si>
  <si>
    <t>Languages serials</t>
  </si>
  <si>
    <t>Lib Science serials</t>
  </si>
  <si>
    <t>Marine Aff serials</t>
  </si>
  <si>
    <t>Mech Engin serials</t>
  </si>
  <si>
    <t>Mathematics serials</t>
  </si>
  <si>
    <t>Music serials</t>
  </si>
  <si>
    <t>Nut/Food Sci Serial</t>
  </si>
  <si>
    <t>Nat Resource serial</t>
  </si>
  <si>
    <t>Nursing serials</t>
  </si>
  <si>
    <t>Ocean Engin serials</t>
  </si>
  <si>
    <t>Pell E-journals</t>
  </si>
  <si>
    <t>Pell serials</t>
  </si>
  <si>
    <t>Philosophy serials</t>
  </si>
  <si>
    <t>Pharm Prac serials</t>
  </si>
  <si>
    <t>Physics serials</t>
  </si>
  <si>
    <t>Plant Sci serials</t>
  </si>
  <si>
    <t>Political Sc serial</t>
  </si>
  <si>
    <t>Psychology serials</t>
  </si>
  <si>
    <t>Soc &amp; Anthro serial</t>
  </si>
  <si>
    <t>Theater serials</t>
  </si>
  <si>
    <t>Textiles serials</t>
  </si>
  <si>
    <t>Womens Stud serials</t>
  </si>
  <si>
    <t>General serials</t>
  </si>
  <si>
    <t>Reference serials</t>
  </si>
  <si>
    <t>zzw electr.</t>
  </si>
  <si>
    <t>N/A</t>
  </si>
  <si>
    <t>Code</t>
  </si>
  <si>
    <t>nebs</t>
  </si>
  <si>
    <t>sams</t>
  </si>
  <si>
    <t>sasce</t>
  </si>
  <si>
    <t>sben</t>
  </si>
  <si>
    <t>sbna</t>
  </si>
  <si>
    <t>sbow</t>
  </si>
  <si>
    <t>sebs</t>
  </si>
  <si>
    <t>sgale</t>
  </si>
  <si>
    <t>shar</t>
  </si>
  <si>
    <t>shel</t>
  </si>
  <si>
    <t>sinfo</t>
  </si>
  <si>
    <t>slex</t>
  </si>
  <si>
    <t>snap</t>
  </si>
  <si>
    <t>snem</t>
  </si>
  <si>
    <t>snrc</t>
  </si>
  <si>
    <t>sproq</t>
  </si>
  <si>
    <t>susbe</t>
  </si>
  <si>
    <t>swes</t>
  </si>
  <si>
    <t>swil</t>
  </si>
  <si>
    <t>xcqp</t>
  </si>
  <si>
    <t>xebs</t>
  </si>
  <si>
    <t>ximf</t>
  </si>
  <si>
    <t>xwil</t>
  </si>
  <si>
    <t>Pell</t>
  </si>
  <si>
    <t>URI</t>
  </si>
  <si>
    <t>CCE</t>
  </si>
  <si>
    <t>Pell EBSCO Subs Svc</t>
  </si>
  <si>
    <t>URI Am Math Soc</t>
  </si>
  <si>
    <t>URI Am Soc Civil Eng</t>
  </si>
  <si>
    <t>URI LexisNexis Matthew Bender</t>
  </si>
  <si>
    <t>URI Bureau of Nat Aff</t>
  </si>
  <si>
    <t>URI Bowker Reed</t>
  </si>
  <si>
    <t>URI EBSCO</t>
  </si>
  <si>
    <t>URI Gale (serials)</t>
  </si>
  <si>
    <t>URI Harrassowitz</t>
  </si>
  <si>
    <t>URI HELIN</t>
  </si>
  <si>
    <t>URI Information Today</t>
  </si>
  <si>
    <t>URI LexisNexis</t>
  </si>
  <si>
    <t>URI National Archive Publishing Company</t>
  </si>
  <si>
    <t>URI NE Micrographics</t>
  </si>
  <si>
    <t>URI NRC Research Press</t>
  </si>
  <si>
    <t>URI ProQuest I&amp;L</t>
  </si>
  <si>
    <t>URI Serials USBE</t>
  </si>
  <si>
    <t>URI Thomson West</t>
  </si>
  <si>
    <t>URI H.W. Wilson</t>
  </si>
  <si>
    <t>CCE CongressQuart</t>
  </si>
  <si>
    <t>CCE EBSCO</t>
  </si>
  <si>
    <t>CCE IMF</t>
  </si>
  <si>
    <t>CCE Wilson</t>
  </si>
  <si>
    <t>Volumes processed</t>
  </si>
  <si>
    <t>Volumes temp bound</t>
  </si>
  <si>
    <t>Mform pieces added (total)</t>
  </si>
  <si>
    <t>Pieces checked in</t>
  </si>
  <si>
    <t>Claims sent</t>
  </si>
  <si>
    <t>Kingston</t>
  </si>
  <si>
    <t>Endowments (Kingston)</t>
  </si>
  <si>
    <t>Kingston only</t>
  </si>
  <si>
    <t>Meaning</t>
  </si>
  <si>
    <t>riu24</t>
  </si>
  <si>
    <t>riuep</t>
  </si>
  <si>
    <t>riuin</t>
  </si>
  <si>
    <t>rium</t>
  </si>
  <si>
    <t>rium1</t>
  </si>
  <si>
    <t>riun</t>
  </si>
  <si>
    <t>riup</t>
  </si>
  <si>
    <t>rius</t>
  </si>
  <si>
    <t>URI CML Periodicals</t>
  </si>
  <si>
    <t>URI Eichenberg Serials</t>
  </si>
  <si>
    <t>URI E-Resource</t>
  </si>
  <si>
    <t>URI Microform Area</t>
  </si>
  <si>
    <t>URI Mform Area/Sect.1</t>
  </si>
  <si>
    <t>URI Newspaper Area</t>
  </si>
  <si>
    <t>URI Serial Stacks</t>
  </si>
  <si>
    <t>URI Current Periodical Rm</t>
  </si>
  <si>
    <t>monographs</t>
  </si>
  <si>
    <t>serials</t>
  </si>
  <si>
    <t>All branches</t>
  </si>
  <si>
    <t>Gale</t>
  </si>
  <si>
    <t>Notes</t>
  </si>
  <si>
    <t>Measure</t>
  </si>
  <si>
    <t>Question</t>
  </si>
  <si>
    <t>Total</t>
  </si>
  <si>
    <t>Package</t>
  </si>
  <si>
    <t>No. of Titles</t>
  </si>
  <si>
    <t>American Chemical Society Web Editions</t>
  </si>
  <si>
    <t>AIP Select</t>
  </si>
  <si>
    <t>Choice Reviews online</t>
  </si>
  <si>
    <t>MathSciNet</t>
  </si>
  <si>
    <t>Annual Reviews Custom Package</t>
  </si>
  <si>
    <t>Cambridge Journals Online</t>
  </si>
  <si>
    <t>SciFinder Scholar</t>
  </si>
  <si>
    <t>CIAO (Columbia International Affairs Online)</t>
  </si>
  <si>
    <t>Platform</t>
  </si>
  <si>
    <t>Choice.online</t>
  </si>
  <si>
    <t>KCDL</t>
  </si>
  <si>
    <t>BNA</t>
  </si>
  <si>
    <t>SciFinder</t>
  </si>
  <si>
    <t>CIAO</t>
  </si>
  <si>
    <t>CSA</t>
  </si>
  <si>
    <t>Communication Abstracts</t>
  </si>
  <si>
    <t>International Pharmaceutical Abstracts</t>
  </si>
  <si>
    <t>EconLit</t>
  </si>
  <si>
    <t>Anthrosource</t>
  </si>
  <si>
    <t>IEEE All-Society Periodicals Package</t>
  </si>
  <si>
    <t>JSTOR</t>
  </si>
  <si>
    <t>Journals @ OVID LWW Custom Package</t>
  </si>
  <si>
    <t>ABC-CLIO</t>
  </si>
  <si>
    <t>Historical Abstracts</t>
  </si>
  <si>
    <t>MLA International</t>
  </si>
  <si>
    <t>Philosopher's Index</t>
  </si>
  <si>
    <t>Physical Education Index</t>
  </si>
  <si>
    <t>PsycInfo</t>
  </si>
  <si>
    <t>Sociological Abstracts</t>
  </si>
  <si>
    <t>Academic Search Premier</t>
  </si>
  <si>
    <t>EBSCOhost</t>
  </si>
  <si>
    <t>CINAHL</t>
  </si>
  <si>
    <t>Film &amp; Television Literature Index</t>
  </si>
  <si>
    <t>Inspec Current</t>
  </si>
  <si>
    <t>Textile Technology Index</t>
  </si>
  <si>
    <t>Women's Studies International</t>
  </si>
  <si>
    <t>Elsevier</t>
  </si>
  <si>
    <t>EMBASE.com</t>
  </si>
  <si>
    <t>Literature Resource Center</t>
  </si>
  <si>
    <t>Info USA</t>
  </si>
  <si>
    <t>LexisNexis</t>
  </si>
  <si>
    <t>Mergent Online</t>
  </si>
  <si>
    <t>Mergent</t>
  </si>
  <si>
    <t>Grove</t>
  </si>
  <si>
    <t>LexisNexis Academic</t>
  </si>
  <si>
    <t>FirstSearch Base Package</t>
  </si>
  <si>
    <t>FirstSearch</t>
  </si>
  <si>
    <t>ProQuest</t>
  </si>
  <si>
    <t>Statistical Warehouse</t>
  </si>
  <si>
    <t>Regional OneSource</t>
  </si>
  <si>
    <t>Thomson ISI</t>
  </si>
  <si>
    <t>Web of Science</t>
  </si>
  <si>
    <t>Cochrane Library</t>
  </si>
  <si>
    <t>Wiley</t>
  </si>
  <si>
    <t>Art Abstracts</t>
  </si>
  <si>
    <t>Biological &amp; Agricultural Index Plus</t>
  </si>
  <si>
    <t>ABI/Inform Dateline</t>
  </si>
  <si>
    <t>ABI/Inform Global</t>
  </si>
  <si>
    <t>ABI/Inform Trade &amp; Industry</t>
  </si>
  <si>
    <t>Clase and Periodica</t>
  </si>
  <si>
    <t>ERIC</t>
  </si>
  <si>
    <t>Funk &amp; Wagnall's New World Encyclopedia</t>
  </si>
  <si>
    <t>GPO Monthly Catalog</t>
  </si>
  <si>
    <t>MAS Ultra - School Edition</t>
  </si>
  <si>
    <t>MEDLINE</t>
  </si>
  <si>
    <t>Military &amp; Government Collection</t>
  </si>
  <si>
    <t>MLA Directory of Periodicals</t>
  </si>
  <si>
    <t>Oceanic Abstracts</t>
  </si>
  <si>
    <t>OCLC Electronic Books</t>
  </si>
  <si>
    <t>OCLC Electronic Collections Online</t>
  </si>
  <si>
    <t>PILOTS</t>
  </si>
  <si>
    <t>Primary Search</t>
  </si>
  <si>
    <t>Proceedings First</t>
  </si>
  <si>
    <t>Social Services Abstracts</t>
  </si>
  <si>
    <t>Teacher Reference Center</t>
  </si>
  <si>
    <t>WorldCat</t>
  </si>
  <si>
    <t>WorldCat Dissertations &amp; Theses</t>
  </si>
  <si>
    <t>Readex</t>
  </si>
  <si>
    <t>ScienceDirect Freedom Collection</t>
  </si>
  <si>
    <t>Royal Society of Chemistry Package B</t>
  </si>
  <si>
    <t>Kingston monographs</t>
  </si>
  <si>
    <t>xbwf</t>
  </si>
  <si>
    <t>xbws</t>
  </si>
  <si>
    <t>xcaf</t>
  </si>
  <si>
    <t>xclf</t>
  </si>
  <si>
    <t>xcls</t>
  </si>
  <si>
    <t>xgaf</t>
  </si>
  <si>
    <t>xhof</t>
  </si>
  <si>
    <t>xiif</t>
  </si>
  <si>
    <t>xirf</t>
  </si>
  <si>
    <t>xwsf</t>
  </si>
  <si>
    <t>Question 6</t>
  </si>
  <si>
    <t>Question 16</t>
  </si>
  <si>
    <t>Contract binding</t>
  </si>
  <si>
    <t>Question 22</t>
  </si>
  <si>
    <t>Gifts</t>
  </si>
  <si>
    <t>—</t>
  </si>
  <si>
    <t>Question 1b.i</t>
  </si>
  <si>
    <t>Volumes added - Gross</t>
  </si>
  <si>
    <t>Question 1b.ii</t>
  </si>
  <si>
    <t>Volumes withdrawn during year</t>
  </si>
  <si>
    <t>Question 2</t>
  </si>
  <si>
    <t>Number of monographic volumes purchased</t>
  </si>
  <si>
    <t>Question 3</t>
  </si>
  <si>
    <t>Basis of volume count is:</t>
  </si>
  <si>
    <t>Physical</t>
  </si>
  <si>
    <t>Question 4</t>
  </si>
  <si>
    <t>Electronic</t>
  </si>
  <si>
    <t>Print (and other format) serials purchased</t>
  </si>
  <si>
    <t>Consortial</t>
  </si>
  <si>
    <t>Freely accessible</t>
  </si>
  <si>
    <t>Govt. Pubs not included.</t>
  </si>
  <si>
    <t>Government documents</t>
  </si>
  <si>
    <t>Question 5</t>
  </si>
  <si>
    <t>Microform units</t>
  </si>
  <si>
    <t>Question 15</t>
  </si>
  <si>
    <t>Monographs</t>
  </si>
  <si>
    <t>Other Library Materials</t>
  </si>
  <si>
    <t>Miscellaneous</t>
  </si>
  <si>
    <t>One-time electronic resource purchases</t>
  </si>
  <si>
    <t>Ongoing electronic resource purchases (e.g. subscriptions, annual license fees)</t>
  </si>
  <si>
    <t>Line 300</t>
  </si>
  <si>
    <t>One time purchases of books, serial backfiles, and other materials</t>
  </si>
  <si>
    <t>Includes all branches, endowments, serial back files purchased.</t>
  </si>
  <si>
    <t>Line 301</t>
  </si>
  <si>
    <t>Line 302</t>
  </si>
  <si>
    <t>Audiovisual</t>
  </si>
  <si>
    <t>Line 303</t>
  </si>
  <si>
    <t>Ongoing commitments to serial subscriptions</t>
  </si>
  <si>
    <t>All branches. Includes endowment. Does not include back files.</t>
  </si>
  <si>
    <t>Line 304</t>
  </si>
  <si>
    <t>Electronic serials</t>
  </si>
  <si>
    <t>Line 309</t>
  </si>
  <si>
    <t>Bibliographic utilities, networks, and consortia</t>
  </si>
  <si>
    <t>Volumes mended (in-house)</t>
  </si>
  <si>
    <t>COLLECTION METRICS</t>
  </si>
  <si>
    <t>Serial volumes withdrawn</t>
  </si>
  <si>
    <t>Mform pieces withdrawn</t>
  </si>
  <si>
    <t xml:space="preserve"> Subscriptions</t>
  </si>
  <si>
    <t xml:space="preserve"> Binding</t>
  </si>
  <si>
    <t xml:space="preserve"> </t>
  </si>
  <si>
    <t xml:space="preserve"> Film</t>
  </si>
  <si>
    <t xml:space="preserve"> Fiche</t>
  </si>
  <si>
    <t>PRODUCTIVITY METRICS</t>
  </si>
  <si>
    <t>Repairs</t>
  </si>
  <si>
    <t>Non-Library</t>
  </si>
  <si>
    <t>Serial volumes added (total)</t>
  </si>
  <si>
    <t>Volumes returned from bindery (total)</t>
  </si>
  <si>
    <t>Journals and other materials</t>
  </si>
  <si>
    <t xml:space="preserve">% change </t>
  </si>
  <si>
    <t>University Libraries</t>
  </si>
  <si>
    <t>Total Serials Expenditures (Including Endowments):</t>
  </si>
  <si>
    <t>Serials Expenditures, Library Budget Only (No Endowments):</t>
  </si>
  <si>
    <t>Endowments</t>
  </si>
  <si>
    <t>ceep</t>
  </si>
  <si>
    <t>CCE E-journals</t>
  </si>
  <si>
    <t>URI Fees (HELIN membership)</t>
  </si>
  <si>
    <t>saea</t>
  </si>
  <si>
    <t>URI Amer Econ Assn</t>
  </si>
  <si>
    <t>sdood</t>
  </si>
  <si>
    <t>URI Doody's</t>
  </si>
  <si>
    <t>suip</t>
  </si>
  <si>
    <t>URI Univ of Illinois</t>
  </si>
  <si>
    <t>serials endowments</t>
  </si>
  <si>
    <t>monographs endowments</t>
  </si>
  <si>
    <t>MONOGRAPHS TOTAL</t>
  </si>
  <si>
    <t>SERIALS TOTAL</t>
  </si>
  <si>
    <t>KINGSTON SUBTOTAL</t>
  </si>
  <si>
    <t>CCE SUBTOTAL</t>
  </si>
  <si>
    <t>PELL SUBTOTAL</t>
  </si>
  <si>
    <t>xwdf</t>
  </si>
  <si>
    <t>HELIN</t>
  </si>
  <si>
    <t>Total monographs</t>
  </si>
  <si>
    <t>Firm orders</t>
  </si>
  <si>
    <t>Reference databases</t>
  </si>
  <si>
    <t>Standing orders</t>
  </si>
  <si>
    <t>Total subscriptions</t>
  </si>
  <si>
    <t>Print</t>
  </si>
  <si>
    <t>Microfilm</t>
  </si>
  <si>
    <t>One-time serial purchases</t>
  </si>
  <si>
    <t>Backfiles</t>
  </si>
  <si>
    <t>Grand total</t>
  </si>
  <si>
    <t>E-journal packages</t>
  </si>
  <si>
    <t>Individual e-journals</t>
  </si>
  <si>
    <t>Kingston journals &amp; magazines</t>
  </si>
  <si>
    <t>Kingston newspapers</t>
  </si>
  <si>
    <t>FY09 Price</t>
  </si>
  <si>
    <t>PsycARTICLES (EBSCO)</t>
  </si>
  <si>
    <t>Software**</t>
  </si>
  <si>
    <t>Access fees to purchased content*</t>
  </si>
  <si>
    <t>Academic Search Complete</t>
  </si>
  <si>
    <t>Statewide</t>
  </si>
  <si>
    <t>Greenwood</t>
  </si>
  <si>
    <t>Bibliography &amp; Index of Micropaleontology</t>
  </si>
  <si>
    <t>BIM</t>
  </si>
  <si>
    <t>Doody's</t>
  </si>
  <si>
    <t>Direct</t>
  </si>
  <si>
    <t>ComDisDome</t>
  </si>
  <si>
    <t>CQ Researcher</t>
  </si>
  <si>
    <t>CQ</t>
  </si>
  <si>
    <t>Dissertations &amp; Theses</t>
  </si>
  <si>
    <t>Dissertations &amp; Theses @ University of Rhode Island</t>
  </si>
  <si>
    <t>Education Full Text</t>
  </si>
  <si>
    <t>Guide to Computing Literature</t>
  </si>
  <si>
    <t>ACM</t>
  </si>
  <si>
    <t>GreenFILE</t>
  </si>
  <si>
    <t>WilsonWeb</t>
  </si>
  <si>
    <t>HealthSource: Nursing/Academic Edition</t>
  </si>
  <si>
    <t>History Reference Center</t>
  </si>
  <si>
    <t>Oxford Grove Music Online</t>
  </si>
  <si>
    <t>Homeland Security Digital Library</t>
  </si>
  <si>
    <t>HSDL</t>
  </si>
  <si>
    <t>GPO</t>
  </si>
  <si>
    <t>ICPSR</t>
  </si>
  <si>
    <t>LexisNexis Congressional (with indexes)</t>
  </si>
  <si>
    <t>MasterFILE Premier</t>
  </si>
  <si>
    <t>OVID</t>
  </si>
  <si>
    <t>Mental Measurements Yearbook</t>
  </si>
  <si>
    <t>Middle Search Plus</t>
  </si>
  <si>
    <t>Harmonie =&gt; EBSCOhost</t>
  </si>
  <si>
    <t>National Climatic Data Center</t>
  </si>
  <si>
    <t>NCDC</t>
  </si>
  <si>
    <t>Lexi-Comp Online</t>
  </si>
  <si>
    <t>Lexi-Comp</t>
  </si>
  <si>
    <t>Turfgrass Information Center</t>
  </si>
  <si>
    <t>TGIF</t>
  </si>
  <si>
    <t>UTO</t>
  </si>
  <si>
    <t>RIA</t>
  </si>
  <si>
    <t>STAT-USA</t>
  </si>
  <si>
    <t>PubMed</t>
  </si>
  <si>
    <t>NLM</t>
  </si>
  <si>
    <t>SPIN (InfoEd)</t>
  </si>
  <si>
    <t>SPIN</t>
  </si>
  <si>
    <t>NTIS</t>
  </si>
  <si>
    <t>NTIS/GPO Depository Access to Reports, Technical &amp; Scientific (DARTS)</t>
  </si>
  <si>
    <t>TOPICsearch</t>
  </si>
  <si>
    <t>Regional Business News</t>
  </si>
  <si>
    <t>% of category</t>
  </si>
  <si>
    <t>Serials</t>
  </si>
  <si>
    <t xml:space="preserve">Pell </t>
  </si>
  <si>
    <t xml:space="preserve">CCE </t>
  </si>
  <si>
    <t>FY10</t>
  </si>
  <si>
    <t>PELL</t>
  </si>
  <si>
    <t xml:space="preserve">HELIN + NELINET + MARCIVE fees. </t>
  </si>
  <si>
    <t>All branches. Includes endowment. Does not include one-time back files or software.</t>
  </si>
  <si>
    <t>rinb</t>
  </si>
  <si>
    <t>PELL Narr Bay</t>
  </si>
  <si>
    <t>rinc</t>
  </si>
  <si>
    <t>PELL Challenger Rm</t>
  </si>
  <si>
    <t>ring</t>
  </si>
  <si>
    <t>PELL GSO Arch</t>
  </si>
  <si>
    <t>rini</t>
  </si>
  <si>
    <t>PELL Index</t>
  </si>
  <si>
    <t>rinj</t>
  </si>
  <si>
    <t>PELL Current Period. Rm</t>
  </si>
  <si>
    <t>rinl</t>
  </si>
  <si>
    <t>PELL Newsletter</t>
  </si>
  <si>
    <t>rinn</t>
  </si>
  <si>
    <t>rinp</t>
  </si>
  <si>
    <t>PELL Serial Stacks</t>
  </si>
  <si>
    <t>rinr</t>
  </si>
  <si>
    <t>PELL Reference</t>
  </si>
  <si>
    <t>rinv</t>
  </si>
  <si>
    <t>PELL Video</t>
  </si>
  <si>
    <t>rinw</t>
  </si>
  <si>
    <t>PELL E-Resource</t>
  </si>
  <si>
    <t>rinxd</t>
  </si>
  <si>
    <t>Pell DVD</t>
  </si>
  <si>
    <t>rinxx</t>
  </si>
  <si>
    <t>PELL CD ROM</t>
  </si>
  <si>
    <t>riny</t>
  </si>
  <si>
    <t>riu</t>
  </si>
  <si>
    <t>riu1e</t>
  </si>
  <si>
    <t>URI e-resource</t>
  </si>
  <si>
    <t>riua</t>
  </si>
  <si>
    <t>URI Archives</t>
  </si>
  <si>
    <t>riuf</t>
  </si>
  <si>
    <t>URI Reference</t>
  </si>
  <si>
    <t>riuf1</t>
  </si>
  <si>
    <t>URI Reference Desk</t>
  </si>
  <si>
    <t>riuf3</t>
  </si>
  <si>
    <t>URI REF NAT'L BIBL.</t>
  </si>
  <si>
    <t>riuf4</t>
  </si>
  <si>
    <t>URI REF INDEX</t>
  </si>
  <si>
    <t>riufg</t>
  </si>
  <si>
    <t>riug</t>
  </si>
  <si>
    <t xml:space="preserve">URI Govt Pub </t>
  </si>
  <si>
    <t>riug9</t>
  </si>
  <si>
    <t>URI Govt Pub</t>
  </si>
  <si>
    <t>riuge</t>
  </si>
  <si>
    <t>URI Gov Pub CD</t>
  </si>
  <si>
    <t>riugm</t>
  </si>
  <si>
    <t>URI Govt Pub Microform</t>
  </si>
  <si>
    <t>riugn</t>
  </si>
  <si>
    <t>riugr</t>
  </si>
  <si>
    <t>URI Govt Pub Reference</t>
  </si>
  <si>
    <t>riugs</t>
  </si>
  <si>
    <t>URI Govt. Pubs Office</t>
  </si>
  <si>
    <t>riui</t>
  </si>
  <si>
    <t>URI RI Collection</t>
  </si>
  <si>
    <t>rium2</t>
  </si>
  <si>
    <t>URI Mform Area/Sect.2</t>
  </si>
  <si>
    <t>rium3</t>
  </si>
  <si>
    <t>URI Mform Area/Sect.3</t>
  </si>
  <si>
    <t>riupd</t>
  </si>
  <si>
    <t>URI Mezzanine</t>
  </si>
  <si>
    <t>riupg</t>
  </si>
  <si>
    <t>riur</t>
  </si>
  <si>
    <t>URI Rare Books</t>
  </si>
  <si>
    <t>riurm</t>
  </si>
  <si>
    <t>URI Merrymount</t>
  </si>
  <si>
    <t>riurp</t>
  </si>
  <si>
    <t>URI Comm. Pattern Archive</t>
  </si>
  <si>
    <t>riurz</t>
  </si>
  <si>
    <t>URI Pound Collection</t>
  </si>
  <si>
    <t>riusg</t>
  </si>
  <si>
    <t>riut</t>
  </si>
  <si>
    <t>URI State Pub</t>
  </si>
  <si>
    <t>riutr</t>
  </si>
  <si>
    <t>URI State Pub Reference</t>
  </si>
  <si>
    <t>riuu</t>
  </si>
  <si>
    <t>riuw</t>
  </si>
  <si>
    <t>URI Whitman Collection</t>
  </si>
  <si>
    <t>rixi</t>
  </si>
  <si>
    <t>CCE Index</t>
  </si>
  <si>
    <t>rixn</t>
  </si>
  <si>
    <t>CCE Newspaper Area</t>
  </si>
  <si>
    <t>rixp</t>
  </si>
  <si>
    <t>CCE Periodical Collection</t>
  </si>
  <si>
    <t>rixr</t>
  </si>
  <si>
    <t>CCE Reference</t>
  </si>
  <si>
    <t>rixx</t>
  </si>
  <si>
    <t>CCE Main Collection</t>
  </si>
  <si>
    <t>Total Monograph Expenditures FY09 and FY10</t>
  </si>
  <si>
    <t>aaff</t>
  </si>
  <si>
    <t>aafs</t>
  </si>
  <si>
    <t>Afro/Amer St standing orders</t>
  </si>
  <si>
    <t>Afro/Amer St firm orders</t>
  </si>
  <si>
    <t>artf</t>
  </si>
  <si>
    <t>arts</t>
  </si>
  <si>
    <t>Art standing orders</t>
  </si>
  <si>
    <t>Art firm orders</t>
  </si>
  <si>
    <t>biof</t>
  </si>
  <si>
    <t>bios</t>
  </si>
  <si>
    <t>Biology firm orders</t>
  </si>
  <si>
    <t>Biology standing orders</t>
  </si>
  <si>
    <t>bmmf</t>
  </si>
  <si>
    <t>bmms</t>
  </si>
  <si>
    <t>BioMM firm orders</t>
  </si>
  <si>
    <t>BIOMM standing orders</t>
  </si>
  <si>
    <t>bpsf</t>
  </si>
  <si>
    <t>bpss</t>
  </si>
  <si>
    <t>Biopharmacy firm orders</t>
  </si>
  <si>
    <t>Biopharmacy standing orders</t>
  </si>
  <si>
    <t>busf</t>
  </si>
  <si>
    <t>Business firm orders</t>
  </si>
  <si>
    <t>% of total FY10 expend.</t>
  </si>
  <si>
    <t>ccef</t>
  </si>
  <si>
    <t>cces</t>
  </si>
  <si>
    <t>CCE firm orders</t>
  </si>
  <si>
    <t>CCE standing orders</t>
  </si>
  <si>
    <t>chef</t>
  </si>
  <si>
    <t>ches</t>
  </si>
  <si>
    <t>chmf</t>
  </si>
  <si>
    <t>chms</t>
  </si>
  <si>
    <t>Chem Engin. firm orders</t>
  </si>
  <si>
    <t>Chem Engin. Standing orders</t>
  </si>
  <si>
    <t>Chemistry firm orders</t>
  </si>
  <si>
    <t>Chemistry standing orders</t>
  </si>
  <si>
    <t>cmdf</t>
  </si>
  <si>
    <t>cmds</t>
  </si>
  <si>
    <t>Com Disorder firm orders</t>
  </si>
  <si>
    <t>Com Disorder standing orders</t>
  </si>
  <si>
    <t>comf</t>
  </si>
  <si>
    <t>coms</t>
  </si>
  <si>
    <t>Comm Studies firm orders</t>
  </si>
  <si>
    <t>Comm Studies standing orders</t>
  </si>
  <si>
    <t>Com Planning firm orders</t>
  </si>
  <si>
    <t>Com Planning standing orders</t>
  </si>
  <si>
    <t>cplf</t>
  </si>
  <si>
    <t>cpls</t>
  </si>
  <si>
    <t>cscf</t>
  </si>
  <si>
    <t>cscs</t>
  </si>
  <si>
    <t>Computer Sci firm orders</t>
  </si>
  <si>
    <t>Computer Sci standing orders</t>
  </si>
  <si>
    <t>cvef</t>
  </si>
  <si>
    <t>cves</t>
  </si>
  <si>
    <t>Civil Engin firm orders</t>
  </si>
  <si>
    <t>Civil Engin standing orders</t>
  </si>
  <si>
    <t>ecnf</t>
  </si>
  <si>
    <t>ecns</t>
  </si>
  <si>
    <t>Economics firm orders</t>
  </si>
  <si>
    <t>Economics standing orders</t>
  </si>
  <si>
    <t>edcf</t>
  </si>
  <si>
    <t>edcs</t>
  </si>
  <si>
    <t>Education firm orders</t>
  </si>
  <si>
    <t>Education standing orders</t>
  </si>
  <si>
    <t>elef</t>
  </si>
  <si>
    <t>eles</t>
  </si>
  <si>
    <t>Elec Engin firm orders</t>
  </si>
  <si>
    <t>Elec Engin standing orders</t>
  </si>
  <si>
    <t>engf</t>
  </si>
  <si>
    <t>engs</t>
  </si>
  <si>
    <t>English standing orders</t>
  </si>
  <si>
    <t>English firm orders</t>
  </si>
  <si>
    <t>flmf</t>
  </si>
  <si>
    <t>flms</t>
  </si>
  <si>
    <t>Film Studies firm orders</t>
  </si>
  <si>
    <t>Film Studies standing orders</t>
  </si>
  <si>
    <t>fstf</t>
  </si>
  <si>
    <t>fsts</t>
  </si>
  <si>
    <t>geof</t>
  </si>
  <si>
    <t>geos</t>
  </si>
  <si>
    <t>Geology firm orders</t>
  </si>
  <si>
    <t>Geology standing orders</t>
  </si>
  <si>
    <t>hdff</t>
  </si>
  <si>
    <t>Hum Dev Fam firm orders</t>
  </si>
  <si>
    <t>Hum Dev Fam standing orders</t>
  </si>
  <si>
    <t>hdfs</t>
  </si>
  <si>
    <t>Fish/Ani/Vet firm orders</t>
  </si>
  <si>
    <t>Fish/Ani/Vet standing orders</t>
  </si>
  <si>
    <t>hisf</t>
  </si>
  <si>
    <t>History firm orders</t>
  </si>
  <si>
    <t>hiss</t>
  </si>
  <si>
    <t>History standing orders</t>
  </si>
  <si>
    <t>imef</t>
  </si>
  <si>
    <t>imes</t>
  </si>
  <si>
    <t>Indus Engin firm orders</t>
  </si>
  <si>
    <t>Indus Engin standing orders</t>
  </si>
  <si>
    <t>jorf</t>
  </si>
  <si>
    <t>jors</t>
  </si>
  <si>
    <t>kinf</t>
  </si>
  <si>
    <t>kins</t>
  </si>
  <si>
    <t>lanf</t>
  </si>
  <si>
    <t>lans</t>
  </si>
  <si>
    <t>lrsf</t>
  </si>
  <si>
    <t>lrss</t>
  </si>
  <si>
    <t>lscf</t>
  </si>
  <si>
    <t>lscs</t>
  </si>
  <si>
    <t>maff</t>
  </si>
  <si>
    <t>mafs</t>
  </si>
  <si>
    <t>mcef</t>
  </si>
  <si>
    <t>mces</t>
  </si>
  <si>
    <t>mthf</t>
  </si>
  <si>
    <t>mths</t>
  </si>
  <si>
    <t>musf</t>
  </si>
  <si>
    <t>muss</t>
  </si>
  <si>
    <t>nfsf</t>
  </si>
  <si>
    <t>nfss</t>
  </si>
  <si>
    <t>nrsf</t>
  </si>
  <si>
    <t>nrss</t>
  </si>
  <si>
    <t>nurf</t>
  </si>
  <si>
    <t>nurs</t>
  </si>
  <si>
    <t>ocef</t>
  </si>
  <si>
    <t>oces</t>
  </si>
  <si>
    <t>pelf</t>
  </si>
  <si>
    <t>pels</t>
  </si>
  <si>
    <t>phlf</t>
  </si>
  <si>
    <t>phls</t>
  </si>
  <si>
    <t>phpf</t>
  </si>
  <si>
    <t>phps</t>
  </si>
  <si>
    <t>phyf</t>
  </si>
  <si>
    <t>phys</t>
  </si>
  <si>
    <t>plsf</t>
  </si>
  <si>
    <t>plss</t>
  </si>
  <si>
    <t>pscf</t>
  </si>
  <si>
    <t>pscs</t>
  </si>
  <si>
    <t>psyf</t>
  </si>
  <si>
    <t>psys</t>
  </si>
  <si>
    <t>pthf</t>
  </si>
  <si>
    <t>pths</t>
  </si>
  <si>
    <t>renf</t>
  </si>
  <si>
    <t>rens</t>
  </si>
  <si>
    <t>socf</t>
  </si>
  <si>
    <t>socs</t>
  </si>
  <si>
    <t>thef</t>
  </si>
  <si>
    <t>thes</t>
  </si>
  <si>
    <t>tmdf</t>
  </si>
  <si>
    <t>tmds</t>
  </si>
  <si>
    <t>wmsf</t>
  </si>
  <si>
    <t>wmss</t>
  </si>
  <si>
    <t>zzaf</t>
  </si>
  <si>
    <t>zzas</t>
  </si>
  <si>
    <t>zzrf</t>
  </si>
  <si>
    <t>zzrs</t>
  </si>
  <si>
    <t>zzsf</t>
  </si>
  <si>
    <t>zzss</t>
  </si>
  <si>
    <t>Journalism firm orders</t>
  </si>
  <si>
    <t>Journalism standing orders</t>
  </si>
  <si>
    <t>Kinesiology firm orders</t>
  </si>
  <si>
    <t>Languages firm orders</t>
  </si>
  <si>
    <t>Languages standing orders</t>
  </si>
  <si>
    <t>Kinesiology standing orders</t>
  </si>
  <si>
    <t>larf</t>
  </si>
  <si>
    <t>lars</t>
  </si>
  <si>
    <t>Landscape Arch firm orders</t>
  </si>
  <si>
    <t>Landscape Arch standing orders</t>
  </si>
  <si>
    <t>Labor Relat firm orders</t>
  </si>
  <si>
    <t>Labor Relat standing orders</t>
  </si>
  <si>
    <t>Lib Science firm orders</t>
  </si>
  <si>
    <t>Lib Science standing orders</t>
  </si>
  <si>
    <t>Marine Aff firm orders</t>
  </si>
  <si>
    <t>Marine Aff standing orders</t>
  </si>
  <si>
    <t>Mech Engin firm orders</t>
  </si>
  <si>
    <t>Mech Engin standing orders</t>
  </si>
  <si>
    <t>Mathematics firm orders</t>
  </si>
  <si>
    <t>Mathematics standing orders</t>
  </si>
  <si>
    <t>Music firm orders</t>
  </si>
  <si>
    <t>Music standing orders</t>
  </si>
  <si>
    <t>Nut/Food Sci firm orders</t>
  </si>
  <si>
    <t>Nut/Food Sci standing orders</t>
  </si>
  <si>
    <t>Nat Resource firm orders</t>
  </si>
  <si>
    <t>Nat Resource standing orders</t>
  </si>
  <si>
    <t>Nursing firm orders</t>
  </si>
  <si>
    <t>Nursing standing orders</t>
  </si>
  <si>
    <t>Ocean Engin firm orders</t>
  </si>
  <si>
    <t>Ocean Engin standing orders</t>
  </si>
  <si>
    <t>Pell firm orders</t>
  </si>
  <si>
    <t>Pell standing orders</t>
  </si>
  <si>
    <t>Philosophy firm orders</t>
  </si>
  <si>
    <t>Philosophy standing orders</t>
  </si>
  <si>
    <t>Pharm Prac firm orders</t>
  </si>
  <si>
    <t>Pharm Prac standing orders</t>
  </si>
  <si>
    <t>Physics firm orders</t>
  </si>
  <si>
    <t>Physics standing orders</t>
  </si>
  <si>
    <t>Plant Sci firm orders</t>
  </si>
  <si>
    <t>Plant Sci standing orders</t>
  </si>
  <si>
    <t>Political Sci firm orders</t>
  </si>
  <si>
    <t>Political Sci standing orders</t>
  </si>
  <si>
    <t>Psychology firm orders</t>
  </si>
  <si>
    <t>Psychology standing orders</t>
  </si>
  <si>
    <t>Phys Therapy firm orders</t>
  </si>
  <si>
    <t>Phys Therapy standing orders</t>
  </si>
  <si>
    <t>Resource Econ firm orders</t>
  </si>
  <si>
    <t>Resource Econ standing orders</t>
  </si>
  <si>
    <t>Soc &amp; Anthro firm orders</t>
  </si>
  <si>
    <t>Soc &amp; Anthro standing orders</t>
  </si>
  <si>
    <t>Theater firm orders</t>
  </si>
  <si>
    <t>Theater standing orders</t>
  </si>
  <si>
    <t>Textiles firm orders</t>
  </si>
  <si>
    <t>Textiles standing orders</t>
  </si>
  <si>
    <t>Womens Stud firm orders</t>
  </si>
  <si>
    <t>Womens Stud standing orders</t>
  </si>
  <si>
    <t>General firm orders</t>
  </si>
  <si>
    <t>General standing orders</t>
  </si>
  <si>
    <t>Reference firm orders</t>
  </si>
  <si>
    <t>Reference standing orders</t>
  </si>
  <si>
    <t>Special Col firm orders</t>
  </si>
  <si>
    <t>Special Col standing orders</t>
  </si>
  <si>
    <t>wrtf</t>
  </si>
  <si>
    <t>Writing firm orders</t>
  </si>
  <si>
    <t>wrts</t>
  </si>
  <si>
    <t>Writing standing orders</t>
  </si>
  <si>
    <t>zzaa</t>
  </si>
  <si>
    <t>General approval orders (Strand)</t>
  </si>
  <si>
    <t>zzdf</t>
  </si>
  <si>
    <t>Replacement firm orders</t>
  </si>
  <si>
    <t>zzlf</t>
  </si>
  <si>
    <t>Library firm orders</t>
  </si>
  <si>
    <t>zzls</t>
  </si>
  <si>
    <t>Library standing orders</t>
  </si>
  <si>
    <t>zzmf</t>
  </si>
  <si>
    <t>Media firm orders</t>
  </si>
  <si>
    <t>zzms</t>
  </si>
  <si>
    <t>Media standing orders</t>
  </si>
  <si>
    <t>zznf</t>
  </si>
  <si>
    <t>New Faculty firm orders</t>
  </si>
  <si>
    <t>zzwf</t>
  </si>
  <si>
    <t>zzw electronic firm orders</t>
  </si>
  <si>
    <t>zzws</t>
  </si>
  <si>
    <t>zzw electronic standing orders</t>
  </si>
  <si>
    <t>n/a</t>
  </si>
  <si>
    <t>Serials Productivity Statistics FY09 and FY10</t>
  </si>
  <si>
    <t>Monographs Productivity Statistics FY09 and FY10</t>
  </si>
  <si>
    <t>Monograph volumes added (total)</t>
  </si>
  <si>
    <t>Approval plan</t>
  </si>
  <si>
    <t>Monograph volumes withdrawn</t>
  </si>
  <si>
    <t>Media added</t>
  </si>
  <si>
    <t>ACQUISITIONS</t>
  </si>
  <si>
    <t>Requests searched</t>
  </si>
  <si>
    <t>Duplicates returned</t>
  </si>
  <si>
    <t>Titles ordered</t>
  </si>
  <si>
    <t>Approvals returned</t>
  </si>
  <si>
    <t>Invoices processed</t>
  </si>
  <si>
    <t>COPY CATALOGING</t>
  </si>
  <si>
    <t>LC Copy</t>
  </si>
  <si>
    <t>Edited Copy</t>
  </si>
  <si>
    <t>Sent to Cataloging</t>
  </si>
  <si>
    <t>INVENTORY</t>
  </si>
  <si>
    <t>Barcodes scanned</t>
  </si>
  <si>
    <t>HELIN corrections</t>
  </si>
  <si>
    <t>Items found</t>
  </si>
  <si>
    <t>No PZ's</t>
  </si>
  <si>
    <t>No items</t>
  </si>
  <si>
    <t>Total Monographs Expenditures by Library FY09 and FY10</t>
  </si>
  <si>
    <t>Monograph Expenditures, Library Budget Only (No Endowments):</t>
  </si>
  <si>
    <t>Acquisition Type</t>
  </si>
  <si>
    <t>Pell (pelf)</t>
  </si>
  <si>
    <t>CCE (ccef)</t>
  </si>
  <si>
    <t>Total Monograph Endowment Expenditures FY09 and FY10</t>
  </si>
  <si>
    <t>Total Library Materials Expenditures FY09 and FY10</t>
  </si>
  <si>
    <t>Library budget only</t>
  </si>
  <si>
    <t>Totals</t>
  </si>
  <si>
    <t>Material type</t>
  </si>
  <si>
    <t>Serials / subscriptions</t>
  </si>
  <si>
    <t>Kingston (Strand)</t>
  </si>
  <si>
    <t>Library budget (all branches)</t>
  </si>
  <si>
    <t>Total Endowment Expenditures by Type and Fund FY09 and FY10</t>
  </si>
  <si>
    <t>Endowment Expenditures by Fund FY09 and FY10</t>
  </si>
  <si>
    <t>Endowment Expenditures by Type FY09 and FY10</t>
  </si>
  <si>
    <t>Estimated Expenditures by Format FY09 and FY10</t>
  </si>
  <si>
    <t>Serials vs. Monograph Expenditures by Branch FY09 and FY10</t>
  </si>
  <si>
    <t>Total Monograph Expenditures (Including Endowments) FY09 and FY10:</t>
  </si>
  <si>
    <t>Monograph Volumes Added FY09 and FY10</t>
  </si>
  <si>
    <t>Approval Plan (Strand)</t>
  </si>
  <si>
    <t>Monograph Volumes Added by Acquisition Type FY09 and FY10 (Kingston only)</t>
  </si>
  <si>
    <t>Volumes purchased</t>
  </si>
  <si>
    <t>Amount spent</t>
  </si>
  <si>
    <t>% of total FY10 vols.</t>
  </si>
  <si>
    <t>Average Price of Monograph FY09 and FY10 (Kingston only)</t>
  </si>
  <si>
    <t>Average price paid per volume</t>
  </si>
  <si>
    <t>Endowment fund</t>
  </si>
  <si>
    <t>Bouclin (serials / any)</t>
  </si>
  <si>
    <t>Black (holocaust books)</t>
  </si>
  <si>
    <t>Barbara Woods (German)</t>
  </si>
  <si>
    <t>Carr (agriculture)</t>
  </si>
  <si>
    <t>xcas</t>
  </si>
  <si>
    <t>Cloudman (math)</t>
  </si>
  <si>
    <t>Crandall (books for HSS)</t>
  </si>
  <si>
    <t>Fritsch (books / any)</t>
  </si>
  <si>
    <t>Galanti (nursing)</t>
  </si>
  <si>
    <t>Hartford (books / aviation)</t>
  </si>
  <si>
    <t>Hoban (books / PSC &amp; HIS)</t>
  </si>
  <si>
    <t>Irmgard (rare books)</t>
  </si>
  <si>
    <t>O'Malley (books / hum &amp; lit)</t>
  </si>
  <si>
    <t>Platt (books &amp; serials / any)</t>
  </si>
  <si>
    <t>Urish (books lit merit)</t>
  </si>
  <si>
    <t>xbcp</t>
  </si>
  <si>
    <t>xblf</t>
  </si>
  <si>
    <t>xcrf</t>
  </si>
  <si>
    <t>xfrf</t>
  </si>
  <si>
    <t>xgas</t>
  </si>
  <si>
    <t>xhaf</t>
  </si>
  <si>
    <t>xiis</t>
  </si>
  <si>
    <t>xomf</t>
  </si>
  <si>
    <t>xplf</t>
  </si>
  <si>
    <t>xurf</t>
  </si>
  <si>
    <t>Woodward (rare books)</t>
  </si>
  <si>
    <t>Carlson (women's studies)</t>
  </si>
  <si>
    <t>xwsp</t>
  </si>
  <si>
    <t>FY010</t>
  </si>
  <si>
    <t>Labor Relat serials</t>
  </si>
  <si>
    <t>CCE serials</t>
  </si>
  <si>
    <t>Business serials</t>
  </si>
  <si>
    <t>Phys Therapy serials</t>
  </si>
  <si>
    <t>Resource Econ serial</t>
  </si>
  <si>
    <t>Total Serials Expenditures FY09 and FY10</t>
  </si>
  <si>
    <t>Description</t>
  </si>
  <si>
    <t>Annual Access Fee</t>
  </si>
  <si>
    <t>Biography Index Retro</t>
  </si>
  <si>
    <t>Book Review Digest Retro</t>
  </si>
  <si>
    <t>Brill Journal Archive Online (JOBA), Part 1, Brill Collection</t>
  </si>
  <si>
    <t>EMBASE Classic</t>
  </si>
  <si>
    <t>Endocrine Legacy Journal Archives 1917-1996</t>
  </si>
  <si>
    <t>JSTOR Arts &amp; Sciences VIII Collection</t>
  </si>
  <si>
    <t>JSTOR Business III</t>
  </si>
  <si>
    <t>Library Literature &amp; Information Science Retro</t>
  </si>
  <si>
    <t>Moody's / Mergent Manuals</t>
  </si>
  <si>
    <t>New England Journal of Medicine Archive 1812-1989</t>
  </si>
  <si>
    <t>Random Structures and Algorithms Backfile 1990-1995</t>
  </si>
  <si>
    <t>Sage Backfile Upgrade Package 2010</t>
  </si>
  <si>
    <t>Scientific American Archive 1948-1992</t>
  </si>
  <si>
    <t>Short Story Index Retro</t>
  </si>
  <si>
    <t>U.S. Congressional Serial Set Digital Edition, 1981-1994 (Digital Extension)</t>
  </si>
  <si>
    <t xml:space="preserve">Taylor &amp; Francis Library &amp; Information Science Archive Collection </t>
  </si>
  <si>
    <t>Publisher</t>
  </si>
  <si>
    <t>Brill</t>
  </si>
  <si>
    <t>Endocrine Society</t>
  </si>
  <si>
    <t>Moody's / Mergent</t>
  </si>
  <si>
    <t>NEJM</t>
  </si>
  <si>
    <t>Wiley-Blackwell</t>
  </si>
  <si>
    <t>Sage</t>
  </si>
  <si>
    <t>Nature Publishing Group</t>
  </si>
  <si>
    <t>Taylor &amp; Francis</t>
  </si>
  <si>
    <t>Readex Newsbank</t>
  </si>
  <si>
    <t xml:space="preserve">1946-1983. 3 simultaneous users. Price reflects 20% discount for purchasing 4 databases at once. </t>
  </si>
  <si>
    <t xml:space="preserve">1905-1982. 3 simultaneous users. Price reflects 20% discount for purchasing 4 databases at once. </t>
  </si>
  <si>
    <t>See http://www.jstor.org/action/collectionsAvailable.</t>
  </si>
  <si>
    <t xml:space="preserve">See http://www.jstor.org/action/collectionsAvailable. </t>
  </si>
  <si>
    <t xml:space="preserve">1905-1983. 3 simultaneous users. Price reflects 20% discount for purchasing 4 databases at once. </t>
  </si>
  <si>
    <t>Single title. One-time purchase. Backfile years: 1990-1995</t>
  </si>
  <si>
    <t>Price reflects 5% NERL discount.</t>
  </si>
  <si>
    <t>1915-1983. 3 simultaneous users. Price reflects 20% discount for purchasing 4 databases at once.</t>
  </si>
  <si>
    <t>22 titles. One-time purchase. Volume 1, issue 1 through 1996. Price reflects 10% discount for purchasing two collections. Access fee will be waived for two years (2010 and 2011).</t>
  </si>
  <si>
    <t>46 titles. One-time purchase. Volume 1, issue 1 through 1996. Price reflects 10% discount for purchasing two collections. Access fee will be waived for two years (2010 and 2011).</t>
  </si>
  <si>
    <t xml:space="preserve">Price reflects 50% NERL discount. We have current NERL Brill package. Archive Part 1 contains 90 titles from the 19th and 20th Century from v.1:no.1 through 1999. (21st Century titles are in Part 2 of the JOBA.) </t>
  </si>
  <si>
    <t xml:space="preserve">EMBASE Classic is an essential abstract and index backfile which enables biomedical researchers to review critical research from 1947 to 1973. </t>
  </si>
  <si>
    <t xml:space="preserve">The Endocrine Legacy includes archival content back to volume 1, issue 1 for Endocrine Reviews; JCEM (The Journal of Clinical Endocrinology &amp; Metabolism); Endocrinology; and Molecular Endocrinology. </t>
  </si>
  <si>
    <t>Access to all of the Moody’s/Mergent Manuals going back to the early 1900’s (1909) as well as the new manuals each year.</t>
  </si>
  <si>
    <t xml:space="preserve">Collection One covers 1812 to 1944 and Collection Two covers 1945 to 1989. </t>
  </si>
  <si>
    <t xml:space="preserve">This includes backfile access from v.1 through 1998 to all journals acquired by Sage since the 2009 package, as of 2010. </t>
  </si>
  <si>
    <t>One-Time Purchases of Online Back Files FY10</t>
  </si>
  <si>
    <t>Purchase Price (Capital fee only)</t>
  </si>
  <si>
    <t>Taylor &amp; Francis Media, Cultural &amp; Communications Studies Archive Collection</t>
  </si>
  <si>
    <t>(We already have U.S. Congressional Serial Set Digital Edition, 1817-1980.) Unlimited simultaneous users.</t>
  </si>
  <si>
    <t>Total Serials Expenditures by Library FY09 and FY10</t>
  </si>
  <si>
    <t>Ind. Ins. Agents (business)</t>
  </si>
  <si>
    <t>FY10 Price</t>
  </si>
  <si>
    <t>Packages of Serials Subscribed FY10</t>
  </si>
  <si>
    <t>Monograph Expenditures by Vendor FY09 and FY10</t>
  </si>
  <si>
    <t>schc</t>
  </si>
  <si>
    <t>URI Choice</t>
  </si>
  <si>
    <t>% of total FY10</t>
  </si>
  <si>
    <t>sicp</t>
  </si>
  <si>
    <t>URI ICPSR</t>
  </si>
  <si>
    <t>xproj</t>
  </si>
  <si>
    <t>CCE Providence Journal</t>
  </si>
  <si>
    <t>spete</t>
  </si>
  <si>
    <t>URI Peterson's</t>
  </si>
  <si>
    <t>sscd</t>
  </si>
  <si>
    <t>URI Science Direct</t>
  </si>
  <si>
    <t>Serials Expenditures by Vendor FY09 and FY10</t>
  </si>
  <si>
    <t>Serials Expenditures by Location FY09 and FY10</t>
  </si>
  <si>
    <t>URI Stacks (subscriptions)</t>
  </si>
  <si>
    <t>CCE Newpapers</t>
  </si>
  <si>
    <t>CCE Periodicals</t>
  </si>
  <si>
    <t>Serials*</t>
  </si>
  <si>
    <t>-</t>
  </si>
  <si>
    <t>nbh</t>
  </si>
  <si>
    <t>nksb</t>
  </si>
  <si>
    <t>nmsi</t>
  </si>
  <si>
    <t>nmts</t>
  </si>
  <si>
    <t>none</t>
  </si>
  <si>
    <t>uaca</t>
  </si>
  <si>
    <t>uanp</t>
  </si>
  <si>
    <t>ubwa</t>
  </si>
  <si>
    <t>ubws</t>
  </si>
  <si>
    <t>ucas</t>
  </si>
  <si>
    <t>uebc</t>
  </si>
  <si>
    <t>ufac</t>
  </si>
  <si>
    <t>uffh</t>
  </si>
  <si>
    <t>ufro</t>
  </si>
  <si>
    <t>uhar</t>
  </si>
  <si>
    <t>uibb</t>
  </si>
  <si>
    <t>uneu</t>
  </si>
  <si>
    <t>upbs</t>
  </si>
  <si>
    <t>ustr</t>
  </si>
  <si>
    <t>uybp</t>
  </si>
  <si>
    <t>uybp1</t>
  </si>
  <si>
    <t>xbnt</t>
  </si>
  <si>
    <t>xdust</t>
  </si>
  <si>
    <t>PELL BookHouse</t>
  </si>
  <si>
    <t>PELL Koeltz Scientific Books</t>
  </si>
  <si>
    <t>PELL Marine Science Institute</t>
  </si>
  <si>
    <t>MARINE TECHNOLOGY SOCIETY</t>
  </si>
  <si>
    <t>Academic Book Center</t>
  </si>
  <si>
    <t>American Nurses Publishing</t>
  </si>
  <si>
    <t>Blackwell North America, Inc.</t>
  </si>
  <si>
    <t>Casalini Libri</t>
  </si>
  <si>
    <t>Eastern Book Company</t>
  </si>
  <si>
    <t>Facets Multimedia, Inc.</t>
  </si>
  <si>
    <t>Films for the Humanities</t>
  </si>
  <si>
    <t>T Front Musical Literature, Inc.</t>
  </si>
  <si>
    <t>HARRASSOWITZ</t>
  </si>
  <si>
    <t>IBERBOOK International, S.L.</t>
  </si>
  <si>
    <t>Neuwerk Buch &amp; Musikalienhandlun GMBH</t>
  </si>
  <si>
    <t>PBS VIDEO</t>
  </si>
  <si>
    <t>Strand Book Store</t>
  </si>
  <si>
    <t>Yankee Book Peddler</t>
  </si>
  <si>
    <t>CCE Baker &amp; Taylor</t>
  </si>
  <si>
    <t>CCE dustbooks</t>
  </si>
  <si>
    <t>Monograph Expenditures by Location FY09 and FY10</t>
  </si>
  <si>
    <t>riu23</t>
  </si>
  <si>
    <t>URI CML Kits/Media</t>
  </si>
  <si>
    <t>riudv</t>
  </si>
  <si>
    <t>URI Media Rm.</t>
  </si>
  <si>
    <t>riuo</t>
  </si>
  <si>
    <t>URI Oversize Stacks</t>
  </si>
  <si>
    <t>URI Stacks</t>
  </si>
  <si>
    <t>PELL Stacks</t>
  </si>
  <si>
    <t>FY09 Record count</t>
  </si>
  <si>
    <t>Serials Count by Location FY09 and FY10</t>
  </si>
  <si>
    <t>FY10 Record count</t>
  </si>
  <si>
    <t>Expenditures for Year's Content, FY09 and FY10</t>
  </si>
  <si>
    <t>riu1f</t>
  </si>
  <si>
    <t>URI Storage/Ref.</t>
  </si>
  <si>
    <t>rinz</t>
  </si>
  <si>
    <t>PELL Charts</t>
  </si>
  <si>
    <t>Kingston subscriptions</t>
  </si>
  <si>
    <t>Sage Premier All Access Journals Collection</t>
  </si>
  <si>
    <t>Brill Publications Complete Collection</t>
  </si>
  <si>
    <t>Oxford University Press Complete Collection</t>
  </si>
  <si>
    <t>American Society for Microbiology Package (ASM Online)</t>
  </si>
  <si>
    <t>Project Muse Premium collection</t>
  </si>
  <si>
    <t>ACM Digital Library Package</t>
  </si>
  <si>
    <t>Waldo</t>
  </si>
  <si>
    <t>American Accounting Association Electronic Journals Package</t>
  </si>
  <si>
    <t>NERL</t>
  </si>
  <si>
    <t>Lyrasis</t>
  </si>
  <si>
    <t>ScienceDirect Book Series</t>
  </si>
  <si>
    <t>American Economic Association Journals Site License</t>
  </si>
  <si>
    <t>American Physical Society APS-All</t>
  </si>
  <si>
    <t>American Society of Civil Engineers (ASCE) Combination</t>
  </si>
  <si>
    <t>American Society of Mechanical Engineers (ASME) Transactions Package 2</t>
  </si>
  <si>
    <t>E-Duke Scholarly Collection</t>
  </si>
  <si>
    <t>Chemical Journal Package International Edition (Wiley)</t>
  </si>
  <si>
    <t>Backfile</t>
  </si>
  <si>
    <t>Type</t>
  </si>
  <si>
    <t>Purchase Price</t>
  </si>
  <si>
    <t>FY10 Fee</t>
  </si>
  <si>
    <t>American Society of Agronomy Journals Archive Package</t>
  </si>
  <si>
    <t>American State Papers, 1789-1838 (comes with)</t>
  </si>
  <si>
    <t>Annual Reviews Electronic Back Volume Collection</t>
  </si>
  <si>
    <t>Archive of Americana (comes with)</t>
  </si>
  <si>
    <t>Art Index Retrospective</t>
  </si>
  <si>
    <t>Biography Index Retrospective</t>
  </si>
  <si>
    <t>BIOSIS archive 1985-1989</t>
  </si>
  <si>
    <t>Book Review Digest Retrospective</t>
  </si>
  <si>
    <t>Education Index Retrospective</t>
  </si>
  <si>
    <t>Geology Archives C-W Geological Society of America Bulletin Archives</t>
  </si>
  <si>
    <t>Humanities &amp; Social Sciences Index Retrospective</t>
  </si>
  <si>
    <t>JSTOR Arts &amp; Sciences I Collection</t>
  </si>
  <si>
    <t>JSTOR Arts &amp; Sciences II Collection</t>
  </si>
  <si>
    <t>JSTOR Arts &amp; Sciences III Collection</t>
  </si>
  <si>
    <t>JSTOR Arts &amp; Sciences IV Collection</t>
  </si>
  <si>
    <t>JSTOR Arts &amp; Sciences V Collection</t>
  </si>
  <si>
    <t>JSTOR Arts &amp; Sciences VI (formerly "Complement")</t>
  </si>
  <si>
    <t>JSTOR Arts &amp; Sciences VII Collection</t>
  </si>
  <si>
    <t>JSTOR Business III Collection</t>
  </si>
  <si>
    <t>JSTOR Life Sciences Collection</t>
  </si>
  <si>
    <t>Library Literature &amp; Information Science Retrospective</t>
  </si>
  <si>
    <t>Mergent Web Reports</t>
  </si>
  <si>
    <t>Nature Archives</t>
  </si>
  <si>
    <t>NRC Research Press Backfile Collection</t>
  </si>
  <si>
    <t>Random Structures and Algorithms</t>
  </si>
  <si>
    <t>Reader's Guide Retrospective</t>
  </si>
  <si>
    <t>Sage Backfile Upgrade Package 2009</t>
  </si>
  <si>
    <t>Sage Deep Backfile Package 2008</t>
  </si>
  <si>
    <t>Short Story Index Retrospective</t>
  </si>
  <si>
    <t>Springer Online Journal Archives (OJA) [Entire Collection]</t>
  </si>
  <si>
    <t>Taylor &amp; Francis Library &amp; Information Science Archive Collection</t>
  </si>
  <si>
    <t>U.S. Congressional Serial Set Digital Edition, 1817-1980</t>
  </si>
  <si>
    <t>Web of Science Backfile 1965-1997</t>
  </si>
  <si>
    <t>Backfile - Journals</t>
  </si>
  <si>
    <t>Backfile - Reference Database</t>
  </si>
  <si>
    <t>NRC Research Press</t>
  </si>
  <si>
    <t>Annual Reviews</t>
  </si>
  <si>
    <t>Wilson</t>
  </si>
  <si>
    <t>Thomson</t>
  </si>
  <si>
    <t>Nature</t>
  </si>
  <si>
    <t>See A&amp;S I</t>
  </si>
  <si>
    <t>Gale Directory Library (Gale Directory of Publications &amp; Broadcast Media, Encyclopedia of Associations: National Organizations of the U.S.)</t>
  </si>
  <si>
    <t xml:space="preserve">Gale Directory Library </t>
  </si>
  <si>
    <t>Labor &amp; Employment Law Library (BNA)</t>
  </si>
  <si>
    <t>FSTA Food Science and Technology Abstracts</t>
  </si>
  <si>
    <t>LexisNexis =&gt; CSA</t>
  </si>
  <si>
    <t>Environment Abstracts</t>
  </si>
  <si>
    <t>ProQuest National Newspapers Core</t>
  </si>
  <si>
    <t>Oxford Oceana Treaties and International Agreements Online</t>
  </si>
  <si>
    <t>OCLC Papers First</t>
  </si>
  <si>
    <t>OCLC ArticleFirst</t>
  </si>
  <si>
    <t>Providence Journal-Bulletin</t>
  </si>
  <si>
    <t>RIA Checkpoint</t>
  </si>
  <si>
    <t>America: History and Life</t>
  </si>
  <si>
    <t>ARBA Online (American Reference Books Annual)</t>
  </si>
  <si>
    <t>ArchiveGrid</t>
  </si>
  <si>
    <t>ASFA 1: Biological Sciences and Living Resources</t>
  </si>
  <si>
    <t>ASFA 2: Ocean Technology, Policy and Non-Living Resources</t>
  </si>
  <si>
    <t>ASFA 3: Aquatic Pollution and Environmental Quality</t>
  </si>
  <si>
    <t>ASFA Aquaculture Abstracts</t>
  </si>
  <si>
    <t>ASFA Marine Biotechnology Abstracts</t>
  </si>
  <si>
    <t>ASFA: Aquatic Sciences and Fisheries Abstracts</t>
  </si>
  <si>
    <t>CAMIO (OCLC's Catalog of Art Museum Images Online)</t>
  </si>
  <si>
    <t>CAMIO</t>
  </si>
  <si>
    <t>Clinical Pharmacology</t>
  </si>
  <si>
    <t>URI CoP</t>
  </si>
  <si>
    <t>Compendex Engineering Village</t>
  </si>
  <si>
    <t>Doody's Core Titles in the Health Sciences (Premium ed.)</t>
  </si>
  <si>
    <t>EIS: Digests of Environmental Impact Statements</t>
  </si>
  <si>
    <t>Facts &amp; Comparisons eAnswers</t>
  </si>
  <si>
    <t>Facts &amp; Comparisons</t>
  </si>
  <si>
    <t>HeritageQuest</t>
  </si>
  <si>
    <t>ICPSR (Inter-University Consortium for Political and Social Research) Direct</t>
  </si>
  <si>
    <t>Kraus Curriculum Development Library (KCDL Online)</t>
  </si>
  <si>
    <t>GeoRef (with GeoRef in Process)</t>
  </si>
  <si>
    <t>Library, Information Science &amp; Technology Abstracts / LISTA (NO full text</t>
  </si>
  <si>
    <t>Library, Information Science &amp; Technology Abstracts / LISTA with full-text</t>
  </si>
  <si>
    <t>Tutor.com</t>
  </si>
  <si>
    <t>Adult Education and Career Center</t>
  </si>
  <si>
    <t>Footnote History and Genealogy Archives</t>
  </si>
  <si>
    <t>LearningExpressLibrary</t>
  </si>
  <si>
    <t>Meteorological &amp; Geoastrophysical Abstracts</t>
  </si>
  <si>
    <t>Music Index Online</t>
  </si>
  <si>
    <t>OAIster</t>
  </si>
  <si>
    <t>Oxford English Dictionary Online</t>
  </si>
  <si>
    <t>PAIS International (plus Archive)</t>
  </si>
  <si>
    <t>Radio Advertising Source</t>
  </si>
  <si>
    <t>SRDS</t>
  </si>
  <si>
    <t>ScienceDirect</t>
  </si>
  <si>
    <t>ScienceDirect Major Reference Works (Encyclopedia of Ocean Sciences, 2nd ed.)</t>
  </si>
  <si>
    <t>Sustainability Science Abstracts</t>
  </si>
  <si>
    <t>USA Trade Online</t>
  </si>
  <si>
    <t>World Almanacs</t>
  </si>
  <si>
    <t>WorldBook Web</t>
  </si>
  <si>
    <t>WorldCat Local Quick Start</t>
  </si>
  <si>
    <t>Guide to Reference</t>
  </si>
  <si>
    <t>ALA</t>
  </si>
  <si>
    <t>BIOSIS Previews (formerly Biological Abstracts)</t>
  </si>
  <si>
    <t>IFIS =&gt; EBSCOhost</t>
  </si>
  <si>
    <t>ProQuest Digital Microfilm (New York Times)</t>
  </si>
  <si>
    <t>Serials and Database Backfiles Owned FY10 (and other e-resource one-time purchases)</t>
  </si>
  <si>
    <t>Turfgrass Information File</t>
  </si>
  <si>
    <t>One-Time Purchase - Reference Database</t>
  </si>
  <si>
    <t>5+</t>
  </si>
  <si>
    <t>Reference Databases Subscribed / Authenticated</t>
  </si>
  <si>
    <t xml:space="preserve">ReferenceUSA U.S. Businesses </t>
  </si>
  <si>
    <t>ReferenceUSA Residential &amp; Businesses</t>
  </si>
  <si>
    <t>green = new for FY10</t>
  </si>
  <si>
    <t>TOTAL / AVERAGE % CHANGE</t>
  </si>
  <si>
    <t xml:space="preserve">Kingston </t>
  </si>
  <si>
    <t>Pell journals &amp; magazines</t>
  </si>
  <si>
    <t>CCE journals &amp; magazines</t>
  </si>
  <si>
    <t>CCE newspapers</t>
  </si>
  <si>
    <t>NCES (IPEDS) Academic Libraries Survey. Library expenditures, FY 2010</t>
  </si>
  <si>
    <t>Serial and electronic one-time back files purchased plus one e-book.</t>
  </si>
  <si>
    <t>Total FY10</t>
  </si>
  <si>
    <t>Titles held June 30, 2010</t>
  </si>
  <si>
    <t>Number of serial titles currently purchased</t>
  </si>
  <si>
    <t>Electronic (deduplicated)</t>
  </si>
  <si>
    <t>Question 5a.i</t>
  </si>
  <si>
    <t>Question 5a</t>
  </si>
  <si>
    <t>5a.i + 5a.ii</t>
  </si>
  <si>
    <t>Question 5a.ii</t>
  </si>
  <si>
    <t>Question 5b</t>
  </si>
  <si>
    <t>Number of serial titles current received but not purchased</t>
  </si>
  <si>
    <t>Question 5b.i</t>
  </si>
  <si>
    <t>Question 5b.ii</t>
  </si>
  <si>
    <t>Question 5b.iii</t>
  </si>
  <si>
    <t>Exchanges, gifts, etc.</t>
  </si>
  <si>
    <t>Question 5b.iv</t>
  </si>
  <si>
    <t>Total serials received: (a + b)</t>
  </si>
  <si>
    <t>Government documents are included in count of Current Serials?</t>
  </si>
  <si>
    <t>Yes</t>
  </si>
  <si>
    <t>Question 7</t>
  </si>
  <si>
    <t>Serials (from Acquisitions Unit)</t>
  </si>
  <si>
    <t>Monographs (from Acquisitions Unit)</t>
  </si>
  <si>
    <t>ACRL Statistics Questions 1-7, 2009-2010</t>
  </si>
  <si>
    <t xml:space="preserve">Provided by Govt. Pubs. </t>
  </si>
  <si>
    <t>Are the below figures reported in Canadian dollars?</t>
  </si>
  <si>
    <t>N</t>
  </si>
  <si>
    <t>Total Library Materials Expenditures</t>
  </si>
  <si>
    <t>Question 16b</t>
  </si>
  <si>
    <t>Question 16a</t>
  </si>
  <si>
    <t>Current serials, including periodicals</t>
  </si>
  <si>
    <t>Question 16c</t>
  </si>
  <si>
    <t>Question 16d</t>
  </si>
  <si>
    <t>Total library materials: (a + b + c + d)</t>
  </si>
  <si>
    <t>Question 17</t>
  </si>
  <si>
    <t>Question 23</t>
  </si>
  <si>
    <t>Question 24</t>
  </si>
  <si>
    <t>Bibliographic Utilities, Networks, and Consortia</t>
  </si>
  <si>
    <t>Question 24a</t>
  </si>
  <si>
    <t>Question 24b</t>
  </si>
  <si>
    <t>From internal library sources</t>
  </si>
  <si>
    <t>From external sources</t>
  </si>
  <si>
    <t>Question 26</t>
  </si>
  <si>
    <t>Document Delivery / Interlibrary Loan</t>
  </si>
  <si>
    <t>ACRL Statistics Questions 15-26, 2009-2010</t>
  </si>
  <si>
    <t>ACRL Statistics Questions 44-56, 2009-2010</t>
  </si>
  <si>
    <t>Electronic books</t>
  </si>
  <si>
    <t>Question 44</t>
  </si>
  <si>
    <t>Number of electronic books</t>
  </si>
  <si>
    <t>Question 45</t>
  </si>
  <si>
    <t>Expenditures for electronic books</t>
  </si>
  <si>
    <t>Encyclopedia of Ocean Sciences, 2nd. Ed.</t>
  </si>
  <si>
    <t>Question 46</t>
  </si>
  <si>
    <t>Are the above expenditures reported in Canadian dollars?</t>
  </si>
  <si>
    <t>Question 49</t>
  </si>
  <si>
    <t>Number of sessions (logins) to databases or services</t>
  </si>
  <si>
    <t>Question 49a</t>
  </si>
  <si>
    <t>Number of resources for which you are reporting</t>
  </si>
  <si>
    <t>Question 50</t>
  </si>
  <si>
    <t>Number of searches (queries) in databases or services</t>
  </si>
  <si>
    <t>Question 50a</t>
  </si>
  <si>
    <t>Question 51</t>
  </si>
  <si>
    <t>Number of full-text article requests</t>
  </si>
  <si>
    <t>Question 51a</t>
  </si>
  <si>
    <t>Question 52</t>
  </si>
  <si>
    <t>Number of virtual visits</t>
  </si>
  <si>
    <t>Question 52a</t>
  </si>
  <si>
    <t>Number of virtual visits to library's Website</t>
  </si>
  <si>
    <t>Question 52c</t>
  </si>
  <si>
    <t>Excludes virtual visits from inside the library</t>
  </si>
  <si>
    <t>Question 55</t>
  </si>
  <si>
    <t>Direct cost of digital collections construction and management</t>
  </si>
  <si>
    <t>Question 55b</t>
  </si>
  <si>
    <t>Direct cost of equipment, software, or contracted services</t>
  </si>
  <si>
    <t>Cost of DigitalCommons (BePress)</t>
  </si>
  <si>
    <t>Question 56</t>
  </si>
  <si>
    <t>Volumes held collectively</t>
  </si>
  <si>
    <t>Not applicable.</t>
  </si>
  <si>
    <t>Provided by Acquisitions.</t>
  </si>
  <si>
    <t>Includes government publications.</t>
  </si>
  <si>
    <t>Homepage visits only; does not include visits to sub-pages.</t>
  </si>
  <si>
    <t>Line 400</t>
  </si>
  <si>
    <t>Books, serial backfiles and other paper materials (include government documents)</t>
  </si>
  <si>
    <t>Added during FY10</t>
  </si>
  <si>
    <t>Held at end of FY10</t>
  </si>
  <si>
    <t>Line 401</t>
  </si>
  <si>
    <t>Line 402</t>
  </si>
  <si>
    <t>Line 403</t>
  </si>
  <si>
    <t>Line 404</t>
  </si>
  <si>
    <t>Line 405</t>
  </si>
  <si>
    <t>Line 406</t>
  </si>
  <si>
    <t>E-Books</t>
  </si>
  <si>
    <t>Microforms</t>
  </si>
  <si>
    <t>Audiovisual materials</t>
  </si>
  <si>
    <t>Electronic reference sources and aggregation services</t>
  </si>
  <si>
    <t>Is the Library collection entirely electronic? (Yes/No)</t>
  </si>
  <si>
    <t>No.</t>
  </si>
  <si>
    <t>Adjust with data supplied by branches and Govt. Pubs.</t>
  </si>
  <si>
    <t>Take ACRL FY2009 holdings (1,448,281), add 13,657 and subtract vols withdrawn (12,727). Adjust with data supplied by branches and Govt. Pubs.</t>
  </si>
  <si>
    <t>See Tierney and Wyant, as per ACRL Stats protocol.</t>
  </si>
  <si>
    <t>Current serial subscriptions</t>
  </si>
  <si>
    <t>Includes online, print, and mform. Does NOT include print / print + online branch subscriptions. Does NOT include print and mform Govt. Pubs. Adjust with data supplied by branches and Govt. Pubs.</t>
  </si>
  <si>
    <t>Question 1</t>
  </si>
  <si>
    <t>Volumes held June 30, 2010</t>
  </si>
  <si>
    <t>Footnote: "Includes 1 purchased e-book on the ScienceDirect platform.</t>
  </si>
  <si>
    <t>Footnote: Includes branches."</t>
  </si>
  <si>
    <t>Add 50,098 to last year's total with the following footnote: ""E-books not previously counted have been added to Volumes Held. The number of e-books added totals 50,098, of which 4,480 are NetLibrary titles, 44,573 are government publications, and 1,045 are miscellaneous."</t>
  </si>
  <si>
    <t>Electronic serial back files and audiovisual materials</t>
  </si>
  <si>
    <t>NA/UA</t>
  </si>
  <si>
    <t>Bibliographic utility fee only (Lyrasis)</t>
  </si>
  <si>
    <t>Footnote: "Includes full-text article requests from individual e-journals, e-journals in packages, and e-journal content available in full-text aggregator databases."</t>
  </si>
  <si>
    <t>Footnote: "Number of resources interpreted as unique e-journal titles."</t>
  </si>
  <si>
    <t>Total Serials Endowment Expenditures FY09 and FY10</t>
  </si>
  <si>
    <t>wrtp</t>
  </si>
  <si>
    <t>Writing serials</t>
  </si>
  <si>
    <t>zzlp</t>
  </si>
  <si>
    <t>zzmp</t>
  </si>
  <si>
    <t>Library serials</t>
  </si>
  <si>
    <t>Media serials</t>
  </si>
  <si>
    <t>Special Collections serials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</si>
</sst>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quot;$&quot;#,##0.00"/>
    <numFmt numFmtId="165" formatCode="0.0%"/>
    <numFmt numFmtId="166" formatCode="&quot;$&quot;#,##0"/>
  </numFmts>
  <fonts count="19" x14ac:knownFonts="1">
    <font>
      <sz val="10"/>
      <name val="Arial"/>
    </font>
    <font>
      <sz val="10"/>
      <name val="Arial"/>
      <family val="2"/>
    </font>
    <font>
      <sz val="8"/>
      <name val="Arial"/>
      <family val="2"/>
    </font>
    <font>
      <b/>
      <sz val="10"/>
      <name val="Arial"/>
      <family val="2"/>
    </font>
    <font>
      <sz val="10"/>
      <name val="Arial"/>
      <family val="2"/>
    </font>
    <font>
      <sz val="10"/>
      <color indexed="8"/>
      <name val="Arial"/>
      <family val="2"/>
    </font>
    <font>
      <b/>
      <sz val="10"/>
      <color indexed="8"/>
      <name val="arial,sans-serif"/>
    </font>
    <font>
      <sz val="10"/>
      <color indexed="8"/>
      <name val="arial,sans-serif"/>
    </font>
    <font>
      <b/>
      <sz val="12"/>
      <name val="Calibri"/>
      <family val="2"/>
      <scheme val="minor"/>
    </font>
    <font>
      <sz val="10"/>
      <name val="Calibri"/>
      <family val="2"/>
      <scheme val="minor"/>
    </font>
    <font>
      <b/>
      <sz val="11"/>
      <name val="Calibri"/>
      <family val="2"/>
      <scheme val="minor"/>
    </font>
    <font>
      <sz val="11"/>
      <name val="Calibri"/>
      <family val="2"/>
      <scheme val="minor"/>
    </font>
    <font>
      <b/>
      <sz val="11"/>
      <color indexed="8"/>
      <name val="Calibri"/>
      <family val="2"/>
      <scheme val="minor"/>
    </font>
    <font>
      <sz val="11"/>
      <color indexed="8"/>
      <name val="Calibri"/>
      <family val="2"/>
      <scheme val="minor"/>
    </font>
    <font>
      <b/>
      <sz val="14"/>
      <name val="Calibri"/>
      <family val="2"/>
      <scheme val="minor"/>
    </font>
    <font>
      <b/>
      <sz val="11"/>
      <color theme="0"/>
      <name val="Calibri"/>
      <family val="2"/>
      <scheme val="minor"/>
    </font>
    <font>
      <sz val="11"/>
      <color rgb="FF000000"/>
      <name val="Calibri"/>
      <family val="2"/>
    </font>
    <font>
      <u/>
      <sz val="10"/>
      <color theme="10"/>
      <name val="Arial"/>
    </font>
    <font>
      <u/>
      <sz val="10"/>
      <color theme="11"/>
      <name val="Arial"/>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499984740745262"/>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s>
  <cellStyleXfs count="16">
    <xf numFmtId="0" fontId="0" fillId="0" borderId="0"/>
    <xf numFmtId="0" fontId="4"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250">
    <xf numFmtId="0" fontId="0" fillId="0" borderId="0" xfId="0"/>
    <xf numFmtId="164" fontId="0" fillId="0" borderId="0" xfId="0" applyNumberFormat="1"/>
    <xf numFmtId="0" fontId="3" fillId="0" borderId="0" xfId="0" applyFont="1" applyAlignment="1"/>
    <xf numFmtId="0" fontId="0" fillId="0" borderId="0" xfId="0" applyFill="1"/>
    <xf numFmtId="3" fontId="0" fillId="0" borderId="0" xfId="0" applyNumberFormat="1"/>
    <xf numFmtId="4" fontId="0" fillId="0" borderId="0" xfId="0" applyNumberFormat="1"/>
    <xf numFmtId="0" fontId="5" fillId="0" borderId="0" xfId="0" applyNumberFormat="1" applyFont="1" applyFill="1" applyBorder="1" applyAlignment="1">
      <alignment wrapText="1"/>
    </xf>
    <xf numFmtId="0" fontId="7" fillId="0" borderId="0" xfId="0" applyNumberFormat="1" applyFont="1" applyFill="1" applyBorder="1" applyAlignment="1"/>
    <xf numFmtId="0" fontId="6" fillId="0" borderId="0" xfId="0" applyNumberFormat="1" applyFont="1" applyFill="1" applyBorder="1" applyAlignment="1"/>
    <xf numFmtId="0" fontId="8" fillId="0" borderId="0" xfId="0" applyFont="1"/>
    <xf numFmtId="0" fontId="9" fillId="0" borderId="0" xfId="0" applyFont="1"/>
    <xf numFmtId="0" fontId="10" fillId="0" borderId="0" xfId="0" applyFont="1"/>
    <xf numFmtId="0" fontId="11" fillId="0" borderId="0" xfId="0" applyFont="1"/>
    <xf numFmtId="0" fontId="13" fillId="0" borderId="0" xfId="0" applyNumberFormat="1" applyFont="1" applyFill="1" applyBorder="1" applyAlignment="1">
      <alignment wrapText="1"/>
    </xf>
    <xf numFmtId="0" fontId="13" fillId="0" borderId="1" xfId="0" applyNumberFormat="1" applyFont="1" applyFill="1" applyBorder="1" applyAlignment="1"/>
    <xf numFmtId="0" fontId="12" fillId="0" borderId="1" xfId="0" applyNumberFormat="1" applyFont="1" applyFill="1" applyBorder="1" applyAlignment="1"/>
    <xf numFmtId="3" fontId="13" fillId="0" borderId="1" xfId="0" applyNumberFormat="1" applyFont="1" applyFill="1" applyBorder="1" applyAlignment="1"/>
    <xf numFmtId="165" fontId="13" fillId="0" borderId="1" xfId="0" applyNumberFormat="1" applyFont="1" applyFill="1" applyBorder="1" applyAlignment="1"/>
    <xf numFmtId="3" fontId="13" fillId="3" borderId="1" xfId="0" applyNumberFormat="1" applyFont="1" applyFill="1" applyBorder="1" applyAlignment="1"/>
    <xf numFmtId="165" fontId="13" fillId="3" borderId="1" xfId="0" applyNumberFormat="1" applyFont="1" applyFill="1" applyBorder="1" applyAlignment="1"/>
    <xf numFmtId="0" fontId="12" fillId="0" borderId="1" xfId="0" applyNumberFormat="1" applyFont="1" applyFill="1" applyBorder="1" applyAlignment="1">
      <alignment horizontal="right"/>
    </xf>
    <xf numFmtId="165" fontId="13" fillId="2" borderId="1" xfId="0" applyNumberFormat="1" applyFont="1" applyFill="1" applyBorder="1" applyAlignment="1"/>
    <xf numFmtId="165" fontId="13" fillId="2" borderId="1" xfId="0" applyNumberFormat="1" applyFont="1" applyFill="1" applyBorder="1" applyAlignment="1">
      <alignment horizontal="right"/>
    </xf>
    <xf numFmtId="0" fontId="13" fillId="0" borderId="0" xfId="0" applyNumberFormat="1" applyFont="1" applyFill="1" applyBorder="1" applyAlignment="1"/>
    <xf numFmtId="0" fontId="12" fillId="0" borderId="0" xfId="0" applyNumberFormat="1" applyFont="1" applyFill="1" applyBorder="1" applyAlignment="1"/>
    <xf numFmtId="0" fontId="12" fillId="2" borderId="1" xfId="0" applyNumberFormat="1" applyFont="1" applyFill="1" applyBorder="1" applyAlignment="1">
      <alignment horizontal="center"/>
    </xf>
    <xf numFmtId="0" fontId="12" fillId="0" borderId="1" xfId="0" applyNumberFormat="1" applyFont="1" applyFill="1" applyBorder="1" applyAlignment="1">
      <alignment horizontal="left"/>
    </xf>
    <xf numFmtId="3" fontId="13" fillId="0" borderId="1" xfId="0" applyNumberFormat="1" applyFont="1" applyFill="1" applyBorder="1" applyAlignment="1">
      <alignment horizontal="right"/>
    </xf>
    <xf numFmtId="3" fontId="13" fillId="3" borderId="1" xfId="0" applyNumberFormat="1" applyFont="1" applyFill="1" applyBorder="1" applyAlignment="1">
      <alignment horizontal="right"/>
    </xf>
    <xf numFmtId="0" fontId="10" fillId="0" borderId="3" xfId="0" applyFont="1" applyBorder="1"/>
    <xf numFmtId="0" fontId="10" fillId="0" borderId="3" xfId="0" applyFont="1" applyBorder="1" applyAlignment="1">
      <alignment wrapText="1"/>
    </xf>
    <xf numFmtId="0" fontId="11" fillId="0" borderId="2" xfId="0" applyFont="1" applyBorder="1"/>
    <xf numFmtId="8" fontId="11" fillId="0" borderId="2" xfId="0" applyNumberFormat="1" applyFont="1" applyBorder="1"/>
    <xf numFmtId="165" fontId="11" fillId="0" borderId="1" xfId="0" applyNumberFormat="1" applyFont="1" applyBorder="1"/>
    <xf numFmtId="165" fontId="11" fillId="0" borderId="2" xfId="0" applyNumberFormat="1" applyFont="1" applyBorder="1"/>
    <xf numFmtId="0" fontId="11" fillId="0" borderId="1" xfId="0" applyFont="1" applyBorder="1"/>
    <xf numFmtId="8" fontId="11" fillId="0" borderId="1" xfId="0" applyNumberFormat="1" applyFont="1" applyFill="1" applyBorder="1"/>
    <xf numFmtId="0" fontId="11" fillId="0" borderId="4" xfId="0" applyFont="1" applyBorder="1"/>
    <xf numFmtId="8" fontId="11" fillId="0" borderId="4" xfId="0" applyNumberFormat="1" applyFont="1" applyFill="1" applyBorder="1"/>
    <xf numFmtId="165" fontId="11" fillId="0" borderId="4" xfId="0" applyNumberFormat="1" applyFont="1" applyBorder="1"/>
    <xf numFmtId="8" fontId="10" fillId="0" borderId="6" xfId="0" applyNumberFormat="1" applyFont="1" applyBorder="1"/>
    <xf numFmtId="165" fontId="10" fillId="0" borderId="6" xfId="0" applyNumberFormat="1" applyFont="1" applyBorder="1"/>
    <xf numFmtId="0" fontId="10" fillId="0" borderId="0" xfId="0" applyFont="1" applyBorder="1" applyAlignment="1">
      <alignment horizontal="right"/>
    </xf>
    <xf numFmtId="8" fontId="10" fillId="0" borderId="0" xfId="0" applyNumberFormat="1" applyFont="1" applyBorder="1"/>
    <xf numFmtId="165" fontId="10" fillId="0" borderId="0" xfId="0" applyNumberFormat="1" applyFont="1" applyBorder="1"/>
    <xf numFmtId="8" fontId="11" fillId="0" borderId="4" xfId="0" applyNumberFormat="1" applyFont="1" applyBorder="1"/>
    <xf numFmtId="0" fontId="10" fillId="0" borderId="0" xfId="0" applyFont="1" applyAlignment="1">
      <alignment wrapText="1"/>
    </xf>
    <xf numFmtId="0" fontId="11" fillId="0" borderId="2" xfId="0" applyFont="1" applyFill="1" applyBorder="1"/>
    <xf numFmtId="8" fontId="11" fillId="0" borderId="2" xfId="0" applyNumberFormat="1" applyFont="1" applyFill="1" applyBorder="1"/>
    <xf numFmtId="0" fontId="11" fillId="0" borderId="1" xfId="0" applyFont="1" applyFill="1" applyBorder="1"/>
    <xf numFmtId="0" fontId="11" fillId="0" borderId="4" xfId="0" applyFont="1" applyFill="1" applyBorder="1"/>
    <xf numFmtId="0" fontId="10" fillId="0" borderId="0" xfId="0" applyFont="1" applyFill="1" applyBorder="1" applyAlignment="1">
      <alignment horizontal="right"/>
    </xf>
    <xf numFmtId="165" fontId="11" fillId="0" borderId="1" xfId="0" applyNumberFormat="1" applyFont="1" applyBorder="1" applyAlignment="1">
      <alignment horizontal="right"/>
    </xf>
    <xf numFmtId="165" fontId="11" fillId="0" borderId="0" xfId="0" applyNumberFormat="1" applyFont="1"/>
    <xf numFmtId="164" fontId="11" fillId="0" borderId="0" xfId="0" applyNumberFormat="1" applyFont="1"/>
    <xf numFmtId="8" fontId="11" fillId="0" borderId="1" xfId="0" applyNumberFormat="1" applyFont="1" applyBorder="1"/>
    <xf numFmtId="165" fontId="11" fillId="0" borderId="2" xfId="0" applyNumberFormat="1" applyFont="1" applyBorder="1" applyAlignment="1">
      <alignment horizontal="right"/>
    </xf>
    <xf numFmtId="8" fontId="11" fillId="5" borderId="1" xfId="0" applyNumberFormat="1" applyFont="1" applyFill="1" applyBorder="1"/>
    <xf numFmtId="0" fontId="11" fillId="0" borderId="1" xfId="0" applyFont="1" applyBorder="1" applyAlignment="1">
      <alignment horizontal="right"/>
    </xf>
    <xf numFmtId="164" fontId="11" fillId="0" borderId="1" xfId="0" applyNumberFormat="1" applyFont="1" applyBorder="1"/>
    <xf numFmtId="0" fontId="10" fillId="5" borderId="1" xfId="0" applyFont="1" applyFill="1" applyBorder="1" applyAlignment="1">
      <alignment horizontal="right"/>
    </xf>
    <xf numFmtId="164" fontId="10" fillId="5" borderId="1" xfId="0" applyNumberFormat="1" applyFont="1" applyFill="1" applyBorder="1"/>
    <xf numFmtId="165" fontId="10" fillId="5" borderId="1" xfId="0" applyNumberFormat="1" applyFont="1" applyFill="1" applyBorder="1"/>
    <xf numFmtId="0" fontId="10" fillId="6" borderId="1" xfId="0" applyFont="1" applyFill="1" applyBorder="1" applyAlignment="1">
      <alignment horizontal="right"/>
    </xf>
    <xf numFmtId="164" fontId="10" fillId="6" borderId="1" xfId="0" applyNumberFormat="1" applyFont="1" applyFill="1" applyBorder="1"/>
    <xf numFmtId="165" fontId="10" fillId="6" borderId="1" xfId="0" applyNumberFormat="1" applyFont="1" applyFill="1" applyBorder="1"/>
    <xf numFmtId="0" fontId="11" fillId="4" borderId="1" xfId="0" applyFont="1" applyFill="1" applyBorder="1" applyAlignment="1">
      <alignment horizontal="right"/>
    </xf>
    <xf numFmtId="164" fontId="11" fillId="4" borderId="1" xfId="0" applyNumberFormat="1" applyFont="1" applyFill="1" applyBorder="1"/>
    <xf numFmtId="165" fontId="11" fillId="4" borderId="1" xfId="0" applyNumberFormat="1" applyFont="1" applyFill="1" applyBorder="1"/>
    <xf numFmtId="0" fontId="11" fillId="4" borderId="4" xfId="0" applyFont="1" applyFill="1" applyBorder="1" applyAlignment="1">
      <alignment horizontal="right"/>
    </xf>
    <xf numFmtId="164" fontId="11" fillId="4" borderId="4" xfId="0" applyNumberFormat="1" applyFont="1" applyFill="1" applyBorder="1"/>
    <xf numFmtId="165" fontId="11" fillId="4" borderId="4" xfId="0" applyNumberFormat="1" applyFont="1" applyFill="1" applyBorder="1"/>
    <xf numFmtId="164" fontId="10" fillId="7" borderId="6" xfId="0" applyNumberFormat="1" applyFont="1" applyFill="1" applyBorder="1"/>
    <xf numFmtId="165" fontId="10" fillId="7" borderId="6" xfId="0" applyNumberFormat="1" applyFont="1" applyFill="1" applyBorder="1"/>
    <xf numFmtId="165" fontId="10" fillId="7" borderId="7" xfId="0" applyNumberFormat="1" applyFont="1" applyFill="1" applyBorder="1"/>
    <xf numFmtId="8" fontId="10" fillId="7" borderId="6" xfId="0" applyNumberFormat="1" applyFont="1" applyFill="1" applyBorder="1"/>
    <xf numFmtId="0" fontId="12" fillId="5" borderId="1" xfId="0" applyNumberFormat="1" applyFont="1" applyFill="1" applyBorder="1" applyAlignment="1">
      <alignment horizontal="center"/>
    </xf>
    <xf numFmtId="8" fontId="10" fillId="5" borderId="6" xfId="0" applyNumberFormat="1" applyFont="1" applyFill="1" applyBorder="1"/>
    <xf numFmtId="165" fontId="10" fillId="5" borderId="6" xfId="0" applyNumberFormat="1" applyFont="1" applyFill="1" applyBorder="1"/>
    <xf numFmtId="0" fontId="11" fillId="5" borderId="1" xfId="0" applyFont="1" applyFill="1" applyBorder="1"/>
    <xf numFmtId="165" fontId="11" fillId="5" borderId="2" xfId="0" applyNumberFormat="1" applyFont="1" applyFill="1" applyBorder="1"/>
    <xf numFmtId="0" fontId="11" fillId="2" borderId="1" xfId="0" applyFont="1" applyFill="1" applyBorder="1" applyAlignment="1">
      <alignment horizontal="right"/>
    </xf>
    <xf numFmtId="164" fontId="11" fillId="2" borderId="1" xfId="0" applyNumberFormat="1" applyFont="1" applyFill="1" applyBorder="1"/>
    <xf numFmtId="165" fontId="11" fillId="2" borderId="1" xfId="0" applyNumberFormat="1" applyFont="1" applyFill="1" applyBorder="1"/>
    <xf numFmtId="8" fontId="11" fillId="2" borderId="1" xfId="0" applyNumberFormat="1" applyFont="1" applyFill="1" applyBorder="1"/>
    <xf numFmtId="165" fontId="10" fillId="2" borderId="1" xfId="0" applyNumberFormat="1" applyFont="1" applyFill="1" applyBorder="1"/>
    <xf numFmtId="165" fontId="10" fillId="4" borderId="1" xfId="0" applyNumberFormat="1" applyFont="1" applyFill="1" applyBorder="1"/>
    <xf numFmtId="165" fontId="10" fillId="4" borderId="4" xfId="0" applyNumberFormat="1" applyFont="1" applyFill="1" applyBorder="1"/>
    <xf numFmtId="0" fontId="10" fillId="0" borderId="0" xfId="0" applyFont="1" applyAlignment="1"/>
    <xf numFmtId="164" fontId="11" fillId="0" borderId="2" xfId="0" applyNumberFormat="1" applyFont="1" applyBorder="1" applyAlignment="1">
      <alignment vertical="top"/>
    </xf>
    <xf numFmtId="0" fontId="11" fillId="0" borderId="0" xfId="0" applyFont="1" applyAlignment="1">
      <alignment vertical="top" wrapText="1"/>
    </xf>
    <xf numFmtId="0" fontId="11" fillId="0" borderId="1" xfId="0" applyFont="1" applyBorder="1" applyAlignment="1">
      <alignment vertical="top" wrapText="1"/>
    </xf>
    <xf numFmtId="0" fontId="11" fillId="0" borderId="0" xfId="0" applyFont="1" applyBorder="1"/>
    <xf numFmtId="0" fontId="14" fillId="0" borderId="0" xfId="0" applyFont="1" applyAlignment="1"/>
    <xf numFmtId="0" fontId="10" fillId="0" borderId="6" xfId="0" applyFont="1" applyFill="1" applyBorder="1" applyAlignment="1">
      <alignment horizontal="right"/>
    </xf>
    <xf numFmtId="0" fontId="10" fillId="7" borderId="6" xfId="0" applyFont="1" applyFill="1" applyBorder="1" applyAlignment="1">
      <alignment horizontal="right"/>
    </xf>
    <xf numFmtId="0" fontId="10" fillId="5" borderId="6" xfId="0" applyFont="1" applyFill="1" applyBorder="1" applyAlignment="1">
      <alignment horizontal="right"/>
    </xf>
    <xf numFmtId="0" fontId="10" fillId="0" borderId="6" xfId="1" applyFont="1" applyBorder="1"/>
    <xf numFmtId="0" fontId="1" fillId="0" borderId="0" xfId="0" applyFont="1"/>
    <xf numFmtId="0" fontId="11" fillId="0" borderId="0" xfId="0" applyFont="1" applyFill="1" applyBorder="1" applyAlignment="1">
      <alignment vertical="top" wrapText="1"/>
    </xf>
    <xf numFmtId="3" fontId="10" fillId="0" borderId="6" xfId="1" applyNumberFormat="1" applyFont="1" applyBorder="1"/>
    <xf numFmtId="164" fontId="10" fillId="0" borderId="6" xfId="1" applyNumberFormat="1" applyFont="1" applyBorder="1"/>
    <xf numFmtId="0" fontId="11" fillId="6" borderId="9" xfId="0" applyFont="1" applyFill="1" applyBorder="1"/>
    <xf numFmtId="164" fontId="11" fillId="6" borderId="10" xfId="0" applyNumberFormat="1" applyFont="1" applyFill="1" applyBorder="1"/>
    <xf numFmtId="164" fontId="11" fillId="6" borderId="11" xfId="0" applyNumberFormat="1" applyFont="1" applyFill="1" applyBorder="1"/>
    <xf numFmtId="164" fontId="11" fillId="5" borderId="1" xfId="0" applyNumberFormat="1" applyFont="1" applyFill="1" applyBorder="1"/>
    <xf numFmtId="164" fontId="11" fillId="5" borderId="4" xfId="0" applyNumberFormat="1" applyFont="1" applyFill="1" applyBorder="1"/>
    <xf numFmtId="0" fontId="11" fillId="6" borderId="10" xfId="0" applyFont="1" applyFill="1" applyBorder="1"/>
    <xf numFmtId="0" fontId="11" fillId="5" borderId="4" xfId="0" applyFont="1" applyFill="1" applyBorder="1"/>
    <xf numFmtId="0" fontId="11" fillId="0" borderId="2" xfId="0" applyFont="1" applyBorder="1" applyAlignment="1">
      <alignment vertical="top" wrapText="1"/>
    </xf>
    <xf numFmtId="0" fontId="11" fillId="0" borderId="0" xfId="0" applyFont="1" applyFill="1" applyBorder="1"/>
    <xf numFmtId="165" fontId="10" fillId="0" borderId="6" xfId="1" applyNumberFormat="1" applyFont="1" applyBorder="1"/>
    <xf numFmtId="0" fontId="10" fillId="0" borderId="6" xfId="1" applyNumberFormat="1" applyFont="1" applyBorder="1"/>
    <xf numFmtId="0" fontId="11" fillId="0" borderId="2" xfId="0" applyNumberFormat="1" applyFont="1" applyBorder="1" applyAlignment="1">
      <alignment vertical="top" wrapText="1"/>
    </xf>
    <xf numFmtId="164" fontId="11" fillId="0" borderId="2" xfId="0" applyNumberFormat="1" applyFont="1" applyBorder="1" applyAlignment="1">
      <alignment vertical="top" wrapText="1"/>
    </xf>
    <xf numFmtId="0" fontId="11" fillId="0" borderId="1" xfId="0" applyNumberFormat="1" applyFont="1" applyBorder="1" applyAlignment="1">
      <alignment vertical="top" wrapText="1"/>
    </xf>
    <xf numFmtId="164" fontId="11" fillId="0" borderId="1" xfId="0" applyNumberFormat="1" applyFont="1" applyBorder="1" applyAlignment="1">
      <alignment vertical="top" wrapText="1"/>
    </xf>
    <xf numFmtId="165" fontId="11" fillId="0" borderId="1" xfId="0" applyNumberFormat="1" applyFont="1" applyBorder="1" applyAlignment="1">
      <alignment vertical="top" wrapText="1"/>
    </xf>
    <xf numFmtId="165" fontId="11" fillId="0" borderId="1" xfId="0" applyNumberFormat="1" applyFont="1" applyBorder="1" applyAlignment="1">
      <alignment horizontal="right" vertical="top" wrapText="1"/>
    </xf>
    <xf numFmtId="0" fontId="15" fillId="8" borderId="6" xfId="0" applyFont="1" applyFill="1" applyBorder="1"/>
    <xf numFmtId="164" fontId="15" fillId="8" borderId="6" xfId="0" applyNumberFormat="1" applyFont="1" applyFill="1" applyBorder="1"/>
    <xf numFmtId="165" fontId="11" fillId="5" borderId="1" xfId="0" applyNumberFormat="1" applyFont="1" applyFill="1" applyBorder="1"/>
    <xf numFmtId="165" fontId="11" fillId="6" borderId="1" xfId="0" applyNumberFormat="1" applyFont="1" applyFill="1" applyBorder="1"/>
    <xf numFmtId="165" fontId="15" fillId="8" borderId="6" xfId="0" applyNumberFormat="1" applyFont="1" applyFill="1" applyBorder="1"/>
    <xf numFmtId="8" fontId="11" fillId="0" borderId="0" xfId="0" applyNumberFormat="1" applyFont="1"/>
    <xf numFmtId="0" fontId="10" fillId="0" borderId="5" xfId="0" applyFont="1" applyBorder="1" applyAlignment="1">
      <alignment horizontal="right"/>
    </xf>
    <xf numFmtId="165" fontId="10" fillId="0" borderId="7" xfId="0" applyNumberFormat="1" applyFont="1" applyBorder="1"/>
    <xf numFmtId="0" fontId="10" fillId="0" borderId="0" xfId="0" applyFont="1" applyAlignment="1">
      <alignment vertical="top" wrapText="1"/>
    </xf>
    <xf numFmtId="0" fontId="11" fillId="0" borderId="0" xfId="0" applyFont="1" applyFill="1"/>
    <xf numFmtId="3" fontId="11" fillId="0" borderId="0" xfId="0" applyNumberFormat="1" applyFont="1" applyFill="1" applyAlignment="1">
      <alignment horizontal="right"/>
    </xf>
    <xf numFmtId="8" fontId="10" fillId="0" borderId="0" xfId="0" applyNumberFormat="1" applyFont="1"/>
    <xf numFmtId="165" fontId="10" fillId="0" borderId="2" xfId="0" applyNumberFormat="1" applyFont="1" applyBorder="1"/>
    <xf numFmtId="165" fontId="10" fillId="5" borderId="2" xfId="0" applyNumberFormat="1" applyFont="1" applyFill="1" applyBorder="1"/>
    <xf numFmtId="0" fontId="11" fillId="0" borderId="2" xfId="0" applyFont="1" applyBorder="1" applyAlignment="1">
      <alignment vertical="top" wrapText="1"/>
    </xf>
    <xf numFmtId="165" fontId="13" fillId="0" borderId="1" xfId="0" applyNumberFormat="1" applyFont="1" applyFill="1" applyBorder="1" applyAlignment="1">
      <alignment horizontal="right"/>
    </xf>
    <xf numFmtId="164" fontId="13" fillId="3" borderId="1" xfId="0" applyNumberFormat="1" applyFont="1" applyFill="1" applyBorder="1" applyAlignment="1"/>
    <xf numFmtId="0" fontId="11" fillId="0" borderId="2" xfId="0" applyFont="1" applyBorder="1" applyAlignment="1">
      <alignment horizontal="right"/>
    </xf>
    <xf numFmtId="3" fontId="12" fillId="3" borderId="1" xfId="0" applyNumberFormat="1" applyFont="1" applyFill="1" applyBorder="1" applyAlignment="1"/>
    <xf numFmtId="3" fontId="12" fillId="3" borderId="1" xfId="0" applyNumberFormat="1" applyFont="1" applyFill="1" applyBorder="1" applyAlignment="1">
      <alignment horizontal="center"/>
    </xf>
    <xf numFmtId="164" fontId="13" fillId="0" borderId="1" xfId="0" applyNumberFormat="1" applyFont="1" applyFill="1" applyBorder="1" applyAlignment="1"/>
    <xf numFmtId="8" fontId="11" fillId="0" borderId="2" xfId="0" applyNumberFormat="1" applyFont="1" applyBorder="1" applyAlignment="1">
      <alignment horizontal="right"/>
    </xf>
    <xf numFmtId="0" fontId="11" fillId="3" borderId="2" xfId="0" applyFont="1" applyFill="1" applyBorder="1"/>
    <xf numFmtId="8" fontId="11" fillId="3" borderId="2" xfId="0" applyNumberFormat="1" applyFont="1" applyFill="1" applyBorder="1"/>
    <xf numFmtId="165" fontId="11" fillId="3" borderId="1" xfId="0" applyNumberFormat="1" applyFont="1" applyFill="1" applyBorder="1"/>
    <xf numFmtId="165" fontId="11" fillId="3" borderId="2" xfId="0" applyNumberFormat="1" applyFont="1" applyFill="1" applyBorder="1"/>
    <xf numFmtId="8" fontId="11" fillId="0" borderId="2" xfId="0" applyNumberFormat="1" applyFont="1" applyBorder="1" applyAlignment="1">
      <alignment vertical="top"/>
    </xf>
    <xf numFmtId="165" fontId="11" fillId="0" borderId="2" xfId="0" applyNumberFormat="1" applyFont="1" applyBorder="1" applyAlignment="1">
      <alignment vertical="top"/>
    </xf>
    <xf numFmtId="0" fontId="11" fillId="0" borderId="0" xfId="0" applyFont="1" applyAlignment="1">
      <alignment vertical="top"/>
    </xf>
    <xf numFmtId="0" fontId="0" fillId="0" borderId="0" xfId="0" applyAlignment="1">
      <alignment vertical="top"/>
    </xf>
    <xf numFmtId="0" fontId="11" fillId="0" borderId="2" xfId="0" applyFont="1" applyFill="1" applyBorder="1" applyAlignment="1">
      <alignment horizontal="right"/>
    </xf>
    <xf numFmtId="3" fontId="13" fillId="0" borderId="1" xfId="0" applyNumberFormat="1" applyFont="1" applyFill="1" applyBorder="1" applyAlignment="1">
      <alignment horizontal="left"/>
    </xf>
    <xf numFmtId="0" fontId="11" fillId="0" borderId="2" xfId="0" applyFont="1" applyFill="1" applyBorder="1" applyAlignment="1">
      <alignment horizontal="left"/>
    </xf>
    <xf numFmtId="1" fontId="11" fillId="0" borderId="2" xfId="0" applyNumberFormat="1" applyFont="1" applyBorder="1"/>
    <xf numFmtId="1" fontId="13" fillId="0" borderId="1" xfId="0" applyNumberFormat="1" applyFont="1" applyFill="1" applyBorder="1" applyAlignment="1"/>
    <xf numFmtId="1" fontId="11" fillId="0" borderId="2" xfId="0" applyNumberFormat="1" applyFont="1" applyBorder="1" applyAlignment="1">
      <alignment horizontal="right"/>
    </xf>
    <xf numFmtId="38" fontId="10" fillId="5" borderId="6" xfId="0" applyNumberFormat="1" applyFont="1" applyFill="1" applyBorder="1"/>
    <xf numFmtId="0" fontId="11" fillId="0" borderId="2" xfId="0" applyFont="1" applyBorder="1" applyAlignment="1">
      <alignment horizontal="left"/>
    </xf>
    <xf numFmtId="8" fontId="10" fillId="5" borderId="6" xfId="0" applyNumberFormat="1" applyFont="1" applyFill="1" applyBorder="1" applyAlignment="1">
      <alignment vertical="top"/>
    </xf>
    <xf numFmtId="165" fontId="10" fillId="5" borderId="6" xfId="0" applyNumberFormat="1" applyFont="1" applyFill="1" applyBorder="1" applyAlignment="1">
      <alignment vertical="top"/>
    </xf>
    <xf numFmtId="0" fontId="10" fillId="5" borderId="6" xfId="0" applyFont="1" applyFill="1" applyBorder="1" applyAlignment="1">
      <alignment horizontal="left" vertical="top" wrapText="1"/>
    </xf>
    <xf numFmtId="0" fontId="11" fillId="3" borderId="1" xfId="0" applyFont="1" applyFill="1" applyBorder="1"/>
    <xf numFmtId="8" fontId="11" fillId="3" borderId="1" xfId="0" applyNumberFormat="1" applyFont="1" applyFill="1" applyBorder="1"/>
    <xf numFmtId="0" fontId="11" fillId="0" borderId="1" xfId="0" applyFont="1" applyFill="1" applyBorder="1" applyAlignment="1">
      <alignment horizontal="right"/>
    </xf>
    <xf numFmtId="165" fontId="11" fillId="3" borderId="1" xfId="0" applyNumberFormat="1" applyFont="1" applyFill="1" applyBorder="1" applyAlignment="1">
      <alignment horizontal="right"/>
    </xf>
    <xf numFmtId="164" fontId="10" fillId="0" borderId="6" xfId="0" applyNumberFormat="1" applyFont="1" applyFill="1" applyBorder="1" applyAlignment="1">
      <alignment horizontal="right"/>
    </xf>
    <xf numFmtId="8" fontId="11" fillId="0" borderId="2" xfId="0" applyNumberFormat="1" applyFont="1" applyBorder="1" applyAlignment="1">
      <alignment vertical="top" wrapText="1"/>
    </xf>
    <xf numFmtId="0" fontId="11" fillId="0" borderId="2" xfId="0" applyFont="1" applyBorder="1" applyAlignment="1">
      <alignment horizontal="right" vertical="top" wrapText="1"/>
    </xf>
    <xf numFmtId="164" fontId="12" fillId="3" borderId="1" xfId="0" applyNumberFormat="1" applyFont="1" applyFill="1" applyBorder="1" applyAlignment="1"/>
    <xf numFmtId="165" fontId="10" fillId="3" borderId="2" xfId="0" applyNumberFormat="1" applyFont="1" applyFill="1" applyBorder="1"/>
    <xf numFmtId="8" fontId="10" fillId="3" borderId="2" xfId="0" applyNumberFormat="1" applyFont="1" applyFill="1" applyBorder="1"/>
    <xf numFmtId="165" fontId="10" fillId="3" borderId="1" xfId="0" applyNumberFormat="1" applyFont="1" applyFill="1" applyBorder="1"/>
    <xf numFmtId="165" fontId="12" fillId="3" borderId="1" xfId="0" applyNumberFormat="1" applyFont="1" applyFill="1" applyBorder="1" applyAlignment="1"/>
    <xf numFmtId="8" fontId="11" fillId="0" borderId="1" xfId="0" applyNumberFormat="1" applyFont="1" applyBorder="1" applyAlignment="1">
      <alignment horizontal="right"/>
    </xf>
    <xf numFmtId="165" fontId="10" fillId="0" borderId="1" xfId="0" applyNumberFormat="1" applyFont="1" applyBorder="1"/>
    <xf numFmtId="0" fontId="10" fillId="0" borderId="0" xfId="0" applyFont="1" applyAlignment="1">
      <alignment horizontal="right"/>
    </xf>
    <xf numFmtId="165" fontId="11" fillId="0" borderId="8" xfId="0" applyNumberFormat="1" applyFont="1" applyBorder="1"/>
    <xf numFmtId="165" fontId="10" fillId="0" borderId="0" xfId="0" applyNumberFormat="1" applyFont="1"/>
    <xf numFmtId="4" fontId="16" fillId="0" borderId="0" xfId="0" applyNumberFormat="1" applyFont="1"/>
    <xf numFmtId="8" fontId="11" fillId="0" borderId="2" xfId="0" applyNumberFormat="1" applyFont="1" applyFill="1" applyBorder="1" applyAlignment="1">
      <alignment horizontal="right"/>
    </xf>
    <xf numFmtId="8" fontId="11" fillId="0" borderId="1" xfId="0" applyNumberFormat="1" applyFont="1" applyFill="1" applyBorder="1" applyAlignment="1">
      <alignment horizontal="right"/>
    </xf>
    <xf numFmtId="0" fontId="11" fillId="9" borderId="1" xfId="0" applyFont="1" applyFill="1" applyBorder="1" applyAlignment="1">
      <alignment vertical="top" wrapText="1"/>
    </xf>
    <xf numFmtId="3" fontId="11" fillId="9" borderId="1" xfId="0" applyNumberFormat="1" applyFont="1" applyFill="1" applyBorder="1" applyAlignment="1">
      <alignment vertical="top" wrapText="1"/>
    </xf>
    <xf numFmtId="164" fontId="11" fillId="9" borderId="1" xfId="0" applyNumberFormat="1" applyFont="1" applyFill="1" applyBorder="1" applyAlignment="1">
      <alignment vertical="top" wrapText="1"/>
    </xf>
    <xf numFmtId="0" fontId="11" fillId="0" borderId="1" xfId="0" applyFont="1" applyFill="1" applyBorder="1" applyAlignment="1">
      <alignment vertical="top" wrapText="1"/>
    </xf>
    <xf numFmtId="3" fontId="11" fillId="0" borderId="1" xfId="0" applyNumberFormat="1" applyFont="1" applyFill="1" applyBorder="1" applyAlignment="1">
      <alignment vertical="top" wrapText="1"/>
    </xf>
    <xf numFmtId="164" fontId="11" fillId="0" borderId="1" xfId="0" applyNumberFormat="1" applyFont="1" applyFill="1" applyBorder="1" applyAlignment="1">
      <alignment vertical="top" wrapText="1"/>
    </xf>
    <xf numFmtId="165" fontId="11" fillId="0" borderId="1" xfId="0" applyNumberFormat="1" applyFont="1" applyFill="1" applyBorder="1" applyAlignment="1">
      <alignment vertical="top"/>
    </xf>
    <xf numFmtId="0" fontId="10" fillId="9" borderId="1" xfId="0" applyFont="1" applyFill="1" applyBorder="1" applyAlignment="1">
      <alignment vertical="top" wrapText="1"/>
    </xf>
    <xf numFmtId="0" fontId="11" fillId="9" borderId="1" xfId="0" applyFont="1" applyFill="1" applyBorder="1" applyAlignment="1">
      <alignment horizontal="right" vertical="top" wrapText="1"/>
    </xf>
    <xf numFmtId="0" fontId="11" fillId="0" borderId="2" xfId="0" applyFont="1" applyFill="1" applyBorder="1" applyAlignment="1">
      <alignment vertical="top" wrapText="1"/>
    </xf>
    <xf numFmtId="3" fontId="11" fillId="0" borderId="2" xfId="0" applyNumberFormat="1" applyFont="1" applyFill="1" applyBorder="1" applyAlignment="1">
      <alignment vertical="top" wrapText="1"/>
    </xf>
    <xf numFmtId="164" fontId="11" fillId="0" borderId="2" xfId="0" applyNumberFormat="1" applyFont="1" applyFill="1" applyBorder="1" applyAlignment="1">
      <alignment vertical="top" wrapText="1"/>
    </xf>
    <xf numFmtId="0" fontId="11" fillId="2" borderId="1" xfId="0" applyFont="1" applyFill="1" applyBorder="1" applyAlignment="1">
      <alignment vertical="top" wrapText="1"/>
    </xf>
    <xf numFmtId="3" fontId="11" fillId="2" borderId="1" xfId="0" applyNumberFormat="1" applyFont="1" applyFill="1" applyBorder="1" applyAlignment="1">
      <alignment vertical="top" wrapText="1"/>
    </xf>
    <xf numFmtId="164" fontId="11" fillId="2" borderId="1" xfId="0" applyNumberFormat="1" applyFont="1" applyFill="1" applyBorder="1" applyAlignment="1">
      <alignment vertical="top" wrapText="1"/>
    </xf>
    <xf numFmtId="165" fontId="11" fillId="2" borderId="1" xfId="0" applyNumberFormat="1" applyFont="1" applyFill="1" applyBorder="1" applyAlignment="1">
      <alignment vertical="top"/>
    </xf>
    <xf numFmtId="165" fontId="11" fillId="0" borderId="4" xfId="0" applyNumberFormat="1" applyFont="1" applyFill="1" applyBorder="1" applyAlignment="1">
      <alignment vertical="top"/>
    </xf>
    <xf numFmtId="0" fontId="11" fillId="2" borderId="2" xfId="0" applyFont="1" applyFill="1" applyBorder="1" applyAlignment="1">
      <alignment vertical="top" wrapText="1"/>
    </xf>
    <xf numFmtId="3" fontId="11" fillId="2" borderId="2" xfId="0" applyNumberFormat="1" applyFont="1" applyFill="1" applyBorder="1" applyAlignment="1">
      <alignment vertical="top" wrapText="1"/>
    </xf>
    <xf numFmtId="8" fontId="0" fillId="0" borderId="0" xfId="0" applyNumberFormat="1"/>
    <xf numFmtId="164" fontId="11" fillId="2" borderId="2" xfId="0" applyNumberFormat="1" applyFont="1" applyFill="1" applyBorder="1" applyAlignment="1">
      <alignment vertical="top" wrapText="1"/>
    </xf>
    <xf numFmtId="3" fontId="11" fillId="2" borderId="1" xfId="0" applyNumberFormat="1" applyFont="1" applyFill="1" applyBorder="1" applyAlignment="1">
      <alignment horizontal="right" vertical="top" wrapText="1"/>
    </xf>
    <xf numFmtId="0" fontId="11" fillId="9" borderId="2" xfId="0" applyFont="1" applyFill="1" applyBorder="1" applyAlignment="1">
      <alignment vertical="top" wrapText="1"/>
    </xf>
    <xf numFmtId="3" fontId="11" fillId="9" borderId="1" xfId="0" applyNumberFormat="1" applyFont="1" applyFill="1" applyBorder="1" applyAlignment="1">
      <alignment horizontal="right" vertical="top" wrapText="1"/>
    </xf>
    <xf numFmtId="164" fontId="11" fillId="9" borderId="2" xfId="0" applyNumberFormat="1" applyFont="1" applyFill="1" applyBorder="1" applyAlignment="1">
      <alignment vertical="top" wrapText="1"/>
    </xf>
    <xf numFmtId="164" fontId="11" fillId="2" borderId="1" xfId="0" applyNumberFormat="1" applyFont="1" applyFill="1" applyBorder="1" applyAlignment="1">
      <alignment horizontal="right" vertical="top" wrapText="1"/>
    </xf>
    <xf numFmtId="0" fontId="11" fillId="9" borderId="1" xfId="0" applyNumberFormat="1" applyFont="1" applyFill="1" applyBorder="1" applyAlignment="1">
      <alignment vertical="top" wrapText="1"/>
    </xf>
    <xf numFmtId="165" fontId="11" fillId="9" borderId="1" xfId="0" applyNumberFormat="1" applyFont="1" applyFill="1" applyBorder="1" applyAlignment="1">
      <alignment horizontal="right" vertical="top" wrapText="1"/>
    </xf>
    <xf numFmtId="165" fontId="11" fillId="9" borderId="1" xfId="0" applyNumberFormat="1" applyFont="1" applyFill="1" applyBorder="1" applyAlignment="1">
      <alignment vertical="top" wrapText="1"/>
    </xf>
    <xf numFmtId="8" fontId="10" fillId="0" borderId="0" xfId="0" applyNumberFormat="1" applyFont="1" applyAlignment="1">
      <alignment wrapText="1"/>
    </xf>
    <xf numFmtId="10" fontId="11" fillId="0" borderId="0" xfId="0" applyNumberFormat="1" applyFont="1"/>
    <xf numFmtId="164" fontId="11" fillId="0" borderId="1" xfId="0" applyNumberFormat="1" applyFont="1" applyBorder="1" applyAlignment="1">
      <alignment horizontal="right"/>
    </xf>
    <xf numFmtId="0" fontId="10" fillId="0" borderId="0" xfId="0" applyFont="1" applyFill="1"/>
    <xf numFmtId="0" fontId="14" fillId="0" borderId="0" xfId="0" applyFont="1" applyFill="1"/>
    <xf numFmtId="0" fontId="14" fillId="0" borderId="0" xfId="0" applyFont="1" applyFill="1" applyAlignment="1"/>
    <xf numFmtId="0" fontId="11" fillId="0" borderId="12" xfId="0" applyFont="1" applyBorder="1" applyAlignment="1">
      <alignment horizontal="center" vertical="top" wrapText="1"/>
    </xf>
    <xf numFmtId="0" fontId="10" fillId="0" borderId="12" xfId="0" applyFont="1" applyBorder="1" applyAlignment="1">
      <alignment vertical="top" wrapText="1"/>
    </xf>
    <xf numFmtId="166" fontId="11" fillId="0" borderId="1" xfId="0" applyNumberFormat="1" applyFont="1" applyFill="1" applyBorder="1" applyAlignment="1">
      <alignment vertical="top" wrapText="1"/>
    </xf>
    <xf numFmtId="3" fontId="16" fillId="0" borderId="1" xfId="0" applyNumberFormat="1" applyFont="1" applyBorder="1" applyAlignment="1">
      <alignment vertical="top" wrapText="1"/>
    </xf>
    <xf numFmtId="0" fontId="16" fillId="0" borderId="1" xfId="0" applyFont="1" applyBorder="1" applyAlignment="1">
      <alignment vertical="top" wrapText="1"/>
    </xf>
    <xf numFmtId="0" fontId="10" fillId="0" borderId="1" xfId="0" applyFont="1" applyFill="1" applyBorder="1" applyAlignment="1">
      <alignment vertical="top" wrapText="1"/>
    </xf>
    <xf numFmtId="0" fontId="11" fillId="0" borderId="1" xfId="0" applyFont="1" applyBorder="1" applyAlignment="1">
      <alignment horizontal="center" vertical="top" wrapText="1"/>
    </xf>
    <xf numFmtId="166" fontId="11" fillId="0" borderId="1" xfId="0" applyNumberFormat="1" applyFont="1" applyFill="1" applyBorder="1" applyAlignment="1">
      <alignment horizontal="right" vertical="top" wrapText="1"/>
    </xf>
    <xf numFmtId="0" fontId="11" fillId="0" borderId="1" xfId="0" applyFont="1" applyFill="1" applyBorder="1" applyAlignment="1">
      <alignment horizontal="right" vertical="top" wrapText="1"/>
    </xf>
    <xf numFmtId="166" fontId="11" fillId="0" borderId="1" xfId="0" applyNumberFormat="1" applyFont="1" applyFill="1" applyBorder="1" applyAlignment="1">
      <alignment horizontal="center" vertical="top" wrapText="1"/>
    </xf>
    <xf numFmtId="0" fontId="11" fillId="0" borderId="12" xfId="0" applyFont="1" applyBorder="1" applyAlignment="1">
      <alignment vertical="top" wrapText="1"/>
    </xf>
    <xf numFmtId="3" fontId="10" fillId="0" borderId="1" xfId="0" applyNumberFormat="1" applyFont="1" applyFill="1" applyBorder="1" applyAlignment="1">
      <alignment horizontal="center" vertical="top" wrapText="1"/>
    </xf>
    <xf numFmtId="3" fontId="11" fillId="0" borderId="1" xfId="0" applyNumberFormat="1" applyFont="1" applyFill="1" applyBorder="1" applyAlignment="1">
      <alignment horizontal="right" vertical="top" wrapText="1"/>
    </xf>
    <xf numFmtId="0" fontId="10" fillId="0" borderId="1" xfId="0" applyFont="1" applyFill="1" applyBorder="1" applyAlignment="1">
      <alignment horizontal="center" vertical="top" wrapText="1"/>
    </xf>
    <xf numFmtId="3" fontId="11" fillId="3" borderId="1" xfId="0" applyNumberFormat="1" applyFont="1" applyFill="1" applyBorder="1" applyAlignment="1">
      <alignment vertical="top" wrapText="1"/>
    </xf>
    <xf numFmtId="0" fontId="11" fillId="0" borderId="12" xfId="0" applyFont="1" applyFill="1" applyBorder="1" applyAlignment="1">
      <alignment vertical="top" wrapText="1"/>
    </xf>
    <xf numFmtId="0" fontId="10" fillId="0" borderId="1" xfId="0" applyFont="1" applyBorder="1" applyAlignment="1">
      <alignment vertical="top" wrapText="1"/>
    </xf>
    <xf numFmtId="3" fontId="16" fillId="0" borderId="1" xfId="0" applyNumberFormat="1" applyFont="1" applyBorder="1"/>
    <xf numFmtId="166" fontId="11" fillId="3" borderId="1" xfId="0" applyNumberFormat="1" applyFont="1" applyFill="1" applyBorder="1" applyAlignment="1">
      <alignment horizontal="right" vertical="top" wrapText="1"/>
    </xf>
    <xf numFmtId="0" fontId="11" fillId="0" borderId="12" xfId="0" applyFont="1" applyBorder="1" applyAlignment="1">
      <alignment horizontal="right" vertical="top" wrapText="1"/>
    </xf>
    <xf numFmtId="166" fontId="11" fillId="0" borderId="12" xfId="0" applyNumberFormat="1" applyFont="1" applyFill="1" applyBorder="1" applyAlignment="1">
      <alignment horizontal="right" vertical="top" wrapText="1"/>
    </xf>
    <xf numFmtId="3" fontId="11" fillId="0" borderId="12" xfId="0" applyNumberFormat="1" applyFont="1" applyFill="1" applyBorder="1" applyAlignment="1">
      <alignment horizontal="right" vertical="top" wrapText="1"/>
    </xf>
    <xf numFmtId="0" fontId="0" fillId="0" borderId="1" xfId="0" applyBorder="1"/>
    <xf numFmtId="3" fontId="11" fillId="0" borderId="1" xfId="0" applyNumberFormat="1" applyFont="1" applyFill="1" applyBorder="1" applyAlignment="1">
      <alignment horizontal="center" vertical="top" wrapText="1"/>
    </xf>
    <xf numFmtId="0" fontId="11" fillId="0" borderId="1" xfId="0" applyFont="1" applyFill="1" applyBorder="1" applyAlignment="1">
      <alignment horizontal="center" vertical="top" wrapText="1"/>
    </xf>
    <xf numFmtId="0" fontId="11" fillId="0" borderId="1" xfId="0" applyFont="1" applyBorder="1" applyAlignment="1">
      <alignment vertical="top"/>
    </xf>
    <xf numFmtId="0" fontId="10" fillId="0" borderId="4" xfId="0" applyFont="1" applyBorder="1" applyAlignment="1">
      <alignment vertical="top"/>
    </xf>
    <xf numFmtId="0" fontId="10" fillId="0" borderId="8" xfId="0" applyFont="1" applyBorder="1" applyAlignment="1">
      <alignment vertical="top"/>
    </xf>
    <xf numFmtId="0" fontId="11" fillId="0" borderId="4" xfId="0" applyFont="1" applyBorder="1" applyAlignment="1">
      <alignment vertical="top" wrapText="1"/>
    </xf>
    <xf numFmtId="0" fontId="11" fillId="0" borderId="8" xfId="0" applyFont="1" applyBorder="1" applyAlignment="1">
      <alignment vertical="top" wrapText="1"/>
    </xf>
    <xf numFmtId="0" fontId="11" fillId="0" borderId="2" xfId="0" applyFont="1" applyBorder="1" applyAlignment="1">
      <alignment vertical="top" wrapText="1"/>
    </xf>
    <xf numFmtId="0" fontId="10" fillId="0" borderId="2" xfId="0" applyFont="1" applyBorder="1" applyAlignment="1">
      <alignment vertical="top"/>
    </xf>
    <xf numFmtId="0" fontId="10" fillId="0" borderId="1" xfId="0" applyFont="1" applyBorder="1" applyAlignment="1">
      <alignment vertical="top"/>
    </xf>
    <xf numFmtId="0" fontId="10" fillId="0" borderId="9" xfId="0" applyFont="1" applyBorder="1" applyAlignment="1">
      <alignment vertical="top"/>
    </xf>
    <xf numFmtId="0" fontId="11" fillId="0" borderId="4" xfId="0" applyFont="1" applyBorder="1" applyAlignment="1">
      <alignment vertical="top"/>
    </xf>
  </cellXfs>
  <cellStyles count="1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aredStrings" Target="sharedStrings.xml"/><Relationship Id="rId30"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66675</xdr:colOff>
      <xdr:row>37</xdr:row>
      <xdr:rowOff>85724</xdr:rowOff>
    </xdr:from>
    <xdr:to>
      <xdr:col>5</xdr:col>
      <xdr:colOff>609600</xdr:colOff>
      <xdr:row>53</xdr:row>
      <xdr:rowOff>59267</xdr:rowOff>
    </xdr:to>
    <xdr:sp macro="" textlink="">
      <xdr:nvSpPr>
        <xdr:cNvPr id="2" name="TextBox 1"/>
        <xdr:cNvSpPr txBox="1"/>
      </xdr:nvSpPr>
      <xdr:spPr>
        <a:xfrm>
          <a:off x="66675" y="7273924"/>
          <a:ext cx="6444192" cy="2818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pPr eaLnBrk="1" fontAlgn="auto" latinLnBrk="0" hangingPunct="1"/>
          <a:r>
            <a:rPr lang="en-US" sz="1100" baseline="0">
              <a:solidFill>
                <a:schemeClr val="dk1"/>
              </a:solidFill>
              <a:latin typeface="+mn-lt"/>
              <a:ea typeface="+mn-ea"/>
              <a:cs typeface="+mn-cs"/>
            </a:rPr>
            <a:t>3. In FY10, no endowment funds were distributed; some endowment money left over from FY09 was transferred to operating and spent during FY10. We paid for a total amount of $40,392.71 worth of materials that were charged to endowment funds in FY10. However only $17,989.17 was actually paid for with endowment money; the remaining $22,403.54 was paid out of capital.</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1" baseline="0">
              <a:solidFill>
                <a:schemeClr val="dk1"/>
              </a:solidFill>
              <a:latin typeface="+mn-lt"/>
              <a:ea typeface="+mn-ea"/>
              <a:cs typeface="+mn-cs"/>
            </a:rPr>
            <a:t>Thus our actual endowment spending for FY10 was only $17.989.17 </a:t>
          </a:r>
          <a:r>
            <a:rPr lang="en-US" sz="1100" baseline="0">
              <a:solidFill>
                <a:schemeClr val="dk1"/>
              </a:solidFill>
              <a:latin typeface="+mn-lt"/>
              <a:ea typeface="+mn-ea"/>
              <a:cs typeface="+mn-cs"/>
            </a:rPr>
            <a:t>(though we purchased $40,392.71 worth of materials charged to endowments.) In addition, funds for any given item might not have come from the specific endowment under which it was ordered.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45</xdr:row>
      <xdr:rowOff>85725</xdr:rowOff>
    </xdr:from>
    <xdr:to>
      <xdr:col>6</xdr:col>
      <xdr:colOff>457201</xdr:colOff>
      <xdr:row>57</xdr:row>
      <xdr:rowOff>57151</xdr:rowOff>
    </xdr:to>
    <xdr:sp macro="" textlink="">
      <xdr:nvSpPr>
        <xdr:cNvPr id="2" name="TextBox 1"/>
        <xdr:cNvSpPr txBox="1"/>
      </xdr:nvSpPr>
      <xdr:spPr>
        <a:xfrm>
          <a:off x="123826" y="9582150"/>
          <a:ext cx="6057900" cy="2257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Strand proforma for follwing fiscal year. Thus the numbers do not correspond exactly to the cost of materials purchased for a given fiscal year — the result of the </a:t>
          </a:r>
          <a:r>
            <a:rPr lang="en-US" b="0"/>
            <a:t>vicissitudes</a:t>
          </a:r>
          <a:r>
            <a:rPr lang="en-US" b="1"/>
            <a:t> </a:t>
          </a:r>
          <a:r>
            <a:rPr lang="en-US" sz="1100" baseline="0"/>
            <a:t>of University funding.</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p>
        <a:p>
          <a:pPr eaLnBrk="1" fontAlgn="auto" latinLnBrk="0" hangingPunct="1"/>
          <a:r>
            <a:rPr lang="en-US" sz="1100" baseline="0">
              <a:solidFill>
                <a:schemeClr val="dk1"/>
              </a:solidFill>
              <a:latin typeface="+mn-lt"/>
              <a:ea typeface="+mn-ea"/>
              <a:cs typeface="+mn-cs"/>
            </a:rPr>
            <a:t>3. Decrease in endowment expenditures for FY10 is due to the fact that no endowment funds were disbursed for FY10. Remaining funds at the end of FY09 were transferred to the library's operating budget, where we continued to expend them in FY10. The figure above ($3,810.68), the amount of endowment money spent on monographs in FY10, is probably correct. </a:t>
          </a:r>
        </a:p>
        <a:p>
          <a:pPr eaLnBrk="1" fontAlgn="auto" latinLnBrk="0" hangingPunct="1"/>
          <a:endParaRPr lang="en-US" sz="1100" baseline="0">
            <a:solidFill>
              <a:schemeClr val="dk1"/>
            </a:solidFill>
            <a:latin typeface="+mn-lt"/>
            <a:ea typeface="+mn-ea"/>
            <a:cs typeface="+mn-cs"/>
          </a:endParaRPr>
        </a:p>
        <a:p>
          <a:pPr eaLnBrk="1" fontAlgn="auto" latinLnBrk="0" hangingPunct="1"/>
          <a:endParaRPr lang="en-US" sz="1100">
            <a:solidFill>
              <a:schemeClr val="dk1"/>
            </a:solidFill>
            <a:latin typeface="+mn-lt"/>
            <a:ea typeface="+mn-ea"/>
            <a:cs typeface="+mn-cs"/>
          </a:endParaRPr>
        </a:p>
        <a:p>
          <a:endParaRPr lang="en-US" sz="1100" baseline="0"/>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19</xdr:row>
      <xdr:rowOff>123826</xdr:rowOff>
    </xdr:from>
    <xdr:to>
      <xdr:col>6</xdr:col>
      <xdr:colOff>495300</xdr:colOff>
      <xdr:row>40</xdr:row>
      <xdr:rowOff>19050</xdr:rowOff>
    </xdr:to>
    <xdr:sp macro="" textlink="">
      <xdr:nvSpPr>
        <xdr:cNvPr id="2" name="TextBox 1"/>
        <xdr:cNvSpPr txBox="1"/>
      </xdr:nvSpPr>
      <xdr:spPr>
        <a:xfrm>
          <a:off x="114300" y="4248151"/>
          <a:ext cx="6172200" cy="3895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baseline="0"/>
        </a:p>
        <a:p>
          <a:r>
            <a:rPr lang="en-US" sz="1100" baseline="0"/>
            <a:t>1. Volumes added tabulated for Kingston only. Includes volumes added by endowment spending.</a:t>
          </a:r>
        </a:p>
        <a:p>
          <a:endParaRPr lang="en-US" sz="1100" baseline="0"/>
        </a:p>
        <a:p>
          <a:r>
            <a:rPr lang="en-US" sz="1100" baseline="0"/>
            <a:t>2. Average price of monograph calculated based on total library budget + endowment spending on monographs.</a:t>
          </a:r>
        </a:p>
        <a:p>
          <a:endParaRPr lang="en-US" sz="1100" baseline="0"/>
        </a:p>
        <a:p>
          <a:r>
            <a:rPr lang="en-US" sz="1100" baseline="0"/>
            <a:t>3. Average price of monograph is what we paid, not the average list price, which would be higher. We receive discounts from vendors such as YBP and Easter Book Co., and we often receive 40% off of list price for books purchased from Strand on approval.</a:t>
          </a:r>
        </a:p>
        <a:p>
          <a:endParaRPr lang="en-US" sz="1100" baseline="0"/>
        </a:p>
        <a:p>
          <a:r>
            <a:rPr lang="en-US" sz="1100" baseline="0"/>
            <a:t>According to the annual U.S. College Book Price survey:</a:t>
          </a:r>
        </a:p>
        <a:p>
          <a:endParaRPr lang="en-US" sz="1100" baseline="0"/>
        </a:p>
        <a:p>
          <a:r>
            <a:rPr lang="en-US" sz="1100" i="0" baseline="0" smtClean="0">
              <a:solidFill>
                <a:schemeClr val="dk1"/>
              </a:solidFill>
              <a:latin typeface="+mn-lt"/>
              <a:ea typeface="+mn-ea"/>
              <a:cs typeface="+mn-cs"/>
            </a:rPr>
            <a:t>"For 2009, the overall average price for books in the four major sections of </a:t>
          </a:r>
          <a:r>
            <a:rPr lang="en-US" sz="1100" i="1" baseline="0" smtClean="0">
              <a:solidFill>
                <a:schemeClr val="dk1"/>
              </a:solidFill>
              <a:latin typeface="+mn-lt"/>
              <a:ea typeface="+mn-ea"/>
              <a:cs typeface="+mn-cs"/>
            </a:rPr>
            <a:t>Choice</a:t>
          </a:r>
          <a:r>
            <a:rPr lang="en-US" sz="1100" i="0" baseline="0" smtClean="0">
              <a:solidFill>
                <a:schemeClr val="dk1"/>
              </a:solidFill>
              <a:latin typeface="+mn-lt"/>
              <a:ea typeface="+mn-ea"/>
              <a:cs typeface="+mn-cs"/>
            </a:rPr>
            <a:t>—Humanities, Sciences, Social &amp; Behavioral Sciences, and Reference—was $67.18, a large price increase of 4.1 percent over the average 2008 book price of $64.52. The average price of Reference books was $128.60, a 5.6 percent decrease from the previous year’s average price of $136.26. Excluding Reference books, the 2009 average book price was $62.97, a significant 6.1 percent increase over the average 2008 price of $59.35."</a:t>
          </a:r>
          <a:endParaRPr lang="en-US" sz="1100" i="0" baseline="0"/>
        </a:p>
        <a:p>
          <a:endParaRPr lang="en-US" sz="1100" baseline="0"/>
        </a:p>
        <a:p>
          <a:r>
            <a:rPr lang="en-US" sz="1100" baseline="0"/>
            <a:t>Lynden, Frederick C.  2010. "U.S. College Book Price Information,  2009." </a:t>
          </a:r>
          <a:r>
            <a:rPr lang="en-US" sz="1100" i="1" baseline="0"/>
            <a:t>Choice: Current Reviews for Academic Libraries</a:t>
          </a:r>
          <a:r>
            <a:rPr lang="en-US" sz="1100" baseline="0"/>
            <a:t> 47, no. 8 (April): 1432-35.</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123824</xdr:colOff>
      <xdr:row>29</xdr:row>
      <xdr:rowOff>85726</xdr:rowOff>
    </xdr:from>
    <xdr:to>
      <xdr:col>6</xdr:col>
      <xdr:colOff>200024</xdr:colOff>
      <xdr:row>46</xdr:row>
      <xdr:rowOff>169333</xdr:rowOff>
    </xdr:to>
    <xdr:sp macro="" textlink="">
      <xdr:nvSpPr>
        <xdr:cNvPr id="4" name="TextBox 3"/>
        <xdr:cNvSpPr txBox="1"/>
      </xdr:nvSpPr>
      <xdr:spPr>
        <a:xfrm>
          <a:off x="123824" y="5851526"/>
          <a:ext cx="6654800" cy="3106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one-time backfile purchases.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r>
            <a:rPr lang="en-US" sz="1100" baseline="0"/>
            <a:t>3.  Total spending on serials to support GSO is </a:t>
          </a:r>
          <a:r>
            <a:rPr lang="en-US" sz="1100" baseline="0">
              <a:solidFill>
                <a:sysClr val="windowText" lastClr="000000"/>
              </a:solidFill>
            </a:rPr>
            <a:t>$104,771.17 (</a:t>
          </a:r>
          <a:r>
            <a:rPr lang="en-US" sz="1100" baseline="0"/>
            <a:t>funds pelp + peep). </a:t>
          </a:r>
        </a:p>
        <a:p>
          <a:endParaRPr lang="en-US" sz="1100" baseline="0"/>
        </a:p>
        <a:p>
          <a:r>
            <a:rPr lang="en-US" sz="1100" baseline="0"/>
            <a:t>4. Total spending on serials to support CCE is $5,077.04 (funds ccep + ceep)</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In FY10, no endowment funds were distributed; some endowment money left over from FY09 was transferred to operating and spent during FY10. We paid for a total amount of $36,582.03 worth of serials that were charged to endowment funds in FY10</a:t>
          </a:r>
          <a:r>
            <a:rPr lang="en-US" sz="1100" b="1" baseline="0">
              <a:solidFill>
                <a:schemeClr val="dk1"/>
              </a:solidFill>
              <a:latin typeface="+mn-lt"/>
              <a:ea typeface="+mn-ea"/>
              <a:cs typeface="+mn-cs"/>
            </a:rPr>
            <a:t>. However only $14,178.49 was actually paid for with endowment money; the remaining $22,403.54 was paid out of capital. </a:t>
          </a:r>
          <a:r>
            <a:rPr lang="en-US" sz="1100" baseline="0">
              <a:solidFill>
                <a:schemeClr val="dk1"/>
              </a:solidFill>
              <a:latin typeface="+mn-lt"/>
              <a:ea typeface="+mn-ea"/>
              <a:cs typeface="+mn-cs"/>
            </a:rPr>
            <a:t>The $14,178.49 of left-over FY09 endowment funds that were applied to FY10 serials were applied regardless of foundation account.</a:t>
          </a:r>
        </a:p>
        <a:p>
          <a:pPr eaLnBrk="1" fontAlgn="auto" latinLnBrk="0" hangingPunct="1"/>
          <a:endParaRPr lang="en-US" sz="1100" baseline="0">
            <a:solidFill>
              <a:schemeClr val="dk1"/>
            </a:solidFill>
            <a:latin typeface="+mn-lt"/>
            <a:ea typeface="+mn-ea"/>
            <a:cs typeface="+mn-cs"/>
          </a:endParaRPr>
        </a:p>
        <a:p>
          <a:pPr eaLnBrk="1" fontAlgn="auto" latinLnBrk="0" hangingPunct="1"/>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65</xdr:row>
      <xdr:rowOff>47621</xdr:rowOff>
    </xdr:from>
    <xdr:to>
      <xdr:col>6</xdr:col>
      <xdr:colOff>600075</xdr:colOff>
      <xdr:row>79</xdr:row>
      <xdr:rowOff>16933</xdr:rowOff>
    </xdr:to>
    <xdr:sp macro="" textlink="">
      <xdr:nvSpPr>
        <xdr:cNvPr id="2" name="TextBox 1"/>
        <xdr:cNvSpPr txBox="1"/>
      </xdr:nvSpPr>
      <xdr:spPr>
        <a:xfrm>
          <a:off x="57150" y="11947521"/>
          <a:ext cx="6931025" cy="2433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2. Note: Figures above are reported numbers only, not actual endowment expenditures. (See other tabs for more information, specifically "$ monographs totals" and "$ serials totals."</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*In FY10, no endowment funds were distributed; some endowment money left over from FY09 was transferred to operating and spent during FY10. We paid for a total amount of $40,392.71 worth of materials that were charged to endowment funds in FY10. However only $17,989.17 was actually paid for with endowment money; the remaining $22,403.54 was paid out of capital</a:t>
          </a:r>
          <a:r>
            <a:rPr lang="en-US" sz="1100" b="1" baseline="0">
              <a:solidFill>
                <a:schemeClr val="dk1"/>
              </a:solidFill>
              <a:latin typeface="+mn-lt"/>
              <a:ea typeface="+mn-ea"/>
              <a:cs typeface="+mn-cs"/>
            </a:rPr>
            <a:t>. Thus our actual endowment spending for FY10 was only $17.989.17 ($3,810.68 for monographs and $14,178.49 for serials).</a:t>
          </a:r>
          <a:r>
            <a:rPr lang="en-US" sz="1100" baseline="0">
              <a:solidFill>
                <a:schemeClr val="dk1"/>
              </a:solidFill>
              <a:latin typeface="+mn-lt"/>
              <a:ea typeface="+mn-ea"/>
              <a:cs typeface="+mn-cs"/>
            </a:rPr>
            <a:t> In addition, funds for any given item might not have come from the specific endowment under which it was ordered. </a:t>
          </a:r>
          <a:endParaRPr lang="en-US" sz="1100">
            <a:solidFill>
              <a:schemeClr val="dk1"/>
            </a:solidFill>
            <a:latin typeface="+mn-lt"/>
            <a:ea typeface="+mn-ea"/>
            <a:cs typeface="+mn-cs"/>
          </a:endParaRPr>
        </a:p>
        <a:p>
          <a:pPr eaLnBrk="1" fontAlgn="auto" latinLnBrk="0" hangingPunct="1"/>
          <a:endParaRPr lang="en-US"/>
        </a:p>
        <a:p>
          <a:endParaRPr lang="en-US" sz="1100" baseline="0"/>
        </a:p>
        <a:p>
          <a:endParaRPr lang="en-US"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136525</xdr:colOff>
      <xdr:row>36</xdr:row>
      <xdr:rowOff>15874</xdr:rowOff>
    </xdr:from>
    <xdr:to>
      <xdr:col>4</xdr:col>
      <xdr:colOff>660400</xdr:colOff>
      <xdr:row>94</xdr:row>
      <xdr:rowOff>80433</xdr:rowOff>
    </xdr:to>
    <xdr:sp macro="" textlink="">
      <xdr:nvSpPr>
        <xdr:cNvPr id="4" name="TextBox 3"/>
        <xdr:cNvSpPr txBox="1"/>
      </xdr:nvSpPr>
      <xdr:spPr>
        <a:xfrm>
          <a:off x="136525" y="6391274"/>
          <a:ext cx="7546975" cy="89037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1. All numbers by categories</a:t>
          </a:r>
          <a:r>
            <a:rPr lang="en-US" sz="1100" baseline="0"/>
            <a:t> are estimates, thus the total does not match with fiscal close.  USE FISCAL CLOSE DATA as most authoritative. Use this data only to gauge relative expenditures by format. </a:t>
          </a:r>
        </a:p>
        <a:p>
          <a:endParaRPr lang="en-US" sz="1100" baseline="0"/>
        </a:p>
        <a:p>
          <a:r>
            <a:rPr lang="en-US" sz="1100" baseline="0"/>
            <a:t>2. "Print subscriptions" include print + online subscriptions.</a:t>
          </a:r>
        </a:p>
        <a:p>
          <a:endParaRPr lang="en-US" sz="1100" baseline="0"/>
        </a:p>
        <a:p>
          <a:r>
            <a:rPr lang="en-US" sz="1100" baseline="0"/>
            <a:t>3. Subscriptions include endowment spending.</a:t>
          </a:r>
          <a:endParaRPr lang="en-US" sz="1100"/>
        </a:p>
        <a:p>
          <a:endParaRPr lang="en-US" sz="1100"/>
        </a:p>
        <a:p>
          <a:r>
            <a:rPr lang="en-US" sz="1100"/>
            <a:t>*Access fees to purchased content : See Google</a:t>
          </a:r>
          <a:r>
            <a:rPr lang="en-US" sz="1100" baseline="0"/>
            <a:t> spreadsheet titled "Serials and Database Back Files We OWN (and one-time purchases)"</a:t>
          </a:r>
        </a:p>
        <a:p>
          <a:endParaRPr lang="en-US" sz="1100" baseline="0"/>
        </a:p>
        <a:p>
          <a:r>
            <a:rPr lang="en-US" sz="1100" baseline="0"/>
            <a:t>Note that access fees do not include service fees:</a:t>
          </a:r>
        </a:p>
        <a:p>
          <a:r>
            <a:rPr lang="en-US" sz="1100" baseline="0"/>
            <a:t>HELIN membership:  $60,943.53	 	 	 	</a:t>
          </a:r>
        </a:p>
        <a:p>
          <a:r>
            <a:rPr lang="en-US" sz="1100" baseline="0"/>
            <a:t>WALDO: $188.14</a:t>
          </a:r>
        </a:p>
        <a:p>
          <a:r>
            <a:rPr lang="en-US" sz="1100" baseline="0"/>
            <a:t>NERL: $1,280</a:t>
          </a:r>
        </a:p>
        <a:p>
          <a:r>
            <a:rPr lang="en-US" sz="1100" baseline="0"/>
            <a:t>EBSCO service charges (Kingston only): $43,041.44</a:t>
          </a:r>
        </a:p>
        <a:p>
          <a:r>
            <a:rPr lang="en-US" sz="1100" baseline="0"/>
            <a:t>Lyrasis:  (Don't count here because paid from operating, not materials)</a:t>
          </a:r>
        </a:p>
        <a:p>
          <a:r>
            <a:rPr lang="en-US" sz="1100" baseline="0"/>
            <a:t>TOTAL:  $105,453.11</a:t>
          </a:r>
        </a:p>
        <a:p>
          <a:endParaRPr lang="en-US" sz="1100" baseline="0"/>
        </a:p>
        <a:p>
          <a:r>
            <a:rPr lang="en-US" sz="1100">
              <a:solidFill>
                <a:schemeClr val="dk1"/>
              </a:solidFill>
              <a:latin typeface="+mn-lt"/>
              <a:ea typeface="+mn-ea"/>
              <a:cs typeface="+mn-cs"/>
            </a:rPr>
            <a:t>**Software</a:t>
          </a:r>
          <a:r>
            <a:rPr lang="en-US" sz="1100" baseline="0">
              <a:solidFill>
                <a:schemeClr val="dk1"/>
              </a:solidFill>
              <a:latin typeface="+mn-lt"/>
              <a:ea typeface="+mn-ea"/>
              <a:cs typeface="+mn-cs"/>
            </a:rPr>
            <a:t> includes:</a:t>
          </a:r>
          <a:endParaRPr lang="en-US"/>
        </a:p>
        <a:p>
          <a:r>
            <a:rPr lang="en-US" sz="1100" baseline="0">
              <a:solidFill>
                <a:schemeClr val="dk1"/>
              </a:solidFill>
              <a:latin typeface="+mn-lt"/>
              <a:ea typeface="+mn-ea"/>
              <a:cs typeface="+mn-cs"/>
            </a:rPr>
            <a:t>Baker &amp; Taylor Content Café [book covers] ($1,892)</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BePress Digital Commons ($12,699.50)</a:t>
          </a:r>
          <a:endParaRPr lang="en-US" sz="1100">
            <a:solidFill>
              <a:schemeClr val="dk1"/>
            </a:solidFill>
            <a:latin typeface="+mn-lt"/>
            <a:ea typeface="+mn-ea"/>
            <a:cs typeface="+mn-cs"/>
          </a:endParaRPr>
        </a:p>
        <a:p>
          <a:r>
            <a:rPr lang="en-US" sz="1100" baseline="0">
              <a:solidFill>
                <a:schemeClr val="dk1"/>
              </a:solidFill>
              <a:latin typeface="+mn-lt"/>
              <a:ea typeface="+mn-ea"/>
              <a:cs typeface="+mn-cs"/>
            </a:rPr>
            <a:t>Serials Solutions [A to Z, 360 Link, MARC Records, 360 COUNTER, 360 COUNTER DRS] ($18,038)</a:t>
          </a:r>
        </a:p>
        <a:p>
          <a:r>
            <a:rPr lang="en-US" sz="1100" baseline="0">
              <a:solidFill>
                <a:schemeClr val="dk1"/>
              </a:solidFill>
              <a:latin typeface="+mn-lt"/>
              <a:ea typeface="+mn-ea"/>
              <a:cs typeface="+mn-cs"/>
            </a:rPr>
            <a:t>LibGuides ($1,349)</a:t>
          </a:r>
          <a:endParaRPr lang="en-US"/>
        </a:p>
        <a:p>
          <a:r>
            <a:rPr lang="en-US" sz="1100" baseline="0">
              <a:solidFill>
                <a:schemeClr val="dk1"/>
              </a:solidFill>
              <a:latin typeface="+mn-lt"/>
              <a:ea typeface="+mn-ea"/>
              <a:cs typeface="+mn-cs"/>
            </a:rPr>
            <a:t>RefWorks [bibliographic software] ($14,030)</a:t>
          </a:r>
        </a:p>
        <a:p>
          <a:r>
            <a:rPr lang="en-US" sz="1100" baseline="0">
              <a:solidFill>
                <a:schemeClr val="dk1"/>
              </a:solidFill>
              <a:latin typeface="+mn-lt"/>
              <a:ea typeface="+mn-ea"/>
              <a:cs typeface="+mn-cs"/>
            </a:rPr>
            <a:t>TOTAL:  $48,008.50</a:t>
          </a:r>
        </a:p>
        <a:p>
          <a:endParaRPr lang="en-US" sz="1100" baseline="0">
            <a:solidFill>
              <a:schemeClr val="dk1"/>
            </a:solidFill>
            <a:latin typeface="+mn-lt"/>
            <a:ea typeface="+mn-ea"/>
            <a:cs typeface="+mn-cs"/>
          </a:endParaRPr>
        </a:p>
        <a:p>
          <a:r>
            <a:rPr lang="en-US" sz="1100" b="1" baseline="0">
              <a:solidFill>
                <a:schemeClr val="dk1"/>
              </a:solidFill>
              <a:latin typeface="+mn-lt"/>
              <a:ea typeface="+mn-ea"/>
              <a:cs typeface="+mn-cs"/>
            </a:rPr>
            <a:t>ROUGH COUNTS BY FORMAT FOR FY2010:</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Reference Databases (paid):  64</a:t>
          </a:r>
        </a:p>
        <a:p>
          <a:r>
            <a:rPr lang="en-US" sz="1100" baseline="0">
              <a:solidFill>
                <a:schemeClr val="dk1"/>
              </a:solidFill>
              <a:latin typeface="+mn-lt"/>
              <a:ea typeface="+mn-ea"/>
              <a:cs typeface="+mn-cs"/>
            </a:rPr>
            <a:t>Reference Databases (unpaid): 69</a:t>
          </a:r>
        </a:p>
        <a:p>
          <a:r>
            <a:rPr lang="en-US" sz="1100" baseline="0">
              <a:solidFill>
                <a:schemeClr val="dk1"/>
              </a:solidFill>
              <a:latin typeface="+mn-lt"/>
              <a:ea typeface="+mn-ea"/>
              <a:cs typeface="+mn-cs"/>
            </a:rPr>
            <a:t>Reference Databases TOTAL: 133</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E-Journal Packages:  24</a:t>
          </a:r>
        </a:p>
        <a:p>
          <a:r>
            <a:rPr lang="en-US" sz="1100" baseline="0">
              <a:solidFill>
                <a:schemeClr val="dk1"/>
              </a:solidFill>
              <a:latin typeface="+mn-lt"/>
              <a:ea typeface="+mn-ea"/>
              <a:cs typeface="+mn-cs"/>
            </a:rPr>
            <a:t>Number of titles in e-journal packages (not deduplicated):  4,717</a:t>
          </a:r>
        </a:p>
        <a:p>
          <a:endParaRPr lang="en-US" sz="1100" baseline="0">
            <a:solidFill>
              <a:schemeClr val="dk1"/>
            </a:solidFill>
            <a:latin typeface="+mn-lt"/>
            <a:ea typeface="+mn-ea"/>
            <a:cs typeface="+mn-cs"/>
          </a:endParaRPr>
        </a:p>
        <a:p>
          <a:r>
            <a:rPr lang="en-US" sz="1100" baseline="0">
              <a:solidFill>
                <a:sysClr val="windowText" lastClr="000000"/>
              </a:solidFill>
              <a:latin typeface="+mn-lt"/>
              <a:ea typeface="+mn-ea"/>
              <a:cs typeface="+mn-cs"/>
            </a:rPr>
            <a:t>Individual e-journals (paid):  597</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Number of subscriptions / archives with access fees: 27</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Number of software packages: 7</a:t>
          </a:r>
        </a:p>
        <a:p>
          <a:endParaRPr lang="en-US" sz="1100" baseline="0">
            <a:solidFill>
              <a:schemeClr val="dk1"/>
            </a:solidFill>
            <a:latin typeface="+mn-lt"/>
            <a:ea typeface="+mn-ea"/>
            <a:cs typeface="+mn-cs"/>
          </a:endParaRPr>
        </a:p>
        <a:p>
          <a:r>
            <a:rPr lang="en-US" sz="1100" baseline="0">
              <a:solidFill>
                <a:sysClr val="windowText" lastClr="000000"/>
              </a:solidFill>
              <a:latin typeface="+mn-lt"/>
              <a:ea typeface="+mn-ea"/>
              <a:cs typeface="+mn-cs"/>
            </a:rPr>
            <a:t>Print journals / magazines (Kingston):  636 print only + 133 print+onlnie = 769</a:t>
          </a:r>
        </a:p>
        <a:p>
          <a:endParaRPr lang="en-US" sz="1100" baseline="0">
            <a:solidFill>
              <a:srgbClr val="FF0000"/>
            </a:solidFill>
            <a:latin typeface="+mn-lt"/>
            <a:ea typeface="+mn-ea"/>
            <a:cs typeface="+mn-cs"/>
          </a:endParaRPr>
        </a:p>
        <a:p>
          <a:r>
            <a:rPr lang="en-US" sz="1100" baseline="0">
              <a:solidFill>
                <a:sysClr val="windowText" lastClr="000000"/>
              </a:solidFill>
              <a:latin typeface="+mn-lt"/>
              <a:ea typeface="+mn-ea"/>
              <a:cs typeface="+mn-cs"/>
            </a:rPr>
            <a:t>Newspaper subscriptions (Kingston):   6</a:t>
          </a:r>
        </a:p>
        <a:p>
          <a:endParaRPr lang="en-US" sz="1100" baseline="0">
            <a:solidFill>
              <a:srgbClr val="FF0000"/>
            </a:solidFill>
            <a:latin typeface="+mn-lt"/>
            <a:ea typeface="+mn-ea"/>
            <a:cs typeface="+mn-cs"/>
          </a:endParaRPr>
        </a:p>
        <a:p>
          <a:r>
            <a:rPr lang="en-US" sz="1100" baseline="0">
              <a:solidFill>
                <a:sysClr val="windowText" lastClr="000000"/>
              </a:solidFill>
              <a:latin typeface="+mn-lt"/>
              <a:ea typeface="+mn-ea"/>
              <a:cs typeface="+mn-cs"/>
            </a:rPr>
            <a:t>Microfilm subscriptions (Kingston): 18</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Electronic Backfiles purchased FY10: 17 backfiles consisting of 398 titles</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Electronic books purchased FY10 : 1</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Monographs purchased FY10 (Kingston only): 7,633 vols.</a:t>
          </a: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76200</xdr:colOff>
      <xdr:row>28</xdr:row>
      <xdr:rowOff>0</xdr:rowOff>
    </xdr:from>
    <xdr:to>
      <xdr:col>5</xdr:col>
      <xdr:colOff>409575</xdr:colOff>
      <xdr:row>43</xdr:row>
      <xdr:rowOff>16933</xdr:rowOff>
    </xdr:to>
    <xdr:sp macro="" textlink="">
      <xdr:nvSpPr>
        <xdr:cNvPr id="5" name="TextBox 4"/>
        <xdr:cNvSpPr txBox="1"/>
      </xdr:nvSpPr>
      <xdr:spPr>
        <a:xfrm>
          <a:off x="76200" y="5257800"/>
          <a:ext cx="6852708" cy="25569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Notes:</a:t>
          </a:r>
          <a:endParaRPr lang="en-US"/>
        </a:p>
        <a:p>
          <a:endParaRPr lang="en-US" sz="1100">
            <a:solidFill>
              <a:schemeClr val="dk1"/>
            </a:solidFill>
            <a:latin typeface="+mn-lt"/>
            <a:ea typeface="+mn-ea"/>
            <a:cs typeface="+mn-cs"/>
          </a:endParaRPr>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2. Represents ACTUAL amount posted during the fiscal year, including Strand proforma for follwing fiscal year.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endParaRPr lang="en-US"/>
        </a:p>
        <a:p>
          <a:pPr eaLnBrk="1" fontAlgn="base"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In FY10, no endowment funds were distributed; some endowment money left over from FY09 was transferred to operating and spent during FY10. We paid for a total amount of $40,392.71 worth of materials that were charged to endowment funds in FY10. However only $17,989.17 was actually paid for with endowment money; the remaining $22,403.54 was paid out of capital. Thus our actual endowment spending for FY10 was only $17.989.17 ($3,810.68 for monographs and $14,178.49 for serials). In addition, funds for any given item might not have come from the specific endowment under which it was ordered.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114301</xdr:colOff>
      <xdr:row>122</xdr:row>
      <xdr:rowOff>123825</xdr:rowOff>
    </xdr:from>
    <xdr:to>
      <xdr:col>5</xdr:col>
      <xdr:colOff>774700</xdr:colOff>
      <xdr:row>131</xdr:row>
      <xdr:rowOff>63500</xdr:rowOff>
    </xdr:to>
    <xdr:sp macro="" textlink="">
      <xdr:nvSpPr>
        <xdr:cNvPr id="2" name="TextBox 1"/>
        <xdr:cNvSpPr txBox="1"/>
      </xdr:nvSpPr>
      <xdr:spPr>
        <a:xfrm>
          <a:off x="114301" y="22082125"/>
          <a:ext cx="6591299" cy="153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monographs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 Includes branches.</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a:t>
          </a:r>
        </a:p>
        <a:p>
          <a:endParaRPr lang="en-US" sz="1100"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114300</xdr:colOff>
      <xdr:row>66</xdr:row>
      <xdr:rowOff>171450</xdr:rowOff>
    </xdr:from>
    <xdr:to>
      <xdr:col>5</xdr:col>
      <xdr:colOff>790575</xdr:colOff>
      <xdr:row>80</xdr:row>
      <xdr:rowOff>25400</xdr:rowOff>
    </xdr:to>
    <xdr:sp macro="" textlink="">
      <xdr:nvSpPr>
        <xdr:cNvPr id="5" name="TextBox 4"/>
        <xdr:cNvSpPr txBox="1"/>
      </xdr:nvSpPr>
      <xdr:spPr>
        <a:xfrm>
          <a:off x="114300" y="11652250"/>
          <a:ext cx="6221942" cy="234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serials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 Includes branches.</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Some changes in individual fund expenditures are due to shifting journals between funds or into packages under zzwp.</a:t>
          </a:r>
          <a:endParaRPr lang="en-US"/>
        </a:p>
        <a:p>
          <a:endParaRPr lang="en-US" sz="1100" baseline="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95249</xdr:colOff>
      <xdr:row>34</xdr:row>
      <xdr:rowOff>161926</xdr:rowOff>
    </xdr:from>
    <xdr:to>
      <xdr:col>6</xdr:col>
      <xdr:colOff>419099</xdr:colOff>
      <xdr:row>53</xdr:row>
      <xdr:rowOff>28575</xdr:rowOff>
    </xdr:to>
    <xdr:sp macro="" textlink="">
      <xdr:nvSpPr>
        <xdr:cNvPr id="4" name="TextBox 3"/>
        <xdr:cNvSpPr txBox="1"/>
      </xdr:nvSpPr>
      <xdr:spPr>
        <a:xfrm>
          <a:off x="95249" y="6972301"/>
          <a:ext cx="6543675" cy="3086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u, n, or c. Run a statistical report on expenditures during last fiscal year [check dates -- 6/4/09 - 6/28/10], displayed by vendor. Export to Excel; attempt to remove all monograph vendors.</a:t>
          </a:r>
          <a:endParaRPr lang="en-US"/>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serials expenditures because some monograph expenditures charged to serials and some codes are in error, or it is not clear if the material ordered from a particular vendor is monographic or serial.</a:t>
          </a:r>
          <a:endParaRPr lang="en-US" sz="110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76200</xdr:colOff>
      <xdr:row>30</xdr:row>
      <xdr:rowOff>161925</xdr:rowOff>
    </xdr:from>
    <xdr:to>
      <xdr:col>6</xdr:col>
      <xdr:colOff>419100</xdr:colOff>
      <xdr:row>48</xdr:row>
      <xdr:rowOff>38100</xdr:rowOff>
    </xdr:to>
    <xdr:sp macro="" textlink="">
      <xdr:nvSpPr>
        <xdr:cNvPr id="2" name="TextBox 1"/>
        <xdr:cNvSpPr txBox="1"/>
      </xdr:nvSpPr>
      <xdr:spPr>
        <a:xfrm>
          <a:off x="76200" y="6210300"/>
          <a:ext cx="6600825" cy="284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m, n, or c. Run a statistical report on expenditures during last fiscal year [check dates -- 6/4/09 - 6/28/10], displayed by vendor. Export to Excel; attempt to remove all serials vendors.</a:t>
          </a:r>
          <a:endParaRPr lang="en-US" sz="1100">
            <a:solidFill>
              <a:schemeClr val="dk1"/>
            </a:solidFill>
            <a:latin typeface="+mn-lt"/>
            <a:ea typeface="+mn-ea"/>
            <a:cs typeface="+mn-cs"/>
          </a:endParaRP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monograph expenditures because some codes are in error, or it is not clear if the material ordered from a particular vendor is monographic or serial.</a:t>
          </a:r>
        </a:p>
        <a:p>
          <a:pPr eaLnBrk="1" fontAlgn="auto" latinLnBrk="0" hangingPunct="1"/>
          <a:endParaRPr lang="en-US"/>
        </a:p>
        <a:p>
          <a:endParaRPr lang="en-US" sz="110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85725</xdr:colOff>
      <xdr:row>24</xdr:row>
      <xdr:rowOff>114301</xdr:rowOff>
    </xdr:from>
    <xdr:to>
      <xdr:col>6</xdr:col>
      <xdr:colOff>923925</xdr:colOff>
      <xdr:row>36</xdr:row>
      <xdr:rowOff>85725</xdr:rowOff>
    </xdr:to>
    <xdr:sp macro="" textlink="">
      <xdr:nvSpPr>
        <xdr:cNvPr id="5" name="TextBox 4"/>
        <xdr:cNvSpPr txBox="1"/>
      </xdr:nvSpPr>
      <xdr:spPr>
        <a:xfrm>
          <a:off x="85725" y="4914901"/>
          <a:ext cx="6000750" cy="2200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u, n, or c. Run a statistical report on expenditures during last fiscal year [check dates -- 6/4/09 - 6/28/10],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endowment spending.</a:t>
          </a:r>
        </a:p>
        <a:p>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3. Select locations only; does not include all locations.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4. Since CCE and Pell don't have separate RLOC codes for monographs vs. serials, the numbers for branch locations above probably include some monographs; they are not strictly serials.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18</xdr:row>
      <xdr:rowOff>114301</xdr:rowOff>
    </xdr:from>
    <xdr:to>
      <xdr:col>6</xdr:col>
      <xdr:colOff>923925</xdr:colOff>
      <xdr:row>30</xdr:row>
      <xdr:rowOff>85725</xdr:rowOff>
    </xdr:to>
    <xdr:sp macro="" textlink="">
      <xdr:nvSpPr>
        <xdr:cNvPr id="2" name="TextBox 1"/>
        <xdr:cNvSpPr txBox="1"/>
      </xdr:nvSpPr>
      <xdr:spPr>
        <a:xfrm>
          <a:off x="85725" y="4914901"/>
          <a:ext cx="6000750" cy="2200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m, n, or c. Run a statistical report on expenditures during last fiscal year [check dates -- 6/4/09 - 6/28/10],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endowment spending.</a:t>
          </a:r>
        </a:p>
        <a:p>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3. Select locations only; does not include all locations.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4. Since CCE and Pell don't have separate RLOC codes for monographs vs. serials, the numbers for branch locations above probably include some serials; they are not strictly monographs.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104775</xdr:colOff>
      <xdr:row>63</xdr:row>
      <xdr:rowOff>104776</xdr:rowOff>
    </xdr:from>
    <xdr:to>
      <xdr:col>4</xdr:col>
      <xdr:colOff>438150</xdr:colOff>
      <xdr:row>70</xdr:row>
      <xdr:rowOff>0</xdr:rowOff>
    </xdr:to>
    <xdr:sp macro="" textlink="">
      <xdr:nvSpPr>
        <xdr:cNvPr id="2" name="TextBox 1"/>
        <xdr:cNvSpPr txBox="1"/>
      </xdr:nvSpPr>
      <xdr:spPr>
        <a:xfrm>
          <a:off x="104775" y="12325351"/>
          <a:ext cx="4286250" cy="1028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checkin records with location starts with riu, rix, or rin AND status (SCODE3) = active. Run a statistical report on location. Export to Excel.</a:t>
          </a:r>
        </a:p>
        <a:p>
          <a:endParaRPr lang="en-US" sz="1100" baseline="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123825</xdr:colOff>
      <xdr:row>17</xdr:row>
      <xdr:rowOff>104775</xdr:rowOff>
    </xdr:from>
    <xdr:to>
      <xdr:col>4</xdr:col>
      <xdr:colOff>733425</xdr:colOff>
      <xdr:row>32</xdr:row>
      <xdr:rowOff>19050</xdr:rowOff>
    </xdr:to>
    <xdr:sp macro="" textlink="">
      <xdr:nvSpPr>
        <xdr:cNvPr id="8" name="TextBox 7"/>
        <xdr:cNvSpPr txBox="1"/>
      </xdr:nvSpPr>
      <xdr:spPr>
        <a:xfrm>
          <a:off x="123825" y="4210050"/>
          <a:ext cx="5019675" cy="2771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FY09 Kingston expenditures on serials of $2,602,491.17 needs to be adjusted to reflect what</a:t>
          </a:r>
          <a:r>
            <a:rPr lang="en-US" sz="1100" baseline="0">
              <a:solidFill>
                <a:schemeClr val="dk1"/>
              </a:solidFill>
              <a:latin typeface="+mn-lt"/>
              <a:ea typeface="+mn-ea"/>
              <a:cs typeface="+mn-cs"/>
            </a:rPr>
            <a:t> amount was spent on FY09 content.</a:t>
          </a:r>
          <a:endParaRPr lang="en-US"/>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SUBTRACT</a:t>
          </a:r>
          <a:endParaRPr lang="en-US"/>
        </a:p>
        <a:p>
          <a:r>
            <a:rPr lang="en-US" sz="1100" baseline="0">
              <a:solidFill>
                <a:schemeClr val="dk1"/>
              </a:solidFill>
              <a:latin typeface="+mn-lt"/>
              <a:ea typeface="+mn-ea"/>
              <a:cs typeface="+mn-cs"/>
            </a:rPr>
            <a:t>1. $546,000.00 prepayment made in FY09 for FY10 materials through HELIN.</a:t>
          </a:r>
          <a:endParaRPr lang="en-US"/>
        </a:p>
        <a:p>
          <a:r>
            <a:rPr lang="en-US" sz="1100" baseline="0">
              <a:solidFill>
                <a:schemeClr val="dk1"/>
              </a:solidFill>
              <a:latin typeface="+mn-lt"/>
              <a:ea typeface="+mn-ea"/>
              <a:cs typeface="+mn-cs"/>
            </a:rPr>
            <a:t>2. $244,275 payment made in FY09 to HELIN for one-time backfile purchases plus other publisher-direct backfile purchases posted in early FY09 totalling $20,124. Total backfiles = $264,399. </a:t>
          </a:r>
          <a:endParaRPr lang="en-US"/>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ADD</a:t>
          </a:r>
          <a:endParaRPr lang="en-US"/>
        </a:p>
        <a:p>
          <a:r>
            <a:rPr lang="en-US" sz="1100" baseline="0">
              <a:solidFill>
                <a:schemeClr val="dk1"/>
              </a:solidFill>
              <a:latin typeface="+mn-lt"/>
              <a:ea typeface="+mn-ea"/>
              <a:cs typeface="+mn-cs"/>
            </a:rPr>
            <a:t>1. $504,000.00 payment made to HELIN at the end of FY08 as a prepay for FY09 content.</a:t>
          </a:r>
          <a:endParaRPr lang="en-US"/>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RESULT</a:t>
          </a:r>
          <a:endParaRPr lang="en-US"/>
        </a:p>
        <a:p>
          <a:r>
            <a:rPr lang="en-US" sz="1100" baseline="0">
              <a:solidFill>
                <a:schemeClr val="dk1"/>
              </a:solidFill>
              <a:latin typeface="+mn-lt"/>
              <a:ea typeface="+mn-ea"/>
              <a:cs typeface="+mn-cs"/>
            </a:rPr>
            <a:t>Final Kingston expenditures on serials for FY09 was $2,296,092.17.</a:t>
          </a:r>
          <a:endParaRPr lang="en-US" sz="1100"/>
        </a:p>
      </xdr:txBody>
    </xdr:sp>
    <xdr:clientData/>
  </xdr:twoCellAnchor>
  <xdr:twoCellAnchor>
    <xdr:from>
      <xdr:col>0</xdr:col>
      <xdr:colOff>133350</xdr:colOff>
      <xdr:row>32</xdr:row>
      <xdr:rowOff>142874</xdr:rowOff>
    </xdr:from>
    <xdr:to>
      <xdr:col>4</xdr:col>
      <xdr:colOff>781050</xdr:colOff>
      <xdr:row>47</xdr:row>
      <xdr:rowOff>28575</xdr:rowOff>
    </xdr:to>
    <xdr:sp macro="" textlink="">
      <xdr:nvSpPr>
        <xdr:cNvPr id="9" name="TextBox 8"/>
        <xdr:cNvSpPr txBox="1"/>
      </xdr:nvSpPr>
      <xdr:spPr>
        <a:xfrm>
          <a:off x="133350" y="6819899"/>
          <a:ext cx="5057775" cy="2400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FY10 Kingston expenditures on serials of $2,748,792.16 needs to be adjusted to reflect what</a:t>
          </a:r>
          <a:r>
            <a:rPr lang="en-US" sz="1100" baseline="0"/>
            <a:t> amount was spent on FY09 content.</a:t>
          </a:r>
        </a:p>
        <a:p>
          <a:endParaRPr lang="en-US" sz="1100" baseline="0"/>
        </a:p>
        <a:p>
          <a:r>
            <a:rPr lang="en-US" sz="1100" baseline="0"/>
            <a:t>SUBTRACT</a:t>
          </a:r>
        </a:p>
        <a:p>
          <a:r>
            <a:rPr lang="en-US" sz="1100" baseline="0"/>
            <a:t>1. $573,000.00 prepayment made in FY10 for FY11 materials through HELIN.</a:t>
          </a:r>
        </a:p>
        <a:p>
          <a:r>
            <a:rPr lang="en-US" sz="1100" baseline="0"/>
            <a:t>2. $184,105.64 payment made in FY10 to HELIN for one-time backfile purchases.</a:t>
          </a:r>
        </a:p>
        <a:p>
          <a:endParaRPr lang="en-US" sz="1100" baseline="0"/>
        </a:p>
        <a:p>
          <a:r>
            <a:rPr lang="en-US" sz="1100" baseline="0"/>
            <a:t>ADD</a:t>
          </a:r>
        </a:p>
        <a:p>
          <a:r>
            <a:rPr lang="en-US" sz="1100" baseline="0"/>
            <a:t>1. $546,000.00 payment made to HELIN at the end of FY09 as a prepay for FY10 content.</a:t>
          </a:r>
        </a:p>
        <a:p>
          <a:endParaRPr lang="en-US" sz="1100" baseline="0"/>
        </a:p>
        <a:p>
          <a:r>
            <a:rPr lang="en-US" sz="1100" baseline="0"/>
            <a:t>RESULT</a:t>
          </a:r>
        </a:p>
        <a:p>
          <a:r>
            <a:rPr lang="en-US" sz="1100" baseline="0"/>
            <a:t>Final Kingston expenditures on serials for FY10 was $2,537,686.52.</a:t>
          </a:r>
          <a:endParaRPr lang="en-US" sz="1100"/>
        </a:p>
      </xdr:txBody>
    </xdr:sp>
    <xdr:clientData/>
  </xdr:twoCellAnchor>
  <xdr:twoCellAnchor>
    <xdr:from>
      <xdr:col>0</xdr:col>
      <xdr:colOff>114300</xdr:colOff>
      <xdr:row>47</xdr:row>
      <xdr:rowOff>95251</xdr:rowOff>
    </xdr:from>
    <xdr:to>
      <xdr:col>4</xdr:col>
      <xdr:colOff>771525</xdr:colOff>
      <xdr:row>59</xdr:row>
      <xdr:rowOff>104775</xdr:rowOff>
    </xdr:to>
    <xdr:sp macro="" textlink="">
      <xdr:nvSpPr>
        <xdr:cNvPr id="10" name="TextBox 9"/>
        <xdr:cNvSpPr txBox="1"/>
      </xdr:nvSpPr>
      <xdr:spPr>
        <a:xfrm>
          <a:off x="114300" y="9286876"/>
          <a:ext cx="5067300" cy="2038349"/>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FY09 Kingston expenditures on monographs of $293,919.46 needs to be adjusted to reflect what</a:t>
          </a:r>
          <a:r>
            <a:rPr lang="en-US" sz="1100" baseline="0">
              <a:solidFill>
                <a:schemeClr val="dk1"/>
              </a:solidFill>
              <a:latin typeface="+mn-lt"/>
              <a:ea typeface="+mn-ea"/>
              <a:cs typeface="+mn-cs"/>
            </a:rPr>
            <a:t> amount was spent on FY09 content.</a:t>
          </a:r>
          <a:endParaRPr lang="en-US"/>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SUBTRACT</a:t>
          </a:r>
          <a:endParaRPr lang="en-US"/>
        </a:p>
        <a:p>
          <a:r>
            <a:rPr lang="en-US" sz="1100" baseline="0">
              <a:solidFill>
                <a:schemeClr val="dk1"/>
              </a:solidFill>
              <a:latin typeface="+mn-lt"/>
              <a:ea typeface="+mn-ea"/>
              <a:cs typeface="+mn-cs"/>
            </a:rPr>
            <a:t>1. $104,064.03 amount posted to strand between 6/19/08 and 6/3/2009.</a:t>
          </a:r>
          <a:endParaRPr lang="en-US"/>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ADD</a:t>
          </a:r>
          <a:endParaRPr lang="en-US" sz="1100">
            <a:solidFill>
              <a:schemeClr val="dk1"/>
            </a:solidFill>
            <a:latin typeface="+mn-lt"/>
            <a:ea typeface="+mn-ea"/>
            <a:cs typeface="+mn-cs"/>
          </a:endParaRPr>
        </a:p>
        <a:p>
          <a:r>
            <a:rPr lang="en-US" sz="1100" baseline="0">
              <a:solidFill>
                <a:schemeClr val="dk1"/>
              </a:solidFill>
              <a:latin typeface="+mn-lt"/>
              <a:ea typeface="+mn-ea"/>
              <a:cs typeface="+mn-cs"/>
            </a:rPr>
            <a:t>1. $140,636.02 total of shipment invoices received between 6/19/08 and 6/3/09.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RESULT</a:t>
          </a:r>
          <a:endParaRPr lang="en-US"/>
        </a:p>
        <a:p>
          <a:r>
            <a:rPr lang="en-US" sz="1100" baseline="0">
              <a:solidFill>
                <a:schemeClr val="dk1"/>
              </a:solidFill>
              <a:latin typeface="+mn-lt"/>
              <a:ea typeface="+mn-ea"/>
              <a:cs typeface="+mn-cs"/>
            </a:rPr>
            <a:t>Final Kingston expenditures on monographs for FY09 was $339,002.27.</a:t>
          </a:r>
          <a:endParaRPr lang="en-US" sz="1100"/>
        </a:p>
      </xdr:txBody>
    </xdr:sp>
    <xdr:clientData/>
  </xdr:twoCellAnchor>
  <xdr:twoCellAnchor>
    <xdr:from>
      <xdr:col>0</xdr:col>
      <xdr:colOff>133351</xdr:colOff>
      <xdr:row>60</xdr:row>
      <xdr:rowOff>133349</xdr:rowOff>
    </xdr:from>
    <xdr:to>
      <xdr:col>4</xdr:col>
      <xdr:colOff>657226</xdr:colOff>
      <xdr:row>74</xdr:row>
      <xdr:rowOff>9525</xdr:rowOff>
    </xdr:to>
    <xdr:sp macro="" textlink="">
      <xdr:nvSpPr>
        <xdr:cNvPr id="11" name="TextBox 10"/>
        <xdr:cNvSpPr txBox="1"/>
      </xdr:nvSpPr>
      <xdr:spPr>
        <a:xfrm>
          <a:off x="133351" y="11515724"/>
          <a:ext cx="4933950" cy="214312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FY09 Kingston expenditures on monographs of $329,707.59 needs to be adjusted to reflect what</a:t>
          </a:r>
          <a:r>
            <a:rPr lang="en-US" sz="1100" baseline="0"/>
            <a:t> amount was spent on FY10 content.</a:t>
          </a:r>
        </a:p>
        <a:p>
          <a:endParaRPr lang="en-US" sz="1100" baseline="0"/>
        </a:p>
        <a:p>
          <a:r>
            <a:rPr lang="en-US" sz="1100" baseline="0">
              <a:solidFill>
                <a:schemeClr val="dk1"/>
              </a:solidFill>
              <a:latin typeface="+mn-lt"/>
              <a:ea typeface="+mn-ea"/>
              <a:cs typeface="+mn-cs"/>
            </a:rPr>
            <a:t>SUBTRACT</a:t>
          </a:r>
          <a:endParaRPr lang="en-US" sz="1100">
            <a:solidFill>
              <a:schemeClr val="dk1"/>
            </a:solidFill>
            <a:latin typeface="+mn-lt"/>
            <a:ea typeface="+mn-ea"/>
            <a:cs typeface="+mn-cs"/>
          </a:endParaRPr>
        </a:p>
        <a:p>
          <a:r>
            <a:rPr lang="en-US" sz="1100" baseline="0">
              <a:solidFill>
                <a:schemeClr val="dk1"/>
              </a:solidFill>
              <a:latin typeface="+mn-lt"/>
              <a:ea typeface="+mn-ea"/>
              <a:cs typeface="+mn-cs"/>
            </a:rPr>
            <a:t>1. $145,480.92 amount posted to strand between 6/4/09 and 6/28/2010.</a:t>
          </a:r>
          <a:endParaRPr lang="en-US" sz="1100">
            <a:solidFill>
              <a:schemeClr val="dk1"/>
            </a:solidFill>
            <a:latin typeface="+mn-lt"/>
            <a:ea typeface="+mn-ea"/>
            <a:cs typeface="+mn-cs"/>
          </a:endParaRPr>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ADD</a:t>
          </a:r>
          <a:endParaRPr lang="en-US" sz="1100">
            <a:solidFill>
              <a:schemeClr val="dk1"/>
            </a:solidFill>
            <a:latin typeface="+mn-lt"/>
            <a:ea typeface="+mn-ea"/>
            <a:cs typeface="+mn-cs"/>
          </a:endParaRPr>
        </a:p>
        <a:p>
          <a:r>
            <a:rPr lang="en-US" sz="1100" baseline="0">
              <a:solidFill>
                <a:schemeClr val="dk1"/>
              </a:solidFill>
              <a:latin typeface="+mn-lt"/>
              <a:ea typeface="+mn-ea"/>
              <a:cs typeface="+mn-cs"/>
            </a:rPr>
            <a:t>1. $147,559.78 total of shipment invoices received between 6/19/08 and 6/3/09. </a:t>
          </a:r>
          <a:endParaRPr lang="en-US"/>
        </a:p>
        <a:p>
          <a:pPr fontAlgn="base"/>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RESULT</a:t>
          </a:r>
          <a:endParaRPr lang="en-US" sz="1100">
            <a:solidFill>
              <a:schemeClr val="dk1"/>
            </a:solidFill>
            <a:latin typeface="+mn-lt"/>
            <a:ea typeface="+mn-ea"/>
            <a:cs typeface="+mn-cs"/>
          </a:endParaRPr>
        </a:p>
        <a:p>
          <a:r>
            <a:rPr lang="en-US" sz="1100" baseline="0">
              <a:solidFill>
                <a:schemeClr val="dk1"/>
              </a:solidFill>
              <a:latin typeface="+mn-lt"/>
              <a:ea typeface="+mn-ea"/>
              <a:cs typeface="+mn-cs"/>
            </a:rPr>
            <a:t>Final Kingston expenditures on monographs for FY09 was $331,786.45.</a:t>
          </a:r>
          <a:endParaRPr lang="en-US" sz="1100">
            <a:solidFill>
              <a:schemeClr val="dk1"/>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85725</xdr:colOff>
      <xdr:row>28</xdr:row>
      <xdr:rowOff>9526</xdr:rowOff>
    </xdr:from>
    <xdr:to>
      <xdr:col>3</xdr:col>
      <xdr:colOff>2730500</xdr:colOff>
      <xdr:row>37</xdr:row>
      <xdr:rowOff>66676</xdr:rowOff>
    </xdr:to>
    <xdr:sp macro="" textlink="">
      <xdr:nvSpPr>
        <xdr:cNvPr id="15361" name="Text Box 1"/>
        <xdr:cNvSpPr txBox="1">
          <a:spLocks noChangeArrowheads="1"/>
        </xdr:cNvSpPr>
      </xdr:nvSpPr>
      <xdr:spPr bwMode="auto">
        <a:xfrm>
          <a:off x="85725" y="6118226"/>
          <a:ext cx="10721975" cy="165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u="sng">
              <a:solidFill>
                <a:schemeClr val="dk1"/>
              </a:solidFill>
              <a:latin typeface="+mn-lt"/>
              <a:ea typeface="+mn-ea"/>
              <a:cs typeface="+mn-cs"/>
            </a:rPr>
            <a:t>Notes / Instructions</a:t>
          </a:r>
          <a:r>
            <a:rPr lang="en-US" sz="1100">
              <a:solidFill>
                <a:schemeClr val="dk1"/>
              </a:solidFill>
              <a:latin typeface="+mn-lt"/>
              <a:ea typeface="+mn-ea"/>
              <a:cs typeface="+mn-cs"/>
            </a:rPr>
            <a:t>: </a:t>
          </a:r>
        </a:p>
        <a:p>
          <a:pPr marL="0" indent="0" algn="l" rtl="1">
            <a:defRPr sz="1000"/>
          </a:pPr>
          <a:r>
            <a:rPr lang="en-US" sz="1100">
              <a:solidFill>
                <a:schemeClr val="dk1"/>
              </a:solidFill>
              <a:latin typeface="+mn-lt"/>
              <a:ea typeface="+mn-ea"/>
              <a:cs typeface="+mn-cs"/>
            </a:rPr>
            <a:t>Main campus (Kingston) only.</a:t>
          </a:r>
        </a:p>
        <a:p>
          <a:pPr marL="0" indent="0" algn="l" rtl="1">
            <a:defRPr sz="1000"/>
          </a:pPr>
          <a:r>
            <a:rPr lang="en-US" sz="1100">
              <a:solidFill>
                <a:schemeClr val="dk1"/>
              </a:solidFill>
              <a:latin typeface="+mn-lt"/>
              <a:ea typeface="+mn-ea"/>
              <a:cs typeface="+mn-cs"/>
            </a:rPr>
            <a:t>Unique serial titles, NOT SUBSCRIPTIONS</a:t>
          </a:r>
        </a:p>
        <a:p>
          <a:pPr marL="0" indent="0" algn="l" rtl="1">
            <a:defRPr sz="1000"/>
          </a:pPr>
          <a:r>
            <a:rPr lang="en-US" sz="1100">
              <a:solidFill>
                <a:schemeClr val="dk1"/>
              </a:solidFill>
              <a:latin typeface="+mn-lt"/>
              <a:ea typeface="+mn-ea"/>
              <a:cs typeface="+mn-cs"/>
            </a:rPr>
            <a:t>Report each title once, regardless of how many subscriptions or means of access you provide for that title.</a:t>
          </a:r>
        </a:p>
        <a:p>
          <a:pPr marL="0" indent="0" algn="l" rtl="1">
            <a:defRPr sz="1000"/>
          </a:pPr>
          <a:r>
            <a:rPr lang="en-US" sz="1100">
              <a:solidFill>
                <a:schemeClr val="dk1"/>
              </a:solidFill>
              <a:latin typeface="+mn-lt"/>
              <a:ea typeface="+mn-ea"/>
              <a:cs typeface="+mn-cs"/>
            </a:rPr>
            <a:t>If a purchased title includes electronic access to the title, count that title ONLY ONCE (DEDUPED) as electronic only.</a:t>
          </a:r>
        </a:p>
        <a:p>
          <a:pPr marL="0" indent="0" algn="l" rtl="1">
            <a:defRPr sz="1000"/>
          </a:pPr>
          <a:r>
            <a:rPr lang="en-US" sz="1100">
              <a:solidFill>
                <a:schemeClr val="dk1"/>
              </a:solidFill>
              <a:latin typeface="+mn-lt"/>
              <a:ea typeface="+mn-ea"/>
              <a:cs typeface="+mn-cs"/>
            </a:rPr>
            <a:t>Electronic serials acquired as part of a bundle or aggregated package should be counted at the title level.</a:t>
          </a:r>
        </a:p>
        <a:p>
          <a:pPr marL="0" indent="0" algn="l" rtl="1">
            <a:defRPr sz="1000"/>
          </a:pPr>
          <a:r>
            <a:rPr lang="en-US" sz="1100">
              <a:solidFill>
                <a:schemeClr val="dk1"/>
              </a:solidFill>
              <a:latin typeface="+mn-lt"/>
              <a:ea typeface="+mn-ea"/>
              <a:cs typeface="+mn-cs"/>
            </a:rPr>
            <a:t>If a database includes full-text and abstracted titles, the number of full-text titles can be counted.</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Count government documents serials or note that they are not counted.</a:t>
          </a:r>
        </a:p>
        <a:p>
          <a:pPr marL="0" indent="0" algn="l" rtl="1">
            <a:defRPr sz="1000"/>
          </a:pPr>
          <a:endParaRPr lang="en-US" sz="1100">
            <a:solidFill>
              <a:schemeClr val="dk1"/>
            </a:solidFill>
            <a:latin typeface="+mn-lt"/>
            <a:ea typeface="+mn-ea"/>
            <a:cs typeface="+mn-cs"/>
          </a:endParaRPr>
        </a:p>
      </xdr:txBody>
    </xdr:sp>
    <xdr:clientData/>
  </xdr:twoCellAnchor>
  <xdr:twoCellAnchor>
    <xdr:from>
      <xdr:col>0</xdr:col>
      <xdr:colOff>57150</xdr:colOff>
      <xdr:row>56</xdr:row>
      <xdr:rowOff>57150</xdr:rowOff>
    </xdr:from>
    <xdr:to>
      <xdr:col>3</xdr:col>
      <xdr:colOff>2676525</xdr:colOff>
      <xdr:row>66</xdr:row>
      <xdr:rowOff>28575</xdr:rowOff>
    </xdr:to>
    <xdr:sp macro="" textlink="">
      <xdr:nvSpPr>
        <xdr:cNvPr id="15363" name="Text Box 3"/>
        <xdr:cNvSpPr txBox="1">
          <a:spLocks noChangeArrowheads="1"/>
        </xdr:cNvSpPr>
      </xdr:nvSpPr>
      <xdr:spPr bwMode="auto">
        <a:xfrm>
          <a:off x="57150" y="11925300"/>
          <a:ext cx="9696450"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1b.i and 1b. ii</a:t>
          </a:r>
        </a:p>
        <a:p>
          <a:pPr marL="0" indent="0" algn="l" rtl="1">
            <a:defRPr sz="1000"/>
          </a:pPr>
          <a:endParaRPr lang="en-US" sz="1100">
            <a:solidFill>
              <a:schemeClr val="dk1"/>
            </a:solidFill>
            <a:latin typeface="+mn-lt"/>
            <a:ea typeface="+mn-ea"/>
            <a:cs typeface="+mn-cs"/>
          </a:endParaRPr>
        </a:p>
        <a:p>
          <a:r>
            <a:rPr lang="en-US" sz="1100">
              <a:solidFill>
                <a:schemeClr val="dk1"/>
              </a:solidFill>
              <a:latin typeface="+mn-lt"/>
              <a:ea typeface="+mn-ea"/>
              <a:cs typeface="+mn-cs"/>
            </a:rPr>
            <a:t>"Do not include</a:t>
          </a:r>
          <a:r>
            <a:rPr lang="en-US" sz="1100" baseline="0">
              <a:solidFill>
                <a:schemeClr val="dk1"/>
              </a:solidFill>
              <a:latin typeface="+mn-lt"/>
              <a:ea typeface="+mn-ea"/>
              <a:cs typeface="+mn-cs"/>
            </a:rPr>
            <a:t> as part of Volumes Added Gross any government documents</a:t>
          </a:r>
          <a:r>
            <a:rPr lang="en-US" sz="1100" baseline="0" smtClean="0">
              <a:solidFill>
                <a:schemeClr val="dk1"/>
              </a:solidFill>
              <a:latin typeface="+mn-lt"/>
              <a:ea typeface="+mn-ea"/>
              <a:cs typeface="+mn-cs"/>
            </a:rPr>
            <a:t> or other collections (such as large gift collections or e-book packages, EBBO, etc.) that were added to the collection as the result of a one time download or addition to the OPAC. Include these items in Voumes Held of the previous year (Line 1a) and provide a footnote explaining revision of Line 1a."</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Consult Acquisitions Unit annual statistics. Remember</a:t>
          </a:r>
          <a:r>
            <a:rPr lang="en-US" sz="1100" baseline="0">
              <a:solidFill>
                <a:schemeClr val="dk1"/>
              </a:solidFill>
              <a:latin typeface="+mn-lt"/>
              <a:ea typeface="+mn-ea"/>
              <a:cs typeface="+mn-cs"/>
            </a:rPr>
            <a:t> to add any </a:t>
          </a:r>
          <a:r>
            <a:rPr lang="en-US" sz="1100" b="1" baseline="0">
              <a:solidFill>
                <a:schemeClr val="dk1"/>
              </a:solidFill>
              <a:latin typeface="+mn-lt"/>
              <a:ea typeface="+mn-ea"/>
              <a:cs typeface="+mn-cs"/>
            </a:rPr>
            <a:t>individual</a:t>
          </a:r>
          <a:r>
            <a:rPr lang="en-US" sz="1100" baseline="0">
              <a:solidFill>
                <a:schemeClr val="dk1"/>
              </a:solidFill>
              <a:latin typeface="+mn-lt"/>
              <a:ea typeface="+mn-ea"/>
              <a:cs typeface="+mn-cs"/>
            </a:rPr>
            <a:t> e-books purchased into total (1 for 09/10).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Add any large collections of e-books to Line 1a instead, as per above.</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xdr:txBody>
    </xdr:sp>
    <xdr:clientData/>
  </xdr:twoCellAnchor>
  <xdr:twoCellAnchor>
    <xdr:from>
      <xdr:col>0</xdr:col>
      <xdr:colOff>85725</xdr:colOff>
      <xdr:row>82</xdr:row>
      <xdr:rowOff>38099</xdr:rowOff>
    </xdr:from>
    <xdr:to>
      <xdr:col>3</xdr:col>
      <xdr:colOff>2705100</xdr:colOff>
      <xdr:row>90</xdr:row>
      <xdr:rowOff>180974</xdr:rowOff>
    </xdr:to>
    <xdr:sp macro="" textlink="">
      <xdr:nvSpPr>
        <xdr:cNvPr id="15364" name="Text Box 4"/>
        <xdr:cNvSpPr txBox="1">
          <a:spLocks noChangeArrowheads="1"/>
        </xdr:cNvSpPr>
      </xdr:nvSpPr>
      <xdr:spPr bwMode="auto">
        <a:xfrm>
          <a:off x="85725" y="15716249"/>
          <a:ext cx="9696450" cy="1666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3</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Report volumes</a:t>
          </a:r>
          <a:r>
            <a:rPr lang="en-US" sz="1100" baseline="0">
              <a:solidFill>
                <a:schemeClr val="dk1"/>
              </a:solidFill>
              <a:latin typeface="+mn-lt"/>
              <a:ea typeface="+mn-ea"/>
              <a:cs typeface="+mn-cs"/>
            </a:rPr>
            <a:t> purchased as opposed to received or cataloged. All volumes for which an expenditure was made during 09/10 including volumes paid for but not yet received. Include e-books that fit into the NetLibrary model, i.e. electronic manifestations of physical entitites or units; provide a footnote explaining how many e-books you are reporting, preferably by specifying the products and the number of titles.</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Consult Acquisitions Unit annual statistics. Remember</a:t>
          </a:r>
          <a:r>
            <a:rPr lang="en-US" sz="1100" baseline="0">
              <a:solidFill>
                <a:schemeClr val="dk1"/>
              </a:solidFill>
              <a:latin typeface="+mn-lt"/>
              <a:ea typeface="+mn-ea"/>
              <a:cs typeface="+mn-cs"/>
            </a:rPr>
            <a:t> to add any e-books purchased into total (1 for 09/10).</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E-book purchased was Encylopedia of Ocean Sciences, 2nd ed., on the ScienceDirect platform.</a:t>
          </a:r>
          <a:endParaRPr lang="en-US" sz="1100">
            <a:solidFill>
              <a:schemeClr val="dk1"/>
            </a:solidFill>
            <a:latin typeface="+mn-lt"/>
            <a:ea typeface="+mn-ea"/>
            <a:cs typeface="+mn-cs"/>
          </a:endParaRPr>
        </a:p>
      </xdr:txBody>
    </xdr:sp>
    <xdr:clientData/>
  </xdr:twoCellAnchor>
  <xdr:twoCellAnchor>
    <xdr:from>
      <xdr:col>0</xdr:col>
      <xdr:colOff>114300</xdr:colOff>
      <xdr:row>108</xdr:row>
      <xdr:rowOff>142875</xdr:rowOff>
    </xdr:from>
    <xdr:to>
      <xdr:col>3</xdr:col>
      <xdr:colOff>2752725</xdr:colOff>
      <xdr:row>124</xdr:row>
      <xdr:rowOff>171450</xdr:rowOff>
    </xdr:to>
    <xdr:sp macro="" textlink="">
      <xdr:nvSpPr>
        <xdr:cNvPr id="15366" name="Text Box 6"/>
        <xdr:cNvSpPr txBox="1">
          <a:spLocks noChangeArrowheads="1"/>
        </xdr:cNvSpPr>
      </xdr:nvSpPr>
      <xdr:spPr bwMode="auto">
        <a:xfrm>
          <a:off x="114300" y="20774025"/>
          <a:ext cx="9715500" cy="30765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5a.ii (Print [and other format] serials</a:t>
          </a:r>
          <a:r>
            <a:rPr lang="en-US" sz="1100" baseline="0">
              <a:solidFill>
                <a:schemeClr val="dk1"/>
              </a:solidFill>
              <a:latin typeface="+mn-lt"/>
              <a:ea typeface="+mn-ea"/>
              <a:cs typeface="+mn-cs"/>
            </a:rPr>
            <a:t> </a:t>
          </a:r>
          <a:r>
            <a:rPr lang="en-US" sz="1100">
              <a:solidFill>
                <a:schemeClr val="dk1"/>
              </a:solidFill>
              <a:latin typeface="+mn-lt"/>
              <a:ea typeface="+mn-ea"/>
              <a:cs typeface="+mn-cs"/>
            </a:rPr>
            <a:t>purchased): </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1. Create a review file of order records: RLOC = u; STATUS = f; ACQ TYPE does not equal gift. Run a statistical report, NOT broken down by a time period. View the results file by CODE2 and take the numbers from the Record Count Column.</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Print = 636</a:t>
          </a:r>
        </a:p>
        <a:p>
          <a:pPr marL="0" indent="0" algn="l" rtl="1">
            <a:defRPr sz="1000"/>
          </a:pPr>
          <a:r>
            <a:rPr lang="en-US" sz="1100">
              <a:solidFill>
                <a:schemeClr val="dk1"/>
              </a:solidFill>
              <a:latin typeface="+mn-lt"/>
              <a:ea typeface="+mn-ea"/>
              <a:cs typeface="+mn-cs"/>
            </a:rPr>
            <a:t> Print + Online = 133</a:t>
          </a:r>
        </a:p>
        <a:p>
          <a:pPr marL="0" indent="0" algn="l" rtl="1">
            <a:defRPr sz="1000"/>
          </a:pPr>
          <a:r>
            <a:rPr lang="en-US" sz="1100">
              <a:solidFill>
                <a:schemeClr val="dk1"/>
              </a:solidFill>
              <a:latin typeface="+mn-lt"/>
              <a:ea typeface="+mn-ea"/>
              <a:cs typeface="+mn-cs"/>
            </a:rPr>
            <a:t>Online Only = 851</a:t>
          </a:r>
        </a:p>
        <a:p>
          <a:pPr marL="0" indent="0" algn="l" rtl="1">
            <a:defRPr sz="1000"/>
          </a:pPr>
          <a:r>
            <a:rPr lang="en-US" sz="1100">
              <a:solidFill>
                <a:schemeClr val="dk1"/>
              </a:solidFill>
              <a:latin typeface="+mn-lt"/>
              <a:ea typeface="+mn-ea"/>
              <a:cs typeface="+mn-cs"/>
            </a:rPr>
            <a:t>Microform = 18</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[done 9/10]</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2. ACRL does not want print + online counted twice: "If a purchased title includes electronic access to the title, count that title ONLY ONCE (DEDUPED) as electronic only." However, of the 136 print + online above, much of the free online is not really available online due to passwords. So we can assume that HALF of this number is essentially print only. Therefore, as an estimate, count HALF of print+online as print only. Total print, print + online, and microform.</a:t>
          </a:r>
        </a:p>
        <a:p>
          <a:pPr marL="0" indent="0" algn="l" rtl="1">
            <a:defRPr sz="1000"/>
          </a:pPr>
          <a:r>
            <a:rPr lang="en-US" sz="1100">
              <a:solidFill>
                <a:schemeClr val="dk1"/>
              </a:solidFill>
              <a:latin typeface="+mn-lt"/>
              <a:ea typeface="+mn-ea"/>
              <a:cs typeface="+mn-cs"/>
            </a:rPr>
            <a:t>Thus: </a:t>
          </a:r>
        </a:p>
        <a:p>
          <a:pPr marL="0" indent="0" algn="l" rtl="1">
            <a:defRPr sz="1000"/>
          </a:pPr>
          <a:r>
            <a:rPr lang="en-US" sz="1100">
              <a:solidFill>
                <a:schemeClr val="dk1"/>
              </a:solidFill>
              <a:latin typeface="+mn-lt"/>
              <a:ea typeface="+mn-ea"/>
              <a:cs typeface="+mn-cs"/>
            </a:rPr>
            <a:t>636+ (.5)(133) + 18 = 721.</a:t>
          </a:r>
        </a:p>
      </xdr:txBody>
    </xdr:sp>
    <xdr:clientData/>
  </xdr:twoCellAnchor>
  <xdr:twoCellAnchor>
    <xdr:from>
      <xdr:col>0</xdr:col>
      <xdr:colOff>85725</xdr:colOff>
      <xdr:row>91</xdr:row>
      <xdr:rowOff>47624</xdr:rowOff>
    </xdr:from>
    <xdr:to>
      <xdr:col>3</xdr:col>
      <xdr:colOff>2667000</xdr:colOff>
      <xdr:row>108</xdr:row>
      <xdr:rowOff>38100</xdr:rowOff>
    </xdr:to>
    <xdr:sp macro="" textlink="">
      <xdr:nvSpPr>
        <xdr:cNvPr id="12" name="TextBox 11"/>
        <xdr:cNvSpPr txBox="1"/>
      </xdr:nvSpPr>
      <xdr:spPr>
        <a:xfrm>
          <a:off x="85725" y="17440274"/>
          <a:ext cx="9658350" cy="3228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5a.i (Electronic serial titles currently purchased, deduplicated):</a:t>
          </a:r>
        </a:p>
        <a:p>
          <a:endParaRPr lang="en-US" sz="1100"/>
        </a:p>
        <a:p>
          <a:r>
            <a:rPr lang="en-US" sz="1100"/>
            <a:t>1. Use Serials Solutions "Overlap Analysis." DE-select anything not paid for (including state-wide database</a:t>
          </a:r>
          <a:r>
            <a:rPr lang="en-US" sz="1100" baseline="0"/>
            <a:t> subscriptions)</a:t>
          </a:r>
          <a:r>
            <a:rPr lang="en-US" sz="1100"/>
            <a:t>. RETAIN all paid-for subscriptions, including JSTOR and other archives and full-text A&amp;I databases. Take "Title Unique."</a:t>
          </a:r>
        </a:p>
        <a:p>
          <a:endParaRPr lang="en-US" sz="1100"/>
        </a:p>
        <a:p>
          <a:r>
            <a:rPr lang="en-US" b="1"/>
            <a:t>Title Unique    23,671 </a:t>
          </a:r>
        </a:p>
        <a:p>
          <a:r>
            <a:rPr lang="en-US"/>
            <a:t>Holding Unique    1,834 </a:t>
          </a:r>
        </a:p>
        <a:p>
          <a:r>
            <a:rPr lang="en-US"/>
            <a:t>Total Unique    25,505 </a:t>
          </a:r>
        </a:p>
        <a:p>
          <a:r>
            <a:rPr lang="en-US"/>
            <a:t>Full Holding Overlap    6,894 </a:t>
          </a:r>
        </a:p>
        <a:p>
          <a:r>
            <a:rPr lang="en-US"/>
            <a:t>Partial Holding Overlap    4,480 </a:t>
          </a:r>
        </a:p>
        <a:p>
          <a:r>
            <a:rPr lang="en-US"/>
            <a:t>Total Holding Overlap    11,374 </a:t>
          </a:r>
        </a:p>
        <a:p>
          <a:r>
            <a:rPr lang="en-US"/>
            <a:t>Title Overlap    72 </a:t>
          </a:r>
        </a:p>
        <a:p>
          <a:r>
            <a:rPr lang="en-US"/>
            <a:t>Total    36,951 </a:t>
          </a:r>
        </a:p>
        <a:p>
          <a:r>
            <a:rPr lang="en-US"/>
            <a:t>Percent Full Overlap    18.7 </a:t>
          </a:r>
        </a:p>
        <a:p>
          <a:r>
            <a:rPr lang="en-US"/>
            <a:t>Percent Unique    69.0</a:t>
          </a:r>
          <a:endParaRPr lang="en-US" sz="1100"/>
        </a:p>
        <a:p>
          <a:endParaRPr lang="en-US" sz="1100"/>
        </a:p>
        <a:p>
          <a:r>
            <a:rPr lang="en-US" sz="1100"/>
            <a:t>Note: This method is imperfect,</a:t>
          </a:r>
          <a:r>
            <a:rPr lang="en-US" sz="1100" baseline="0"/>
            <a:t> because it includes content that has been canceled, but we still have some access post-cancellation. However, given the definitions, this is the most accurate estimate possible.</a:t>
          </a:r>
          <a:endParaRPr lang="en-US" sz="1100"/>
        </a:p>
      </xdr:txBody>
    </xdr:sp>
    <xdr:clientData/>
  </xdr:twoCellAnchor>
  <xdr:twoCellAnchor>
    <xdr:from>
      <xdr:col>0</xdr:col>
      <xdr:colOff>133350</xdr:colOff>
      <xdr:row>125</xdr:row>
      <xdr:rowOff>66675</xdr:rowOff>
    </xdr:from>
    <xdr:to>
      <xdr:col>3</xdr:col>
      <xdr:colOff>2647950</xdr:colOff>
      <xdr:row>131</xdr:row>
      <xdr:rowOff>152400</xdr:rowOff>
    </xdr:to>
    <xdr:sp macro="" textlink="">
      <xdr:nvSpPr>
        <xdr:cNvPr id="13" name="TextBox 12"/>
        <xdr:cNvSpPr txBox="1"/>
      </xdr:nvSpPr>
      <xdr:spPr>
        <a:xfrm>
          <a:off x="133350" y="25079325"/>
          <a:ext cx="9591675"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5b.i (Consortial serial titles currently received but not purchased):</a:t>
          </a:r>
        </a:p>
        <a:p>
          <a:endParaRPr lang="en-US" sz="1100"/>
        </a:p>
        <a:p>
          <a:r>
            <a:rPr lang="en-US" sz="1100"/>
            <a:t>Perform</a:t>
          </a:r>
          <a:r>
            <a:rPr lang="en-US" sz="1100" baseline="0"/>
            <a:t> a Serials Solutions overlap analysis on the RI State Database Trial databases only. Take "Title Unique" = 7,040</a:t>
          </a:r>
        </a:p>
        <a:p>
          <a:endParaRPr lang="en-US" sz="1100" baseline="0"/>
        </a:p>
        <a:p>
          <a:r>
            <a:rPr lang="en-US" sz="1100" baseline="0"/>
            <a:t>Note: These aren't necessarily entirely different titles than in 5a.i. So total unique titles accessed by URI will actually be a smaller number than the total of all of Question 5, but there is no practical way to de-duplicate 5a.i. and 5b.i.</a:t>
          </a:r>
          <a:endParaRPr lang="en-US" sz="1100"/>
        </a:p>
      </xdr:txBody>
    </xdr:sp>
    <xdr:clientData/>
  </xdr:twoCellAnchor>
  <xdr:twoCellAnchor>
    <xdr:from>
      <xdr:col>0</xdr:col>
      <xdr:colOff>133350</xdr:colOff>
      <xdr:row>132</xdr:row>
      <xdr:rowOff>47624</xdr:rowOff>
    </xdr:from>
    <xdr:to>
      <xdr:col>3</xdr:col>
      <xdr:colOff>2647950</xdr:colOff>
      <xdr:row>148</xdr:row>
      <xdr:rowOff>76200</xdr:rowOff>
    </xdr:to>
    <xdr:sp macro="" textlink="">
      <xdr:nvSpPr>
        <xdr:cNvPr id="14" name="TextBox 13"/>
        <xdr:cNvSpPr txBox="1"/>
      </xdr:nvSpPr>
      <xdr:spPr>
        <a:xfrm>
          <a:off x="133350" y="26393774"/>
          <a:ext cx="9591675" cy="307657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5b.ii</a:t>
          </a:r>
          <a:r>
            <a:rPr lang="en-US" sz="1100" baseline="0"/>
            <a:t> (Freely accessible online titles currently received but not purchased):</a:t>
          </a:r>
        </a:p>
        <a:p>
          <a:endParaRPr lang="en-US" sz="1100" baseline="0"/>
        </a:p>
        <a:p>
          <a:r>
            <a:rPr lang="en-US" sz="1100" baseline="0"/>
            <a:t>1. Use Serials Solutions Overlap Analysis. DE-select 1) anything that is paid for, 2) government publications, 3) state-wide database subscriptions. Take "Title Unique."</a:t>
          </a:r>
        </a:p>
        <a:p>
          <a:endParaRPr lang="en-US" sz="1100" baseline="0"/>
        </a:p>
        <a:p>
          <a:r>
            <a:rPr lang="en-US" b="1"/>
            <a:t>Title Unique   19,525 </a:t>
          </a:r>
        </a:p>
        <a:p>
          <a:r>
            <a:rPr lang="en-US"/>
            <a:t>Holding Unique   1,032 </a:t>
          </a:r>
        </a:p>
        <a:p>
          <a:r>
            <a:rPr lang="en-US"/>
            <a:t>Total Unique   20,557 </a:t>
          </a:r>
        </a:p>
        <a:p>
          <a:r>
            <a:rPr lang="en-US"/>
            <a:t>Full Holding Overlap   4,874 </a:t>
          </a:r>
        </a:p>
        <a:p>
          <a:r>
            <a:rPr lang="en-US"/>
            <a:t>Partial Holding Overlap   1,270 </a:t>
          </a:r>
        </a:p>
        <a:p>
          <a:r>
            <a:rPr lang="en-US"/>
            <a:t>Total Holding Overlap   6,144 </a:t>
          </a:r>
        </a:p>
        <a:p>
          <a:r>
            <a:rPr lang="en-US"/>
            <a:t>Title Overlap   43 </a:t>
          </a:r>
        </a:p>
        <a:p>
          <a:r>
            <a:rPr lang="en-US"/>
            <a:t>Total   26,744 </a:t>
          </a:r>
        </a:p>
        <a:p>
          <a:r>
            <a:rPr lang="en-US"/>
            <a:t>Percent Full Overlap   18.2 </a:t>
          </a:r>
        </a:p>
        <a:p>
          <a:r>
            <a:rPr lang="en-US"/>
            <a:t>Percent Unique   76.9</a:t>
          </a:r>
          <a:endParaRPr lang="en-US" sz="1100" baseline="0"/>
        </a:p>
        <a:p>
          <a:endParaRPr lang="en-US" sz="1100" baseline="0"/>
        </a:p>
        <a:p>
          <a:r>
            <a:rPr lang="en-US" sz="1100" baseline="0"/>
            <a:t>Note: This method is imperfect, because some free titles are open-access backfiles, but we also subscribe to the current issue. The title will therefore be included in 5a.i and 5b.ii.</a:t>
          </a:r>
          <a:endParaRPr lang="en-US" sz="1100"/>
        </a:p>
      </xdr:txBody>
    </xdr:sp>
    <xdr:clientData/>
  </xdr:twoCellAnchor>
  <xdr:twoCellAnchor>
    <xdr:from>
      <xdr:col>0</xdr:col>
      <xdr:colOff>152400</xdr:colOff>
      <xdr:row>170</xdr:row>
      <xdr:rowOff>9526</xdr:rowOff>
    </xdr:from>
    <xdr:to>
      <xdr:col>3</xdr:col>
      <xdr:colOff>2286000</xdr:colOff>
      <xdr:row>174</xdr:row>
      <xdr:rowOff>95250</xdr:rowOff>
    </xdr:to>
    <xdr:sp macro="" textlink="">
      <xdr:nvSpPr>
        <xdr:cNvPr id="15" name="TextBox 14"/>
        <xdr:cNvSpPr txBox="1"/>
      </xdr:nvSpPr>
      <xdr:spPr>
        <a:xfrm>
          <a:off x="152400" y="33108901"/>
          <a:ext cx="9210675" cy="733424"/>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7:</a:t>
          </a:r>
        </a:p>
        <a:p>
          <a:endParaRPr lang="en-US" sz="1100"/>
        </a:p>
        <a:p>
          <a:r>
            <a:rPr lang="en-US" sz="1100"/>
            <a:t>Consult</a:t>
          </a:r>
          <a:r>
            <a:rPr lang="en-US" sz="1100" baseline="0"/>
            <a:t> serials productivity statistics for total microforms checked in by Acquisitions.</a:t>
          </a:r>
          <a:endParaRPr lang="en-US" sz="1100"/>
        </a:p>
      </xdr:txBody>
    </xdr:sp>
    <xdr:clientData/>
  </xdr:twoCellAnchor>
  <xdr:twoCellAnchor>
    <xdr:from>
      <xdr:col>0</xdr:col>
      <xdr:colOff>142875</xdr:colOff>
      <xdr:row>148</xdr:row>
      <xdr:rowOff>123825</xdr:rowOff>
    </xdr:from>
    <xdr:to>
      <xdr:col>3</xdr:col>
      <xdr:colOff>2266950</xdr:colOff>
      <xdr:row>169</xdr:row>
      <xdr:rowOff>104775</xdr:rowOff>
    </xdr:to>
    <xdr:sp macro="" textlink="">
      <xdr:nvSpPr>
        <xdr:cNvPr id="16" name="TextBox 15"/>
        <xdr:cNvSpPr txBox="1"/>
      </xdr:nvSpPr>
      <xdr:spPr>
        <a:xfrm>
          <a:off x="142875" y="29517975"/>
          <a:ext cx="9201150" cy="35242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5b. iii (</a:t>
          </a:r>
          <a:r>
            <a:rPr lang="en-US" sz="1100" baseline="0"/>
            <a:t>Exchanges, gifts, etc.  serial titles currently received but not purchased):</a:t>
          </a:r>
        </a:p>
        <a:p>
          <a:endParaRPr lang="en-US" sz="1100" baseline="0"/>
        </a:p>
        <a:p>
          <a:r>
            <a:rPr lang="en-US" sz="1100"/>
            <a:t>Note: DOES NOT include Govt.</a:t>
          </a:r>
          <a:r>
            <a:rPr lang="en-US" sz="1100" baseline="0"/>
            <a:t> Pubs.</a:t>
          </a:r>
        </a:p>
        <a:p>
          <a:endParaRPr lang="en-US" sz="1100" baseline="0"/>
        </a:p>
        <a:p>
          <a:r>
            <a:rPr lang="en-US" sz="1100" baseline="0"/>
            <a:t>1. Create a review file of checkin records. </a:t>
          </a:r>
        </a:p>
        <a:p>
          <a:r>
            <a:rPr lang="en-US" sz="1100" baseline="0"/>
            <a:t>Biblvl = serial or integrating resource.</a:t>
          </a:r>
        </a:p>
        <a:p>
          <a:r>
            <a:rPr lang="en-US" sz="1100" baseline="0"/>
            <a:t>Location starts with RIU.</a:t>
          </a:r>
        </a:p>
        <a:p>
          <a:r>
            <a:rPr lang="en-US" sz="1100" baseline="0"/>
            <a:t>Checkin card exists .</a:t>
          </a:r>
        </a:p>
        <a:p>
          <a:r>
            <a:rPr lang="en-US" sz="1100" baseline="0"/>
            <a:t>SCODE 3 = active.</a:t>
          </a:r>
        </a:p>
        <a:p>
          <a:r>
            <a:rPr lang="en-US" sz="1100" baseline="0"/>
            <a:t>SCODE1 = 4 (exchange) or 5 (gift).</a:t>
          </a:r>
        </a:p>
        <a:p>
          <a:endParaRPr lang="en-US" sz="1100" baseline="0"/>
        </a:p>
        <a:p>
          <a:r>
            <a:rPr lang="en-US" sz="1100" baseline="0"/>
            <a:t>Like so:</a:t>
          </a:r>
        </a:p>
        <a:p>
          <a:endParaRPr lang="en-US" sz="1100"/>
        </a:p>
        <a:p>
          <a:r>
            <a:rPr lang="en-US" sz="1100"/>
            <a:t>(BIBLIOGRAPHIC  BIB LVL  equal to  "s"    OR BIBLIOGRAPHIC  BIB LVL  equal to  "i")    AND CHECKIN  LOCATION  starts with  "riu"    AND CHECKIN  CKIN INFO  exist      AND CHECKIN  SCODE3  equal to  "a"    AND (CHECKIN  SCODE1  equal to  "4"    OR CHECKIN  SCODE1  equal to  "5")</a:t>
          </a:r>
        </a:p>
        <a:p>
          <a:endParaRPr lang="en-US" sz="1100"/>
        </a:p>
        <a:p>
          <a:r>
            <a:rPr lang="en-US" sz="1100"/>
            <a:t>Note: CKIN</a:t>
          </a:r>
          <a:r>
            <a:rPr lang="en-US" sz="1100" baseline="0"/>
            <a:t> INFO means the "checkin card" in Millennium. Do not use "CHECK-IN" which is used in character-based format only.</a:t>
          </a:r>
        </a:p>
        <a:p>
          <a:endParaRPr lang="en-US" sz="1100" baseline="0"/>
        </a:p>
        <a:p>
          <a:r>
            <a:rPr lang="en-US" sz="1100" baseline="0"/>
            <a:t>Take the total number of records:  53</a:t>
          </a:r>
          <a:endParaRPr lang="en-US" sz="1100"/>
        </a:p>
      </xdr:txBody>
    </xdr:sp>
    <xdr:clientData/>
  </xdr:twoCellAnchor>
  <xdr:twoCellAnchor>
    <xdr:from>
      <xdr:col>0</xdr:col>
      <xdr:colOff>95250</xdr:colOff>
      <xdr:row>66</xdr:row>
      <xdr:rowOff>114300</xdr:rowOff>
    </xdr:from>
    <xdr:to>
      <xdr:col>3</xdr:col>
      <xdr:colOff>2714625</xdr:colOff>
      <xdr:row>81</xdr:row>
      <xdr:rowOff>142875</xdr:rowOff>
    </xdr:to>
    <xdr:sp macro="" textlink="">
      <xdr:nvSpPr>
        <xdr:cNvPr id="18" name="Text Box 4"/>
        <xdr:cNvSpPr txBox="1">
          <a:spLocks noChangeArrowheads="1"/>
        </xdr:cNvSpPr>
      </xdr:nvSpPr>
      <xdr:spPr bwMode="auto">
        <a:xfrm>
          <a:off x="95250" y="13887450"/>
          <a:ext cx="9696450" cy="28860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2</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Find</a:t>
          </a:r>
          <a:r>
            <a:rPr lang="en-US" sz="1100" baseline="0">
              <a:solidFill>
                <a:schemeClr val="dk1"/>
              </a:solidFill>
              <a:latin typeface="+mn-lt"/>
              <a:ea typeface="+mn-ea"/>
              <a:cs typeface="+mn-cs"/>
            </a:rPr>
            <a:t> a large review file in Millennium, with 125,000 records. Execute the following search:</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i="1">
              <a:solidFill>
                <a:schemeClr val="dk1"/>
              </a:solidFill>
              <a:latin typeface="+mn-lt"/>
              <a:ea typeface="+mn-ea"/>
              <a:cs typeface="+mn-cs"/>
            </a:rPr>
            <a:t>BIBLIOGRAPHIC LOCATION has "URI" AND BIBLIOGRAPHIC</a:t>
          </a:r>
          <a:r>
            <a:rPr lang="en-US" sz="1100" i="1" baseline="0">
              <a:solidFill>
                <a:schemeClr val="dk1"/>
              </a:solidFill>
              <a:latin typeface="+mn-lt"/>
              <a:ea typeface="+mn-ea"/>
              <a:cs typeface="+mn-cs"/>
            </a:rPr>
            <a:t> BCODE3 not equal to "n" AND BIBLIOGRAPHIC OCLC # matches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Take the total count that results and write</a:t>
          </a:r>
          <a:r>
            <a:rPr lang="en-US" sz="1100" baseline="0">
              <a:solidFill>
                <a:schemeClr val="dk1"/>
              </a:solidFill>
              <a:latin typeface="+mn-lt"/>
              <a:ea typeface="+mn-ea"/>
              <a:cs typeface="+mn-cs"/>
            </a:rPr>
            <a:t> it down. Run the list again, basing the starting bib number on the final bib number from the last list as follows: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0" baseline="0">
              <a:solidFill>
                <a:schemeClr val="dk1"/>
              </a:solidFill>
              <a:latin typeface="+mn-lt"/>
              <a:ea typeface="+mn-ea"/>
              <a:cs typeface="+mn-cs"/>
            </a:rPr>
            <a:t>b145437</a:t>
          </a:r>
          <a:r>
            <a:rPr lang="en-US" sz="1100" b="1" baseline="0">
              <a:solidFill>
                <a:schemeClr val="dk1"/>
              </a:solidFill>
              <a:latin typeface="+mn-lt"/>
              <a:ea typeface="+mn-ea"/>
              <a:cs typeface="+mn-cs"/>
            </a:rPr>
            <a:t>7</a:t>
          </a:r>
          <a:r>
            <a:rPr lang="en-US" sz="1100" b="0" baseline="0">
              <a:solidFill>
                <a:schemeClr val="dk1"/>
              </a:solidFill>
              <a:latin typeface="+mn-lt"/>
              <a:ea typeface="+mn-ea"/>
              <a:cs typeface="+mn-cs"/>
            </a:rPr>
            <a:t>1 add "1" and an "a" so it becomes b145437</a:t>
          </a:r>
          <a:r>
            <a:rPr lang="en-US" sz="1100" b="1" baseline="0">
              <a:solidFill>
                <a:schemeClr val="dk1"/>
              </a:solidFill>
              <a:latin typeface="+mn-lt"/>
              <a:ea typeface="+mn-ea"/>
              <a:cs typeface="+mn-cs"/>
            </a:rPr>
            <a:t>8a</a:t>
          </a:r>
          <a:r>
            <a:rPr lang="en-US" sz="1100" b="0" baseline="0">
              <a:solidFill>
                <a:schemeClr val="dk1"/>
              </a:solidFill>
              <a:latin typeface="+mn-lt"/>
              <a:ea typeface="+mn-ea"/>
              <a:cs typeface="+mn-cs"/>
            </a:rPr>
            <a:t>. If there is a "9" in the second to last digit, do as follows: b261097</a:t>
          </a:r>
          <a:r>
            <a:rPr lang="en-US" sz="1100" b="1" baseline="0">
              <a:solidFill>
                <a:schemeClr val="dk1"/>
              </a:solidFill>
              <a:latin typeface="+mn-lt"/>
              <a:ea typeface="+mn-ea"/>
              <a:cs typeface="+mn-cs"/>
            </a:rPr>
            <a:t>9</a:t>
          </a:r>
          <a:r>
            <a:rPr lang="en-US" sz="1100" b="0" baseline="0">
              <a:solidFill>
                <a:schemeClr val="dk1"/>
              </a:solidFill>
              <a:latin typeface="+mn-lt"/>
              <a:ea typeface="+mn-ea"/>
              <a:cs typeface="+mn-cs"/>
            </a:rPr>
            <a:t>7 becomes b26109</a:t>
          </a:r>
          <a:r>
            <a:rPr lang="en-US" sz="1100" b="1" baseline="0">
              <a:solidFill>
                <a:schemeClr val="dk1"/>
              </a:solidFill>
              <a:latin typeface="+mn-lt"/>
              <a:ea typeface="+mn-ea"/>
              <a:cs typeface="+mn-cs"/>
            </a:rPr>
            <a:t>80a</a:t>
          </a:r>
          <a:r>
            <a:rPr lang="en-US" sz="1100" b="0" baseline="0">
              <a:solidFill>
                <a:schemeClr val="dk1"/>
              </a:solidFill>
              <a:latin typeface="+mn-lt"/>
              <a:ea typeface="+mn-ea"/>
              <a:cs typeface="+mn-cs"/>
            </a:rPr>
            <a:t>.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This strategy will include e-books, serials solutions records, MARCIVE records, and the holdings of the branches. There is no way to exclude the branches, because by </a:t>
          </a:r>
        </a:p>
        <a:p>
          <a:pPr marL="0" indent="0" algn="l" rtl="1">
            <a:defRPr sz="1000"/>
          </a:pPr>
          <a:r>
            <a:rPr lang="en-US" sz="1100">
              <a:solidFill>
                <a:schemeClr val="dk1"/>
              </a:solidFill>
              <a:latin typeface="+mn-lt"/>
              <a:ea typeface="+mn-ea"/>
              <a:cs typeface="+mn-cs"/>
            </a:rPr>
            <a:t>excluding a</a:t>
          </a:r>
          <a:r>
            <a:rPr lang="en-US" sz="1100" baseline="0">
              <a:solidFill>
                <a:schemeClr val="dk1"/>
              </a:solidFill>
              <a:latin typeface="+mn-lt"/>
              <a:ea typeface="+mn-ea"/>
              <a:cs typeface="+mn-cs"/>
            </a:rPr>
            <a:t> book at a branch, you'd be excluding the same book if it was held at URI. Per Martha Sanders.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For 2009/10, I ran the list 8 full times (8 x 125,000 = 1,000,000) and a portion of a time with 19,978. This totals 1,019,978.</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Next year, to save time, I can start the new list with .b3495461a and then add the result to 1,000,000 obtained this year. </a:t>
          </a:r>
          <a:endParaRPr lang="en-US" sz="1100">
            <a:solidFill>
              <a:schemeClr val="dk1"/>
            </a:solidFill>
            <a:latin typeface="+mn-lt"/>
            <a:ea typeface="+mn-ea"/>
            <a:cs typeface="+mn-cs"/>
          </a:endParaRPr>
        </a:p>
      </xdr:txBody>
    </xdr:sp>
    <xdr:clientData/>
  </xdr:twoCellAnchor>
  <xdr:twoCellAnchor>
    <xdr:from>
      <xdr:col>0</xdr:col>
      <xdr:colOff>76200</xdr:colOff>
      <xdr:row>37</xdr:row>
      <xdr:rowOff>152399</xdr:rowOff>
    </xdr:from>
    <xdr:to>
      <xdr:col>3</xdr:col>
      <xdr:colOff>2695575</xdr:colOff>
      <xdr:row>56</xdr:row>
      <xdr:rowOff>0</xdr:rowOff>
    </xdr:to>
    <xdr:sp macro="" textlink="">
      <xdr:nvSpPr>
        <xdr:cNvPr id="19" name="Text Box 3"/>
        <xdr:cNvSpPr txBox="1">
          <a:spLocks noChangeArrowheads="1"/>
        </xdr:cNvSpPr>
      </xdr:nvSpPr>
      <xdr:spPr bwMode="auto">
        <a:xfrm>
          <a:off x="76200" y="8401049"/>
          <a:ext cx="9696450" cy="3467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1</a:t>
          </a:r>
        </a:p>
        <a:p>
          <a:pPr marL="0" indent="0" algn="l" rtl="1">
            <a:defRPr sz="1000"/>
          </a:pPr>
          <a:endParaRPr lang="en-US" sz="1100">
            <a:solidFill>
              <a:schemeClr val="dk1"/>
            </a:solidFill>
            <a:latin typeface="+mn-lt"/>
            <a:ea typeface="+mn-ea"/>
            <a:cs typeface="+mn-cs"/>
          </a:endParaRPr>
        </a:p>
        <a:p>
          <a:r>
            <a:rPr lang="en-US" sz="1100">
              <a:solidFill>
                <a:schemeClr val="dk1"/>
              </a:solidFill>
              <a:latin typeface="+mn-lt"/>
              <a:ea typeface="+mn-ea"/>
              <a:cs typeface="+mn-cs"/>
            </a:rPr>
            <a:t>"</a:t>
          </a:r>
          <a:r>
            <a:rPr lang="en-US" sz="1100" baseline="0" smtClean="0">
              <a:solidFill>
                <a:schemeClr val="dk1"/>
              </a:solidFill>
              <a:latin typeface="+mn-lt"/>
              <a:ea typeface="+mn-ea"/>
              <a:cs typeface="+mn-cs"/>
            </a:rPr>
            <a:t>Include e-book units, as long as these e-books are owned or leased and have been cataloged by your library.</a:t>
          </a:r>
        </a:p>
        <a:p>
          <a:r>
            <a:rPr lang="en-US" sz="1100" baseline="0" smtClean="0">
              <a:solidFill>
                <a:schemeClr val="dk1"/>
              </a:solidFill>
              <a:latin typeface="+mn-lt"/>
              <a:ea typeface="+mn-ea"/>
              <a:cs typeface="+mn-cs"/>
            </a:rPr>
            <a:t>Include electronic books purchased through vendors such as NetLibrary® or Books 24x7, and e-books that come</a:t>
          </a:r>
        </a:p>
        <a:p>
          <a:r>
            <a:rPr lang="en-US" sz="1100" baseline="0" smtClean="0">
              <a:solidFill>
                <a:schemeClr val="dk1"/>
              </a:solidFill>
              <a:latin typeface="+mn-lt"/>
              <a:ea typeface="+mn-ea"/>
              <a:cs typeface="+mn-cs"/>
            </a:rPr>
            <a:t>as part of aggregate services. Include individual titles of e-book sets that are treated as individual reference</a:t>
          </a:r>
        </a:p>
        <a:p>
          <a:r>
            <a:rPr lang="en-US" sz="1100" baseline="0" smtClean="0">
              <a:solidFill>
                <a:schemeClr val="dk1"/>
              </a:solidFill>
              <a:latin typeface="+mn-lt"/>
              <a:ea typeface="+mn-ea"/>
              <a:cs typeface="+mn-cs"/>
            </a:rPr>
            <a:t>sources. Include locally digitized electronic books and electronic theses and dissertations. Provide a footnote</a:t>
          </a:r>
        </a:p>
        <a:p>
          <a:r>
            <a:rPr lang="en-US" sz="1100" baseline="0" smtClean="0">
              <a:solidFill>
                <a:schemeClr val="dk1"/>
              </a:solidFill>
              <a:latin typeface="+mn-lt"/>
              <a:ea typeface="+mn-ea"/>
              <a:cs typeface="+mn-cs"/>
            </a:rPr>
            <a:t>explaining how many e-books you are reporting, preferably by specifying the products and the number of titles</a:t>
          </a:r>
        </a:p>
        <a:p>
          <a:r>
            <a:rPr lang="en-US" sz="1100" baseline="0" smtClean="0">
              <a:solidFill>
                <a:schemeClr val="dk1"/>
              </a:solidFill>
              <a:latin typeface="+mn-lt"/>
              <a:ea typeface="+mn-ea"/>
              <a:cs typeface="+mn-cs"/>
            </a:rPr>
            <a:t>in a note."</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ACRL</a:t>
          </a:r>
          <a:r>
            <a:rPr lang="en-US" sz="1100" baseline="0">
              <a:solidFill>
                <a:schemeClr val="dk1"/>
              </a:solidFill>
              <a:latin typeface="+mn-lt"/>
              <a:ea typeface="+mn-ea"/>
              <a:cs typeface="+mn-cs"/>
            </a:rPr>
            <a:t> does not want large collections added as the result of a one-time download included in "1.b.i. Volumes Added - Gross".  (See box below.) Examples of this would be large e-book packages or sets of government document records. They state, "Include these items in Volumes Held of the previous year (Line 1a) and provide a footnote explaining the revision of line 1a."</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This year, for the first time, we estimated our total number of e-books already cataloged. See question 45. This year, one time only, they should be added to the total of "Volumes held June 30, 2009" with the following foodnote: "E-books not previously counted have been added to Volumes Held. The number of e-books added totals </a:t>
          </a:r>
        </a:p>
        <a:p>
          <a:pPr marL="0" indent="0" algn="l" rtl="1">
            <a:defRPr sz="1000"/>
          </a:pPr>
          <a:r>
            <a:rPr lang="en-US" sz="1100" baseline="0">
              <a:solidFill>
                <a:schemeClr val="dk1"/>
              </a:solidFill>
              <a:latin typeface="+mn-lt"/>
              <a:ea typeface="+mn-ea"/>
              <a:cs typeface="+mn-cs"/>
            </a:rPr>
            <a:t>50,098, of which 4,480 are NetLibrary titles, 44,573 are Government Publications, and 1,045 are miscellaneous."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Note to self: Even if no large e-book collections have been purchased and loaded, I might not be aware of record sets purchased, say, by Government Publications. Next year, compare the e-book total above with the new total, and consider updating Volumes Held Line 1a again, with another footnote. </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38100</xdr:colOff>
      <xdr:row>19</xdr:row>
      <xdr:rowOff>38100</xdr:rowOff>
    </xdr:from>
    <xdr:to>
      <xdr:col>3</xdr:col>
      <xdr:colOff>676275</xdr:colOff>
      <xdr:row>23</xdr:row>
      <xdr:rowOff>57150</xdr:rowOff>
    </xdr:to>
    <xdr:sp macro="" textlink="">
      <xdr:nvSpPr>
        <xdr:cNvPr id="9" name="TextBox 8"/>
        <xdr:cNvSpPr txBox="1"/>
      </xdr:nvSpPr>
      <xdr:spPr>
        <a:xfrm>
          <a:off x="38100" y="2571750"/>
          <a:ext cx="7648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Main</a:t>
          </a:r>
          <a:r>
            <a:rPr lang="en-US" sz="1100" baseline="0"/>
            <a:t> campus (Kingston) only.</a:t>
          </a:r>
        </a:p>
        <a:p>
          <a:r>
            <a:rPr lang="en-US" sz="1100" baseline="0"/>
            <a:t>Include expenditures using funds from regular institutional budget and ALSO grants, special projects, gifts, and endowments.</a:t>
          </a:r>
        </a:p>
        <a:p>
          <a:r>
            <a:rPr lang="en-US" sz="1100" baseline="0"/>
            <a:t>Do not report encumbrances.</a:t>
          </a:r>
          <a:endParaRPr lang="en-US" sz="1100"/>
        </a:p>
      </xdr:txBody>
    </xdr:sp>
    <xdr:clientData/>
  </xdr:twoCellAnchor>
  <xdr:twoCellAnchor>
    <xdr:from>
      <xdr:col>0</xdr:col>
      <xdr:colOff>47625</xdr:colOff>
      <xdr:row>23</xdr:row>
      <xdr:rowOff>133351</xdr:rowOff>
    </xdr:from>
    <xdr:to>
      <xdr:col>3</xdr:col>
      <xdr:colOff>1819275</xdr:colOff>
      <xdr:row>35</xdr:row>
      <xdr:rowOff>66675</xdr:rowOff>
    </xdr:to>
    <xdr:sp macro="" textlink="">
      <xdr:nvSpPr>
        <xdr:cNvPr id="10" name="TextBox 9"/>
        <xdr:cNvSpPr txBox="1"/>
      </xdr:nvSpPr>
      <xdr:spPr>
        <a:xfrm>
          <a:off x="47625" y="4572001"/>
          <a:ext cx="8782050" cy="2219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16a (Monographs)</a:t>
          </a:r>
        </a:p>
        <a:p>
          <a:endParaRPr lang="en-US" sz="1100"/>
        </a:p>
        <a:p>
          <a:r>
            <a:rPr lang="en-US" sz="1100"/>
            <a:t>1. Take total amount spent in monographic funds for fiscal close. (Firm orders, standing orders, approvals) = $152,135.66 + $27,708.57 + $149,863.36 = $329,707.59.</a:t>
          </a:r>
        </a:p>
        <a:p>
          <a:endParaRPr lang="en-US" sz="1100"/>
        </a:p>
        <a:p>
          <a:r>
            <a:rPr lang="en-US" sz="1100"/>
            <a:t>2. Subtract media expenses (from media firm order fund) : $7,193.04.</a:t>
          </a:r>
        </a:p>
        <a:p>
          <a:endParaRPr lang="en-US" sz="1100"/>
        </a:p>
        <a:p>
          <a:r>
            <a:rPr lang="en-US" sz="1100"/>
            <a:t>3. Add in amount</a:t>
          </a:r>
          <a:r>
            <a:rPr lang="en-US" sz="1100" baseline="0"/>
            <a:t> spent on monographs from endowment funds : $3,810.68</a:t>
          </a:r>
        </a:p>
        <a:p>
          <a:endParaRPr lang="en-US" sz="1100" baseline="0"/>
        </a:p>
        <a:p>
          <a:r>
            <a:rPr lang="en-US" sz="1100" baseline="0"/>
            <a:t>4. Add in any amount spent on purchase of e-books from serial /HELIN funds: $2,970.75</a:t>
          </a:r>
        </a:p>
        <a:p>
          <a:endParaRPr lang="en-US" sz="1100" baseline="0"/>
        </a:p>
        <a:p>
          <a:r>
            <a:rPr lang="en-US" sz="1100" baseline="0"/>
            <a:t>So, $329,707.59 - $7,193.04 + $3,810.68 + 2,970.75 = $329,295.98 = $329,296.</a:t>
          </a:r>
        </a:p>
      </xdr:txBody>
    </xdr:sp>
    <xdr:clientData/>
  </xdr:twoCellAnchor>
  <xdr:twoCellAnchor>
    <xdr:from>
      <xdr:col>0</xdr:col>
      <xdr:colOff>85725</xdr:colOff>
      <xdr:row>35</xdr:row>
      <xdr:rowOff>123825</xdr:rowOff>
    </xdr:from>
    <xdr:to>
      <xdr:col>3</xdr:col>
      <xdr:colOff>1847850</xdr:colOff>
      <xdr:row>47</xdr:row>
      <xdr:rowOff>19050</xdr:rowOff>
    </xdr:to>
    <xdr:sp macro="" textlink="">
      <xdr:nvSpPr>
        <xdr:cNvPr id="11" name="TextBox 10"/>
        <xdr:cNvSpPr txBox="1"/>
      </xdr:nvSpPr>
      <xdr:spPr>
        <a:xfrm>
          <a:off x="85725" y="7038975"/>
          <a:ext cx="8772525" cy="218122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16b (Serial titles,</a:t>
          </a:r>
          <a:r>
            <a:rPr lang="en-US" sz="1100" baseline="0"/>
            <a:t> including periodicals)</a:t>
          </a:r>
        </a:p>
        <a:p>
          <a:endParaRPr lang="en-US" sz="1100" baseline="0"/>
        </a:p>
        <a:p>
          <a:r>
            <a:rPr lang="en-US" sz="1100" baseline="0"/>
            <a:t>1. Take total amount spent from Serials Unit annual report. Do not include (or subtract) backfiles or other one-time expenditures for archival serial material. Subtract any amount spent on purchase of e-books from serial/HELIN funds. Include endowment spending. </a:t>
          </a:r>
        </a:p>
        <a:p>
          <a:endParaRPr lang="en-US" sz="1100" baseline="0"/>
        </a:p>
        <a:p>
          <a:r>
            <a:rPr lang="en-US" sz="1100" baseline="0"/>
            <a:t>Kingston serials: $2,748,792.16</a:t>
          </a:r>
        </a:p>
        <a:p>
          <a:r>
            <a:rPr lang="en-US" sz="1100" baseline="0"/>
            <a:t>Kingston endowment serials: $14,178.49</a:t>
          </a:r>
        </a:p>
        <a:p>
          <a:r>
            <a:rPr lang="en-US" sz="1100" baseline="0"/>
            <a:t>Subtract amount spent on backfiles: $184,105.64</a:t>
          </a:r>
        </a:p>
        <a:p>
          <a:r>
            <a:rPr lang="en-US" sz="1100" baseline="0"/>
            <a:t>Subtract HELIN membership: $60,943.53</a:t>
          </a:r>
        </a:p>
        <a:p>
          <a:r>
            <a:rPr lang="en-US" sz="1100" baseline="0"/>
            <a:t>Subtract e-book purchase through HELIN: $2,970.75</a:t>
          </a:r>
        </a:p>
        <a:p>
          <a:endParaRPr lang="en-US" sz="1100" baseline="0"/>
        </a:p>
        <a:p>
          <a:r>
            <a:rPr lang="en-US" sz="1100" baseline="0"/>
            <a:t>TOTAL: $2,514,950.73 = $2,514,951</a:t>
          </a:r>
          <a:endParaRPr lang="en-US" sz="1100"/>
        </a:p>
      </xdr:txBody>
    </xdr:sp>
    <xdr:clientData/>
  </xdr:twoCellAnchor>
  <xdr:twoCellAnchor>
    <xdr:from>
      <xdr:col>0</xdr:col>
      <xdr:colOff>104775</xdr:colOff>
      <xdr:row>47</xdr:row>
      <xdr:rowOff>95250</xdr:rowOff>
    </xdr:from>
    <xdr:to>
      <xdr:col>3</xdr:col>
      <xdr:colOff>1857375</xdr:colOff>
      <xdr:row>55</xdr:row>
      <xdr:rowOff>95250</xdr:rowOff>
    </xdr:to>
    <xdr:sp macro="" textlink="">
      <xdr:nvSpPr>
        <xdr:cNvPr id="12" name="TextBox 11"/>
        <xdr:cNvSpPr txBox="1"/>
      </xdr:nvSpPr>
      <xdr:spPr>
        <a:xfrm>
          <a:off x="104775" y="9296400"/>
          <a:ext cx="8763000" cy="15240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16c (Other Library Materials)</a:t>
          </a:r>
        </a:p>
        <a:p>
          <a:endParaRPr lang="en-US" sz="1100"/>
        </a:p>
        <a:p>
          <a:r>
            <a:rPr lang="en-US" sz="1100"/>
            <a:t>For materials not reported in 15a or 15b, e.g. backfiles</a:t>
          </a:r>
          <a:r>
            <a:rPr lang="en-US" sz="1100" baseline="0"/>
            <a:t> of serials, audiovisual materials, manuscripts, etc.</a:t>
          </a:r>
        </a:p>
        <a:p>
          <a:endParaRPr lang="en-US" sz="1100" baseline="0"/>
        </a:p>
        <a:p>
          <a:r>
            <a:rPr lang="en-US" sz="1100" baseline="0"/>
            <a:t>1. Take total value of backfiles purchased during the year: $184,105.64</a:t>
          </a:r>
        </a:p>
        <a:p>
          <a:r>
            <a:rPr lang="en-US" sz="1100" baseline="0"/>
            <a:t>2. Add amount spent on AV materials from media firm order fund: $</a:t>
          </a:r>
          <a:r>
            <a:rPr lang="en-US" sz="1100">
              <a:solidFill>
                <a:schemeClr val="dk1"/>
              </a:solidFill>
              <a:latin typeface="+mn-lt"/>
              <a:ea typeface="+mn-ea"/>
              <a:cs typeface="+mn-cs"/>
            </a:rPr>
            <a:t>7,193.04</a:t>
          </a:r>
          <a:endParaRPr lang="en-US" sz="1100" baseline="0"/>
        </a:p>
        <a:p>
          <a:endParaRPr lang="en-US" sz="1100" baseline="0"/>
        </a:p>
        <a:p>
          <a:r>
            <a:rPr lang="en-US" sz="1100" baseline="0"/>
            <a:t>Total: $191,298.88</a:t>
          </a:r>
          <a:endParaRPr lang="en-US" sz="1100"/>
        </a:p>
      </xdr:txBody>
    </xdr:sp>
    <xdr:clientData/>
  </xdr:twoCellAnchor>
  <xdr:twoCellAnchor>
    <xdr:from>
      <xdr:col>0</xdr:col>
      <xdr:colOff>123825</xdr:colOff>
      <xdr:row>56</xdr:row>
      <xdr:rowOff>0</xdr:rowOff>
    </xdr:from>
    <xdr:to>
      <xdr:col>3</xdr:col>
      <xdr:colOff>1885950</xdr:colOff>
      <xdr:row>63</xdr:row>
      <xdr:rowOff>95250</xdr:rowOff>
    </xdr:to>
    <xdr:sp macro="" textlink="">
      <xdr:nvSpPr>
        <xdr:cNvPr id="13" name="TextBox 12"/>
        <xdr:cNvSpPr txBox="1"/>
      </xdr:nvSpPr>
      <xdr:spPr>
        <a:xfrm>
          <a:off x="123825" y="10915650"/>
          <a:ext cx="8772525" cy="14287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16d (Miscellaneous)</a:t>
          </a:r>
        </a:p>
        <a:p>
          <a:endParaRPr lang="en-US" sz="1100"/>
        </a:p>
        <a:p>
          <a:r>
            <a:rPr lang="en-US" sz="1100"/>
            <a:t>Include</a:t>
          </a:r>
          <a:r>
            <a:rPr lang="en-US" sz="1100" baseline="0"/>
            <a:t> any other </a:t>
          </a:r>
          <a:r>
            <a:rPr lang="en-US" sz="1100" b="1" baseline="0"/>
            <a:t>materials funds expenditures </a:t>
          </a:r>
          <a:r>
            <a:rPr lang="en-US" sz="1100" baseline="0"/>
            <a:t>not included in questions 15.a-c, e.g. expenditues for bibliographic utilities, literature searching, security devicdes, memberships for the purposes of publications, etc... Note: If your library does </a:t>
          </a:r>
          <a:r>
            <a:rPr lang="en-US" sz="1100" u="sng" baseline="0"/>
            <a:t>not</a:t>
          </a:r>
          <a:r>
            <a:rPr lang="en-US" sz="1100" baseline="0"/>
            <a:t> use materials funds for non-materials expenditures -- i.e. if those expenditures are included in "Other Operating Expenditures" -- report 0, not U/A.</a:t>
          </a:r>
        </a:p>
        <a:p>
          <a:endParaRPr lang="en-US" sz="1100" baseline="0"/>
        </a:p>
        <a:p>
          <a:r>
            <a:rPr lang="en-US" sz="1100" baseline="0"/>
            <a:t>Do not use this line for HELIN dues as of 2008/09. HELIN dues reported under "Other Operating Expenditures." </a:t>
          </a:r>
          <a:endParaRPr lang="en-US" sz="1100"/>
        </a:p>
      </xdr:txBody>
    </xdr:sp>
    <xdr:clientData/>
  </xdr:twoCellAnchor>
  <xdr:twoCellAnchor>
    <xdr:from>
      <xdr:col>0</xdr:col>
      <xdr:colOff>152400</xdr:colOff>
      <xdr:row>68</xdr:row>
      <xdr:rowOff>9525</xdr:rowOff>
    </xdr:from>
    <xdr:to>
      <xdr:col>3</xdr:col>
      <xdr:colOff>1895475</xdr:colOff>
      <xdr:row>76</xdr:row>
      <xdr:rowOff>28575</xdr:rowOff>
    </xdr:to>
    <xdr:sp macro="" textlink="">
      <xdr:nvSpPr>
        <xdr:cNvPr id="14" name="TextBox 13"/>
        <xdr:cNvSpPr txBox="1"/>
      </xdr:nvSpPr>
      <xdr:spPr>
        <a:xfrm>
          <a:off x="152400" y="13211175"/>
          <a:ext cx="8753475" cy="15144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22 (One-time electronic resource purchases)</a:t>
          </a:r>
        </a:p>
        <a:p>
          <a:endParaRPr lang="en-US" sz="1100"/>
        </a:p>
        <a:p>
          <a:r>
            <a:rPr lang="en-US" sz="1100"/>
            <a:t>1.</a:t>
          </a:r>
          <a:r>
            <a:rPr lang="en-US" sz="1100" baseline="0"/>
            <a:t> Take total value of backfiles purchased during the year: $</a:t>
          </a:r>
          <a:r>
            <a:rPr lang="en-US" sz="1100" baseline="0">
              <a:solidFill>
                <a:schemeClr val="dk1"/>
              </a:solidFill>
              <a:latin typeface="+mn-lt"/>
              <a:ea typeface="+mn-ea"/>
              <a:cs typeface="+mn-cs"/>
            </a:rPr>
            <a:t>184,105.64</a:t>
          </a:r>
        </a:p>
        <a:p>
          <a:r>
            <a:rPr lang="en-US" sz="1100" baseline="0">
              <a:solidFill>
                <a:schemeClr val="dk1"/>
              </a:solidFill>
              <a:latin typeface="+mn-lt"/>
              <a:ea typeface="+mn-ea"/>
              <a:cs typeface="+mn-cs"/>
            </a:rPr>
            <a:t>2. Take total of e-books purchased (not leased) during the year: $2,970.75 (Encyclopedia of Ocean Sciences, ed.2)</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TOTAL: $187,076.39</a:t>
          </a:r>
          <a:endParaRPr lang="en-US" sz="1100" baseline="0"/>
        </a:p>
        <a:p>
          <a:endParaRPr lang="en-US" sz="1100" baseline="0"/>
        </a:p>
        <a:p>
          <a:r>
            <a:rPr lang="en-US" sz="1100" baseline="0"/>
            <a:t>Note: This category includes all one-time electronic purchases that are part of the collections.</a:t>
          </a:r>
          <a:endParaRPr lang="en-US" sz="1100"/>
        </a:p>
      </xdr:txBody>
    </xdr:sp>
    <xdr:clientData/>
  </xdr:twoCellAnchor>
  <xdr:twoCellAnchor>
    <xdr:from>
      <xdr:col>0</xdr:col>
      <xdr:colOff>171450</xdr:colOff>
      <xdr:row>76</xdr:row>
      <xdr:rowOff>104775</xdr:rowOff>
    </xdr:from>
    <xdr:to>
      <xdr:col>3</xdr:col>
      <xdr:colOff>1905000</xdr:colOff>
      <xdr:row>87</xdr:row>
      <xdr:rowOff>76200</xdr:rowOff>
    </xdr:to>
    <xdr:sp macro="" textlink="">
      <xdr:nvSpPr>
        <xdr:cNvPr id="15" name="TextBox 14"/>
        <xdr:cNvSpPr txBox="1"/>
      </xdr:nvSpPr>
      <xdr:spPr>
        <a:xfrm>
          <a:off x="171450" y="14801850"/>
          <a:ext cx="8743950" cy="17526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23 (Ongoing</a:t>
          </a:r>
          <a:r>
            <a:rPr lang="en-US" sz="1100" baseline="0"/>
            <a:t> electronic resource purchases [e.g. subscriptions, annual license fees])</a:t>
          </a:r>
        </a:p>
        <a:p>
          <a:endParaRPr lang="en-US" sz="1100" baseline="0"/>
        </a:p>
        <a:p>
          <a:r>
            <a:rPr lang="en-US" sz="1100" baseline="0"/>
            <a:t>1. Consult Serials Unit Annual Report for serials expenditures by location. Take riuin: $2,521,444.75.</a:t>
          </a:r>
        </a:p>
        <a:p>
          <a:r>
            <a:rPr lang="en-US" sz="1100" baseline="0"/>
            <a:t>2. Add in any other electronic continuing purchases that might not be reflected in this number: $0.</a:t>
          </a:r>
        </a:p>
        <a:p>
          <a:r>
            <a:rPr lang="en-US" sz="1100" baseline="0"/>
            <a:t>3. Subtract value of one-time backfiles purchased during the year: $184,105.64.</a:t>
          </a:r>
        </a:p>
        <a:p>
          <a:r>
            <a:rPr lang="en-US" sz="1100" baseline="0"/>
            <a:t>4. Subtract </a:t>
          </a:r>
          <a:r>
            <a:rPr lang="en-US" sz="1100" baseline="0">
              <a:solidFill>
                <a:schemeClr val="dk1"/>
              </a:solidFill>
              <a:latin typeface="+mn-lt"/>
              <a:ea typeface="+mn-ea"/>
              <a:cs typeface="+mn-cs"/>
            </a:rPr>
            <a:t>any amount spent on purchase of e-books: $2,970.75</a:t>
          </a:r>
          <a:endParaRPr lang="en-US" sz="1100" baseline="0"/>
        </a:p>
        <a:p>
          <a:r>
            <a:rPr lang="en-US" sz="1100" baseline="0"/>
            <a:t>5. Subtract HELIN membership fee: $60,943.53.</a:t>
          </a:r>
        </a:p>
        <a:p>
          <a:endParaRPr lang="en-US" sz="1100" baseline="0"/>
        </a:p>
        <a:p>
          <a:r>
            <a:rPr lang="en-US" sz="1100" baseline="0"/>
            <a:t>TOTAL: $2,273,424.83</a:t>
          </a:r>
        </a:p>
      </xdr:txBody>
    </xdr:sp>
    <xdr:clientData/>
  </xdr:twoCellAnchor>
  <xdr:twoCellAnchor>
    <xdr:from>
      <xdr:col>0</xdr:col>
      <xdr:colOff>114300</xdr:colOff>
      <xdr:row>64</xdr:row>
      <xdr:rowOff>1</xdr:rowOff>
    </xdr:from>
    <xdr:to>
      <xdr:col>3</xdr:col>
      <xdr:colOff>1857375</xdr:colOff>
      <xdr:row>67</xdr:row>
      <xdr:rowOff>76201</xdr:rowOff>
    </xdr:to>
    <xdr:sp macro="" textlink="">
      <xdr:nvSpPr>
        <xdr:cNvPr id="16" name="TextBox 15"/>
        <xdr:cNvSpPr txBox="1"/>
      </xdr:nvSpPr>
      <xdr:spPr>
        <a:xfrm>
          <a:off x="114300" y="12439651"/>
          <a:ext cx="8753475" cy="6477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17 (Contract binding)</a:t>
          </a:r>
        </a:p>
        <a:p>
          <a:endParaRPr lang="en-US" sz="1100"/>
        </a:p>
        <a:p>
          <a:r>
            <a:rPr lang="en-US" sz="1100"/>
            <a:t>See Acquisitions</a:t>
          </a:r>
          <a:r>
            <a:rPr lang="en-US" sz="1100" baseline="0"/>
            <a:t> Unit annual report:  $</a:t>
          </a:r>
          <a:r>
            <a:rPr lang="en-US" sz="1100">
              <a:solidFill>
                <a:schemeClr val="dk1"/>
              </a:solidFill>
              <a:latin typeface="+mn-lt"/>
              <a:ea typeface="+mn-ea"/>
              <a:cs typeface="+mn-cs"/>
            </a:rPr>
            <a:t>14,960.50</a:t>
          </a:r>
          <a:r>
            <a:rPr lang="en-US" sz="1100" baseline="0"/>
            <a:t>.</a:t>
          </a:r>
        </a:p>
      </xdr:txBody>
    </xdr:sp>
    <xdr:clientData/>
  </xdr:twoCellAnchor>
  <xdr:twoCellAnchor>
    <xdr:from>
      <xdr:col>0</xdr:col>
      <xdr:colOff>123825</xdr:colOff>
      <xdr:row>87</xdr:row>
      <xdr:rowOff>152400</xdr:rowOff>
    </xdr:from>
    <xdr:to>
      <xdr:col>3</xdr:col>
      <xdr:colOff>1857375</xdr:colOff>
      <xdr:row>106</xdr:row>
      <xdr:rowOff>114300</xdr:rowOff>
    </xdr:to>
    <xdr:sp macro="" textlink="">
      <xdr:nvSpPr>
        <xdr:cNvPr id="17" name="TextBox 16"/>
        <xdr:cNvSpPr txBox="1"/>
      </xdr:nvSpPr>
      <xdr:spPr>
        <a:xfrm>
          <a:off x="123825" y="16440150"/>
          <a:ext cx="8743950" cy="30384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24a (Bibliographic utilities,</a:t>
          </a:r>
          <a:r>
            <a:rPr lang="en-US" sz="1100" baseline="0"/>
            <a:t> networks, and consortia funded from internal library sources)</a:t>
          </a:r>
        </a:p>
        <a:p>
          <a:endParaRPr lang="en-US" sz="1100" baseline="0"/>
        </a:p>
        <a:p>
          <a:r>
            <a:rPr lang="en-US" sz="1100" baseline="0"/>
            <a:t>Use for Lyrasis and HELIN fees.</a:t>
          </a:r>
        </a:p>
        <a:p>
          <a:endParaRPr lang="en-US" sz="1100" baseline="0"/>
        </a:p>
        <a:p>
          <a:r>
            <a:rPr lang="en-US" sz="1100" baseline="0"/>
            <a:t>1. HELIN membership fee: $60,943.53.</a:t>
          </a:r>
        </a:p>
        <a:p>
          <a:r>
            <a:rPr lang="en-US" sz="1100" baseline="0"/>
            <a:t>2. Consult DigitalCommons@URI for "</a:t>
          </a:r>
          <a:r>
            <a:rPr lang="en-US"/>
            <a:t>Lyrasis Product Usage and Expenditures FY10."</a:t>
          </a:r>
          <a:r>
            <a:rPr lang="en-US" baseline="0"/>
            <a:t> Do not include amounts for user database access and subscriptions or ILL costs, which are reported under "Document delivery / interlibrary loan.": $65,986.61</a:t>
          </a:r>
        </a:p>
        <a:p>
          <a:endParaRPr lang="en-US" sz="1100" baseline="0"/>
        </a:p>
        <a:p>
          <a:r>
            <a:rPr lang="en-US" sz="1100" baseline="0"/>
            <a:t>Total Lyrasis: $170,120.21</a:t>
          </a:r>
        </a:p>
        <a:p>
          <a:r>
            <a:rPr lang="en-US" sz="1100" baseline="0"/>
            <a:t>Less Lexis database costs: $67,613.90</a:t>
          </a:r>
        </a:p>
        <a:p>
          <a:r>
            <a:rPr lang="en-US" sz="1100" baseline="0"/>
            <a:t>Less conference fees: $170.00</a:t>
          </a:r>
        </a:p>
        <a:p>
          <a:r>
            <a:rPr lang="en-US" sz="1100" baseline="0"/>
            <a:t>Less theft strips &amp; shipping: $6,925.33</a:t>
          </a:r>
        </a:p>
        <a:p>
          <a:r>
            <a:rPr lang="en-US" sz="1100" baseline="0"/>
            <a:t>Less ILL costs net credits: $29,424.37</a:t>
          </a:r>
        </a:p>
        <a:p>
          <a:endParaRPr lang="en-US" sz="1100" baseline="0"/>
        </a:p>
        <a:p>
          <a:r>
            <a:rPr lang="en-US" sz="1100" baseline="0"/>
            <a:t>Lyrasis figure: $65,986.61</a:t>
          </a:r>
        </a:p>
        <a:p>
          <a:endParaRPr lang="en-US" sz="1100" baseline="0"/>
        </a:p>
        <a:p>
          <a:r>
            <a:rPr lang="en-US" sz="1100" baseline="0"/>
            <a:t>TOTAL: $126,930.14</a:t>
          </a:r>
        </a:p>
      </xdr:txBody>
    </xdr:sp>
    <xdr:clientData/>
  </xdr:twoCellAnchor>
  <xdr:twoCellAnchor>
    <xdr:from>
      <xdr:col>0</xdr:col>
      <xdr:colOff>104775</xdr:colOff>
      <xdr:row>107</xdr:row>
      <xdr:rowOff>47626</xdr:rowOff>
    </xdr:from>
    <xdr:to>
      <xdr:col>3</xdr:col>
      <xdr:colOff>1838325</xdr:colOff>
      <xdr:row>111</xdr:row>
      <xdr:rowOff>9526</xdr:rowOff>
    </xdr:to>
    <xdr:sp macro="" textlink="">
      <xdr:nvSpPr>
        <xdr:cNvPr id="19" name="TextBox 18"/>
        <xdr:cNvSpPr txBox="1"/>
      </xdr:nvSpPr>
      <xdr:spPr>
        <a:xfrm>
          <a:off x="104775" y="19573876"/>
          <a:ext cx="8743950" cy="6096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24b (Bibliographic utilities,</a:t>
          </a:r>
          <a:r>
            <a:rPr lang="en-US" sz="1100" baseline="0"/>
            <a:t> networks, and consortia funded from external library sources)</a:t>
          </a:r>
        </a:p>
        <a:p>
          <a:endParaRPr lang="en-US" sz="1100" baseline="0"/>
        </a:p>
        <a:p>
          <a:r>
            <a:rPr lang="en-US" sz="1100" baseline="0"/>
            <a:t>Would cover purchased statewide databases for which a specific amount was paid on URI's behalf.</a:t>
          </a:r>
        </a:p>
        <a:p>
          <a:endParaRPr lang="en-US" sz="1100" baseline="0"/>
        </a:p>
        <a:p>
          <a:endParaRPr lang="en-US" sz="1100" baseline="0"/>
        </a:p>
      </xdr:txBody>
    </xdr:sp>
    <xdr:clientData/>
  </xdr:twoCellAnchor>
  <xdr:twoCellAnchor>
    <xdr:from>
      <xdr:col>0</xdr:col>
      <xdr:colOff>133350</xdr:colOff>
      <xdr:row>111</xdr:row>
      <xdr:rowOff>104776</xdr:rowOff>
    </xdr:from>
    <xdr:to>
      <xdr:col>3</xdr:col>
      <xdr:colOff>1866900</xdr:colOff>
      <xdr:row>122</xdr:row>
      <xdr:rowOff>19051</xdr:rowOff>
    </xdr:to>
    <xdr:sp macro="" textlink="">
      <xdr:nvSpPr>
        <xdr:cNvPr id="20" name="TextBox 19"/>
        <xdr:cNvSpPr txBox="1"/>
      </xdr:nvSpPr>
      <xdr:spPr>
        <a:xfrm>
          <a:off x="133350" y="20278726"/>
          <a:ext cx="8743950" cy="16954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26 (Document Delivery / Interlibrary Loan)</a:t>
          </a:r>
        </a:p>
        <a:p>
          <a:endParaRPr lang="en-US" sz="1100" baseline="0"/>
        </a:p>
        <a:p>
          <a:r>
            <a:rPr lang="en-US" sz="1100" baseline="0"/>
            <a:t>Use Lyrasis figures. Fees for photocopies, fax, royalties, access fees, etc. are not included. </a:t>
          </a:r>
        </a:p>
        <a:p>
          <a:endParaRPr lang="en-US" sz="1100" baseline="0"/>
        </a:p>
        <a:p>
          <a:r>
            <a:rPr lang="en-US" sz="1100" baseline="0"/>
            <a:t>Footnote: Bibliographic Utility Fees only. </a:t>
          </a:r>
        </a:p>
        <a:p>
          <a:endParaRPr lang="en-US" sz="1100" baseline="0"/>
        </a:p>
        <a:p>
          <a:r>
            <a:rPr lang="en-US" sz="1100" baseline="0"/>
            <a:t>1. Consult DigitalCommons@URI for "</a:t>
          </a:r>
          <a:r>
            <a:rPr lang="en-US"/>
            <a:t>Lyrasis Product Usage and Expenditures FY10."</a:t>
          </a:r>
          <a:r>
            <a:rPr lang="en-US" baseline="0"/>
            <a:t> </a:t>
          </a:r>
        </a:p>
        <a:p>
          <a:endParaRPr lang="en-US" sz="1100" baseline="0"/>
        </a:p>
        <a:p>
          <a:r>
            <a:rPr lang="en-US" sz="1100" baseline="0"/>
            <a:t>ILL costs net credits: $29,424.37</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38100</xdr:colOff>
      <xdr:row>22</xdr:row>
      <xdr:rowOff>38100</xdr:rowOff>
    </xdr:from>
    <xdr:to>
      <xdr:col>3</xdr:col>
      <xdr:colOff>676275</xdr:colOff>
      <xdr:row>26</xdr:row>
      <xdr:rowOff>57150</xdr:rowOff>
    </xdr:to>
    <xdr:sp macro="" textlink="">
      <xdr:nvSpPr>
        <xdr:cNvPr id="2" name="TextBox 1"/>
        <xdr:cNvSpPr txBox="1"/>
      </xdr:nvSpPr>
      <xdr:spPr>
        <a:xfrm>
          <a:off x="38100" y="3714750"/>
          <a:ext cx="7648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Main</a:t>
          </a:r>
          <a:r>
            <a:rPr lang="en-US" sz="1100" baseline="0"/>
            <a:t> campus (Kingston) only.</a:t>
          </a:r>
        </a:p>
        <a:p>
          <a:r>
            <a:rPr lang="en-US" sz="1100" baseline="0"/>
            <a:t>Include expenditures using funds from regular institutional budget and ALSO grants, special projects, gifts, and endowments.</a:t>
          </a:r>
        </a:p>
        <a:p>
          <a:r>
            <a:rPr lang="en-US" sz="1100" baseline="0"/>
            <a:t>Do not report encumbrances.</a:t>
          </a:r>
          <a:endParaRPr lang="en-US" sz="1100"/>
        </a:p>
      </xdr:txBody>
    </xdr:sp>
    <xdr:clientData/>
  </xdr:twoCellAnchor>
  <xdr:twoCellAnchor>
    <xdr:from>
      <xdr:col>0</xdr:col>
      <xdr:colOff>47625</xdr:colOff>
      <xdr:row>26</xdr:row>
      <xdr:rowOff>142875</xdr:rowOff>
    </xdr:from>
    <xdr:to>
      <xdr:col>3</xdr:col>
      <xdr:colOff>1819275</xdr:colOff>
      <xdr:row>59</xdr:row>
      <xdr:rowOff>133350</xdr:rowOff>
    </xdr:to>
    <xdr:sp macro="" textlink="">
      <xdr:nvSpPr>
        <xdr:cNvPr id="3" name="TextBox 2"/>
        <xdr:cNvSpPr txBox="1"/>
      </xdr:nvSpPr>
      <xdr:spPr>
        <a:xfrm>
          <a:off x="47625" y="5153025"/>
          <a:ext cx="8782050" cy="6276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a:t>
          </a:r>
          <a:r>
            <a:rPr lang="en-US" sz="1100" baseline="0"/>
            <a:t> 44 (Number of electronic books held)</a:t>
          </a:r>
        </a:p>
        <a:p>
          <a:endParaRPr lang="en-US" sz="1100" baseline="0"/>
        </a:p>
        <a:p>
          <a:r>
            <a:rPr lang="en-US" sz="1100" baseline="0"/>
            <a:t>This number is made up of three components:</a:t>
          </a:r>
        </a:p>
        <a:p>
          <a:endParaRPr lang="en-US" sz="1100" baseline="0"/>
        </a:p>
        <a:p>
          <a:r>
            <a:rPr lang="en-US" sz="1100" b="1" baseline="0"/>
            <a:t>1. E-books cataloged by URI</a:t>
          </a:r>
        </a:p>
        <a:p>
          <a:endParaRPr lang="en-US" sz="1100" baseline="0"/>
        </a:p>
        <a:p>
          <a:r>
            <a:rPr lang="en-US" sz="1100" baseline="0"/>
            <a:t>Run a list with the following strategy: </a:t>
          </a:r>
        </a:p>
        <a:p>
          <a:endParaRPr lang="en-US" sz="1100" baseline="0"/>
        </a:p>
        <a:p>
          <a:r>
            <a:rPr lang="en-US" sz="1100" i="1" baseline="0"/>
            <a:t>ITEM  LOCATION  equal to  "riuin"    AND BIBLIOGRAPHIC  BIB LVL  equal to  "m"    AND BIBLIOGRAPHIC  BCODE3  not equal to  "n"</a:t>
          </a:r>
        </a:p>
        <a:p>
          <a:endParaRPr lang="en-US" sz="1100" baseline="0"/>
        </a:p>
        <a:p>
          <a:r>
            <a:rPr lang="en-US" sz="1100" baseline="0"/>
            <a:t>Take total count of records:  1,045.</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Note: In addition to e-books, this list will include dissertations, some web sites , streaming videos, and databases. Try to eliminate Web sites and databases by changing the BIB LVL to "i" and and the MAT TYPE to "@" and removing them from the list. Also try to eliminate streaming videos because they are not e-books. Because riuin instead of riu1e, should not have too many free resources in the mix.</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latin typeface="+mn-lt"/>
              <a:ea typeface="+mn-ea"/>
              <a:cs typeface="+mn-cs"/>
            </a:rPr>
            <a:t>2.  Bibliographic record sets loaded by HELIN for e-resources (no item records)</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r>
            <a:rPr lang="en-US" sz="1100" baseline="0"/>
            <a:t>Consult Martha Rice Sander's "HELIN Collection Stats" posted in HELIN's DigitalCommons. Look at the table "</a:t>
          </a:r>
          <a:r>
            <a:rPr lang="en-US" sz="1100" baseline="0" smtClean="0">
              <a:solidFill>
                <a:schemeClr val="dk1"/>
              </a:solidFill>
              <a:latin typeface="+mn-lt"/>
              <a:ea typeface="+mn-ea"/>
              <a:cs typeface="+mn-cs"/>
            </a:rPr>
            <a:t>HELIN E-BOOK COLLECTIONS PER LIBRARY TOTALS AS OF JUNE 30, 2010." The total for URI is 16,320. Revise the number to use OUR count of NetLibrary books (4,480), not HELIN's which appears to be inaccurate. For FY10, exclude ICPSR titles (7,342), because although they are cataloged as monographs, they are really datasets.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This leaves just the NetLibrary titles: 4,480.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Note that the ebooks in Martha's table do not come up in the review file in step 1 because they have no item records. </a:t>
          </a:r>
        </a:p>
        <a:p>
          <a:endParaRPr lang="en-US" sz="1100" baseline="0" smtClean="0">
            <a:solidFill>
              <a:schemeClr val="dk1"/>
            </a:solidFill>
            <a:latin typeface="+mn-lt"/>
            <a:ea typeface="+mn-ea"/>
            <a:cs typeface="+mn-cs"/>
          </a:endParaRPr>
        </a:p>
        <a:p>
          <a:r>
            <a:rPr lang="en-US" sz="1100" b="1" baseline="0" smtClean="0">
              <a:solidFill>
                <a:schemeClr val="dk1"/>
              </a:solidFill>
              <a:latin typeface="+mn-lt"/>
              <a:ea typeface="+mn-ea"/>
              <a:cs typeface="+mn-cs"/>
            </a:rPr>
            <a:t>3. Federal government e-books (item record location = hgov)</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All online government publications now have item records indicating ownership for the entire HELIN consortium, not for individual libraries. To separate out monographs, run the following list:  </a:t>
          </a:r>
        </a:p>
        <a:p>
          <a:endParaRPr lang="en-US" sz="1100" baseline="0" smtClean="0">
            <a:solidFill>
              <a:schemeClr val="dk1"/>
            </a:solidFill>
            <a:latin typeface="+mn-lt"/>
            <a:ea typeface="+mn-ea"/>
            <a:cs typeface="+mn-cs"/>
          </a:endParaRPr>
        </a:p>
        <a:p>
          <a:r>
            <a:rPr lang="en-US" sz="1100" i="1" baseline="0" smtClean="0">
              <a:solidFill>
                <a:schemeClr val="dk1"/>
              </a:solidFill>
              <a:latin typeface="+mn-lt"/>
              <a:ea typeface="+mn-ea"/>
              <a:cs typeface="+mn-cs"/>
            </a:rPr>
            <a:t>ITEM  LOCATION  equal to  "hgov "    AND BIBLIOGRAPHIC  BIB LVL  equal to  "m" </a:t>
          </a:r>
          <a:r>
            <a:rPr lang="en-US" sz="1100" i="1" baseline="0">
              <a:solidFill>
                <a:schemeClr val="dk1"/>
              </a:solidFill>
              <a:latin typeface="+mn-lt"/>
              <a:ea typeface="+mn-ea"/>
              <a:cs typeface="+mn-cs"/>
            </a:rPr>
            <a:t>AND BIBLIOGRAPHIC  BCODE3  not equal to  "n"</a:t>
          </a:r>
          <a:endParaRPr lang="en-US" sz="1100" i="1" baseline="0" smtClean="0">
            <a:solidFill>
              <a:schemeClr val="dk1"/>
            </a:solidFill>
            <a:latin typeface="+mn-lt"/>
            <a:ea typeface="+mn-ea"/>
            <a:cs typeface="+mn-cs"/>
          </a:endParaRP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Repeat the list if you have to. Total: 44,573.</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TOTAL = 1,045 + 4,480 +  44,573 = 50,098</a:t>
          </a:r>
          <a:endParaRPr lang="en-US" sz="1100" baseline="0"/>
        </a:p>
        <a:p>
          <a:endParaRPr lang="en-US" sz="1100" baseline="0"/>
        </a:p>
        <a:p>
          <a:endParaRPr lang="en-US" sz="1100" baseline="0"/>
        </a:p>
      </xdr:txBody>
    </xdr:sp>
    <xdr:clientData/>
  </xdr:twoCellAnchor>
  <xdr:twoCellAnchor>
    <xdr:from>
      <xdr:col>0</xdr:col>
      <xdr:colOff>57150</xdr:colOff>
      <xdr:row>60</xdr:row>
      <xdr:rowOff>9525</xdr:rowOff>
    </xdr:from>
    <xdr:to>
      <xdr:col>3</xdr:col>
      <xdr:colOff>1809750</xdr:colOff>
      <xdr:row>63</xdr:row>
      <xdr:rowOff>104775</xdr:rowOff>
    </xdr:to>
    <xdr:sp macro="" textlink="">
      <xdr:nvSpPr>
        <xdr:cNvPr id="5" name="TextBox 4"/>
        <xdr:cNvSpPr txBox="1"/>
      </xdr:nvSpPr>
      <xdr:spPr>
        <a:xfrm>
          <a:off x="57150" y="11496675"/>
          <a:ext cx="87630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49-50 (Database sessions and searches)</a:t>
          </a:r>
        </a:p>
        <a:p>
          <a:endParaRPr lang="en-US" sz="1100" baseline="0"/>
        </a:p>
        <a:p>
          <a:r>
            <a:rPr lang="en-US" sz="1100" baseline="0"/>
            <a:t>Use Reference Database Statistics final report (available in DigitalCommons@URI).</a:t>
          </a:r>
          <a:endParaRPr lang="en-US" sz="1100"/>
        </a:p>
      </xdr:txBody>
    </xdr:sp>
    <xdr:clientData/>
  </xdr:twoCellAnchor>
  <xdr:twoCellAnchor>
    <xdr:from>
      <xdr:col>0</xdr:col>
      <xdr:colOff>57150</xdr:colOff>
      <xdr:row>64</xdr:row>
      <xdr:rowOff>19049</xdr:rowOff>
    </xdr:from>
    <xdr:to>
      <xdr:col>3</xdr:col>
      <xdr:colOff>1809750</xdr:colOff>
      <xdr:row>75</xdr:row>
      <xdr:rowOff>152400</xdr:rowOff>
    </xdr:to>
    <xdr:sp macro="" textlink="">
      <xdr:nvSpPr>
        <xdr:cNvPr id="9" name="TextBox 8"/>
        <xdr:cNvSpPr txBox="1"/>
      </xdr:nvSpPr>
      <xdr:spPr>
        <a:xfrm>
          <a:off x="57150" y="12268199"/>
          <a:ext cx="8763000" cy="2228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51 (Full text article requests)</a:t>
          </a:r>
        </a:p>
        <a:p>
          <a:endParaRPr lang="en-US" sz="1100" baseline="0"/>
        </a:p>
        <a:p>
          <a:r>
            <a:rPr lang="en-US" sz="1100" baseline="0"/>
            <a:t>Get data from Cerbo through 360 Counter, when available. </a:t>
          </a:r>
        </a:p>
        <a:p>
          <a:endParaRPr lang="en-US" sz="1100" baseline="0"/>
        </a:p>
        <a:p>
          <a:r>
            <a:rPr lang="en-US" sz="1100" baseline="0"/>
            <a:t>See "Journal Usage Report for Fiscal Year 2010," available in DigitalCommons@URI. </a:t>
          </a:r>
        </a:p>
        <a:p>
          <a:r>
            <a:rPr lang="en-US" sz="1100" baseline="0"/>
            <a:t>Download spreadsheet and count total uses (full-text article requests) = 442,066.</a:t>
          </a:r>
        </a:p>
        <a:p>
          <a:r>
            <a:rPr lang="en-US" sz="1100" baseline="0"/>
            <a:t>Footnote: "Includes full-text article requests from individual e-journals, e-journals in packages, and e-journal content available in full-text aggregator databases."</a:t>
          </a:r>
        </a:p>
        <a:p>
          <a:endParaRPr lang="en-US" sz="1100" baseline="0"/>
        </a:p>
        <a:p>
          <a:r>
            <a:rPr lang="en-US" sz="1100" baseline="0"/>
            <a:t>For 51.a "Number of resource for which you are reporting," use the number of authority titles on the list. (Counting platforms would not not be appropriate, and counting all titles listed would result in duplication.) = 15,193</a:t>
          </a:r>
        </a:p>
        <a:p>
          <a:r>
            <a:rPr lang="en-US" sz="1100" baseline="0"/>
            <a:t>Footnote: "Number of resources interpreted as unique e-journal titles."</a:t>
          </a:r>
        </a:p>
      </xdr:txBody>
    </xdr:sp>
    <xdr:clientData/>
  </xdr:twoCellAnchor>
  <xdr:twoCellAnchor>
    <xdr:from>
      <xdr:col>0</xdr:col>
      <xdr:colOff>57150</xdr:colOff>
      <xdr:row>76</xdr:row>
      <xdr:rowOff>85725</xdr:rowOff>
    </xdr:from>
    <xdr:to>
      <xdr:col>3</xdr:col>
      <xdr:colOff>1809750</xdr:colOff>
      <xdr:row>81</xdr:row>
      <xdr:rowOff>123825</xdr:rowOff>
    </xdr:to>
    <xdr:sp macro="" textlink="">
      <xdr:nvSpPr>
        <xdr:cNvPr id="10" name="TextBox 9"/>
        <xdr:cNvSpPr txBox="1"/>
      </xdr:nvSpPr>
      <xdr:spPr>
        <a:xfrm>
          <a:off x="57150" y="15192375"/>
          <a:ext cx="876300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52 (Number of virtual visits)</a:t>
          </a:r>
        </a:p>
        <a:p>
          <a:endParaRPr lang="en-US" sz="1100" baseline="0"/>
        </a:p>
        <a:p>
          <a:r>
            <a:rPr lang="en-US" sz="1100" baseline="0"/>
            <a:t>Not only is the data collected in the series of "Library Web Site Statistics FYXXXX-FYXXXX," available in DigitalCommons, behind in availability, but it tracks page requests, not unique visits. For this reason, the best response to this question is NA/UA.</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66676</xdr:colOff>
      <xdr:row>10</xdr:row>
      <xdr:rowOff>66676</xdr:rowOff>
    </xdr:from>
    <xdr:to>
      <xdr:col>2</xdr:col>
      <xdr:colOff>38101</xdr:colOff>
      <xdr:row>17</xdr:row>
      <xdr:rowOff>171450</xdr:rowOff>
    </xdr:to>
    <xdr:sp macro="" textlink="">
      <xdr:nvSpPr>
        <xdr:cNvPr id="9" name="TextBox 8"/>
        <xdr:cNvSpPr txBox="1"/>
      </xdr:nvSpPr>
      <xdr:spPr>
        <a:xfrm>
          <a:off x="66676" y="2219326"/>
          <a:ext cx="6076950" cy="1438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a:t>
          </a:r>
          <a:r>
            <a:rPr lang="en-US" sz="1100" u="sng" baseline="0"/>
            <a:t> / Instructions</a:t>
          </a:r>
          <a:r>
            <a:rPr lang="en-US" sz="1100" baseline="0"/>
            <a:t>:</a:t>
          </a:r>
        </a:p>
        <a:p>
          <a:r>
            <a:rPr lang="en-US" sz="1100" baseline="0"/>
            <a:t>"</a:t>
          </a:r>
          <a:r>
            <a:rPr lang="en-US" sz="1100" baseline="0" smtClean="0">
              <a:solidFill>
                <a:schemeClr val="dk1"/>
              </a:solidFill>
              <a:latin typeface="+mn-lt"/>
              <a:ea typeface="+mn-ea"/>
              <a:cs typeface="+mn-cs"/>
            </a:rPr>
            <a:t>Include data for all branch and independent libraries on the campus. Include libraries on branch campuses (i.e., located in another community) if those campuses are registered under the same NCES UNITID number as the main campus. "</a:t>
          </a:r>
        </a:p>
        <a:p>
          <a:endParaRPr lang="en-US" sz="1100" baseline="0"/>
        </a:p>
        <a:p>
          <a:r>
            <a:rPr lang="en-US" sz="1100" baseline="0" smtClean="0">
              <a:solidFill>
                <a:schemeClr val="dk1"/>
              </a:solidFill>
              <a:latin typeface="+mn-lt"/>
              <a:ea typeface="+mn-ea"/>
              <a:cs typeface="+mn-cs"/>
            </a:rPr>
            <a:t>"Report funds expended by the library in fiscal year 2010 (regardless of when received) from its regular budget and from all other sources; e.g., research grants, special projects, gifts and endowments, and fees for services. "</a:t>
          </a:r>
          <a:endParaRPr lang="en-US" sz="1100" baseline="0"/>
        </a:p>
      </xdr:txBody>
    </xdr:sp>
    <xdr:clientData/>
  </xdr:twoCellAnchor>
  <xdr:twoCellAnchor>
    <xdr:from>
      <xdr:col>0</xdr:col>
      <xdr:colOff>76201</xdr:colOff>
      <xdr:row>18</xdr:row>
      <xdr:rowOff>76201</xdr:rowOff>
    </xdr:from>
    <xdr:to>
      <xdr:col>3</xdr:col>
      <xdr:colOff>838201</xdr:colOff>
      <xdr:row>25</xdr:row>
      <xdr:rowOff>171451</xdr:rowOff>
    </xdr:to>
    <xdr:sp macro="" textlink="">
      <xdr:nvSpPr>
        <xdr:cNvPr id="10" name="TextBox 9"/>
        <xdr:cNvSpPr txBox="1"/>
      </xdr:nvSpPr>
      <xdr:spPr>
        <a:xfrm>
          <a:off x="76201" y="3752851"/>
          <a:ext cx="777240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a:t>
          </a:r>
          <a:r>
            <a:rPr lang="en-US" sz="1100" baseline="0"/>
            <a:t> Line 300 (One time purchases of books, serial backfiles, and other materials)</a:t>
          </a:r>
        </a:p>
        <a:p>
          <a:endParaRPr lang="en-US" sz="1100" baseline="0"/>
        </a:p>
        <a:p>
          <a:r>
            <a:rPr lang="en-US" sz="1100" baseline="0"/>
            <a:t>Report expenditures for published materials in all formats EXCEPT current subscriptions to serials.</a:t>
          </a:r>
        </a:p>
        <a:p>
          <a:endParaRPr lang="en-US" sz="1100" baseline="0"/>
        </a:p>
        <a:p>
          <a:r>
            <a:rPr lang="en-US" sz="1100" baseline="0"/>
            <a:t>1. Take total amount spent in monographic funds for fiscal close from all branches. Include endowment spending:  $347,375.70.</a:t>
          </a:r>
        </a:p>
        <a:p>
          <a:r>
            <a:rPr lang="en-US" sz="1100" baseline="0"/>
            <a:t>2. Add backfiles purchased: $184,105.64.</a:t>
          </a:r>
        </a:p>
        <a:p>
          <a:endParaRPr lang="en-US" sz="1100" baseline="0"/>
        </a:p>
        <a:p>
          <a:r>
            <a:rPr lang="en-US" sz="1100"/>
            <a:t>TOTAL:</a:t>
          </a:r>
          <a:r>
            <a:rPr lang="en-US" sz="1100" baseline="0"/>
            <a:t> $531,481.31</a:t>
          </a:r>
          <a:endParaRPr lang="en-US" sz="1100"/>
        </a:p>
      </xdr:txBody>
    </xdr:sp>
    <xdr:clientData/>
  </xdr:twoCellAnchor>
  <xdr:twoCellAnchor>
    <xdr:from>
      <xdr:col>0</xdr:col>
      <xdr:colOff>76200</xdr:colOff>
      <xdr:row>26</xdr:row>
      <xdr:rowOff>57150</xdr:rowOff>
    </xdr:from>
    <xdr:to>
      <xdr:col>3</xdr:col>
      <xdr:colOff>2466975</xdr:colOff>
      <xdr:row>34</xdr:row>
      <xdr:rowOff>161925</xdr:rowOff>
    </xdr:to>
    <xdr:sp macro="" textlink="">
      <xdr:nvSpPr>
        <xdr:cNvPr id="11" name="TextBox 10"/>
        <xdr:cNvSpPr txBox="1"/>
      </xdr:nvSpPr>
      <xdr:spPr>
        <a:xfrm>
          <a:off x="76200" y="5257800"/>
          <a:ext cx="9401175" cy="162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a:t>
          </a:r>
          <a:r>
            <a:rPr lang="en-US" sz="1100" baseline="0"/>
            <a:t> 301 (Electronic one time purchases of books, serial backfiles, and other materials)</a:t>
          </a:r>
        </a:p>
        <a:p>
          <a:endParaRPr lang="en-US" sz="1100" baseline="0"/>
        </a:p>
        <a:p>
          <a:r>
            <a:rPr lang="en-US" sz="1100" baseline="0" smtClean="0">
              <a:solidFill>
                <a:schemeClr val="dk1"/>
              </a:solidFill>
              <a:latin typeface="+mn-lt"/>
              <a:ea typeface="+mn-ea"/>
              <a:cs typeface="+mn-cs"/>
            </a:rPr>
            <a:t>Report expenditures that are not current subscriptions to serials (i.e. are non-subscription, one-time, or monographic in nature) for software and machine-readable materials considered part of the collections. Examples include serial backfiles, literature collections, and one-time costs for electronic backfiles, etc. These expenditures have already been reported as part of item 300 above. </a:t>
          </a:r>
        </a:p>
        <a:p>
          <a:endParaRPr lang="en-US" sz="1100" baseline="0"/>
        </a:p>
        <a:p>
          <a:r>
            <a:rPr lang="en-US" sz="1100" baseline="0"/>
            <a:t>1. E-books: $2,970.75</a:t>
          </a:r>
        </a:p>
        <a:p>
          <a:r>
            <a:rPr lang="en-US" sz="1100"/>
            <a:t>2. Serial / Electronic one-time backfiles: $184,105.64</a:t>
          </a:r>
        </a:p>
        <a:p>
          <a:r>
            <a:rPr lang="en-US" sz="1100"/>
            <a:t>TOTAL: $187,076.39</a:t>
          </a:r>
        </a:p>
      </xdr:txBody>
    </xdr:sp>
    <xdr:clientData/>
  </xdr:twoCellAnchor>
  <xdr:twoCellAnchor>
    <xdr:from>
      <xdr:col>0</xdr:col>
      <xdr:colOff>85725</xdr:colOff>
      <xdr:row>35</xdr:row>
      <xdr:rowOff>76201</xdr:rowOff>
    </xdr:from>
    <xdr:to>
      <xdr:col>3</xdr:col>
      <xdr:colOff>2457450</xdr:colOff>
      <xdr:row>42</xdr:row>
      <xdr:rowOff>38101</xdr:rowOff>
    </xdr:to>
    <xdr:sp macro="" textlink="">
      <xdr:nvSpPr>
        <xdr:cNvPr id="12" name="TextBox 11"/>
        <xdr:cNvSpPr txBox="1"/>
      </xdr:nvSpPr>
      <xdr:spPr>
        <a:xfrm>
          <a:off x="85725" y="6991351"/>
          <a:ext cx="9382125"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302 (Audiovisual</a:t>
          </a:r>
          <a:r>
            <a:rPr lang="en-US" sz="1100" baseline="0"/>
            <a:t> materials -- one-time purchases)</a:t>
          </a:r>
        </a:p>
        <a:p>
          <a:endParaRPr lang="en-US" sz="1100" baseline="0"/>
        </a:p>
        <a:p>
          <a:r>
            <a:rPr lang="en-US" sz="1100" baseline="0"/>
            <a:t>Report expenditures for all library materials that are displayed by visual projection or magnification or through sound reproduction, or both, including graphic materials, audio materials, motion pictures, video materials, and special visual materials such as three-dimensional materials. (Note: This category would include microfilm only if NOT a subscription.)</a:t>
          </a:r>
        </a:p>
        <a:p>
          <a:endParaRPr lang="en-US" sz="1100" baseline="0"/>
        </a:p>
        <a:p>
          <a:r>
            <a:rPr lang="en-US" sz="1100" baseline="0"/>
            <a:t>1. Get amount spent on AV materials from media firm order fund zzmf (fiscal close report): $7,193.04</a:t>
          </a:r>
          <a:r>
            <a:rPr lang="en-US" sz="1100">
              <a:solidFill>
                <a:schemeClr val="dk1"/>
              </a:solidFill>
              <a:latin typeface="+mn-lt"/>
              <a:ea typeface="+mn-ea"/>
              <a:cs typeface="+mn-cs"/>
            </a:rPr>
            <a:t>.</a:t>
          </a:r>
          <a:endParaRPr lang="en-US" sz="1100"/>
        </a:p>
      </xdr:txBody>
    </xdr:sp>
    <xdr:clientData/>
  </xdr:twoCellAnchor>
  <xdr:twoCellAnchor>
    <xdr:from>
      <xdr:col>0</xdr:col>
      <xdr:colOff>114300</xdr:colOff>
      <xdr:row>42</xdr:row>
      <xdr:rowOff>142875</xdr:rowOff>
    </xdr:from>
    <xdr:to>
      <xdr:col>2</xdr:col>
      <xdr:colOff>342900</xdr:colOff>
      <xdr:row>52</xdr:row>
      <xdr:rowOff>57150</xdr:rowOff>
    </xdr:to>
    <xdr:sp macro="" textlink="">
      <xdr:nvSpPr>
        <xdr:cNvPr id="13" name="TextBox 12"/>
        <xdr:cNvSpPr txBox="1"/>
      </xdr:nvSpPr>
      <xdr:spPr>
        <a:xfrm>
          <a:off x="114300" y="8391525"/>
          <a:ext cx="6334125"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303 (Ongoing commitments to serial subscriptions)</a:t>
          </a:r>
        </a:p>
        <a:p>
          <a:endParaRPr lang="en-US" sz="1100"/>
        </a:p>
        <a:p>
          <a:r>
            <a:rPr lang="en-US" sz="1100"/>
            <a:t>Report expenditures for ongoing</a:t>
          </a:r>
          <a:r>
            <a:rPr lang="en-US" sz="1100" baseline="0"/>
            <a:t> subscriptions to serials in all formats.</a:t>
          </a:r>
        </a:p>
        <a:p>
          <a:endParaRPr lang="en-US" sz="1100" baseline="0"/>
        </a:p>
        <a:p>
          <a:r>
            <a:rPr lang="en-US" sz="1100" baseline="0"/>
            <a:t>1. Get amount spent on serials by all three branches (Serials Annual Report): $2,777,968.10.</a:t>
          </a:r>
        </a:p>
        <a:p>
          <a:r>
            <a:rPr lang="en-US" sz="1100" baseline="0"/>
            <a:t>2. Subtract serial backfiles purchases and e-book that was charged to zzwp: </a:t>
          </a:r>
          <a:r>
            <a:rPr lang="en-US" sz="1100">
              <a:solidFill>
                <a:schemeClr val="dk1"/>
              </a:solidFill>
              <a:latin typeface="+mn-lt"/>
              <a:ea typeface="+mn-ea"/>
              <a:cs typeface="+mn-cs"/>
            </a:rPr>
            <a:t>$187,076.39</a:t>
          </a:r>
          <a:endParaRPr lang="en-US" sz="1100" baseline="0"/>
        </a:p>
        <a:p>
          <a:r>
            <a:rPr lang="en-US" sz="1100" baseline="0"/>
            <a:t>3. Subtract HELIN membership fee: </a:t>
          </a:r>
          <a:r>
            <a:rPr lang="en-US" sz="1100" baseline="0">
              <a:solidFill>
                <a:schemeClr val="dk1"/>
              </a:solidFill>
              <a:latin typeface="+mn-lt"/>
              <a:ea typeface="+mn-ea"/>
              <a:cs typeface="+mn-cs"/>
            </a:rPr>
            <a:t>$60,943.53	 	 	 	</a:t>
          </a:r>
          <a:endParaRPr lang="en-US" sz="1100" baseline="0"/>
        </a:p>
        <a:p>
          <a:r>
            <a:rPr lang="en-US" sz="1100" baseline="0"/>
            <a:t>4. Add in endowment expenditures on serials, if not already included.</a:t>
          </a:r>
        </a:p>
        <a:p>
          <a:endParaRPr lang="en-US" sz="1100" baseline="0"/>
        </a:p>
        <a:p>
          <a:r>
            <a:rPr lang="en-US" sz="1100" baseline="0"/>
            <a:t>TOTAL:  $2,529,948.30.</a:t>
          </a:r>
          <a:endParaRPr lang="en-US" sz="1100"/>
        </a:p>
      </xdr:txBody>
    </xdr:sp>
    <xdr:clientData/>
  </xdr:twoCellAnchor>
  <xdr:twoCellAnchor>
    <xdr:from>
      <xdr:col>0</xdr:col>
      <xdr:colOff>114300</xdr:colOff>
      <xdr:row>60</xdr:row>
      <xdr:rowOff>171449</xdr:rowOff>
    </xdr:from>
    <xdr:to>
      <xdr:col>3</xdr:col>
      <xdr:colOff>2486025</xdr:colOff>
      <xdr:row>76</xdr:row>
      <xdr:rowOff>152400</xdr:rowOff>
    </xdr:to>
    <xdr:sp macro="" textlink="">
      <xdr:nvSpPr>
        <xdr:cNvPr id="14" name="TextBox 13"/>
        <xdr:cNvSpPr txBox="1"/>
      </xdr:nvSpPr>
      <xdr:spPr>
        <a:xfrm>
          <a:off x="114300" y="11849099"/>
          <a:ext cx="9382125" cy="3028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309 (Bibliographic utilities, networks, and consortia)</a:t>
          </a:r>
        </a:p>
        <a:p>
          <a:endParaRPr lang="en-US" sz="1100"/>
        </a:p>
        <a:p>
          <a:r>
            <a:rPr lang="en-US" sz="1100"/>
            <a:t>Report expenditures from the library operating budget for services provided by national</a:t>
          </a:r>
          <a:r>
            <a:rPr lang="en-US" sz="1100" baseline="0"/>
            <a:t>, regional, and local bibliographic utilities, networks, and consortia. EXCLUDE expenditures already reported on items 301, 304, and 305.</a:t>
          </a:r>
        </a:p>
        <a:p>
          <a:endParaRPr lang="en-US" sz="1100" baseline="0"/>
        </a:p>
        <a:p>
          <a:r>
            <a:rPr lang="en-US" sz="1100" baseline="0"/>
            <a:t>Note: The instructions say "operating budget" and to exclude expenditures reported elsewhere. We pay HELIN membership and NERL and WALDO fees out of  our materials budget, so they are included in the serials total, but the HELIN fee has been subtracted out of line 303 above. (The HELIN fees are significant enough to be subtracted out of line 303 and reported here. However, for the sake of convienience, leave the NERL  and WALDO fees in the serials total, since they are so small.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Included here should be HELIN fees, Lyrasis fees and MARCIVE fees.  Ask Library Admin. for NELINET and MARCIVE numbers.</a:t>
          </a:r>
          <a:endParaRPr lang="en-US" sz="1100">
            <a:solidFill>
              <a:schemeClr val="dk1"/>
            </a:solidFill>
            <a:latin typeface="+mn-lt"/>
            <a:ea typeface="+mn-ea"/>
            <a:cs typeface="+mn-cs"/>
          </a:endParaRPr>
        </a:p>
        <a:p>
          <a:endParaRPr lang="en-US" sz="1100" baseline="0"/>
        </a:p>
        <a:p>
          <a:r>
            <a:rPr lang="en-US" sz="1100" baseline="0"/>
            <a:t>So: </a:t>
          </a:r>
        </a:p>
        <a:p>
          <a:r>
            <a:rPr lang="en-US" sz="1100" baseline="0"/>
            <a:t>HELIN membership:  </a:t>
          </a:r>
          <a:r>
            <a:rPr lang="en-US" sz="1100" baseline="0">
              <a:solidFill>
                <a:schemeClr val="dk1"/>
              </a:solidFill>
              <a:latin typeface="+mn-lt"/>
              <a:ea typeface="+mn-ea"/>
              <a:cs typeface="+mn-cs"/>
            </a:rPr>
            <a:t>$60,943.53	 	 	</a:t>
          </a:r>
          <a:endParaRPr lang="en-US" sz="1100" baseline="0"/>
        </a:p>
        <a:p>
          <a:r>
            <a:rPr lang="en-US" sz="1100" baseline="0"/>
            <a:t>Lyrasis: $110,000.00 (What we paid into our deposit account during the fiscal year, not necessarily what they invoiced.)</a:t>
          </a:r>
        </a:p>
        <a:p>
          <a:r>
            <a:rPr lang="en-US" sz="1100" baseline="0"/>
            <a:t>Marcive:  $8,120.00</a:t>
          </a:r>
        </a:p>
        <a:p>
          <a:r>
            <a:rPr lang="en-US" sz="1100" baseline="0"/>
            <a:t>TOTAL: $179,063.53</a:t>
          </a:r>
        </a:p>
        <a:p>
          <a:endParaRPr lang="en-US" sz="1100"/>
        </a:p>
      </xdr:txBody>
    </xdr:sp>
    <xdr:clientData/>
  </xdr:twoCellAnchor>
  <xdr:twoCellAnchor>
    <xdr:from>
      <xdr:col>0</xdr:col>
      <xdr:colOff>114300</xdr:colOff>
      <xdr:row>52</xdr:row>
      <xdr:rowOff>142875</xdr:rowOff>
    </xdr:from>
    <xdr:to>
      <xdr:col>3</xdr:col>
      <xdr:colOff>2466975</xdr:colOff>
      <xdr:row>60</xdr:row>
      <xdr:rowOff>95250</xdr:rowOff>
    </xdr:to>
    <xdr:sp macro="" textlink="">
      <xdr:nvSpPr>
        <xdr:cNvPr id="15" name="TextBox 14"/>
        <xdr:cNvSpPr txBox="1"/>
      </xdr:nvSpPr>
      <xdr:spPr>
        <a:xfrm>
          <a:off x="114300" y="10296525"/>
          <a:ext cx="9363075"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304 (Electronic serials)</a:t>
          </a:r>
        </a:p>
        <a:p>
          <a:endParaRPr lang="en-US" sz="1100"/>
        </a:p>
        <a:p>
          <a:r>
            <a:rPr lang="en-US" sz="1100"/>
            <a:t>Report subscription expenditures (or those which are expected to be ongoing commitments) for serial</a:t>
          </a:r>
          <a:r>
            <a:rPr lang="en-US" sz="1100" baseline="0"/>
            <a:t> publications whose primary format is electronic. Examples include paid subscriptions for electronic journals and indexes/ abstracts available via the Internet, CD-ROM serials, and annual access fees.</a:t>
          </a:r>
        </a:p>
        <a:p>
          <a:endParaRPr lang="en-US" sz="1100" baseline="0"/>
        </a:p>
        <a:p>
          <a:r>
            <a:rPr lang="en-US" sz="1100" baseline="0"/>
            <a:t>1. Get amount from Acquisitions Annual Report. Do not include one-time backfiles.  Do not include software.: $2,229,014.33</a:t>
          </a:r>
        </a:p>
        <a:p>
          <a:endParaRPr lang="en-US" sz="1100" baseline="0"/>
        </a:p>
        <a:p>
          <a:r>
            <a:rPr lang="en-US" sz="1100" baseline="0"/>
            <a:t>Note: this number as estimated in the Acquisitions Annual Report should already have had the HELIN membership fee subtracted.</a:t>
          </a:r>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47625</xdr:colOff>
      <xdr:row>11</xdr:row>
      <xdr:rowOff>95251</xdr:rowOff>
    </xdr:from>
    <xdr:to>
      <xdr:col>3</xdr:col>
      <xdr:colOff>647699</xdr:colOff>
      <xdr:row>21</xdr:row>
      <xdr:rowOff>9525</xdr:rowOff>
    </xdr:to>
    <xdr:sp macro="" textlink="">
      <xdr:nvSpPr>
        <xdr:cNvPr id="2" name="TextBox 1"/>
        <xdr:cNvSpPr txBox="1"/>
      </xdr:nvSpPr>
      <xdr:spPr>
        <a:xfrm>
          <a:off x="47625" y="3581401"/>
          <a:ext cx="6238874" cy="1819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a:t>
          </a:r>
          <a:r>
            <a:rPr lang="en-US" sz="1100" u="sng" baseline="0"/>
            <a:t> / Instructions</a:t>
          </a:r>
          <a:r>
            <a:rPr lang="en-US" sz="1100" baseline="0"/>
            <a:t>:</a:t>
          </a:r>
        </a:p>
        <a:p>
          <a:r>
            <a:rPr lang="en-US" sz="1100" baseline="0"/>
            <a:t>"</a:t>
          </a:r>
          <a:r>
            <a:rPr lang="en-US" sz="1100" baseline="0" smtClean="0">
              <a:solidFill>
                <a:schemeClr val="dk1"/>
              </a:solidFill>
              <a:latin typeface="+mn-lt"/>
              <a:ea typeface="+mn-ea"/>
              <a:cs typeface="+mn-cs"/>
            </a:rPr>
            <a:t>Include data for all branch and independent libraries on the campus. Include libraries on branch campuses (i.e., located in another community) if those campuses are registered under the same NCES UNITID number as the main campus."</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Column (1), Total number added during fiscal year - Report the gross number of each category added during FY 2010. Do not subtract the number withdrawn.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Column (2), Total number held at end of fiscal year - Report the total number of each category held at end of FY 2010. </a:t>
          </a:r>
          <a:endParaRPr lang="en-US" sz="1100" baseline="0"/>
        </a:p>
      </xdr:txBody>
    </xdr:sp>
    <xdr:clientData/>
  </xdr:twoCellAnchor>
  <xdr:twoCellAnchor>
    <xdr:from>
      <xdr:col>0</xdr:col>
      <xdr:colOff>66675</xdr:colOff>
      <xdr:row>21</xdr:row>
      <xdr:rowOff>104774</xdr:rowOff>
    </xdr:from>
    <xdr:to>
      <xdr:col>4</xdr:col>
      <xdr:colOff>19050</xdr:colOff>
      <xdr:row>39</xdr:row>
      <xdr:rowOff>47625</xdr:rowOff>
    </xdr:to>
    <xdr:sp macro="" textlink="">
      <xdr:nvSpPr>
        <xdr:cNvPr id="3" name="TextBox 2"/>
        <xdr:cNvSpPr txBox="1"/>
      </xdr:nvSpPr>
      <xdr:spPr>
        <a:xfrm>
          <a:off x="66675" y="5495924"/>
          <a:ext cx="6391275" cy="3371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a:t>
          </a:r>
          <a:r>
            <a:rPr lang="en-US" sz="1100" baseline="0"/>
            <a:t> Line 400 (Books, serial backfiles and other paper materials -- include government documents)</a:t>
          </a:r>
        </a:p>
        <a:p>
          <a:endParaRPr lang="en-US" sz="1100" baseline="0"/>
        </a:p>
        <a:p>
          <a:r>
            <a:rPr lang="en-US" sz="1100" baseline="0" smtClean="0">
              <a:solidFill>
                <a:schemeClr val="dk1"/>
              </a:solidFill>
              <a:latin typeface="+mn-lt"/>
              <a:ea typeface="+mn-ea"/>
              <a:cs typeface="+mn-cs"/>
            </a:rPr>
            <a:t>Report the number of volumes using the ANSI/NISO Z39.7-1995 definition for volume. </a:t>
          </a:r>
          <a:endParaRPr lang="en-US" sz="1100" baseline="0"/>
        </a:p>
        <a:p>
          <a:endParaRPr lang="en-US" sz="1100" baseline="0"/>
        </a:p>
        <a:p>
          <a:r>
            <a:rPr lang="en-US" sz="1100" baseline="0"/>
            <a:t>1. Book volumes added through Acquisitions Unit and as gifts: See Unit annual statistics. 11,532. Does NOT include government publication or branches. </a:t>
          </a:r>
        </a:p>
        <a:p>
          <a:r>
            <a:rPr lang="en-US" sz="1100" baseline="0"/>
            <a:t>2. Serial volumes added: See Unit annual statistics. 2,125. Does NOT include branches. </a:t>
          </a:r>
        </a:p>
        <a:p>
          <a:r>
            <a:rPr lang="en-US" sz="1100" baseline="0"/>
            <a:t>3. </a:t>
          </a:r>
          <a:r>
            <a:rPr lang="en-US" sz="1100"/>
            <a:t>TOTAL:</a:t>
          </a:r>
          <a:r>
            <a:rPr lang="en-US" sz="1100" baseline="0"/>
            <a:t> 13,657</a:t>
          </a:r>
        </a:p>
        <a:p>
          <a:endParaRPr lang="en-US" sz="1100" baseline="0"/>
        </a:p>
        <a:p>
          <a:r>
            <a:rPr lang="en-US" sz="1100" baseline="0"/>
            <a:t>Number of volumes withdrawn:</a:t>
          </a:r>
        </a:p>
        <a:p>
          <a:r>
            <a:rPr lang="en-US" sz="1100" baseline="0"/>
            <a:t>1. Book volumes withdrawn. See Unit annual statistics. 728. </a:t>
          </a:r>
        </a:p>
        <a:p>
          <a:r>
            <a:rPr lang="en-US" sz="1100" baseline="0"/>
            <a:t>Does NOT include government publications or branches.</a:t>
          </a:r>
        </a:p>
        <a:p>
          <a:endParaRPr lang="en-US" sz="1100" baseline="0"/>
        </a:p>
        <a:p>
          <a:r>
            <a:rPr lang="en-US" sz="1100" baseline="0"/>
            <a:t>2. Serial volumes  withdrawn. See Unit annual statistics. 11,999. </a:t>
          </a:r>
        </a:p>
        <a:p>
          <a:r>
            <a:rPr lang="en-US" sz="1100" baseline="0"/>
            <a:t>Does not include branches. </a:t>
          </a:r>
        </a:p>
        <a:p>
          <a:endParaRPr lang="en-US" sz="1100" baseline="0"/>
        </a:p>
        <a:p>
          <a:r>
            <a:rPr lang="en-US" sz="1100" baseline="0"/>
            <a:t>3. Total: 12,727</a:t>
          </a:r>
        </a:p>
        <a:p>
          <a:endParaRPr lang="en-US" sz="1100" baseline="0"/>
        </a:p>
        <a:p>
          <a:r>
            <a:rPr lang="en-US" sz="1100" baseline="0"/>
            <a:t>We reported 1,448,281 vols. held in FY09 for ACRL. Use this as base?</a:t>
          </a:r>
        </a:p>
      </xdr:txBody>
    </xdr:sp>
    <xdr:clientData/>
  </xdr:twoCellAnchor>
  <xdr:twoCellAnchor>
    <xdr:from>
      <xdr:col>0</xdr:col>
      <xdr:colOff>85725</xdr:colOff>
      <xdr:row>39</xdr:row>
      <xdr:rowOff>142876</xdr:rowOff>
    </xdr:from>
    <xdr:to>
      <xdr:col>4</xdr:col>
      <xdr:colOff>28575</xdr:colOff>
      <xdr:row>48</xdr:row>
      <xdr:rowOff>47625</xdr:rowOff>
    </xdr:to>
    <xdr:sp macro="" textlink="">
      <xdr:nvSpPr>
        <xdr:cNvPr id="4" name="TextBox 3"/>
        <xdr:cNvSpPr txBox="1"/>
      </xdr:nvSpPr>
      <xdr:spPr>
        <a:xfrm>
          <a:off x="85725" y="8963026"/>
          <a:ext cx="6381750" cy="1619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a:t>
          </a:r>
          <a:r>
            <a:rPr lang="en-US" sz="1100" baseline="0"/>
            <a:t> 401 (E-books)</a:t>
          </a:r>
        </a:p>
        <a:p>
          <a:endParaRPr lang="en-US" sz="1100" baseline="0"/>
        </a:p>
        <a:p>
          <a:r>
            <a:rPr lang="en-US" sz="1100" baseline="0"/>
            <a:t>For E-books acquired during year, see ACRL Stats question </a:t>
          </a:r>
          <a:r>
            <a:rPr lang="en-US" sz="1100">
              <a:solidFill>
                <a:schemeClr val="dk1"/>
              </a:solidFill>
              <a:latin typeface="+mn-lt"/>
              <a:ea typeface="+mn-ea"/>
              <a:cs typeface="+mn-cs"/>
            </a:rPr>
            <a:t>1b.i .</a:t>
          </a:r>
        </a:p>
        <a:p>
          <a:r>
            <a:rPr lang="en-US" sz="1100">
              <a:solidFill>
                <a:schemeClr val="dk1"/>
              </a:solidFill>
              <a:latin typeface="+mn-lt"/>
              <a:ea typeface="+mn-ea"/>
              <a:cs typeface="+mn-cs"/>
            </a:rPr>
            <a:t>In FY10 that was 1 (Encyclopedia  of Ocean Sciences, 2nd. ed.)</a:t>
          </a:r>
        </a:p>
        <a:p>
          <a:endParaRPr lang="en-US" sz="1100">
            <a:solidFill>
              <a:schemeClr val="dk1"/>
            </a:solidFill>
            <a:latin typeface="+mn-lt"/>
            <a:ea typeface="+mn-ea"/>
            <a:cs typeface="+mn-cs"/>
          </a:endParaRPr>
        </a:p>
        <a:p>
          <a:r>
            <a:rPr lang="en-US" sz="1100">
              <a:solidFill>
                <a:schemeClr val="dk1"/>
              </a:solidFill>
              <a:latin typeface="+mn-lt"/>
              <a:ea typeface="+mn-ea"/>
              <a:cs typeface="+mn-cs"/>
            </a:rPr>
            <a:t>For E-books held at end of fiscal year, see ACRL Stats</a:t>
          </a:r>
          <a:r>
            <a:rPr lang="en-US" sz="1100" baseline="0">
              <a:solidFill>
                <a:schemeClr val="dk1"/>
              </a:solidFill>
              <a:latin typeface="+mn-lt"/>
              <a:ea typeface="+mn-ea"/>
              <a:cs typeface="+mn-cs"/>
            </a:rPr>
            <a:t> question 44: 50,098.</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Includes online dissertations, NetLibrary titles(4,480), and U.S. federal government publications that are monographs (44,573). </a:t>
          </a:r>
        </a:p>
      </xdr:txBody>
    </xdr:sp>
    <xdr:clientData/>
  </xdr:twoCellAnchor>
  <xdr:twoCellAnchor>
    <xdr:from>
      <xdr:col>0</xdr:col>
      <xdr:colOff>95250</xdr:colOff>
      <xdr:row>48</xdr:row>
      <xdr:rowOff>114301</xdr:rowOff>
    </xdr:from>
    <xdr:to>
      <xdr:col>4</xdr:col>
      <xdr:colOff>9525</xdr:colOff>
      <xdr:row>58</xdr:row>
      <xdr:rowOff>19050</xdr:rowOff>
    </xdr:to>
    <xdr:sp macro="" textlink="">
      <xdr:nvSpPr>
        <xdr:cNvPr id="5" name="TextBox 4"/>
        <xdr:cNvSpPr txBox="1"/>
      </xdr:nvSpPr>
      <xdr:spPr>
        <a:xfrm>
          <a:off x="95250" y="10648951"/>
          <a:ext cx="6353175" cy="1809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402 (Microforms</a:t>
          </a:r>
          <a:r>
            <a:rPr lang="en-US" sz="1100" baseline="0"/>
            <a:t>)</a:t>
          </a:r>
        </a:p>
        <a:p>
          <a:endParaRPr lang="en-US" sz="1100" baseline="0"/>
        </a:p>
        <a:p>
          <a:r>
            <a:rPr lang="en-US" sz="1100" baseline="0"/>
            <a:t>See Unit annual statistics. </a:t>
          </a:r>
        </a:p>
        <a:p>
          <a:r>
            <a:rPr lang="en-US" sz="1100" baseline="0"/>
            <a:t>Added in FY10:  55</a:t>
          </a:r>
        </a:p>
        <a:p>
          <a:r>
            <a:rPr lang="en-US" sz="1100" baseline="0">
              <a:solidFill>
                <a:schemeClr val="dk1"/>
              </a:solidFill>
              <a:latin typeface="+mn-lt"/>
              <a:ea typeface="+mn-ea"/>
              <a:cs typeface="+mn-cs"/>
            </a:rPr>
            <a:t>Does NOT include government publications or branches.</a:t>
          </a:r>
          <a:endParaRPr lang="en-US"/>
        </a:p>
        <a:p>
          <a:endParaRPr lang="en-US" sz="1100" baseline="0"/>
        </a:p>
        <a:p>
          <a:r>
            <a:rPr lang="en-US" sz="1100" baseline="0"/>
            <a:t>For the total , combine number added in FY10 (55) with number  added in FY09 (645) = 700.</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Does NOT include government publications or branches.</a:t>
          </a:r>
          <a:endParaRPr lang="en-US"/>
        </a:p>
        <a:p>
          <a:endParaRPr lang="en-US" sz="1100" baseline="0"/>
        </a:p>
        <a:p>
          <a:r>
            <a:rPr lang="en-US" sz="1100" baseline="0"/>
            <a:t>Add this to total provided by NCES for 2008: 1,724,008 + 700 = 1,724,708.</a:t>
          </a:r>
        </a:p>
      </xdr:txBody>
    </xdr:sp>
    <xdr:clientData/>
  </xdr:twoCellAnchor>
  <xdr:twoCellAnchor>
    <xdr:from>
      <xdr:col>0</xdr:col>
      <xdr:colOff>85725</xdr:colOff>
      <xdr:row>74</xdr:row>
      <xdr:rowOff>95251</xdr:rowOff>
    </xdr:from>
    <xdr:to>
      <xdr:col>4</xdr:col>
      <xdr:colOff>0</xdr:colOff>
      <xdr:row>84</xdr:row>
      <xdr:rowOff>133351</xdr:rowOff>
    </xdr:to>
    <xdr:sp macro="" textlink="">
      <xdr:nvSpPr>
        <xdr:cNvPr id="7" name="TextBox 6"/>
        <xdr:cNvSpPr txBox="1"/>
      </xdr:nvSpPr>
      <xdr:spPr>
        <a:xfrm>
          <a:off x="85725" y="15582901"/>
          <a:ext cx="6353175"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Method for Line 405 (Electronic reference sources and aggregation services)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smtClean="0">
              <a:solidFill>
                <a:schemeClr val="dk1"/>
              </a:solidFill>
              <a:latin typeface="+mn-lt"/>
              <a:ea typeface="+mn-ea"/>
              <a:cs typeface="+mn-cs"/>
            </a:rPr>
            <a:t>Report the total number of citation indexes and abstracts; full-text article databases; full-text reference sources (e.g., encyclopedias, almanacs, biographical and statistical sources and other quick fact-finding sources); dissertation and conference proceedings databases.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smtClean="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smtClean="0">
              <a:solidFill>
                <a:schemeClr val="dk1"/>
              </a:solidFill>
              <a:latin typeface="+mn-lt"/>
              <a:ea typeface="+mn-ea"/>
              <a:cs typeface="+mn-cs"/>
            </a:rPr>
            <a:t>See Unit annual statistics. Include only paid-for titles.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smtClean="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smtClean="0">
              <a:solidFill>
                <a:schemeClr val="dk1"/>
              </a:solidFill>
              <a:latin typeface="+mn-lt"/>
              <a:ea typeface="+mn-ea"/>
              <a:cs typeface="+mn-cs"/>
            </a:rPr>
            <a:t>New databases for FY10: 2</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smtClean="0">
              <a:solidFill>
                <a:schemeClr val="dk1"/>
              </a:solidFill>
              <a:latin typeface="+mn-lt"/>
              <a:ea typeface="+mn-ea"/>
              <a:cs typeface="+mn-cs"/>
            </a:rPr>
            <a:t>Total databases (paid for + govt. + proxied on campus): 120</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smtClean="0">
              <a:solidFill>
                <a:schemeClr val="dk1"/>
              </a:solidFill>
              <a:latin typeface="+mn-lt"/>
              <a:ea typeface="+mn-ea"/>
              <a:cs typeface="+mn-cs"/>
            </a:rPr>
            <a:t>Excluded: statewide databases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smtClean="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twoCellAnchor>
    <xdr:from>
      <xdr:col>0</xdr:col>
      <xdr:colOff>85725</xdr:colOff>
      <xdr:row>58</xdr:row>
      <xdr:rowOff>85726</xdr:rowOff>
    </xdr:from>
    <xdr:to>
      <xdr:col>4</xdr:col>
      <xdr:colOff>38100</xdr:colOff>
      <xdr:row>74</xdr:row>
      <xdr:rowOff>38100</xdr:rowOff>
    </xdr:to>
    <xdr:sp macro="" textlink="">
      <xdr:nvSpPr>
        <xdr:cNvPr id="8" name="TextBox 7"/>
        <xdr:cNvSpPr txBox="1"/>
      </xdr:nvSpPr>
      <xdr:spPr>
        <a:xfrm>
          <a:off x="85725" y="12525376"/>
          <a:ext cx="6391275" cy="3000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404 (Current serial subscriptions)</a:t>
          </a:r>
        </a:p>
        <a:p>
          <a:endParaRPr lang="en-US" sz="1100"/>
        </a:p>
        <a:p>
          <a:r>
            <a:rPr lang="en-US" sz="1100" baseline="0" smtClean="0">
              <a:solidFill>
                <a:schemeClr val="dk1"/>
              </a:solidFill>
              <a:latin typeface="+mn-lt"/>
              <a:ea typeface="+mn-ea"/>
              <a:cs typeface="+mn-cs"/>
            </a:rPr>
            <a:t>Report the total number of titles in all formats. If the title comes in both paper and electronic form, count it twice. Count each individual title if it is received as part of a publisher’s package. Include paper and microfilm government documents issued serially if they are accessible through the library’s catalog.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See ACRL Stats question  5a.i. (electronic): 23,671</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and ACRL Stats question 5a.ii. (print and other format): But this time, count print + online twice: 1,638</a:t>
          </a:r>
          <a:endParaRPr lang="en-US" sz="1100" baseline="0"/>
        </a:p>
        <a:p>
          <a:r>
            <a:rPr lang="en-US" sz="1100" baseline="0"/>
            <a:t>"Print and other format" does not include Govt. Pubs. or branches.</a:t>
          </a:r>
        </a:p>
        <a:p>
          <a:endParaRPr lang="en-US" sz="1100" baseline="0"/>
        </a:p>
        <a:p>
          <a:r>
            <a:rPr lang="en-US" sz="1100" baseline="0"/>
            <a:t>TOTAL:  25,309</a:t>
          </a:r>
        </a:p>
        <a:p>
          <a:r>
            <a:rPr lang="en-US" sz="1100" baseline="0"/>
            <a:t>Does not include print/mform Govt. Pubs. or print/print + online branches. </a:t>
          </a:r>
        </a:p>
        <a:p>
          <a:endParaRPr lang="en-US" sz="1100" baseline="0"/>
        </a:p>
        <a:p>
          <a:r>
            <a:rPr lang="en-US" sz="1100" baseline="0"/>
            <a:t>To determine number added during fiscal year, substract FY09 number calculated same way as above (20,290) from FY10 number (25,309) = 5,019.</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Does not include print/mform Govt. Pubs. or print/print + online branches. </a:t>
          </a:r>
          <a:endParaRPr lang="en-US"/>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tabSelected="1" workbookViewId="0"/>
  </sheetViews>
  <sheetFormatPr baseColWidth="10" defaultColWidth="8.83203125" defaultRowHeight="12" x14ac:dyDescent="0"/>
  <cols>
    <col min="1" max="1" width="36.5" customWidth="1"/>
    <col min="4" max="4" width="9.5" customWidth="1"/>
  </cols>
  <sheetData>
    <row r="1" spans="1:14" ht="18">
      <c r="A1" s="213" t="s">
        <v>794</v>
      </c>
      <c r="B1" s="12"/>
      <c r="C1" s="12"/>
      <c r="D1" s="12"/>
      <c r="E1" s="12"/>
    </row>
    <row r="2" spans="1:14" ht="14">
      <c r="A2" s="12"/>
      <c r="B2" s="12"/>
      <c r="C2" s="12"/>
      <c r="D2" s="12"/>
      <c r="E2" s="12"/>
    </row>
    <row r="3" spans="1:14" ht="14">
      <c r="A3" s="12"/>
      <c r="B3" s="12"/>
      <c r="C3" s="12"/>
      <c r="D3" s="12"/>
      <c r="E3" s="12"/>
    </row>
    <row r="4" spans="1:14" ht="14">
      <c r="A4" s="76" t="s">
        <v>356</v>
      </c>
      <c r="B4" s="13"/>
      <c r="C4" s="13"/>
      <c r="D4" s="13"/>
      <c r="E4" s="13"/>
      <c r="F4" s="6"/>
      <c r="G4" s="6"/>
      <c r="H4" s="6"/>
      <c r="I4" s="6"/>
      <c r="J4" s="6"/>
      <c r="K4" s="6"/>
      <c r="L4" s="6"/>
      <c r="M4" s="6"/>
      <c r="N4" s="6"/>
    </row>
    <row r="5" spans="1:14" ht="14">
      <c r="A5" s="14"/>
      <c r="B5" s="15" t="s">
        <v>5</v>
      </c>
      <c r="C5" s="15" t="s">
        <v>462</v>
      </c>
      <c r="D5" s="15" t="s">
        <v>27</v>
      </c>
      <c r="E5" s="12"/>
    </row>
    <row r="6" spans="1:14" ht="14">
      <c r="A6" s="15" t="s">
        <v>797</v>
      </c>
      <c r="B6" s="16">
        <v>281</v>
      </c>
      <c r="C6" s="16">
        <v>728</v>
      </c>
      <c r="D6" s="17">
        <f>(C6-B6)/B6</f>
        <v>1.5907473309608542</v>
      </c>
      <c r="E6" s="12"/>
    </row>
    <row r="7" spans="1:14" ht="14">
      <c r="A7" s="15"/>
      <c r="B7" s="16"/>
      <c r="C7" s="16"/>
      <c r="D7" s="17"/>
      <c r="E7" s="12"/>
    </row>
    <row r="8" spans="1:14" ht="14">
      <c r="A8" s="137" t="s">
        <v>795</v>
      </c>
      <c r="B8" s="18">
        <v>9799</v>
      </c>
      <c r="C8" s="18">
        <v>11532</v>
      </c>
      <c r="D8" s="19">
        <f>(C8-B8)/B8</f>
        <v>0.17685478110011227</v>
      </c>
      <c r="E8" s="12"/>
    </row>
    <row r="9" spans="1:14" ht="14">
      <c r="A9" s="20" t="s">
        <v>394</v>
      </c>
      <c r="B9" s="16">
        <v>3037</v>
      </c>
      <c r="C9" s="16">
        <v>3507</v>
      </c>
      <c r="D9" s="21">
        <f t="shared" ref="D9:D14" si="0">(C9-B9)/B9</f>
        <v>0.15475798485347383</v>
      </c>
      <c r="E9" s="12"/>
    </row>
    <row r="10" spans="1:14" ht="14">
      <c r="A10" s="20" t="s">
        <v>396</v>
      </c>
      <c r="B10" s="16">
        <v>168</v>
      </c>
      <c r="C10" s="16">
        <v>218</v>
      </c>
      <c r="D10" s="21">
        <f t="shared" si="0"/>
        <v>0.29761904761904762</v>
      </c>
      <c r="E10" s="12"/>
    </row>
    <row r="11" spans="1:14" ht="14">
      <c r="A11" s="20" t="s">
        <v>796</v>
      </c>
      <c r="B11" s="16">
        <v>4224</v>
      </c>
      <c r="C11" s="16">
        <v>3908</v>
      </c>
      <c r="D11" s="21">
        <f t="shared" si="0"/>
        <v>-7.4810606060606064E-2</v>
      </c>
      <c r="E11" s="12"/>
    </row>
    <row r="12" spans="1:14" ht="14">
      <c r="A12" s="20" t="s">
        <v>316</v>
      </c>
      <c r="B12" s="16">
        <v>2370</v>
      </c>
      <c r="C12" s="16">
        <v>3899</v>
      </c>
      <c r="D12" s="21">
        <f t="shared" si="0"/>
        <v>0.64514767932489447</v>
      </c>
      <c r="E12" s="12"/>
    </row>
    <row r="13" spans="1:14" ht="14">
      <c r="A13" s="20"/>
      <c r="B13" s="16"/>
      <c r="C13" s="16"/>
      <c r="D13" s="21"/>
      <c r="E13" s="12"/>
    </row>
    <row r="14" spans="1:14" ht="14">
      <c r="A14" s="15" t="s">
        <v>798</v>
      </c>
      <c r="B14" s="16">
        <v>323</v>
      </c>
      <c r="C14" s="16">
        <v>218</v>
      </c>
      <c r="D14" s="21">
        <f t="shared" si="0"/>
        <v>-0.32507739938080493</v>
      </c>
      <c r="E14" s="12"/>
    </row>
    <row r="15" spans="1:14" ht="14">
      <c r="A15" s="23"/>
      <c r="B15" s="24"/>
      <c r="C15" s="24"/>
      <c r="D15" s="24"/>
      <c r="E15" s="24"/>
      <c r="F15" s="8"/>
      <c r="G15" s="8"/>
      <c r="H15" s="8"/>
      <c r="I15" s="8"/>
      <c r="J15" s="8"/>
      <c r="K15" s="8"/>
      <c r="L15" s="8"/>
      <c r="M15" s="8"/>
      <c r="N15" s="8"/>
    </row>
    <row r="16" spans="1:14" ht="14">
      <c r="A16" s="24"/>
      <c r="B16" s="23"/>
      <c r="C16" s="23"/>
      <c r="D16" s="23"/>
      <c r="E16" s="23"/>
      <c r="F16" s="7"/>
      <c r="G16" s="7"/>
      <c r="H16" s="7"/>
      <c r="I16" s="7"/>
      <c r="J16" s="7"/>
      <c r="K16" s="7"/>
      <c r="L16" s="7"/>
      <c r="M16" s="7"/>
      <c r="N16" s="7"/>
    </row>
    <row r="17" spans="1:14" ht="14">
      <c r="A17" s="76" t="s">
        <v>364</v>
      </c>
      <c r="B17" s="23"/>
      <c r="C17" s="23"/>
      <c r="D17" s="23"/>
      <c r="E17" s="23"/>
      <c r="F17" s="7"/>
      <c r="G17" s="7"/>
      <c r="H17" s="7"/>
      <c r="I17" s="7"/>
      <c r="J17" s="7"/>
      <c r="K17" s="7"/>
      <c r="L17" s="7"/>
      <c r="M17" s="7"/>
      <c r="N17" s="7"/>
    </row>
    <row r="18" spans="1:14" ht="14">
      <c r="A18" s="25"/>
      <c r="B18" s="15" t="s">
        <v>5</v>
      </c>
      <c r="C18" s="15" t="s">
        <v>462</v>
      </c>
      <c r="D18" s="15" t="s">
        <v>27</v>
      </c>
      <c r="E18" s="23"/>
      <c r="F18" s="7"/>
      <c r="G18" s="7"/>
      <c r="H18" s="7"/>
      <c r="I18" s="7"/>
      <c r="J18" s="7"/>
      <c r="K18" s="7"/>
      <c r="L18" s="7"/>
      <c r="M18" s="7"/>
      <c r="N18" s="7"/>
    </row>
    <row r="19" spans="1:14" ht="14">
      <c r="A19" s="138" t="s">
        <v>799</v>
      </c>
      <c r="B19" s="18"/>
      <c r="C19" s="18"/>
      <c r="D19" s="18"/>
      <c r="E19" s="23"/>
      <c r="F19" s="7"/>
      <c r="G19" s="7"/>
      <c r="H19" s="7"/>
      <c r="I19" s="7"/>
      <c r="J19" s="7"/>
      <c r="K19" s="7"/>
      <c r="L19" s="7"/>
      <c r="M19" s="7"/>
      <c r="N19" s="7"/>
    </row>
    <row r="20" spans="1:14" ht="14">
      <c r="A20" s="26" t="s">
        <v>800</v>
      </c>
      <c r="B20" s="16">
        <v>3851</v>
      </c>
      <c r="C20" s="16">
        <v>5096</v>
      </c>
      <c r="D20" s="17">
        <f>(C20-B20)/B20</f>
        <v>0.32329265125941314</v>
      </c>
      <c r="E20" s="12"/>
    </row>
    <row r="21" spans="1:14" ht="14">
      <c r="A21" s="26" t="s">
        <v>801</v>
      </c>
      <c r="B21" s="16">
        <v>316</v>
      </c>
      <c r="C21" s="16">
        <v>291</v>
      </c>
      <c r="D21" s="17">
        <f t="shared" ref="D21:D24" si="1">(C21-B21)/B21</f>
        <v>-7.9113924050632917E-2</v>
      </c>
      <c r="E21" s="12"/>
    </row>
    <row r="22" spans="1:14" ht="14">
      <c r="A22" s="26" t="s">
        <v>802</v>
      </c>
      <c r="B22" s="16">
        <v>3078</v>
      </c>
      <c r="C22" s="16">
        <v>3965</v>
      </c>
      <c r="D22" s="17">
        <f t="shared" si="1"/>
        <v>0.28817413905133205</v>
      </c>
      <c r="E22" s="12"/>
    </row>
    <row r="23" spans="1:14" ht="14">
      <c r="A23" s="26" t="s">
        <v>803</v>
      </c>
      <c r="B23" s="16">
        <v>102</v>
      </c>
      <c r="C23" s="16">
        <v>56</v>
      </c>
      <c r="D23" s="17">
        <f t="shared" si="1"/>
        <v>-0.45098039215686275</v>
      </c>
      <c r="E23" s="12"/>
    </row>
    <row r="24" spans="1:14" ht="14">
      <c r="A24" s="15" t="s">
        <v>804</v>
      </c>
      <c r="B24" s="16">
        <v>649</v>
      </c>
      <c r="C24" s="16">
        <v>698</v>
      </c>
      <c r="D24" s="17">
        <f t="shared" si="1"/>
        <v>7.5500770416024654E-2</v>
      </c>
      <c r="E24" s="12"/>
    </row>
    <row r="25" spans="1:14" ht="14">
      <c r="A25" s="15"/>
      <c r="B25" s="16"/>
      <c r="C25" s="16"/>
      <c r="D25" s="17"/>
      <c r="E25" s="12"/>
    </row>
    <row r="26" spans="1:14" ht="14">
      <c r="A26" s="138" t="s">
        <v>805</v>
      </c>
      <c r="B26" s="18"/>
      <c r="C26" s="18"/>
      <c r="D26" s="18"/>
      <c r="E26" s="12"/>
    </row>
    <row r="27" spans="1:14" ht="14">
      <c r="A27" s="15" t="s">
        <v>806</v>
      </c>
      <c r="B27" s="27">
        <v>6085</v>
      </c>
      <c r="C27" s="27">
        <v>6591</v>
      </c>
      <c r="D27" s="17">
        <f t="shared" ref="D27:D36" si="2">(C27-B27)/B27</f>
        <v>8.315529991783073E-2</v>
      </c>
      <c r="E27" s="12"/>
    </row>
    <row r="28" spans="1:14" ht="14">
      <c r="A28" s="15" t="s">
        <v>807</v>
      </c>
      <c r="B28" s="27" t="s">
        <v>792</v>
      </c>
      <c r="C28" s="27">
        <v>944</v>
      </c>
      <c r="D28" s="134" t="s">
        <v>792</v>
      </c>
      <c r="E28" s="12"/>
    </row>
    <row r="29" spans="1:14" ht="14">
      <c r="A29" s="15" t="s">
        <v>808</v>
      </c>
      <c r="B29" s="16">
        <v>1428</v>
      </c>
      <c r="C29" s="16">
        <v>1343</v>
      </c>
      <c r="D29" s="17">
        <f t="shared" si="2"/>
        <v>-5.9523809523809521E-2</v>
      </c>
      <c r="E29" s="12"/>
    </row>
    <row r="30" spans="1:14" ht="14">
      <c r="A30" s="15"/>
      <c r="B30" s="16"/>
      <c r="C30" s="16"/>
      <c r="D30" s="17"/>
      <c r="E30" s="12"/>
    </row>
    <row r="31" spans="1:14" ht="14">
      <c r="A31" s="138" t="s">
        <v>809</v>
      </c>
      <c r="B31" s="18"/>
      <c r="C31" s="18"/>
      <c r="D31" s="18"/>
      <c r="E31" s="12"/>
    </row>
    <row r="32" spans="1:14" ht="14">
      <c r="A32" s="15" t="s">
        <v>810</v>
      </c>
      <c r="B32" s="16">
        <v>2792</v>
      </c>
      <c r="C32" s="16">
        <v>0</v>
      </c>
      <c r="D32" s="17">
        <f t="shared" si="2"/>
        <v>-1</v>
      </c>
      <c r="E32" s="12"/>
    </row>
    <row r="33" spans="1:5" ht="14">
      <c r="A33" s="15" t="s">
        <v>811</v>
      </c>
      <c r="B33" s="16">
        <v>121</v>
      </c>
      <c r="C33" s="16">
        <v>0</v>
      </c>
      <c r="D33" s="17">
        <f t="shared" si="2"/>
        <v>-1</v>
      </c>
      <c r="E33" s="12"/>
    </row>
    <row r="34" spans="1:5" ht="14">
      <c r="A34" s="15" t="s">
        <v>812</v>
      </c>
      <c r="B34" s="16">
        <v>40</v>
      </c>
      <c r="C34" s="16">
        <v>0</v>
      </c>
      <c r="D34" s="17">
        <f t="shared" si="2"/>
        <v>-1</v>
      </c>
      <c r="E34" s="12"/>
    </row>
    <row r="35" spans="1:5" ht="14">
      <c r="A35" s="15" t="s">
        <v>813</v>
      </c>
      <c r="B35" s="16">
        <v>0</v>
      </c>
      <c r="C35" s="16">
        <v>0</v>
      </c>
      <c r="D35" s="134">
        <v>0</v>
      </c>
      <c r="E35" s="12"/>
    </row>
    <row r="36" spans="1:5" ht="14">
      <c r="A36" s="15" t="s">
        <v>814</v>
      </c>
      <c r="B36" s="16">
        <v>2</v>
      </c>
      <c r="C36" s="16">
        <v>0</v>
      </c>
      <c r="D36" s="17">
        <f t="shared" si="2"/>
        <v>-1</v>
      </c>
      <c r="E36" s="12"/>
    </row>
    <row r="37" spans="1:5" ht="14">
      <c r="A37" s="12"/>
      <c r="B37" s="12"/>
      <c r="C37" s="12"/>
      <c r="D37" s="12"/>
      <c r="E37" s="12"/>
    </row>
  </sheetData>
  <phoneticPr fontId="2" type="noConversion"/>
  <pageMargins left="0.75" right="0.75" top="1" bottom="1" header="0.5" footer="0.5"/>
  <pageSetup orientation="portrait"/>
  <headerFooter alignWithMargins="0">
    <oddFooter>&amp;L2009-2010&amp;C&amp;A&amp;RPage &amp;P of &amp;N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workbookViewId="0"/>
  </sheetViews>
  <sheetFormatPr baseColWidth="10" defaultColWidth="8.83203125" defaultRowHeight="12" x14ac:dyDescent="0"/>
  <cols>
    <col min="1" max="1" width="36.5" customWidth="1"/>
    <col min="4" max="4" width="9.5" customWidth="1"/>
  </cols>
  <sheetData>
    <row r="1" spans="1:14" ht="18">
      <c r="A1" s="213" t="s">
        <v>793</v>
      </c>
      <c r="B1" s="12"/>
      <c r="C1" s="12"/>
      <c r="D1" s="12"/>
      <c r="E1" s="12"/>
    </row>
    <row r="2" spans="1:14" ht="14">
      <c r="A2" s="12"/>
      <c r="B2" s="12"/>
      <c r="C2" s="12"/>
      <c r="D2" s="12"/>
      <c r="E2" s="12"/>
    </row>
    <row r="3" spans="1:14" ht="14">
      <c r="A3" s="12"/>
      <c r="B3" s="12"/>
      <c r="C3" s="12"/>
      <c r="D3" s="12"/>
      <c r="E3" s="12"/>
    </row>
    <row r="4" spans="1:14" ht="14">
      <c r="A4" s="76" t="s">
        <v>356</v>
      </c>
      <c r="B4" s="13"/>
      <c r="C4" s="13"/>
      <c r="D4" s="13"/>
      <c r="E4" s="13"/>
      <c r="F4" s="6"/>
      <c r="G4" s="6"/>
      <c r="H4" s="6"/>
      <c r="I4" s="6"/>
      <c r="J4" s="6"/>
      <c r="K4" s="6"/>
      <c r="L4" s="6"/>
      <c r="M4" s="6"/>
      <c r="N4" s="6"/>
    </row>
    <row r="5" spans="1:14" ht="14">
      <c r="A5" s="14"/>
      <c r="B5" s="15" t="s">
        <v>5</v>
      </c>
      <c r="C5" s="15" t="s">
        <v>462</v>
      </c>
      <c r="D5" s="15" t="s">
        <v>27</v>
      </c>
      <c r="E5" s="12"/>
    </row>
    <row r="6" spans="1:14" ht="14">
      <c r="A6" s="15" t="s">
        <v>357</v>
      </c>
      <c r="B6" s="16">
        <v>112</v>
      </c>
      <c r="C6" s="16">
        <v>11999</v>
      </c>
      <c r="D6" s="17">
        <f>(C6-B6)/B6</f>
        <v>106.13392857142857</v>
      </c>
      <c r="E6" s="12"/>
    </row>
    <row r="7" spans="1:14" ht="14">
      <c r="A7" s="15" t="s">
        <v>358</v>
      </c>
      <c r="B7" s="16">
        <v>0</v>
      </c>
      <c r="C7" s="16">
        <v>0</v>
      </c>
      <c r="D7" s="17">
        <v>0</v>
      </c>
      <c r="E7" s="12"/>
    </row>
    <row r="8" spans="1:14" ht="14">
      <c r="A8" s="15"/>
      <c r="B8" s="16"/>
      <c r="C8" s="16"/>
      <c r="D8" s="17"/>
      <c r="E8" s="12"/>
    </row>
    <row r="9" spans="1:14" ht="14">
      <c r="A9" s="18" t="s">
        <v>367</v>
      </c>
      <c r="B9" s="18">
        <v>3085</v>
      </c>
      <c r="C9" s="18">
        <v>2125</v>
      </c>
      <c r="D9" s="19">
        <f>(C9-B9)/B9</f>
        <v>-0.31118314424635335</v>
      </c>
      <c r="E9" s="12"/>
    </row>
    <row r="10" spans="1:14" ht="14">
      <c r="A10" s="20" t="s">
        <v>359</v>
      </c>
      <c r="B10" s="16">
        <v>626</v>
      </c>
      <c r="C10" s="16">
        <v>194</v>
      </c>
      <c r="D10" s="21">
        <f t="shared" ref="D10:D15" si="0">(C10-B10)/B10</f>
        <v>-0.69009584664536738</v>
      </c>
      <c r="E10" s="12"/>
    </row>
    <row r="11" spans="1:14" ht="14">
      <c r="A11" s="20" t="s">
        <v>360</v>
      </c>
      <c r="B11" s="16">
        <v>2414</v>
      </c>
      <c r="C11" s="16">
        <v>1890</v>
      </c>
      <c r="D11" s="21">
        <f t="shared" si="0"/>
        <v>-0.21706710853355426</v>
      </c>
      <c r="E11" s="12"/>
    </row>
    <row r="12" spans="1:14" ht="14">
      <c r="A12" s="20" t="s">
        <v>316</v>
      </c>
      <c r="B12" s="16">
        <v>45</v>
      </c>
      <c r="C12" s="16">
        <v>41</v>
      </c>
      <c r="D12" s="21">
        <f t="shared" si="0"/>
        <v>-8.8888888888888892E-2</v>
      </c>
      <c r="E12" s="12"/>
    </row>
    <row r="13" spans="1:14" ht="14">
      <c r="A13" s="15" t="s">
        <v>361</v>
      </c>
      <c r="B13" s="16"/>
      <c r="C13" s="16"/>
      <c r="D13" s="21"/>
      <c r="E13" s="12"/>
    </row>
    <row r="14" spans="1:14" ht="14">
      <c r="A14" s="18" t="s">
        <v>188</v>
      </c>
      <c r="B14" s="18">
        <v>645</v>
      </c>
      <c r="C14" s="18">
        <v>55</v>
      </c>
      <c r="D14" s="19">
        <f t="shared" si="0"/>
        <v>-0.9147286821705426</v>
      </c>
      <c r="E14" s="12"/>
    </row>
    <row r="15" spans="1:14" ht="14">
      <c r="A15" s="20" t="s">
        <v>362</v>
      </c>
      <c r="B15" s="16">
        <v>250</v>
      </c>
      <c r="C15" s="16">
        <v>55</v>
      </c>
      <c r="D15" s="21">
        <f t="shared" si="0"/>
        <v>-0.78</v>
      </c>
      <c r="E15" s="12"/>
    </row>
    <row r="16" spans="1:14" ht="14">
      <c r="A16" s="20" t="s">
        <v>363</v>
      </c>
      <c r="B16" s="16">
        <v>395</v>
      </c>
      <c r="C16" s="16">
        <v>0</v>
      </c>
      <c r="D16" s="22" t="s">
        <v>135</v>
      </c>
      <c r="E16" s="12"/>
    </row>
    <row r="17" spans="1:14" ht="14">
      <c r="A17" s="23"/>
      <c r="B17" s="24"/>
      <c r="C17" s="24"/>
      <c r="D17" s="24"/>
      <c r="E17" s="24"/>
      <c r="F17" s="8"/>
      <c r="G17" s="8"/>
      <c r="H17" s="8"/>
      <c r="I17" s="8"/>
      <c r="J17" s="8"/>
      <c r="K17" s="8"/>
      <c r="L17" s="8"/>
      <c r="M17" s="8"/>
      <c r="N17" s="8"/>
    </row>
    <row r="18" spans="1:14" ht="14">
      <c r="A18" s="24"/>
      <c r="B18" s="23"/>
      <c r="C18" s="23"/>
      <c r="D18" s="23"/>
      <c r="E18" s="23"/>
      <c r="F18" s="7"/>
      <c r="G18" s="7"/>
      <c r="H18" s="7"/>
      <c r="I18" s="7"/>
      <c r="J18" s="7"/>
      <c r="K18" s="7"/>
      <c r="L18" s="7"/>
      <c r="M18" s="7"/>
      <c r="N18" s="7"/>
    </row>
    <row r="19" spans="1:14" ht="14">
      <c r="A19" s="76" t="s">
        <v>364</v>
      </c>
      <c r="B19" s="23"/>
      <c r="C19" s="23"/>
      <c r="D19" s="23"/>
      <c r="E19" s="23"/>
      <c r="F19" s="7"/>
      <c r="G19" s="7"/>
      <c r="H19" s="7"/>
      <c r="I19" s="7"/>
      <c r="J19" s="7"/>
      <c r="K19" s="7"/>
      <c r="L19" s="7"/>
      <c r="M19" s="7"/>
      <c r="N19" s="7"/>
    </row>
    <row r="20" spans="1:14" ht="14">
      <c r="A20" s="25"/>
      <c r="B20" s="15" t="s">
        <v>5</v>
      </c>
      <c r="C20" s="15" t="s">
        <v>462</v>
      </c>
      <c r="D20" s="15" t="s">
        <v>27</v>
      </c>
      <c r="E20" s="23"/>
      <c r="F20" s="7"/>
      <c r="G20" s="7"/>
      <c r="H20" s="7"/>
      <c r="I20" s="7"/>
      <c r="J20" s="7"/>
      <c r="K20" s="7"/>
      <c r="L20" s="7"/>
      <c r="M20" s="7"/>
      <c r="N20" s="7"/>
    </row>
    <row r="21" spans="1:14" ht="14">
      <c r="A21" s="26" t="s">
        <v>186</v>
      </c>
      <c r="B21" s="16">
        <v>14962</v>
      </c>
      <c r="C21" s="16">
        <v>15781</v>
      </c>
      <c r="D21" s="17">
        <f>(C21-B21)/B21</f>
        <v>5.4738671300628261E-2</v>
      </c>
      <c r="E21" s="12"/>
    </row>
    <row r="22" spans="1:14" ht="14">
      <c r="A22" s="26"/>
      <c r="B22" s="16"/>
      <c r="C22" s="16"/>
      <c r="D22" s="17"/>
      <c r="E22" s="12"/>
    </row>
    <row r="23" spans="1:14" ht="14">
      <c r="A23" s="26" t="s">
        <v>187</v>
      </c>
      <c r="B23" s="16">
        <v>60</v>
      </c>
      <c r="C23" s="16">
        <v>0</v>
      </c>
      <c r="D23" s="17">
        <f t="shared" ref="D23:D33" si="1">(C23-B23)/B23</f>
        <v>-1</v>
      </c>
      <c r="E23" s="12"/>
    </row>
    <row r="24" spans="1:14" ht="14">
      <c r="A24" s="26" t="s">
        <v>355</v>
      </c>
      <c r="B24" s="16">
        <v>156</v>
      </c>
      <c r="C24" s="16">
        <v>91</v>
      </c>
      <c r="D24" s="17">
        <f t="shared" si="1"/>
        <v>-0.41666666666666669</v>
      </c>
      <c r="E24" s="12"/>
    </row>
    <row r="25" spans="1:14" ht="14">
      <c r="A25" s="15"/>
      <c r="B25" s="16"/>
      <c r="C25" s="16"/>
      <c r="D25" s="17"/>
      <c r="E25" s="12"/>
    </row>
    <row r="26" spans="1:14" ht="14">
      <c r="A26" s="15" t="s">
        <v>190</v>
      </c>
      <c r="B26" s="16">
        <v>557</v>
      </c>
      <c r="C26" s="16">
        <v>661</v>
      </c>
      <c r="D26" s="17">
        <f t="shared" si="1"/>
        <v>0.1867145421903052</v>
      </c>
      <c r="E26" s="12"/>
    </row>
    <row r="27" spans="1:14" ht="14">
      <c r="A27" s="14"/>
      <c r="B27" s="16"/>
      <c r="C27" s="16"/>
      <c r="D27" s="17"/>
      <c r="E27" s="12"/>
    </row>
    <row r="28" spans="1:14" ht="14">
      <c r="A28" s="15" t="s">
        <v>189</v>
      </c>
      <c r="B28" s="27">
        <v>10196</v>
      </c>
      <c r="C28" s="27">
        <v>6330</v>
      </c>
      <c r="D28" s="17">
        <f t="shared" si="1"/>
        <v>-0.37916830129462537</v>
      </c>
      <c r="E28" s="12"/>
    </row>
    <row r="29" spans="1:14" ht="14">
      <c r="A29" s="14"/>
      <c r="B29" s="16"/>
      <c r="C29" s="16"/>
      <c r="D29" s="17"/>
      <c r="E29" s="12"/>
    </row>
    <row r="30" spans="1:14" ht="14">
      <c r="A30" s="28" t="s">
        <v>368</v>
      </c>
      <c r="B30" s="28">
        <v>3525</v>
      </c>
      <c r="C30" s="28">
        <v>2866</v>
      </c>
      <c r="D30" s="19">
        <f t="shared" si="1"/>
        <v>-0.18695035460992906</v>
      </c>
      <c r="E30" s="12"/>
    </row>
    <row r="31" spans="1:14" ht="14">
      <c r="A31" s="20" t="s">
        <v>369</v>
      </c>
      <c r="B31" s="16">
        <v>2394</v>
      </c>
      <c r="C31" s="16">
        <v>1890</v>
      </c>
      <c r="D31" s="17">
        <f t="shared" si="1"/>
        <v>-0.21052631578947367</v>
      </c>
      <c r="E31" s="12"/>
    </row>
    <row r="32" spans="1:14" ht="14">
      <c r="A32" s="20" t="s">
        <v>365</v>
      </c>
      <c r="B32" s="16">
        <v>597</v>
      </c>
      <c r="C32" s="16">
        <v>562</v>
      </c>
      <c r="D32" s="17">
        <f t="shared" si="1"/>
        <v>-5.8626465661641543E-2</v>
      </c>
      <c r="E32" s="12"/>
    </row>
    <row r="33" spans="1:5" ht="14">
      <c r="A33" s="20" t="s">
        <v>366</v>
      </c>
      <c r="B33" s="16">
        <v>534</v>
      </c>
      <c r="C33" s="16">
        <v>414</v>
      </c>
      <c r="D33" s="17">
        <f t="shared" si="1"/>
        <v>-0.2247191011235955</v>
      </c>
      <c r="E33" s="12"/>
    </row>
    <row r="34" spans="1:5" ht="14">
      <c r="A34" s="12"/>
      <c r="B34" s="12"/>
      <c r="C34" s="12"/>
      <c r="D34" s="12"/>
      <c r="E34" s="12"/>
    </row>
  </sheetData>
  <phoneticPr fontId="2" type="noConversion"/>
  <pageMargins left="0.75" right="0.75" top="1" bottom="1" header="0.5" footer="0.5"/>
  <pageSetup orientation="portrait"/>
  <headerFooter alignWithMargins="0">
    <oddFooter>&amp;L2009-2010&amp;C&amp;A&amp;RPage &amp;P of &amp;N</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topLeftCell="A2" workbookViewId="0"/>
  </sheetViews>
  <sheetFormatPr baseColWidth="10" defaultColWidth="8.83203125" defaultRowHeight="12" x14ac:dyDescent="0"/>
  <cols>
    <col min="1" max="1" width="22.1640625" customWidth="1"/>
    <col min="2" max="2" width="16.83203125" bestFit="1" customWidth="1"/>
    <col min="3" max="3" width="13.5" bestFit="1" customWidth="1"/>
    <col min="4" max="4" width="10.83203125" bestFit="1" customWidth="1"/>
    <col min="5" max="5" width="13.83203125" customWidth="1"/>
    <col min="6" max="6" width="11.83203125" bestFit="1" customWidth="1"/>
    <col min="10" max="10" width="13.5" bestFit="1" customWidth="1"/>
    <col min="12" max="12" width="13.5" bestFit="1" customWidth="1"/>
    <col min="13" max="13" width="10.6640625" bestFit="1" customWidth="1"/>
  </cols>
  <sheetData>
    <row r="1" spans="1:8" ht="18">
      <c r="A1" s="213" t="s">
        <v>821</v>
      </c>
      <c r="B1" s="12"/>
      <c r="C1" s="12"/>
      <c r="D1" s="12"/>
      <c r="E1" s="12"/>
      <c r="F1" s="12"/>
      <c r="G1" s="12"/>
      <c r="H1" s="12"/>
    </row>
    <row r="2" spans="1:8" ht="14">
      <c r="A2" s="12"/>
      <c r="B2" s="12"/>
      <c r="C2" s="12"/>
      <c r="D2" s="12"/>
      <c r="E2" s="12"/>
      <c r="F2" s="12"/>
      <c r="G2" s="12"/>
      <c r="H2" s="12"/>
    </row>
    <row r="3" spans="1:8" ht="15">
      <c r="A3" s="9" t="s">
        <v>822</v>
      </c>
      <c r="B3" s="12"/>
      <c r="C3" s="12"/>
      <c r="D3" s="12"/>
      <c r="E3" s="12"/>
      <c r="F3" s="12"/>
      <c r="G3" s="12"/>
      <c r="H3" s="12"/>
    </row>
    <row r="4" spans="1:8" ht="14">
      <c r="A4" s="12"/>
      <c r="B4" s="12"/>
      <c r="C4" s="12"/>
      <c r="D4" s="12"/>
      <c r="E4" s="12"/>
      <c r="F4" s="12"/>
      <c r="G4" s="12"/>
      <c r="H4" s="12"/>
    </row>
    <row r="5" spans="1:8" ht="29" thickBot="1">
      <c r="A5" s="29" t="s">
        <v>824</v>
      </c>
      <c r="B5" s="30" t="s">
        <v>5</v>
      </c>
      <c r="C5" s="30" t="s">
        <v>462</v>
      </c>
      <c r="D5" s="30" t="s">
        <v>370</v>
      </c>
      <c r="E5" s="30" t="s">
        <v>577</v>
      </c>
      <c r="F5" s="12"/>
      <c r="G5" s="12"/>
      <c r="H5" s="12"/>
    </row>
    <row r="6" spans="1:8" ht="14">
      <c r="A6" s="137" t="s">
        <v>337</v>
      </c>
      <c r="B6" s="167">
        <f>B7+B8+B9</f>
        <v>303146.51</v>
      </c>
      <c r="C6" s="167">
        <f>C7+C8+C9</f>
        <v>357422.45</v>
      </c>
      <c r="D6" s="171">
        <f>(C6-B6)/B6</f>
        <v>0.17904194245878008</v>
      </c>
      <c r="E6" s="168">
        <f>C6/C14</f>
        <v>0.11534189598781662</v>
      </c>
      <c r="F6" s="12"/>
      <c r="G6" s="12"/>
      <c r="H6" s="12"/>
    </row>
    <row r="7" spans="1:8" ht="14">
      <c r="A7" s="136" t="s">
        <v>191</v>
      </c>
      <c r="B7" s="32">
        <v>293919.46000000002</v>
      </c>
      <c r="C7" s="32">
        <v>343565.02</v>
      </c>
      <c r="D7" s="33">
        <f t="shared" ref="D7:D13" si="0">(C7-B7)/B7</f>
        <v>0.16890872077677332</v>
      </c>
      <c r="E7" s="34">
        <f>C7/C14</f>
        <v>0.11087003852693679</v>
      </c>
      <c r="F7" s="12"/>
      <c r="G7" s="12"/>
      <c r="H7" s="12"/>
    </row>
    <row r="8" spans="1:8" ht="14">
      <c r="A8" s="136" t="s">
        <v>818</v>
      </c>
      <c r="B8" s="32">
        <v>2168.62</v>
      </c>
      <c r="C8" s="32">
        <v>76.5</v>
      </c>
      <c r="D8" s="33">
        <f t="shared" si="0"/>
        <v>-0.96472411026367</v>
      </c>
      <c r="E8" s="34">
        <f>C8/C14</f>
        <v>2.4686907728006371E-5</v>
      </c>
      <c r="F8" s="12"/>
      <c r="G8" s="12"/>
      <c r="H8" s="12"/>
    </row>
    <row r="9" spans="1:8" ht="14">
      <c r="A9" s="136" t="s">
        <v>819</v>
      </c>
      <c r="B9" s="32">
        <v>7058.43</v>
      </c>
      <c r="C9" s="32">
        <v>13780.93</v>
      </c>
      <c r="D9" s="33">
        <f t="shared" si="0"/>
        <v>0.95240726337159964</v>
      </c>
      <c r="E9" s="34">
        <f>C9/C14</f>
        <v>4.4471705531518285E-3</v>
      </c>
      <c r="F9" s="12"/>
      <c r="G9" s="12"/>
      <c r="H9" s="12"/>
    </row>
    <row r="10" spans="1:8" ht="14">
      <c r="A10" s="137" t="s">
        <v>825</v>
      </c>
      <c r="B10" s="169">
        <f>B11+B12+B13</f>
        <v>2633949.88</v>
      </c>
      <c r="C10" s="169">
        <f>C11+C12+C13</f>
        <v>2741386.0700000003</v>
      </c>
      <c r="D10" s="170">
        <f t="shared" ref="D10" si="1">(C10-B10)/B10</f>
        <v>4.078900316812422E-2</v>
      </c>
      <c r="E10" s="168">
        <f>C10/C14</f>
        <v>0.88465810401218337</v>
      </c>
      <c r="F10" s="12"/>
      <c r="G10" s="12"/>
      <c r="H10" s="12"/>
    </row>
    <row r="11" spans="1:8" ht="14">
      <c r="A11" s="136" t="s">
        <v>191</v>
      </c>
      <c r="B11" s="32">
        <v>2602491.17</v>
      </c>
      <c r="C11" s="32">
        <v>2726388.62</v>
      </c>
      <c r="D11" s="33">
        <f t="shared" si="0"/>
        <v>4.7607250863410305E-2</v>
      </c>
      <c r="E11" s="34">
        <f>C11/C14</f>
        <v>0.87981835676636122</v>
      </c>
      <c r="F11" s="12"/>
      <c r="G11" s="12"/>
      <c r="H11" s="12"/>
    </row>
    <row r="12" spans="1:8" ht="14">
      <c r="A12" s="136" t="s">
        <v>24</v>
      </c>
      <c r="B12" s="36">
        <v>27264.41</v>
      </c>
      <c r="C12" s="36">
        <v>10536.48</v>
      </c>
      <c r="D12" s="33">
        <f t="shared" si="0"/>
        <v>-0.6135445439677587</v>
      </c>
      <c r="E12" s="34">
        <f>C12/C14</f>
        <v>3.4001713665096022E-3</v>
      </c>
      <c r="F12" s="12"/>
      <c r="G12" s="12"/>
      <c r="H12" s="12"/>
    </row>
    <row r="13" spans="1:8" ht="15" thickBot="1">
      <c r="A13" s="136" t="s">
        <v>9</v>
      </c>
      <c r="B13" s="38">
        <v>4194.3</v>
      </c>
      <c r="C13" s="36">
        <v>4460.97</v>
      </c>
      <c r="D13" s="33">
        <f t="shared" si="0"/>
        <v>6.3579143122809545E-2</v>
      </c>
      <c r="E13" s="34">
        <f>C13/C14</f>
        <v>1.4395758793124783E-3</v>
      </c>
      <c r="F13" s="12"/>
      <c r="G13" s="12"/>
      <c r="H13" s="12"/>
    </row>
    <row r="14" spans="1:8" ht="15" thickBot="1">
      <c r="A14" s="96" t="s">
        <v>23</v>
      </c>
      <c r="B14" s="77">
        <f>B6+B10</f>
        <v>2937096.3899999997</v>
      </c>
      <c r="C14" s="77">
        <f>C6+C10</f>
        <v>3098808.5200000005</v>
      </c>
      <c r="D14" s="78">
        <f>(C14-B14)/B14</f>
        <v>5.5058502863775893E-2</v>
      </c>
      <c r="E14" s="78">
        <f>E6+E10</f>
        <v>1</v>
      </c>
      <c r="F14" s="12"/>
      <c r="G14" s="12"/>
      <c r="H14" s="12"/>
    </row>
    <row r="15" spans="1:8" ht="14">
      <c r="A15" s="42"/>
      <c r="B15" s="43"/>
      <c r="C15" s="43"/>
      <c r="D15" s="44"/>
      <c r="E15" s="44"/>
      <c r="F15" s="12"/>
      <c r="G15" s="12"/>
      <c r="H15" s="12"/>
    </row>
    <row r="16" spans="1:8" ht="14">
      <c r="A16" s="42"/>
      <c r="B16" s="43"/>
      <c r="C16" s="43"/>
      <c r="D16" s="44"/>
      <c r="E16" s="44"/>
      <c r="F16" s="12"/>
      <c r="G16" s="12"/>
      <c r="H16" s="12"/>
    </row>
    <row r="17" spans="1:8" ht="15">
      <c r="A17" s="9" t="s">
        <v>374</v>
      </c>
      <c r="B17" s="9"/>
      <c r="C17" s="10"/>
      <c r="D17" s="10"/>
      <c r="E17" s="10"/>
      <c r="F17" s="10"/>
      <c r="G17" s="12"/>
      <c r="H17" s="12"/>
    </row>
    <row r="18" spans="1:8" ht="14">
      <c r="A18" s="12"/>
      <c r="B18" s="12"/>
      <c r="C18" s="12"/>
      <c r="D18" s="12"/>
      <c r="E18" s="12"/>
      <c r="F18" s="12"/>
      <c r="G18" s="12"/>
      <c r="H18" s="12"/>
    </row>
    <row r="19" spans="1:8" ht="15" thickBot="1">
      <c r="A19" s="29" t="s">
        <v>12</v>
      </c>
      <c r="B19" s="30" t="s">
        <v>5</v>
      </c>
      <c r="C19" s="30" t="s">
        <v>462</v>
      </c>
      <c r="D19" s="30" t="s">
        <v>370</v>
      </c>
      <c r="F19" s="209"/>
      <c r="G19" s="12"/>
      <c r="H19" s="12"/>
    </row>
    <row r="20" spans="1:8" ht="14">
      <c r="A20" s="137" t="s">
        <v>337</v>
      </c>
      <c r="B20" s="142">
        <f>B21+B22+B23</f>
        <v>21098.01</v>
      </c>
      <c r="C20" s="142">
        <f>C21+C22+C23</f>
        <v>3810.68</v>
      </c>
      <c r="D20" s="144">
        <f t="shared" ref="D20:D28" si="2">(C20-B20)/B20</f>
        <v>-0.81938201754573059</v>
      </c>
      <c r="F20" s="12"/>
      <c r="G20" s="12"/>
      <c r="H20" s="12"/>
    </row>
    <row r="21" spans="1:8" ht="14">
      <c r="A21" s="136" t="s">
        <v>191</v>
      </c>
      <c r="B21" s="48">
        <v>21098.01</v>
      </c>
      <c r="C21" s="48">
        <v>3810.68</v>
      </c>
      <c r="D21" s="34">
        <f>(C21-B21)/B21</f>
        <v>-0.81938201754573059</v>
      </c>
      <c r="F21" s="124"/>
      <c r="G21" s="210"/>
      <c r="H21" s="12"/>
    </row>
    <row r="22" spans="1:8" ht="14">
      <c r="A22" s="136" t="s">
        <v>160</v>
      </c>
      <c r="B22" s="48">
        <v>0</v>
      </c>
      <c r="C22" s="48">
        <v>0</v>
      </c>
      <c r="D22" s="34">
        <v>0</v>
      </c>
      <c r="F22" s="12"/>
      <c r="G22" s="12"/>
      <c r="H22" s="12"/>
    </row>
    <row r="23" spans="1:8" ht="14">
      <c r="A23" s="136" t="s">
        <v>162</v>
      </c>
      <c r="B23" s="48">
        <v>0</v>
      </c>
      <c r="C23" s="48">
        <v>0</v>
      </c>
      <c r="D23" s="34">
        <v>0</v>
      </c>
      <c r="F23" s="12"/>
      <c r="G23" s="12"/>
      <c r="H23" s="12"/>
    </row>
    <row r="24" spans="1:8" ht="14">
      <c r="A24" s="137" t="s">
        <v>825</v>
      </c>
      <c r="B24" s="142">
        <f>B25+B26+B27</f>
        <v>36466.839999999997</v>
      </c>
      <c r="C24" s="142">
        <f>C25+C26+C27</f>
        <v>36582.03</v>
      </c>
      <c r="D24" s="144">
        <f t="shared" si="2"/>
        <v>3.1587601228952752E-3</v>
      </c>
      <c r="F24" s="12"/>
      <c r="G24" s="12"/>
      <c r="H24" s="12"/>
    </row>
    <row r="25" spans="1:8" ht="14">
      <c r="A25" s="136" t="s">
        <v>191</v>
      </c>
      <c r="B25" s="48">
        <v>36466.839999999997</v>
      </c>
      <c r="C25" s="48">
        <v>36582.03</v>
      </c>
      <c r="D25" s="34">
        <f>(C25-B25)/B25</f>
        <v>3.1587601228952752E-3</v>
      </c>
      <c r="F25" s="12"/>
      <c r="G25" s="12"/>
      <c r="H25" s="12"/>
    </row>
    <row r="26" spans="1:8" ht="14">
      <c r="A26" s="136" t="s">
        <v>160</v>
      </c>
      <c r="B26" s="48">
        <v>0</v>
      </c>
      <c r="C26" s="48">
        <v>0</v>
      </c>
      <c r="D26" s="34">
        <v>0</v>
      </c>
      <c r="F26" s="12"/>
      <c r="G26" s="12"/>
      <c r="H26" s="12"/>
    </row>
    <row r="27" spans="1:8" ht="15" thickBot="1">
      <c r="A27" s="136" t="s">
        <v>162</v>
      </c>
      <c r="B27" s="48">
        <v>0</v>
      </c>
      <c r="C27" s="48">
        <v>0</v>
      </c>
      <c r="D27" s="34">
        <v>0</v>
      </c>
      <c r="F27" s="12"/>
      <c r="G27" s="12"/>
      <c r="H27" s="12"/>
    </row>
    <row r="28" spans="1:8" ht="15" thickBot="1">
      <c r="A28" s="96"/>
      <c r="B28" s="77">
        <f>B20+B24</f>
        <v>57564.849999999991</v>
      </c>
      <c r="C28" s="77">
        <f>C20+C24</f>
        <v>40392.71</v>
      </c>
      <c r="D28" s="78">
        <f t="shared" si="2"/>
        <v>-0.29830947183915174</v>
      </c>
      <c r="F28" s="12"/>
      <c r="G28" s="12"/>
      <c r="H28" s="12"/>
    </row>
    <row r="29" spans="1:8" ht="14">
      <c r="A29" s="12"/>
      <c r="B29" s="51"/>
      <c r="C29" s="43"/>
      <c r="D29" s="43"/>
      <c r="E29" s="44"/>
      <c r="F29" s="12"/>
      <c r="G29" s="12"/>
      <c r="H29" s="12"/>
    </row>
    <row r="30" spans="1:8" ht="14">
      <c r="A30" s="10"/>
      <c r="B30" s="10"/>
      <c r="C30" s="10"/>
      <c r="D30" s="10"/>
      <c r="E30" s="10"/>
      <c r="F30" s="10"/>
      <c r="G30" s="12"/>
      <c r="H30" s="12"/>
    </row>
    <row r="31" spans="1:8" ht="15">
      <c r="A31" s="9" t="s">
        <v>823</v>
      </c>
      <c r="B31" s="43"/>
      <c r="C31" s="43"/>
      <c r="D31" s="44"/>
      <c r="E31" s="44"/>
      <c r="F31" s="12"/>
      <c r="G31" s="12"/>
      <c r="H31" s="12"/>
    </row>
    <row r="32" spans="1:8" ht="14">
      <c r="A32" s="42"/>
      <c r="B32" s="43"/>
      <c r="C32" s="43"/>
      <c r="D32" s="44"/>
      <c r="E32" s="44"/>
      <c r="F32" s="12"/>
      <c r="G32" s="12"/>
      <c r="H32" s="12"/>
    </row>
    <row r="33" spans="1:8" ht="29" thickBot="1">
      <c r="A33" s="29" t="s">
        <v>371</v>
      </c>
      <c r="B33" s="30" t="s">
        <v>5</v>
      </c>
      <c r="C33" s="30" t="s">
        <v>462</v>
      </c>
      <c r="D33" s="30" t="s">
        <v>370</v>
      </c>
      <c r="E33" s="30" t="s">
        <v>577</v>
      </c>
      <c r="F33" s="12"/>
      <c r="G33" s="12"/>
      <c r="H33" s="12"/>
    </row>
    <row r="34" spans="1:8" ht="14">
      <c r="A34" s="31" t="s">
        <v>213</v>
      </c>
      <c r="B34" s="32">
        <f>B14</f>
        <v>2937096.3899999997</v>
      </c>
      <c r="C34" s="32">
        <f>C14</f>
        <v>3098808.5200000005</v>
      </c>
      <c r="D34" s="34">
        <f>(C34-B34)/B34</f>
        <v>5.5058502863775893E-2</v>
      </c>
      <c r="E34" s="34">
        <f>C34/C36</f>
        <v>0.98713280639228085</v>
      </c>
      <c r="F34" s="12"/>
      <c r="G34" s="12"/>
      <c r="H34" s="12"/>
    </row>
    <row r="35" spans="1:8" ht="15" thickBot="1">
      <c r="A35" s="37" t="s">
        <v>374</v>
      </c>
      <c r="B35" s="45">
        <f>B28</f>
        <v>57564.849999999991</v>
      </c>
      <c r="C35" s="45">
        <v>40392.71</v>
      </c>
      <c r="D35" s="39">
        <f>(C35-B35)/B35</f>
        <v>-0.29830947183915174</v>
      </c>
      <c r="E35" s="39">
        <f>C35/C36</f>
        <v>1.2867193607719119E-2</v>
      </c>
      <c r="F35" s="12"/>
      <c r="G35" s="12"/>
      <c r="H35" s="12"/>
    </row>
    <row r="36" spans="1:8" ht="15" thickBot="1">
      <c r="A36" s="95" t="s">
        <v>23</v>
      </c>
      <c r="B36" s="75">
        <f>SUM(B34:B35)</f>
        <v>2994661.2399999998</v>
      </c>
      <c r="C36" s="75">
        <f>SUM(C34:C35)</f>
        <v>3139201.2300000004</v>
      </c>
      <c r="D36" s="73">
        <f>(C36-B36)/B36</f>
        <v>4.8265890000967419E-2</v>
      </c>
      <c r="E36" s="73">
        <f>SUM(E34:E35)</f>
        <v>1</v>
      </c>
      <c r="F36" s="12"/>
      <c r="G36" s="12"/>
      <c r="H36" s="12"/>
    </row>
    <row r="37" spans="1:8" ht="14">
      <c r="A37" s="42"/>
      <c r="B37" s="43"/>
      <c r="C37" s="43"/>
      <c r="D37" s="44"/>
      <c r="E37" s="44"/>
      <c r="F37" s="12"/>
      <c r="G37" s="12"/>
      <c r="H37" s="12"/>
    </row>
    <row r="38" spans="1:8" ht="14">
      <c r="A38" s="12"/>
      <c r="B38" s="12"/>
      <c r="C38" s="12"/>
      <c r="D38" s="12"/>
      <c r="E38" s="12"/>
      <c r="F38" s="12"/>
      <c r="G38" s="12"/>
      <c r="H38" s="12"/>
    </row>
    <row r="39" spans="1:8" ht="14">
      <c r="A39" s="12"/>
      <c r="B39" s="12"/>
      <c r="C39" s="12"/>
      <c r="D39" s="12"/>
      <c r="E39" s="12"/>
      <c r="F39" s="12"/>
      <c r="G39" s="12"/>
      <c r="H39" s="12"/>
    </row>
    <row r="40" spans="1:8" ht="14">
      <c r="G40" s="12"/>
      <c r="H40" s="12"/>
    </row>
    <row r="41" spans="1:8" ht="14">
      <c r="G41" s="12"/>
      <c r="H41" s="12"/>
    </row>
    <row r="42" spans="1:8" ht="14">
      <c r="G42" s="12"/>
      <c r="H42" s="12"/>
    </row>
    <row r="43" spans="1:8" ht="14">
      <c r="G43" s="12"/>
      <c r="H43" s="12"/>
    </row>
    <row r="44" spans="1:8" ht="14">
      <c r="G44" s="12"/>
      <c r="H44" s="12"/>
    </row>
    <row r="45" spans="1:8" ht="14">
      <c r="G45" s="12"/>
      <c r="H45" s="12"/>
    </row>
    <row r="46" spans="1:8" ht="14">
      <c r="G46" s="12"/>
      <c r="H46" s="12"/>
    </row>
    <row r="47" spans="1:8" ht="14">
      <c r="G47" s="12"/>
      <c r="H47" s="12"/>
    </row>
    <row r="48" spans="1:8" ht="14">
      <c r="G48" s="12"/>
      <c r="H48" s="12"/>
    </row>
    <row r="49" spans="1:8" ht="14">
      <c r="G49" s="12"/>
      <c r="H49" s="12"/>
    </row>
    <row r="50" spans="1:8" ht="14">
      <c r="G50" s="12"/>
      <c r="H50" s="12"/>
    </row>
    <row r="51" spans="1:8" ht="14">
      <c r="G51" s="12"/>
      <c r="H51" s="12"/>
    </row>
    <row r="52" spans="1:8" ht="14">
      <c r="A52" s="12"/>
      <c r="B52" s="12"/>
      <c r="C52" s="12"/>
      <c r="D52" s="12"/>
      <c r="E52" s="12"/>
      <c r="F52" s="12"/>
      <c r="G52" s="12"/>
      <c r="H52" s="12"/>
    </row>
    <row r="53" spans="1:8" ht="14">
      <c r="A53" s="12"/>
      <c r="B53" s="12"/>
      <c r="C53" s="12"/>
      <c r="D53" s="12"/>
      <c r="E53" s="12"/>
      <c r="F53" s="12"/>
      <c r="G53" s="12"/>
      <c r="H53" s="12"/>
    </row>
    <row r="54" spans="1:8" ht="14">
      <c r="A54" s="12"/>
      <c r="B54" s="12"/>
      <c r="C54" s="12"/>
      <c r="D54" s="12"/>
      <c r="E54" s="12"/>
      <c r="F54" s="12"/>
      <c r="G54" s="12"/>
      <c r="H54" s="12"/>
    </row>
    <row r="55" spans="1:8" ht="14">
      <c r="A55" s="12"/>
      <c r="B55" s="12"/>
      <c r="C55" s="12"/>
      <c r="D55" s="12"/>
      <c r="E55" s="12"/>
      <c r="F55" s="12"/>
      <c r="G55" s="12"/>
      <c r="H55" s="12"/>
    </row>
    <row r="56" spans="1:8" ht="14">
      <c r="A56" s="12"/>
      <c r="B56" s="12"/>
      <c r="C56" s="12"/>
      <c r="D56" s="12"/>
      <c r="E56" s="12"/>
      <c r="F56" s="12"/>
      <c r="G56" s="12"/>
      <c r="H56" s="12"/>
    </row>
    <row r="57" spans="1:8" ht="14">
      <c r="A57" s="12"/>
      <c r="B57" s="12"/>
      <c r="C57" s="12"/>
      <c r="D57" s="12"/>
      <c r="E57" s="12"/>
      <c r="F57" s="12"/>
      <c r="G57" s="12"/>
      <c r="H57" s="12"/>
    </row>
    <row r="58" spans="1:8" ht="14">
      <c r="A58" s="12"/>
      <c r="B58" s="12"/>
      <c r="C58" s="12"/>
      <c r="D58" s="12"/>
      <c r="E58" s="12"/>
      <c r="F58" s="12"/>
      <c r="G58" s="12"/>
      <c r="H58" s="12"/>
    </row>
    <row r="59" spans="1:8" ht="14">
      <c r="F59" s="12"/>
      <c r="G59" s="12"/>
      <c r="H59" s="12"/>
    </row>
    <row r="60" spans="1:8" ht="14">
      <c r="A60" s="12"/>
      <c r="B60" s="12"/>
      <c r="C60" s="12"/>
      <c r="D60" s="12"/>
      <c r="E60" s="12"/>
      <c r="F60" s="12"/>
      <c r="G60" s="12"/>
      <c r="H60" s="12"/>
    </row>
    <row r="61" spans="1:8" ht="14">
      <c r="A61" s="12"/>
      <c r="B61" s="12"/>
      <c r="C61" s="12"/>
      <c r="D61" s="12"/>
      <c r="E61" s="12"/>
      <c r="F61" s="12"/>
      <c r="G61" s="12"/>
      <c r="H61" s="12"/>
    </row>
    <row r="62" spans="1:8" ht="14">
      <c r="A62" s="12"/>
      <c r="B62" s="12"/>
      <c r="C62" s="12"/>
      <c r="D62" s="12"/>
      <c r="E62" s="12"/>
      <c r="F62" s="12"/>
      <c r="G62" s="12"/>
      <c r="H62" s="12"/>
    </row>
    <row r="63" spans="1:8" ht="14">
      <c r="A63" s="12"/>
      <c r="B63" s="12"/>
      <c r="C63" s="12"/>
      <c r="D63" s="12"/>
      <c r="E63" s="12"/>
      <c r="F63" s="12"/>
      <c r="G63" s="12"/>
      <c r="H63" s="12"/>
    </row>
  </sheetData>
  <phoneticPr fontId="2" type="noConversion"/>
  <pageMargins left="0.75" right="0.75" top="1" bottom="1" header="0.5" footer="0.5"/>
  <pageSetup orientation="landscape"/>
  <headerFooter alignWithMargins="0">
    <oddFooter>&amp;L2009-2010&amp;C&amp;A&amp;RPage &amp;P of &amp;N</oddFooter>
  </headerFooter>
  <ignoredErrors>
    <ignoredError sqref="D14 D36" formula="1"/>
  </ignoredErrors>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opLeftCell="A2" workbookViewId="0"/>
  </sheetViews>
  <sheetFormatPr baseColWidth="10" defaultColWidth="8.83203125" defaultRowHeight="12" x14ac:dyDescent="0"/>
  <cols>
    <col min="1" max="1" width="22.1640625" customWidth="1"/>
    <col min="2" max="2" width="16.83203125" bestFit="1" customWidth="1"/>
    <col min="3" max="3" width="13.5" bestFit="1" customWidth="1"/>
    <col min="4" max="4" width="10.83203125" bestFit="1" customWidth="1"/>
    <col min="5" max="5" width="13.33203125" customWidth="1"/>
    <col min="7" max="8" width="11.83203125" bestFit="1" customWidth="1"/>
    <col min="10" max="10" width="13.5" bestFit="1" customWidth="1"/>
    <col min="12" max="12" width="13.5" bestFit="1" customWidth="1"/>
    <col min="13" max="13" width="10.6640625" bestFit="1" customWidth="1"/>
  </cols>
  <sheetData>
    <row r="1" spans="1:9" ht="18">
      <c r="A1" s="213" t="s">
        <v>815</v>
      </c>
      <c r="B1" s="12"/>
      <c r="C1" s="12"/>
      <c r="D1" s="12"/>
      <c r="E1" s="12"/>
      <c r="F1" s="12"/>
      <c r="G1" s="12"/>
      <c r="H1" s="12"/>
    </row>
    <row r="2" spans="1:9" ht="14">
      <c r="A2" s="12"/>
      <c r="B2" s="12"/>
      <c r="C2" s="12"/>
      <c r="D2" s="12"/>
      <c r="E2" s="12"/>
      <c r="F2" s="12"/>
      <c r="G2" s="12"/>
      <c r="H2" s="12"/>
    </row>
    <row r="3" spans="1:9" ht="15">
      <c r="A3" s="9" t="s">
        <v>816</v>
      </c>
      <c r="B3" s="12"/>
      <c r="C3" s="12"/>
      <c r="D3" s="12"/>
      <c r="E3" s="12"/>
      <c r="F3" s="12"/>
      <c r="G3" s="12"/>
      <c r="H3" s="12"/>
    </row>
    <row r="4" spans="1:9" ht="14">
      <c r="A4" s="12"/>
      <c r="B4" s="12"/>
      <c r="C4" s="12"/>
      <c r="D4" s="12"/>
      <c r="E4" s="12"/>
      <c r="F4" s="12"/>
      <c r="G4" s="12"/>
      <c r="H4" s="12"/>
    </row>
    <row r="5" spans="1:9" ht="29" thickBot="1">
      <c r="A5" s="29" t="s">
        <v>817</v>
      </c>
      <c r="B5" s="30" t="s">
        <v>5</v>
      </c>
      <c r="C5" s="30" t="s">
        <v>462</v>
      </c>
      <c r="D5" s="30" t="s">
        <v>370</v>
      </c>
      <c r="E5" s="30" t="s">
        <v>577</v>
      </c>
      <c r="F5" s="12"/>
      <c r="G5" s="12"/>
      <c r="H5" s="12"/>
    </row>
    <row r="6" spans="1:9" ht="14">
      <c r="A6" s="18" t="s">
        <v>796</v>
      </c>
      <c r="B6" s="135">
        <f>B7+B8+B9</f>
        <v>100000</v>
      </c>
      <c r="C6" s="135">
        <f>C7+C8+C9</f>
        <v>149863.35999999999</v>
      </c>
      <c r="D6" s="19">
        <f>(C6-B6)/B6</f>
        <v>0.49863359999999984</v>
      </c>
      <c r="E6" s="19">
        <f>C6/C18</f>
        <v>0.41928916328563015</v>
      </c>
      <c r="F6" s="12"/>
      <c r="G6" s="12"/>
      <c r="H6" s="12"/>
    </row>
    <row r="7" spans="1:9" ht="14">
      <c r="A7" s="136" t="s">
        <v>826</v>
      </c>
      <c r="B7" s="32">
        <v>100000</v>
      </c>
      <c r="C7" s="139">
        <v>149863.35999999999</v>
      </c>
      <c r="D7" s="17">
        <f t="shared" ref="D7" si="0">(C7-B7)/B7</f>
        <v>0.49863359999999984</v>
      </c>
      <c r="E7" s="17">
        <f>C7/C18</f>
        <v>0.41928916328563015</v>
      </c>
      <c r="F7" s="12"/>
      <c r="G7" s="12"/>
      <c r="H7" s="12"/>
    </row>
    <row r="8" spans="1:9" ht="14">
      <c r="A8" s="136" t="s">
        <v>160</v>
      </c>
      <c r="B8" s="140">
        <v>0</v>
      </c>
      <c r="C8" s="140">
        <v>0</v>
      </c>
      <c r="D8" s="17">
        <v>0</v>
      </c>
      <c r="E8" s="17">
        <v>0</v>
      </c>
      <c r="F8" s="12"/>
      <c r="G8" s="124"/>
      <c r="H8" s="124"/>
      <c r="I8" s="124"/>
    </row>
    <row r="9" spans="1:9" ht="14">
      <c r="A9" s="136" t="s">
        <v>162</v>
      </c>
      <c r="B9" s="140">
        <v>0</v>
      </c>
      <c r="C9" s="140">
        <v>0</v>
      </c>
      <c r="D9" s="17">
        <v>0</v>
      </c>
      <c r="E9" s="17">
        <v>0</v>
      </c>
      <c r="F9" s="12"/>
      <c r="G9" s="124"/>
      <c r="H9" s="124"/>
      <c r="I9" s="124"/>
    </row>
    <row r="10" spans="1:9" ht="14">
      <c r="A10" s="18" t="s">
        <v>394</v>
      </c>
      <c r="B10" s="135">
        <f>B11+B12+B13</f>
        <v>178963.43</v>
      </c>
      <c r="C10" s="135">
        <f>C11+C12+C13</f>
        <v>179850.52</v>
      </c>
      <c r="D10" s="143">
        <f t="shared" ref="D10:D13" si="1">(C10-B10)/B10</f>
        <v>4.9568227430598338E-3</v>
      </c>
      <c r="E10" s="19">
        <f>C10/C18</f>
        <v>0.50318753060978683</v>
      </c>
      <c r="F10" s="12"/>
      <c r="G10" s="124"/>
      <c r="H10" s="124"/>
      <c r="I10" s="124"/>
    </row>
    <row r="11" spans="1:9" ht="14">
      <c r="A11" s="136" t="s">
        <v>191</v>
      </c>
      <c r="B11" s="32">
        <f>178963.43-(B12+B13)</f>
        <v>169736.38</v>
      </c>
      <c r="C11" s="32">
        <v>165993.09</v>
      </c>
      <c r="D11" s="33">
        <f t="shared" si="1"/>
        <v>-2.2053551513234865E-2</v>
      </c>
      <c r="E11" s="34">
        <f>C11/C18</f>
        <v>0.46441707844596775</v>
      </c>
      <c r="F11" s="12"/>
      <c r="G11" s="124"/>
      <c r="H11" s="124"/>
      <c r="I11" s="124"/>
    </row>
    <row r="12" spans="1:9" ht="14">
      <c r="A12" s="136" t="s">
        <v>818</v>
      </c>
      <c r="B12" s="32">
        <v>2168.62</v>
      </c>
      <c r="C12" s="32">
        <v>76.5</v>
      </c>
      <c r="D12" s="33">
        <f t="shared" si="1"/>
        <v>-0.96472411026367</v>
      </c>
      <c r="E12" s="34">
        <f>C12/C18</f>
        <v>2.1403244256201588E-4</v>
      </c>
      <c r="F12" s="12"/>
      <c r="G12" s="124"/>
      <c r="H12" s="124"/>
      <c r="I12" s="124"/>
    </row>
    <row r="13" spans="1:9" ht="14">
      <c r="A13" s="136" t="s">
        <v>819</v>
      </c>
      <c r="B13" s="32">
        <v>7058.43</v>
      </c>
      <c r="C13" s="32">
        <v>13780.93</v>
      </c>
      <c r="D13" s="33">
        <f t="shared" si="1"/>
        <v>0.95240726337159964</v>
      </c>
      <c r="E13" s="34">
        <f>C13/C18</f>
        <v>3.8556419721257014E-2</v>
      </c>
      <c r="F13" s="12"/>
      <c r="G13" s="124"/>
      <c r="H13" s="124"/>
      <c r="I13" s="124"/>
    </row>
    <row r="14" spans="1:9" ht="14">
      <c r="A14" s="141" t="s">
        <v>396</v>
      </c>
      <c r="B14" s="142">
        <f>B15+B16+B17</f>
        <v>24183.08</v>
      </c>
      <c r="C14" s="142">
        <f>C15+C16+C17</f>
        <v>27708.57</v>
      </c>
      <c r="D14" s="19">
        <f t="shared" ref="D14:D15" si="2">(C14-B14)/B14</f>
        <v>0.14578333280955105</v>
      </c>
      <c r="E14" s="144">
        <f>C14/C18</f>
        <v>7.7523306104582967E-2</v>
      </c>
      <c r="F14" s="12"/>
      <c r="G14" s="124"/>
      <c r="H14" s="124"/>
      <c r="I14" s="124"/>
    </row>
    <row r="15" spans="1:9" ht="14">
      <c r="A15" s="136" t="s">
        <v>191</v>
      </c>
      <c r="B15" s="32">
        <v>24183.08</v>
      </c>
      <c r="C15" s="32">
        <v>27708.57</v>
      </c>
      <c r="D15" s="17">
        <f t="shared" si="2"/>
        <v>0.14578333280955105</v>
      </c>
      <c r="E15" s="34">
        <f>C15/C18</f>
        <v>7.7523306104582967E-2</v>
      </c>
      <c r="F15" s="12"/>
      <c r="G15" s="124"/>
      <c r="H15" s="124"/>
      <c r="I15" s="124"/>
    </row>
    <row r="16" spans="1:9" ht="14">
      <c r="A16" s="136" t="s">
        <v>160</v>
      </c>
      <c r="B16" s="32">
        <v>0</v>
      </c>
      <c r="C16" s="32">
        <v>0</v>
      </c>
      <c r="D16" s="33">
        <v>0</v>
      </c>
      <c r="E16" s="17">
        <v>0</v>
      </c>
      <c r="F16" s="12"/>
      <c r="G16" s="12"/>
      <c r="H16" s="12"/>
    </row>
    <row r="17" spans="1:8" ht="15" thickBot="1">
      <c r="A17" s="136" t="s">
        <v>162</v>
      </c>
      <c r="B17" s="32">
        <v>0</v>
      </c>
      <c r="C17" s="32">
        <v>0</v>
      </c>
      <c r="D17" s="33">
        <v>0</v>
      </c>
      <c r="E17" s="17">
        <v>0</v>
      </c>
      <c r="F17" s="12"/>
      <c r="G17" s="12"/>
      <c r="H17" s="12"/>
    </row>
    <row r="18" spans="1:8" ht="15" thickBot="1">
      <c r="A18" s="96" t="s">
        <v>23</v>
      </c>
      <c r="B18" s="77">
        <f>B6+B10+B14</f>
        <v>303146.51</v>
      </c>
      <c r="C18" s="77">
        <f>C6+C10+C14</f>
        <v>357422.45</v>
      </c>
      <c r="D18" s="78">
        <f>(C18-B18)/B18</f>
        <v>0.17904194245878008</v>
      </c>
      <c r="E18" s="78">
        <f>E6+E10+E14</f>
        <v>1</v>
      </c>
      <c r="F18" s="12"/>
      <c r="G18" s="12"/>
      <c r="H18" s="12"/>
    </row>
    <row r="19" spans="1:8" ht="14">
      <c r="A19" s="42"/>
      <c r="B19" s="43"/>
      <c r="C19" s="43"/>
      <c r="D19" s="44"/>
      <c r="E19" s="44"/>
      <c r="F19" s="12"/>
      <c r="G19" s="124"/>
      <c r="H19" s="12"/>
    </row>
    <row r="20" spans="1:8" ht="14">
      <c r="A20" s="42"/>
      <c r="B20" s="43"/>
      <c r="C20" s="43"/>
      <c r="D20" s="44"/>
      <c r="E20" s="44"/>
      <c r="F20" s="12"/>
      <c r="G20" s="12"/>
      <c r="H20" s="12"/>
    </row>
    <row r="21" spans="1:8" ht="15">
      <c r="A21" s="9" t="s">
        <v>820</v>
      </c>
      <c r="B21" s="9"/>
      <c r="C21" s="10"/>
      <c r="D21" s="10"/>
      <c r="E21" s="10"/>
      <c r="F21" s="10"/>
      <c r="G21" s="12"/>
      <c r="H21" s="12"/>
    </row>
    <row r="22" spans="1:8" ht="14">
      <c r="A22" s="12"/>
      <c r="B22" s="12"/>
      <c r="C22" s="12"/>
      <c r="D22" s="12"/>
      <c r="E22" s="12"/>
      <c r="F22" s="12"/>
      <c r="G22" s="12"/>
      <c r="H22" s="12"/>
    </row>
    <row r="23" spans="1:8" ht="29" thickBot="1">
      <c r="A23" s="29" t="s">
        <v>817</v>
      </c>
      <c r="B23" s="30" t="s">
        <v>5</v>
      </c>
      <c r="C23" s="30" t="s">
        <v>462</v>
      </c>
      <c r="D23" s="30" t="s">
        <v>370</v>
      </c>
      <c r="E23" s="30" t="s">
        <v>577</v>
      </c>
      <c r="F23" s="46"/>
      <c r="G23" s="12"/>
      <c r="H23" s="12"/>
    </row>
    <row r="24" spans="1:8" ht="14">
      <c r="A24" s="18" t="s">
        <v>796</v>
      </c>
      <c r="B24" s="135">
        <v>0</v>
      </c>
      <c r="C24" s="135">
        <v>0</v>
      </c>
      <c r="D24" s="19">
        <v>0</v>
      </c>
      <c r="E24" s="19">
        <f>C24/C36</f>
        <v>0</v>
      </c>
      <c r="F24" s="12"/>
      <c r="G24" s="12"/>
      <c r="H24" s="12"/>
    </row>
    <row r="25" spans="1:8" ht="14">
      <c r="A25" s="136" t="s">
        <v>826</v>
      </c>
      <c r="B25" s="32">
        <v>0</v>
      </c>
      <c r="C25" s="139">
        <v>0</v>
      </c>
      <c r="D25" s="17">
        <v>0</v>
      </c>
      <c r="E25" s="17">
        <f>C25/C36</f>
        <v>0</v>
      </c>
      <c r="F25" s="12"/>
      <c r="G25" s="124"/>
      <c r="H25" s="124"/>
    </row>
    <row r="26" spans="1:8" ht="14">
      <c r="A26" s="136" t="s">
        <v>160</v>
      </c>
      <c r="B26" s="140">
        <v>0</v>
      </c>
      <c r="C26" s="140">
        <v>0</v>
      </c>
      <c r="D26" s="17">
        <v>0</v>
      </c>
      <c r="E26" s="17">
        <v>0</v>
      </c>
      <c r="F26" s="12"/>
      <c r="G26" s="12"/>
      <c r="H26" s="12"/>
    </row>
    <row r="27" spans="1:8" ht="14">
      <c r="A27" s="136" t="s">
        <v>162</v>
      </c>
      <c r="B27" s="140">
        <v>0</v>
      </c>
      <c r="C27" s="140">
        <v>0</v>
      </c>
      <c r="D27" s="17">
        <v>0</v>
      </c>
      <c r="E27" s="17">
        <v>0</v>
      </c>
      <c r="F27" s="12"/>
      <c r="G27" s="12"/>
      <c r="H27" s="124"/>
    </row>
    <row r="28" spans="1:8" ht="14">
      <c r="A28" s="18" t="s">
        <v>394</v>
      </c>
      <c r="B28" s="135">
        <f>B29+B30+B31</f>
        <v>20667.61</v>
      </c>
      <c r="C28" s="135">
        <f>C29+C30+C31</f>
        <v>3459.51</v>
      </c>
      <c r="D28" s="143">
        <f t="shared" ref="D28:D33" si="3">(C28-B28)/B28</f>
        <v>-0.83261199529118257</v>
      </c>
      <c r="E28" s="19">
        <f>C28/C36</f>
        <v>0.90784584378641087</v>
      </c>
      <c r="F28" s="12"/>
      <c r="G28" s="124"/>
      <c r="H28" s="124"/>
    </row>
    <row r="29" spans="1:8" ht="14">
      <c r="A29" s="136" t="s">
        <v>191</v>
      </c>
      <c r="B29" s="48">
        <v>20667.61</v>
      </c>
      <c r="C29" s="32">
        <v>3459.51</v>
      </c>
      <c r="D29" s="33">
        <f t="shared" si="3"/>
        <v>-0.83261199529118257</v>
      </c>
      <c r="E29" s="34">
        <f>C29/C36</f>
        <v>0.90784584378641087</v>
      </c>
      <c r="F29" s="12"/>
      <c r="G29" s="12"/>
      <c r="H29" s="12"/>
    </row>
    <row r="30" spans="1:8" ht="14">
      <c r="A30" s="136" t="s">
        <v>818</v>
      </c>
      <c r="B30" s="48">
        <v>0</v>
      </c>
      <c r="C30" s="32">
        <v>0</v>
      </c>
      <c r="D30" s="33">
        <v>0</v>
      </c>
      <c r="E30" s="34">
        <f>C30/C36</f>
        <v>0</v>
      </c>
      <c r="F30" s="12"/>
      <c r="G30" s="12"/>
      <c r="H30" s="12"/>
    </row>
    <row r="31" spans="1:8" ht="14">
      <c r="A31" s="136" t="s">
        <v>819</v>
      </c>
      <c r="B31" s="48">
        <v>0</v>
      </c>
      <c r="C31" s="32">
        <v>0</v>
      </c>
      <c r="D31" s="33">
        <v>0</v>
      </c>
      <c r="E31" s="34">
        <f>C31/C36</f>
        <v>0</v>
      </c>
      <c r="F31" s="12"/>
      <c r="G31" s="12"/>
      <c r="H31" s="12"/>
    </row>
    <row r="32" spans="1:8" ht="14">
      <c r="A32" s="141" t="s">
        <v>396</v>
      </c>
      <c r="B32" s="142">
        <f>B33+B34+B35</f>
        <v>430.4</v>
      </c>
      <c r="C32" s="142">
        <f>C33+C34+C35</f>
        <v>351.17</v>
      </c>
      <c r="D32" s="19">
        <f t="shared" si="3"/>
        <v>-0.18408457249070623</v>
      </c>
      <c r="E32" s="144">
        <f>C32/C36</f>
        <v>9.2154156213589175E-2</v>
      </c>
      <c r="F32" s="12"/>
      <c r="G32" s="12"/>
      <c r="H32" s="12"/>
    </row>
    <row r="33" spans="1:8" ht="14">
      <c r="A33" s="136" t="s">
        <v>191</v>
      </c>
      <c r="B33" s="48">
        <v>430.4</v>
      </c>
      <c r="C33" s="32">
        <v>351.17</v>
      </c>
      <c r="D33" s="17">
        <f t="shared" si="3"/>
        <v>-0.18408457249070623</v>
      </c>
      <c r="E33" s="34">
        <f>C33/C36</f>
        <v>9.2154156213589175E-2</v>
      </c>
      <c r="F33" s="12"/>
      <c r="G33" s="12"/>
      <c r="H33" s="12"/>
    </row>
    <row r="34" spans="1:8" ht="14">
      <c r="A34" s="136" t="s">
        <v>160</v>
      </c>
      <c r="B34" s="48">
        <v>0</v>
      </c>
      <c r="C34" s="32">
        <v>0</v>
      </c>
      <c r="D34" s="33">
        <v>0</v>
      </c>
      <c r="E34" s="17">
        <v>0</v>
      </c>
      <c r="F34" s="12"/>
      <c r="G34" s="12"/>
      <c r="H34" s="12"/>
    </row>
    <row r="35" spans="1:8" ht="15" thickBot="1">
      <c r="A35" s="136" t="s">
        <v>162</v>
      </c>
      <c r="B35" s="48">
        <v>0</v>
      </c>
      <c r="C35" s="32">
        <v>0</v>
      </c>
      <c r="D35" s="33">
        <v>0</v>
      </c>
      <c r="E35" s="17">
        <v>0</v>
      </c>
      <c r="F35" s="12"/>
      <c r="G35" s="12"/>
      <c r="H35" s="12"/>
    </row>
    <row r="36" spans="1:8" ht="15" thickBot="1">
      <c r="A36" s="96" t="s">
        <v>23</v>
      </c>
      <c r="B36" s="77">
        <f>B24+B28+B32</f>
        <v>21098.010000000002</v>
      </c>
      <c r="C36" s="77">
        <f>C24+C28+C32</f>
        <v>3810.6800000000003</v>
      </c>
      <c r="D36" s="78">
        <f>(C36-B36)/B36</f>
        <v>-0.81938201754573059</v>
      </c>
      <c r="E36" s="78">
        <f>E24+E28+E32</f>
        <v>1</v>
      </c>
      <c r="F36" s="12"/>
      <c r="G36" s="12"/>
      <c r="H36" s="12"/>
    </row>
    <row r="37" spans="1:8" ht="14">
      <c r="A37" s="12"/>
      <c r="B37" s="51"/>
      <c r="C37" s="43"/>
      <c r="D37" s="43"/>
      <c r="E37" s="44"/>
      <c r="F37" s="12"/>
      <c r="G37" s="12"/>
      <c r="H37" s="12"/>
    </row>
    <row r="38" spans="1:8" ht="14">
      <c r="A38" s="12"/>
      <c r="B38" s="51"/>
      <c r="C38" s="43"/>
      <c r="D38" s="43"/>
      <c r="E38" s="44"/>
      <c r="F38" s="12"/>
      <c r="G38" s="12"/>
      <c r="H38" s="12"/>
    </row>
    <row r="39" spans="1:8" ht="15">
      <c r="A39" s="9" t="s">
        <v>833</v>
      </c>
      <c r="B39" s="43"/>
      <c r="C39" s="43"/>
      <c r="D39" s="44"/>
      <c r="E39" s="44"/>
      <c r="F39" s="12"/>
      <c r="G39" s="12"/>
      <c r="H39" s="12"/>
    </row>
    <row r="40" spans="1:8" ht="14">
      <c r="A40" s="42"/>
      <c r="B40" s="43"/>
      <c r="C40" s="43"/>
      <c r="D40" s="44"/>
      <c r="E40" s="44"/>
      <c r="F40" s="12"/>
      <c r="G40" s="12"/>
      <c r="H40" s="12"/>
    </row>
    <row r="41" spans="1:8" ht="29" thickBot="1">
      <c r="A41" s="29" t="s">
        <v>371</v>
      </c>
      <c r="B41" s="30" t="s">
        <v>5</v>
      </c>
      <c r="C41" s="30" t="s">
        <v>462</v>
      </c>
      <c r="D41" s="30" t="s">
        <v>370</v>
      </c>
      <c r="E41" s="30" t="s">
        <v>577</v>
      </c>
      <c r="F41" s="12"/>
      <c r="G41" s="12"/>
      <c r="H41" s="12"/>
    </row>
    <row r="42" spans="1:8" s="148" customFormat="1" ht="28">
      <c r="A42" s="133" t="s">
        <v>827</v>
      </c>
      <c r="B42" s="145">
        <f>B18</f>
        <v>303146.51</v>
      </c>
      <c r="C42" s="145">
        <f>C18</f>
        <v>357422.45</v>
      </c>
      <c r="D42" s="146">
        <f>(C42-B42)/B42</f>
        <v>0.17904194245878008</v>
      </c>
      <c r="E42" s="146">
        <f>C42/C44</f>
        <v>0.98945091221284165</v>
      </c>
      <c r="F42" s="147"/>
      <c r="G42" s="147"/>
      <c r="H42" s="147"/>
    </row>
    <row r="43" spans="1:8" ht="15" thickBot="1">
      <c r="A43" s="37" t="s">
        <v>374</v>
      </c>
      <c r="B43" s="45">
        <f>B36</f>
        <v>21098.010000000002</v>
      </c>
      <c r="C43" s="45">
        <f>C36</f>
        <v>3810.6800000000003</v>
      </c>
      <c r="D43" s="39">
        <f>(C43-B43)/B43</f>
        <v>-0.81938201754573059</v>
      </c>
      <c r="E43" s="39">
        <f>C43/C44</f>
        <v>1.0549087787158393E-2</v>
      </c>
      <c r="F43" s="12"/>
      <c r="G43" s="12"/>
      <c r="H43" s="12"/>
    </row>
    <row r="44" spans="1:8" ht="15" thickBot="1">
      <c r="A44" s="95" t="s">
        <v>23</v>
      </c>
      <c r="B44" s="75">
        <f>SUM(B42:B43)</f>
        <v>324244.52</v>
      </c>
      <c r="C44" s="75">
        <f>SUM(C42:C43)</f>
        <v>361233.13</v>
      </c>
      <c r="D44" s="73">
        <f>(C44-B44)/B44</f>
        <v>0.11407628415740066</v>
      </c>
      <c r="E44" s="73">
        <f>SUM(E42:E43)</f>
        <v>1</v>
      </c>
      <c r="F44" s="12"/>
      <c r="G44" s="12"/>
      <c r="H44" s="12"/>
    </row>
    <row r="45" spans="1:8" ht="14">
      <c r="A45" s="42"/>
      <c r="B45" s="43"/>
      <c r="C45" s="43"/>
      <c r="D45" s="44"/>
      <c r="E45" s="44"/>
      <c r="F45" s="12"/>
      <c r="G45" s="12"/>
      <c r="H45" s="12"/>
    </row>
    <row r="46" spans="1:8" ht="14">
      <c r="A46" s="12"/>
      <c r="B46" s="12"/>
      <c r="C46" s="12"/>
      <c r="D46" s="12"/>
      <c r="E46" s="12"/>
      <c r="F46" s="12"/>
      <c r="G46" s="12"/>
      <c r="H46" s="12"/>
    </row>
    <row r="47" spans="1:8" ht="14">
      <c r="A47" s="12"/>
      <c r="B47" s="12"/>
      <c r="C47" s="12"/>
      <c r="D47" s="12"/>
      <c r="E47" s="12"/>
      <c r="F47" s="12"/>
      <c r="G47" s="12"/>
      <c r="H47" s="12"/>
    </row>
    <row r="48" spans="1:8" ht="14">
      <c r="G48" s="12"/>
      <c r="H48" s="12"/>
    </row>
    <row r="49" spans="1:8" ht="14">
      <c r="G49" s="12"/>
      <c r="H49" s="12"/>
    </row>
    <row r="50" spans="1:8" ht="14">
      <c r="G50" s="12"/>
      <c r="H50" s="12"/>
    </row>
    <row r="51" spans="1:8" ht="14">
      <c r="G51" s="12"/>
      <c r="H51" s="12"/>
    </row>
    <row r="52" spans="1:8" ht="14">
      <c r="G52" s="12"/>
      <c r="H52" s="12"/>
    </row>
    <row r="53" spans="1:8" ht="14">
      <c r="G53" s="12"/>
      <c r="H53" s="12"/>
    </row>
    <row r="54" spans="1:8" ht="14">
      <c r="G54" s="12"/>
      <c r="H54" s="12"/>
    </row>
    <row r="55" spans="1:8" ht="14">
      <c r="G55" s="12"/>
      <c r="H55" s="12"/>
    </row>
    <row r="56" spans="1:8" ht="14">
      <c r="G56" s="12"/>
      <c r="H56" s="12"/>
    </row>
    <row r="57" spans="1:8" ht="14">
      <c r="G57" s="12"/>
      <c r="H57" s="12"/>
    </row>
    <row r="58" spans="1:8" ht="14">
      <c r="G58" s="12"/>
      <c r="H58" s="12"/>
    </row>
    <row r="59" spans="1:8" ht="14">
      <c r="G59" s="12"/>
      <c r="H59" s="12"/>
    </row>
    <row r="60" spans="1:8" ht="14">
      <c r="A60" s="12"/>
      <c r="B60" s="12"/>
      <c r="C60" s="12"/>
      <c r="D60" s="12"/>
      <c r="E60" s="12"/>
      <c r="F60" s="12"/>
      <c r="G60" s="12"/>
      <c r="H60" s="12"/>
    </row>
    <row r="61" spans="1:8" ht="14">
      <c r="A61" s="12"/>
      <c r="B61" s="12"/>
      <c r="C61" s="12"/>
      <c r="D61" s="12"/>
      <c r="E61" s="12"/>
      <c r="F61" s="12"/>
      <c r="G61" s="12"/>
      <c r="H61" s="12"/>
    </row>
    <row r="62" spans="1:8" ht="14">
      <c r="A62" s="12"/>
      <c r="B62" s="12"/>
      <c r="C62" s="12"/>
      <c r="D62" s="12"/>
      <c r="E62" s="12"/>
      <c r="F62" s="12"/>
      <c r="G62" s="12"/>
      <c r="H62" s="12"/>
    </row>
    <row r="63" spans="1:8" ht="14">
      <c r="A63" s="12"/>
      <c r="B63" s="12"/>
      <c r="C63" s="12"/>
      <c r="D63" s="12"/>
      <c r="E63" s="12"/>
      <c r="F63" s="12"/>
      <c r="G63" s="12"/>
      <c r="H63" s="12"/>
    </row>
    <row r="64" spans="1:8" ht="14">
      <c r="A64" s="12"/>
      <c r="B64" s="12"/>
      <c r="C64" s="12"/>
      <c r="D64" s="12"/>
      <c r="E64" s="12"/>
      <c r="F64" s="12"/>
      <c r="G64" s="12"/>
      <c r="H64" s="12"/>
    </row>
    <row r="65" spans="1:8" ht="14">
      <c r="A65" s="12"/>
      <c r="B65" s="12"/>
      <c r="C65" s="12"/>
      <c r="D65" s="12"/>
      <c r="E65" s="12"/>
      <c r="F65" s="12"/>
      <c r="G65" s="12"/>
      <c r="H65" s="12"/>
    </row>
    <row r="66" spans="1:8" ht="14">
      <c r="A66" s="12"/>
      <c r="B66" s="12"/>
      <c r="C66" s="12"/>
      <c r="D66" s="12"/>
      <c r="E66" s="12"/>
      <c r="F66" s="12"/>
      <c r="G66" s="12"/>
      <c r="H66" s="12"/>
    </row>
    <row r="67" spans="1:8" ht="14">
      <c r="F67" s="12"/>
      <c r="G67" s="12"/>
      <c r="H67" s="12"/>
    </row>
    <row r="68" spans="1:8" ht="14">
      <c r="F68" s="12"/>
      <c r="G68" s="12"/>
      <c r="H68" s="12"/>
    </row>
    <row r="69" spans="1:8" ht="14">
      <c r="F69" s="12"/>
      <c r="G69" s="12"/>
      <c r="H69" s="12"/>
    </row>
    <row r="70" spans="1:8" ht="14">
      <c r="F70" s="12"/>
      <c r="G70" s="12"/>
      <c r="H70" s="12"/>
    </row>
    <row r="71" spans="1:8" ht="14">
      <c r="A71" s="12"/>
      <c r="B71" s="12"/>
      <c r="C71" s="12"/>
      <c r="D71" s="12"/>
      <c r="E71" s="12"/>
      <c r="F71" s="12"/>
      <c r="G71" s="12"/>
      <c r="H71" s="12"/>
    </row>
    <row r="72" spans="1:8" ht="14">
      <c r="A72" s="12"/>
      <c r="B72" s="12"/>
      <c r="C72" s="12"/>
      <c r="D72" s="12"/>
      <c r="E72" s="12"/>
      <c r="F72" s="12"/>
      <c r="G72" s="12"/>
      <c r="H72" s="12"/>
    </row>
    <row r="73" spans="1:8" ht="14">
      <c r="A73" s="12"/>
      <c r="B73" s="12"/>
      <c r="C73" s="12"/>
      <c r="D73" s="12"/>
      <c r="E73" s="12"/>
      <c r="F73" s="12"/>
      <c r="G73" s="12"/>
      <c r="H73" s="12"/>
    </row>
    <row r="74" spans="1:8" ht="14">
      <c r="A74" s="11"/>
      <c r="B74" s="12"/>
      <c r="C74" s="12"/>
      <c r="D74" s="12"/>
      <c r="E74" s="12"/>
      <c r="F74" s="12"/>
      <c r="G74" s="12"/>
      <c r="H74" s="12"/>
    </row>
    <row r="75" spans="1:8" ht="14">
      <c r="A75" s="12"/>
      <c r="B75" s="12"/>
      <c r="C75" s="12"/>
      <c r="D75" s="12"/>
      <c r="E75" s="12"/>
      <c r="F75" s="12"/>
      <c r="G75" s="12"/>
      <c r="H75" s="12"/>
    </row>
    <row r="76" spans="1:8" ht="14">
      <c r="A76" s="12"/>
      <c r="B76" s="12"/>
      <c r="C76" s="12"/>
      <c r="D76" s="12"/>
      <c r="E76" s="12"/>
      <c r="F76" s="12"/>
      <c r="G76" s="12"/>
      <c r="H76" s="12"/>
    </row>
    <row r="77" spans="1:8" ht="14">
      <c r="A77" s="12"/>
      <c r="B77" s="12"/>
      <c r="C77" s="12"/>
      <c r="D77" s="12"/>
      <c r="E77" s="12"/>
      <c r="F77" s="12"/>
      <c r="G77" s="12"/>
      <c r="H77" s="12"/>
    </row>
    <row r="78" spans="1:8" ht="14">
      <c r="A78" s="12"/>
      <c r="B78" s="12"/>
      <c r="C78" s="12"/>
      <c r="D78" s="12"/>
      <c r="E78" s="12"/>
      <c r="F78" s="12"/>
      <c r="G78" s="12"/>
      <c r="H78" s="12"/>
    </row>
    <row r="79" spans="1:8" ht="14">
      <c r="A79" s="12"/>
      <c r="B79" s="12"/>
      <c r="C79" s="12"/>
      <c r="D79" s="12"/>
      <c r="E79" s="12"/>
      <c r="F79" s="12"/>
      <c r="G79" s="12"/>
      <c r="H79" s="12"/>
    </row>
  </sheetData>
  <phoneticPr fontId="2" type="noConversion"/>
  <pageMargins left="0.75" right="0.75" top="1" bottom="1" header="0.5" footer="0.5"/>
  <pageSetup orientation="landscape"/>
  <headerFooter alignWithMargins="0">
    <oddFooter>&amp;L2009-2010&amp;C&amp;A&amp;RPage &amp;P of &amp;N</oddFooter>
  </headerFooter>
  <ignoredErrors>
    <ignoredError sqref="D18 D36 D44" formula="1"/>
  </ignoredErrors>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activeCell="I10" sqref="I10"/>
    </sheetView>
  </sheetViews>
  <sheetFormatPr baseColWidth="10" defaultColWidth="8.83203125" defaultRowHeight="12" x14ac:dyDescent="0"/>
  <cols>
    <col min="1" max="1" width="23.1640625" customWidth="1"/>
    <col min="2" max="2" width="16.83203125" bestFit="1" customWidth="1"/>
    <col min="3" max="3" width="13.5" bestFit="1" customWidth="1"/>
    <col min="4" max="4" width="10.83203125" bestFit="1" customWidth="1"/>
    <col min="5" max="5" width="13.33203125" customWidth="1"/>
    <col min="7" max="7" width="20.33203125" customWidth="1"/>
    <col min="10" max="10" width="13.5" bestFit="1" customWidth="1"/>
    <col min="12" max="12" width="13.5" bestFit="1" customWidth="1"/>
    <col min="13" max="13" width="10.6640625" bestFit="1" customWidth="1"/>
  </cols>
  <sheetData>
    <row r="1" spans="1:10" ht="18">
      <c r="A1" s="213" t="s">
        <v>834</v>
      </c>
      <c r="B1" s="12"/>
      <c r="C1" s="12"/>
      <c r="D1" s="12"/>
      <c r="E1" s="12"/>
      <c r="F1" s="12"/>
      <c r="G1" s="12"/>
      <c r="H1" s="12"/>
    </row>
    <row r="2" spans="1:10" ht="14">
      <c r="A2" s="12"/>
      <c r="B2" s="12"/>
      <c r="C2" s="12"/>
      <c r="D2" s="12"/>
      <c r="E2" s="12"/>
      <c r="F2" s="12"/>
      <c r="G2" s="12"/>
      <c r="H2" s="12"/>
    </row>
    <row r="3" spans="1:10" ht="15">
      <c r="A3" s="9" t="s">
        <v>836</v>
      </c>
      <c r="B3" s="12"/>
      <c r="C3" s="12"/>
      <c r="D3" s="12"/>
      <c r="E3" s="12"/>
      <c r="F3" s="12"/>
      <c r="G3" s="12"/>
      <c r="H3" s="12"/>
    </row>
    <row r="4" spans="1:10" ht="14">
      <c r="A4" s="12"/>
      <c r="B4" s="12"/>
      <c r="C4" s="12"/>
      <c r="D4" s="12"/>
      <c r="E4" s="12"/>
      <c r="F4" s="12"/>
      <c r="G4" s="12"/>
      <c r="H4" s="12"/>
    </row>
    <row r="5" spans="1:10" ht="29" thickBot="1">
      <c r="A5" s="29" t="s">
        <v>817</v>
      </c>
      <c r="B5" s="30" t="s">
        <v>5</v>
      </c>
      <c r="C5" s="30" t="s">
        <v>462</v>
      </c>
      <c r="D5" s="30" t="s">
        <v>370</v>
      </c>
      <c r="E5" s="30" t="s">
        <v>839</v>
      </c>
      <c r="F5" s="12"/>
      <c r="G5" s="12"/>
      <c r="H5" s="12"/>
    </row>
    <row r="6" spans="1:10" ht="14">
      <c r="A6" s="150" t="s">
        <v>835</v>
      </c>
      <c r="B6" s="153">
        <v>4224</v>
      </c>
      <c r="C6" s="153">
        <v>3908</v>
      </c>
      <c r="D6" s="17">
        <f>(C6-B6)/B6</f>
        <v>-7.4810606060606064E-2</v>
      </c>
      <c r="E6" s="17">
        <f>C6/C10</f>
        <v>0.33888310787374265</v>
      </c>
      <c r="F6" s="12"/>
      <c r="G6" s="12"/>
      <c r="H6" s="12"/>
    </row>
    <row r="7" spans="1:10" ht="14">
      <c r="A7" s="151" t="s">
        <v>394</v>
      </c>
      <c r="B7" s="152">
        <v>3037</v>
      </c>
      <c r="C7" s="153">
        <v>3507</v>
      </c>
      <c r="D7" s="17">
        <f t="shared" ref="D7:D9" si="0">(C7-B7)/B7</f>
        <v>0.15475798485347383</v>
      </c>
      <c r="E7" s="17">
        <f>C7/C10</f>
        <v>0.30411030176899062</v>
      </c>
      <c r="F7" s="12"/>
      <c r="G7" s="12"/>
      <c r="H7" s="12"/>
    </row>
    <row r="8" spans="1:10" ht="14">
      <c r="A8" s="151" t="s">
        <v>396</v>
      </c>
      <c r="B8" s="154">
        <v>168</v>
      </c>
      <c r="C8" s="154">
        <v>218</v>
      </c>
      <c r="D8" s="17">
        <f t="shared" si="0"/>
        <v>0.29761904761904762</v>
      </c>
      <c r="E8" s="17">
        <f>C8/C10</f>
        <v>1.8903919528269163E-2</v>
      </c>
      <c r="F8" s="12"/>
      <c r="G8" s="12"/>
      <c r="H8" s="12"/>
    </row>
    <row r="9" spans="1:10" ht="15" thickBot="1">
      <c r="A9" s="151" t="s">
        <v>316</v>
      </c>
      <c r="B9" s="154">
        <v>2370</v>
      </c>
      <c r="C9" s="154">
        <v>3899</v>
      </c>
      <c r="D9" s="17">
        <f t="shared" si="0"/>
        <v>0.64514767932489447</v>
      </c>
      <c r="E9" s="17">
        <f>C9/C10</f>
        <v>0.33810267082899759</v>
      </c>
      <c r="F9" s="12"/>
      <c r="G9" s="12"/>
      <c r="H9" s="12"/>
    </row>
    <row r="10" spans="1:10" ht="15" thickBot="1">
      <c r="A10" s="96" t="s">
        <v>23</v>
      </c>
      <c r="B10" s="155">
        <f>SUM(B6:B9)</f>
        <v>9799</v>
      </c>
      <c r="C10" s="155">
        <f>SUM(C6:C9)</f>
        <v>11532</v>
      </c>
      <c r="D10" s="78">
        <f>(C10-B10)/B10</f>
        <v>0.17685478110011227</v>
      </c>
      <c r="E10" s="78">
        <f>SUM(E6:E9)</f>
        <v>1</v>
      </c>
      <c r="F10" s="12"/>
      <c r="G10" s="12"/>
      <c r="H10" s="12"/>
    </row>
    <row r="11" spans="1:10" ht="14">
      <c r="A11" s="42"/>
      <c r="B11" s="43"/>
      <c r="C11" s="43"/>
      <c r="D11" s="44"/>
      <c r="E11" s="44"/>
      <c r="F11" s="12"/>
      <c r="G11" s="124"/>
      <c r="H11" s="12"/>
    </row>
    <row r="12" spans="1:10" ht="14">
      <c r="A12" s="42"/>
      <c r="B12" s="43"/>
      <c r="C12" s="43"/>
      <c r="D12" s="44"/>
      <c r="E12" s="44"/>
      <c r="F12" s="12"/>
      <c r="G12" s="12"/>
      <c r="H12" s="12"/>
    </row>
    <row r="13" spans="1:10" ht="15">
      <c r="A13" s="9" t="s">
        <v>840</v>
      </c>
      <c r="B13" s="9"/>
      <c r="C13" s="10"/>
      <c r="D13" s="10"/>
      <c r="E13" s="10"/>
      <c r="F13" s="10"/>
      <c r="G13" s="12"/>
      <c r="H13" s="12"/>
    </row>
    <row r="14" spans="1:10" ht="14">
      <c r="A14" s="12"/>
      <c r="B14" s="12"/>
      <c r="C14" s="12"/>
      <c r="D14" s="12"/>
      <c r="E14" s="12"/>
      <c r="F14" s="12"/>
      <c r="G14" s="12"/>
      <c r="H14" s="12"/>
    </row>
    <row r="15" spans="1:10" ht="15" thickBot="1">
      <c r="A15" s="29"/>
      <c r="B15" s="30" t="s">
        <v>5</v>
      </c>
      <c r="C15" s="30" t="s">
        <v>462</v>
      </c>
      <c r="D15" s="30" t="s">
        <v>370</v>
      </c>
      <c r="E15" s="46"/>
      <c r="F15" s="46"/>
      <c r="G15" s="12"/>
      <c r="H15" s="12"/>
      <c r="I15" s="12"/>
      <c r="J15" s="12"/>
    </row>
    <row r="16" spans="1:10" ht="14">
      <c r="A16" s="16" t="s">
        <v>838</v>
      </c>
      <c r="B16" s="139">
        <v>315017.46999999997</v>
      </c>
      <c r="C16" s="139">
        <v>347375.7</v>
      </c>
      <c r="D16" s="17">
        <f>(C16-B16)/B16</f>
        <v>0.10271884286290549</v>
      </c>
      <c r="E16" s="46"/>
      <c r="F16" s="12"/>
      <c r="G16" s="12"/>
      <c r="H16" s="12"/>
      <c r="I16" s="12"/>
      <c r="J16" s="12"/>
    </row>
    <row r="17" spans="1:10" ht="15" thickBot="1">
      <c r="A17" s="156" t="s">
        <v>837</v>
      </c>
      <c r="B17" s="152">
        <f>B6+B7+B8</f>
        <v>7429</v>
      </c>
      <c r="C17" s="153">
        <f>C6+C7+C8</f>
        <v>7633</v>
      </c>
      <c r="D17" s="17">
        <f>(C17-B17)/B17</f>
        <v>2.7459954233409609E-2</v>
      </c>
      <c r="E17" s="46"/>
      <c r="F17" s="12"/>
      <c r="G17" s="12"/>
      <c r="H17" s="12"/>
      <c r="I17" s="12"/>
      <c r="J17" s="12"/>
    </row>
    <row r="18" spans="1:10" s="148" customFormat="1" ht="29" thickBot="1">
      <c r="A18" s="159" t="s">
        <v>841</v>
      </c>
      <c r="B18" s="157">
        <f>B16/B17</f>
        <v>42.40375151433571</v>
      </c>
      <c r="C18" s="157">
        <f>C16/C17</f>
        <v>45.509720948513035</v>
      </c>
      <c r="D18" s="158">
        <f>(C18-B18)/B18</f>
        <v>7.324751521400813E-2</v>
      </c>
      <c r="E18" s="127"/>
      <c r="F18" s="147"/>
      <c r="G18" s="147"/>
      <c r="H18" s="147"/>
    </row>
    <row r="19" spans="1:10" ht="14">
      <c r="A19" s="12"/>
      <c r="B19" s="51"/>
      <c r="C19" s="43"/>
      <c r="D19" s="43"/>
      <c r="E19" s="44"/>
      <c r="F19" s="12"/>
      <c r="G19" s="12"/>
      <c r="H19" s="12"/>
    </row>
    <row r="20" spans="1:10" ht="14">
      <c r="A20" s="42"/>
      <c r="B20" s="43"/>
      <c r="C20" s="43"/>
      <c r="D20" s="44"/>
      <c r="E20" s="44"/>
      <c r="F20" s="12"/>
      <c r="G20" s="12"/>
      <c r="H20" s="12"/>
    </row>
    <row r="21" spans="1:10" ht="14">
      <c r="A21" s="12"/>
      <c r="B21" s="12"/>
      <c r="C21" s="12"/>
      <c r="D21" s="12"/>
      <c r="E21" s="12"/>
      <c r="F21" s="12"/>
      <c r="G21" s="12"/>
      <c r="H21" s="12"/>
    </row>
    <row r="22" spans="1:10" ht="14">
      <c r="A22" s="12"/>
      <c r="B22" s="12"/>
      <c r="C22" s="12"/>
      <c r="D22" s="12"/>
      <c r="E22" s="12"/>
      <c r="F22" s="12"/>
      <c r="G22" s="12"/>
      <c r="H22" s="12"/>
    </row>
    <row r="23" spans="1:10" ht="14">
      <c r="G23" s="12"/>
      <c r="H23" s="12"/>
    </row>
    <row r="24" spans="1:10" ht="14">
      <c r="G24" s="12"/>
      <c r="H24" s="12"/>
    </row>
    <row r="25" spans="1:10" ht="14">
      <c r="G25" s="12"/>
      <c r="H25" s="12"/>
    </row>
    <row r="26" spans="1:10" ht="14">
      <c r="G26" s="12"/>
      <c r="H26" s="12"/>
    </row>
    <row r="27" spans="1:10" ht="14">
      <c r="G27" s="12"/>
      <c r="H27" s="12"/>
    </row>
    <row r="28" spans="1:10" ht="14">
      <c r="G28" s="12"/>
      <c r="H28" s="12"/>
    </row>
    <row r="29" spans="1:10" ht="14">
      <c r="G29" s="12"/>
      <c r="H29" s="12"/>
    </row>
    <row r="30" spans="1:10" ht="14">
      <c r="G30" s="12"/>
      <c r="H30" s="12"/>
    </row>
    <row r="31" spans="1:10" ht="14">
      <c r="G31" s="12"/>
      <c r="H31" s="12"/>
    </row>
    <row r="32" spans="1:10" ht="14">
      <c r="G32" s="12"/>
      <c r="H32" s="12"/>
    </row>
    <row r="33" spans="1:8" ht="14">
      <c r="G33" s="12"/>
      <c r="H33" s="12"/>
    </row>
    <row r="34" spans="1:8" ht="14">
      <c r="G34" s="12"/>
      <c r="H34" s="12"/>
    </row>
    <row r="35" spans="1:8" ht="14">
      <c r="A35" s="12"/>
      <c r="B35" s="12"/>
      <c r="C35" s="12"/>
      <c r="D35" s="12"/>
      <c r="E35" s="12"/>
      <c r="F35" s="12"/>
      <c r="G35" s="12"/>
      <c r="H35" s="12"/>
    </row>
    <row r="36" spans="1:8" ht="14">
      <c r="A36" s="12"/>
      <c r="B36" s="12"/>
      <c r="C36" s="12"/>
      <c r="D36" s="12"/>
      <c r="E36" s="12"/>
      <c r="F36" s="12"/>
      <c r="G36" s="12"/>
      <c r="H36" s="12"/>
    </row>
    <row r="37" spans="1:8" ht="14">
      <c r="A37" s="12"/>
      <c r="B37" s="12"/>
      <c r="C37" s="12"/>
      <c r="D37" s="12"/>
      <c r="E37" s="12"/>
      <c r="F37" s="12"/>
      <c r="G37" s="12"/>
      <c r="H37" s="12"/>
    </row>
    <row r="38" spans="1:8" ht="14">
      <c r="A38" s="12"/>
      <c r="B38" s="12"/>
      <c r="C38" s="12"/>
      <c r="D38" s="12"/>
      <c r="E38" s="12"/>
      <c r="F38" s="12"/>
      <c r="G38" s="12"/>
      <c r="H38" s="12"/>
    </row>
    <row r="39" spans="1:8" ht="14">
      <c r="A39" s="12"/>
      <c r="B39" s="12"/>
      <c r="C39" s="12"/>
      <c r="D39" s="12"/>
      <c r="E39" s="12"/>
      <c r="F39" s="12"/>
      <c r="G39" s="12"/>
      <c r="H39" s="12"/>
    </row>
    <row r="40" spans="1:8" ht="14">
      <c r="A40" s="12"/>
      <c r="B40" s="12"/>
      <c r="C40" s="12"/>
      <c r="D40" s="12"/>
      <c r="E40" s="12"/>
      <c r="F40" s="12"/>
      <c r="G40" s="12"/>
      <c r="H40" s="12"/>
    </row>
    <row r="41" spans="1:8" ht="14">
      <c r="A41" s="12"/>
      <c r="B41" s="12"/>
      <c r="C41" s="12"/>
      <c r="D41" s="12"/>
      <c r="E41" s="12"/>
      <c r="F41" s="12"/>
      <c r="G41" s="12"/>
      <c r="H41" s="12"/>
    </row>
    <row r="42" spans="1:8" ht="14">
      <c r="F42" s="12"/>
      <c r="G42" s="12"/>
      <c r="H42" s="12"/>
    </row>
    <row r="43" spans="1:8" ht="14">
      <c r="F43" s="12"/>
      <c r="G43" s="12"/>
      <c r="H43" s="12"/>
    </row>
    <row r="44" spans="1:8" ht="14">
      <c r="F44" s="12"/>
      <c r="G44" s="12"/>
      <c r="H44" s="12"/>
    </row>
    <row r="45" spans="1:8" ht="14">
      <c r="F45" s="12"/>
      <c r="G45" s="12"/>
      <c r="H45" s="12"/>
    </row>
    <row r="46" spans="1:8" ht="14">
      <c r="A46" s="12"/>
      <c r="B46" s="12"/>
      <c r="C46" s="12"/>
      <c r="D46" s="12"/>
      <c r="E46" s="12"/>
      <c r="F46" s="12"/>
      <c r="G46" s="12"/>
      <c r="H46" s="12"/>
    </row>
    <row r="47" spans="1:8" ht="14">
      <c r="A47" s="12"/>
      <c r="B47" s="12"/>
      <c r="C47" s="12"/>
      <c r="D47" s="12"/>
      <c r="E47" s="12"/>
      <c r="F47" s="12"/>
      <c r="G47" s="12"/>
      <c r="H47" s="12"/>
    </row>
    <row r="48" spans="1:8" ht="14">
      <c r="A48" s="12"/>
      <c r="B48" s="12"/>
      <c r="C48" s="12"/>
      <c r="D48" s="12"/>
      <c r="E48" s="12"/>
      <c r="F48" s="12"/>
      <c r="G48" s="12"/>
      <c r="H48" s="12"/>
    </row>
    <row r="49" spans="1:8" ht="14">
      <c r="A49" s="11"/>
      <c r="B49" s="12"/>
      <c r="C49" s="12"/>
      <c r="D49" s="12"/>
      <c r="E49" s="12"/>
      <c r="F49" s="12"/>
      <c r="G49" s="12"/>
      <c r="H49" s="12"/>
    </row>
    <row r="50" spans="1:8" ht="14">
      <c r="A50" s="12"/>
      <c r="B50" s="12"/>
      <c r="C50" s="12"/>
      <c r="D50" s="12"/>
      <c r="E50" s="12"/>
      <c r="F50" s="12"/>
      <c r="G50" s="12"/>
      <c r="H50" s="12"/>
    </row>
    <row r="51" spans="1:8" ht="14">
      <c r="A51" s="12"/>
      <c r="B51" s="12"/>
      <c r="C51" s="12"/>
      <c r="D51" s="12"/>
      <c r="E51" s="12"/>
      <c r="F51" s="12"/>
      <c r="G51" s="12"/>
      <c r="H51" s="12"/>
    </row>
    <row r="52" spans="1:8" ht="14">
      <c r="A52" s="12"/>
      <c r="B52" s="12"/>
      <c r="C52" s="12"/>
      <c r="D52" s="12"/>
      <c r="E52" s="12"/>
      <c r="F52" s="12"/>
      <c r="G52" s="12"/>
      <c r="H52" s="12"/>
    </row>
    <row r="53" spans="1:8" ht="14">
      <c r="A53" s="12"/>
      <c r="B53" s="12"/>
      <c r="C53" s="12"/>
      <c r="D53" s="12"/>
      <c r="E53" s="12"/>
      <c r="F53" s="12"/>
      <c r="G53" s="12"/>
      <c r="H53" s="12"/>
    </row>
    <row r="54" spans="1:8" ht="14">
      <c r="A54" s="12"/>
      <c r="B54" s="12"/>
      <c r="C54" s="12"/>
      <c r="D54" s="12"/>
      <c r="E54" s="12"/>
      <c r="F54" s="12"/>
      <c r="G54" s="12"/>
      <c r="H54" s="12"/>
    </row>
  </sheetData>
  <phoneticPr fontId="2" type="noConversion"/>
  <pageMargins left="0.75" right="0.75" top="1" bottom="1" header="0.5" footer="0.5"/>
  <pageSetup orientation="landscape"/>
  <headerFooter alignWithMargins="0">
    <oddFooter>&amp;L2009-2010&amp;C&amp;A&amp;RPage &amp;P of &amp;N</oddFooter>
  </headerFooter>
  <ignoredErrors>
    <ignoredError sqref="D10" formula="1"/>
  </ignoredErrors>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workbookViewId="0"/>
  </sheetViews>
  <sheetFormatPr baseColWidth="10" defaultColWidth="8.83203125" defaultRowHeight="12" x14ac:dyDescent="0"/>
  <cols>
    <col min="1" max="1" width="22.1640625" customWidth="1"/>
    <col min="2" max="2" width="16.83203125" bestFit="1" customWidth="1"/>
    <col min="3" max="3" width="13.5" bestFit="1" customWidth="1"/>
    <col min="4" max="4" width="10.83203125" bestFit="1" customWidth="1"/>
    <col min="5" max="5" width="13.83203125" customWidth="1"/>
    <col min="9" max="9" width="11.6640625" bestFit="1" customWidth="1"/>
    <col min="10" max="10" width="13.5" bestFit="1" customWidth="1"/>
    <col min="12" max="12" width="13.5" bestFit="1" customWidth="1"/>
    <col min="13" max="13" width="10.6640625" bestFit="1" customWidth="1"/>
  </cols>
  <sheetData>
    <row r="1" spans="1:8" ht="18">
      <c r="A1" s="213" t="s">
        <v>926</v>
      </c>
      <c r="B1" s="128"/>
      <c r="C1" s="12"/>
      <c r="D1" s="12"/>
      <c r="E1" s="12"/>
      <c r="F1" s="12"/>
      <c r="G1" s="12"/>
      <c r="H1" s="12"/>
    </row>
    <row r="2" spans="1:8" ht="14">
      <c r="A2" s="12"/>
      <c r="B2" s="12"/>
      <c r="C2" s="12"/>
      <c r="D2" s="12"/>
      <c r="E2" s="12"/>
      <c r="F2" s="12"/>
      <c r="G2" s="12"/>
      <c r="H2" s="12"/>
    </row>
    <row r="3" spans="1:8" ht="15">
      <c r="A3" s="9" t="s">
        <v>373</v>
      </c>
      <c r="B3" s="12"/>
      <c r="C3" s="12"/>
      <c r="D3" s="12"/>
      <c r="E3" s="12"/>
      <c r="F3" s="12"/>
      <c r="G3" s="12"/>
      <c r="H3" s="12"/>
    </row>
    <row r="4" spans="1:8" ht="14">
      <c r="A4" s="12"/>
      <c r="B4" s="12"/>
      <c r="C4" s="12"/>
      <c r="D4" s="12"/>
      <c r="E4" s="12"/>
      <c r="F4" s="12"/>
      <c r="G4" s="12"/>
      <c r="H4" s="12"/>
    </row>
    <row r="5" spans="1:8" ht="29" thickBot="1">
      <c r="A5" s="29" t="s">
        <v>8</v>
      </c>
      <c r="B5" s="30" t="s">
        <v>5</v>
      </c>
      <c r="C5" s="30" t="s">
        <v>462</v>
      </c>
      <c r="D5" s="30" t="s">
        <v>370</v>
      </c>
      <c r="E5" s="30" t="s">
        <v>577</v>
      </c>
      <c r="F5" s="12"/>
      <c r="G5" s="12"/>
      <c r="H5" s="12"/>
    </row>
    <row r="6" spans="1:8" ht="14">
      <c r="A6" s="31" t="s">
        <v>10</v>
      </c>
      <c r="B6" s="32">
        <v>2602491.17</v>
      </c>
      <c r="C6" s="32">
        <f>2741386.07-(C7+C8)+22403.54</f>
        <v>2748792.1599999997</v>
      </c>
      <c r="D6" s="33">
        <f>(C6-B6)/B6</f>
        <v>5.6215748851128573E-2</v>
      </c>
      <c r="E6" s="34">
        <f>C6/C9</f>
        <v>0.99457359201809858</v>
      </c>
      <c r="F6" s="12"/>
      <c r="G6" s="12"/>
      <c r="H6" s="12"/>
    </row>
    <row r="7" spans="1:8" ht="14">
      <c r="A7" s="35" t="s">
        <v>24</v>
      </c>
      <c r="B7" s="36">
        <v>27264.41</v>
      </c>
      <c r="C7" s="36">
        <v>10536.48</v>
      </c>
      <c r="D7" s="33">
        <f>(C7-B7)/B7</f>
        <v>-0.6135445439677587</v>
      </c>
      <c r="E7" s="33">
        <f>C7/C9</f>
        <v>3.8123307077632439E-3</v>
      </c>
      <c r="F7" s="12"/>
      <c r="G7" s="12"/>
      <c r="H7" s="12"/>
    </row>
    <row r="8" spans="1:8" ht="15" thickBot="1">
      <c r="A8" s="37" t="s">
        <v>9</v>
      </c>
      <c r="B8" s="38">
        <v>4194.3</v>
      </c>
      <c r="C8" s="36">
        <v>4460.97</v>
      </c>
      <c r="D8" s="39">
        <f>(C8-B8)/B8</f>
        <v>6.3579143122809545E-2</v>
      </c>
      <c r="E8" s="39">
        <f>C8/C9</f>
        <v>1.6140772741380994E-3</v>
      </c>
      <c r="F8" s="12"/>
      <c r="G8" s="12"/>
      <c r="H8" s="12"/>
    </row>
    <row r="9" spans="1:8" ht="15" thickBot="1">
      <c r="A9" s="96" t="s">
        <v>23</v>
      </c>
      <c r="B9" s="77">
        <f>SUM(B6:B8)</f>
        <v>2633949.88</v>
      </c>
      <c r="C9" s="77">
        <f>SUM(C6:C8)</f>
        <v>2763789.61</v>
      </c>
      <c r="D9" s="78">
        <f>(C9-B9)/B9</f>
        <v>4.9294685136529626E-2</v>
      </c>
      <c r="E9" s="78">
        <f>SUM(E6:E8)</f>
        <v>0.99999999999999989</v>
      </c>
      <c r="F9" s="12"/>
      <c r="G9" s="12"/>
      <c r="H9" s="12"/>
    </row>
    <row r="10" spans="1:8" ht="14">
      <c r="A10" s="42"/>
      <c r="B10" s="43"/>
      <c r="C10" s="43"/>
      <c r="D10" s="44"/>
      <c r="E10" s="44"/>
      <c r="F10" s="12"/>
      <c r="G10" s="12"/>
      <c r="H10" s="12"/>
    </row>
    <row r="11" spans="1:8" ht="14">
      <c r="A11" s="42"/>
      <c r="B11" s="43"/>
      <c r="C11" s="43"/>
      <c r="D11" s="44"/>
      <c r="E11" s="44"/>
      <c r="F11" s="12"/>
      <c r="G11" s="12"/>
      <c r="H11" s="12"/>
    </row>
    <row r="12" spans="1:8" ht="15">
      <c r="A12" s="9" t="s">
        <v>1256</v>
      </c>
      <c r="B12" s="9"/>
      <c r="C12" s="10"/>
      <c r="D12" s="10"/>
      <c r="E12" s="10"/>
      <c r="F12" s="10"/>
      <c r="G12" s="12"/>
      <c r="H12" s="12"/>
    </row>
    <row r="13" spans="1:8" ht="14">
      <c r="A13" s="12"/>
      <c r="B13" s="12"/>
      <c r="C13" s="12"/>
      <c r="D13" s="12"/>
      <c r="E13" s="12"/>
      <c r="F13" s="12"/>
      <c r="G13" s="12"/>
      <c r="H13" s="12"/>
    </row>
    <row r="14" spans="1:8" ht="15" thickBot="1">
      <c r="A14" s="29" t="s">
        <v>12</v>
      </c>
      <c r="B14" s="29" t="s">
        <v>11</v>
      </c>
      <c r="C14" s="30" t="s">
        <v>5</v>
      </c>
      <c r="D14" s="30" t="s">
        <v>462</v>
      </c>
      <c r="E14" s="30" t="s">
        <v>370</v>
      </c>
      <c r="F14" s="46"/>
      <c r="G14" s="12"/>
      <c r="H14" s="12"/>
    </row>
    <row r="15" spans="1:8" ht="14">
      <c r="A15" s="47" t="s">
        <v>13</v>
      </c>
      <c r="B15" s="47" t="s">
        <v>18</v>
      </c>
      <c r="C15" s="48">
        <v>90.27</v>
      </c>
      <c r="D15" s="48" t="s">
        <v>792</v>
      </c>
      <c r="E15" s="178" t="s">
        <v>792</v>
      </c>
      <c r="F15" s="12"/>
      <c r="G15" s="12"/>
      <c r="H15" s="12"/>
    </row>
    <row r="16" spans="1:8" ht="14">
      <c r="A16" s="49" t="s">
        <v>14</v>
      </c>
      <c r="B16" s="49" t="s">
        <v>19</v>
      </c>
      <c r="C16" s="36">
        <v>7795.66</v>
      </c>
      <c r="D16" s="36" t="s">
        <v>792</v>
      </c>
      <c r="E16" s="179" t="s">
        <v>792</v>
      </c>
      <c r="F16" s="12"/>
      <c r="G16" s="12"/>
      <c r="H16" s="12"/>
    </row>
    <row r="17" spans="1:10" ht="14">
      <c r="A17" s="49" t="s">
        <v>15</v>
      </c>
      <c r="B17" s="49" t="s">
        <v>20</v>
      </c>
      <c r="C17" s="36">
        <v>9853.3799999999992</v>
      </c>
      <c r="D17" s="36" t="s">
        <v>792</v>
      </c>
      <c r="E17" s="179" t="s">
        <v>792</v>
      </c>
      <c r="F17" s="12"/>
      <c r="G17" s="12"/>
      <c r="H17" s="12"/>
    </row>
    <row r="18" spans="1:10" ht="14">
      <c r="A18" s="49" t="s">
        <v>16</v>
      </c>
      <c r="B18" s="49" t="s">
        <v>21</v>
      </c>
      <c r="C18" s="36">
        <v>3176.68</v>
      </c>
      <c r="D18" s="48" t="s">
        <v>792</v>
      </c>
      <c r="E18" s="178" t="s">
        <v>792</v>
      </c>
      <c r="F18" s="12"/>
      <c r="G18" s="12"/>
      <c r="H18" s="12"/>
      <c r="I18" s="12"/>
      <c r="J18" s="12"/>
    </row>
    <row r="19" spans="1:10" ht="15" thickBot="1">
      <c r="A19" s="49" t="s">
        <v>17</v>
      </c>
      <c r="B19" s="50" t="s">
        <v>22</v>
      </c>
      <c r="C19" s="38">
        <v>15550.85</v>
      </c>
      <c r="D19" s="48" t="s">
        <v>792</v>
      </c>
      <c r="E19" s="178" t="s">
        <v>792</v>
      </c>
      <c r="F19" s="12"/>
      <c r="G19" s="12"/>
      <c r="H19" s="12"/>
      <c r="I19" s="12"/>
      <c r="J19" s="12"/>
    </row>
    <row r="20" spans="1:10" ht="15" thickBot="1">
      <c r="A20" s="96"/>
      <c r="B20" s="96" t="s">
        <v>23</v>
      </c>
      <c r="C20" s="77">
        <f>SUM(C15:C19)</f>
        <v>36466.839999999997</v>
      </c>
      <c r="D20" s="77">
        <v>36582.03</v>
      </c>
      <c r="E20" s="78">
        <f t="shared" ref="E20" si="0">(D20-C20)/C20</f>
        <v>3.1587601228952752E-3</v>
      </c>
      <c r="F20" s="12"/>
      <c r="G20" s="12"/>
      <c r="H20" s="12"/>
      <c r="I20" s="12"/>
      <c r="J20" s="12"/>
    </row>
    <row r="21" spans="1:10" ht="14">
      <c r="A21" s="12"/>
      <c r="B21" s="51"/>
      <c r="C21" s="43"/>
      <c r="D21" s="43"/>
      <c r="E21" s="44"/>
      <c r="F21" s="12"/>
      <c r="G21" s="12"/>
      <c r="H21" s="12"/>
      <c r="I21" s="12"/>
      <c r="J21" s="12"/>
    </row>
    <row r="22" spans="1:10" ht="14">
      <c r="A22" s="10"/>
      <c r="B22" s="10"/>
      <c r="C22" s="10"/>
      <c r="D22" s="10"/>
      <c r="E22" s="10"/>
      <c r="F22" s="10"/>
      <c r="G22" s="12"/>
      <c r="H22" s="12"/>
      <c r="I22" s="12"/>
      <c r="J22" s="12"/>
    </row>
    <row r="23" spans="1:10" ht="15">
      <c r="A23" s="9" t="s">
        <v>372</v>
      </c>
      <c r="B23" s="43"/>
      <c r="C23" s="43"/>
      <c r="D23" s="44"/>
      <c r="E23" s="44"/>
      <c r="F23" s="12"/>
      <c r="G23" s="12"/>
      <c r="H23" s="12"/>
      <c r="I23" s="12"/>
      <c r="J23" s="12"/>
    </row>
    <row r="24" spans="1:10" ht="14">
      <c r="A24" s="42"/>
      <c r="B24" s="43"/>
      <c r="C24" s="43"/>
      <c r="D24" s="44"/>
      <c r="E24" s="44"/>
      <c r="F24" s="12"/>
      <c r="G24" s="12"/>
      <c r="H24" s="12"/>
      <c r="I24" s="12"/>
      <c r="J24" s="12"/>
    </row>
    <row r="25" spans="1:10" ht="29" thickBot="1">
      <c r="A25" s="29" t="s">
        <v>371</v>
      </c>
      <c r="B25" s="30" t="s">
        <v>5</v>
      </c>
      <c r="C25" s="30" t="s">
        <v>462</v>
      </c>
      <c r="D25" s="30" t="s">
        <v>370</v>
      </c>
      <c r="E25" s="30" t="s">
        <v>577</v>
      </c>
      <c r="F25" s="12"/>
      <c r="G25" s="12"/>
      <c r="H25" s="12"/>
    </row>
    <row r="26" spans="1:10" ht="14">
      <c r="A26" s="31" t="s">
        <v>213</v>
      </c>
      <c r="B26" s="32">
        <f>B9</f>
        <v>2633949.88</v>
      </c>
      <c r="C26" s="32">
        <f>C9</f>
        <v>2763789.61</v>
      </c>
      <c r="D26" s="34">
        <f>(C26-B26)/B26</f>
        <v>4.9294685136529626E-2</v>
      </c>
      <c r="E26" s="34">
        <f>C26/C28</f>
        <v>0.98693672315578806</v>
      </c>
      <c r="F26" s="12"/>
      <c r="G26" s="12"/>
      <c r="H26" s="12"/>
    </row>
    <row r="27" spans="1:10" ht="15" thickBot="1">
      <c r="A27" s="37" t="s">
        <v>374</v>
      </c>
      <c r="B27" s="45">
        <f>C20</f>
        <v>36466.839999999997</v>
      </c>
      <c r="C27" s="45">
        <f>D20</f>
        <v>36582.03</v>
      </c>
      <c r="D27" s="39">
        <f>(C27-B27)/B27</f>
        <v>3.1587601228952752E-3</v>
      </c>
      <c r="E27" s="39">
        <f>C27/C28</f>
        <v>1.3063276844212008E-2</v>
      </c>
      <c r="F27" s="12"/>
      <c r="G27" s="12"/>
      <c r="H27" s="12"/>
    </row>
    <row r="28" spans="1:10" ht="15" thickBot="1">
      <c r="A28" s="95" t="s">
        <v>23</v>
      </c>
      <c r="B28" s="75">
        <f>SUM(B26:B27)</f>
        <v>2670416.7199999997</v>
      </c>
      <c r="C28" s="75">
        <f>SUM(C26:C27)</f>
        <v>2800371.6399999997</v>
      </c>
      <c r="D28" s="73">
        <f>(C28-B28)/B28</f>
        <v>4.8664659349496563E-2</v>
      </c>
      <c r="E28" s="73">
        <f>SUM(E26:E27)</f>
        <v>1</v>
      </c>
      <c r="F28" s="12"/>
      <c r="G28" s="12"/>
      <c r="H28" s="12"/>
    </row>
    <row r="29" spans="1:10" ht="14">
      <c r="A29" s="42"/>
      <c r="B29" s="43"/>
      <c r="C29" s="43"/>
      <c r="D29" s="44"/>
      <c r="E29" s="44"/>
      <c r="F29" s="12"/>
      <c r="G29" s="12"/>
      <c r="H29" s="12"/>
    </row>
    <row r="30" spans="1:10" ht="14">
      <c r="A30" s="12"/>
      <c r="B30" s="12"/>
      <c r="C30" s="12"/>
      <c r="D30" s="12"/>
      <c r="E30" s="12"/>
      <c r="F30" s="12"/>
      <c r="G30" s="12"/>
      <c r="H30" s="12"/>
    </row>
    <row r="31" spans="1:10" ht="14">
      <c r="A31" s="12"/>
      <c r="B31" s="12"/>
      <c r="C31" s="12"/>
      <c r="D31" s="12"/>
      <c r="E31" s="12"/>
      <c r="F31" s="12"/>
      <c r="G31" s="12"/>
      <c r="H31" s="12"/>
    </row>
    <row r="32" spans="1:10" ht="14">
      <c r="G32" s="12"/>
      <c r="H32" s="12"/>
    </row>
    <row r="33" spans="1:8" ht="14">
      <c r="G33" s="12"/>
      <c r="H33" s="12"/>
    </row>
    <row r="34" spans="1:8" ht="14">
      <c r="G34" s="12"/>
      <c r="H34" s="12"/>
    </row>
    <row r="35" spans="1:8" ht="14">
      <c r="G35" s="12"/>
      <c r="H35" s="12"/>
    </row>
    <row r="36" spans="1:8" ht="14">
      <c r="G36" s="12"/>
      <c r="H36" s="12"/>
    </row>
    <row r="37" spans="1:8" ht="14">
      <c r="G37" s="12"/>
      <c r="H37" s="12"/>
    </row>
    <row r="38" spans="1:8" ht="14">
      <c r="G38" s="12"/>
      <c r="H38" s="12"/>
    </row>
    <row r="39" spans="1:8" ht="14">
      <c r="G39" s="12"/>
      <c r="H39" s="12"/>
    </row>
    <row r="40" spans="1:8" ht="14">
      <c r="G40" s="12"/>
      <c r="H40" s="12"/>
    </row>
    <row r="41" spans="1:8" ht="14">
      <c r="G41" s="12"/>
      <c r="H41" s="12"/>
    </row>
    <row r="42" spans="1:8" ht="14">
      <c r="G42" s="12"/>
      <c r="H42" s="12"/>
    </row>
    <row r="43" spans="1:8" ht="14">
      <c r="G43" s="12"/>
      <c r="H43" s="12"/>
    </row>
    <row r="44" spans="1:8" ht="14">
      <c r="A44" s="12"/>
      <c r="B44" s="12"/>
      <c r="C44" s="12"/>
      <c r="D44" s="12"/>
      <c r="E44" s="12"/>
      <c r="F44" s="12"/>
      <c r="G44" s="12"/>
      <c r="H44" s="12"/>
    </row>
    <row r="45" spans="1:8" ht="14">
      <c r="A45" s="12"/>
      <c r="B45" s="12"/>
      <c r="C45" s="12"/>
      <c r="D45" s="12"/>
      <c r="E45" s="12"/>
      <c r="F45" s="12"/>
      <c r="G45" s="12"/>
      <c r="H45" s="12"/>
    </row>
    <row r="46" spans="1:8" ht="14">
      <c r="A46" s="12"/>
      <c r="B46" s="12"/>
      <c r="C46" s="12"/>
      <c r="D46" s="12"/>
      <c r="E46" s="12"/>
      <c r="F46" s="12"/>
      <c r="G46" s="12"/>
      <c r="H46" s="12"/>
    </row>
    <row r="47" spans="1:8" ht="14">
      <c r="A47" s="12"/>
      <c r="B47" s="12"/>
      <c r="C47" s="12"/>
      <c r="D47" s="12"/>
      <c r="E47" s="12"/>
      <c r="F47" s="12"/>
      <c r="G47" s="12"/>
      <c r="H47" s="12"/>
    </row>
    <row r="48" spans="1:8" ht="14">
      <c r="A48" s="12"/>
      <c r="B48" s="12"/>
      <c r="C48" s="12"/>
      <c r="D48" s="12"/>
      <c r="E48" s="12"/>
      <c r="F48" s="12"/>
      <c r="G48" s="12"/>
      <c r="H48" s="12"/>
    </row>
    <row r="49" spans="1:8" ht="14">
      <c r="A49" s="12"/>
      <c r="B49" s="12"/>
      <c r="C49" s="12"/>
      <c r="D49" s="12"/>
      <c r="E49" s="12"/>
      <c r="F49" s="12"/>
      <c r="G49" s="12"/>
      <c r="H49" s="12"/>
    </row>
    <row r="50" spans="1:8" ht="14">
      <c r="A50" s="12"/>
      <c r="B50" s="12"/>
      <c r="C50" s="12"/>
      <c r="D50" s="12"/>
      <c r="E50" s="12"/>
      <c r="F50" s="12"/>
      <c r="G50" s="12"/>
      <c r="H50" s="12"/>
    </row>
    <row r="51" spans="1:8" ht="14">
      <c r="F51" s="12"/>
      <c r="G51" s="12"/>
      <c r="H51" s="12"/>
    </row>
    <row r="52" spans="1:8" ht="14">
      <c r="F52" s="12"/>
      <c r="G52" s="12"/>
      <c r="H52" s="12"/>
    </row>
    <row r="53" spans="1:8" ht="14">
      <c r="F53" s="12"/>
      <c r="G53" s="12"/>
      <c r="H53" s="12"/>
    </row>
    <row r="54" spans="1:8" ht="14">
      <c r="F54" s="12"/>
      <c r="G54" s="12"/>
      <c r="H54" s="12"/>
    </row>
    <row r="55" spans="1:8" ht="14">
      <c r="A55" s="12"/>
      <c r="B55" s="12"/>
      <c r="C55" s="12"/>
      <c r="D55" s="12"/>
      <c r="E55" s="12"/>
      <c r="F55" s="12"/>
      <c r="G55" s="12"/>
      <c r="H55" s="12"/>
    </row>
    <row r="56" spans="1:8" ht="14">
      <c r="A56" s="12"/>
      <c r="B56" s="12"/>
      <c r="C56" s="12"/>
      <c r="D56" s="12"/>
      <c r="E56" s="12"/>
      <c r="F56" s="12"/>
      <c r="G56" s="12"/>
      <c r="H56" s="12"/>
    </row>
    <row r="57" spans="1:8" ht="14">
      <c r="A57" s="12"/>
      <c r="B57" s="12"/>
      <c r="C57" s="12"/>
      <c r="D57" s="12"/>
      <c r="E57" s="12"/>
      <c r="F57" s="12"/>
      <c r="G57" s="12"/>
      <c r="H57" s="12"/>
    </row>
    <row r="58" spans="1:8" ht="14">
      <c r="A58" s="11"/>
      <c r="B58" s="12"/>
      <c r="C58" s="12"/>
      <c r="D58" s="12"/>
      <c r="E58" s="12"/>
      <c r="F58" s="12"/>
      <c r="G58" s="12"/>
      <c r="H58" s="12"/>
    </row>
    <row r="59" spans="1:8" ht="14">
      <c r="A59" s="12"/>
      <c r="B59" s="12"/>
      <c r="C59" s="12"/>
      <c r="D59" s="12"/>
      <c r="E59" s="12"/>
      <c r="F59" s="12"/>
      <c r="G59" s="12"/>
      <c r="H59" s="12"/>
    </row>
    <row r="60" spans="1:8" ht="14">
      <c r="A60" s="12"/>
      <c r="B60" s="12"/>
      <c r="C60" s="12"/>
      <c r="D60" s="12"/>
      <c r="E60" s="12"/>
      <c r="F60" s="12"/>
      <c r="G60" s="12"/>
      <c r="H60" s="12"/>
    </row>
    <row r="61" spans="1:8" ht="14">
      <c r="A61" s="12"/>
      <c r="B61" s="12"/>
      <c r="C61" s="12"/>
      <c r="D61" s="12"/>
      <c r="E61" s="12"/>
      <c r="F61" s="12"/>
      <c r="G61" s="12"/>
      <c r="H61" s="12"/>
    </row>
    <row r="62" spans="1:8" ht="14">
      <c r="A62" s="12"/>
      <c r="B62" s="12"/>
      <c r="C62" s="12"/>
      <c r="D62" s="12"/>
      <c r="E62" s="12"/>
      <c r="F62" s="12"/>
      <c r="G62" s="12"/>
      <c r="H62" s="12"/>
    </row>
    <row r="63" spans="1:8" ht="14">
      <c r="A63" s="12"/>
      <c r="B63" s="12"/>
      <c r="C63" s="12"/>
      <c r="D63" s="12"/>
      <c r="E63" s="12"/>
      <c r="F63" s="12"/>
      <c r="G63" s="12"/>
      <c r="H63" s="12"/>
    </row>
  </sheetData>
  <phoneticPr fontId="2" type="noConversion"/>
  <pageMargins left="0.75" right="0.75" top="1" bottom="1" header="0.5" footer="0.5"/>
  <pageSetup orientation="landscape"/>
  <headerFooter alignWithMargins="0">
    <oddFooter>&amp;L2009-2010&amp;C&amp;A&amp;RPage &amp;P of &amp;N</oddFooter>
  </headerFooter>
  <ignoredErrors>
    <ignoredError sqref="D9 D28" formula="1"/>
  </ignoredErrors>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
  <sheetViews>
    <sheetView workbookViewId="0"/>
  </sheetViews>
  <sheetFormatPr baseColWidth="10" defaultColWidth="8.83203125" defaultRowHeight="12" x14ac:dyDescent="0"/>
  <cols>
    <col min="1" max="1" width="25.5" customWidth="1"/>
    <col min="2" max="2" width="13.1640625" customWidth="1"/>
    <col min="3" max="3" width="11.6640625" customWidth="1"/>
    <col min="4" max="4" width="10.83203125" bestFit="1" customWidth="1"/>
    <col min="5" max="5" width="13.83203125" customWidth="1"/>
    <col min="7" max="7" width="11.83203125" bestFit="1" customWidth="1"/>
    <col min="8" max="8" width="18.1640625" customWidth="1"/>
    <col min="9" max="9" width="15.6640625" customWidth="1"/>
    <col min="10" max="10" width="22.5" customWidth="1"/>
    <col min="11" max="11" width="11" customWidth="1"/>
    <col min="12" max="12" width="13.5" bestFit="1" customWidth="1"/>
    <col min="13" max="13" width="10.6640625" bestFit="1" customWidth="1"/>
  </cols>
  <sheetData>
    <row r="1" spans="1:8" ht="18">
      <c r="A1" s="213" t="s">
        <v>828</v>
      </c>
      <c r="B1" s="12"/>
      <c r="C1" s="12"/>
      <c r="D1" s="12"/>
      <c r="E1" s="12"/>
      <c r="F1" s="12"/>
      <c r="G1" s="12"/>
      <c r="H1" s="12"/>
    </row>
    <row r="2" spans="1:8" ht="14">
      <c r="A2" s="12"/>
      <c r="B2" s="12"/>
      <c r="C2" s="12"/>
      <c r="D2" s="12"/>
      <c r="E2" s="12"/>
      <c r="F2" s="12"/>
      <c r="G2" s="12"/>
      <c r="H2" s="12"/>
    </row>
    <row r="3" spans="1:8" ht="15">
      <c r="A3" s="9" t="s">
        <v>830</v>
      </c>
      <c r="B3" s="12"/>
      <c r="C3" s="12"/>
      <c r="D3" s="12"/>
      <c r="E3" s="12"/>
      <c r="F3" s="12"/>
      <c r="G3" s="12"/>
      <c r="H3" s="12"/>
    </row>
    <row r="4" spans="1:8" ht="14">
      <c r="A4" s="12"/>
      <c r="B4" s="12"/>
      <c r="C4" s="12"/>
      <c r="D4" s="12"/>
      <c r="E4" s="12"/>
      <c r="F4" s="12"/>
      <c r="G4" s="12"/>
      <c r="H4" s="12"/>
    </row>
    <row r="5" spans="1:8" ht="29" thickBot="1">
      <c r="A5" s="29" t="s">
        <v>817</v>
      </c>
      <c r="B5" s="30" t="s">
        <v>5</v>
      </c>
      <c r="C5" s="30" t="s">
        <v>462</v>
      </c>
      <c r="D5" s="30" t="s">
        <v>370</v>
      </c>
      <c r="E5" s="30" t="s">
        <v>577</v>
      </c>
      <c r="F5" s="12"/>
      <c r="G5" s="12"/>
      <c r="H5" s="12"/>
    </row>
    <row r="6" spans="1:8" ht="14">
      <c r="A6" s="141" t="s">
        <v>337</v>
      </c>
      <c r="B6" s="142">
        <f>B7+B8</f>
        <v>21098.010000000002</v>
      </c>
      <c r="C6" s="142">
        <f>C7+C8</f>
        <v>3810.6800000000003</v>
      </c>
      <c r="D6" s="143">
        <f>(C6-B6)/B6</f>
        <v>-0.81938201754573059</v>
      </c>
      <c r="E6" s="144">
        <f>C6/C10</f>
        <v>9.4340785750696113E-2</v>
      </c>
      <c r="F6" s="12"/>
      <c r="G6" s="12"/>
      <c r="H6" s="12"/>
    </row>
    <row r="7" spans="1:8" ht="14">
      <c r="A7" s="136" t="s">
        <v>394</v>
      </c>
      <c r="B7" s="48">
        <v>20667.61</v>
      </c>
      <c r="C7" s="32">
        <v>3459.51</v>
      </c>
      <c r="D7" s="33">
        <f>(C7-B7)/B7</f>
        <v>-0.83261199529118257</v>
      </c>
      <c r="E7" s="34">
        <f>C7/C10</f>
        <v>8.564689024331372E-2</v>
      </c>
      <c r="F7" s="12"/>
      <c r="G7" s="12"/>
      <c r="H7" s="12"/>
    </row>
    <row r="8" spans="1:8" ht="14">
      <c r="A8" s="136" t="s">
        <v>396</v>
      </c>
      <c r="B8" s="48">
        <v>430.4</v>
      </c>
      <c r="C8" s="32">
        <v>351.17</v>
      </c>
      <c r="D8" s="33">
        <f>(C8-B8)/B8</f>
        <v>-0.18408457249070623</v>
      </c>
      <c r="E8" s="34">
        <f>C8/C10</f>
        <v>8.6938955073823966E-3</v>
      </c>
      <c r="F8" s="12"/>
      <c r="G8" s="12"/>
      <c r="H8" s="12"/>
    </row>
    <row r="9" spans="1:8" s="3" customFormat="1" ht="15" thickBot="1">
      <c r="A9" s="18" t="s">
        <v>947</v>
      </c>
      <c r="B9" s="135">
        <v>36466.839999999997</v>
      </c>
      <c r="C9" s="135">
        <v>36582.03</v>
      </c>
      <c r="D9" s="19">
        <f>(C9-B9)/B9</f>
        <v>3.1587601228952752E-3</v>
      </c>
      <c r="E9" s="144">
        <f>C9/C10</f>
        <v>0.90565921424930385</v>
      </c>
      <c r="F9" s="128"/>
      <c r="G9" s="12"/>
      <c r="H9"/>
    </row>
    <row r="10" spans="1:8" ht="15" thickBot="1">
      <c r="A10" s="96" t="s">
        <v>23</v>
      </c>
      <c r="B10" s="77">
        <f>B6+B9</f>
        <v>57564.85</v>
      </c>
      <c r="C10" s="77">
        <f>C6+C9</f>
        <v>40392.71</v>
      </c>
      <c r="D10" s="78">
        <f>(C10-B10)/B10</f>
        <v>-0.29830947183915185</v>
      </c>
      <c r="E10" s="78">
        <f>E6+E9</f>
        <v>1</v>
      </c>
      <c r="F10" s="12"/>
      <c r="G10" s="12"/>
    </row>
    <row r="11" spans="1:8" ht="14">
      <c r="A11" s="42"/>
      <c r="B11" s="43"/>
      <c r="C11" s="43"/>
      <c r="D11" s="44"/>
      <c r="E11" s="44"/>
      <c r="F11" s="12"/>
      <c r="G11" s="12"/>
    </row>
    <row r="12" spans="1:8" ht="14">
      <c r="A12" s="42"/>
      <c r="B12" s="43"/>
      <c r="C12" s="43"/>
      <c r="D12" s="44"/>
      <c r="E12" s="44"/>
      <c r="F12" s="12"/>
      <c r="G12" s="12"/>
    </row>
    <row r="13" spans="1:8" ht="15">
      <c r="A13" s="9" t="s">
        <v>829</v>
      </c>
      <c r="B13" s="9"/>
      <c r="C13" s="10"/>
      <c r="D13" s="10"/>
      <c r="E13" s="10"/>
      <c r="F13" s="10"/>
      <c r="G13" s="12"/>
    </row>
    <row r="14" spans="1:8" ht="14">
      <c r="A14" s="12"/>
      <c r="B14" s="12"/>
      <c r="C14" s="12"/>
      <c r="D14" s="12"/>
      <c r="E14" s="12"/>
      <c r="F14" s="12"/>
      <c r="G14" s="12"/>
    </row>
    <row r="15" spans="1:8" ht="15" thickBot="1">
      <c r="A15" s="29" t="s">
        <v>842</v>
      </c>
      <c r="B15" s="29" t="s">
        <v>12</v>
      </c>
      <c r="C15" s="30" t="s">
        <v>5</v>
      </c>
      <c r="D15" s="30" t="s">
        <v>462</v>
      </c>
      <c r="E15" s="30" t="s">
        <v>370</v>
      </c>
      <c r="F15" s="46"/>
      <c r="G15" s="12"/>
    </row>
    <row r="16" spans="1:8" ht="14">
      <c r="A16" s="160" t="s">
        <v>843</v>
      </c>
      <c r="B16" s="160"/>
      <c r="C16" s="161">
        <v>0</v>
      </c>
      <c r="D16" s="161">
        <v>0</v>
      </c>
      <c r="E16" s="143">
        <v>0</v>
      </c>
      <c r="F16" s="46"/>
      <c r="G16" s="12"/>
    </row>
    <row r="17" spans="1:11" ht="14">
      <c r="A17" s="162" t="s">
        <v>947</v>
      </c>
      <c r="B17" s="49" t="s">
        <v>858</v>
      </c>
      <c r="C17" s="36">
        <v>0</v>
      </c>
      <c r="D17" s="36">
        <v>0</v>
      </c>
      <c r="E17" s="33">
        <v>0</v>
      </c>
      <c r="F17" s="46"/>
      <c r="G17" s="12"/>
    </row>
    <row r="18" spans="1:11" ht="14">
      <c r="A18" s="160" t="s">
        <v>844</v>
      </c>
      <c r="B18" s="160"/>
      <c r="C18" s="161">
        <v>0</v>
      </c>
      <c r="D18" s="161">
        <v>0</v>
      </c>
      <c r="E18" s="143">
        <v>0</v>
      </c>
      <c r="F18" s="46"/>
      <c r="G18" s="12"/>
    </row>
    <row r="19" spans="1:11" ht="14">
      <c r="A19" s="162" t="s">
        <v>394</v>
      </c>
      <c r="B19" s="49" t="s">
        <v>859</v>
      </c>
      <c r="C19" s="36">
        <v>0</v>
      </c>
      <c r="D19" s="36">
        <v>0</v>
      </c>
      <c r="E19" s="33">
        <v>0</v>
      </c>
      <c r="F19" s="46"/>
      <c r="G19" s="12"/>
    </row>
    <row r="20" spans="1:11" ht="14">
      <c r="A20" s="160" t="s">
        <v>845</v>
      </c>
      <c r="B20" s="160"/>
      <c r="C20" s="161">
        <f>C21+C22+C23</f>
        <v>282.17</v>
      </c>
      <c r="D20" s="161">
        <f>D21+D22+D23</f>
        <v>471.19000000000005</v>
      </c>
      <c r="E20" s="143">
        <f>(D20-C20)/C20</f>
        <v>0.66987985965907082</v>
      </c>
      <c r="F20" s="46"/>
      <c r="G20" s="12"/>
      <c r="H20" s="98"/>
    </row>
    <row r="21" spans="1:11" ht="14">
      <c r="A21" s="162" t="s">
        <v>394</v>
      </c>
      <c r="B21" s="49" t="s">
        <v>302</v>
      </c>
      <c r="C21" s="36">
        <v>0</v>
      </c>
      <c r="D21" s="36">
        <v>0</v>
      </c>
      <c r="E21" s="33">
        <v>0</v>
      </c>
      <c r="F21" s="46"/>
      <c r="G21" s="12"/>
      <c r="H21" s="12"/>
    </row>
    <row r="22" spans="1:11" ht="14">
      <c r="A22" s="162" t="s">
        <v>396</v>
      </c>
      <c r="B22" s="49" t="s">
        <v>303</v>
      </c>
      <c r="C22" s="36">
        <v>191.9</v>
      </c>
      <c r="D22" s="36">
        <v>289.17</v>
      </c>
      <c r="E22" s="33">
        <f>(D22-C22)/C22</f>
        <v>0.50687858259510166</v>
      </c>
      <c r="F22" s="46"/>
      <c r="G22" s="12"/>
      <c r="H22" s="12"/>
    </row>
    <row r="23" spans="1:11" ht="14">
      <c r="A23" s="162" t="s">
        <v>947</v>
      </c>
      <c r="B23" s="49" t="s">
        <v>13</v>
      </c>
      <c r="C23" s="36">
        <v>90.27</v>
      </c>
      <c r="D23" s="36">
        <v>182.02</v>
      </c>
      <c r="E23" s="33">
        <f>(D23-C23)/C23</f>
        <v>1.0163952586684393</v>
      </c>
      <c r="F23" s="46"/>
      <c r="G23" s="12"/>
      <c r="H23" s="12"/>
    </row>
    <row r="24" spans="1:11" ht="14">
      <c r="A24" s="160" t="s">
        <v>846</v>
      </c>
      <c r="B24" s="160"/>
      <c r="C24" s="161">
        <f>C25+C26+C27</f>
        <v>7795.66</v>
      </c>
      <c r="D24" s="161">
        <f>D25+D26+D27</f>
        <v>8137.84</v>
      </c>
      <c r="E24" s="143">
        <f>(D24-C24)/C24</f>
        <v>4.3893653648312048E-2</v>
      </c>
      <c r="F24" s="46"/>
      <c r="G24" s="12"/>
      <c r="H24" s="12"/>
    </row>
    <row r="25" spans="1:11" ht="14">
      <c r="A25" s="162" t="s">
        <v>394</v>
      </c>
      <c r="B25" s="49" t="s">
        <v>304</v>
      </c>
      <c r="C25" s="36">
        <v>0</v>
      </c>
      <c r="D25" s="36">
        <v>0</v>
      </c>
      <c r="E25" s="33">
        <v>0</v>
      </c>
      <c r="F25" s="46"/>
      <c r="G25" s="12"/>
      <c r="H25" s="12"/>
    </row>
    <row r="26" spans="1:11" ht="14">
      <c r="A26" s="162" t="s">
        <v>396</v>
      </c>
      <c r="B26" s="49" t="s">
        <v>847</v>
      </c>
      <c r="C26" s="36">
        <v>0</v>
      </c>
      <c r="D26" s="36">
        <v>0</v>
      </c>
      <c r="E26" s="33">
        <v>0</v>
      </c>
      <c r="F26" s="46"/>
      <c r="G26" s="12"/>
      <c r="H26" s="12"/>
    </row>
    <row r="27" spans="1:11" ht="14">
      <c r="A27" s="162" t="s">
        <v>947</v>
      </c>
      <c r="B27" s="49" t="s">
        <v>14</v>
      </c>
      <c r="C27" s="36">
        <v>7795.66</v>
      </c>
      <c r="D27" s="36">
        <v>8137.84</v>
      </c>
      <c r="E27" s="33">
        <f>(D27-C27)/C27</f>
        <v>4.3893653648312048E-2</v>
      </c>
      <c r="F27" s="46"/>
      <c r="G27" s="12"/>
      <c r="H27" s="12"/>
    </row>
    <row r="28" spans="1:11" ht="14">
      <c r="A28" s="160" t="s">
        <v>848</v>
      </c>
      <c r="B28" s="160"/>
      <c r="C28" s="161">
        <f>C29+C30+C31</f>
        <v>17751.21</v>
      </c>
      <c r="D28" s="161">
        <f>D29+D30+D31</f>
        <v>10108.51</v>
      </c>
      <c r="E28" s="143">
        <f>(D28-C28)/C28</f>
        <v>-0.4305452980388379</v>
      </c>
      <c r="F28" s="12"/>
      <c r="G28" s="12"/>
      <c r="H28" s="12"/>
      <c r="I28" s="12"/>
      <c r="J28" s="12"/>
      <c r="K28" s="12"/>
    </row>
    <row r="29" spans="1:11" ht="14">
      <c r="A29" s="162" t="s">
        <v>394</v>
      </c>
      <c r="B29" s="49" t="s">
        <v>305</v>
      </c>
      <c r="C29" s="55">
        <v>7659.33</v>
      </c>
      <c r="D29" s="36">
        <v>-6.21</v>
      </c>
      <c r="E29" s="33">
        <f>(D29-C29)/C29</f>
        <v>-1.0008107758772635</v>
      </c>
      <c r="F29" s="12"/>
      <c r="G29" s="12"/>
      <c r="H29" s="12"/>
      <c r="I29" s="12"/>
      <c r="J29" s="12"/>
      <c r="K29" s="12"/>
    </row>
    <row r="30" spans="1:11" ht="14">
      <c r="A30" s="162" t="s">
        <v>396</v>
      </c>
      <c r="B30" s="49" t="s">
        <v>306</v>
      </c>
      <c r="C30" s="55">
        <v>238.5</v>
      </c>
      <c r="D30" s="36">
        <v>62</v>
      </c>
      <c r="E30" s="33">
        <f t="shared" ref="E30:E31" si="0">(D30-C30)/C30</f>
        <v>-0.74004192872117402</v>
      </c>
      <c r="F30" s="12"/>
      <c r="G30" s="12"/>
      <c r="H30" s="12"/>
      <c r="I30" s="12"/>
      <c r="J30" s="12"/>
      <c r="K30" s="12"/>
    </row>
    <row r="31" spans="1:11" ht="14">
      <c r="A31" s="162" t="s">
        <v>947</v>
      </c>
      <c r="B31" s="49" t="s">
        <v>15</v>
      </c>
      <c r="C31" s="36">
        <v>9853.3799999999992</v>
      </c>
      <c r="D31" s="36">
        <v>10052.719999999999</v>
      </c>
      <c r="E31" s="33">
        <f t="shared" si="0"/>
        <v>2.0230621370534798E-2</v>
      </c>
      <c r="F31" s="12"/>
      <c r="G31" s="12"/>
      <c r="H31" s="12"/>
      <c r="I31" s="12"/>
      <c r="J31" s="12"/>
      <c r="K31" s="12"/>
    </row>
    <row r="32" spans="1:11" ht="14">
      <c r="A32" s="160" t="s">
        <v>849</v>
      </c>
      <c r="B32" s="160"/>
      <c r="C32" s="161">
        <v>0</v>
      </c>
      <c r="D32" s="161">
        <v>0</v>
      </c>
      <c r="E32" s="143">
        <v>0</v>
      </c>
      <c r="F32" s="12"/>
      <c r="G32" s="12"/>
      <c r="H32" s="12"/>
      <c r="I32" s="12"/>
      <c r="J32" s="12"/>
      <c r="K32" s="12"/>
    </row>
    <row r="33" spans="1:11" ht="14">
      <c r="A33" s="162" t="s">
        <v>394</v>
      </c>
      <c r="B33" s="49" t="s">
        <v>860</v>
      </c>
      <c r="C33" s="36">
        <v>0</v>
      </c>
      <c r="D33" s="36">
        <v>0</v>
      </c>
      <c r="E33" s="33">
        <v>0</v>
      </c>
      <c r="F33" s="12"/>
      <c r="G33" s="12"/>
      <c r="H33" s="12"/>
      <c r="I33" s="12"/>
      <c r="J33" s="12"/>
      <c r="K33" s="12"/>
    </row>
    <row r="34" spans="1:11" ht="14">
      <c r="A34" s="160" t="s">
        <v>850</v>
      </c>
      <c r="B34" s="160"/>
      <c r="C34" s="161">
        <v>0</v>
      </c>
      <c r="D34" s="142">
        <v>0</v>
      </c>
      <c r="E34" s="143">
        <v>0</v>
      </c>
      <c r="F34" s="12"/>
      <c r="G34" s="12"/>
      <c r="H34" s="12"/>
      <c r="I34" s="12"/>
      <c r="J34" s="12"/>
      <c r="K34" s="12"/>
    </row>
    <row r="35" spans="1:11" ht="14">
      <c r="A35" s="162" t="s">
        <v>394</v>
      </c>
      <c r="B35" s="49" t="s">
        <v>861</v>
      </c>
      <c r="C35" s="36">
        <v>0</v>
      </c>
      <c r="D35" s="48">
        <v>0</v>
      </c>
      <c r="E35" s="33">
        <v>0</v>
      </c>
      <c r="F35" s="12"/>
      <c r="G35" s="12"/>
    </row>
    <row r="36" spans="1:11" ht="14">
      <c r="A36" s="160" t="s">
        <v>851</v>
      </c>
      <c r="B36" s="160"/>
      <c r="C36" s="161">
        <f>C37+C38+C39</f>
        <v>6026.85</v>
      </c>
      <c r="D36" s="142">
        <f>D37+D38+D39</f>
        <v>4581.09</v>
      </c>
      <c r="E36" s="143">
        <f>(D36-C36)/C36</f>
        <v>-0.23988650787724933</v>
      </c>
      <c r="F36" s="12"/>
      <c r="G36" s="12"/>
      <c r="H36" s="12"/>
      <c r="I36" s="12"/>
      <c r="J36" s="12"/>
    </row>
    <row r="37" spans="1:11" ht="14">
      <c r="A37" s="162" t="s">
        <v>394</v>
      </c>
      <c r="B37" s="49" t="s">
        <v>307</v>
      </c>
      <c r="C37" s="55">
        <v>2850.17</v>
      </c>
      <c r="D37" s="48">
        <v>1299.94</v>
      </c>
      <c r="E37" s="33">
        <f t="shared" ref="E37:E39" si="1">(D37-C37)/C37</f>
        <v>-0.54390790724763782</v>
      </c>
      <c r="F37" s="12"/>
      <c r="G37" s="12"/>
      <c r="H37" s="12"/>
      <c r="I37" s="12"/>
      <c r="J37" s="12"/>
    </row>
    <row r="38" spans="1:11" ht="14">
      <c r="A38" s="162" t="s">
        <v>396</v>
      </c>
      <c r="B38" s="49" t="s">
        <v>862</v>
      </c>
      <c r="C38" s="36">
        <v>0</v>
      </c>
      <c r="D38" s="48">
        <v>0</v>
      </c>
      <c r="E38" s="33">
        <v>0</v>
      </c>
      <c r="F38" s="12"/>
      <c r="G38" s="12"/>
      <c r="H38" s="12"/>
      <c r="I38" s="12"/>
      <c r="J38" s="12"/>
    </row>
    <row r="39" spans="1:11" ht="14">
      <c r="A39" s="162" t="s">
        <v>947</v>
      </c>
      <c r="B39" s="49" t="s">
        <v>16</v>
      </c>
      <c r="C39" s="36">
        <v>3176.68</v>
      </c>
      <c r="D39" s="48">
        <v>3281.15</v>
      </c>
      <c r="E39" s="33">
        <f t="shared" si="1"/>
        <v>3.2886535628391986E-2</v>
      </c>
      <c r="F39" s="12"/>
      <c r="G39" s="12"/>
      <c r="H39" s="12"/>
      <c r="I39" s="12"/>
      <c r="J39" s="12"/>
    </row>
    <row r="40" spans="1:11" ht="14">
      <c r="A40" s="160" t="s">
        <v>852</v>
      </c>
      <c r="B40" s="160"/>
      <c r="C40" s="161">
        <v>0</v>
      </c>
      <c r="D40" s="142">
        <v>0</v>
      </c>
      <c r="E40" s="143">
        <v>0</v>
      </c>
      <c r="F40" s="12"/>
      <c r="G40" s="12"/>
      <c r="H40" s="12"/>
      <c r="I40" s="12"/>
      <c r="J40" s="12"/>
    </row>
    <row r="41" spans="1:11" ht="14">
      <c r="A41" s="162" t="s">
        <v>394</v>
      </c>
      <c r="B41" s="49" t="s">
        <v>863</v>
      </c>
      <c r="C41" s="36">
        <v>0</v>
      </c>
      <c r="D41" s="48">
        <v>0</v>
      </c>
      <c r="E41" s="33">
        <v>0</v>
      </c>
      <c r="F41" s="12"/>
      <c r="G41" s="12"/>
      <c r="H41" s="12"/>
      <c r="I41" s="12"/>
      <c r="J41" s="12"/>
    </row>
    <row r="42" spans="1:11" ht="14">
      <c r="A42" s="160" t="s">
        <v>853</v>
      </c>
      <c r="B42" s="160"/>
      <c r="C42" s="161">
        <f>C43</f>
        <v>716.23</v>
      </c>
      <c r="D42" s="142">
        <v>0</v>
      </c>
      <c r="E42" s="143">
        <f>(D42-C42)/C42</f>
        <v>-1</v>
      </c>
      <c r="F42" s="12"/>
      <c r="G42" s="12"/>
      <c r="H42" s="12"/>
      <c r="I42" s="12"/>
      <c r="J42" s="12"/>
    </row>
    <row r="43" spans="1:11" ht="14">
      <c r="A43" s="162" t="s">
        <v>394</v>
      </c>
      <c r="B43" s="49" t="s">
        <v>308</v>
      </c>
      <c r="C43" s="55">
        <v>716.23</v>
      </c>
      <c r="D43" s="48">
        <v>0</v>
      </c>
      <c r="E43" s="33">
        <f t="shared" ref="E43:E49" si="2">(D43-C43)/C43</f>
        <v>-1</v>
      </c>
      <c r="F43" s="12"/>
      <c r="G43" s="12"/>
      <c r="H43" s="12"/>
      <c r="I43" s="12"/>
      <c r="J43" s="12"/>
    </row>
    <row r="44" spans="1:11" ht="14">
      <c r="A44" s="160" t="s">
        <v>927</v>
      </c>
      <c r="B44" s="160"/>
      <c r="C44" s="161">
        <f>C45+C46+C47</f>
        <v>22414.58</v>
      </c>
      <c r="D44" s="142">
        <f>D45+D46+D47</f>
        <v>14928.3</v>
      </c>
      <c r="E44" s="143">
        <f>(D44-C44)/C44</f>
        <v>-0.33399153586638708</v>
      </c>
      <c r="F44" s="12"/>
      <c r="G44" s="12"/>
      <c r="H44" s="12"/>
      <c r="I44" s="12"/>
      <c r="J44" s="12"/>
    </row>
    <row r="45" spans="1:11" ht="14">
      <c r="A45" s="162" t="s">
        <v>394</v>
      </c>
      <c r="B45" s="49" t="s">
        <v>309</v>
      </c>
      <c r="C45" s="36">
        <v>6863.73</v>
      </c>
      <c r="D45" s="48">
        <v>0</v>
      </c>
      <c r="E45" s="33">
        <f t="shared" si="2"/>
        <v>-1</v>
      </c>
      <c r="F45" s="12"/>
      <c r="G45" s="12"/>
      <c r="H45" s="12"/>
      <c r="I45" s="12"/>
      <c r="J45" s="12"/>
    </row>
    <row r="46" spans="1:11" ht="14">
      <c r="A46" s="162" t="s">
        <v>396</v>
      </c>
      <c r="B46" s="49" t="s">
        <v>864</v>
      </c>
      <c r="C46" s="36">
        <v>0</v>
      </c>
      <c r="D46" s="48">
        <v>0</v>
      </c>
      <c r="E46" s="33">
        <v>0</v>
      </c>
      <c r="F46" s="12"/>
      <c r="G46" s="12"/>
      <c r="H46" s="12"/>
      <c r="I46" s="12"/>
      <c r="J46" s="12"/>
    </row>
    <row r="47" spans="1:11" ht="14">
      <c r="A47" s="162" t="s">
        <v>947</v>
      </c>
      <c r="B47" s="49" t="s">
        <v>17</v>
      </c>
      <c r="C47" s="36">
        <v>15550.85</v>
      </c>
      <c r="D47" s="48">
        <v>14928.3</v>
      </c>
      <c r="E47" s="33">
        <f t="shared" si="2"/>
        <v>-4.0033181465964955E-2</v>
      </c>
      <c r="F47" s="12"/>
      <c r="G47" s="12"/>
      <c r="H47" s="12"/>
      <c r="I47" s="12"/>
      <c r="J47" s="12"/>
    </row>
    <row r="48" spans="1:11" ht="14">
      <c r="A48" s="160" t="s">
        <v>854</v>
      </c>
      <c r="B48" s="160"/>
      <c r="C48" s="161">
        <f>C49</f>
        <v>854</v>
      </c>
      <c r="D48" s="142">
        <f>D49</f>
        <v>0</v>
      </c>
      <c r="E48" s="143">
        <f>(D48-C48)/C48</f>
        <v>-1</v>
      </c>
      <c r="F48" s="12"/>
      <c r="G48" s="12"/>
      <c r="H48" s="12"/>
      <c r="I48" s="12"/>
      <c r="J48" s="12"/>
    </row>
    <row r="49" spans="1:10" ht="14">
      <c r="A49" s="162" t="s">
        <v>394</v>
      </c>
      <c r="B49" s="49" t="s">
        <v>310</v>
      </c>
      <c r="C49" s="55">
        <v>854</v>
      </c>
      <c r="D49" s="48">
        <v>0</v>
      </c>
      <c r="E49" s="33">
        <f t="shared" si="2"/>
        <v>-1</v>
      </c>
      <c r="F49" s="12"/>
      <c r="G49" s="12"/>
      <c r="H49" s="12"/>
      <c r="I49" s="12"/>
      <c r="J49" s="12"/>
    </row>
    <row r="50" spans="1:10" ht="14">
      <c r="A50" s="160" t="s">
        <v>855</v>
      </c>
      <c r="B50" s="160"/>
      <c r="C50" s="161">
        <f>C51</f>
        <v>0</v>
      </c>
      <c r="D50" s="142">
        <f>D51</f>
        <v>1250</v>
      </c>
      <c r="E50" s="163" t="s">
        <v>792</v>
      </c>
      <c r="F50" s="12"/>
      <c r="G50" s="12"/>
      <c r="H50" s="12"/>
      <c r="I50" s="12"/>
      <c r="J50" s="12"/>
    </row>
    <row r="51" spans="1:10" ht="14">
      <c r="A51" s="162" t="s">
        <v>394</v>
      </c>
      <c r="B51" s="49" t="s">
        <v>865</v>
      </c>
      <c r="C51" s="36">
        <v>0</v>
      </c>
      <c r="D51" s="48">
        <v>1250</v>
      </c>
      <c r="E51" s="52" t="s">
        <v>792</v>
      </c>
      <c r="F51" s="12"/>
      <c r="G51" s="12"/>
      <c r="H51" s="12"/>
    </row>
    <row r="52" spans="1:10" ht="14">
      <c r="A52" s="160" t="s">
        <v>856</v>
      </c>
      <c r="B52" s="160"/>
      <c r="C52" s="161">
        <v>0</v>
      </c>
      <c r="D52" s="142">
        <v>0</v>
      </c>
      <c r="E52" s="143">
        <v>0</v>
      </c>
      <c r="F52" s="12"/>
      <c r="G52" s="12"/>
      <c r="H52" s="12"/>
    </row>
    <row r="53" spans="1:10" ht="14">
      <c r="A53" s="162" t="s">
        <v>394</v>
      </c>
      <c r="B53" s="49" t="s">
        <v>866</v>
      </c>
      <c r="C53" s="36">
        <v>0</v>
      </c>
      <c r="D53" s="48">
        <v>0</v>
      </c>
      <c r="E53" s="33">
        <v>0</v>
      </c>
      <c r="F53" s="12"/>
      <c r="G53" s="12"/>
      <c r="H53" s="12"/>
    </row>
    <row r="54" spans="1:10" ht="14">
      <c r="A54" s="160" t="s">
        <v>857</v>
      </c>
      <c r="B54" s="160"/>
      <c r="C54" s="161">
        <v>0</v>
      </c>
      <c r="D54" s="142">
        <v>0</v>
      </c>
      <c r="E54" s="143">
        <v>0</v>
      </c>
      <c r="F54" s="12"/>
      <c r="G54" s="12"/>
      <c r="H54" s="12"/>
    </row>
    <row r="55" spans="1:10" ht="14">
      <c r="A55" s="162" t="s">
        <v>394</v>
      </c>
      <c r="B55" s="49" t="s">
        <v>867</v>
      </c>
      <c r="C55" s="36">
        <v>0</v>
      </c>
      <c r="D55" s="48">
        <v>0</v>
      </c>
      <c r="E55" s="33">
        <v>0</v>
      </c>
      <c r="F55" s="12"/>
      <c r="G55" s="12"/>
      <c r="H55" s="12"/>
    </row>
    <row r="56" spans="1:10" ht="14">
      <c r="A56" s="141" t="s">
        <v>868</v>
      </c>
      <c r="B56" s="160"/>
      <c r="C56" s="161">
        <f>C57</f>
        <v>816</v>
      </c>
      <c r="D56" s="142">
        <f>D57</f>
        <v>915.78</v>
      </c>
      <c r="E56" s="143">
        <f>(D56-C56)/C56</f>
        <v>0.12227941176470584</v>
      </c>
      <c r="F56" s="12"/>
      <c r="G56" s="12"/>
      <c r="H56" s="12"/>
    </row>
    <row r="57" spans="1:10" ht="14">
      <c r="A57" s="149" t="s">
        <v>394</v>
      </c>
      <c r="B57" s="47" t="s">
        <v>391</v>
      </c>
      <c r="C57" s="36">
        <v>816</v>
      </c>
      <c r="D57" s="48">
        <v>915.78</v>
      </c>
      <c r="E57" s="33">
        <f t="shared" ref="E57" si="3">(D57-C57)/C57</f>
        <v>0.12227941176470584</v>
      </c>
      <c r="F57" s="12"/>
      <c r="G57" s="12"/>
      <c r="H57" s="12"/>
    </row>
    <row r="58" spans="1:10" ht="14">
      <c r="A58" s="160" t="s">
        <v>869</v>
      </c>
      <c r="B58" s="160"/>
      <c r="C58" s="161">
        <f>C59+C60</f>
        <v>908.15</v>
      </c>
      <c r="D58" s="161">
        <v>0</v>
      </c>
      <c r="E58" s="143">
        <f>(D58-C58)/C58</f>
        <v>-1</v>
      </c>
      <c r="F58" s="12"/>
      <c r="G58" s="12"/>
      <c r="H58" s="12"/>
    </row>
    <row r="59" spans="1:10" ht="14">
      <c r="A59" s="162" t="s">
        <v>394</v>
      </c>
      <c r="B59" s="49" t="s">
        <v>311</v>
      </c>
      <c r="C59" s="36">
        <v>908.15</v>
      </c>
      <c r="D59" s="36">
        <v>0</v>
      </c>
      <c r="E59" s="33">
        <f t="shared" ref="E59" si="4">(D59-C59)/C59</f>
        <v>-1</v>
      </c>
      <c r="F59" s="12"/>
      <c r="G59" s="12"/>
      <c r="H59" s="12"/>
    </row>
    <row r="60" spans="1:10" ht="15" thickBot="1">
      <c r="A60" s="162" t="s">
        <v>947</v>
      </c>
      <c r="B60" s="49" t="s">
        <v>870</v>
      </c>
      <c r="C60" s="36">
        <v>0</v>
      </c>
      <c r="D60" s="36">
        <v>0</v>
      </c>
      <c r="E60" s="33">
        <v>0</v>
      </c>
      <c r="F60" s="12"/>
      <c r="G60" s="12"/>
      <c r="H60" s="12"/>
    </row>
    <row r="61" spans="1:10" ht="15" thickBot="1">
      <c r="A61" s="96"/>
      <c r="B61" s="96" t="s">
        <v>23</v>
      </c>
      <c r="C61" s="77">
        <f>C16+C18+C20+C24+C28+C32+C34+C36+C40+C42+C44+C48+C50+C52+C54+C56+C58</f>
        <v>57564.85</v>
      </c>
      <c r="D61" s="77">
        <f>D16+D18+D20+D24+D28+D32+D34+D36+D40+D42+D44+D48+D50+D52+D54+D56+D58</f>
        <v>40392.71</v>
      </c>
      <c r="E61" s="78">
        <f t="shared" ref="E61" si="5">(D61-C61)/C61</f>
        <v>-0.29830947183915185</v>
      </c>
      <c r="F61" s="12"/>
    </row>
    <row r="62" spans="1:10" ht="14">
      <c r="A62" s="12"/>
      <c r="B62" s="51"/>
      <c r="C62" s="43"/>
      <c r="D62" s="43"/>
      <c r="E62" s="44"/>
      <c r="F62" s="12"/>
    </row>
    <row r="63" spans="1:10" ht="14">
      <c r="A63" s="10"/>
      <c r="B63" s="10"/>
      <c r="C63" s="10"/>
      <c r="D63" s="10"/>
      <c r="E63" s="10"/>
      <c r="F63" s="10"/>
    </row>
    <row r="64" spans="1:10" ht="15">
      <c r="A64" s="9"/>
      <c r="B64" s="43"/>
      <c r="C64" s="43"/>
      <c r="D64" s="44"/>
      <c r="E64" s="44"/>
      <c r="F64" s="12"/>
    </row>
    <row r="65" spans="1:8" ht="14">
      <c r="A65" s="12"/>
      <c r="B65" s="12"/>
      <c r="C65" s="12"/>
      <c r="D65" s="12"/>
      <c r="E65" s="12"/>
      <c r="F65" s="12"/>
    </row>
    <row r="66" spans="1:8" ht="14">
      <c r="A66" s="12"/>
      <c r="B66" s="12"/>
      <c r="C66" s="12"/>
      <c r="D66" s="12"/>
      <c r="E66" s="12"/>
      <c r="F66" s="12"/>
    </row>
    <row r="67" spans="1:8" ht="14">
      <c r="A67" s="12"/>
      <c r="B67" s="12"/>
      <c r="C67" s="12"/>
      <c r="D67" s="12"/>
      <c r="E67" s="12"/>
      <c r="F67" s="12"/>
    </row>
    <row r="68" spans="1:8" ht="14">
      <c r="A68" s="12"/>
      <c r="B68" s="12"/>
      <c r="C68" s="12"/>
      <c r="D68" s="12"/>
      <c r="E68" s="12"/>
      <c r="F68" s="12"/>
    </row>
    <row r="69" spans="1:8" ht="14">
      <c r="A69" s="12"/>
      <c r="B69" s="12"/>
      <c r="C69" s="12"/>
      <c r="D69" s="12"/>
      <c r="E69" s="12"/>
      <c r="F69" s="12"/>
    </row>
    <row r="70" spans="1:8" ht="14">
      <c r="A70" s="12"/>
      <c r="B70" s="12"/>
      <c r="C70" s="12"/>
      <c r="D70" s="12"/>
      <c r="E70" s="12"/>
      <c r="F70" s="12"/>
    </row>
    <row r="71" spans="1:8" ht="14">
      <c r="A71" s="12"/>
      <c r="B71" s="12"/>
      <c r="C71" s="12"/>
      <c r="D71" s="12"/>
      <c r="E71" s="12"/>
      <c r="F71" s="12"/>
    </row>
    <row r="72" spans="1:8" ht="14">
      <c r="A72" s="12"/>
      <c r="B72" s="12"/>
      <c r="C72" s="12"/>
      <c r="D72" s="12"/>
      <c r="E72" s="12"/>
      <c r="F72" s="12"/>
    </row>
    <row r="74" spans="1:8" ht="14">
      <c r="G74" s="12"/>
      <c r="H74" s="12"/>
    </row>
    <row r="75" spans="1:8" ht="14">
      <c r="G75" s="12"/>
      <c r="H75" s="12"/>
    </row>
    <row r="76" spans="1:8" ht="14">
      <c r="G76" s="12"/>
      <c r="H76" s="12"/>
    </row>
    <row r="77" spans="1:8" ht="14">
      <c r="G77" s="12"/>
      <c r="H77" s="12"/>
    </row>
    <row r="78" spans="1:8" ht="14">
      <c r="G78" s="12"/>
      <c r="H78" s="12"/>
    </row>
    <row r="79" spans="1:8" ht="14">
      <c r="G79" s="12"/>
      <c r="H79" s="12"/>
    </row>
    <row r="80" spans="1:8" ht="14">
      <c r="G80" s="12"/>
      <c r="H80" s="12"/>
    </row>
    <row r="81" spans="1:8" ht="14">
      <c r="G81" s="12"/>
      <c r="H81" s="12"/>
    </row>
    <row r="82" spans="1:8" ht="14">
      <c r="G82" s="12"/>
      <c r="H82" s="12"/>
    </row>
    <row r="83" spans="1:8" ht="14">
      <c r="G83" s="12"/>
      <c r="H83" s="12"/>
    </row>
    <row r="84" spans="1:8" ht="14">
      <c r="G84" s="12"/>
      <c r="H84" s="12"/>
    </row>
    <row r="85" spans="1:8" ht="14">
      <c r="A85" s="12"/>
      <c r="B85" s="12"/>
      <c r="C85" s="12"/>
      <c r="D85" s="12"/>
      <c r="E85" s="12"/>
      <c r="F85" s="12"/>
      <c r="G85" s="12"/>
      <c r="H85" s="12"/>
    </row>
    <row r="86" spans="1:8" ht="14">
      <c r="A86" s="12"/>
      <c r="B86" s="12"/>
      <c r="C86" s="12"/>
      <c r="D86" s="12"/>
      <c r="E86" s="12"/>
      <c r="F86" s="12"/>
      <c r="G86" s="12"/>
      <c r="H86" s="12"/>
    </row>
    <row r="87" spans="1:8" ht="14">
      <c r="A87" s="12"/>
      <c r="B87" s="12"/>
      <c r="C87" s="12"/>
      <c r="D87" s="12"/>
      <c r="E87" s="12"/>
      <c r="F87" s="12"/>
      <c r="G87" s="12"/>
      <c r="H87" s="12"/>
    </row>
    <row r="88" spans="1:8" ht="14">
      <c r="A88" s="12"/>
      <c r="B88" s="12"/>
      <c r="C88" s="12"/>
      <c r="D88" s="12"/>
      <c r="E88" s="12"/>
      <c r="F88" s="12"/>
      <c r="G88" s="12"/>
      <c r="H88" s="12"/>
    </row>
    <row r="89" spans="1:8" ht="14">
      <c r="A89" s="12"/>
      <c r="B89" s="12"/>
      <c r="C89" s="12"/>
      <c r="D89" s="12"/>
      <c r="E89" s="12"/>
      <c r="F89" s="12"/>
      <c r="G89" s="12"/>
      <c r="H89" s="12"/>
    </row>
    <row r="90" spans="1:8" ht="14">
      <c r="A90" s="12"/>
      <c r="B90" s="12"/>
      <c r="C90" s="12"/>
      <c r="D90" s="12"/>
      <c r="E90" s="12"/>
      <c r="F90" s="12"/>
      <c r="G90" s="12"/>
      <c r="H90" s="12"/>
    </row>
    <row r="91" spans="1:8" ht="14">
      <c r="A91" s="12"/>
      <c r="B91" s="12"/>
      <c r="C91" s="12"/>
      <c r="D91" s="12"/>
      <c r="E91" s="12"/>
      <c r="F91" s="12"/>
      <c r="G91" s="12"/>
      <c r="H91" s="12"/>
    </row>
    <row r="92" spans="1:8" ht="14">
      <c r="F92" s="12"/>
      <c r="G92" s="12"/>
      <c r="H92" s="12"/>
    </row>
    <row r="93" spans="1:8" ht="14">
      <c r="F93" s="12"/>
      <c r="G93" s="12"/>
      <c r="H93" s="12"/>
    </row>
    <row r="94" spans="1:8" ht="14">
      <c r="F94" s="12"/>
      <c r="G94" s="12"/>
      <c r="H94" s="12"/>
    </row>
    <row r="95" spans="1:8" ht="14">
      <c r="F95" s="12"/>
      <c r="G95" s="12"/>
      <c r="H95" s="12"/>
    </row>
    <row r="96" spans="1:8" ht="14">
      <c r="A96" s="12"/>
      <c r="B96" s="12"/>
      <c r="C96" s="12"/>
      <c r="D96" s="12"/>
      <c r="E96" s="12"/>
      <c r="F96" s="12"/>
      <c r="G96" s="12"/>
      <c r="H96" s="12"/>
    </row>
    <row r="97" spans="1:8" ht="14">
      <c r="A97" s="12"/>
      <c r="B97" s="12"/>
      <c r="C97" s="12"/>
      <c r="D97" s="12"/>
      <c r="E97" s="12"/>
      <c r="F97" s="12"/>
      <c r="G97" s="12"/>
      <c r="H97" s="12"/>
    </row>
    <row r="98" spans="1:8" ht="14">
      <c r="A98" s="12"/>
      <c r="B98" s="12"/>
      <c r="C98" s="12"/>
      <c r="D98" s="12"/>
      <c r="E98" s="12"/>
      <c r="F98" s="12"/>
      <c r="G98" s="12"/>
      <c r="H98" s="12"/>
    </row>
    <row r="99" spans="1:8" ht="14">
      <c r="A99" s="11"/>
      <c r="B99" s="12"/>
      <c r="C99" s="12"/>
      <c r="D99" s="12"/>
      <c r="E99" s="12"/>
      <c r="F99" s="12"/>
      <c r="G99" s="12"/>
      <c r="H99" s="12"/>
    </row>
    <row r="100" spans="1:8" ht="14">
      <c r="A100" s="12"/>
      <c r="B100" s="12"/>
      <c r="C100" s="12"/>
      <c r="D100" s="12"/>
      <c r="E100" s="12"/>
      <c r="F100" s="12"/>
      <c r="G100" s="12"/>
      <c r="H100" s="12"/>
    </row>
    <row r="101" spans="1:8" ht="14">
      <c r="A101" s="12"/>
      <c r="B101" s="12"/>
      <c r="C101" s="12"/>
      <c r="D101" s="12"/>
      <c r="E101" s="12"/>
      <c r="F101" s="12"/>
      <c r="G101" s="12"/>
      <c r="H101" s="12"/>
    </row>
    <row r="102" spans="1:8" ht="14">
      <c r="A102" s="12"/>
      <c r="B102" s="12"/>
      <c r="C102" s="12"/>
      <c r="D102" s="12"/>
      <c r="E102" s="12"/>
      <c r="F102" s="12"/>
      <c r="G102" s="12"/>
      <c r="H102" s="12"/>
    </row>
    <row r="103" spans="1:8" ht="14">
      <c r="A103" s="12"/>
      <c r="B103" s="12"/>
      <c r="C103" s="12"/>
      <c r="D103" s="12"/>
      <c r="E103" s="12"/>
      <c r="F103" s="12"/>
      <c r="G103" s="12"/>
      <c r="H103" s="12"/>
    </row>
    <row r="104" spans="1:8" ht="14">
      <c r="A104" s="12"/>
      <c r="B104" s="12"/>
      <c r="C104" s="12"/>
      <c r="D104" s="12"/>
      <c r="E104" s="12"/>
      <c r="F104" s="12"/>
      <c r="G104" s="12"/>
      <c r="H104" s="12"/>
    </row>
  </sheetData>
  <phoneticPr fontId="2" type="noConversion"/>
  <pageMargins left="0.75" right="0.75" top="1" bottom="1" header="0.5" footer="0.5"/>
  <pageSetup orientation="landscape"/>
  <headerFooter alignWithMargins="0">
    <oddFooter>&amp;L2009-2010&amp;C&amp;A&amp;RPage &amp;P of &amp;N</oddFooter>
  </headerFooter>
  <ignoredErrors>
    <ignoredError sqref="D10" formula="1"/>
  </ignoredErrors>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33"/>
  <sheetViews>
    <sheetView workbookViewId="0"/>
  </sheetViews>
  <sheetFormatPr baseColWidth="10" defaultColWidth="8.83203125" defaultRowHeight="12" x14ac:dyDescent="0"/>
  <cols>
    <col min="1" max="1" width="25.1640625" customWidth="1"/>
    <col min="2" max="2" width="22.33203125" customWidth="1"/>
    <col min="3" max="3" width="32" bestFit="1" customWidth="1"/>
    <col min="4" max="4" width="12.6640625" bestFit="1" customWidth="1"/>
    <col min="5" max="5" width="13.33203125" customWidth="1"/>
    <col min="6" max="6" width="14.5" customWidth="1"/>
    <col min="7" max="8" width="12.6640625" bestFit="1" customWidth="1"/>
    <col min="10" max="11" width="12.6640625" bestFit="1" customWidth="1"/>
  </cols>
  <sheetData>
    <row r="1" spans="1:11" ht="18">
      <c r="A1" s="213" t="s">
        <v>831</v>
      </c>
      <c r="B1" s="11"/>
      <c r="C1" s="11"/>
      <c r="D1" s="11"/>
      <c r="E1" s="12"/>
      <c r="F1" s="12"/>
    </row>
    <row r="2" spans="1:11" ht="14">
      <c r="A2" s="12"/>
      <c r="B2" s="12"/>
      <c r="C2" s="54"/>
      <c r="D2" s="11" t="s">
        <v>5</v>
      </c>
      <c r="E2" s="11" t="s">
        <v>462</v>
      </c>
      <c r="F2" s="11" t="s">
        <v>458</v>
      </c>
    </row>
    <row r="3" spans="1:11" ht="14">
      <c r="A3" s="241" t="s">
        <v>397</v>
      </c>
      <c r="B3" s="243" t="s">
        <v>328</v>
      </c>
      <c r="C3" s="59" t="s">
        <v>395</v>
      </c>
      <c r="D3" s="59">
        <v>513472.59</v>
      </c>
      <c r="E3" s="82">
        <v>555149.74</v>
      </c>
      <c r="F3" s="33">
        <f>E3/E8</f>
        <v>0.2438050829731909</v>
      </c>
      <c r="G3" s="98"/>
      <c r="H3" s="98"/>
    </row>
    <row r="4" spans="1:11" ht="14">
      <c r="A4" s="242"/>
      <c r="B4" s="244"/>
      <c r="C4" s="59" t="s">
        <v>403</v>
      </c>
      <c r="D4" s="59">
        <v>976770.94</v>
      </c>
      <c r="E4" s="82">
        <v>1029890.02</v>
      </c>
      <c r="F4" s="33">
        <f>E4/E8</f>
        <v>0.45229674750340559</v>
      </c>
      <c r="H4" s="98"/>
    </row>
    <row r="5" spans="1:11" ht="14">
      <c r="A5" s="242"/>
      <c r="B5" s="244"/>
      <c r="C5" s="35" t="s">
        <v>404</v>
      </c>
      <c r="D5" s="59">
        <v>768571.78</v>
      </c>
      <c r="E5" s="82">
        <v>566315.56999999995</v>
      </c>
      <c r="F5" s="33">
        <f>E5/E8</f>
        <v>0.24870877996423071</v>
      </c>
      <c r="G5" s="98"/>
    </row>
    <row r="6" spans="1:11" ht="14">
      <c r="A6" s="242"/>
      <c r="B6" s="244"/>
      <c r="C6" s="59" t="s">
        <v>410</v>
      </c>
      <c r="D6" s="59">
        <v>47189</v>
      </c>
      <c r="E6" s="82">
        <v>77659</v>
      </c>
      <c r="F6" s="33">
        <f>E6/E8</f>
        <v>3.4105499065198219E-2</v>
      </c>
      <c r="H6" s="98"/>
    </row>
    <row r="7" spans="1:11" ht="14">
      <c r="A7" s="242"/>
      <c r="B7" s="244"/>
      <c r="C7" s="59" t="s">
        <v>409</v>
      </c>
      <c r="D7" s="59">
        <v>51541.33</v>
      </c>
      <c r="E7" s="82">
        <v>48008.5</v>
      </c>
      <c r="F7" s="33">
        <f>E7/E8</f>
        <v>2.1083890493974536E-2</v>
      </c>
      <c r="H7" s="98"/>
      <c r="J7" s="1"/>
    </row>
    <row r="8" spans="1:11" ht="14">
      <c r="A8" s="242"/>
      <c r="B8" s="245"/>
      <c r="C8" s="79" t="s">
        <v>218</v>
      </c>
      <c r="D8" s="105">
        <f>SUM(D3:D7)</f>
        <v>2357545.64</v>
      </c>
      <c r="E8" s="105">
        <f>SUM(E3:E7)</f>
        <v>2277022.83</v>
      </c>
      <c r="F8" s="121">
        <f>E8/E19</f>
        <v>0.8992486254755292</v>
      </c>
      <c r="J8" s="54"/>
    </row>
    <row r="9" spans="1:11" ht="14">
      <c r="A9" s="242"/>
      <c r="B9" s="243" t="s">
        <v>398</v>
      </c>
      <c r="C9" s="59" t="s">
        <v>405</v>
      </c>
      <c r="D9" s="59">
        <v>193087.93</v>
      </c>
      <c r="E9" s="82">
        <v>230674.54</v>
      </c>
      <c r="F9" s="33">
        <f>E9/E14</f>
        <v>0.93426722846071819</v>
      </c>
      <c r="J9" s="54"/>
    </row>
    <row r="10" spans="1:11" ht="14">
      <c r="A10" s="242"/>
      <c r="B10" s="244"/>
      <c r="C10" s="59" t="s">
        <v>406</v>
      </c>
      <c r="D10" s="59">
        <v>1312.25</v>
      </c>
      <c r="E10" s="82">
        <v>1312.25</v>
      </c>
      <c r="F10" s="33">
        <f>E10/E14</f>
        <v>5.3148135487669224E-3</v>
      </c>
      <c r="K10" s="1"/>
    </row>
    <row r="11" spans="1:11" ht="14">
      <c r="A11" s="242"/>
      <c r="B11" s="244"/>
      <c r="C11" s="59" t="s">
        <v>1141</v>
      </c>
      <c r="D11" s="59">
        <v>27264.41</v>
      </c>
      <c r="E11" s="82">
        <v>10456.48</v>
      </c>
      <c r="F11" s="33">
        <f>E11/E14</f>
        <v>4.2350346028889575E-2</v>
      </c>
    </row>
    <row r="12" spans="1:11" ht="14">
      <c r="A12" s="242"/>
      <c r="B12" s="244"/>
      <c r="C12" s="59" t="s">
        <v>1142</v>
      </c>
      <c r="D12" s="59">
        <v>4194.3</v>
      </c>
      <c r="E12" s="82">
        <v>3255.9</v>
      </c>
      <c r="F12" s="33">
        <f>E12/E14</f>
        <v>1.3186893833819945E-2</v>
      </c>
      <c r="J12" s="1"/>
    </row>
    <row r="13" spans="1:11" ht="14">
      <c r="A13" s="242"/>
      <c r="B13" s="244"/>
      <c r="C13" s="59" t="s">
        <v>1143</v>
      </c>
      <c r="D13" s="211" t="s">
        <v>792</v>
      </c>
      <c r="E13" s="82">
        <v>1205.07</v>
      </c>
      <c r="F13" s="33">
        <f>E13/E14</f>
        <v>4.8807181278053384E-3</v>
      </c>
      <c r="J13" s="1"/>
    </row>
    <row r="14" spans="1:11" ht="14">
      <c r="A14" s="242"/>
      <c r="B14" s="245"/>
      <c r="C14" s="79" t="s">
        <v>218</v>
      </c>
      <c r="D14" s="105">
        <f>SUM(D9:D13)</f>
        <v>225858.88999999998</v>
      </c>
      <c r="E14" s="105">
        <f>SUM(E9:E13)</f>
        <v>246904.24000000002</v>
      </c>
      <c r="F14" s="121">
        <f>E14/E19</f>
        <v>9.7508156492256248E-2</v>
      </c>
    </row>
    <row r="15" spans="1:11" ht="14">
      <c r="A15" s="242"/>
      <c r="B15" s="240" t="s">
        <v>399</v>
      </c>
      <c r="C15" s="59" t="s">
        <v>191</v>
      </c>
      <c r="D15" s="59">
        <v>14427.54</v>
      </c>
      <c r="E15" s="82">
        <v>8212.2800000000007</v>
      </c>
      <c r="F15" s="33">
        <f>E15/E18</f>
        <v>1</v>
      </c>
    </row>
    <row r="16" spans="1:11" ht="14">
      <c r="A16" s="242"/>
      <c r="B16" s="240"/>
      <c r="C16" s="59" t="s">
        <v>160</v>
      </c>
      <c r="D16" s="59">
        <v>0</v>
      </c>
      <c r="E16" s="82">
        <v>0</v>
      </c>
      <c r="F16" s="52" t="s">
        <v>135</v>
      </c>
    </row>
    <row r="17" spans="1:6" ht="14">
      <c r="A17" s="242"/>
      <c r="B17" s="240"/>
      <c r="C17" s="59" t="s">
        <v>162</v>
      </c>
      <c r="D17" s="59">
        <v>0</v>
      </c>
      <c r="E17" s="82">
        <v>0</v>
      </c>
      <c r="F17" s="52" t="s">
        <v>135</v>
      </c>
    </row>
    <row r="18" spans="1:6" ht="14">
      <c r="A18" s="242"/>
      <c r="B18" s="240"/>
      <c r="C18" s="105" t="s">
        <v>218</v>
      </c>
      <c r="D18" s="105">
        <f>SUM(D15:D17)</f>
        <v>14427.54</v>
      </c>
      <c r="E18" s="105">
        <f>SUM(E15:E17)</f>
        <v>8212.2800000000007</v>
      </c>
      <c r="F18" s="121">
        <f>E18/E19</f>
        <v>3.2432180322145383E-3</v>
      </c>
    </row>
    <row r="19" spans="1:6" ht="14">
      <c r="A19" s="246"/>
      <c r="B19" s="102" t="s">
        <v>218</v>
      </c>
      <c r="C19" s="103"/>
      <c r="D19" s="104">
        <f>D8+D14+D18</f>
        <v>2597832.0700000003</v>
      </c>
      <c r="E19" s="104">
        <f>E8+E14+E18</f>
        <v>2532139.35</v>
      </c>
      <c r="F19" s="122">
        <f>F8+F14+F18</f>
        <v>0.99999999999999989</v>
      </c>
    </row>
    <row r="20" spans="1:6" ht="14">
      <c r="A20" s="247" t="s">
        <v>400</v>
      </c>
      <c r="B20" s="240" t="s">
        <v>401</v>
      </c>
      <c r="C20" s="35" t="s">
        <v>191</v>
      </c>
      <c r="D20" s="59">
        <v>255115</v>
      </c>
      <c r="E20" s="82">
        <v>184105.64</v>
      </c>
      <c r="F20" s="33">
        <f>E20/E21</f>
        <v>1</v>
      </c>
    </row>
    <row r="21" spans="1:6" ht="14">
      <c r="A21" s="247"/>
      <c r="B21" s="249"/>
      <c r="C21" s="108" t="s">
        <v>218</v>
      </c>
      <c r="D21" s="106">
        <f>SUM(D20)</f>
        <v>255115</v>
      </c>
      <c r="E21" s="106">
        <f>SUM(E20)</f>
        <v>184105.64</v>
      </c>
      <c r="F21" s="121">
        <f>E21/E22</f>
        <v>1</v>
      </c>
    </row>
    <row r="22" spans="1:6" ht="14">
      <c r="A22" s="248"/>
      <c r="B22" s="102" t="s">
        <v>218</v>
      </c>
      <c r="C22" s="107"/>
      <c r="D22" s="104">
        <f>D21</f>
        <v>255115</v>
      </c>
      <c r="E22" s="104">
        <f>E21</f>
        <v>184105.64</v>
      </c>
      <c r="F22" s="122">
        <f>F21</f>
        <v>1</v>
      </c>
    </row>
    <row r="23" spans="1:6" ht="14">
      <c r="A23" s="241" t="s">
        <v>393</v>
      </c>
      <c r="B23" s="240" t="s">
        <v>328</v>
      </c>
      <c r="C23" s="59" t="s">
        <v>1140</v>
      </c>
      <c r="D23" s="59">
        <v>0</v>
      </c>
      <c r="E23" s="82">
        <v>2970.75</v>
      </c>
      <c r="F23" s="33">
        <f>E23/E26</f>
        <v>1</v>
      </c>
    </row>
    <row r="24" spans="1:6" ht="14">
      <c r="A24" s="242"/>
      <c r="B24" s="240"/>
      <c r="C24" s="59" t="s">
        <v>460</v>
      </c>
      <c r="D24" s="59">
        <v>0</v>
      </c>
      <c r="E24" s="82">
        <v>0</v>
      </c>
      <c r="F24" s="52" t="s">
        <v>135</v>
      </c>
    </row>
    <row r="25" spans="1:6" ht="14">
      <c r="A25" s="242"/>
      <c r="B25" s="240"/>
      <c r="C25" s="59" t="s">
        <v>461</v>
      </c>
      <c r="D25" s="59">
        <v>0</v>
      </c>
      <c r="E25" s="82">
        <v>0</v>
      </c>
      <c r="F25" s="52" t="s">
        <v>135</v>
      </c>
    </row>
    <row r="26" spans="1:6" ht="14">
      <c r="A26" s="242"/>
      <c r="B26" s="240"/>
      <c r="C26" s="105" t="s">
        <v>218</v>
      </c>
      <c r="D26" s="106">
        <f>SUM(D23:D25)</f>
        <v>0</v>
      </c>
      <c r="E26" s="106">
        <f>SUM(E23:E25)</f>
        <v>2970.75</v>
      </c>
      <c r="F26" s="121">
        <f>E26/E31</f>
        <v>8.4794636851607888E-3</v>
      </c>
    </row>
    <row r="27" spans="1:6" ht="14">
      <c r="A27" s="242"/>
      <c r="B27" s="240" t="s">
        <v>398</v>
      </c>
      <c r="C27" s="59" t="s">
        <v>191</v>
      </c>
      <c r="D27" s="59">
        <v>314825.57</v>
      </c>
      <c r="E27" s="82">
        <v>333518.27</v>
      </c>
      <c r="F27" s="33">
        <f>E27/E30</f>
        <v>0.96010823439866411</v>
      </c>
    </row>
    <row r="28" spans="1:6" ht="14">
      <c r="A28" s="242"/>
      <c r="B28" s="240"/>
      <c r="C28" s="59" t="s">
        <v>460</v>
      </c>
      <c r="D28" s="59">
        <v>2168.62</v>
      </c>
      <c r="E28" s="82">
        <v>76.5</v>
      </c>
      <c r="F28" s="33">
        <f>E28/E31</f>
        <v>2.1835528802989154E-4</v>
      </c>
    </row>
    <row r="29" spans="1:6" ht="14">
      <c r="A29" s="242"/>
      <c r="B29" s="240"/>
      <c r="C29" s="59" t="s">
        <v>461</v>
      </c>
      <c r="D29" s="59">
        <v>7058.43</v>
      </c>
      <c r="E29" s="82">
        <v>13780.93</v>
      </c>
      <c r="F29" s="33">
        <f>E29/E30</f>
        <v>3.9671542943274386E-2</v>
      </c>
    </row>
    <row r="30" spans="1:6" ht="14">
      <c r="A30" s="242"/>
      <c r="B30" s="240"/>
      <c r="C30" s="105" t="s">
        <v>218</v>
      </c>
      <c r="D30" s="106">
        <f>SUM(D27:D29)</f>
        <v>324052.62</v>
      </c>
      <c r="E30" s="106">
        <f>SUM(E27:E29)</f>
        <v>347375.7</v>
      </c>
      <c r="F30" s="121">
        <f>E30/E31</f>
        <v>0.99152053631483916</v>
      </c>
    </row>
    <row r="31" spans="1:6" ht="15" thickBot="1">
      <c r="A31" s="242"/>
      <c r="B31" s="102" t="s">
        <v>218</v>
      </c>
      <c r="C31" s="103"/>
      <c r="D31" s="104">
        <f>D26+D30</f>
        <v>324052.62</v>
      </c>
      <c r="E31" s="104">
        <f>E26+E30</f>
        <v>350346.45</v>
      </c>
      <c r="F31" s="122">
        <f>F26+F30</f>
        <v>1</v>
      </c>
    </row>
    <row r="32" spans="1:6" ht="15" thickBot="1">
      <c r="A32" s="119" t="s">
        <v>402</v>
      </c>
      <c r="B32" s="119"/>
      <c r="C32" s="120"/>
      <c r="D32" s="120">
        <f>D19+D22+D31</f>
        <v>3176999.6900000004</v>
      </c>
      <c r="E32" s="120">
        <f>E19+E22+E31</f>
        <v>3066591.4400000004</v>
      </c>
      <c r="F32" s="123"/>
    </row>
    <row r="33" spans="3:3">
      <c r="C33" s="1"/>
    </row>
  </sheetData>
  <mergeCells count="9">
    <mergeCell ref="B27:B30"/>
    <mergeCell ref="A23:A31"/>
    <mergeCell ref="B9:B14"/>
    <mergeCell ref="A3:A19"/>
    <mergeCell ref="B3:B8"/>
    <mergeCell ref="A20:A22"/>
    <mergeCell ref="B20:B21"/>
    <mergeCell ref="B15:B18"/>
    <mergeCell ref="B23:B26"/>
  </mergeCells>
  <phoneticPr fontId="2" type="noConversion"/>
  <pageMargins left="0.75" right="0.75" top="0.85" bottom="0.73" header="0.5" footer="0.5"/>
  <pageSetup scale="94" fitToHeight="5" orientation="landscape"/>
  <headerFooter alignWithMargins="0">
    <oddFooter>&amp;L2009-2010&amp;C&amp;A&amp;RPage &amp;P of &amp;N</oddFooter>
  </headerFooter>
  <ignoredErrors>
    <ignoredError sqref="F19" formula="1"/>
    <ignoredError sqref="E26" formulaRange="1"/>
  </ignoredErrors>
  <drawing r:id="rId1"/>
  <extLst>
    <ext xmlns:mx="http://schemas.microsoft.com/office/mac/excel/2008/main" uri="{64002731-A6B0-56B0-2670-7721B7C09600}">
      <mx:PLV Mode="0" OnePage="0" WScale="10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J74"/>
  <sheetViews>
    <sheetView workbookViewId="0"/>
  </sheetViews>
  <sheetFormatPr baseColWidth="10" defaultColWidth="8.83203125" defaultRowHeight="12" x14ac:dyDescent="0"/>
  <cols>
    <col min="1" max="1" width="25.5" customWidth="1"/>
    <col min="2" max="2" width="16.33203125" bestFit="1" customWidth="1"/>
    <col min="3" max="3" width="12.6640625" bestFit="1" customWidth="1"/>
    <col min="4" max="4" width="11.1640625" bestFit="1" customWidth="1"/>
    <col min="5" max="5" width="13.1640625" customWidth="1"/>
    <col min="6" max="6" width="13" customWidth="1"/>
    <col min="7" max="7" width="10.5" bestFit="1" customWidth="1"/>
    <col min="9" max="10" width="10.6640625" bestFit="1" customWidth="1"/>
    <col min="11" max="11" width="9.6640625" bestFit="1" customWidth="1"/>
    <col min="12" max="12" width="20.33203125" customWidth="1"/>
    <col min="13" max="14" width="11.1640625" bestFit="1" customWidth="1"/>
    <col min="15" max="15" width="7.6640625" bestFit="1" customWidth="1"/>
    <col min="16" max="16" width="8.5" bestFit="1" customWidth="1"/>
  </cols>
  <sheetData>
    <row r="1" spans="1:10" ht="18">
      <c r="A1" s="213" t="s">
        <v>832</v>
      </c>
    </row>
    <row r="2" spans="1:10" ht="14">
      <c r="A2" s="12"/>
      <c r="B2" s="12"/>
      <c r="C2" s="12"/>
      <c r="D2" s="12"/>
      <c r="E2" s="12"/>
      <c r="F2" s="12"/>
      <c r="G2" s="12"/>
      <c r="H2" s="12"/>
      <c r="I2" s="12"/>
      <c r="J2" s="12"/>
    </row>
    <row r="3" spans="1:10" ht="29" thickBot="1">
      <c r="A3" s="30"/>
      <c r="B3" s="30" t="s">
        <v>5</v>
      </c>
      <c r="C3" s="30" t="s">
        <v>462</v>
      </c>
      <c r="D3" s="30" t="s">
        <v>27</v>
      </c>
      <c r="E3" s="30" t="s">
        <v>577</v>
      </c>
      <c r="F3" s="12"/>
      <c r="G3" s="12"/>
      <c r="H3" s="12"/>
      <c r="I3" s="12"/>
      <c r="J3" s="12"/>
    </row>
    <row r="4" spans="1:10" ht="14">
      <c r="A4" s="11" t="s">
        <v>191</v>
      </c>
      <c r="B4" s="54"/>
      <c r="C4" s="54"/>
      <c r="D4" s="53"/>
      <c r="E4" s="53"/>
      <c r="F4" s="12"/>
      <c r="G4" s="12"/>
      <c r="H4" s="12"/>
      <c r="I4" s="12"/>
      <c r="J4" s="12"/>
    </row>
    <row r="5" spans="1:10" ht="14">
      <c r="A5" s="58" t="s">
        <v>211</v>
      </c>
      <c r="B5" s="59">
        <v>302430.28000000003</v>
      </c>
      <c r="C5" s="59">
        <v>343565.02</v>
      </c>
      <c r="D5" s="33">
        <f>(C5-B5)/B5</f>
        <v>0.13601395997781698</v>
      </c>
      <c r="E5" s="33"/>
      <c r="F5" s="12"/>
      <c r="G5" s="12"/>
      <c r="H5" s="12"/>
      <c r="I5" s="12"/>
      <c r="J5" s="12"/>
    </row>
    <row r="6" spans="1:10" ht="14">
      <c r="A6" s="58" t="s">
        <v>385</v>
      </c>
      <c r="B6" s="59">
        <v>21098.01</v>
      </c>
      <c r="C6" s="59">
        <v>3810.68</v>
      </c>
      <c r="D6" s="33">
        <f t="shared" ref="D6:D11" si="0">(C6-B6)/B6</f>
        <v>-0.81938201754573059</v>
      </c>
      <c r="E6" s="33"/>
      <c r="F6" s="12"/>
      <c r="G6" s="12"/>
      <c r="H6" s="12"/>
      <c r="I6" s="12"/>
      <c r="J6" s="12"/>
    </row>
    <row r="7" spans="1:10" ht="14">
      <c r="A7" s="60" t="s">
        <v>386</v>
      </c>
      <c r="B7" s="61">
        <f>SUM(B5:B6)</f>
        <v>323528.29000000004</v>
      </c>
      <c r="C7" s="61">
        <f>SUM(C5:C6)</f>
        <v>347375.7</v>
      </c>
      <c r="D7" s="62">
        <f t="shared" si="0"/>
        <v>7.3710431937806645E-2</v>
      </c>
      <c r="E7" s="62">
        <f>C7/C11</f>
        <v>0.11168392870459587</v>
      </c>
      <c r="F7" s="12"/>
      <c r="G7" s="12"/>
      <c r="H7" s="12"/>
      <c r="I7" s="12"/>
      <c r="J7" s="12"/>
    </row>
    <row r="8" spans="1:10" ht="14">
      <c r="A8" s="58" t="s">
        <v>212</v>
      </c>
      <c r="B8" s="59">
        <v>2602491.17</v>
      </c>
      <c r="C8" s="59">
        <v>2726388.62</v>
      </c>
      <c r="D8" s="33">
        <f t="shared" si="0"/>
        <v>4.7607250863410305E-2</v>
      </c>
      <c r="E8" s="33"/>
      <c r="F8" s="12"/>
      <c r="G8" s="12"/>
      <c r="H8" s="12"/>
      <c r="I8" s="12"/>
      <c r="J8" s="12"/>
    </row>
    <row r="9" spans="1:10" ht="14">
      <c r="A9" s="58" t="s">
        <v>384</v>
      </c>
      <c r="B9" s="59">
        <v>36466.839999999997</v>
      </c>
      <c r="C9" s="59">
        <v>36582.03</v>
      </c>
      <c r="D9" s="33">
        <f t="shared" si="0"/>
        <v>3.1587601228952752E-3</v>
      </c>
      <c r="E9" s="33"/>
      <c r="F9" s="12"/>
      <c r="G9" s="12"/>
      <c r="H9" s="12"/>
      <c r="I9" s="12"/>
      <c r="J9" s="12"/>
    </row>
    <row r="10" spans="1:10" ht="14">
      <c r="A10" s="60" t="s">
        <v>387</v>
      </c>
      <c r="B10" s="61">
        <f>SUM(B8:B9)</f>
        <v>2638958.0099999998</v>
      </c>
      <c r="C10" s="61">
        <f>SUM(C8:C9)</f>
        <v>2762970.65</v>
      </c>
      <c r="D10" s="62">
        <f t="shared" si="0"/>
        <v>4.6993032678075898E-2</v>
      </c>
      <c r="E10" s="62">
        <f>C10/C11</f>
        <v>0.88831607129540402</v>
      </c>
      <c r="F10" s="12"/>
      <c r="G10" s="12"/>
      <c r="H10" s="12"/>
      <c r="I10" s="12"/>
      <c r="J10" s="12"/>
    </row>
    <row r="11" spans="1:10" ht="14">
      <c r="A11" s="63" t="s">
        <v>388</v>
      </c>
      <c r="B11" s="64">
        <f>B7+B10</f>
        <v>2962486.3</v>
      </c>
      <c r="C11" s="64">
        <f>C7+C10</f>
        <v>3110346.35</v>
      </c>
      <c r="D11" s="65">
        <f t="shared" si="0"/>
        <v>4.9910796211952199E-2</v>
      </c>
      <c r="E11" s="65">
        <f>SUM(E7:E10)</f>
        <v>0.99999999999999989</v>
      </c>
      <c r="F11" s="12"/>
      <c r="G11" s="12"/>
      <c r="H11" s="12"/>
      <c r="I11" s="12"/>
      <c r="J11" s="12"/>
    </row>
    <row r="12" spans="1:10" ht="14">
      <c r="A12" s="12"/>
      <c r="B12" s="54"/>
      <c r="C12" s="54"/>
      <c r="D12" s="53"/>
      <c r="E12" s="53"/>
      <c r="F12" s="12"/>
      <c r="G12" s="12"/>
      <c r="H12" s="12"/>
      <c r="I12" s="12"/>
      <c r="J12" s="12"/>
    </row>
    <row r="13" spans="1:10" ht="14">
      <c r="A13" s="11" t="s">
        <v>160</v>
      </c>
      <c r="B13" s="54"/>
      <c r="C13" s="54"/>
      <c r="D13" s="53"/>
      <c r="E13" s="53"/>
      <c r="F13" s="12"/>
      <c r="G13" s="12"/>
      <c r="H13" s="12"/>
      <c r="I13" s="12"/>
      <c r="J13" s="12"/>
    </row>
    <row r="14" spans="1:10" ht="14">
      <c r="A14" s="81" t="s">
        <v>211</v>
      </c>
      <c r="B14" s="82">
        <v>2168.62</v>
      </c>
      <c r="C14" s="82">
        <v>76.5</v>
      </c>
      <c r="D14" s="83">
        <f t="shared" ref="D14:D16" si="1">(C14-B14)/B14</f>
        <v>-0.96472411026367</v>
      </c>
      <c r="E14" s="85">
        <f>C14/C16</f>
        <v>7.2081545428333985E-3</v>
      </c>
      <c r="F14" s="12"/>
      <c r="G14" s="12"/>
      <c r="H14" s="12"/>
      <c r="I14" s="12"/>
      <c r="J14" s="12"/>
    </row>
    <row r="15" spans="1:10" ht="14">
      <c r="A15" s="81" t="s">
        <v>212</v>
      </c>
      <c r="B15" s="84">
        <v>27264.41</v>
      </c>
      <c r="C15" s="84">
        <v>10536.48</v>
      </c>
      <c r="D15" s="83">
        <f t="shared" si="1"/>
        <v>-0.6135445439677587</v>
      </c>
      <c r="E15" s="85">
        <f>C15/C16</f>
        <v>0.99279184545716659</v>
      </c>
      <c r="F15" s="12"/>
      <c r="G15" s="12"/>
      <c r="H15" s="12"/>
      <c r="I15" s="12"/>
      <c r="J15" s="12"/>
    </row>
    <row r="16" spans="1:10" ht="14">
      <c r="A16" s="63" t="s">
        <v>389</v>
      </c>
      <c r="B16" s="64">
        <f>SUM(B14:B15)</f>
        <v>29433.03</v>
      </c>
      <c r="C16" s="64">
        <f>C14+C15</f>
        <v>10612.98</v>
      </c>
      <c r="D16" s="65">
        <f t="shared" si="1"/>
        <v>-0.63941938699481504</v>
      </c>
      <c r="E16" s="65">
        <f>SUM(E14:E15)</f>
        <v>1</v>
      </c>
      <c r="F16" s="12"/>
      <c r="G16" s="12"/>
      <c r="H16" s="12"/>
      <c r="I16" s="12"/>
      <c r="J16" s="12"/>
    </row>
    <row r="17" spans="1:10" ht="14">
      <c r="A17" s="12"/>
      <c r="B17" s="54"/>
      <c r="C17" s="54"/>
      <c r="D17" s="53"/>
      <c r="E17" s="53"/>
      <c r="F17" s="12"/>
      <c r="G17" s="12"/>
      <c r="H17" s="12"/>
      <c r="I17" s="12"/>
      <c r="J17" s="12"/>
    </row>
    <row r="18" spans="1:10" ht="14">
      <c r="A18" s="11" t="s">
        <v>162</v>
      </c>
      <c r="B18" s="54"/>
      <c r="C18" s="54"/>
      <c r="D18" s="53"/>
      <c r="E18" s="53"/>
      <c r="F18" s="12"/>
      <c r="G18" s="12"/>
      <c r="H18" s="12"/>
      <c r="I18" s="12"/>
      <c r="J18" s="12"/>
    </row>
    <row r="19" spans="1:10" ht="14">
      <c r="A19" s="81" t="s">
        <v>211</v>
      </c>
      <c r="B19" s="82">
        <v>7058.43</v>
      </c>
      <c r="C19" s="82">
        <v>13780.93</v>
      </c>
      <c r="D19" s="83">
        <f t="shared" ref="D19:D21" si="2">(C19-B19)/B19</f>
        <v>0.95240726337159964</v>
      </c>
      <c r="E19" s="85">
        <f>C19/C21</f>
        <v>0.75545474977935412</v>
      </c>
      <c r="F19" s="12"/>
      <c r="G19" s="12"/>
      <c r="H19" s="12"/>
      <c r="I19" s="12"/>
      <c r="J19" s="12"/>
    </row>
    <row r="20" spans="1:10" ht="14">
      <c r="A20" s="81" t="s">
        <v>212</v>
      </c>
      <c r="B20" s="82">
        <v>4194.3</v>
      </c>
      <c r="C20" s="82">
        <v>4460.97</v>
      </c>
      <c r="D20" s="83">
        <f t="shared" si="2"/>
        <v>6.3579143122809545E-2</v>
      </c>
      <c r="E20" s="85">
        <f>C20/C21</f>
        <v>0.24454525022064588</v>
      </c>
      <c r="F20" s="12"/>
      <c r="G20" s="12"/>
      <c r="H20" s="12"/>
      <c r="I20" s="12"/>
      <c r="J20" s="12"/>
    </row>
    <row r="21" spans="1:10" ht="14">
      <c r="A21" s="63" t="s">
        <v>390</v>
      </c>
      <c r="B21" s="64">
        <f>SUM(B19:B20)</f>
        <v>11252.73</v>
      </c>
      <c r="C21" s="64">
        <f>C19+C20</f>
        <v>18241.900000000001</v>
      </c>
      <c r="D21" s="65">
        <f t="shared" si="2"/>
        <v>0.62110883314537912</v>
      </c>
      <c r="E21" s="65">
        <f>SUM(E19:E20)</f>
        <v>1</v>
      </c>
      <c r="F21" s="12"/>
      <c r="G21" s="12"/>
      <c r="H21" s="12"/>
      <c r="I21" s="12"/>
      <c r="J21" s="12"/>
    </row>
    <row r="22" spans="1:10" ht="14">
      <c r="A22" s="12"/>
      <c r="B22" s="54"/>
      <c r="C22" s="54"/>
      <c r="D22" s="53"/>
      <c r="E22" s="53"/>
      <c r="F22" s="12"/>
      <c r="G22" s="12"/>
      <c r="H22" s="12"/>
      <c r="I22" s="12"/>
      <c r="J22" s="12"/>
    </row>
    <row r="23" spans="1:10" ht="14">
      <c r="A23" s="11" t="s">
        <v>213</v>
      </c>
      <c r="B23" s="54"/>
      <c r="C23" s="54"/>
      <c r="D23" s="53"/>
      <c r="E23" s="53"/>
      <c r="F23" s="12"/>
      <c r="G23" s="12"/>
      <c r="H23" s="12"/>
      <c r="I23" s="12"/>
      <c r="J23" s="12"/>
    </row>
    <row r="24" spans="1:10" ht="14">
      <c r="A24" s="66" t="s">
        <v>211</v>
      </c>
      <c r="B24" s="67">
        <f>B7+B14+B19</f>
        <v>332755.34000000003</v>
      </c>
      <c r="C24" s="67">
        <f>C7+C14+C19</f>
        <v>361233.13</v>
      </c>
      <c r="D24" s="68">
        <f t="shared" ref="D24:D26" si="3">(C24-B24)/B24</f>
        <v>8.5581767072468243E-2</v>
      </c>
      <c r="E24" s="86">
        <f>C24/C26</f>
        <v>0.11507167063641856</v>
      </c>
      <c r="F24" s="12"/>
      <c r="G24" s="12"/>
      <c r="H24" s="12"/>
      <c r="I24" s="12"/>
      <c r="J24" s="12"/>
    </row>
    <row r="25" spans="1:10" ht="15" thickBot="1">
      <c r="A25" s="69" t="s">
        <v>212</v>
      </c>
      <c r="B25" s="70">
        <f>B10+B15+B20</f>
        <v>2670416.7199999997</v>
      </c>
      <c r="C25" s="70">
        <f>C10+C15+C20</f>
        <v>2777968.1</v>
      </c>
      <c r="D25" s="71">
        <f t="shared" si="3"/>
        <v>4.0275129793225818E-2</v>
      </c>
      <c r="E25" s="87">
        <f>C25/C26</f>
        <v>0.88492832936358146</v>
      </c>
      <c r="F25" s="12"/>
      <c r="G25" s="12"/>
      <c r="H25" s="12"/>
      <c r="I25" s="12"/>
      <c r="J25" s="12"/>
    </row>
    <row r="26" spans="1:10" ht="15" thickBot="1">
      <c r="A26" s="95" t="s">
        <v>7</v>
      </c>
      <c r="B26" s="72">
        <f>SUM(B24:B25)</f>
        <v>3003172.0599999996</v>
      </c>
      <c r="C26" s="72">
        <f>SUM(C24:C25)</f>
        <v>3139201.23</v>
      </c>
      <c r="D26" s="73">
        <f t="shared" si="3"/>
        <v>4.5295163674371829E-2</v>
      </c>
      <c r="E26" s="74">
        <f>E24+E25</f>
        <v>1</v>
      </c>
      <c r="F26" s="12"/>
      <c r="G26" s="12"/>
      <c r="H26" s="12"/>
      <c r="I26" s="12"/>
      <c r="J26" s="12"/>
    </row>
    <row r="27" spans="1:10" ht="14">
      <c r="A27" s="12"/>
      <c r="B27" s="12"/>
      <c r="C27" s="12"/>
      <c r="D27" s="12"/>
      <c r="E27" s="12"/>
      <c r="F27" s="12"/>
      <c r="G27" s="12"/>
      <c r="H27" s="12"/>
      <c r="I27" s="12"/>
      <c r="J27" s="12"/>
    </row>
    <row r="28" spans="1:10" ht="14">
      <c r="A28" s="12"/>
      <c r="B28" s="12"/>
      <c r="C28" s="12"/>
      <c r="D28" s="12"/>
      <c r="E28" s="12"/>
      <c r="F28" s="12"/>
      <c r="G28" s="12"/>
      <c r="H28" s="12"/>
      <c r="I28" s="12"/>
      <c r="J28" s="12"/>
    </row>
    <row r="29" spans="1:10" ht="14">
      <c r="A29" s="12"/>
      <c r="B29" s="12"/>
      <c r="C29" s="12"/>
      <c r="D29" s="12"/>
      <c r="E29" s="12"/>
      <c r="F29" s="12"/>
      <c r="G29" s="12"/>
      <c r="H29" s="12"/>
      <c r="I29" s="12"/>
      <c r="J29" s="12"/>
    </row>
    <row r="30" spans="1:10" ht="14">
      <c r="A30" s="12"/>
      <c r="B30" s="12"/>
      <c r="C30" s="12"/>
      <c r="D30" s="12"/>
      <c r="E30" s="12"/>
      <c r="F30" s="12"/>
      <c r="G30" s="12"/>
      <c r="H30" s="12"/>
      <c r="I30" s="12"/>
      <c r="J30" s="12"/>
    </row>
    <row r="31" spans="1:10" ht="14">
      <c r="A31" s="12"/>
      <c r="B31" s="12"/>
      <c r="C31" s="12"/>
      <c r="D31" s="12"/>
      <c r="E31" s="12"/>
      <c r="F31" s="12"/>
      <c r="G31" s="12"/>
      <c r="H31" s="12"/>
      <c r="I31" s="12"/>
      <c r="J31" s="12"/>
    </row>
    <row r="32" spans="1:10" ht="14">
      <c r="A32" s="12"/>
      <c r="B32" s="12"/>
      <c r="C32" s="12"/>
      <c r="D32" s="12"/>
      <c r="E32" s="12"/>
      <c r="F32" s="12"/>
      <c r="G32" s="12"/>
      <c r="H32" s="12"/>
      <c r="I32" s="12"/>
      <c r="J32" s="12"/>
    </row>
    <row r="33" spans="1:10" ht="14">
      <c r="A33" s="12"/>
      <c r="B33" s="12"/>
      <c r="C33" s="12"/>
      <c r="D33" s="12"/>
      <c r="E33" s="12"/>
      <c r="F33" s="12"/>
      <c r="G33" s="12"/>
      <c r="H33" s="12"/>
      <c r="I33" s="12"/>
      <c r="J33" s="12"/>
    </row>
    <row r="34" spans="1:10" ht="14">
      <c r="A34" s="12"/>
      <c r="B34" s="12"/>
      <c r="C34" s="12"/>
      <c r="D34" s="12"/>
      <c r="E34" s="12"/>
      <c r="F34" s="12"/>
      <c r="G34" s="12"/>
      <c r="H34" s="12"/>
      <c r="I34" s="12"/>
      <c r="J34" s="12"/>
    </row>
    <row r="35" spans="1:10" ht="14">
      <c r="A35" s="12"/>
      <c r="B35" s="12"/>
      <c r="C35" s="12"/>
      <c r="D35" s="12"/>
      <c r="E35" s="12"/>
      <c r="F35" s="12"/>
      <c r="G35" s="12"/>
      <c r="H35" s="12"/>
      <c r="I35" s="12"/>
      <c r="J35" s="12"/>
    </row>
    <row r="36" spans="1:10" ht="14">
      <c r="A36" s="12"/>
      <c r="B36" s="12"/>
      <c r="C36" s="12"/>
      <c r="D36" s="12"/>
      <c r="E36" s="12"/>
      <c r="F36" s="12"/>
      <c r="G36" s="12"/>
      <c r="H36" s="12"/>
      <c r="I36" s="12"/>
      <c r="J36" s="12"/>
    </row>
    <row r="37" spans="1:10" ht="14">
      <c r="A37" s="12"/>
      <c r="B37" s="12"/>
      <c r="C37" s="12"/>
      <c r="D37" s="12"/>
      <c r="E37" s="12"/>
      <c r="F37" s="12"/>
      <c r="G37" s="12"/>
      <c r="H37" s="12"/>
      <c r="I37" s="12"/>
      <c r="J37" s="12"/>
    </row>
    <row r="38" spans="1:10" ht="14">
      <c r="A38" s="12"/>
      <c r="B38" s="12"/>
      <c r="C38" s="12"/>
      <c r="D38" s="12"/>
      <c r="E38" s="12"/>
      <c r="F38" s="12"/>
      <c r="G38" s="12"/>
      <c r="H38" s="12"/>
      <c r="I38" s="12"/>
      <c r="J38" s="12"/>
    </row>
    <row r="74" spans="1:6" ht="14">
      <c r="A74" s="12"/>
      <c r="B74" s="12"/>
      <c r="C74" s="12"/>
      <c r="D74" s="12"/>
      <c r="E74" s="12"/>
      <c r="F74" s="12"/>
    </row>
  </sheetData>
  <phoneticPr fontId="2" type="noConversion"/>
  <pageMargins left="0.75" right="0.75" top="1" bottom="1" header="0.5" footer="0.5"/>
  <pageSetup fitToHeight="3" orientation="landscape"/>
  <headerFooter alignWithMargins="0">
    <oddFooter>&amp;L2009-2010&amp;C&amp;A&amp;RPage &amp;P of &amp;N</oddFooter>
  </headerFooter>
  <ignoredErrors>
    <ignoredError sqref="D16 D21" formula="1"/>
  </ignoredErrors>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65"/>
  <sheetViews>
    <sheetView topLeftCell="A95" workbookViewId="0"/>
  </sheetViews>
  <sheetFormatPr baseColWidth="10" defaultColWidth="8.83203125" defaultRowHeight="12" x14ac:dyDescent="0"/>
  <cols>
    <col min="2" max="2" width="33.1640625" customWidth="1"/>
    <col min="3" max="4" width="13.5" bestFit="1" customWidth="1"/>
    <col min="6" max="6" width="13.5" customWidth="1"/>
    <col min="9" max="9" width="13.5" bestFit="1" customWidth="1"/>
  </cols>
  <sheetData>
    <row r="1" spans="1:9" ht="18">
      <c r="A1" s="213" t="s">
        <v>554</v>
      </c>
      <c r="B1" s="128"/>
      <c r="C1" s="12"/>
      <c r="D1" s="12"/>
      <c r="E1" s="12"/>
      <c r="F1" s="12"/>
      <c r="G1" s="12"/>
      <c r="H1" s="12"/>
      <c r="I1" s="12"/>
    </row>
    <row r="2" spans="1:9" ht="14">
      <c r="A2" s="12"/>
      <c r="B2" s="12"/>
      <c r="C2" s="12"/>
      <c r="D2" s="12"/>
      <c r="E2" s="12"/>
      <c r="F2" s="12"/>
      <c r="G2" s="12"/>
      <c r="H2" s="12"/>
      <c r="I2" s="12"/>
    </row>
    <row r="3" spans="1:9" ht="29" thickBot="1">
      <c r="A3" s="30" t="s">
        <v>12</v>
      </c>
      <c r="B3" s="30" t="s">
        <v>11</v>
      </c>
      <c r="C3" s="30" t="s">
        <v>5</v>
      </c>
      <c r="D3" s="30" t="s">
        <v>462</v>
      </c>
      <c r="E3" s="30" t="s">
        <v>27</v>
      </c>
      <c r="F3" s="30" t="s">
        <v>577</v>
      </c>
      <c r="G3" s="12"/>
      <c r="H3" s="12"/>
      <c r="I3" s="12"/>
    </row>
    <row r="4" spans="1:9" ht="14">
      <c r="A4" s="47" t="s">
        <v>555</v>
      </c>
      <c r="B4" s="47" t="s">
        <v>558</v>
      </c>
      <c r="C4" s="48">
        <v>181.1</v>
      </c>
      <c r="D4" s="48">
        <v>71.25</v>
      </c>
      <c r="E4" s="34">
        <f>(D4-C4)/C4</f>
        <v>-0.6065709552733296</v>
      </c>
      <c r="F4" s="34">
        <f>D4/$D$122</f>
        <v>1.9934394160187752E-4</v>
      </c>
      <c r="G4" s="12"/>
      <c r="H4" s="12"/>
      <c r="I4" s="12"/>
    </row>
    <row r="5" spans="1:9" ht="14">
      <c r="A5" s="47" t="s">
        <v>556</v>
      </c>
      <c r="B5" s="47" t="s">
        <v>557</v>
      </c>
      <c r="C5" s="48">
        <v>0</v>
      </c>
      <c r="D5" s="48">
        <v>0</v>
      </c>
      <c r="E5" s="34">
        <v>0</v>
      </c>
      <c r="F5" s="34">
        <f t="shared" ref="F5:F70" si="0">D5/$D$122</f>
        <v>0</v>
      </c>
      <c r="G5" s="12"/>
      <c r="H5" s="12"/>
      <c r="I5" s="12"/>
    </row>
    <row r="6" spans="1:9" ht="14">
      <c r="A6" s="49" t="s">
        <v>559</v>
      </c>
      <c r="B6" s="49" t="s">
        <v>562</v>
      </c>
      <c r="C6" s="36">
        <v>6720.85</v>
      </c>
      <c r="D6" s="36">
        <v>7617.59</v>
      </c>
      <c r="E6" s="34">
        <f t="shared" ref="E6:E67" si="1">(D6-C6)/C6</f>
        <v>0.13342657550756223</v>
      </c>
      <c r="F6" s="34">
        <f t="shared" si="0"/>
        <v>2.1312567243607666E-2</v>
      </c>
      <c r="G6" s="12"/>
      <c r="H6" s="12"/>
      <c r="I6" s="12"/>
    </row>
    <row r="7" spans="1:9" ht="14">
      <c r="A7" s="49" t="s">
        <v>560</v>
      </c>
      <c r="B7" s="49" t="s">
        <v>561</v>
      </c>
      <c r="C7" s="36">
        <v>1278.33</v>
      </c>
      <c r="D7" s="36">
        <v>1782.93</v>
      </c>
      <c r="E7" s="34">
        <f t="shared" si="1"/>
        <v>0.39473375419492635</v>
      </c>
      <c r="F7" s="34">
        <f t="shared" si="0"/>
        <v>4.9882988603541824E-3</v>
      </c>
      <c r="G7" s="12"/>
      <c r="H7" s="12"/>
      <c r="I7" s="12"/>
    </row>
    <row r="8" spans="1:9" ht="14">
      <c r="A8" s="49" t="s">
        <v>563</v>
      </c>
      <c r="B8" s="49" t="s">
        <v>565</v>
      </c>
      <c r="C8" s="36">
        <v>4006.61</v>
      </c>
      <c r="D8" s="36">
        <v>2021.67</v>
      </c>
      <c r="E8" s="34">
        <f t="shared" si="1"/>
        <v>-0.49541632452372453</v>
      </c>
      <c r="F8" s="34">
        <f t="shared" si="0"/>
        <v>5.6562479497300738E-3</v>
      </c>
      <c r="G8" s="12"/>
      <c r="H8" s="12"/>
      <c r="I8" s="12"/>
    </row>
    <row r="9" spans="1:9" ht="14">
      <c r="A9" s="49" t="s">
        <v>564</v>
      </c>
      <c r="B9" s="49" t="s">
        <v>566</v>
      </c>
      <c r="C9" s="36">
        <v>1985.62</v>
      </c>
      <c r="D9" s="36">
        <v>509.94</v>
      </c>
      <c r="E9" s="34">
        <f t="shared" si="1"/>
        <v>-0.7431834892879805</v>
      </c>
      <c r="F9" s="34">
        <f t="shared" si="0"/>
        <v>1.4267150818310374E-3</v>
      </c>
      <c r="G9" s="12"/>
      <c r="H9" s="12"/>
      <c r="I9" s="12"/>
    </row>
    <row r="10" spans="1:9" ht="14">
      <c r="A10" s="49" t="s">
        <v>567</v>
      </c>
      <c r="B10" s="49" t="s">
        <v>569</v>
      </c>
      <c r="C10" s="36">
        <v>946.4</v>
      </c>
      <c r="D10" s="36">
        <v>0</v>
      </c>
      <c r="E10" s="34">
        <f t="shared" si="1"/>
        <v>-1</v>
      </c>
      <c r="F10" s="34">
        <f t="shared" si="0"/>
        <v>0</v>
      </c>
      <c r="G10" s="12"/>
      <c r="H10" s="12"/>
      <c r="I10" s="12"/>
    </row>
    <row r="11" spans="1:9" ht="14">
      <c r="A11" s="49" t="s">
        <v>568</v>
      </c>
      <c r="B11" s="49" t="s">
        <v>570</v>
      </c>
      <c r="C11" s="36">
        <v>3555.59</v>
      </c>
      <c r="D11" s="36">
        <v>2564.29</v>
      </c>
      <c r="E11" s="34">
        <f t="shared" si="1"/>
        <v>-0.27880042412089134</v>
      </c>
      <c r="F11" s="34">
        <f t="shared" si="0"/>
        <v>7.1743954527758386E-3</v>
      </c>
      <c r="G11" s="12"/>
      <c r="H11" s="12"/>
      <c r="I11" s="12"/>
    </row>
    <row r="12" spans="1:9" ht="14">
      <c r="A12" s="49" t="s">
        <v>571</v>
      </c>
      <c r="B12" s="49" t="s">
        <v>573</v>
      </c>
      <c r="C12" s="36">
        <v>3791.15</v>
      </c>
      <c r="D12" s="36">
        <v>2676.38</v>
      </c>
      <c r="E12" s="34">
        <f t="shared" si="1"/>
        <v>-0.29404534244226682</v>
      </c>
      <c r="F12" s="34">
        <f t="shared" si="0"/>
        <v>7.4880019427990595E-3</v>
      </c>
      <c r="G12" s="12"/>
      <c r="H12" s="12"/>
      <c r="I12" s="12"/>
    </row>
    <row r="13" spans="1:9" ht="14">
      <c r="A13" s="49" t="s">
        <v>572</v>
      </c>
      <c r="B13" s="49" t="s">
        <v>574</v>
      </c>
      <c r="C13" s="36">
        <v>2597.8200000000002</v>
      </c>
      <c r="D13" s="36">
        <v>2238.91</v>
      </c>
      <c r="E13" s="34">
        <f t="shared" si="1"/>
        <v>-0.13815814798561882</v>
      </c>
      <c r="F13" s="34">
        <f t="shared" si="0"/>
        <v>6.2640441304120638E-3</v>
      </c>
      <c r="G13" s="12"/>
      <c r="H13" s="12"/>
      <c r="I13" s="12"/>
    </row>
    <row r="14" spans="1:9" ht="14">
      <c r="A14" s="49" t="s">
        <v>575</v>
      </c>
      <c r="B14" s="49" t="s">
        <v>576</v>
      </c>
      <c r="C14" s="36">
        <v>4011.44</v>
      </c>
      <c r="D14" s="36">
        <v>5838.19</v>
      </c>
      <c r="E14" s="34">
        <f t="shared" si="1"/>
        <v>0.45538509861795251</v>
      </c>
      <c r="F14" s="34">
        <f t="shared" si="0"/>
        <v>1.6334144651518109E-2</v>
      </c>
      <c r="G14" s="12"/>
      <c r="H14" s="12"/>
      <c r="I14" s="12"/>
    </row>
    <row r="15" spans="1:9" ht="14">
      <c r="A15" s="49" t="s">
        <v>578</v>
      </c>
      <c r="B15" s="49" t="s">
        <v>580</v>
      </c>
      <c r="C15" s="36">
        <v>7058.43</v>
      </c>
      <c r="D15" s="36">
        <v>13780.93</v>
      </c>
      <c r="E15" s="34">
        <f t="shared" si="1"/>
        <v>0.95240726337159964</v>
      </c>
      <c r="F15" s="34">
        <f t="shared" si="0"/>
        <v>3.8556419721257007E-2</v>
      </c>
      <c r="G15" s="12"/>
      <c r="H15" s="12"/>
      <c r="I15" s="12"/>
    </row>
    <row r="16" spans="1:9" ht="14">
      <c r="A16" s="49" t="s">
        <v>579</v>
      </c>
      <c r="B16" s="49" t="s">
        <v>581</v>
      </c>
      <c r="C16" s="36">
        <v>0</v>
      </c>
      <c r="D16" s="36">
        <v>0</v>
      </c>
      <c r="E16" s="34">
        <v>0</v>
      </c>
      <c r="F16" s="34">
        <f t="shared" si="0"/>
        <v>0</v>
      </c>
      <c r="G16" s="12"/>
      <c r="H16" s="12"/>
      <c r="I16" s="12"/>
    </row>
    <row r="17" spans="1:9" ht="14">
      <c r="A17" s="49" t="s">
        <v>582</v>
      </c>
      <c r="B17" s="49" t="s">
        <v>586</v>
      </c>
      <c r="C17" s="36">
        <v>2322.52</v>
      </c>
      <c r="D17" s="36">
        <v>2233.39</v>
      </c>
      <c r="E17" s="34">
        <f t="shared" si="1"/>
        <v>-3.8376418717599899E-2</v>
      </c>
      <c r="F17" s="34">
        <f t="shared" si="0"/>
        <v>6.248600220831119E-3</v>
      </c>
      <c r="G17" s="12"/>
      <c r="H17" s="12"/>
      <c r="I17" s="12"/>
    </row>
    <row r="18" spans="1:9" ht="14">
      <c r="A18" s="49" t="s">
        <v>583</v>
      </c>
      <c r="B18" s="49" t="s">
        <v>587</v>
      </c>
      <c r="C18" s="36">
        <v>0</v>
      </c>
      <c r="D18" s="36">
        <v>0</v>
      </c>
      <c r="E18" s="34">
        <v>0</v>
      </c>
      <c r="F18" s="34">
        <f t="shared" si="0"/>
        <v>0</v>
      </c>
      <c r="G18" s="12"/>
      <c r="H18" s="12"/>
      <c r="I18" s="12"/>
    </row>
    <row r="19" spans="1:9" ht="14">
      <c r="A19" s="49" t="s">
        <v>584</v>
      </c>
      <c r="B19" s="49" t="s">
        <v>588</v>
      </c>
      <c r="C19" s="36">
        <v>1176.6199999999999</v>
      </c>
      <c r="D19" s="36">
        <v>1635.79</v>
      </c>
      <c r="E19" s="34">
        <f t="shared" si="1"/>
        <v>0.39024493889276074</v>
      </c>
      <c r="F19" s="34">
        <f t="shared" si="0"/>
        <v>4.5766291401113718E-3</v>
      </c>
      <c r="G19" s="12"/>
      <c r="H19" s="12"/>
      <c r="I19" s="12"/>
    </row>
    <row r="20" spans="1:9" ht="14">
      <c r="A20" s="49" t="s">
        <v>585</v>
      </c>
      <c r="B20" s="49" t="s">
        <v>589</v>
      </c>
      <c r="C20" s="36">
        <v>0</v>
      </c>
      <c r="D20" s="36">
        <v>0</v>
      </c>
      <c r="E20" s="34">
        <v>0</v>
      </c>
      <c r="F20" s="34">
        <f t="shared" si="0"/>
        <v>0</v>
      </c>
      <c r="G20" s="12"/>
      <c r="H20" s="12"/>
      <c r="I20" s="12"/>
    </row>
    <row r="21" spans="1:9" ht="14">
      <c r="A21" s="49" t="s">
        <v>590</v>
      </c>
      <c r="B21" s="49" t="s">
        <v>592</v>
      </c>
      <c r="C21" s="36">
        <v>1248.08</v>
      </c>
      <c r="D21" s="36">
        <v>1903.99</v>
      </c>
      <c r="E21" s="34">
        <f t="shared" si="1"/>
        <v>0.52553522210114745</v>
      </c>
      <c r="F21" s="34">
        <f t="shared" si="0"/>
        <v>5.3270017034464387E-3</v>
      </c>
      <c r="G21" s="12"/>
      <c r="H21" s="12"/>
      <c r="I21" s="12"/>
    </row>
    <row r="22" spans="1:9" ht="14">
      <c r="A22" s="49" t="s">
        <v>591</v>
      </c>
      <c r="B22" s="49" t="s">
        <v>593</v>
      </c>
      <c r="C22" s="36">
        <v>0</v>
      </c>
      <c r="D22" s="36">
        <v>0</v>
      </c>
      <c r="E22" s="34">
        <v>0</v>
      </c>
      <c r="F22" s="34">
        <f t="shared" si="0"/>
        <v>0</v>
      </c>
      <c r="G22" s="12"/>
      <c r="H22" s="12"/>
      <c r="I22" s="12"/>
    </row>
    <row r="23" spans="1:9" ht="14">
      <c r="A23" s="49" t="s">
        <v>594</v>
      </c>
      <c r="B23" s="49" t="s">
        <v>596</v>
      </c>
      <c r="C23" s="36">
        <v>1699.6</v>
      </c>
      <c r="D23" s="36">
        <v>1585.87</v>
      </c>
      <c r="E23" s="34">
        <f t="shared" si="1"/>
        <v>-6.6915744881148514E-2</v>
      </c>
      <c r="F23" s="34">
        <f t="shared" si="0"/>
        <v>4.4369624795532556E-3</v>
      </c>
      <c r="G23" s="12"/>
      <c r="H23" s="12"/>
      <c r="I23" s="12"/>
    </row>
    <row r="24" spans="1:9" ht="14">
      <c r="A24" s="49" t="s">
        <v>595</v>
      </c>
      <c r="B24" s="49" t="s">
        <v>597</v>
      </c>
      <c r="C24" s="36">
        <v>0</v>
      </c>
      <c r="D24" s="36">
        <v>0</v>
      </c>
      <c r="E24" s="34">
        <v>0</v>
      </c>
      <c r="F24" s="34">
        <f t="shared" si="0"/>
        <v>0</v>
      </c>
      <c r="G24" s="12"/>
      <c r="H24" s="12"/>
      <c r="I24" s="12"/>
    </row>
    <row r="25" spans="1:9" ht="14">
      <c r="A25" s="49" t="s">
        <v>600</v>
      </c>
      <c r="B25" s="49" t="s">
        <v>598</v>
      </c>
      <c r="C25" s="36">
        <v>0</v>
      </c>
      <c r="D25" s="36">
        <v>0</v>
      </c>
      <c r="E25" s="34">
        <v>0</v>
      </c>
      <c r="F25" s="34">
        <f t="shared" si="0"/>
        <v>0</v>
      </c>
      <c r="G25" s="12"/>
      <c r="H25" s="12"/>
      <c r="I25" s="12"/>
    </row>
    <row r="26" spans="1:9" ht="14">
      <c r="A26" s="49" t="s">
        <v>601</v>
      </c>
      <c r="B26" s="49" t="s">
        <v>599</v>
      </c>
      <c r="C26" s="36">
        <v>0</v>
      </c>
      <c r="D26" s="36">
        <v>0</v>
      </c>
      <c r="E26" s="34">
        <v>0</v>
      </c>
      <c r="F26" s="34">
        <f t="shared" si="0"/>
        <v>0</v>
      </c>
      <c r="G26" s="12"/>
      <c r="H26" s="12"/>
      <c r="I26" s="12"/>
    </row>
    <row r="27" spans="1:9" ht="14">
      <c r="A27" s="49" t="s">
        <v>602</v>
      </c>
      <c r="B27" s="49" t="s">
        <v>604</v>
      </c>
      <c r="C27" s="36">
        <v>1141.58</v>
      </c>
      <c r="D27" s="36">
        <v>1119.9000000000001</v>
      </c>
      <c r="E27" s="34">
        <f t="shared" si="1"/>
        <v>-1.8991222691357449E-2</v>
      </c>
      <c r="F27" s="34">
        <f t="shared" si="0"/>
        <v>3.133267090525511E-3</v>
      </c>
      <c r="G27" s="12"/>
      <c r="H27" s="12"/>
      <c r="I27" s="12"/>
    </row>
    <row r="28" spans="1:9" ht="14">
      <c r="A28" s="49" t="s">
        <v>603</v>
      </c>
      <c r="B28" s="49" t="s">
        <v>605</v>
      </c>
      <c r="C28" s="36">
        <v>0</v>
      </c>
      <c r="D28" s="36">
        <v>0</v>
      </c>
      <c r="E28" s="34">
        <v>0</v>
      </c>
      <c r="F28" s="34">
        <f t="shared" si="0"/>
        <v>0</v>
      </c>
      <c r="G28" s="12"/>
      <c r="H28" s="12"/>
      <c r="I28" s="12"/>
    </row>
    <row r="29" spans="1:9" ht="14">
      <c r="A29" s="49" t="s">
        <v>606</v>
      </c>
      <c r="B29" s="49" t="s">
        <v>608</v>
      </c>
      <c r="C29" s="36">
        <v>1922.26</v>
      </c>
      <c r="D29" s="36">
        <v>2008.9</v>
      </c>
      <c r="E29" s="34">
        <f t="shared" si="1"/>
        <v>4.5071946562899971E-2</v>
      </c>
      <c r="F29" s="34">
        <f t="shared" si="0"/>
        <v>5.6205199197756038E-3</v>
      </c>
      <c r="G29" s="12"/>
      <c r="H29" s="12"/>
      <c r="I29" s="12"/>
    </row>
    <row r="30" spans="1:9" ht="14">
      <c r="A30" s="49" t="s">
        <v>607</v>
      </c>
      <c r="B30" s="49" t="s">
        <v>609</v>
      </c>
      <c r="C30" s="36">
        <v>0</v>
      </c>
      <c r="D30" s="36">
        <v>0</v>
      </c>
      <c r="E30" s="34">
        <v>0</v>
      </c>
      <c r="F30" s="34">
        <f>D30/$D$122</f>
        <v>0</v>
      </c>
      <c r="G30" s="12"/>
      <c r="H30" s="12"/>
      <c r="I30" s="12"/>
    </row>
    <row r="31" spans="1:9" ht="14">
      <c r="A31" s="49" t="s">
        <v>610</v>
      </c>
      <c r="B31" s="49" t="s">
        <v>612</v>
      </c>
      <c r="C31" s="36">
        <v>6518.06</v>
      </c>
      <c r="D31" s="36">
        <v>7761.99</v>
      </c>
      <c r="E31" s="34">
        <f t="shared" si="1"/>
        <v>0.19084359456648134</v>
      </c>
      <c r="F31" s="34">
        <f t="shared" si="0"/>
        <v>2.1716570965254135E-2</v>
      </c>
      <c r="G31" s="12"/>
      <c r="H31" s="12"/>
      <c r="I31" s="12"/>
    </row>
    <row r="32" spans="1:9" ht="14">
      <c r="A32" s="49" t="s">
        <v>611</v>
      </c>
      <c r="B32" s="49" t="s">
        <v>613</v>
      </c>
      <c r="C32" s="36">
        <v>0</v>
      </c>
      <c r="D32" s="36">
        <v>0</v>
      </c>
      <c r="E32" s="34">
        <v>0</v>
      </c>
      <c r="F32" s="34">
        <f t="shared" si="0"/>
        <v>0</v>
      </c>
      <c r="G32" s="12"/>
      <c r="H32" s="12"/>
      <c r="I32" s="12"/>
    </row>
    <row r="33" spans="1:9" ht="14">
      <c r="A33" s="49" t="s">
        <v>614</v>
      </c>
      <c r="B33" s="49" t="s">
        <v>616</v>
      </c>
      <c r="C33" s="36">
        <v>8180.58</v>
      </c>
      <c r="D33" s="36">
        <v>11932.5</v>
      </c>
      <c r="E33" s="34">
        <f t="shared" si="1"/>
        <v>0.45863740712761197</v>
      </c>
      <c r="F33" s="34">
        <f t="shared" si="0"/>
        <v>3.3384864325114436E-2</v>
      </c>
      <c r="G33" s="12"/>
      <c r="H33" s="12"/>
      <c r="I33" s="12"/>
    </row>
    <row r="34" spans="1:9" ht="14">
      <c r="A34" s="49" t="s">
        <v>615</v>
      </c>
      <c r="B34" s="49" t="s">
        <v>617</v>
      </c>
      <c r="C34" s="36">
        <v>0</v>
      </c>
      <c r="D34" s="36">
        <v>0</v>
      </c>
      <c r="E34" s="34">
        <v>0</v>
      </c>
      <c r="F34" s="34">
        <f t="shared" si="0"/>
        <v>0</v>
      </c>
      <c r="G34" s="12"/>
      <c r="H34" s="12"/>
      <c r="I34" s="12"/>
    </row>
    <row r="35" spans="1:9" ht="14">
      <c r="A35" s="49" t="s">
        <v>618</v>
      </c>
      <c r="B35" s="49" t="s">
        <v>620</v>
      </c>
      <c r="C35" s="36">
        <v>2041.96</v>
      </c>
      <c r="D35" s="36">
        <v>1944.78</v>
      </c>
      <c r="E35" s="34">
        <f t="shared" si="1"/>
        <v>-4.7591529706752365E-2</v>
      </c>
      <c r="F35" s="34">
        <f t="shared" si="0"/>
        <v>5.4411243613824468E-3</v>
      </c>
      <c r="G35" s="12"/>
      <c r="H35" s="12"/>
      <c r="I35" s="12"/>
    </row>
    <row r="36" spans="1:9" ht="14">
      <c r="A36" s="49" t="s">
        <v>619</v>
      </c>
      <c r="B36" s="49" t="s">
        <v>621</v>
      </c>
      <c r="C36" s="36">
        <v>0</v>
      </c>
      <c r="D36" s="36">
        <v>0</v>
      </c>
      <c r="E36" s="34">
        <v>0</v>
      </c>
      <c r="F36" s="34">
        <f t="shared" si="0"/>
        <v>0</v>
      </c>
      <c r="G36" s="12"/>
      <c r="H36" s="12"/>
      <c r="I36" s="12"/>
    </row>
    <row r="37" spans="1:9" ht="14">
      <c r="A37" s="49" t="s">
        <v>622</v>
      </c>
      <c r="B37" s="49" t="s">
        <v>625</v>
      </c>
      <c r="C37" s="36">
        <v>7135.24</v>
      </c>
      <c r="D37" s="36">
        <v>6389.4</v>
      </c>
      <c r="E37" s="34">
        <f t="shared" si="1"/>
        <v>-0.10452906980003478</v>
      </c>
      <c r="F37" s="34">
        <f t="shared" si="0"/>
        <v>1.7876325339944366E-2</v>
      </c>
      <c r="G37" s="12"/>
      <c r="H37" s="12"/>
      <c r="I37" s="12"/>
    </row>
    <row r="38" spans="1:9" ht="14">
      <c r="A38" s="49" t="s">
        <v>623</v>
      </c>
      <c r="B38" s="49" t="s">
        <v>624</v>
      </c>
      <c r="C38" s="36">
        <v>912.85</v>
      </c>
      <c r="D38" s="36">
        <v>1541.97</v>
      </c>
      <c r="E38" s="34">
        <f t="shared" si="1"/>
        <v>0.68918223147285973</v>
      </c>
      <c r="F38" s="34">
        <f t="shared" si="0"/>
        <v>4.3141386334294325E-3</v>
      </c>
      <c r="G38" s="12"/>
      <c r="H38" s="12"/>
      <c r="I38" s="12"/>
    </row>
    <row r="39" spans="1:9" ht="14">
      <c r="A39" s="49" t="s">
        <v>626</v>
      </c>
      <c r="B39" s="49" t="s">
        <v>628</v>
      </c>
      <c r="C39" s="36">
        <v>444.43</v>
      </c>
      <c r="D39" s="36">
        <v>1615.71</v>
      </c>
      <c r="E39" s="34">
        <f t="shared" si="1"/>
        <v>2.6354656526337106</v>
      </c>
      <c r="F39" s="34">
        <f t="shared" si="0"/>
        <v>4.5204491212009756E-3</v>
      </c>
      <c r="G39" s="12"/>
      <c r="H39" s="12"/>
      <c r="I39" s="12"/>
    </row>
    <row r="40" spans="1:9" ht="14">
      <c r="A40" s="49" t="s">
        <v>627</v>
      </c>
      <c r="B40" s="49" t="s">
        <v>629</v>
      </c>
      <c r="C40" s="36">
        <v>0</v>
      </c>
      <c r="D40" s="36">
        <v>0</v>
      </c>
      <c r="E40" s="34">
        <v>0</v>
      </c>
      <c r="F40" s="34">
        <f t="shared" si="0"/>
        <v>0</v>
      </c>
      <c r="G40" s="12"/>
      <c r="H40" s="12"/>
      <c r="I40" s="12"/>
    </row>
    <row r="41" spans="1:9" ht="14">
      <c r="A41" s="49" t="s">
        <v>630</v>
      </c>
      <c r="B41" s="49" t="s">
        <v>640</v>
      </c>
      <c r="C41" s="36">
        <v>578.67999999999995</v>
      </c>
      <c r="D41" s="36">
        <v>1260.72</v>
      </c>
      <c r="E41" s="34">
        <f t="shared" si="1"/>
        <v>1.1786133960047005</v>
      </c>
      <c r="F41" s="34">
        <f t="shared" si="0"/>
        <v>3.5272546534220214E-3</v>
      </c>
      <c r="G41" s="12"/>
      <c r="H41" s="12"/>
      <c r="I41" s="12"/>
    </row>
    <row r="42" spans="1:9" ht="14">
      <c r="A42" s="49" t="s">
        <v>631</v>
      </c>
      <c r="B42" s="49" t="s">
        <v>641</v>
      </c>
      <c r="C42" s="36">
        <v>0</v>
      </c>
      <c r="D42" s="36">
        <v>0</v>
      </c>
      <c r="E42" s="34">
        <v>0</v>
      </c>
      <c r="F42" s="34">
        <f t="shared" si="0"/>
        <v>0</v>
      </c>
      <c r="G42" s="12"/>
      <c r="H42" s="12"/>
      <c r="I42" s="12"/>
    </row>
    <row r="43" spans="1:9" ht="14">
      <c r="A43" s="49" t="s">
        <v>632</v>
      </c>
      <c r="B43" s="49" t="s">
        <v>634</v>
      </c>
      <c r="C43" s="36">
        <v>952.59</v>
      </c>
      <c r="D43" s="36">
        <v>848.69</v>
      </c>
      <c r="E43" s="34">
        <f t="shared" si="1"/>
        <v>-0.10907105890257086</v>
      </c>
      <c r="F43" s="34">
        <f t="shared" si="0"/>
        <v>2.3744731199732976E-3</v>
      </c>
      <c r="G43" s="12"/>
      <c r="H43" s="12"/>
      <c r="I43" s="12"/>
    </row>
    <row r="44" spans="1:9" ht="14">
      <c r="A44" s="49" t="s">
        <v>633</v>
      </c>
      <c r="B44" s="49" t="s">
        <v>635</v>
      </c>
      <c r="C44" s="36">
        <v>0</v>
      </c>
      <c r="D44" s="36">
        <v>0</v>
      </c>
      <c r="E44" s="34">
        <v>0</v>
      </c>
      <c r="F44" s="34">
        <f t="shared" si="0"/>
        <v>0</v>
      </c>
      <c r="G44" s="12"/>
      <c r="H44" s="12"/>
      <c r="I44" s="12"/>
    </row>
    <row r="45" spans="1:9" ht="14">
      <c r="A45" s="49" t="s">
        <v>636</v>
      </c>
      <c r="B45" s="49" t="s">
        <v>637</v>
      </c>
      <c r="C45" s="36">
        <v>3643.12</v>
      </c>
      <c r="D45" s="36">
        <v>2901.46</v>
      </c>
      <c r="E45" s="34">
        <f t="shared" si="1"/>
        <v>-0.20357825160851134</v>
      </c>
      <c r="F45" s="34">
        <f t="shared" si="0"/>
        <v>8.1177329515815227E-3</v>
      </c>
      <c r="G45" s="12"/>
      <c r="H45" s="12"/>
      <c r="I45" s="12"/>
    </row>
    <row r="46" spans="1:9" ht="14">
      <c r="A46" s="49" t="s">
        <v>639</v>
      </c>
      <c r="B46" s="49" t="s">
        <v>638</v>
      </c>
      <c r="C46" s="36">
        <v>0</v>
      </c>
      <c r="D46" s="36">
        <v>0</v>
      </c>
      <c r="E46" s="34">
        <v>0</v>
      </c>
      <c r="F46" s="34">
        <f t="shared" si="0"/>
        <v>0</v>
      </c>
      <c r="G46" s="12"/>
      <c r="H46" s="12"/>
      <c r="I46" s="12"/>
    </row>
    <row r="47" spans="1:9" ht="14">
      <c r="A47" s="49" t="s">
        <v>642</v>
      </c>
      <c r="B47" s="49" t="s">
        <v>643</v>
      </c>
      <c r="C47" s="36">
        <v>3764.91</v>
      </c>
      <c r="D47" s="36">
        <v>3718.08</v>
      </c>
      <c r="E47" s="34">
        <f>(D47-C47)/C47</f>
        <v>-1.243854434767363E-2</v>
      </c>
      <c r="F47" s="34">
        <f t="shared" si="0"/>
        <v>1.0402480314261175E-2</v>
      </c>
      <c r="G47" s="12"/>
      <c r="H47" s="12"/>
      <c r="I47" s="12"/>
    </row>
    <row r="48" spans="1:9" ht="14">
      <c r="A48" s="49" t="s">
        <v>644</v>
      </c>
      <c r="B48" s="49" t="s">
        <v>645</v>
      </c>
      <c r="C48" s="36">
        <v>1024.6199999999999</v>
      </c>
      <c r="D48" s="36">
        <v>728.66</v>
      </c>
      <c r="E48" s="34">
        <f t="shared" si="1"/>
        <v>-0.28884854873026095</v>
      </c>
      <c r="F48" s="34">
        <f t="shared" si="0"/>
        <v>2.0386520208789342E-3</v>
      </c>
      <c r="G48" s="12"/>
      <c r="H48" s="12"/>
      <c r="I48" s="12"/>
    </row>
    <row r="49" spans="1:9" ht="14">
      <c r="A49" s="49" t="s">
        <v>646</v>
      </c>
      <c r="B49" s="49" t="s">
        <v>648</v>
      </c>
      <c r="C49" s="36">
        <v>1435.45</v>
      </c>
      <c r="D49" s="36">
        <v>1578.03</v>
      </c>
      <c r="E49" s="34">
        <f t="shared" si="1"/>
        <v>9.932773694660206E-2</v>
      </c>
      <c r="F49" s="34">
        <f t="shared" si="0"/>
        <v>4.4150276514527825E-3</v>
      </c>
      <c r="G49" s="12"/>
      <c r="H49" s="12"/>
      <c r="I49" s="12"/>
    </row>
    <row r="50" spans="1:9" ht="14">
      <c r="A50" s="49" t="s">
        <v>647</v>
      </c>
      <c r="B50" s="49" t="s">
        <v>649</v>
      </c>
      <c r="C50" s="36">
        <v>0</v>
      </c>
      <c r="D50" s="36">
        <v>0</v>
      </c>
      <c r="E50" s="34">
        <v>0</v>
      </c>
      <c r="F50" s="34">
        <f>D50/$D$122</f>
        <v>0</v>
      </c>
      <c r="G50" s="12"/>
      <c r="H50" s="12"/>
      <c r="I50" s="12"/>
    </row>
    <row r="51" spans="1:9" ht="14">
      <c r="A51" s="49" t="s">
        <v>650</v>
      </c>
      <c r="B51" s="49" t="s">
        <v>708</v>
      </c>
      <c r="C51" s="36">
        <v>1387.58</v>
      </c>
      <c r="D51" s="36">
        <v>978.87</v>
      </c>
      <c r="E51" s="34">
        <f t="shared" si="1"/>
        <v>-0.29454878277288515</v>
      </c>
      <c r="F51" s="34">
        <f t="shared" si="0"/>
        <v>2.7386919875905945E-3</v>
      </c>
      <c r="G51" s="12"/>
      <c r="H51" s="12"/>
      <c r="I51" s="12"/>
    </row>
    <row r="52" spans="1:9" ht="14">
      <c r="A52" s="49" t="s">
        <v>651</v>
      </c>
      <c r="B52" s="49" t="s">
        <v>709</v>
      </c>
      <c r="C52" s="36">
        <v>0</v>
      </c>
      <c r="D52" s="36">
        <v>0</v>
      </c>
      <c r="E52" s="34">
        <v>0</v>
      </c>
      <c r="F52" s="34">
        <f t="shared" si="0"/>
        <v>0</v>
      </c>
      <c r="G52" s="12"/>
      <c r="H52" s="12"/>
      <c r="I52" s="12"/>
    </row>
    <row r="53" spans="1:9" ht="14">
      <c r="A53" s="49" t="s">
        <v>652</v>
      </c>
      <c r="B53" s="49" t="s">
        <v>710</v>
      </c>
      <c r="C53" s="36">
        <v>28.27</v>
      </c>
      <c r="D53" s="36">
        <v>0</v>
      </c>
      <c r="E53" s="34">
        <f t="shared" si="1"/>
        <v>-1</v>
      </c>
      <c r="F53" s="34">
        <f t="shared" si="0"/>
        <v>0</v>
      </c>
      <c r="G53" s="12"/>
      <c r="H53" s="12"/>
      <c r="I53" s="12"/>
    </row>
    <row r="54" spans="1:9" ht="14">
      <c r="A54" s="49" t="s">
        <v>653</v>
      </c>
      <c r="B54" s="49" t="s">
        <v>713</v>
      </c>
      <c r="C54" s="36">
        <v>0</v>
      </c>
      <c r="D54" s="36">
        <v>0</v>
      </c>
      <c r="E54" s="34">
        <v>0</v>
      </c>
      <c r="F54" s="34">
        <f t="shared" si="0"/>
        <v>0</v>
      </c>
      <c r="G54" s="12"/>
      <c r="H54" s="12"/>
      <c r="I54" s="12"/>
    </row>
    <row r="55" spans="1:9" ht="14">
      <c r="A55" s="49" t="s">
        <v>654</v>
      </c>
      <c r="B55" s="49" t="s">
        <v>711</v>
      </c>
      <c r="C55" s="36">
        <v>6594.37</v>
      </c>
      <c r="D55" s="36">
        <v>3484.44</v>
      </c>
      <c r="E55" s="34">
        <f t="shared" si="1"/>
        <v>-0.47160380749032887</v>
      </c>
      <c r="F55" s="34">
        <f t="shared" si="0"/>
        <v>9.7488000543894185E-3</v>
      </c>
      <c r="G55" s="12"/>
      <c r="H55" s="12"/>
      <c r="I55" s="12"/>
    </row>
    <row r="56" spans="1:9" ht="14">
      <c r="A56" s="49" t="s">
        <v>655</v>
      </c>
      <c r="B56" s="49" t="s">
        <v>712</v>
      </c>
      <c r="C56" s="36">
        <v>326.48</v>
      </c>
      <c r="D56" s="36">
        <v>487.35</v>
      </c>
      <c r="E56" s="34">
        <f t="shared" si="1"/>
        <v>0.49274074981622151</v>
      </c>
      <c r="F56" s="34">
        <f t="shared" si="0"/>
        <v>1.3635125605568424E-3</v>
      </c>
      <c r="G56" s="12"/>
      <c r="H56" s="12"/>
      <c r="I56" s="12"/>
    </row>
    <row r="57" spans="1:9" ht="14">
      <c r="A57" s="49" t="s">
        <v>714</v>
      </c>
      <c r="B57" s="49" t="s">
        <v>716</v>
      </c>
      <c r="C57" s="36">
        <v>80.95</v>
      </c>
      <c r="D57" s="36">
        <v>204</v>
      </c>
      <c r="E57" s="34">
        <f t="shared" si="1"/>
        <v>1.5200741198270535</v>
      </c>
      <c r="F57" s="34">
        <f t="shared" si="0"/>
        <v>5.7075318016537558E-4</v>
      </c>
      <c r="G57" s="12"/>
      <c r="H57" s="12"/>
      <c r="I57" s="12"/>
    </row>
    <row r="58" spans="1:9" ht="14">
      <c r="A58" s="49" t="s">
        <v>715</v>
      </c>
      <c r="B58" s="49" t="s">
        <v>717</v>
      </c>
      <c r="C58" s="36">
        <v>0</v>
      </c>
      <c r="D58" s="36">
        <v>0</v>
      </c>
      <c r="E58" s="34">
        <v>0</v>
      </c>
      <c r="F58" s="34">
        <f t="shared" si="0"/>
        <v>0</v>
      </c>
      <c r="G58" s="12"/>
      <c r="H58" s="12"/>
      <c r="I58" s="12"/>
    </row>
    <row r="59" spans="1:9" ht="14">
      <c r="A59" s="49" t="s">
        <v>656</v>
      </c>
      <c r="B59" s="49" t="s">
        <v>718</v>
      </c>
      <c r="C59" s="36">
        <v>1170.33</v>
      </c>
      <c r="D59" s="36">
        <v>1427.15</v>
      </c>
      <c r="E59" s="34">
        <f>(D59-C59)/C59</f>
        <v>0.21944237949979936</v>
      </c>
      <c r="F59" s="34">
        <f t="shared" si="0"/>
        <v>3.9928941229069401E-3</v>
      </c>
      <c r="G59" s="12"/>
      <c r="H59" s="12"/>
      <c r="I59" s="12"/>
    </row>
    <row r="60" spans="1:9" ht="14">
      <c r="A60" s="49" t="s">
        <v>657</v>
      </c>
      <c r="B60" s="49" t="s">
        <v>719</v>
      </c>
      <c r="C60" s="36">
        <v>0</v>
      </c>
      <c r="D60" s="36">
        <v>0</v>
      </c>
      <c r="E60" s="34">
        <v>0</v>
      </c>
      <c r="F60" s="34">
        <f t="shared" si="0"/>
        <v>0</v>
      </c>
      <c r="G60" s="12"/>
      <c r="H60" s="12"/>
      <c r="I60" s="12"/>
    </row>
    <row r="61" spans="1:9" ht="14">
      <c r="A61" s="49" t="s">
        <v>658</v>
      </c>
      <c r="B61" s="49" t="s">
        <v>720</v>
      </c>
      <c r="C61" s="36">
        <v>2175.5100000000002</v>
      </c>
      <c r="D61" s="36">
        <v>6415.03</v>
      </c>
      <c r="E61" s="34">
        <f t="shared" si="1"/>
        <v>1.948747649976327</v>
      </c>
      <c r="F61" s="34">
        <f t="shared" si="0"/>
        <v>1.794803320272691E-2</v>
      </c>
      <c r="G61" s="12"/>
      <c r="H61" s="12"/>
      <c r="I61" s="12"/>
    </row>
    <row r="62" spans="1:9" ht="14">
      <c r="A62" s="49" t="s">
        <v>659</v>
      </c>
      <c r="B62" s="49" t="s">
        <v>721</v>
      </c>
      <c r="C62" s="36">
        <v>0</v>
      </c>
      <c r="D62" s="36">
        <v>2400</v>
      </c>
      <c r="E62" s="34">
        <v>0</v>
      </c>
      <c r="F62" s="34">
        <f t="shared" si="0"/>
        <v>6.7147432960632429E-3</v>
      </c>
      <c r="G62" s="12"/>
      <c r="H62" s="12"/>
      <c r="I62" s="12"/>
    </row>
    <row r="63" spans="1:9" ht="14">
      <c r="A63" s="49" t="s">
        <v>660</v>
      </c>
      <c r="B63" s="49" t="s">
        <v>722</v>
      </c>
      <c r="C63" s="36">
        <v>2909.81</v>
      </c>
      <c r="D63" s="36">
        <v>1886.66</v>
      </c>
      <c r="E63" s="34">
        <f t="shared" si="1"/>
        <v>-0.35162089620971809</v>
      </c>
      <c r="F63" s="34">
        <f t="shared" si="0"/>
        <v>5.2785156612294489E-3</v>
      </c>
      <c r="G63" s="12"/>
      <c r="H63" s="12"/>
      <c r="I63" s="12"/>
    </row>
    <row r="64" spans="1:9" ht="14">
      <c r="A64" s="49" t="s">
        <v>661</v>
      </c>
      <c r="B64" s="49" t="s">
        <v>723</v>
      </c>
      <c r="C64" s="36">
        <v>941.28</v>
      </c>
      <c r="D64" s="36">
        <v>1125.8</v>
      </c>
      <c r="E64" s="34">
        <f t="shared" si="1"/>
        <v>0.19603093659697432</v>
      </c>
      <c r="F64" s="34">
        <f t="shared" si="0"/>
        <v>3.1497741677949994E-3</v>
      </c>
      <c r="G64" s="12"/>
      <c r="H64" s="12"/>
      <c r="I64" s="12"/>
    </row>
    <row r="65" spans="1:9" ht="14">
      <c r="A65" s="49" t="s">
        <v>662</v>
      </c>
      <c r="B65" s="49" t="s">
        <v>724</v>
      </c>
      <c r="C65" s="36">
        <v>3052</v>
      </c>
      <c r="D65" s="36">
        <v>2692.81</v>
      </c>
      <c r="E65" s="34">
        <f t="shared" si="1"/>
        <v>-0.1176900393184797</v>
      </c>
      <c r="F65" s="34">
        <f t="shared" si="0"/>
        <v>7.5339699562800254E-3</v>
      </c>
      <c r="G65" s="12"/>
      <c r="H65" s="12"/>
      <c r="I65" s="12"/>
    </row>
    <row r="66" spans="1:9" ht="14">
      <c r="A66" s="49" t="s">
        <v>663</v>
      </c>
      <c r="B66" s="49" t="s">
        <v>725</v>
      </c>
      <c r="C66" s="36">
        <v>199.8</v>
      </c>
      <c r="D66" s="36">
        <v>0</v>
      </c>
      <c r="E66" s="34">
        <f t="shared" si="1"/>
        <v>-1</v>
      </c>
      <c r="F66" s="34">
        <f t="shared" si="0"/>
        <v>0</v>
      </c>
      <c r="G66" s="12"/>
      <c r="H66" s="12"/>
      <c r="I66" s="12"/>
    </row>
    <row r="67" spans="1:9" ht="14">
      <c r="A67" s="49" t="s">
        <v>664</v>
      </c>
      <c r="B67" s="49" t="s">
        <v>726</v>
      </c>
      <c r="C67" s="36">
        <v>477.38</v>
      </c>
      <c r="D67" s="36">
        <v>1841.88</v>
      </c>
      <c r="E67" s="34">
        <f t="shared" si="1"/>
        <v>2.8583099417654698</v>
      </c>
      <c r="F67" s="34">
        <f t="shared" si="0"/>
        <v>5.1532297425637358E-3</v>
      </c>
      <c r="G67" s="12"/>
      <c r="H67" s="12"/>
      <c r="I67" s="12"/>
    </row>
    <row r="68" spans="1:9" ht="14">
      <c r="A68" s="49" t="s">
        <v>665</v>
      </c>
      <c r="B68" s="49" t="s">
        <v>727</v>
      </c>
      <c r="C68" s="36">
        <v>0</v>
      </c>
      <c r="D68" s="36">
        <v>0</v>
      </c>
      <c r="E68" s="34">
        <v>0</v>
      </c>
      <c r="F68" s="34">
        <f t="shared" si="0"/>
        <v>0</v>
      </c>
      <c r="G68" s="12"/>
      <c r="H68" s="12"/>
      <c r="I68" s="12"/>
    </row>
    <row r="69" spans="1:9" ht="14">
      <c r="A69" s="49" t="s">
        <v>666</v>
      </c>
      <c r="B69" s="49" t="s">
        <v>728</v>
      </c>
      <c r="C69" s="36">
        <v>3367.73</v>
      </c>
      <c r="D69" s="36">
        <v>2234.6999999999998</v>
      </c>
      <c r="E69" s="34">
        <f t="shared" ref="E69:E73" si="2">(D69-C69)/C69</f>
        <v>-0.33643730346553918</v>
      </c>
      <c r="F69" s="34">
        <f>D69/$D$122</f>
        <v>6.2522653515468861E-3</v>
      </c>
      <c r="G69" s="12"/>
      <c r="H69" s="12"/>
      <c r="I69" s="12"/>
    </row>
    <row r="70" spans="1:9" ht="14">
      <c r="A70" s="49" t="s">
        <v>667</v>
      </c>
      <c r="B70" s="49" t="s">
        <v>729</v>
      </c>
      <c r="C70" s="36">
        <v>6100.48</v>
      </c>
      <c r="D70" s="36">
        <v>6114.14</v>
      </c>
      <c r="E70" s="34">
        <f t="shared" si="2"/>
        <v>2.2391680654638268E-3</v>
      </c>
      <c r="F70" s="34">
        <f t="shared" si="0"/>
        <v>1.7106200240080048E-2</v>
      </c>
      <c r="G70" s="12"/>
      <c r="H70" s="12"/>
      <c r="I70" s="12"/>
    </row>
    <row r="71" spans="1:9" ht="14">
      <c r="A71" s="49" t="s">
        <v>668</v>
      </c>
      <c r="B71" s="49" t="s">
        <v>730</v>
      </c>
      <c r="C71" s="36">
        <v>692.06</v>
      </c>
      <c r="D71" s="36">
        <v>659.97</v>
      </c>
      <c r="E71" s="34">
        <f t="shared" si="2"/>
        <v>-4.6368811952720745E-2</v>
      </c>
      <c r="F71" s="34">
        <f t="shared" ref="F71:F89" si="3">D71/$D$122</f>
        <v>1.846470472126191E-3</v>
      </c>
      <c r="G71" s="12"/>
      <c r="H71" s="12"/>
      <c r="I71" s="12"/>
    </row>
    <row r="72" spans="1:9" ht="14">
      <c r="A72" s="49" t="s">
        <v>669</v>
      </c>
      <c r="B72" s="49" t="s">
        <v>731</v>
      </c>
      <c r="C72" s="36">
        <v>0</v>
      </c>
      <c r="D72" s="36">
        <v>0</v>
      </c>
      <c r="E72" s="34">
        <v>0</v>
      </c>
      <c r="F72" s="34">
        <f t="shared" si="3"/>
        <v>0</v>
      </c>
      <c r="G72" s="12"/>
      <c r="H72" s="12"/>
      <c r="I72" s="12"/>
    </row>
    <row r="73" spans="1:9" ht="14">
      <c r="A73" s="49" t="s">
        <v>670</v>
      </c>
      <c r="B73" s="49" t="s">
        <v>732</v>
      </c>
      <c r="C73" s="36">
        <v>46.43</v>
      </c>
      <c r="D73" s="36">
        <v>172.59</v>
      </c>
      <c r="E73" s="34">
        <f t="shared" si="2"/>
        <v>2.7172087012707302</v>
      </c>
      <c r="F73" s="34">
        <f t="shared" si="3"/>
        <v>4.8287397727814793E-4</v>
      </c>
      <c r="G73" s="12"/>
      <c r="H73" s="12"/>
      <c r="I73" s="12"/>
    </row>
    <row r="74" spans="1:9" ht="14">
      <c r="A74" s="49" t="s">
        <v>671</v>
      </c>
      <c r="B74" s="49" t="s">
        <v>733</v>
      </c>
      <c r="C74" s="36">
        <v>0</v>
      </c>
      <c r="D74" s="36">
        <v>0</v>
      </c>
      <c r="E74" s="34">
        <v>0</v>
      </c>
      <c r="F74" s="34">
        <f t="shared" si="3"/>
        <v>0</v>
      </c>
      <c r="G74" s="12"/>
      <c r="H74" s="12"/>
      <c r="I74" s="12"/>
    </row>
    <row r="75" spans="1:9" ht="14">
      <c r="A75" s="49" t="s">
        <v>672</v>
      </c>
      <c r="B75" s="49" t="s">
        <v>734</v>
      </c>
      <c r="C75" s="36">
        <v>4709.4399999999996</v>
      </c>
      <c r="D75" s="36">
        <v>4064.61</v>
      </c>
      <c r="E75" s="34">
        <f t="shared" ref="E75:E95" si="4">(D75-C75)/C75</f>
        <v>-0.13692286131684436</v>
      </c>
      <c r="F75" s="34">
        <f t="shared" si="3"/>
        <v>1.1372005311921507E-2</v>
      </c>
      <c r="G75" s="12"/>
      <c r="H75" s="12"/>
      <c r="I75" s="12"/>
    </row>
    <row r="76" spans="1:9" ht="14">
      <c r="A76" s="49" t="s">
        <v>673</v>
      </c>
      <c r="B76" s="49" t="s">
        <v>735</v>
      </c>
      <c r="C76" s="36">
        <v>143.05000000000001</v>
      </c>
      <c r="D76" s="36">
        <v>86.05</v>
      </c>
      <c r="E76" s="34">
        <f t="shared" si="4"/>
        <v>-0.39846207619713392</v>
      </c>
      <c r="F76" s="34">
        <f t="shared" si="3"/>
        <v>2.4075152526093418E-4</v>
      </c>
      <c r="G76" s="12"/>
      <c r="H76" s="12"/>
      <c r="I76" s="12"/>
    </row>
    <row r="77" spans="1:9" ht="14">
      <c r="A77" s="49" t="s">
        <v>674</v>
      </c>
      <c r="B77" s="49" t="s">
        <v>736</v>
      </c>
      <c r="C77" s="36">
        <v>637.24</v>
      </c>
      <c r="D77" s="36">
        <v>1193.6400000000001</v>
      </c>
      <c r="E77" s="34">
        <f t="shared" si="4"/>
        <v>0.87314041805285303</v>
      </c>
      <c r="F77" s="34">
        <f t="shared" si="3"/>
        <v>3.3395775782970542E-3</v>
      </c>
      <c r="G77" s="12"/>
      <c r="H77" s="12"/>
      <c r="I77" s="12"/>
    </row>
    <row r="78" spans="1:9" ht="14">
      <c r="A78" s="49" t="s">
        <v>675</v>
      </c>
      <c r="B78" s="49" t="s">
        <v>737</v>
      </c>
      <c r="C78" s="36">
        <v>0</v>
      </c>
      <c r="D78" s="36">
        <v>0</v>
      </c>
      <c r="E78" s="34">
        <v>0</v>
      </c>
      <c r="F78" s="34">
        <f t="shared" si="3"/>
        <v>0</v>
      </c>
      <c r="G78" s="12"/>
      <c r="H78" s="12"/>
      <c r="I78" s="12"/>
    </row>
    <row r="79" spans="1:9" ht="14">
      <c r="A79" s="49" t="s">
        <v>676</v>
      </c>
      <c r="B79" s="49" t="s">
        <v>738</v>
      </c>
      <c r="C79" s="36">
        <v>2168.62</v>
      </c>
      <c r="D79" s="36">
        <v>76.5</v>
      </c>
      <c r="E79" s="34">
        <f t="shared" si="4"/>
        <v>-0.96472411026367</v>
      </c>
      <c r="F79" s="34">
        <f t="shared" si="3"/>
        <v>2.1403244256201586E-4</v>
      </c>
      <c r="G79" s="12"/>
      <c r="H79" s="12"/>
      <c r="I79" s="12"/>
    </row>
    <row r="80" spans="1:9" ht="14">
      <c r="A80" s="49" t="s">
        <v>677</v>
      </c>
      <c r="B80" s="49" t="s">
        <v>739</v>
      </c>
      <c r="C80" s="36">
        <v>0</v>
      </c>
      <c r="D80" s="36">
        <v>0</v>
      </c>
      <c r="E80" s="34">
        <v>0</v>
      </c>
      <c r="F80" s="34">
        <f t="shared" si="3"/>
        <v>0</v>
      </c>
      <c r="G80" s="12"/>
      <c r="H80" s="12"/>
      <c r="I80" s="12"/>
    </row>
    <row r="81" spans="1:9" ht="14">
      <c r="A81" s="49" t="s">
        <v>678</v>
      </c>
      <c r="B81" s="49" t="s">
        <v>740</v>
      </c>
      <c r="C81" s="36">
        <v>887.5</v>
      </c>
      <c r="D81" s="36">
        <v>791.72</v>
      </c>
      <c r="E81" s="34">
        <f t="shared" si="4"/>
        <v>-0.10792112676056335</v>
      </c>
      <c r="F81" s="34">
        <f t="shared" si="3"/>
        <v>2.2150819009829959E-3</v>
      </c>
      <c r="G81" s="12"/>
      <c r="H81" s="12"/>
      <c r="I81" s="12"/>
    </row>
    <row r="82" spans="1:9" ht="14">
      <c r="A82" s="49" t="s">
        <v>679</v>
      </c>
      <c r="B82" s="49" t="s">
        <v>741</v>
      </c>
      <c r="C82" s="36">
        <v>319.74</v>
      </c>
      <c r="D82" s="36">
        <v>56.49</v>
      </c>
      <c r="E82" s="34">
        <f t="shared" si="4"/>
        <v>-0.82332520172640267</v>
      </c>
      <c r="F82" s="34">
        <f t="shared" si="3"/>
        <v>1.5804827033108858E-4</v>
      </c>
      <c r="G82" s="12"/>
      <c r="H82" s="12"/>
      <c r="I82" s="12"/>
    </row>
    <row r="83" spans="1:9" ht="14">
      <c r="A83" s="49" t="s">
        <v>680</v>
      </c>
      <c r="B83" s="49" t="s">
        <v>742</v>
      </c>
      <c r="C83" s="36">
        <v>1160.22</v>
      </c>
      <c r="D83" s="36">
        <v>1618.51</v>
      </c>
      <c r="E83" s="34">
        <f t="shared" si="4"/>
        <v>0.39500267190705207</v>
      </c>
      <c r="F83" s="34">
        <f t="shared" si="3"/>
        <v>4.5282829883797164E-3</v>
      </c>
      <c r="G83" s="12"/>
      <c r="H83" s="12"/>
      <c r="I83" s="12"/>
    </row>
    <row r="84" spans="1:9" ht="14">
      <c r="A84" s="49" t="s">
        <v>681</v>
      </c>
      <c r="B84" s="49" t="s">
        <v>743</v>
      </c>
      <c r="C84" s="36">
        <v>0</v>
      </c>
      <c r="D84" s="36">
        <v>0</v>
      </c>
      <c r="E84" s="34">
        <v>0</v>
      </c>
      <c r="F84" s="34">
        <f t="shared" si="3"/>
        <v>0</v>
      </c>
      <c r="G84" s="12"/>
      <c r="H84" s="12"/>
      <c r="I84" s="12"/>
    </row>
    <row r="85" spans="1:9" ht="14">
      <c r="A85" s="49" t="s">
        <v>682</v>
      </c>
      <c r="B85" s="49" t="s">
        <v>744</v>
      </c>
      <c r="C85" s="36">
        <v>1099.76</v>
      </c>
      <c r="D85" s="36">
        <v>1133.19</v>
      </c>
      <c r="E85" s="34">
        <f t="shared" si="4"/>
        <v>3.0397541281734254E-2</v>
      </c>
      <c r="F85" s="34">
        <f t="shared" si="3"/>
        <v>3.170449981527461E-3</v>
      </c>
      <c r="G85" s="12"/>
      <c r="H85" s="12"/>
      <c r="I85" s="12"/>
    </row>
    <row r="86" spans="1:9" ht="14">
      <c r="A86" s="49" t="s">
        <v>683</v>
      </c>
      <c r="B86" s="49" t="s">
        <v>745</v>
      </c>
      <c r="C86" s="36">
        <v>0</v>
      </c>
      <c r="D86" s="36">
        <v>0</v>
      </c>
      <c r="E86" s="34">
        <v>0</v>
      </c>
      <c r="F86" s="34">
        <f t="shared" si="3"/>
        <v>0</v>
      </c>
      <c r="G86" s="12"/>
      <c r="H86" s="12"/>
      <c r="I86" s="12"/>
    </row>
    <row r="87" spans="1:9" ht="14">
      <c r="A87" s="49" t="s">
        <v>684</v>
      </c>
      <c r="B87" s="49" t="s">
        <v>746</v>
      </c>
      <c r="C87" s="36">
        <v>370.03</v>
      </c>
      <c r="D87" s="36">
        <v>207.77</v>
      </c>
      <c r="E87" s="34">
        <f t="shared" si="4"/>
        <v>-0.4385049860822095</v>
      </c>
      <c r="F87" s="34">
        <f t="shared" si="3"/>
        <v>5.8130092275960829E-4</v>
      </c>
      <c r="G87" s="12"/>
      <c r="H87" s="12"/>
      <c r="I87" s="12"/>
    </row>
    <row r="88" spans="1:9" ht="14">
      <c r="A88" s="49" t="s">
        <v>685</v>
      </c>
      <c r="B88" s="49" t="s">
        <v>747</v>
      </c>
      <c r="C88" s="36">
        <v>0</v>
      </c>
      <c r="D88" s="36">
        <v>0</v>
      </c>
      <c r="E88" s="34">
        <v>0</v>
      </c>
      <c r="F88" s="34">
        <f t="shared" si="3"/>
        <v>0</v>
      </c>
      <c r="G88" s="12"/>
      <c r="H88" s="12"/>
      <c r="I88" s="12"/>
    </row>
    <row r="89" spans="1:9" ht="14">
      <c r="A89" s="49" t="s">
        <v>686</v>
      </c>
      <c r="B89" s="49" t="s">
        <v>748</v>
      </c>
      <c r="C89" s="36">
        <v>2547.3000000000002</v>
      </c>
      <c r="D89" s="36">
        <v>5855.48</v>
      </c>
      <c r="E89" s="34">
        <f t="shared" si="4"/>
        <v>1.2987005849330659</v>
      </c>
      <c r="F89" s="34">
        <f t="shared" si="3"/>
        <v>1.638251878134683E-2</v>
      </c>
      <c r="G89" s="12"/>
      <c r="H89" s="12"/>
      <c r="I89" s="12"/>
    </row>
    <row r="90" spans="1:9" ht="14">
      <c r="A90" s="49" t="s">
        <v>687</v>
      </c>
      <c r="B90" s="49" t="s">
        <v>749</v>
      </c>
      <c r="C90" s="36">
        <v>1517.48</v>
      </c>
      <c r="D90" s="36">
        <v>2389.19</v>
      </c>
      <c r="E90" s="34">
        <f t="shared" si="4"/>
        <v>0.57444579170730425</v>
      </c>
      <c r="F90" s="34">
        <f>D90/$D$122</f>
        <v>6.6844989731338908E-3</v>
      </c>
      <c r="G90" s="12"/>
      <c r="H90" s="12"/>
      <c r="I90" s="12"/>
    </row>
    <row r="91" spans="1:9" ht="14">
      <c r="A91" s="49" t="s">
        <v>688</v>
      </c>
      <c r="B91" s="49" t="s">
        <v>750</v>
      </c>
      <c r="C91" s="36">
        <v>7159.02</v>
      </c>
      <c r="D91" s="36">
        <v>8383.0499999999993</v>
      </c>
      <c r="E91" s="34">
        <f t="shared" si="4"/>
        <v>0.17097731253719067</v>
      </c>
      <c r="F91" s="34">
        <f t="shared" ref="F91:F111" si="5">D91/$D$122</f>
        <v>2.3454178661692901E-2</v>
      </c>
      <c r="G91" s="12"/>
      <c r="H91" s="12"/>
      <c r="I91" s="12"/>
    </row>
    <row r="92" spans="1:9" ht="14">
      <c r="A92" s="49" t="s">
        <v>689</v>
      </c>
      <c r="B92" s="49" t="s">
        <v>751</v>
      </c>
      <c r="C92" s="36">
        <v>0</v>
      </c>
      <c r="D92" s="36">
        <v>510.13</v>
      </c>
      <c r="E92" s="56" t="s">
        <v>792</v>
      </c>
      <c r="F92" s="34">
        <f t="shared" si="5"/>
        <v>1.4272466656753092E-3</v>
      </c>
      <c r="G92" s="12"/>
      <c r="H92" s="12"/>
      <c r="I92" s="12"/>
    </row>
    <row r="93" spans="1:9" ht="14">
      <c r="A93" s="49" t="s">
        <v>690</v>
      </c>
      <c r="B93" s="49" t="s">
        <v>752</v>
      </c>
      <c r="C93" s="36">
        <v>0</v>
      </c>
      <c r="D93" s="36">
        <v>0</v>
      </c>
      <c r="E93" s="34">
        <v>0</v>
      </c>
      <c r="F93" s="34">
        <f t="shared" si="5"/>
        <v>0</v>
      </c>
      <c r="G93" s="12"/>
      <c r="H93" s="12"/>
      <c r="I93" s="12"/>
    </row>
    <row r="94" spans="1:9" ht="14">
      <c r="A94" s="49" t="s">
        <v>691</v>
      </c>
      <c r="B94" s="49" t="s">
        <v>753</v>
      </c>
      <c r="C94" s="36">
        <v>0</v>
      </c>
      <c r="D94" s="36">
        <v>0</v>
      </c>
      <c r="E94" s="34">
        <v>0</v>
      </c>
      <c r="F94" s="34">
        <f t="shared" si="5"/>
        <v>0</v>
      </c>
      <c r="G94" s="12"/>
      <c r="H94" s="12"/>
      <c r="I94" s="12"/>
    </row>
    <row r="95" spans="1:9" ht="14">
      <c r="A95" s="49" t="s">
        <v>692</v>
      </c>
      <c r="B95" s="49" t="s">
        <v>754</v>
      </c>
      <c r="C95" s="36">
        <v>2002.21</v>
      </c>
      <c r="D95" s="36">
        <v>1506.62</v>
      </c>
      <c r="E95" s="34">
        <f t="shared" si="4"/>
        <v>-0.24752148875492588</v>
      </c>
      <c r="F95" s="34">
        <f t="shared" si="5"/>
        <v>4.2152360602978342E-3</v>
      </c>
      <c r="G95" s="12"/>
      <c r="H95" s="12"/>
      <c r="I95" s="12"/>
    </row>
    <row r="96" spans="1:9" ht="14">
      <c r="A96" s="49" t="s">
        <v>693</v>
      </c>
      <c r="B96" s="49" t="s">
        <v>755</v>
      </c>
      <c r="C96" s="36">
        <v>0</v>
      </c>
      <c r="D96" s="36">
        <v>0</v>
      </c>
      <c r="E96" s="34">
        <v>0</v>
      </c>
      <c r="F96" s="34">
        <f t="shared" si="5"/>
        <v>0</v>
      </c>
      <c r="G96" s="12"/>
      <c r="H96" s="12"/>
      <c r="I96" s="12"/>
    </row>
    <row r="97" spans="1:9" ht="14">
      <c r="A97" s="49" t="s">
        <v>694</v>
      </c>
      <c r="B97" s="49" t="s">
        <v>756</v>
      </c>
      <c r="C97" s="36">
        <v>4990.2700000000004</v>
      </c>
      <c r="D97" s="36">
        <v>5499.6</v>
      </c>
      <c r="E97" s="34">
        <f>(D97-C97)/C97</f>
        <v>0.10206461774613396</v>
      </c>
      <c r="F97" s="34">
        <f t="shared" si="5"/>
        <v>1.5386834262928922E-2</v>
      </c>
      <c r="G97" s="12"/>
      <c r="H97" s="12"/>
      <c r="I97" s="12"/>
    </row>
    <row r="98" spans="1:9" ht="14">
      <c r="A98" s="49" t="s">
        <v>695</v>
      </c>
      <c r="B98" s="49" t="s">
        <v>757</v>
      </c>
      <c r="C98" s="36">
        <v>157</v>
      </c>
      <c r="D98" s="36">
        <v>0</v>
      </c>
      <c r="E98" s="34">
        <f t="shared" ref="E98:E118" si="6">(D98-C98)/C98</f>
        <v>-1</v>
      </c>
      <c r="F98" s="34">
        <f t="shared" si="5"/>
        <v>0</v>
      </c>
      <c r="G98" s="12"/>
      <c r="H98" s="12"/>
      <c r="I98" s="12"/>
    </row>
    <row r="99" spans="1:9" ht="14">
      <c r="A99" s="49" t="s">
        <v>696</v>
      </c>
      <c r="B99" s="49" t="s">
        <v>758</v>
      </c>
      <c r="C99" s="36">
        <v>388.49</v>
      </c>
      <c r="D99" s="36">
        <v>370.5</v>
      </c>
      <c r="E99" s="34">
        <f t="shared" si="6"/>
        <v>-4.6307498262503563E-2</v>
      </c>
      <c r="F99" s="34">
        <f t="shared" si="5"/>
        <v>1.0365884963297631E-3</v>
      </c>
      <c r="G99" s="12"/>
      <c r="H99" s="12"/>
      <c r="I99" s="12"/>
    </row>
    <row r="100" spans="1:9" ht="14">
      <c r="A100" s="49" t="s">
        <v>697</v>
      </c>
      <c r="B100" s="49" t="s">
        <v>759</v>
      </c>
      <c r="C100" s="36">
        <v>0</v>
      </c>
      <c r="D100" s="36">
        <v>0</v>
      </c>
      <c r="E100" s="34">
        <v>0</v>
      </c>
      <c r="F100" s="34">
        <f t="shared" si="5"/>
        <v>0</v>
      </c>
      <c r="G100" s="12"/>
      <c r="H100" s="12"/>
      <c r="I100" s="12"/>
    </row>
    <row r="101" spans="1:9" ht="14">
      <c r="A101" s="49" t="s">
        <v>698</v>
      </c>
      <c r="B101" s="49" t="s">
        <v>760</v>
      </c>
      <c r="C101" s="36">
        <v>244.8</v>
      </c>
      <c r="D101" s="36">
        <v>666.41</v>
      </c>
      <c r="E101" s="34">
        <f t="shared" si="6"/>
        <v>1.7222630718954246</v>
      </c>
      <c r="F101" s="34">
        <f t="shared" si="5"/>
        <v>1.864488366637294E-3</v>
      </c>
      <c r="G101" s="12"/>
      <c r="H101" s="12"/>
      <c r="I101" s="12"/>
    </row>
    <row r="102" spans="1:9" ht="14">
      <c r="A102" s="49" t="s">
        <v>699</v>
      </c>
      <c r="B102" s="49" t="s">
        <v>761</v>
      </c>
      <c r="C102" s="36">
        <v>0</v>
      </c>
      <c r="D102" s="36">
        <v>0</v>
      </c>
      <c r="E102" s="34">
        <v>0</v>
      </c>
      <c r="F102" s="34">
        <f t="shared" si="5"/>
        <v>0</v>
      </c>
      <c r="G102" s="12"/>
      <c r="H102" s="12"/>
      <c r="I102" s="12"/>
    </row>
    <row r="103" spans="1:9" ht="14">
      <c r="A103" s="49" t="s">
        <v>700</v>
      </c>
      <c r="B103" s="49" t="s">
        <v>762</v>
      </c>
      <c r="C103" s="36">
        <v>2362.41</v>
      </c>
      <c r="D103" s="36">
        <v>2089.41</v>
      </c>
      <c r="E103" s="34">
        <f t="shared" si="6"/>
        <v>-0.11555995783966375</v>
      </c>
      <c r="F103" s="34">
        <f t="shared" si="5"/>
        <v>5.8457715792614579E-3</v>
      </c>
      <c r="G103" s="12"/>
      <c r="H103" s="12"/>
      <c r="I103" s="12"/>
    </row>
    <row r="104" spans="1:9" ht="14">
      <c r="A104" s="49" t="s">
        <v>701</v>
      </c>
      <c r="B104" s="49" t="s">
        <v>763</v>
      </c>
      <c r="C104" s="36">
        <v>0</v>
      </c>
      <c r="D104" s="36">
        <v>0</v>
      </c>
      <c r="E104" s="34">
        <v>0</v>
      </c>
      <c r="F104" s="34">
        <f t="shared" si="5"/>
        <v>0</v>
      </c>
      <c r="G104" s="12"/>
      <c r="H104" s="12"/>
      <c r="I104" s="12"/>
    </row>
    <row r="105" spans="1:9" ht="14">
      <c r="A105" s="49" t="s">
        <v>770</v>
      </c>
      <c r="B105" s="49" t="s">
        <v>771</v>
      </c>
      <c r="C105" s="36">
        <v>708.22</v>
      </c>
      <c r="D105" s="36">
        <v>269.57</v>
      </c>
      <c r="E105" s="34">
        <f t="shared" si="6"/>
        <v>-0.61936968738527576</v>
      </c>
      <c r="F105" s="34">
        <f t="shared" si="5"/>
        <v>7.5420556263323675E-4</v>
      </c>
      <c r="G105" s="12"/>
      <c r="H105" s="12"/>
      <c r="I105" s="12"/>
    </row>
    <row r="106" spans="1:9" ht="14">
      <c r="A106" s="49" t="s">
        <v>772</v>
      </c>
      <c r="B106" s="49" t="s">
        <v>773</v>
      </c>
      <c r="C106" s="36">
        <v>0</v>
      </c>
      <c r="D106" s="36">
        <v>0</v>
      </c>
      <c r="E106" s="34">
        <v>0</v>
      </c>
      <c r="F106" s="34">
        <f t="shared" si="5"/>
        <v>0</v>
      </c>
      <c r="G106" s="12"/>
      <c r="H106" s="12"/>
      <c r="I106" s="12"/>
    </row>
    <row r="107" spans="1:9" ht="14">
      <c r="A107" s="49" t="s">
        <v>774</v>
      </c>
      <c r="B107" s="49" t="s">
        <v>775</v>
      </c>
      <c r="C107" s="36">
        <v>100000</v>
      </c>
      <c r="D107" s="36">
        <v>149863.35999999999</v>
      </c>
      <c r="E107" s="34">
        <f t="shared" si="6"/>
        <v>0.49863359999999984</v>
      </c>
      <c r="F107" s="34">
        <f t="shared" si="5"/>
        <v>0.4192891632856301</v>
      </c>
      <c r="G107" s="12"/>
      <c r="H107" s="12"/>
      <c r="I107" s="12"/>
    </row>
    <row r="108" spans="1:9" ht="14">
      <c r="A108" s="49" t="s">
        <v>702</v>
      </c>
      <c r="B108" s="49" t="s">
        <v>764</v>
      </c>
      <c r="C108" s="36">
        <v>6455.71</v>
      </c>
      <c r="D108" s="36">
        <v>6121.55</v>
      </c>
      <c r="E108" s="34">
        <f t="shared" si="6"/>
        <v>-5.1761928587250643E-2</v>
      </c>
      <c r="F108" s="34">
        <f t="shared" si="5"/>
        <v>1.7126932010006642E-2</v>
      </c>
      <c r="G108" s="12"/>
    </row>
    <row r="109" spans="1:9" ht="14">
      <c r="A109" s="49" t="s">
        <v>703</v>
      </c>
      <c r="B109" s="49" t="s">
        <v>765</v>
      </c>
      <c r="C109" s="36">
        <v>1118.1400000000001</v>
      </c>
      <c r="D109" s="36">
        <v>1155.6400000000001</v>
      </c>
      <c r="E109" s="34">
        <f t="shared" si="6"/>
        <v>3.3537839626522618E-2</v>
      </c>
      <c r="F109" s="34">
        <f t="shared" si="5"/>
        <v>3.2332608094427194E-3</v>
      </c>
      <c r="G109" s="12"/>
    </row>
    <row r="110" spans="1:9" ht="14">
      <c r="A110" s="49" t="s">
        <v>776</v>
      </c>
      <c r="B110" s="49" t="s">
        <v>777</v>
      </c>
      <c r="C110" s="36">
        <v>166</v>
      </c>
      <c r="D110" s="36">
        <v>38.130000000000003</v>
      </c>
      <c r="E110" s="34">
        <f t="shared" si="6"/>
        <v>-0.77030120481927711</v>
      </c>
      <c r="F110" s="34">
        <f t="shared" si="5"/>
        <v>1.0668048411620477E-4</v>
      </c>
      <c r="G110" s="12"/>
    </row>
    <row r="111" spans="1:9" ht="14">
      <c r="A111" s="49" t="s">
        <v>778</v>
      </c>
      <c r="B111" s="49" t="s">
        <v>779</v>
      </c>
      <c r="C111" s="36">
        <v>5307</v>
      </c>
      <c r="D111" s="36">
        <v>332.5</v>
      </c>
      <c r="E111" s="34">
        <f t="shared" si="6"/>
        <v>-0.93734690032033163</v>
      </c>
      <c r="F111" s="34">
        <f t="shared" si="5"/>
        <v>9.3027172747542841E-4</v>
      </c>
      <c r="G111" s="12"/>
    </row>
    <row r="112" spans="1:9" ht="14">
      <c r="A112" s="49" t="s">
        <v>780</v>
      </c>
      <c r="B112" s="49" t="s">
        <v>781</v>
      </c>
      <c r="C112" s="36">
        <v>0</v>
      </c>
      <c r="D112" s="36">
        <v>0</v>
      </c>
      <c r="E112" s="34">
        <v>0</v>
      </c>
      <c r="F112" s="34">
        <f>D112/$D$122</f>
        <v>0</v>
      </c>
      <c r="G112" s="12"/>
    </row>
    <row r="113" spans="1:9" ht="14">
      <c r="A113" s="49" t="s">
        <v>782</v>
      </c>
      <c r="B113" s="49" t="s">
        <v>783</v>
      </c>
      <c r="C113" s="36">
        <v>10700.22</v>
      </c>
      <c r="D113" s="36">
        <v>7193.04</v>
      </c>
      <c r="E113" s="34">
        <f t="shared" si="6"/>
        <v>-0.32776709263921672</v>
      </c>
      <c r="F113" s="34">
        <f t="shared" ref="F113:F121" si="7">D113/$D$122</f>
        <v>2.0124757132631146E-2</v>
      </c>
      <c r="G113" s="12"/>
    </row>
    <row r="114" spans="1:9" ht="14">
      <c r="A114" s="49" t="s">
        <v>784</v>
      </c>
      <c r="B114" s="49" t="s">
        <v>785</v>
      </c>
      <c r="C114" s="36">
        <v>0</v>
      </c>
      <c r="D114" s="36">
        <v>0</v>
      </c>
      <c r="E114" s="34">
        <v>0</v>
      </c>
      <c r="F114" s="34">
        <f t="shared" si="7"/>
        <v>0</v>
      </c>
      <c r="G114" s="12"/>
    </row>
    <row r="115" spans="1:9" ht="14">
      <c r="A115" s="49" t="s">
        <v>786</v>
      </c>
      <c r="B115" s="49" t="s">
        <v>787</v>
      </c>
      <c r="C115" s="36">
        <v>355.7</v>
      </c>
      <c r="D115" s="36">
        <v>579.54999999999995</v>
      </c>
      <c r="E115" s="34">
        <f t="shared" si="6"/>
        <v>0.62932246274950798</v>
      </c>
      <c r="F115" s="34">
        <f t="shared" si="7"/>
        <v>1.6214706155139383E-3</v>
      </c>
      <c r="G115" s="12"/>
    </row>
    <row r="116" spans="1:9" ht="14">
      <c r="A116" s="49" t="s">
        <v>704</v>
      </c>
      <c r="B116" s="49" t="s">
        <v>766</v>
      </c>
      <c r="C116" s="36">
        <v>38673.32</v>
      </c>
      <c r="D116" s="36">
        <v>26495.84</v>
      </c>
      <c r="E116" s="34">
        <f t="shared" si="6"/>
        <v>-0.31488064639911961</v>
      </c>
      <c r="F116" s="34">
        <f t="shared" si="7"/>
        <v>7.4130318338985132E-2</v>
      </c>
      <c r="G116" s="12"/>
    </row>
    <row r="117" spans="1:9" ht="14">
      <c r="A117" s="49" t="s">
        <v>705</v>
      </c>
      <c r="B117" s="49" t="s">
        <v>767</v>
      </c>
      <c r="C117" s="36">
        <v>2004.8</v>
      </c>
      <c r="D117" s="36">
        <v>4017.08</v>
      </c>
      <c r="E117" s="34">
        <f t="shared" si="6"/>
        <v>1.0037310454908219</v>
      </c>
      <c r="F117" s="34">
        <f t="shared" si="7"/>
        <v>1.1239025416562387E-2</v>
      </c>
      <c r="G117" s="12"/>
    </row>
    <row r="118" spans="1:9" ht="14">
      <c r="A118" s="49" t="s">
        <v>706</v>
      </c>
      <c r="B118" s="49" t="s">
        <v>768</v>
      </c>
      <c r="C118" s="36">
        <v>1413.78</v>
      </c>
      <c r="D118" s="36">
        <v>920.02</v>
      </c>
      <c r="E118" s="34">
        <f t="shared" si="6"/>
        <v>-0.34924811498252911</v>
      </c>
      <c r="F118" s="34">
        <f t="shared" si="7"/>
        <v>2.57404088635171E-3</v>
      </c>
      <c r="G118" s="12"/>
    </row>
    <row r="119" spans="1:9" ht="14">
      <c r="A119" s="49" t="s">
        <v>707</v>
      </c>
      <c r="B119" s="50" t="s">
        <v>769</v>
      </c>
      <c r="C119" s="38">
        <v>0</v>
      </c>
      <c r="D119" s="38">
        <v>0</v>
      </c>
      <c r="E119" s="34">
        <v>0</v>
      </c>
      <c r="F119" s="34">
        <f t="shared" si="7"/>
        <v>0</v>
      </c>
      <c r="G119" s="12"/>
    </row>
    <row r="120" spans="1:9" ht="14">
      <c r="A120" s="49" t="s">
        <v>788</v>
      </c>
      <c r="B120" s="50" t="s">
        <v>789</v>
      </c>
      <c r="C120" s="38">
        <v>0</v>
      </c>
      <c r="D120" s="38">
        <v>0</v>
      </c>
      <c r="E120" s="34">
        <v>0</v>
      </c>
      <c r="F120" s="34">
        <f t="shared" si="7"/>
        <v>0</v>
      </c>
      <c r="G120" s="12"/>
    </row>
    <row r="121" spans="1:9" ht="15" thickBot="1">
      <c r="A121" s="49" t="s">
        <v>790</v>
      </c>
      <c r="B121" s="50" t="s">
        <v>791</v>
      </c>
      <c r="C121" s="38">
        <v>0</v>
      </c>
      <c r="D121" s="38">
        <v>0</v>
      </c>
      <c r="E121" s="34">
        <v>0</v>
      </c>
      <c r="F121" s="34">
        <f t="shared" si="7"/>
        <v>0</v>
      </c>
      <c r="G121" s="12"/>
    </row>
    <row r="122" spans="1:9" ht="15" thickBot="1">
      <c r="A122" s="94"/>
      <c r="B122" s="94" t="s">
        <v>7</v>
      </c>
      <c r="C122" s="40">
        <f>SUM(C4:C121)</f>
        <v>311594.41999999993</v>
      </c>
      <c r="D122" s="40">
        <f>SUM(D4:D121)</f>
        <v>357422.45000000007</v>
      </c>
      <c r="E122" s="41">
        <f>(D122-C122)/C122</f>
        <v>0.14707590078153568</v>
      </c>
      <c r="F122" s="41">
        <f>SUM(F4:F121)</f>
        <v>0.99999999999999967</v>
      </c>
      <c r="G122" s="12"/>
    </row>
    <row r="123" spans="1:9" ht="14">
      <c r="A123" s="12"/>
      <c r="B123" s="12"/>
      <c r="C123" s="12"/>
      <c r="D123" s="12"/>
      <c r="E123" s="12"/>
      <c r="F123" s="53"/>
      <c r="G123" s="12"/>
    </row>
    <row r="124" spans="1:9" ht="14">
      <c r="A124" s="12"/>
      <c r="B124" s="12"/>
      <c r="C124" s="12"/>
      <c r="D124" s="12"/>
      <c r="E124" s="12"/>
      <c r="F124" s="12"/>
      <c r="G124" s="12"/>
    </row>
    <row r="125" spans="1:9" ht="14">
      <c r="A125" s="12"/>
      <c r="B125" s="12"/>
      <c r="C125" s="12"/>
      <c r="D125" s="12"/>
      <c r="E125" s="12"/>
      <c r="F125" s="12"/>
      <c r="G125" s="12"/>
    </row>
    <row r="126" spans="1:9" ht="14">
      <c r="A126" s="12"/>
      <c r="B126" s="12"/>
      <c r="C126" s="12"/>
      <c r="D126" s="54"/>
      <c r="E126" s="12"/>
      <c r="F126" s="12"/>
      <c r="G126" s="12"/>
    </row>
    <row r="127" spans="1:9" ht="14">
      <c r="A127" s="12"/>
      <c r="B127" s="12"/>
      <c r="C127" s="12"/>
      <c r="D127" s="54"/>
      <c r="E127" s="12"/>
      <c r="F127" s="12"/>
      <c r="G127" s="12"/>
      <c r="H127" s="12"/>
      <c r="I127" s="12"/>
    </row>
    <row r="128" spans="1:9" ht="14">
      <c r="A128" s="12"/>
      <c r="B128" s="12"/>
      <c r="C128" s="12"/>
      <c r="D128" s="54"/>
      <c r="E128" s="12"/>
      <c r="F128" s="12"/>
      <c r="G128" s="12"/>
      <c r="H128" s="12"/>
      <c r="I128" s="12"/>
    </row>
    <row r="129" spans="1:9" ht="14">
      <c r="A129" s="12"/>
      <c r="B129" s="12"/>
      <c r="C129" s="12"/>
      <c r="D129" s="54"/>
      <c r="E129" s="12"/>
      <c r="F129" s="12"/>
      <c r="G129" s="12"/>
      <c r="H129" s="12"/>
      <c r="I129" s="12"/>
    </row>
    <row r="130" spans="1:9" ht="14">
      <c r="A130" s="12"/>
      <c r="B130" s="12"/>
      <c r="C130" s="12"/>
      <c r="D130" s="54"/>
      <c r="E130" s="12"/>
      <c r="F130" s="12"/>
      <c r="G130" s="12"/>
      <c r="H130" s="12"/>
      <c r="I130" s="12"/>
    </row>
    <row r="131" spans="1:9" ht="14">
      <c r="A131" s="12"/>
      <c r="B131" s="12"/>
      <c r="C131" s="12"/>
      <c r="D131" s="12"/>
      <c r="E131" s="12"/>
      <c r="F131" s="12"/>
      <c r="G131" s="12"/>
      <c r="H131" s="12"/>
      <c r="I131" s="12"/>
    </row>
    <row r="132" spans="1:9" ht="14">
      <c r="A132" s="12"/>
      <c r="B132" s="12"/>
      <c r="C132" s="12"/>
      <c r="D132" s="12"/>
      <c r="E132" s="12"/>
      <c r="F132" s="12"/>
      <c r="G132" s="12"/>
      <c r="H132" s="12"/>
      <c r="I132" s="12"/>
    </row>
    <row r="133" spans="1:9" ht="14">
      <c r="A133" s="12"/>
      <c r="B133" s="12"/>
      <c r="C133" s="12"/>
      <c r="D133" s="12"/>
      <c r="E133" s="12"/>
      <c r="F133" s="12"/>
      <c r="G133" s="12"/>
      <c r="H133" s="12"/>
      <c r="I133" s="12"/>
    </row>
    <row r="134" spans="1:9" ht="14">
      <c r="A134" s="12"/>
      <c r="B134" s="12"/>
      <c r="C134" s="12"/>
      <c r="D134" s="12"/>
      <c r="E134" s="12"/>
      <c r="F134" s="12"/>
      <c r="G134" s="12"/>
      <c r="H134" s="12"/>
      <c r="I134" s="12"/>
    </row>
    <row r="135" spans="1:9" ht="14">
      <c r="A135" s="12"/>
      <c r="B135" s="12"/>
      <c r="C135" s="12"/>
      <c r="D135" s="12"/>
      <c r="E135" s="12"/>
      <c r="F135" s="12"/>
      <c r="G135" s="12"/>
      <c r="H135" s="12"/>
      <c r="I135" s="12"/>
    </row>
    <row r="136" spans="1:9" ht="14">
      <c r="A136" s="12"/>
      <c r="B136" s="12"/>
      <c r="C136" s="12"/>
      <c r="D136" s="12"/>
      <c r="E136" s="12"/>
      <c r="F136" s="12"/>
      <c r="G136" s="12"/>
      <c r="H136" s="12"/>
      <c r="I136" s="12"/>
    </row>
    <row r="137" spans="1:9" ht="14">
      <c r="A137" s="12"/>
      <c r="B137" s="12"/>
      <c r="C137" s="12"/>
      <c r="D137" s="12"/>
      <c r="E137" s="12"/>
      <c r="F137" s="12"/>
      <c r="G137" s="12"/>
      <c r="H137" s="12"/>
      <c r="I137" s="12"/>
    </row>
    <row r="138" spans="1:9" ht="14">
      <c r="A138" s="12"/>
      <c r="B138" s="12"/>
      <c r="C138" s="12"/>
      <c r="D138" s="12"/>
      <c r="E138" s="12"/>
      <c r="F138" s="12"/>
      <c r="G138" s="12"/>
      <c r="H138" s="12"/>
      <c r="I138" s="12"/>
    </row>
    <row r="139" spans="1:9" ht="14">
      <c r="A139" s="12"/>
      <c r="B139" s="12"/>
      <c r="C139" s="12"/>
      <c r="D139" s="12"/>
      <c r="E139" s="12"/>
      <c r="F139" s="12"/>
      <c r="G139" s="12"/>
      <c r="H139" s="12"/>
      <c r="I139" s="12"/>
    </row>
    <row r="140" spans="1:9" ht="14">
      <c r="A140" s="12"/>
      <c r="B140" s="12"/>
      <c r="C140" s="12"/>
      <c r="D140" s="12"/>
      <c r="E140" s="12"/>
      <c r="F140" s="12"/>
      <c r="G140" s="12"/>
      <c r="H140" s="12"/>
      <c r="I140" s="12"/>
    </row>
    <row r="141" spans="1:9" ht="14">
      <c r="A141" s="12"/>
      <c r="B141" s="12"/>
      <c r="C141" s="12"/>
      <c r="D141" s="12"/>
      <c r="E141" s="12"/>
      <c r="F141" s="12"/>
      <c r="G141" s="12"/>
      <c r="H141" s="12"/>
      <c r="I141" s="12"/>
    </row>
    <row r="142" spans="1:9" ht="14">
      <c r="A142" s="12"/>
      <c r="B142" s="12"/>
      <c r="C142" s="12"/>
      <c r="D142" s="12"/>
      <c r="E142" s="12"/>
      <c r="F142" s="12"/>
      <c r="G142" s="12"/>
      <c r="H142" s="12"/>
      <c r="I142" s="12"/>
    </row>
    <row r="143" spans="1:9" ht="14">
      <c r="A143" s="12"/>
      <c r="B143" s="12"/>
      <c r="C143" s="12"/>
      <c r="D143" s="12"/>
      <c r="E143" s="12"/>
      <c r="F143" s="12"/>
      <c r="G143" s="12"/>
      <c r="H143" s="12"/>
      <c r="I143" s="12"/>
    </row>
    <row r="144" spans="1:9" ht="14">
      <c r="A144" s="12"/>
      <c r="B144" s="12"/>
      <c r="C144" s="12"/>
      <c r="D144" s="12"/>
      <c r="E144" s="12"/>
      <c r="F144" s="12"/>
      <c r="G144" s="12"/>
      <c r="H144" s="12"/>
      <c r="I144" s="12"/>
    </row>
    <row r="145" spans="1:9" ht="14">
      <c r="A145" s="12"/>
      <c r="B145" s="12"/>
      <c r="C145" s="12"/>
      <c r="D145" s="12"/>
      <c r="E145" s="12"/>
      <c r="F145" s="12"/>
      <c r="G145" s="12"/>
      <c r="H145" s="12"/>
      <c r="I145" s="12"/>
    </row>
    <row r="146" spans="1:9" ht="14">
      <c r="A146" s="12"/>
      <c r="B146" s="12"/>
      <c r="C146" s="12"/>
      <c r="D146" s="12"/>
      <c r="E146" s="12"/>
      <c r="F146" s="12"/>
      <c r="G146" s="12"/>
      <c r="H146" s="12"/>
      <c r="I146" s="12"/>
    </row>
    <row r="147" spans="1:9" ht="14">
      <c r="A147" s="12"/>
      <c r="B147" s="12"/>
      <c r="C147" s="12"/>
      <c r="D147" s="12"/>
      <c r="E147" s="12"/>
      <c r="F147" s="12"/>
      <c r="G147" s="12"/>
      <c r="H147" s="12"/>
      <c r="I147" s="12"/>
    </row>
    <row r="148" spans="1:9" ht="14">
      <c r="A148" s="12"/>
      <c r="B148" s="12"/>
      <c r="C148" s="12"/>
      <c r="D148" s="12"/>
      <c r="E148" s="12"/>
      <c r="F148" s="12"/>
      <c r="G148" s="12"/>
      <c r="H148" s="12"/>
      <c r="I148" s="12"/>
    </row>
    <row r="149" spans="1:9" ht="14">
      <c r="A149" s="12"/>
      <c r="B149" s="12"/>
      <c r="C149" s="12"/>
      <c r="D149" s="12"/>
      <c r="E149" s="12"/>
      <c r="F149" s="12"/>
      <c r="G149" s="12"/>
      <c r="H149" s="12"/>
      <c r="I149" s="12"/>
    </row>
    <row r="150" spans="1:9" ht="14">
      <c r="A150" s="12"/>
      <c r="B150" s="12"/>
      <c r="C150" s="12"/>
      <c r="D150" s="12"/>
      <c r="E150" s="12"/>
      <c r="F150" s="12"/>
      <c r="G150" s="12"/>
      <c r="H150" s="12"/>
      <c r="I150" s="12"/>
    </row>
    <row r="151" spans="1:9" ht="14">
      <c r="A151" s="12"/>
      <c r="B151" s="12"/>
      <c r="C151" s="12"/>
      <c r="D151" s="12"/>
      <c r="E151" s="12"/>
      <c r="F151" s="12"/>
      <c r="G151" s="12"/>
      <c r="H151" s="12"/>
      <c r="I151" s="12"/>
    </row>
    <row r="152" spans="1:9" ht="14">
      <c r="A152" s="12"/>
      <c r="B152" s="12"/>
      <c r="C152" s="12"/>
      <c r="D152" s="12"/>
      <c r="E152" s="12"/>
      <c r="F152" s="12"/>
      <c r="G152" s="12"/>
      <c r="H152" s="12"/>
      <c r="I152" s="12"/>
    </row>
    <row r="153" spans="1:9" ht="14">
      <c r="A153" s="12"/>
      <c r="B153" s="12"/>
      <c r="C153" s="12"/>
      <c r="D153" s="12"/>
      <c r="E153" s="12"/>
      <c r="F153" s="12"/>
      <c r="G153" s="12"/>
      <c r="H153" s="12"/>
      <c r="I153" s="12"/>
    </row>
    <row r="154" spans="1:9" ht="14">
      <c r="A154" s="12"/>
      <c r="B154" s="12"/>
      <c r="C154" s="12"/>
      <c r="D154" s="12"/>
      <c r="E154" s="12"/>
      <c r="F154" s="12"/>
      <c r="G154" s="12"/>
      <c r="H154" s="12"/>
      <c r="I154" s="12"/>
    </row>
    <row r="155" spans="1:9" ht="14">
      <c r="A155" s="12"/>
      <c r="B155" s="12"/>
      <c r="C155" s="12"/>
      <c r="D155" s="12"/>
      <c r="E155" s="12"/>
      <c r="F155" s="12"/>
      <c r="G155" s="12"/>
      <c r="H155" s="12"/>
      <c r="I155" s="12"/>
    </row>
    <row r="156" spans="1:9" ht="14">
      <c r="A156" s="12"/>
      <c r="B156" s="12"/>
      <c r="C156" s="12"/>
      <c r="D156" s="12"/>
      <c r="E156" s="12"/>
      <c r="F156" s="12"/>
      <c r="G156" s="12"/>
      <c r="H156" s="12"/>
      <c r="I156" s="12"/>
    </row>
    <row r="157" spans="1:9" ht="14">
      <c r="A157" s="12"/>
      <c r="B157" s="12"/>
      <c r="C157" s="12"/>
      <c r="D157" s="12"/>
      <c r="E157" s="12"/>
      <c r="F157" s="12"/>
      <c r="G157" s="12"/>
      <c r="H157" s="12"/>
      <c r="I157" s="12"/>
    </row>
    <row r="158" spans="1:9" ht="14">
      <c r="A158" s="12"/>
      <c r="B158" s="12"/>
      <c r="C158" s="12"/>
      <c r="D158" s="12"/>
      <c r="E158" s="12"/>
      <c r="F158" s="12"/>
      <c r="G158" s="12"/>
      <c r="H158" s="12"/>
      <c r="I158" s="12"/>
    </row>
    <row r="159" spans="1:9" ht="14">
      <c r="A159" s="12"/>
      <c r="B159" s="12"/>
      <c r="C159" s="12"/>
      <c r="D159" s="12"/>
      <c r="E159" s="12"/>
      <c r="F159" s="12"/>
      <c r="G159" s="12"/>
      <c r="H159" s="12"/>
      <c r="I159" s="12"/>
    </row>
    <row r="160" spans="1:9" ht="14">
      <c r="A160" s="12"/>
      <c r="B160" s="12"/>
      <c r="C160" s="12"/>
      <c r="D160" s="12"/>
      <c r="E160" s="12"/>
      <c r="F160" s="12"/>
      <c r="G160" s="12"/>
      <c r="H160" s="12"/>
      <c r="I160" s="12"/>
    </row>
    <row r="161" spans="1:9" ht="14">
      <c r="A161" s="12"/>
      <c r="B161" s="12"/>
      <c r="C161" s="12"/>
      <c r="D161" s="12"/>
      <c r="E161" s="12"/>
      <c r="F161" s="12"/>
      <c r="G161" s="12"/>
      <c r="H161" s="12"/>
      <c r="I161" s="12"/>
    </row>
    <row r="162" spans="1:9" ht="14">
      <c r="A162" s="12"/>
      <c r="B162" s="12"/>
      <c r="C162" s="12"/>
      <c r="D162" s="12"/>
      <c r="E162" s="12"/>
      <c r="F162" s="12"/>
      <c r="G162" s="12"/>
      <c r="H162" s="12"/>
      <c r="I162" s="12"/>
    </row>
    <row r="163" spans="1:9" ht="14">
      <c r="A163" s="12"/>
      <c r="B163" s="12"/>
      <c r="C163" s="12"/>
      <c r="D163" s="12"/>
      <c r="E163" s="12"/>
      <c r="F163" s="12"/>
      <c r="G163" s="12"/>
      <c r="H163" s="12"/>
      <c r="I163" s="12"/>
    </row>
    <row r="164" spans="1:9" ht="14">
      <c r="A164" s="12"/>
      <c r="B164" s="12"/>
      <c r="C164" s="12"/>
      <c r="D164" s="12"/>
      <c r="E164" s="12"/>
      <c r="F164" s="12"/>
      <c r="G164" s="12"/>
      <c r="H164" s="12"/>
      <c r="I164" s="12"/>
    </row>
    <row r="165" spans="1:9" ht="14">
      <c r="A165" s="12"/>
      <c r="B165" s="12"/>
      <c r="C165" s="12"/>
      <c r="D165" s="12"/>
      <c r="E165" s="12"/>
      <c r="F165" s="12"/>
      <c r="G165" s="12"/>
      <c r="H165" s="12"/>
      <c r="I165" s="12"/>
    </row>
  </sheetData>
  <phoneticPr fontId="2" type="noConversion"/>
  <pageMargins left="0.75" right="0.75" top="1" bottom="1" header="0.5" footer="0.5"/>
  <pageSetup scale="91" fitToHeight="8" orientation="portrait"/>
  <headerFooter alignWithMargins="0">
    <oddFooter>&amp;L2009-2010&amp;C&amp;A&amp;RPage &amp;P of &amp;N</oddFooter>
  </headerFooter>
  <ignoredErrors>
    <ignoredError sqref="E122" formula="1"/>
  </ignoredErrors>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09"/>
  <sheetViews>
    <sheetView workbookViewId="0"/>
  </sheetViews>
  <sheetFormatPr baseColWidth="10" defaultColWidth="8.83203125" defaultRowHeight="12" x14ac:dyDescent="0"/>
  <cols>
    <col min="2" max="2" width="27.83203125" bestFit="1" customWidth="1"/>
    <col min="3" max="4" width="13.5" bestFit="1" customWidth="1"/>
    <col min="6" max="6" width="13.5" customWidth="1"/>
    <col min="8" max="9" width="13.5" bestFit="1" customWidth="1"/>
  </cols>
  <sheetData>
    <row r="1" spans="1:9" ht="18">
      <c r="A1" s="213" t="s">
        <v>877</v>
      </c>
      <c r="B1" s="128"/>
      <c r="C1" s="12"/>
      <c r="D1" s="12"/>
      <c r="E1" s="12"/>
      <c r="F1" s="12"/>
      <c r="G1" s="12"/>
      <c r="H1" s="12"/>
      <c r="I1" s="12"/>
    </row>
    <row r="2" spans="1:9" ht="14">
      <c r="A2" s="12"/>
      <c r="B2" s="12"/>
      <c r="C2" s="12"/>
      <c r="D2" s="12"/>
      <c r="E2" s="12"/>
      <c r="F2" s="12"/>
      <c r="G2" s="12"/>
      <c r="H2" s="12"/>
      <c r="I2" s="12"/>
    </row>
    <row r="3" spans="1:9" ht="29" thickBot="1">
      <c r="A3" s="30" t="s">
        <v>12</v>
      </c>
      <c r="B3" s="30" t="s">
        <v>11</v>
      </c>
      <c r="C3" s="30" t="s">
        <v>5</v>
      </c>
      <c r="D3" s="30" t="s">
        <v>871</v>
      </c>
      <c r="E3" s="30" t="s">
        <v>27</v>
      </c>
      <c r="F3" s="30" t="s">
        <v>577</v>
      </c>
      <c r="G3" s="12"/>
      <c r="H3" s="12"/>
      <c r="I3" s="12"/>
    </row>
    <row r="4" spans="1:9" ht="14">
      <c r="A4" s="47" t="s">
        <v>26</v>
      </c>
      <c r="B4" s="47" t="s">
        <v>84</v>
      </c>
      <c r="C4" s="48">
        <v>323.45999999999998</v>
      </c>
      <c r="D4" s="48">
        <v>194.01</v>
      </c>
      <c r="E4" s="34">
        <f>(D4-C4)/C4</f>
        <v>-0.4002040437766648</v>
      </c>
      <c r="F4" s="34">
        <f>D4/$D$66</f>
        <v>7.0770768890643702E-5</v>
      </c>
      <c r="G4" s="12"/>
      <c r="H4" s="12"/>
      <c r="I4" s="12"/>
    </row>
    <row r="5" spans="1:9" ht="14">
      <c r="A5" s="49" t="s">
        <v>28</v>
      </c>
      <c r="B5" s="49" t="s">
        <v>85</v>
      </c>
      <c r="C5" s="36">
        <v>4165.3100000000004</v>
      </c>
      <c r="D5" s="36">
        <v>4618.68</v>
      </c>
      <c r="E5" s="33">
        <f t="shared" ref="E5:E65" si="0">(D5-C5)/C5</f>
        <v>0.10884423968444122</v>
      </c>
      <c r="F5" s="33">
        <f>D5/$D$66</f>
        <v>1.684797355083956E-3</v>
      </c>
      <c r="G5" s="12"/>
      <c r="H5" s="12"/>
      <c r="I5" s="12"/>
    </row>
    <row r="6" spans="1:9" ht="14">
      <c r="A6" s="49" t="s">
        <v>29</v>
      </c>
      <c r="B6" s="49" t="s">
        <v>86</v>
      </c>
      <c r="C6" s="36">
        <v>95064.4</v>
      </c>
      <c r="D6" s="36">
        <v>91371.22</v>
      </c>
      <c r="E6" s="33">
        <f t="shared" si="0"/>
        <v>-3.8849243249838988E-2</v>
      </c>
      <c r="F6" s="33">
        <f t="shared" ref="F6:F65" si="1">D6/$D$66</f>
        <v>3.3330299952972334E-2</v>
      </c>
      <c r="G6" s="12"/>
      <c r="H6" s="12"/>
      <c r="I6" s="12"/>
    </row>
    <row r="7" spans="1:9" ht="14">
      <c r="A7" s="49" t="s">
        <v>30</v>
      </c>
      <c r="B7" s="49" t="s">
        <v>87</v>
      </c>
      <c r="C7" s="36">
        <v>26501.46</v>
      </c>
      <c r="D7" s="36">
        <v>25393.74</v>
      </c>
      <c r="E7" s="33">
        <f t="shared" si="0"/>
        <v>-4.1798451858878628E-2</v>
      </c>
      <c r="F7" s="33">
        <f t="shared" si="1"/>
        <v>9.2631024421890359E-3</v>
      </c>
      <c r="G7" s="12"/>
      <c r="H7" s="12"/>
      <c r="I7" s="12"/>
    </row>
    <row r="8" spans="1:9" ht="14">
      <c r="A8" s="49" t="s">
        <v>31</v>
      </c>
      <c r="B8" s="49" t="s">
        <v>88</v>
      </c>
      <c r="C8" s="36">
        <v>30048.94</v>
      </c>
      <c r="D8" s="36">
        <v>27664.5</v>
      </c>
      <c r="E8" s="33">
        <f t="shared" si="0"/>
        <v>-7.9351883959966604E-2</v>
      </c>
      <c r="F8" s="33">
        <f t="shared" si="1"/>
        <v>1.0091427946885279E-2</v>
      </c>
      <c r="G8" s="12"/>
      <c r="H8" s="12"/>
      <c r="I8" s="12"/>
    </row>
    <row r="9" spans="1:9" ht="14">
      <c r="A9" s="49" t="s">
        <v>32</v>
      </c>
      <c r="B9" s="49" t="s">
        <v>874</v>
      </c>
      <c r="C9" s="36">
        <v>14704.52</v>
      </c>
      <c r="D9" s="36">
        <v>14006.77</v>
      </c>
      <c r="E9" s="33">
        <f t="shared" si="0"/>
        <v>-4.7451395897315923E-2</v>
      </c>
      <c r="F9" s="33">
        <f t="shared" si="1"/>
        <v>5.1093752001154661E-3</v>
      </c>
      <c r="G9" s="12"/>
      <c r="H9" s="12"/>
      <c r="I9" s="12"/>
    </row>
    <row r="10" spans="1:9" ht="14">
      <c r="A10" s="49" t="s">
        <v>25</v>
      </c>
      <c r="B10" s="49" t="s">
        <v>873</v>
      </c>
      <c r="C10" s="36">
        <v>4194.3</v>
      </c>
      <c r="D10" s="36">
        <v>4460.97</v>
      </c>
      <c r="E10" s="33">
        <f>(D10-C10)/C10</f>
        <v>6.3579143122809545E-2</v>
      </c>
      <c r="F10" s="33">
        <f>D10/$D$66</f>
        <v>1.6272680629766242E-3</v>
      </c>
      <c r="G10" s="12"/>
      <c r="H10" s="12"/>
      <c r="I10" s="12"/>
    </row>
    <row r="11" spans="1:9" ht="14">
      <c r="A11" s="49" t="s">
        <v>375</v>
      </c>
      <c r="B11" s="49" t="s">
        <v>376</v>
      </c>
      <c r="C11" s="36">
        <v>623.61</v>
      </c>
      <c r="D11" s="36">
        <v>616.07000000000005</v>
      </c>
      <c r="E11" s="33">
        <f>(D11-C11)/C11</f>
        <v>-1.2090890139670568E-2</v>
      </c>
      <c r="F11" s="33">
        <f>D11/$D$66</f>
        <v>2.2472938297231519E-4</v>
      </c>
      <c r="G11" s="12"/>
      <c r="H11" s="12"/>
      <c r="I11" s="12"/>
    </row>
    <row r="12" spans="1:9" ht="14">
      <c r="A12" s="49" t="s">
        <v>33</v>
      </c>
      <c r="B12" s="49" t="s">
        <v>89</v>
      </c>
      <c r="C12" s="36">
        <v>11915.13</v>
      </c>
      <c r="D12" s="36">
        <v>12499.92</v>
      </c>
      <c r="E12" s="33">
        <f t="shared" si="0"/>
        <v>4.9079615581198097E-2</v>
      </c>
      <c r="F12" s="33">
        <f t="shared" si="1"/>
        <v>4.5597080020181183E-3</v>
      </c>
      <c r="G12" s="12"/>
      <c r="H12" s="12"/>
      <c r="I12" s="12"/>
    </row>
    <row r="13" spans="1:9" ht="14">
      <c r="A13" s="49" t="s">
        <v>34</v>
      </c>
      <c r="B13" s="49" t="s">
        <v>90</v>
      </c>
      <c r="C13" s="36">
        <v>19243.25</v>
      </c>
      <c r="D13" s="36">
        <v>19982.02</v>
      </c>
      <c r="E13" s="33">
        <f t="shared" si="0"/>
        <v>3.8391124160419912E-2</v>
      </c>
      <c r="F13" s="33">
        <f t="shared" si="1"/>
        <v>7.2890207689718075E-3</v>
      </c>
      <c r="G13" s="12"/>
      <c r="H13" s="12"/>
      <c r="I13" s="12"/>
    </row>
    <row r="14" spans="1:9" ht="14">
      <c r="A14" s="49" t="s">
        <v>35</v>
      </c>
      <c r="B14" s="49" t="s">
        <v>91</v>
      </c>
      <c r="C14" s="36">
        <v>5474.98</v>
      </c>
      <c r="D14" s="36">
        <v>5594.29</v>
      </c>
      <c r="E14" s="33">
        <f t="shared" si="0"/>
        <v>2.179186042688748E-2</v>
      </c>
      <c r="F14" s="33">
        <f t="shared" si="1"/>
        <v>2.040679370636767E-3</v>
      </c>
      <c r="G14" s="12"/>
      <c r="H14" s="12"/>
      <c r="I14" s="12"/>
    </row>
    <row r="15" spans="1:9" ht="14">
      <c r="A15" s="49" t="s">
        <v>36</v>
      </c>
      <c r="B15" s="49" t="s">
        <v>92</v>
      </c>
      <c r="C15" s="36">
        <v>0</v>
      </c>
      <c r="D15" s="36">
        <v>0</v>
      </c>
      <c r="E15" s="33">
        <v>0</v>
      </c>
      <c r="F15" s="33">
        <f t="shared" si="1"/>
        <v>0</v>
      </c>
      <c r="G15" s="12"/>
      <c r="H15" s="12"/>
      <c r="I15" s="12"/>
    </row>
    <row r="16" spans="1:9" ht="14">
      <c r="A16" s="49" t="s">
        <v>37</v>
      </c>
      <c r="B16" s="49" t="s">
        <v>93</v>
      </c>
      <c r="C16" s="36">
        <v>2374.37</v>
      </c>
      <c r="D16" s="36">
        <v>2574.73</v>
      </c>
      <c r="E16" s="33">
        <f t="shared" si="0"/>
        <v>8.4384489359282736E-2</v>
      </c>
      <c r="F16" s="33">
        <f t="shared" si="1"/>
        <v>9.3920736965005455E-4</v>
      </c>
      <c r="G16" s="12"/>
      <c r="H16" s="12"/>
      <c r="I16" s="12"/>
    </row>
    <row r="17" spans="1:9" ht="14">
      <c r="A17" s="49" t="s">
        <v>38</v>
      </c>
      <c r="B17" s="49" t="s">
        <v>94</v>
      </c>
      <c r="C17" s="36">
        <v>6460.96</v>
      </c>
      <c r="D17" s="36">
        <v>4997.3999999999996</v>
      </c>
      <c r="E17" s="33">
        <f t="shared" si="0"/>
        <v>-0.22652361259007955</v>
      </c>
      <c r="F17" s="33">
        <f t="shared" si="1"/>
        <v>1.822946448400097E-3</v>
      </c>
      <c r="G17" s="12"/>
      <c r="H17" s="12"/>
      <c r="I17" s="12"/>
    </row>
    <row r="18" spans="1:9" ht="14">
      <c r="A18" s="49" t="s">
        <v>39</v>
      </c>
      <c r="B18" s="49" t="s">
        <v>95</v>
      </c>
      <c r="C18" s="36">
        <v>2862.21</v>
      </c>
      <c r="D18" s="36">
        <v>3011.45</v>
      </c>
      <c r="E18" s="33">
        <f>(D18-C18)/C18</f>
        <v>5.2141527001862122E-2</v>
      </c>
      <c r="F18" s="33">
        <f t="shared" si="1"/>
        <v>1.0985136435015153E-3</v>
      </c>
      <c r="G18" s="12"/>
      <c r="H18" s="12"/>
      <c r="I18" s="12"/>
    </row>
    <row r="19" spans="1:9" ht="14">
      <c r="A19" s="49" t="s">
        <v>40</v>
      </c>
      <c r="B19" s="49" t="s">
        <v>96</v>
      </c>
      <c r="C19" s="36">
        <v>13845.98</v>
      </c>
      <c r="D19" s="36">
        <v>15285.01</v>
      </c>
      <c r="E19" s="33">
        <f t="shared" si="0"/>
        <v>0.10393124935901978</v>
      </c>
      <c r="F19" s="33">
        <f t="shared" si="1"/>
        <v>5.5756502767959279E-3</v>
      </c>
      <c r="G19" s="12"/>
      <c r="H19" s="12"/>
      <c r="I19" s="12"/>
    </row>
    <row r="20" spans="1:9" ht="14">
      <c r="A20" s="49" t="s">
        <v>41</v>
      </c>
      <c r="B20" s="49" t="s">
        <v>97</v>
      </c>
      <c r="C20" s="36">
        <v>6391.24</v>
      </c>
      <c r="D20" s="36">
        <v>5331.99</v>
      </c>
      <c r="E20" s="33">
        <f t="shared" si="0"/>
        <v>-0.16573466181836388</v>
      </c>
      <c r="F20" s="33">
        <f t="shared" si="1"/>
        <v>1.9449978455606583E-3</v>
      </c>
      <c r="G20" s="12"/>
      <c r="H20" s="12"/>
      <c r="I20" s="12"/>
    </row>
    <row r="21" spans="1:9" ht="14">
      <c r="A21" s="49" t="s">
        <v>42</v>
      </c>
      <c r="B21" s="49" t="s">
        <v>98</v>
      </c>
      <c r="C21" s="36">
        <v>12035.25</v>
      </c>
      <c r="D21" s="36">
        <v>12399.66</v>
      </c>
      <c r="E21" s="33">
        <f t="shared" si="0"/>
        <v>3.0278556739577481E-2</v>
      </c>
      <c r="F21" s="33">
        <f t="shared" si="1"/>
        <v>4.5231352620099955E-3</v>
      </c>
      <c r="G21" s="12"/>
      <c r="H21" s="12"/>
      <c r="I21" s="12"/>
    </row>
    <row r="22" spans="1:9" ht="14">
      <c r="A22" s="49" t="s">
        <v>43</v>
      </c>
      <c r="B22" s="49" t="s">
        <v>99</v>
      </c>
      <c r="C22" s="36">
        <v>1727.77</v>
      </c>
      <c r="D22" s="36">
        <v>1710.65</v>
      </c>
      <c r="E22" s="33">
        <f t="shared" si="0"/>
        <v>-9.9087262772243369E-3</v>
      </c>
      <c r="F22" s="33">
        <f t="shared" si="1"/>
        <v>6.2400915315076369E-4</v>
      </c>
      <c r="G22" s="12"/>
      <c r="H22" s="12"/>
      <c r="I22" s="12"/>
    </row>
    <row r="23" spans="1:9" ht="14">
      <c r="A23" s="49" t="s">
        <v>44</v>
      </c>
      <c r="B23" s="49" t="s">
        <v>100</v>
      </c>
      <c r="C23" s="36">
        <v>6910.41</v>
      </c>
      <c r="D23" s="36">
        <v>5438.84</v>
      </c>
      <c r="E23" s="33">
        <f t="shared" si="0"/>
        <v>-0.2129497381486771</v>
      </c>
      <c r="F23" s="33">
        <f t="shared" si="1"/>
        <v>1.9839744790123635E-3</v>
      </c>
      <c r="G23" s="12"/>
      <c r="H23" s="12"/>
      <c r="I23" s="12"/>
    </row>
    <row r="24" spans="1:9" ht="14">
      <c r="A24" s="49" t="s">
        <v>45</v>
      </c>
      <c r="B24" s="49" t="s">
        <v>377</v>
      </c>
      <c r="C24" s="36">
        <v>63442.65</v>
      </c>
      <c r="D24" s="36">
        <v>61112.92</v>
      </c>
      <c r="E24" s="33">
        <f t="shared" si="0"/>
        <v>-3.6721826720668246E-2</v>
      </c>
      <c r="F24" s="33">
        <f t="shared" si="1"/>
        <v>2.2292708301388575E-2</v>
      </c>
      <c r="G24" s="12"/>
      <c r="H24" s="12"/>
      <c r="I24" s="12"/>
    </row>
    <row r="25" spans="1:9" ht="14">
      <c r="A25" s="49" t="s">
        <v>46</v>
      </c>
      <c r="B25" s="49" t="s">
        <v>101</v>
      </c>
      <c r="C25" s="36">
        <v>567.12</v>
      </c>
      <c r="D25" s="36">
        <v>624.45000000000005</v>
      </c>
      <c r="E25" s="33">
        <f t="shared" si="0"/>
        <v>0.10108971646212449</v>
      </c>
      <c r="F25" s="33">
        <f t="shared" si="1"/>
        <v>2.2778623078069412E-4</v>
      </c>
      <c r="G25" s="12"/>
      <c r="H25" s="12"/>
      <c r="I25" s="12"/>
    </row>
    <row r="26" spans="1:9" ht="14">
      <c r="A26" s="49" t="s">
        <v>47</v>
      </c>
      <c r="B26" s="49" t="s">
        <v>102</v>
      </c>
      <c r="C26" s="36">
        <v>2978.4</v>
      </c>
      <c r="D26" s="36">
        <v>3168.15</v>
      </c>
      <c r="E26" s="33">
        <f t="shared" si="0"/>
        <v>6.3708702659145855E-2</v>
      </c>
      <c r="F26" s="33">
        <f t="shared" si="1"/>
        <v>1.1556745088443527E-3</v>
      </c>
      <c r="G26" s="12"/>
      <c r="H26" s="12"/>
      <c r="I26" s="12"/>
    </row>
    <row r="27" spans="1:9" ht="14">
      <c r="A27" s="49" t="s">
        <v>48</v>
      </c>
      <c r="B27" s="49" t="s">
        <v>103</v>
      </c>
      <c r="C27" s="36">
        <v>11658.7</v>
      </c>
      <c r="D27" s="36">
        <v>9338.31</v>
      </c>
      <c r="E27" s="33">
        <f t="shared" si="0"/>
        <v>-0.19902647808074667</v>
      </c>
      <c r="F27" s="33">
        <f t="shared" si="1"/>
        <v>3.4064191476686099E-3</v>
      </c>
      <c r="G27" s="12"/>
      <c r="H27" s="12"/>
      <c r="I27" s="12"/>
    </row>
    <row r="28" spans="1:9" ht="14">
      <c r="A28" s="49" t="s">
        <v>49</v>
      </c>
      <c r="B28" s="49" t="s">
        <v>104</v>
      </c>
      <c r="C28" s="36">
        <v>5667.11</v>
      </c>
      <c r="D28" s="36">
        <v>4051.69</v>
      </c>
      <c r="E28" s="33">
        <f t="shared" si="0"/>
        <v>-0.28505181653435346</v>
      </c>
      <c r="F28" s="33">
        <f t="shared" si="1"/>
        <v>1.477971324192218E-3</v>
      </c>
      <c r="G28" s="12"/>
      <c r="H28" s="12"/>
      <c r="I28" s="12"/>
    </row>
    <row r="29" spans="1:9" ht="14">
      <c r="A29" s="49" t="s">
        <v>50</v>
      </c>
      <c r="B29" s="49" t="s">
        <v>105</v>
      </c>
      <c r="C29" s="36">
        <v>4441.16</v>
      </c>
      <c r="D29" s="36">
        <v>4112.29</v>
      </c>
      <c r="E29" s="33">
        <f t="shared" si="0"/>
        <v>-7.4050473299768507E-2</v>
      </c>
      <c r="F29" s="33">
        <f t="shared" si="1"/>
        <v>1.5000769300618792E-3</v>
      </c>
      <c r="G29" s="12"/>
      <c r="H29" s="12"/>
      <c r="I29" s="12"/>
    </row>
    <row r="30" spans="1:9" ht="14">
      <c r="A30" s="49" t="s">
        <v>51</v>
      </c>
      <c r="B30" s="49" t="s">
        <v>106</v>
      </c>
      <c r="C30" s="36">
        <v>348.16</v>
      </c>
      <c r="D30" s="36">
        <v>-43.67</v>
      </c>
      <c r="E30" s="33">
        <f t="shared" si="0"/>
        <v>-1.1254308363970589</v>
      </c>
      <c r="F30" s="33">
        <f t="shared" si="1"/>
        <v>-1.5929897827196591E-5</v>
      </c>
      <c r="G30" s="12"/>
      <c r="H30" s="12"/>
      <c r="I30" s="12"/>
    </row>
    <row r="31" spans="1:9" ht="14">
      <c r="A31" s="49" t="s">
        <v>52</v>
      </c>
      <c r="B31" s="49" t="s">
        <v>107</v>
      </c>
      <c r="C31" s="36">
        <v>11476.7</v>
      </c>
      <c r="D31" s="36">
        <v>12068.4</v>
      </c>
      <c r="E31" s="33">
        <f t="shared" si="0"/>
        <v>5.1556632132930102E-2</v>
      </c>
      <c r="F31" s="33">
        <f t="shared" si="1"/>
        <v>4.4022985788353406E-3</v>
      </c>
      <c r="G31" s="12"/>
      <c r="H31" s="12"/>
      <c r="I31" s="12"/>
    </row>
    <row r="32" spans="1:9" ht="14">
      <c r="A32" s="49" t="s">
        <v>53</v>
      </c>
      <c r="B32" s="49" t="s">
        <v>108</v>
      </c>
      <c r="C32" s="36">
        <v>0</v>
      </c>
      <c r="D32" s="36">
        <v>643.87</v>
      </c>
      <c r="E32" s="52" t="s">
        <v>792</v>
      </c>
      <c r="F32" s="33">
        <f t="shared" si="1"/>
        <v>2.3487023847027866E-4</v>
      </c>
      <c r="G32" s="12"/>
      <c r="H32" s="12"/>
      <c r="I32" s="12"/>
    </row>
    <row r="33" spans="1:9" ht="14">
      <c r="A33" s="49" t="s">
        <v>54</v>
      </c>
      <c r="B33" s="49" t="s">
        <v>109</v>
      </c>
      <c r="C33" s="36">
        <v>6416.4</v>
      </c>
      <c r="D33" s="36">
        <v>5837.65</v>
      </c>
      <c r="E33" s="33">
        <f t="shared" si="0"/>
        <v>-9.0198553706128046E-2</v>
      </c>
      <c r="F33" s="33">
        <f t="shared" si="1"/>
        <v>2.1294519819311697E-3</v>
      </c>
      <c r="G33" s="12"/>
      <c r="H33" s="12"/>
      <c r="I33" s="12"/>
    </row>
    <row r="34" spans="1:9" ht="14">
      <c r="A34" s="49" t="s">
        <v>55</v>
      </c>
      <c r="B34" s="49" t="s">
        <v>110</v>
      </c>
      <c r="C34" s="36">
        <v>16741.169999999998</v>
      </c>
      <c r="D34" s="36">
        <v>17437.23</v>
      </c>
      <c r="E34" s="33">
        <f t="shared" si="0"/>
        <v>4.1577739190271731E-2</v>
      </c>
      <c r="F34" s="33">
        <f t="shared" si="1"/>
        <v>6.3607348818256748E-3</v>
      </c>
      <c r="G34" s="12"/>
      <c r="H34" s="12"/>
      <c r="I34" s="12"/>
    </row>
    <row r="35" spans="1:9" ht="14">
      <c r="A35" s="49" t="s">
        <v>56</v>
      </c>
      <c r="B35" s="49" t="s">
        <v>872</v>
      </c>
      <c r="C35" s="36">
        <v>5442.19</v>
      </c>
      <c r="D35" s="36">
        <v>5813.59</v>
      </c>
      <c r="E35" s="33">
        <f t="shared" si="0"/>
        <v>6.8244585359937923E-2</v>
      </c>
      <c r="F35" s="33">
        <f t="shared" si="1"/>
        <v>2.1206753997987595E-3</v>
      </c>
      <c r="G35" s="12"/>
      <c r="H35" s="12"/>
      <c r="I35" s="12"/>
    </row>
    <row r="36" spans="1:9" ht="14">
      <c r="A36" s="49" t="s">
        <v>57</v>
      </c>
      <c r="B36" s="49" t="s">
        <v>111</v>
      </c>
      <c r="C36" s="36">
        <v>6823.48</v>
      </c>
      <c r="D36" s="36">
        <v>8675.02</v>
      </c>
      <c r="E36" s="33">
        <f t="shared" si="0"/>
        <v>0.2713483442466309</v>
      </c>
      <c r="F36" s="33">
        <f t="shared" si="1"/>
        <v>3.1644649015087471E-3</v>
      </c>
      <c r="G36" s="12"/>
      <c r="H36" s="12"/>
      <c r="I36" s="12"/>
    </row>
    <row r="37" spans="1:9" ht="14">
      <c r="A37" s="49" t="s">
        <v>58</v>
      </c>
      <c r="B37" s="49" t="s">
        <v>112</v>
      </c>
      <c r="C37" s="36">
        <v>12505.04</v>
      </c>
      <c r="D37" s="36">
        <v>11615.66</v>
      </c>
      <c r="E37" s="33">
        <f t="shared" si="0"/>
        <v>-7.1121723720995775E-2</v>
      </c>
      <c r="F37" s="33">
        <f t="shared" si="1"/>
        <v>4.2371485458084354E-3</v>
      </c>
      <c r="G37" s="12"/>
      <c r="H37" s="12"/>
      <c r="I37" s="12"/>
    </row>
    <row r="38" spans="1:9" ht="14">
      <c r="A38" s="49" t="s">
        <v>59</v>
      </c>
      <c r="B38" s="49" t="s">
        <v>113</v>
      </c>
      <c r="C38" s="36">
        <v>6321.3</v>
      </c>
      <c r="D38" s="36">
        <v>4663.09</v>
      </c>
      <c r="E38" s="33">
        <f t="shared" si="0"/>
        <v>-0.26232104155790736</v>
      </c>
      <c r="F38" s="33">
        <f t="shared" si="1"/>
        <v>1.7009971893524652E-3</v>
      </c>
      <c r="G38" s="12"/>
      <c r="H38" s="12"/>
      <c r="I38" s="12"/>
    </row>
    <row r="39" spans="1:9" ht="14">
      <c r="A39" s="49" t="s">
        <v>60</v>
      </c>
      <c r="B39" s="49" t="s">
        <v>114</v>
      </c>
      <c r="C39" s="36">
        <v>11595.1</v>
      </c>
      <c r="D39" s="36">
        <v>10551.59</v>
      </c>
      <c r="E39" s="33">
        <f t="shared" si="0"/>
        <v>-8.9995774076980811E-2</v>
      </c>
      <c r="F39" s="33">
        <f t="shared" si="1"/>
        <v>3.848998182149514E-3</v>
      </c>
      <c r="G39" s="12"/>
      <c r="H39" s="12"/>
      <c r="I39" s="12"/>
    </row>
    <row r="40" spans="1:9" ht="14">
      <c r="A40" s="49" t="s">
        <v>61</v>
      </c>
      <c r="B40" s="49" t="s">
        <v>115</v>
      </c>
      <c r="C40" s="36">
        <v>1962.43</v>
      </c>
      <c r="D40" s="36">
        <v>1858.46</v>
      </c>
      <c r="E40" s="33">
        <f t="shared" si="0"/>
        <v>-5.2980233689864112E-2</v>
      </c>
      <c r="F40" s="33">
        <f t="shared" si="1"/>
        <v>6.7792713340810112E-4</v>
      </c>
      <c r="G40" s="12"/>
      <c r="H40" s="12"/>
      <c r="I40" s="12"/>
    </row>
    <row r="41" spans="1:9" ht="14">
      <c r="A41" s="49" t="s">
        <v>62</v>
      </c>
      <c r="B41" s="49" t="s">
        <v>116</v>
      </c>
      <c r="C41" s="36">
        <v>15377.13</v>
      </c>
      <c r="D41" s="36">
        <v>16394.73</v>
      </c>
      <c r="E41" s="33">
        <f t="shared" si="0"/>
        <v>6.6176198029151104E-2</v>
      </c>
      <c r="F41" s="33">
        <f t="shared" si="1"/>
        <v>5.9804528006520445E-3</v>
      </c>
      <c r="G41" s="12"/>
      <c r="H41" s="12"/>
      <c r="I41" s="12"/>
    </row>
    <row r="42" spans="1:9" ht="14">
      <c r="A42" s="49" t="s">
        <v>63</v>
      </c>
      <c r="B42" s="49" t="s">
        <v>117</v>
      </c>
      <c r="C42" s="36">
        <v>3331.25</v>
      </c>
      <c r="D42" s="36">
        <v>3472.54</v>
      </c>
      <c r="E42" s="33">
        <f t="shared" si="0"/>
        <v>4.2413508442776728E-2</v>
      </c>
      <c r="F42" s="33">
        <f t="shared" si="1"/>
        <v>1.2667095809675579E-3</v>
      </c>
      <c r="G42" s="12"/>
      <c r="H42" s="12"/>
      <c r="I42" s="12"/>
    </row>
    <row r="43" spans="1:9" ht="14">
      <c r="A43" s="49" t="s">
        <v>64</v>
      </c>
      <c r="B43" s="49" t="s">
        <v>118</v>
      </c>
      <c r="C43" s="36">
        <v>20296.63</v>
      </c>
      <c r="D43" s="36">
        <v>19825.63</v>
      </c>
      <c r="E43" s="33">
        <f t="shared" si="0"/>
        <v>-2.3205822838569753E-2</v>
      </c>
      <c r="F43" s="33">
        <f t="shared" si="1"/>
        <v>7.2319729851111417E-3</v>
      </c>
      <c r="G43" s="12"/>
      <c r="H43" s="12"/>
      <c r="I43" s="12"/>
    </row>
    <row r="44" spans="1:9" ht="14">
      <c r="A44" s="49" t="s">
        <v>65</v>
      </c>
      <c r="B44" s="49" t="s">
        <v>119</v>
      </c>
      <c r="C44" s="36">
        <v>353.91</v>
      </c>
      <c r="D44" s="36">
        <v>353.91</v>
      </c>
      <c r="E44" s="33">
        <f t="shared" si="0"/>
        <v>0</v>
      </c>
      <c r="F44" s="33">
        <f t="shared" si="1"/>
        <v>1.2909892695267108E-4</v>
      </c>
      <c r="G44" s="12"/>
      <c r="H44" s="12"/>
      <c r="I44" s="12"/>
    </row>
    <row r="45" spans="1:9" ht="14">
      <c r="A45" s="49" t="s">
        <v>66</v>
      </c>
      <c r="B45" s="49" t="s">
        <v>120</v>
      </c>
      <c r="C45" s="36">
        <v>70568.92</v>
      </c>
      <c r="D45" s="36">
        <v>94234.69</v>
      </c>
      <c r="E45" s="33">
        <f t="shared" si="0"/>
        <v>0.33535683980993342</v>
      </c>
      <c r="F45" s="33">
        <f t="shared" si="1"/>
        <v>3.4374833603790803E-2</v>
      </c>
      <c r="G45" s="12"/>
      <c r="H45" s="12"/>
      <c r="I45" s="12"/>
    </row>
    <row r="46" spans="1:9" ht="14">
      <c r="A46" s="49" t="s">
        <v>67</v>
      </c>
      <c r="B46" s="49" t="s">
        <v>121</v>
      </c>
      <c r="C46" s="36">
        <v>27264.41</v>
      </c>
      <c r="D46" s="36">
        <v>10536.48</v>
      </c>
      <c r="E46" s="33">
        <f t="shared" si="0"/>
        <v>-0.6135445439677587</v>
      </c>
      <c r="F46" s="33">
        <f t="shared" si="1"/>
        <v>3.8434863718410884E-3</v>
      </c>
      <c r="G46" s="12"/>
      <c r="H46" s="12"/>
      <c r="I46" s="12"/>
    </row>
    <row r="47" spans="1:9" ht="14">
      <c r="A47" s="49" t="s">
        <v>68</v>
      </c>
      <c r="B47" s="49" t="s">
        <v>122</v>
      </c>
      <c r="C47" s="36">
        <v>1679.25</v>
      </c>
      <c r="D47" s="36">
        <v>892.18</v>
      </c>
      <c r="E47" s="33">
        <f t="shared" si="0"/>
        <v>-0.46870329015929735</v>
      </c>
      <c r="F47" s="33">
        <f t="shared" si="1"/>
        <v>3.2544850568967838E-4</v>
      </c>
      <c r="G47" s="12"/>
      <c r="H47" s="12"/>
      <c r="I47" s="12"/>
    </row>
    <row r="48" spans="1:9" ht="14">
      <c r="A48" s="49" t="s">
        <v>69</v>
      </c>
      <c r="B48" s="49" t="s">
        <v>123</v>
      </c>
      <c r="C48" s="36">
        <v>8882.02</v>
      </c>
      <c r="D48" s="36">
        <v>8831.2900000000009</v>
      </c>
      <c r="E48" s="33">
        <f t="shared" si="0"/>
        <v>-5.7115385914464911E-3</v>
      </c>
      <c r="F48" s="33">
        <f t="shared" si="1"/>
        <v>3.2214689118924434E-3</v>
      </c>
      <c r="G48" s="12"/>
      <c r="H48" s="12"/>
      <c r="I48" s="12"/>
    </row>
    <row r="49" spans="1:9" ht="14">
      <c r="A49" s="49" t="s">
        <v>70</v>
      </c>
      <c r="B49" s="49" t="s">
        <v>124</v>
      </c>
      <c r="C49" s="36">
        <v>50003.54</v>
      </c>
      <c r="D49" s="36">
        <v>52927.58</v>
      </c>
      <c r="E49" s="33">
        <f t="shared" si="0"/>
        <v>5.847665985248246E-2</v>
      </c>
      <c r="F49" s="33">
        <f t="shared" si="1"/>
        <v>1.9306868368233886E-2</v>
      </c>
      <c r="G49" s="12"/>
      <c r="H49" s="12"/>
      <c r="I49" s="12"/>
    </row>
    <row r="50" spans="1:9" ht="14">
      <c r="A50" s="49" t="s">
        <v>71</v>
      </c>
      <c r="B50" s="49" t="s">
        <v>125</v>
      </c>
      <c r="C50" s="36">
        <v>13156.7</v>
      </c>
      <c r="D50" s="36">
        <v>14211.84</v>
      </c>
      <c r="E50" s="33">
        <f t="shared" si="0"/>
        <v>8.019792197131495E-2</v>
      </c>
      <c r="F50" s="33">
        <f t="shared" si="1"/>
        <v>5.1841804244668107E-3</v>
      </c>
      <c r="G50" s="12"/>
      <c r="H50" s="12"/>
      <c r="I50" s="12"/>
    </row>
    <row r="51" spans="1:9" ht="14">
      <c r="A51" s="49" t="s">
        <v>72</v>
      </c>
      <c r="B51" s="49" t="s">
        <v>126</v>
      </c>
      <c r="C51" s="36">
        <v>12610.73</v>
      </c>
      <c r="D51" s="36">
        <v>11216.83</v>
      </c>
      <c r="E51" s="33">
        <f t="shared" si="0"/>
        <v>-0.11053285575061869</v>
      </c>
      <c r="F51" s="33">
        <f t="shared" si="1"/>
        <v>4.0916637473101336E-3</v>
      </c>
      <c r="G51" s="12"/>
      <c r="H51" s="12"/>
      <c r="I51" s="12"/>
    </row>
    <row r="52" spans="1:9" ht="14">
      <c r="A52" s="49" t="s">
        <v>73</v>
      </c>
      <c r="B52" s="49" t="s">
        <v>127</v>
      </c>
      <c r="C52" s="36">
        <v>33788.519999999997</v>
      </c>
      <c r="D52" s="36">
        <v>34280.33</v>
      </c>
      <c r="E52" s="33">
        <f t="shared" si="0"/>
        <v>1.4555535430377093E-2</v>
      </c>
      <c r="F52" s="33">
        <f t="shared" si="1"/>
        <v>1.2504743631384981E-2</v>
      </c>
      <c r="G52" s="12"/>
      <c r="H52" s="12"/>
      <c r="I52" s="12"/>
    </row>
    <row r="53" spans="1:9" ht="14">
      <c r="A53" s="49" t="s">
        <v>74</v>
      </c>
      <c r="B53" s="49" t="s">
        <v>875</v>
      </c>
      <c r="C53" s="36">
        <v>7544.41</v>
      </c>
      <c r="D53" s="36">
        <v>7793.04</v>
      </c>
      <c r="E53" s="33">
        <f t="shared" si="0"/>
        <v>3.2955526011974441E-2</v>
      </c>
      <c r="F53" s="33">
        <f t="shared" si="1"/>
        <v>2.8427371413614869E-3</v>
      </c>
      <c r="G53" s="12"/>
      <c r="H53" s="12"/>
      <c r="I53" s="12"/>
    </row>
    <row r="54" spans="1:9" ht="14">
      <c r="A54" s="49" t="s">
        <v>75</v>
      </c>
      <c r="B54" s="49" t="s">
        <v>876</v>
      </c>
      <c r="C54" s="36">
        <v>3089.26</v>
      </c>
      <c r="D54" s="36">
        <v>2850.48</v>
      </c>
      <c r="E54" s="33">
        <f t="shared" si="0"/>
        <v>-7.7293591345500276E-2</v>
      </c>
      <c r="F54" s="33">
        <f t="shared" si="1"/>
        <v>1.0397951719365089E-3</v>
      </c>
      <c r="G54" s="12"/>
      <c r="H54" s="12"/>
      <c r="I54" s="12"/>
    </row>
    <row r="55" spans="1:9" ht="14">
      <c r="A55" s="49" t="s">
        <v>76</v>
      </c>
      <c r="B55" s="49" t="s">
        <v>128</v>
      </c>
      <c r="C55" s="36">
        <v>16287.25</v>
      </c>
      <c r="D55" s="36">
        <v>15443.84</v>
      </c>
      <c r="E55" s="33">
        <f t="shared" si="0"/>
        <v>-5.1783450244823392E-2</v>
      </c>
      <c r="F55" s="33">
        <f t="shared" si="1"/>
        <v>5.6335881213549766E-3</v>
      </c>
      <c r="G55" s="12"/>
      <c r="H55" s="12"/>
      <c r="I55" s="12"/>
    </row>
    <row r="56" spans="1:9" ht="14">
      <c r="A56" s="49" t="s">
        <v>77</v>
      </c>
      <c r="B56" s="49" t="s">
        <v>129</v>
      </c>
      <c r="C56" s="36">
        <v>2588.11</v>
      </c>
      <c r="D56" s="36">
        <v>3019.97</v>
      </c>
      <c r="E56" s="33">
        <f t="shared" si="0"/>
        <v>0.16686307768989714</v>
      </c>
      <c r="F56" s="33">
        <f t="shared" si="1"/>
        <v>1.1016215603663587E-3</v>
      </c>
      <c r="G56" s="12"/>
      <c r="H56" s="12"/>
      <c r="I56" s="12"/>
    </row>
    <row r="57" spans="1:9" ht="14">
      <c r="A57" s="49" t="s">
        <v>78</v>
      </c>
      <c r="B57" s="49" t="s">
        <v>130</v>
      </c>
      <c r="C57" s="36">
        <v>2205.12</v>
      </c>
      <c r="D57" s="36">
        <v>2323.7199999999998</v>
      </c>
      <c r="E57" s="33">
        <f t="shared" si="0"/>
        <v>5.3783921056450405E-2</v>
      </c>
      <c r="F57" s="33">
        <f t="shared" si="1"/>
        <v>8.4764419919883813E-4</v>
      </c>
      <c r="G57" s="12"/>
      <c r="H57" s="12"/>
      <c r="I57" s="12"/>
    </row>
    <row r="58" spans="1:9" ht="14">
      <c r="A58" s="49" t="s">
        <v>79</v>
      </c>
      <c r="B58" s="49" t="s">
        <v>131</v>
      </c>
      <c r="C58" s="36">
        <v>0</v>
      </c>
      <c r="D58" s="36">
        <v>0</v>
      </c>
      <c r="E58" s="33">
        <v>0</v>
      </c>
      <c r="F58" s="33">
        <f t="shared" si="1"/>
        <v>0</v>
      </c>
      <c r="G58" s="12"/>
      <c r="H58" s="12"/>
      <c r="I58" s="12"/>
    </row>
    <row r="59" spans="1:9" ht="14">
      <c r="A59" s="49" t="s">
        <v>1257</v>
      </c>
      <c r="B59" s="49" t="s">
        <v>1258</v>
      </c>
      <c r="C59" s="36">
        <v>0</v>
      </c>
      <c r="D59" s="36">
        <v>0</v>
      </c>
      <c r="E59" s="33">
        <v>0</v>
      </c>
      <c r="F59" s="33">
        <f t="shared" si="1"/>
        <v>0</v>
      </c>
      <c r="G59" s="12"/>
      <c r="H59" s="12"/>
      <c r="I59" s="12"/>
    </row>
    <row r="60" spans="1:9" ht="14">
      <c r="A60" s="49" t="s">
        <v>80</v>
      </c>
      <c r="B60" s="49" t="s">
        <v>132</v>
      </c>
      <c r="C60" s="36">
        <v>21477.65</v>
      </c>
      <c r="D60" s="36">
        <v>22005.98</v>
      </c>
      <c r="E60" s="33">
        <f t="shared" si="0"/>
        <v>2.4599059953020842E-2</v>
      </c>
      <c r="F60" s="33">
        <f t="shared" si="1"/>
        <v>8.0273188227005191E-3</v>
      </c>
      <c r="G60" s="12"/>
    </row>
    <row r="61" spans="1:9" ht="14">
      <c r="A61" s="49" t="s">
        <v>1259</v>
      </c>
      <c r="B61" s="49" t="s">
        <v>1261</v>
      </c>
      <c r="C61" s="36">
        <v>0</v>
      </c>
      <c r="D61" s="36">
        <v>0</v>
      </c>
      <c r="E61" s="33"/>
      <c r="F61" s="33">
        <f t="shared" si="1"/>
        <v>0</v>
      </c>
      <c r="G61" s="12"/>
    </row>
    <row r="62" spans="1:9" ht="14">
      <c r="A62" s="49" t="s">
        <v>1260</v>
      </c>
      <c r="B62" s="49" t="s">
        <v>1262</v>
      </c>
      <c r="C62" s="36">
        <v>0</v>
      </c>
      <c r="D62" s="36">
        <v>0</v>
      </c>
      <c r="E62" s="33"/>
      <c r="F62" s="33">
        <f t="shared" si="1"/>
        <v>0</v>
      </c>
      <c r="G62" s="12"/>
    </row>
    <row r="63" spans="1:9" ht="14">
      <c r="A63" s="49" t="s">
        <v>81</v>
      </c>
      <c r="B63" s="49" t="s">
        <v>133</v>
      </c>
      <c r="C63" s="36">
        <v>46932.65</v>
      </c>
      <c r="D63" s="36">
        <v>45667.63</v>
      </c>
      <c r="E63" s="33">
        <f t="shared" si="0"/>
        <v>-2.6953943576593354E-2</v>
      </c>
      <c r="F63" s="33">
        <f t="shared" si="1"/>
        <v>1.6658591250520216E-2</v>
      </c>
      <c r="G63" s="12"/>
    </row>
    <row r="64" spans="1:9" ht="14">
      <c r="A64" s="49" t="s">
        <v>82</v>
      </c>
      <c r="B64" s="49" t="s">
        <v>1263</v>
      </c>
      <c r="C64" s="36">
        <v>0</v>
      </c>
      <c r="D64" s="36">
        <v>0</v>
      </c>
      <c r="E64" s="52">
        <v>0</v>
      </c>
      <c r="F64" s="33">
        <f t="shared" si="1"/>
        <v>0</v>
      </c>
      <c r="G64" s="12"/>
    </row>
    <row r="65" spans="1:9" ht="15" thickBot="1">
      <c r="A65" s="49" t="s">
        <v>83</v>
      </c>
      <c r="B65" s="50" t="s">
        <v>134</v>
      </c>
      <c r="C65" s="38">
        <v>1843257.76</v>
      </c>
      <c r="D65" s="38">
        <v>1956422.76</v>
      </c>
      <c r="E65" s="39">
        <f t="shared" si="0"/>
        <v>6.1394017947875072E-2</v>
      </c>
      <c r="F65" s="39">
        <f t="shared" si="1"/>
        <v>0.71366188856427659</v>
      </c>
      <c r="G65" s="12"/>
    </row>
    <row r="66" spans="1:9" ht="15" thickBot="1">
      <c r="A66" s="94"/>
      <c r="B66" s="94" t="s">
        <v>7</v>
      </c>
      <c r="C66" s="40">
        <f>SUM(C4:C65)</f>
        <v>2633949.88</v>
      </c>
      <c r="D66" s="40">
        <f>SUM(D4:D65)</f>
        <v>2741386.07</v>
      </c>
      <c r="E66" s="41">
        <f>(D66-C66)/C66</f>
        <v>4.0789003168124047E-2</v>
      </c>
      <c r="F66" s="41">
        <f>SUM(F4:F65)</f>
        <v>1</v>
      </c>
      <c r="G66" s="12"/>
    </row>
    <row r="67" spans="1:9" ht="14">
      <c r="A67" s="12"/>
      <c r="B67" s="12"/>
      <c r="C67" s="12"/>
      <c r="D67" s="12"/>
      <c r="E67" s="12"/>
      <c r="F67" s="53"/>
      <c r="G67" s="12"/>
    </row>
    <row r="68" spans="1:9" ht="14">
      <c r="A68" s="12"/>
      <c r="B68" s="12"/>
      <c r="C68" s="12"/>
      <c r="D68" s="12"/>
      <c r="E68" s="12"/>
      <c r="F68" s="12"/>
      <c r="G68" s="12"/>
    </row>
    <row r="69" spans="1:9" ht="14">
      <c r="A69" s="12"/>
      <c r="B69" s="12"/>
      <c r="C69" s="12"/>
      <c r="D69" s="12"/>
      <c r="E69" s="12"/>
      <c r="F69" s="12"/>
      <c r="G69" s="12"/>
    </row>
    <row r="70" spans="1:9" ht="14">
      <c r="A70" s="12"/>
      <c r="B70" s="12"/>
      <c r="C70" s="12"/>
      <c r="D70" s="54"/>
      <c r="E70" s="12"/>
      <c r="F70" s="12"/>
      <c r="G70" s="12"/>
    </row>
    <row r="71" spans="1:9" ht="14">
      <c r="A71" s="12"/>
      <c r="B71" s="12"/>
      <c r="C71" s="12"/>
      <c r="D71" s="54"/>
      <c r="E71" s="12"/>
      <c r="F71" s="12"/>
      <c r="G71" s="12"/>
      <c r="H71" s="12"/>
      <c r="I71" s="12"/>
    </row>
    <row r="72" spans="1:9" ht="14">
      <c r="A72" s="12"/>
      <c r="B72" s="12"/>
      <c r="C72" s="12"/>
      <c r="D72" s="54"/>
      <c r="E72" s="12"/>
      <c r="F72" s="12"/>
      <c r="G72" s="12"/>
      <c r="H72" s="12"/>
      <c r="I72" s="12"/>
    </row>
    <row r="73" spans="1:9" ht="14">
      <c r="A73" s="12"/>
      <c r="B73" s="12"/>
      <c r="C73" s="12"/>
      <c r="D73" s="54"/>
      <c r="E73" s="12"/>
      <c r="F73" s="12"/>
      <c r="G73" s="12"/>
      <c r="H73" s="12"/>
      <c r="I73" s="12"/>
    </row>
    <row r="74" spans="1:9" ht="14">
      <c r="A74" s="12"/>
      <c r="B74" s="12"/>
      <c r="C74" s="12"/>
      <c r="D74" s="54"/>
      <c r="E74" s="12"/>
      <c r="F74" s="12"/>
      <c r="G74" s="12"/>
      <c r="H74" s="12"/>
      <c r="I74" s="12"/>
    </row>
    <row r="75" spans="1:9" ht="14">
      <c r="A75" s="12"/>
      <c r="B75" s="12"/>
      <c r="C75" s="12"/>
      <c r="D75" s="12"/>
      <c r="E75" s="12"/>
      <c r="F75" s="12"/>
      <c r="G75" s="12"/>
      <c r="H75" s="124"/>
      <c r="I75" s="12"/>
    </row>
    <row r="76" spans="1:9" ht="14">
      <c r="A76" s="12"/>
      <c r="B76" s="12"/>
      <c r="C76" s="12"/>
      <c r="D76" s="12"/>
      <c r="E76" s="12"/>
      <c r="F76" s="12"/>
      <c r="G76" s="12"/>
      <c r="H76" s="12"/>
      <c r="I76" s="12"/>
    </row>
    <row r="77" spans="1:9" ht="14">
      <c r="A77" s="12"/>
      <c r="B77" s="12"/>
      <c r="C77" s="12"/>
      <c r="D77" s="12"/>
      <c r="E77" s="12"/>
      <c r="F77" s="12"/>
      <c r="G77" s="12"/>
      <c r="H77" s="124"/>
      <c r="I77" s="12"/>
    </row>
    <row r="78" spans="1:9" ht="14">
      <c r="A78" s="12"/>
      <c r="B78" s="12"/>
      <c r="C78" s="12"/>
      <c r="D78" s="12"/>
      <c r="E78" s="12"/>
      <c r="F78" s="12"/>
      <c r="G78" s="12"/>
      <c r="H78" s="12"/>
      <c r="I78" s="12"/>
    </row>
    <row r="79" spans="1:9" ht="14">
      <c r="A79" s="12"/>
      <c r="B79" s="12"/>
      <c r="C79" s="12"/>
      <c r="D79" s="12"/>
      <c r="E79" s="12"/>
      <c r="F79" s="12"/>
      <c r="G79" s="12"/>
      <c r="H79" s="12"/>
      <c r="I79" s="12"/>
    </row>
    <row r="80" spans="1:9" ht="14">
      <c r="A80" s="12"/>
      <c r="B80" s="12"/>
      <c r="C80" s="12"/>
      <c r="D80" s="12"/>
      <c r="E80" s="12"/>
      <c r="F80" s="12"/>
      <c r="G80" s="12"/>
      <c r="H80" s="12"/>
      <c r="I80" s="12"/>
    </row>
    <row r="81" spans="1:9" ht="14">
      <c r="A81" s="12"/>
      <c r="B81" s="12"/>
      <c r="C81" s="12"/>
      <c r="D81" s="12"/>
      <c r="E81" s="12"/>
      <c r="F81" s="12"/>
      <c r="G81" s="12"/>
      <c r="H81" s="12"/>
      <c r="I81" s="12"/>
    </row>
    <row r="82" spans="1:9" ht="14">
      <c r="A82" s="12"/>
      <c r="B82" s="12"/>
      <c r="C82" s="12"/>
      <c r="D82" s="12"/>
      <c r="E82" s="12"/>
      <c r="F82" s="12"/>
      <c r="G82" s="12"/>
      <c r="H82" s="12"/>
      <c r="I82" s="12"/>
    </row>
    <row r="83" spans="1:9" ht="14">
      <c r="A83" s="12"/>
      <c r="B83" s="12"/>
      <c r="C83" s="12"/>
      <c r="D83" s="12"/>
      <c r="E83" s="12"/>
      <c r="F83" s="12"/>
      <c r="G83" s="12"/>
      <c r="H83" s="12"/>
      <c r="I83" s="12"/>
    </row>
    <row r="84" spans="1:9" ht="14">
      <c r="A84" s="12"/>
      <c r="B84" s="12"/>
      <c r="C84" s="12"/>
      <c r="D84" s="12"/>
      <c r="E84" s="12"/>
      <c r="F84" s="12"/>
      <c r="G84" s="12"/>
      <c r="H84" s="12"/>
      <c r="I84" s="12"/>
    </row>
    <row r="85" spans="1:9" ht="14">
      <c r="A85" s="12"/>
      <c r="B85" s="12"/>
      <c r="C85" s="12"/>
      <c r="D85" s="12"/>
      <c r="E85" s="12"/>
      <c r="F85" s="12"/>
      <c r="G85" s="12"/>
      <c r="H85" s="12"/>
      <c r="I85" s="12"/>
    </row>
    <row r="86" spans="1:9" ht="14">
      <c r="A86" s="12"/>
      <c r="B86" s="12"/>
      <c r="C86" s="12"/>
      <c r="D86" s="12"/>
      <c r="E86" s="12"/>
      <c r="F86" s="12"/>
      <c r="G86" s="12"/>
      <c r="H86" s="12"/>
      <c r="I86" s="12"/>
    </row>
    <row r="87" spans="1:9" ht="14">
      <c r="A87" s="12"/>
      <c r="B87" s="12"/>
      <c r="C87" s="12"/>
      <c r="D87" s="12"/>
      <c r="E87" s="12"/>
      <c r="F87" s="12"/>
      <c r="G87" s="12"/>
      <c r="H87" s="12"/>
      <c r="I87" s="12"/>
    </row>
    <row r="88" spans="1:9" ht="14">
      <c r="A88" s="12"/>
      <c r="B88" s="12"/>
      <c r="C88" s="12"/>
      <c r="D88" s="12"/>
      <c r="E88" s="12"/>
      <c r="F88" s="12"/>
      <c r="G88" s="12"/>
      <c r="H88" s="12"/>
      <c r="I88" s="12"/>
    </row>
    <row r="89" spans="1:9" ht="14">
      <c r="A89" s="12"/>
      <c r="B89" s="12"/>
      <c r="C89" s="12"/>
      <c r="D89" s="12"/>
      <c r="E89" s="12"/>
      <c r="F89" s="12"/>
      <c r="G89" s="12"/>
      <c r="H89" s="12"/>
      <c r="I89" s="12"/>
    </row>
    <row r="90" spans="1:9" ht="14">
      <c r="A90" s="12"/>
      <c r="B90" s="12"/>
      <c r="C90" s="12"/>
      <c r="D90" s="12"/>
      <c r="E90" s="12"/>
      <c r="F90" s="12"/>
      <c r="G90" s="12"/>
      <c r="H90" s="12"/>
      <c r="I90" s="12"/>
    </row>
    <row r="91" spans="1:9" ht="14">
      <c r="A91" s="12"/>
      <c r="B91" s="12"/>
      <c r="C91" s="12"/>
      <c r="D91" s="12"/>
      <c r="E91" s="12"/>
      <c r="F91" s="12"/>
      <c r="G91" s="12"/>
      <c r="H91" s="12"/>
      <c r="I91" s="12"/>
    </row>
    <row r="92" spans="1:9" ht="14">
      <c r="A92" s="12"/>
      <c r="B92" s="12"/>
      <c r="C92" s="12"/>
      <c r="D92" s="12"/>
      <c r="E92" s="12"/>
      <c r="F92" s="12"/>
      <c r="G92" s="12"/>
      <c r="H92" s="12"/>
      <c r="I92" s="12"/>
    </row>
    <row r="93" spans="1:9" ht="14">
      <c r="A93" s="12"/>
      <c r="B93" s="12"/>
      <c r="C93" s="12"/>
      <c r="D93" s="12"/>
      <c r="E93" s="12"/>
      <c r="F93" s="12"/>
      <c r="G93" s="12"/>
      <c r="H93" s="12"/>
      <c r="I93" s="12"/>
    </row>
    <row r="94" spans="1:9" ht="14">
      <c r="A94" s="12"/>
      <c r="B94" s="12"/>
      <c r="C94" s="12"/>
      <c r="D94" s="12"/>
      <c r="E94" s="12"/>
      <c r="F94" s="12"/>
      <c r="G94" s="12"/>
      <c r="H94" s="12"/>
      <c r="I94" s="12"/>
    </row>
    <row r="95" spans="1:9" ht="14">
      <c r="A95" s="12"/>
      <c r="B95" s="12"/>
      <c r="C95" s="12"/>
      <c r="D95" s="12"/>
      <c r="E95" s="12"/>
      <c r="F95" s="12"/>
      <c r="G95" s="12"/>
      <c r="H95" s="12"/>
      <c r="I95" s="12"/>
    </row>
    <row r="96" spans="1:9" ht="14">
      <c r="A96" s="12"/>
      <c r="B96" s="12"/>
      <c r="C96" s="12"/>
      <c r="D96" s="12"/>
      <c r="E96" s="12"/>
      <c r="F96" s="12"/>
      <c r="G96" s="12"/>
      <c r="H96" s="12"/>
      <c r="I96" s="12"/>
    </row>
    <row r="97" spans="1:9" ht="14">
      <c r="A97" s="12"/>
      <c r="B97" s="12"/>
      <c r="C97" s="12"/>
      <c r="D97" s="12"/>
      <c r="E97" s="12"/>
      <c r="F97" s="12"/>
      <c r="G97" s="12"/>
      <c r="H97" s="12"/>
      <c r="I97" s="12"/>
    </row>
    <row r="98" spans="1:9" ht="14">
      <c r="A98" s="12"/>
      <c r="B98" s="12"/>
      <c r="C98" s="12"/>
      <c r="D98" s="12"/>
      <c r="E98" s="12"/>
      <c r="F98" s="12"/>
      <c r="G98" s="12"/>
      <c r="H98" s="12"/>
      <c r="I98" s="12"/>
    </row>
    <row r="99" spans="1:9" ht="14">
      <c r="A99" s="12"/>
      <c r="B99" s="12"/>
      <c r="C99" s="12"/>
      <c r="D99" s="12"/>
      <c r="E99" s="12"/>
      <c r="F99" s="12"/>
      <c r="G99" s="12"/>
      <c r="H99" s="12"/>
      <c r="I99" s="12"/>
    </row>
    <row r="100" spans="1:9" ht="14">
      <c r="A100" s="12"/>
      <c r="B100" s="12"/>
      <c r="C100" s="12"/>
      <c r="D100" s="12"/>
      <c r="E100" s="12"/>
      <c r="F100" s="12"/>
      <c r="G100" s="12"/>
      <c r="H100" s="12"/>
      <c r="I100" s="12"/>
    </row>
    <row r="101" spans="1:9" ht="14">
      <c r="A101" s="12"/>
      <c r="B101" s="12"/>
      <c r="C101" s="12"/>
      <c r="D101" s="12"/>
      <c r="E101" s="12"/>
      <c r="F101" s="12"/>
      <c r="G101" s="12"/>
      <c r="H101" s="12"/>
      <c r="I101" s="12"/>
    </row>
    <row r="102" spans="1:9" ht="14">
      <c r="A102" s="12"/>
      <c r="B102" s="12"/>
      <c r="C102" s="12"/>
      <c r="D102" s="12"/>
      <c r="E102" s="12"/>
      <c r="F102" s="12"/>
      <c r="G102" s="12"/>
      <c r="H102" s="12"/>
      <c r="I102" s="12"/>
    </row>
    <row r="103" spans="1:9" ht="14">
      <c r="A103" s="12"/>
      <c r="B103" s="12"/>
      <c r="C103" s="12"/>
      <c r="D103" s="12"/>
      <c r="E103" s="12"/>
      <c r="F103" s="12"/>
      <c r="G103" s="12"/>
      <c r="H103" s="12"/>
      <c r="I103" s="12"/>
    </row>
    <row r="104" spans="1:9" ht="14">
      <c r="A104" s="12"/>
      <c r="B104" s="12"/>
      <c r="C104" s="12"/>
      <c r="D104" s="12"/>
      <c r="E104" s="12"/>
      <c r="F104" s="12"/>
      <c r="G104" s="12"/>
      <c r="H104" s="12"/>
      <c r="I104" s="12"/>
    </row>
    <row r="105" spans="1:9" ht="14">
      <c r="A105" s="12"/>
      <c r="B105" s="12"/>
      <c r="C105" s="12"/>
      <c r="D105" s="12"/>
      <c r="E105" s="12"/>
      <c r="F105" s="12"/>
      <c r="G105" s="12"/>
      <c r="H105" s="12"/>
      <c r="I105" s="12"/>
    </row>
    <row r="106" spans="1:9" ht="14">
      <c r="A106" s="12"/>
      <c r="B106" s="12"/>
      <c r="C106" s="12"/>
      <c r="D106" s="12"/>
      <c r="E106" s="12"/>
      <c r="F106" s="12"/>
      <c r="G106" s="12"/>
      <c r="H106" s="12"/>
      <c r="I106" s="12"/>
    </row>
    <row r="107" spans="1:9" ht="14">
      <c r="A107" s="12"/>
      <c r="B107" s="12"/>
      <c r="C107" s="12"/>
      <c r="D107" s="12"/>
      <c r="E107" s="12"/>
      <c r="F107" s="12"/>
      <c r="G107" s="12"/>
      <c r="H107" s="12"/>
      <c r="I107" s="12"/>
    </row>
    <row r="108" spans="1:9" ht="14">
      <c r="A108" s="12"/>
      <c r="B108" s="12"/>
      <c r="C108" s="12"/>
      <c r="D108" s="12"/>
      <c r="E108" s="12"/>
      <c r="F108" s="12"/>
      <c r="G108" s="12"/>
      <c r="H108" s="12"/>
      <c r="I108" s="12"/>
    </row>
    <row r="109" spans="1:9" ht="14">
      <c r="A109" s="12"/>
      <c r="B109" s="12"/>
      <c r="C109" s="12"/>
      <c r="D109" s="12"/>
      <c r="E109" s="12"/>
      <c r="F109" s="12"/>
      <c r="G109" s="12"/>
      <c r="H109" s="12"/>
      <c r="I109" s="12"/>
    </row>
  </sheetData>
  <phoneticPr fontId="2" type="noConversion"/>
  <pageMargins left="0.75" right="0.75" top="1" bottom="1" header="0.5" footer="0.5"/>
  <pageSetup scale="97" fitToHeight="8" orientation="portrait"/>
  <headerFooter alignWithMargins="0">
    <oddFooter>&amp;L2009-2010&amp;C&amp;A&amp;RPage &amp;P of &amp;N</oddFooter>
  </headerFooter>
  <ignoredErrors>
    <ignoredError sqref="E66" formula="1"/>
  </ignoredErrors>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H29"/>
  <sheetViews>
    <sheetView workbookViewId="0"/>
  </sheetViews>
  <sheetFormatPr baseColWidth="10" defaultColWidth="8.83203125" defaultRowHeight="12" x14ac:dyDescent="0"/>
  <cols>
    <col min="1" max="1" width="48.6640625" customWidth="1"/>
    <col min="2" max="2" width="14" customWidth="1"/>
    <col min="3" max="3" width="55.5" customWidth="1"/>
    <col min="4" max="4" width="16.6640625" customWidth="1"/>
    <col min="5" max="5" width="14.5" customWidth="1"/>
    <col min="6" max="6" width="10.5" customWidth="1"/>
  </cols>
  <sheetData>
    <row r="1" spans="1:8" ht="18">
      <c r="A1" s="214" t="s">
        <v>922</v>
      </c>
      <c r="B1" s="93"/>
      <c r="C1" s="93"/>
      <c r="D1" s="88"/>
      <c r="E1" s="88"/>
      <c r="F1" s="88"/>
      <c r="G1" s="88"/>
      <c r="H1" s="2"/>
    </row>
    <row r="2" spans="1:8" ht="14">
      <c r="A2" s="12"/>
      <c r="B2" s="12"/>
      <c r="C2" s="12"/>
      <c r="D2" s="12"/>
      <c r="E2" s="12"/>
      <c r="F2" s="12"/>
      <c r="G2" s="12"/>
    </row>
    <row r="3" spans="1:8" ht="29" thickBot="1">
      <c r="A3" s="30" t="s">
        <v>6</v>
      </c>
      <c r="B3" s="30" t="s">
        <v>896</v>
      </c>
      <c r="C3" s="30" t="s">
        <v>878</v>
      </c>
      <c r="D3" s="30" t="s">
        <v>923</v>
      </c>
      <c r="E3" s="30" t="s">
        <v>879</v>
      </c>
      <c r="F3" s="12"/>
      <c r="G3" s="12"/>
    </row>
    <row r="4" spans="1:8" ht="28">
      <c r="A4" s="133" t="s">
        <v>880</v>
      </c>
      <c r="B4" s="133" t="s">
        <v>427</v>
      </c>
      <c r="C4" s="133" t="s">
        <v>906</v>
      </c>
      <c r="D4" s="89">
        <v>5656</v>
      </c>
      <c r="E4" s="89">
        <v>354</v>
      </c>
      <c r="F4" s="12"/>
      <c r="G4" s="90"/>
    </row>
    <row r="5" spans="1:8" ht="28">
      <c r="A5" s="133" t="s">
        <v>881</v>
      </c>
      <c r="B5" s="133" t="s">
        <v>427</v>
      </c>
      <c r="C5" s="133" t="s">
        <v>907</v>
      </c>
      <c r="D5" s="89">
        <v>9292</v>
      </c>
      <c r="E5" s="165">
        <v>581</v>
      </c>
      <c r="F5" s="12"/>
      <c r="G5" s="90"/>
    </row>
    <row r="6" spans="1:8" ht="42">
      <c r="A6" s="133" t="s">
        <v>882</v>
      </c>
      <c r="B6" s="133" t="s">
        <v>897</v>
      </c>
      <c r="C6" s="113" t="s">
        <v>916</v>
      </c>
      <c r="D6" s="89">
        <v>22700</v>
      </c>
      <c r="E6" s="165">
        <v>0</v>
      </c>
      <c r="F6" s="12"/>
      <c r="G6" s="90"/>
    </row>
    <row r="7" spans="1:8" ht="28">
      <c r="A7" s="133" t="s">
        <v>883</v>
      </c>
      <c r="B7" s="133" t="s">
        <v>257</v>
      </c>
      <c r="C7" s="113" t="s">
        <v>917</v>
      </c>
      <c r="D7" s="89">
        <v>7690</v>
      </c>
      <c r="E7" s="165">
        <v>0</v>
      </c>
      <c r="F7" s="12"/>
      <c r="G7" s="90"/>
    </row>
    <row r="8" spans="1:8" ht="42">
      <c r="A8" s="133" t="s">
        <v>884</v>
      </c>
      <c r="B8" s="133" t="s">
        <v>898</v>
      </c>
      <c r="C8" s="113" t="s">
        <v>918</v>
      </c>
      <c r="D8" s="89">
        <v>5145</v>
      </c>
      <c r="E8" s="165">
        <v>282</v>
      </c>
      <c r="F8" s="12"/>
      <c r="G8" s="90"/>
    </row>
    <row r="9" spans="1:8" ht="14">
      <c r="A9" s="133" t="s">
        <v>885</v>
      </c>
      <c r="B9" s="133" t="s">
        <v>241</v>
      </c>
      <c r="C9" s="133" t="s">
        <v>908</v>
      </c>
      <c r="D9" s="89">
        <v>9500</v>
      </c>
      <c r="E9" s="165">
        <v>5000</v>
      </c>
      <c r="F9" s="12"/>
      <c r="G9" s="90"/>
    </row>
    <row r="10" spans="1:8" ht="14">
      <c r="A10" s="133" t="s">
        <v>886</v>
      </c>
      <c r="B10" s="133" t="s">
        <v>241</v>
      </c>
      <c r="C10" s="133" t="s">
        <v>909</v>
      </c>
      <c r="D10" s="89">
        <v>6000</v>
      </c>
      <c r="E10" s="165">
        <v>1800</v>
      </c>
      <c r="F10" s="12"/>
      <c r="G10" s="90"/>
    </row>
    <row r="11" spans="1:8" ht="28">
      <c r="A11" s="133" t="s">
        <v>887</v>
      </c>
      <c r="B11" s="133" t="s">
        <v>427</v>
      </c>
      <c r="C11" s="133" t="s">
        <v>910</v>
      </c>
      <c r="D11" s="89">
        <v>9292</v>
      </c>
      <c r="E11" s="165">
        <v>581</v>
      </c>
      <c r="F11" s="12"/>
      <c r="G11" s="90"/>
    </row>
    <row r="12" spans="1:8" ht="28">
      <c r="A12" s="133" t="s">
        <v>888</v>
      </c>
      <c r="B12" s="133" t="s">
        <v>899</v>
      </c>
      <c r="C12" s="133" t="s">
        <v>919</v>
      </c>
      <c r="D12" s="89">
        <v>25000</v>
      </c>
      <c r="E12" s="165">
        <v>0</v>
      </c>
      <c r="F12" s="12"/>
      <c r="G12" s="90"/>
    </row>
    <row r="13" spans="1:8" ht="28">
      <c r="A13" s="133" t="s">
        <v>889</v>
      </c>
      <c r="B13" s="133" t="s">
        <v>900</v>
      </c>
      <c r="C13" s="133" t="s">
        <v>920</v>
      </c>
      <c r="D13" s="89">
        <v>35000</v>
      </c>
      <c r="E13" s="165">
        <v>0</v>
      </c>
      <c r="F13" s="12"/>
      <c r="G13" s="90"/>
    </row>
    <row r="14" spans="1:8" ht="14">
      <c r="A14" s="133" t="s">
        <v>890</v>
      </c>
      <c r="B14" s="133" t="s">
        <v>901</v>
      </c>
      <c r="C14" s="133" t="s">
        <v>911</v>
      </c>
      <c r="D14" s="89">
        <v>285.14</v>
      </c>
      <c r="E14" s="165">
        <v>0</v>
      </c>
      <c r="F14" s="12"/>
      <c r="G14" s="90"/>
    </row>
    <row r="15" spans="1:8" ht="28">
      <c r="A15" s="133" t="s">
        <v>891</v>
      </c>
      <c r="B15" s="133" t="s">
        <v>902</v>
      </c>
      <c r="C15" s="113" t="s">
        <v>921</v>
      </c>
      <c r="D15" s="89">
        <v>5040</v>
      </c>
      <c r="E15" s="166" t="s">
        <v>135</v>
      </c>
      <c r="F15" s="12"/>
      <c r="G15" s="90"/>
    </row>
    <row r="16" spans="1:8" ht="28">
      <c r="A16" s="133" t="s">
        <v>892</v>
      </c>
      <c r="B16" s="133" t="s">
        <v>903</v>
      </c>
      <c r="C16" s="133" t="s">
        <v>912</v>
      </c>
      <c r="D16" s="89">
        <v>4750</v>
      </c>
      <c r="E16" s="165">
        <v>0</v>
      </c>
      <c r="F16" s="12"/>
      <c r="G16" s="90"/>
    </row>
    <row r="17" spans="1:7" ht="28">
      <c r="A17" s="133" t="s">
        <v>893</v>
      </c>
      <c r="B17" s="133" t="s">
        <v>427</v>
      </c>
      <c r="C17" s="133" t="s">
        <v>913</v>
      </c>
      <c r="D17" s="89">
        <v>3880</v>
      </c>
      <c r="E17" s="165">
        <v>243</v>
      </c>
      <c r="F17" s="12"/>
      <c r="G17" s="90"/>
    </row>
    <row r="18" spans="1:7" ht="42">
      <c r="A18" s="133" t="s">
        <v>895</v>
      </c>
      <c r="B18" s="133" t="s">
        <v>904</v>
      </c>
      <c r="C18" s="133" t="s">
        <v>914</v>
      </c>
      <c r="D18" s="89">
        <v>6025.5</v>
      </c>
      <c r="E18" s="165">
        <v>495</v>
      </c>
      <c r="F18" s="12"/>
      <c r="G18" s="90"/>
    </row>
    <row r="19" spans="1:7" ht="42">
      <c r="A19" s="133" t="s">
        <v>924</v>
      </c>
      <c r="B19" s="133" t="s">
        <v>904</v>
      </c>
      <c r="C19" s="133" t="s">
        <v>915</v>
      </c>
      <c r="D19" s="89">
        <v>18450</v>
      </c>
      <c r="E19" s="165">
        <v>495</v>
      </c>
      <c r="F19" s="12"/>
      <c r="G19" s="90"/>
    </row>
    <row r="20" spans="1:7" ht="29" thickBot="1">
      <c r="A20" s="133" t="s">
        <v>894</v>
      </c>
      <c r="B20" s="133" t="s">
        <v>905</v>
      </c>
      <c r="C20" s="133" t="s">
        <v>925</v>
      </c>
      <c r="D20" s="89">
        <v>10400</v>
      </c>
      <c r="E20" s="165">
        <v>500</v>
      </c>
      <c r="F20" s="12"/>
      <c r="G20" s="90"/>
    </row>
    <row r="21" spans="1:7" ht="15" thickBot="1">
      <c r="A21" s="94" t="s">
        <v>7</v>
      </c>
      <c r="B21" s="94"/>
      <c r="C21" s="94"/>
      <c r="D21" s="164">
        <f>SUM(D4:D20)</f>
        <v>184105.64</v>
      </c>
      <c r="E21" s="164">
        <f>SUM(E4:E20)</f>
        <v>10331</v>
      </c>
      <c r="F21" s="12"/>
      <c r="G21" s="12"/>
    </row>
    <row r="22" spans="1:7" ht="14">
      <c r="A22" s="92"/>
      <c r="B22" s="92"/>
      <c r="C22" s="92"/>
      <c r="E22" s="124"/>
      <c r="F22" s="12"/>
      <c r="G22" s="12"/>
    </row>
    <row r="23" spans="1:7" ht="14">
      <c r="A23" s="92"/>
      <c r="B23" s="92"/>
      <c r="C23" s="92"/>
      <c r="F23" s="12"/>
      <c r="G23" s="12"/>
    </row>
    <row r="24" spans="1:7" ht="14">
      <c r="A24" s="12"/>
      <c r="B24" s="12"/>
      <c r="C24" s="12"/>
      <c r="D24" s="12"/>
      <c r="E24" s="12"/>
      <c r="F24" s="12"/>
      <c r="G24" s="12"/>
    </row>
    <row r="25" spans="1:7" ht="14">
      <c r="A25" s="12"/>
      <c r="B25" s="12"/>
      <c r="C25" s="12"/>
      <c r="D25" s="12"/>
      <c r="E25" s="12"/>
      <c r="F25" s="12"/>
      <c r="G25" s="12"/>
    </row>
    <row r="26" spans="1:7" ht="14">
      <c r="A26" s="12"/>
      <c r="B26" s="12"/>
      <c r="C26" s="12"/>
      <c r="D26" s="12"/>
      <c r="E26" s="12"/>
      <c r="F26" s="12"/>
      <c r="G26" s="12"/>
    </row>
    <row r="27" spans="1:7" ht="14">
      <c r="A27" s="12"/>
      <c r="B27" s="12"/>
      <c r="C27" s="12"/>
      <c r="D27" s="12"/>
      <c r="E27" s="12"/>
      <c r="F27" s="12"/>
      <c r="G27" s="12"/>
    </row>
    <row r="28" spans="1:7" ht="14">
      <c r="A28" s="12"/>
      <c r="B28" s="12"/>
      <c r="C28" s="12"/>
      <c r="D28" s="12"/>
      <c r="E28" s="12"/>
      <c r="F28" s="12"/>
      <c r="G28" s="12"/>
    </row>
    <row r="29" spans="1:7" ht="14">
      <c r="A29" s="12"/>
      <c r="B29" s="12"/>
      <c r="C29" s="12"/>
      <c r="D29" s="12"/>
      <c r="E29" s="12"/>
      <c r="F29" s="12"/>
      <c r="G29" s="12"/>
    </row>
  </sheetData>
  <phoneticPr fontId="2" type="noConversion"/>
  <pageMargins left="0.75" right="0.75" top="1" bottom="1" header="0.5" footer="0.5"/>
  <pageSetup scale="76" fitToHeight="6" orientation="landscape"/>
  <headerFooter alignWithMargins="0">
    <oddFooter>&amp;L2009-2010&amp;C&amp;A&amp;RPage &amp;P of &amp;N</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9"/>
  <sheetViews>
    <sheetView workbookViewId="0"/>
  </sheetViews>
  <sheetFormatPr baseColWidth="10" defaultColWidth="8.83203125" defaultRowHeight="12" x14ac:dyDescent="0"/>
  <cols>
    <col min="3" max="3" width="40.33203125" bestFit="1" customWidth="1"/>
    <col min="4" max="5" width="13.5" bestFit="1" customWidth="1"/>
    <col min="6" max="6" width="7.6640625" bestFit="1" customWidth="1"/>
  </cols>
  <sheetData>
    <row r="1" spans="1:7" ht="18">
      <c r="A1" s="213" t="s">
        <v>942</v>
      </c>
      <c r="B1" s="212"/>
      <c r="C1" s="11"/>
      <c r="D1" s="12"/>
      <c r="E1" s="12"/>
      <c r="F1" s="12"/>
      <c r="G1" s="12"/>
    </row>
    <row r="2" spans="1:7" ht="14">
      <c r="A2" s="12"/>
      <c r="B2" s="12"/>
      <c r="C2" s="12"/>
      <c r="D2" s="12"/>
      <c r="E2" s="12"/>
      <c r="F2" s="12"/>
      <c r="G2" s="12"/>
    </row>
    <row r="3" spans="1:7" ht="37.5" customHeight="1" thickBot="1">
      <c r="A3" s="29" t="s">
        <v>8</v>
      </c>
      <c r="B3" s="29" t="s">
        <v>136</v>
      </c>
      <c r="C3" s="29" t="s">
        <v>3</v>
      </c>
      <c r="D3" s="30" t="s">
        <v>5</v>
      </c>
      <c r="E3" s="30" t="s">
        <v>462</v>
      </c>
      <c r="F3" s="30" t="s">
        <v>370</v>
      </c>
      <c r="G3" s="30" t="s">
        <v>933</v>
      </c>
    </row>
    <row r="4" spans="1:7" ht="14">
      <c r="A4" s="79" t="s">
        <v>160</v>
      </c>
      <c r="B4" s="79" t="s">
        <v>137</v>
      </c>
      <c r="C4" s="79" t="s">
        <v>163</v>
      </c>
      <c r="D4" s="57">
        <v>26731.9</v>
      </c>
      <c r="E4" s="57">
        <v>10051.59</v>
      </c>
      <c r="F4" s="80">
        <f t="shared" ref="F4:F33" si="0">(E4-D4)/D4</f>
        <v>-0.62398520120156065</v>
      </c>
      <c r="G4" s="132">
        <f t="shared" ref="G4:G22" si="1">E4/$E$34</f>
        <v>3.6202058817844146E-3</v>
      </c>
    </row>
    <row r="5" spans="1:7" ht="14">
      <c r="A5" s="35" t="s">
        <v>161</v>
      </c>
      <c r="B5" s="35" t="s">
        <v>378</v>
      </c>
      <c r="C5" s="35" t="s">
        <v>379</v>
      </c>
      <c r="D5" s="55">
        <v>665</v>
      </c>
      <c r="E5" s="55">
        <v>735</v>
      </c>
      <c r="F5" s="34">
        <f t="shared" si="0"/>
        <v>0.10526315789473684</v>
      </c>
      <c r="G5" s="131">
        <f t="shared" si="1"/>
        <v>2.6471944469596794E-4</v>
      </c>
    </row>
    <row r="6" spans="1:7" ht="14">
      <c r="A6" s="35" t="s">
        <v>161</v>
      </c>
      <c r="B6" s="35" t="s">
        <v>138</v>
      </c>
      <c r="C6" s="35" t="s">
        <v>164</v>
      </c>
      <c r="D6" s="55">
        <v>7658</v>
      </c>
      <c r="E6" s="55">
        <v>5018</v>
      </c>
      <c r="F6" s="34">
        <f t="shared" si="0"/>
        <v>-0.34473752938103941</v>
      </c>
      <c r="G6" s="131">
        <f t="shared" si="1"/>
        <v>1.8072954741283908E-3</v>
      </c>
    </row>
    <row r="7" spans="1:7" ht="14">
      <c r="A7" s="35" t="s">
        <v>161</v>
      </c>
      <c r="B7" s="35" t="s">
        <v>139</v>
      </c>
      <c r="C7" s="35" t="s">
        <v>165</v>
      </c>
      <c r="D7" s="55">
        <v>383</v>
      </c>
      <c r="E7" s="55">
        <v>383</v>
      </c>
      <c r="F7" s="34">
        <f t="shared" si="0"/>
        <v>0</v>
      </c>
      <c r="G7" s="131">
        <f t="shared" si="1"/>
        <v>1.3794224124973568E-4</v>
      </c>
    </row>
    <row r="8" spans="1:7" ht="14">
      <c r="A8" s="35" t="s">
        <v>161</v>
      </c>
      <c r="B8" s="35" t="s">
        <v>140</v>
      </c>
      <c r="C8" s="35" t="s">
        <v>166</v>
      </c>
      <c r="D8" s="55">
        <v>5446.01</v>
      </c>
      <c r="E8" s="55">
        <v>15086.98</v>
      </c>
      <c r="F8" s="34">
        <f t="shared" si="0"/>
        <v>1.7702813619512265</v>
      </c>
      <c r="G8" s="131">
        <f t="shared" si="1"/>
        <v>5.4337645819580605E-3</v>
      </c>
    </row>
    <row r="9" spans="1:7" ht="14">
      <c r="A9" s="35" t="s">
        <v>161</v>
      </c>
      <c r="B9" s="35" t="s">
        <v>141</v>
      </c>
      <c r="C9" s="35" t="s">
        <v>167</v>
      </c>
      <c r="D9" s="55">
        <v>1550</v>
      </c>
      <c r="E9" s="55">
        <v>1630</v>
      </c>
      <c r="F9" s="34">
        <f t="shared" si="0"/>
        <v>5.1612903225806452E-2</v>
      </c>
      <c r="G9" s="131">
        <f t="shared" si="1"/>
        <v>5.8706489095840513E-4</v>
      </c>
    </row>
    <row r="10" spans="1:7" ht="14">
      <c r="A10" s="35" t="s">
        <v>161</v>
      </c>
      <c r="B10" s="35" t="s">
        <v>142</v>
      </c>
      <c r="C10" s="35" t="s">
        <v>168</v>
      </c>
      <c r="D10" s="55">
        <v>2704.54</v>
      </c>
      <c r="E10" s="55">
        <v>3001.05</v>
      </c>
      <c r="F10" s="34">
        <f t="shared" si="0"/>
        <v>0.1096341706907645</v>
      </c>
      <c r="G10" s="131">
        <f t="shared" si="1"/>
        <v>1.0808657000065777E-3</v>
      </c>
    </row>
    <row r="11" spans="1:7" ht="14">
      <c r="A11" s="35" t="s">
        <v>161</v>
      </c>
      <c r="B11" s="35" t="s">
        <v>931</v>
      </c>
      <c r="C11" s="35" t="s">
        <v>932</v>
      </c>
      <c r="D11" s="55">
        <v>0</v>
      </c>
      <c r="E11" s="55">
        <v>425</v>
      </c>
      <c r="F11" s="56" t="s">
        <v>792</v>
      </c>
      <c r="G11" s="131">
        <f t="shared" si="1"/>
        <v>1.5306906666093386E-4</v>
      </c>
    </row>
    <row r="12" spans="1:7" ht="14">
      <c r="A12" s="35" t="s">
        <v>161</v>
      </c>
      <c r="B12" s="35" t="s">
        <v>380</v>
      </c>
      <c r="C12" s="35" t="s">
        <v>381</v>
      </c>
      <c r="D12" s="55">
        <v>149.5</v>
      </c>
      <c r="E12" s="55">
        <v>149.5</v>
      </c>
      <c r="F12" s="34">
        <f t="shared" si="0"/>
        <v>0</v>
      </c>
      <c r="G12" s="131">
        <f t="shared" si="1"/>
        <v>5.3844295213669674E-5</v>
      </c>
    </row>
    <row r="13" spans="1:7" ht="14">
      <c r="A13" s="79" t="s">
        <v>161</v>
      </c>
      <c r="B13" s="79" t="s">
        <v>143</v>
      </c>
      <c r="C13" s="79" t="s">
        <v>169</v>
      </c>
      <c r="D13" s="57">
        <v>693789.18</v>
      </c>
      <c r="E13" s="57">
        <v>705217.42</v>
      </c>
      <c r="F13" s="80">
        <f t="shared" si="0"/>
        <v>1.6472208459636095E-2</v>
      </c>
      <c r="G13" s="132">
        <f t="shared" si="1"/>
        <v>0.25399287593513364</v>
      </c>
    </row>
    <row r="14" spans="1:7" ht="14">
      <c r="A14" s="35" t="s">
        <v>161</v>
      </c>
      <c r="B14" s="35" t="s">
        <v>144</v>
      </c>
      <c r="C14" s="35" t="s">
        <v>170</v>
      </c>
      <c r="D14" s="55">
        <f>2279.1+522.3</f>
        <v>2801.3999999999996</v>
      </c>
      <c r="E14" s="55">
        <v>6653.45</v>
      </c>
      <c r="F14" s="34">
        <f t="shared" si="0"/>
        <v>1.3750446205468696</v>
      </c>
      <c r="G14" s="131">
        <f t="shared" si="1"/>
        <v>2.3963232507651536E-3</v>
      </c>
    </row>
    <row r="15" spans="1:7" ht="14">
      <c r="A15" s="35" t="s">
        <v>161</v>
      </c>
      <c r="B15" s="35" t="s">
        <v>145</v>
      </c>
      <c r="C15" s="35" t="s">
        <v>171</v>
      </c>
      <c r="D15" s="55">
        <v>148.68</v>
      </c>
      <c r="E15" s="55">
        <v>141.6</v>
      </c>
      <c r="F15" s="34">
        <f t="shared" si="0"/>
        <v>-4.76190476190477E-2</v>
      </c>
      <c r="G15" s="131">
        <f t="shared" si="1"/>
        <v>5.0999011386325257E-5</v>
      </c>
    </row>
    <row r="16" spans="1:7" ht="14">
      <c r="A16" s="79" t="s">
        <v>161</v>
      </c>
      <c r="B16" s="79" t="s">
        <v>146</v>
      </c>
      <c r="C16" s="79" t="s">
        <v>172</v>
      </c>
      <c r="D16" s="57">
        <v>1876838.55</v>
      </c>
      <c r="E16" s="57">
        <v>1990607.2</v>
      </c>
      <c r="F16" s="80">
        <f t="shared" si="0"/>
        <v>6.0617174556650014E-2</v>
      </c>
      <c r="G16" s="132">
        <f t="shared" si="1"/>
        <v>0.71694208515890567</v>
      </c>
    </row>
    <row r="17" spans="1:7" ht="14">
      <c r="A17" s="35" t="s">
        <v>161</v>
      </c>
      <c r="B17" s="35" t="s">
        <v>934</v>
      </c>
      <c r="C17" s="35" t="s">
        <v>935</v>
      </c>
      <c r="D17" s="55">
        <v>0</v>
      </c>
      <c r="E17" s="55">
        <v>8750</v>
      </c>
      <c r="F17" s="56" t="s">
        <v>792</v>
      </c>
      <c r="G17" s="131">
        <f t="shared" si="1"/>
        <v>3.1514219606662854E-3</v>
      </c>
    </row>
    <row r="18" spans="1:7" ht="14">
      <c r="A18" s="35" t="s">
        <v>161</v>
      </c>
      <c r="B18" s="35" t="s">
        <v>147</v>
      </c>
      <c r="C18" s="35" t="s">
        <v>173</v>
      </c>
      <c r="D18" s="55">
        <v>0</v>
      </c>
      <c r="E18" s="55">
        <v>1087.2</v>
      </c>
      <c r="F18" s="56" t="s">
        <v>792</v>
      </c>
      <c r="G18" s="131">
        <f t="shared" si="1"/>
        <v>3.9156868064415835E-4</v>
      </c>
    </row>
    <row r="19" spans="1:7" ht="14">
      <c r="A19" s="35" t="s">
        <v>161</v>
      </c>
      <c r="B19" s="35" t="s">
        <v>148</v>
      </c>
      <c r="C19" s="35" t="s">
        <v>174</v>
      </c>
      <c r="D19" s="55">
        <v>3083.09</v>
      </c>
      <c r="E19" s="55">
        <v>3438.09</v>
      </c>
      <c r="F19" s="34">
        <f t="shared" si="0"/>
        <v>0.11514422219267033</v>
      </c>
      <c r="G19" s="131">
        <f t="shared" si="1"/>
        <v>1.2382711232853884E-3</v>
      </c>
    </row>
    <row r="20" spans="1:7" ht="14">
      <c r="A20" s="35" t="s">
        <v>161</v>
      </c>
      <c r="B20" s="35" t="s">
        <v>149</v>
      </c>
      <c r="C20" s="35" t="s">
        <v>175</v>
      </c>
      <c r="D20" s="55">
        <v>1592.33</v>
      </c>
      <c r="E20" s="55">
        <v>1733.42</v>
      </c>
      <c r="F20" s="34">
        <f t="shared" si="0"/>
        <v>8.8606005036644508E-2</v>
      </c>
      <c r="G20" s="131">
        <f t="shared" si="1"/>
        <v>6.2431289772093169E-4</v>
      </c>
    </row>
    <row r="21" spans="1:7" ht="14">
      <c r="A21" s="35" t="s">
        <v>161</v>
      </c>
      <c r="B21" s="35" t="s">
        <v>150</v>
      </c>
      <c r="C21" s="35" t="s">
        <v>176</v>
      </c>
      <c r="D21" s="55">
        <v>641</v>
      </c>
      <c r="E21" s="55">
        <v>0</v>
      </c>
      <c r="F21" s="34">
        <f t="shared" si="0"/>
        <v>-1</v>
      </c>
      <c r="G21" s="131">
        <f t="shared" si="1"/>
        <v>0</v>
      </c>
    </row>
    <row r="22" spans="1:7" ht="14">
      <c r="A22" s="35" t="s">
        <v>161</v>
      </c>
      <c r="B22" s="35" t="s">
        <v>151</v>
      </c>
      <c r="C22" s="35" t="s">
        <v>177</v>
      </c>
      <c r="D22" s="55">
        <v>18000</v>
      </c>
      <c r="E22" s="55">
        <v>0</v>
      </c>
      <c r="F22" s="34">
        <f t="shared" si="0"/>
        <v>-1</v>
      </c>
      <c r="G22" s="131">
        <f t="shared" si="1"/>
        <v>0</v>
      </c>
    </row>
    <row r="23" spans="1:7" ht="14">
      <c r="A23" s="35" t="s">
        <v>161</v>
      </c>
      <c r="B23" s="35" t="s">
        <v>938</v>
      </c>
      <c r="C23" s="35" t="s">
        <v>939</v>
      </c>
      <c r="D23" s="55">
        <v>0</v>
      </c>
      <c r="E23" s="55">
        <v>299.38</v>
      </c>
      <c r="F23" s="56" t="s">
        <v>792</v>
      </c>
      <c r="G23" s="131">
        <f t="shared" ref="G23:G25" si="2">E23/$E$34</f>
        <v>1.0782545218105972E-4</v>
      </c>
    </row>
    <row r="24" spans="1:7" ht="14">
      <c r="A24" s="35" t="s">
        <v>161</v>
      </c>
      <c r="B24" s="35" t="s">
        <v>152</v>
      </c>
      <c r="C24" s="35" t="s">
        <v>178</v>
      </c>
      <c r="D24" s="55">
        <v>12194.21</v>
      </c>
      <c r="E24" s="55">
        <v>5770.01</v>
      </c>
      <c r="F24" s="34">
        <f t="shared" si="0"/>
        <v>-0.52682379588345607</v>
      </c>
      <c r="G24" s="131">
        <f t="shared" si="2"/>
        <v>2.0781412831158939E-3</v>
      </c>
    </row>
    <row r="25" spans="1:7" ht="14">
      <c r="A25" s="35" t="s">
        <v>161</v>
      </c>
      <c r="B25" s="35" t="s">
        <v>940</v>
      </c>
      <c r="C25" s="35" t="s">
        <v>941</v>
      </c>
      <c r="D25" s="55">
        <v>0</v>
      </c>
      <c r="E25" s="55">
        <v>7690</v>
      </c>
      <c r="F25" s="56" t="s">
        <v>792</v>
      </c>
      <c r="G25" s="131">
        <f t="shared" si="2"/>
        <v>2.7696497002884265E-3</v>
      </c>
    </row>
    <row r="26" spans="1:7" ht="14">
      <c r="A26" s="35" t="s">
        <v>161</v>
      </c>
      <c r="B26" s="35" t="s">
        <v>382</v>
      </c>
      <c r="C26" s="35" t="s">
        <v>383</v>
      </c>
      <c r="D26" s="55">
        <v>755.25</v>
      </c>
      <c r="E26" s="55">
        <v>829</v>
      </c>
      <c r="F26" s="34">
        <f t="shared" si="0"/>
        <v>9.7649784839457132E-2</v>
      </c>
      <c r="G26" s="131">
        <f t="shared" ref="G26:G34" si="3">E26/$E$34</f>
        <v>2.9857472061626861E-4</v>
      </c>
    </row>
    <row r="27" spans="1:7" ht="14">
      <c r="A27" s="35" t="s">
        <v>161</v>
      </c>
      <c r="B27" s="35" t="s">
        <v>153</v>
      </c>
      <c r="C27" s="35" t="s">
        <v>179</v>
      </c>
      <c r="D27" s="55">
        <v>0</v>
      </c>
      <c r="E27" s="55">
        <v>150</v>
      </c>
      <c r="F27" s="56" t="s">
        <v>792</v>
      </c>
      <c r="G27" s="131">
        <f t="shared" si="3"/>
        <v>5.4024376468564889E-5</v>
      </c>
    </row>
    <row r="28" spans="1:7" ht="14">
      <c r="A28" s="35" t="s">
        <v>161</v>
      </c>
      <c r="B28" s="35" t="s">
        <v>154</v>
      </c>
      <c r="C28" s="35" t="s">
        <v>180</v>
      </c>
      <c r="D28" s="55">
        <v>9035</v>
      </c>
      <c r="E28" s="55">
        <v>1112.5</v>
      </c>
      <c r="F28" s="34">
        <f t="shared" si="0"/>
        <v>-0.87686773657996675</v>
      </c>
      <c r="G28" s="131">
        <f t="shared" si="3"/>
        <v>4.0068079214185628E-4</v>
      </c>
    </row>
    <row r="29" spans="1:7" ht="14">
      <c r="A29" s="35" t="s">
        <v>161</v>
      </c>
      <c r="B29" s="35" t="s">
        <v>155</v>
      </c>
      <c r="C29" s="35" t="s">
        <v>181</v>
      </c>
      <c r="D29" s="55">
        <v>3457</v>
      </c>
      <c r="E29" s="55">
        <v>2205</v>
      </c>
      <c r="F29" s="34">
        <f t="shared" si="0"/>
        <v>-0.3621637257737923</v>
      </c>
      <c r="G29" s="131">
        <f t="shared" si="3"/>
        <v>7.9415833408790393E-4</v>
      </c>
    </row>
    <row r="30" spans="1:7" ht="14">
      <c r="A30" s="35" t="s">
        <v>162</v>
      </c>
      <c r="B30" s="35" t="s">
        <v>156</v>
      </c>
      <c r="C30" s="35" t="s">
        <v>182</v>
      </c>
      <c r="D30" s="55">
        <v>380.86</v>
      </c>
      <c r="E30" s="55">
        <v>400.7</v>
      </c>
      <c r="F30" s="34">
        <f t="shared" si="0"/>
        <v>5.2092632463372299E-2</v>
      </c>
      <c r="G30" s="131">
        <f t="shared" si="3"/>
        <v>1.4431711767302633E-4</v>
      </c>
    </row>
    <row r="31" spans="1:7" ht="14">
      <c r="A31" s="79" t="s">
        <v>162</v>
      </c>
      <c r="B31" s="79" t="s">
        <v>157</v>
      </c>
      <c r="C31" s="79" t="s">
        <v>183</v>
      </c>
      <c r="D31" s="57">
        <v>2829.76</v>
      </c>
      <c r="E31" s="57">
        <v>3166.82</v>
      </c>
      <c r="F31" s="80">
        <f t="shared" si="0"/>
        <v>0.11911257491801422</v>
      </c>
      <c r="G31" s="132">
        <f t="shared" si="3"/>
        <v>1.1405698392545377E-3</v>
      </c>
    </row>
    <row r="32" spans="1:7" ht="14">
      <c r="A32" s="35" t="s">
        <v>162</v>
      </c>
      <c r="B32" s="35" t="s">
        <v>936</v>
      </c>
      <c r="C32" s="35" t="s">
        <v>937</v>
      </c>
      <c r="D32" s="55">
        <v>0</v>
      </c>
      <c r="E32" s="55">
        <v>363.5</v>
      </c>
      <c r="F32" s="56" t="s">
        <v>792</v>
      </c>
      <c r="G32" s="131">
        <f t="shared" si="3"/>
        <v>1.3091907230882224E-4</v>
      </c>
    </row>
    <row r="33" spans="1:7" ht="14">
      <c r="A33" s="35" t="s">
        <v>162</v>
      </c>
      <c r="B33" s="35" t="s">
        <v>159</v>
      </c>
      <c r="C33" s="35" t="s">
        <v>185</v>
      </c>
      <c r="D33" s="55">
        <v>419</v>
      </c>
      <c r="E33" s="55">
        <v>429</v>
      </c>
      <c r="F33" s="34">
        <f t="shared" si="0"/>
        <v>2.386634844868735E-2</v>
      </c>
      <c r="G33" s="173">
        <f t="shared" si="3"/>
        <v>1.5450971670009559E-4</v>
      </c>
    </row>
    <row r="34" spans="1:7" ht="14">
      <c r="A34" s="12"/>
      <c r="B34" s="12"/>
      <c r="C34" s="174" t="s">
        <v>7</v>
      </c>
      <c r="D34" s="130">
        <f>SUM(D4:D33)</f>
        <v>2671253.2599999998</v>
      </c>
      <c r="E34" s="130">
        <f>SUM(E4:E33)</f>
        <v>2776524.4099999997</v>
      </c>
      <c r="F34" s="12"/>
      <c r="G34" s="44">
        <f t="shared" si="3"/>
        <v>1</v>
      </c>
    </row>
    <row r="35" spans="1:7" ht="14">
      <c r="A35" s="12"/>
      <c r="B35" s="12"/>
      <c r="C35" s="12"/>
      <c r="D35" s="12"/>
      <c r="E35" s="12"/>
      <c r="F35" s="12"/>
      <c r="G35" s="12"/>
    </row>
    <row r="36" spans="1:7" ht="14">
      <c r="A36" s="12"/>
      <c r="B36" s="12"/>
      <c r="C36" s="12"/>
      <c r="D36" s="12"/>
      <c r="E36" s="12"/>
      <c r="F36" s="12"/>
      <c r="G36" s="12"/>
    </row>
    <row r="37" spans="1:7" ht="14">
      <c r="A37" s="12"/>
      <c r="B37" s="12"/>
      <c r="C37" s="12"/>
      <c r="D37" s="12"/>
      <c r="E37" s="12"/>
      <c r="F37" s="12"/>
      <c r="G37" s="12"/>
    </row>
    <row r="38" spans="1:7" ht="14">
      <c r="A38" s="12"/>
      <c r="B38" s="12"/>
      <c r="C38" s="12"/>
      <c r="D38" s="12"/>
      <c r="E38" s="12"/>
      <c r="F38" s="12"/>
      <c r="G38" s="12"/>
    </row>
    <row r="39" spans="1:7" ht="14">
      <c r="A39" s="12"/>
      <c r="B39" s="12"/>
      <c r="C39" s="12"/>
      <c r="D39" s="12"/>
      <c r="E39" s="12"/>
      <c r="F39" s="12"/>
      <c r="G39" s="12"/>
    </row>
  </sheetData>
  <phoneticPr fontId="2" type="noConversion"/>
  <pageMargins left="0.75" right="0.75" top="1" bottom="1" header="0.5" footer="0.5"/>
  <pageSetup scale="82" fitToHeight="6" orientation="portrait"/>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2"/>
  <sheetViews>
    <sheetView workbookViewId="0"/>
  </sheetViews>
  <sheetFormatPr baseColWidth="10" defaultColWidth="8.83203125" defaultRowHeight="12" x14ac:dyDescent="0"/>
  <cols>
    <col min="3" max="3" width="40.33203125" bestFit="1" customWidth="1"/>
    <col min="4" max="4" width="13.5" bestFit="1" customWidth="1"/>
    <col min="5" max="5" width="13.6640625" bestFit="1" customWidth="1"/>
    <col min="6" max="6" width="8.1640625" bestFit="1" customWidth="1"/>
  </cols>
  <sheetData>
    <row r="1" spans="1:7" ht="18">
      <c r="A1" s="213" t="s">
        <v>930</v>
      </c>
      <c r="B1" s="212"/>
      <c r="C1" s="212"/>
      <c r="D1" s="12"/>
      <c r="E1" s="12"/>
      <c r="F1" s="12"/>
      <c r="G1" s="12"/>
    </row>
    <row r="2" spans="1:7" ht="14">
      <c r="A2" s="12"/>
      <c r="B2" s="12"/>
      <c r="C2" s="12"/>
      <c r="D2" s="12"/>
      <c r="E2" s="12"/>
      <c r="F2" s="12"/>
      <c r="G2" s="12"/>
    </row>
    <row r="3" spans="1:7" ht="37.5" customHeight="1" thickBot="1">
      <c r="A3" s="29" t="s">
        <v>8</v>
      </c>
      <c r="B3" s="29" t="s">
        <v>136</v>
      </c>
      <c r="C3" s="29" t="s">
        <v>3</v>
      </c>
      <c r="D3" s="30" t="s">
        <v>5</v>
      </c>
      <c r="E3" s="30" t="s">
        <v>462</v>
      </c>
      <c r="F3" s="30" t="s">
        <v>370</v>
      </c>
      <c r="G3" s="30" t="s">
        <v>933</v>
      </c>
    </row>
    <row r="4" spans="1:7" ht="14">
      <c r="A4" s="35" t="s">
        <v>160</v>
      </c>
      <c r="B4" s="35" t="s">
        <v>949</v>
      </c>
      <c r="C4" s="35" t="s">
        <v>972</v>
      </c>
      <c r="D4" s="55">
        <v>2701.13</v>
      </c>
      <c r="E4" s="55">
        <v>0</v>
      </c>
      <c r="F4" s="33">
        <f t="shared" ref="F4:F27" si="0">(E4-D4)/D4</f>
        <v>-1</v>
      </c>
      <c r="G4" s="173">
        <f t="shared" ref="G4:G29" si="1">E4/$E$29</f>
        <v>0</v>
      </c>
    </row>
    <row r="5" spans="1:7" ht="14">
      <c r="A5" s="35" t="s">
        <v>160</v>
      </c>
      <c r="B5" s="35" t="s">
        <v>950</v>
      </c>
      <c r="C5" s="35" t="s">
        <v>973</v>
      </c>
      <c r="D5" s="55">
        <v>0</v>
      </c>
      <c r="E5" s="55">
        <v>317.39</v>
      </c>
      <c r="F5" s="52" t="s">
        <v>792</v>
      </c>
      <c r="G5" s="173">
        <f t="shared" si="1"/>
        <v>8.7633562215811811E-4</v>
      </c>
    </row>
    <row r="6" spans="1:7" ht="14">
      <c r="A6" s="35" t="s">
        <v>160</v>
      </c>
      <c r="B6" s="35" t="s">
        <v>951</v>
      </c>
      <c r="C6" s="35" t="s">
        <v>974</v>
      </c>
      <c r="D6" s="55">
        <v>0</v>
      </c>
      <c r="E6" s="55">
        <v>87.5</v>
      </c>
      <c r="F6" s="52" t="s">
        <v>792</v>
      </c>
      <c r="G6" s="173">
        <f t="shared" si="1"/>
        <v>2.4159351882175033E-4</v>
      </c>
    </row>
    <row r="7" spans="1:7" ht="14">
      <c r="A7" s="35" t="s">
        <v>160</v>
      </c>
      <c r="B7" s="35" t="s">
        <v>952</v>
      </c>
      <c r="C7" s="35" t="s">
        <v>975</v>
      </c>
      <c r="D7" s="55">
        <v>0</v>
      </c>
      <c r="E7" s="55">
        <v>80</v>
      </c>
      <c r="F7" s="52" t="s">
        <v>792</v>
      </c>
      <c r="G7" s="173">
        <f t="shared" si="1"/>
        <v>2.2088550292274315E-4</v>
      </c>
    </row>
    <row r="8" spans="1:7" ht="14">
      <c r="A8" s="79" t="s">
        <v>161</v>
      </c>
      <c r="B8" s="79" t="s">
        <v>953</v>
      </c>
      <c r="C8" s="79" t="s">
        <v>948</v>
      </c>
      <c r="D8" s="57">
        <v>38010.79</v>
      </c>
      <c r="E8" s="57">
        <v>29477.24</v>
      </c>
      <c r="F8" s="121">
        <f t="shared" si="0"/>
        <v>-0.22450335812541647</v>
      </c>
      <c r="G8" s="62">
        <f t="shared" si="1"/>
        <v>8.1388687277180016E-2</v>
      </c>
    </row>
    <row r="9" spans="1:7" ht="14">
      <c r="A9" s="35" t="s">
        <v>161</v>
      </c>
      <c r="B9" s="35" t="s">
        <v>954</v>
      </c>
      <c r="C9" s="35" t="s">
        <v>976</v>
      </c>
      <c r="D9" s="55">
        <v>57</v>
      </c>
      <c r="E9" s="55">
        <v>0</v>
      </c>
      <c r="F9" s="33">
        <f t="shared" si="0"/>
        <v>-1</v>
      </c>
      <c r="G9" s="173">
        <f t="shared" si="1"/>
        <v>0</v>
      </c>
    </row>
    <row r="10" spans="1:7" ht="14">
      <c r="A10" s="35" t="s">
        <v>161</v>
      </c>
      <c r="B10" s="35" t="s">
        <v>955</v>
      </c>
      <c r="C10" s="35" t="s">
        <v>977</v>
      </c>
      <c r="D10" s="55">
        <v>0</v>
      </c>
      <c r="E10" s="55">
        <v>86.05</v>
      </c>
      <c r="F10" s="52" t="s">
        <v>792</v>
      </c>
      <c r="G10" s="173">
        <f t="shared" si="1"/>
        <v>2.3758996908127559E-4</v>
      </c>
    </row>
    <row r="11" spans="1:7" ht="14">
      <c r="A11" s="35" t="s">
        <v>161</v>
      </c>
      <c r="B11" s="35" t="s">
        <v>956</v>
      </c>
      <c r="C11" s="35" t="s">
        <v>978</v>
      </c>
      <c r="D11" s="55">
        <v>123.41</v>
      </c>
      <c r="E11" s="55">
        <v>0</v>
      </c>
      <c r="F11" s="33">
        <f t="shared" si="0"/>
        <v>-1</v>
      </c>
      <c r="G11" s="173">
        <f t="shared" si="1"/>
        <v>0</v>
      </c>
    </row>
    <row r="12" spans="1:7" ht="14">
      <c r="A12" s="35" t="s">
        <v>161</v>
      </c>
      <c r="B12" s="35" t="s">
        <v>957</v>
      </c>
      <c r="C12" s="35" t="s">
        <v>978</v>
      </c>
      <c r="D12" s="55">
        <v>24.16</v>
      </c>
      <c r="E12" s="55">
        <v>15.25</v>
      </c>
      <c r="F12" s="33">
        <f t="shared" si="0"/>
        <v>-0.36879139072847683</v>
      </c>
      <c r="G12" s="173">
        <f t="shared" si="1"/>
        <v>4.2106298994647915E-5</v>
      </c>
    </row>
    <row r="13" spans="1:7" ht="14">
      <c r="A13" s="35" t="s">
        <v>161</v>
      </c>
      <c r="B13" s="35" t="s">
        <v>958</v>
      </c>
      <c r="C13" s="35" t="s">
        <v>979</v>
      </c>
      <c r="D13" s="55">
        <v>170.74</v>
      </c>
      <c r="E13" s="55">
        <v>487.75</v>
      </c>
      <c r="F13" s="33">
        <f t="shared" si="0"/>
        <v>1.8566826754129084</v>
      </c>
      <c r="G13" s="173">
        <f t="shared" si="1"/>
        <v>1.3467113006320997E-3</v>
      </c>
    </row>
    <row r="14" spans="1:7" ht="14">
      <c r="A14" s="79" t="s">
        <v>161</v>
      </c>
      <c r="B14" s="79" t="s">
        <v>959</v>
      </c>
      <c r="C14" s="79" t="s">
        <v>980</v>
      </c>
      <c r="D14" s="57">
        <v>64810.49</v>
      </c>
      <c r="E14" s="57">
        <v>83078.44</v>
      </c>
      <c r="F14" s="121">
        <f t="shared" si="0"/>
        <v>0.28186717921743848</v>
      </c>
      <c r="G14" s="62">
        <f t="shared" si="1"/>
        <v>0.22938528751796178</v>
      </c>
    </row>
    <row r="15" spans="1:7" ht="14">
      <c r="A15" s="35" t="s">
        <v>161</v>
      </c>
      <c r="B15" s="35" t="s">
        <v>960</v>
      </c>
      <c r="C15" s="35" t="s">
        <v>981</v>
      </c>
      <c r="D15" s="55">
        <v>440.55</v>
      </c>
      <c r="E15" s="55">
        <v>260.02</v>
      </c>
      <c r="F15" s="33">
        <f t="shared" si="0"/>
        <v>-0.40978322551356267</v>
      </c>
      <c r="G15" s="173">
        <f t="shared" si="1"/>
        <v>7.1793310587464588E-4</v>
      </c>
    </row>
    <row r="16" spans="1:7" ht="14">
      <c r="A16" s="35" t="s">
        <v>161</v>
      </c>
      <c r="B16" s="35" t="s">
        <v>961</v>
      </c>
      <c r="C16" s="35" t="s">
        <v>982</v>
      </c>
      <c r="D16" s="55">
        <v>181.84</v>
      </c>
      <c r="E16" s="55">
        <v>0</v>
      </c>
      <c r="F16" s="33">
        <f t="shared" si="0"/>
        <v>-1</v>
      </c>
      <c r="G16" s="173">
        <f t="shared" si="1"/>
        <v>0</v>
      </c>
    </row>
    <row r="17" spans="1:7" ht="14">
      <c r="A17" s="35" t="s">
        <v>161</v>
      </c>
      <c r="B17" s="35" t="s">
        <v>962</v>
      </c>
      <c r="C17" s="35" t="s">
        <v>983</v>
      </c>
      <c r="D17" s="55">
        <v>0</v>
      </c>
      <c r="E17" s="55">
        <v>817.56</v>
      </c>
      <c r="F17" s="52" t="s">
        <v>792</v>
      </c>
      <c r="G17" s="173">
        <f t="shared" si="1"/>
        <v>2.2573393971189737E-3</v>
      </c>
    </row>
    <row r="18" spans="1:7" ht="14">
      <c r="A18" s="35" t="s">
        <v>161</v>
      </c>
      <c r="B18" s="35" t="s">
        <v>963</v>
      </c>
      <c r="C18" s="35" t="s">
        <v>984</v>
      </c>
      <c r="D18" s="55">
        <v>1968.17</v>
      </c>
      <c r="E18" s="55">
        <v>738.69</v>
      </c>
      <c r="F18" s="33">
        <f t="shared" si="0"/>
        <v>-0.62468181102242182</v>
      </c>
      <c r="G18" s="173">
        <f t="shared" si="1"/>
        <v>2.0395739019250145E-3</v>
      </c>
    </row>
    <row r="19" spans="1:7" ht="14">
      <c r="A19" s="35" t="s">
        <v>161</v>
      </c>
      <c r="B19" s="35" t="s">
        <v>964</v>
      </c>
      <c r="C19" s="35" t="s">
        <v>985</v>
      </c>
      <c r="D19" s="55">
        <v>1401.3</v>
      </c>
      <c r="E19" s="55">
        <v>902.16</v>
      </c>
      <c r="F19" s="33">
        <f t="shared" si="0"/>
        <v>-0.35619781631342323</v>
      </c>
      <c r="G19" s="173">
        <f t="shared" si="1"/>
        <v>2.4909258164597745E-3</v>
      </c>
    </row>
    <row r="20" spans="1:7" ht="14">
      <c r="A20" s="35" t="s">
        <v>161</v>
      </c>
      <c r="B20" s="35" t="s">
        <v>965</v>
      </c>
      <c r="C20" s="35" t="s">
        <v>986</v>
      </c>
      <c r="D20" s="55">
        <v>347.74</v>
      </c>
      <c r="E20" s="55">
        <v>0</v>
      </c>
      <c r="F20" s="33">
        <f t="shared" si="0"/>
        <v>-1</v>
      </c>
      <c r="G20" s="173">
        <f t="shared" si="1"/>
        <v>0</v>
      </c>
    </row>
    <row r="21" spans="1:7" ht="14">
      <c r="A21" s="35" t="s">
        <v>161</v>
      </c>
      <c r="B21" s="35" t="s">
        <v>966</v>
      </c>
      <c r="C21" s="35" t="s">
        <v>987</v>
      </c>
      <c r="D21" s="55">
        <v>307.67</v>
      </c>
      <c r="E21" s="55">
        <v>480.34</v>
      </c>
      <c r="F21" s="33">
        <f t="shared" si="0"/>
        <v>0.56121818831865289</v>
      </c>
      <c r="G21" s="173">
        <f t="shared" si="1"/>
        <v>1.3262517809238805E-3</v>
      </c>
    </row>
    <row r="22" spans="1:7" ht="14">
      <c r="A22" s="79" t="s">
        <v>161</v>
      </c>
      <c r="B22" s="79" t="s">
        <v>967</v>
      </c>
      <c r="C22" s="79" t="s">
        <v>988</v>
      </c>
      <c r="D22" s="57">
        <v>100000</v>
      </c>
      <c r="E22" s="57">
        <v>149544.95000000001</v>
      </c>
      <c r="F22" s="121">
        <f t="shared" si="0"/>
        <v>0.4954495000000001</v>
      </c>
      <c r="G22" s="62">
        <f t="shared" si="1"/>
        <v>0.41290389362883101</v>
      </c>
    </row>
    <row r="23" spans="1:7" ht="14">
      <c r="A23" s="79" t="s">
        <v>161</v>
      </c>
      <c r="B23" s="79" t="s">
        <v>968</v>
      </c>
      <c r="C23" s="79" t="s">
        <v>989</v>
      </c>
      <c r="D23" s="57">
        <v>82299.12</v>
      </c>
      <c r="E23" s="57">
        <v>93097.88</v>
      </c>
      <c r="F23" s="121">
        <f t="shared" si="0"/>
        <v>0.13121355368076851</v>
      </c>
      <c r="G23" s="62">
        <f t="shared" si="1"/>
        <v>0.25704965056051493</v>
      </c>
    </row>
    <row r="24" spans="1:7" ht="14">
      <c r="A24" s="35" t="s">
        <v>161</v>
      </c>
      <c r="B24" s="35" t="s">
        <v>969</v>
      </c>
      <c r="C24" s="35" t="s">
        <v>989</v>
      </c>
      <c r="D24" s="55">
        <v>16391.23</v>
      </c>
      <c r="E24" s="55">
        <v>2205.7199999999998</v>
      </c>
      <c r="F24" s="33">
        <f t="shared" si="0"/>
        <v>-0.86543291748087248</v>
      </c>
      <c r="G24" s="173">
        <f t="shared" si="1"/>
        <v>6.0901446438344125E-3</v>
      </c>
    </row>
    <row r="25" spans="1:7" ht="14">
      <c r="A25" s="35" t="s">
        <v>162</v>
      </c>
      <c r="B25" s="35" t="s">
        <v>970</v>
      </c>
      <c r="C25" s="35" t="s">
        <v>990</v>
      </c>
      <c r="D25" s="55">
        <v>6742.26</v>
      </c>
      <c r="E25" s="55">
        <v>0</v>
      </c>
      <c r="F25" s="33">
        <f t="shared" si="0"/>
        <v>-1</v>
      </c>
      <c r="G25" s="173">
        <f t="shared" si="1"/>
        <v>0</v>
      </c>
    </row>
    <row r="26" spans="1:7" ht="14">
      <c r="A26" s="35" t="s">
        <v>162</v>
      </c>
      <c r="B26" s="35" t="s">
        <v>156</v>
      </c>
      <c r="C26" s="35" t="s">
        <v>182</v>
      </c>
      <c r="D26" s="55">
        <v>380.86</v>
      </c>
      <c r="E26" s="55">
        <v>400.7</v>
      </c>
      <c r="F26" s="33">
        <f t="shared" si="0"/>
        <v>5.2092632463372299E-2</v>
      </c>
      <c r="G26" s="173">
        <f t="shared" si="1"/>
        <v>1.1063602627642897E-3</v>
      </c>
    </row>
    <row r="27" spans="1:7" ht="14">
      <c r="A27" s="35" t="s">
        <v>162</v>
      </c>
      <c r="B27" s="35" t="s">
        <v>971</v>
      </c>
      <c r="C27" s="35" t="s">
        <v>991</v>
      </c>
      <c r="D27" s="55">
        <v>46.95</v>
      </c>
      <c r="E27" s="55">
        <v>46.95</v>
      </c>
      <c r="F27" s="33">
        <f t="shared" si="0"/>
        <v>0</v>
      </c>
      <c r="G27" s="173">
        <f t="shared" si="1"/>
        <v>1.2963217952778489E-4</v>
      </c>
    </row>
    <row r="28" spans="1:7" ht="14">
      <c r="A28" s="35" t="s">
        <v>162</v>
      </c>
      <c r="B28" s="35" t="s">
        <v>158</v>
      </c>
      <c r="C28" s="35" t="s">
        <v>184</v>
      </c>
      <c r="D28" s="55">
        <v>0</v>
      </c>
      <c r="E28" s="55">
        <v>54</v>
      </c>
      <c r="F28" s="52" t="s">
        <v>792</v>
      </c>
      <c r="G28" s="173">
        <f t="shared" si="1"/>
        <v>1.4909771447285162E-4</v>
      </c>
    </row>
    <row r="29" spans="1:7" ht="14">
      <c r="A29" s="12"/>
      <c r="B29" s="12"/>
      <c r="C29" s="174" t="s">
        <v>7</v>
      </c>
      <c r="D29" s="130">
        <f>SUM(D4:D28)</f>
        <v>316405.40999999997</v>
      </c>
      <c r="E29" s="130">
        <f>SUM(E4:E28)</f>
        <v>362178.59</v>
      </c>
      <c r="F29" s="12"/>
      <c r="G29" s="44">
        <f t="shared" si="1"/>
        <v>1</v>
      </c>
    </row>
    <row r="30" spans="1:7" ht="14">
      <c r="A30" s="12"/>
      <c r="B30" s="12"/>
      <c r="C30" s="12"/>
      <c r="D30" s="12"/>
      <c r="E30" s="12"/>
      <c r="F30" s="12"/>
      <c r="G30" s="12"/>
    </row>
    <row r="31" spans="1:7" ht="14">
      <c r="A31" s="12"/>
      <c r="B31" s="12"/>
      <c r="C31" s="12"/>
      <c r="D31" s="12"/>
      <c r="E31" s="12"/>
      <c r="F31" s="12"/>
      <c r="G31" s="12"/>
    </row>
    <row r="32" spans="1:7" ht="14">
      <c r="A32" s="12"/>
      <c r="B32" s="12"/>
      <c r="C32" s="12"/>
      <c r="D32" s="12"/>
      <c r="E32" s="12"/>
      <c r="F32" s="12"/>
      <c r="G32" s="12"/>
    </row>
  </sheetData>
  <phoneticPr fontId="2" type="noConversion"/>
  <pageMargins left="0.75" right="0.75" top="1" bottom="1" header="0.5" footer="0.5"/>
  <pageSetup scale="82" fitToHeight="6" orientation="portrait"/>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sqref="A1:B1"/>
    </sheetView>
  </sheetViews>
  <sheetFormatPr baseColWidth="10" defaultColWidth="8.83203125" defaultRowHeight="12" x14ac:dyDescent="0"/>
  <cols>
    <col min="1" max="1" width="7.33203125" customWidth="1"/>
    <col min="2" max="2" width="9.33203125" customWidth="1"/>
    <col min="3" max="3" width="24.1640625" bestFit="1" customWidth="1"/>
    <col min="4" max="5" width="13.5" bestFit="1" customWidth="1"/>
    <col min="6" max="6" width="9.6640625" bestFit="1" customWidth="1"/>
    <col min="7" max="7" width="14.33203125" bestFit="1" customWidth="1"/>
    <col min="9" max="9" width="11.6640625" bestFit="1" customWidth="1"/>
  </cols>
  <sheetData>
    <row r="1" spans="1:9" ht="18">
      <c r="A1" s="213" t="s">
        <v>943</v>
      </c>
      <c r="B1" s="3"/>
      <c r="C1" s="12"/>
      <c r="D1" s="12"/>
      <c r="E1" s="12"/>
      <c r="F1" s="12"/>
      <c r="G1" s="12"/>
    </row>
    <row r="2" spans="1:9" ht="14">
      <c r="B2" s="12"/>
      <c r="C2" s="12"/>
      <c r="D2" s="12"/>
      <c r="E2" s="12"/>
      <c r="F2" s="12"/>
      <c r="G2" s="12"/>
    </row>
    <row r="3" spans="1:9" ht="29.25" customHeight="1" thickBot="1">
      <c r="A3" s="30" t="s">
        <v>8</v>
      </c>
      <c r="B3" s="30" t="s">
        <v>136</v>
      </c>
      <c r="C3" s="30" t="s">
        <v>194</v>
      </c>
      <c r="D3" s="30" t="s">
        <v>5</v>
      </c>
      <c r="E3" s="30" t="s">
        <v>462</v>
      </c>
      <c r="F3" s="30" t="s">
        <v>370</v>
      </c>
      <c r="G3" s="30" t="s">
        <v>577</v>
      </c>
    </row>
    <row r="4" spans="1:9" ht="14">
      <c r="A4" s="31" t="s">
        <v>160</v>
      </c>
      <c r="B4" s="35" t="s">
        <v>478</v>
      </c>
      <c r="C4" s="35" t="s">
        <v>463</v>
      </c>
      <c r="D4" s="172" t="s">
        <v>792</v>
      </c>
      <c r="E4" s="55">
        <v>437.56</v>
      </c>
      <c r="F4" s="52" t="s">
        <v>792</v>
      </c>
      <c r="G4" s="131">
        <f t="shared" ref="G4:G7" si="0">E4/$E$23</f>
        <v>1.5818634260779396E-4</v>
      </c>
    </row>
    <row r="5" spans="1:9" ht="14">
      <c r="A5" s="31" t="s">
        <v>160</v>
      </c>
      <c r="B5" s="35" t="s">
        <v>479</v>
      </c>
      <c r="C5" s="35" t="s">
        <v>480</v>
      </c>
      <c r="D5" s="172" t="s">
        <v>792</v>
      </c>
      <c r="E5" s="55">
        <v>10018.92</v>
      </c>
      <c r="F5" s="52" t="s">
        <v>792</v>
      </c>
      <c r="G5" s="131">
        <f t="shared" si="0"/>
        <v>3.6220319765976764E-3</v>
      </c>
    </row>
    <row r="6" spans="1:9" ht="14">
      <c r="A6" s="31" t="s">
        <v>160</v>
      </c>
      <c r="B6" s="35" t="s">
        <v>481</v>
      </c>
      <c r="C6" s="35" t="s">
        <v>482</v>
      </c>
      <c r="D6" s="172" t="s">
        <v>792</v>
      </c>
      <c r="E6" s="55">
        <v>0</v>
      </c>
      <c r="F6" s="52" t="s">
        <v>792</v>
      </c>
      <c r="G6" s="131">
        <f t="shared" si="0"/>
        <v>0</v>
      </c>
    </row>
    <row r="7" spans="1:9" ht="14">
      <c r="A7" s="31" t="s">
        <v>160</v>
      </c>
      <c r="B7" s="35" t="s">
        <v>489</v>
      </c>
      <c r="C7" s="35" t="s">
        <v>490</v>
      </c>
      <c r="D7" s="172" t="s">
        <v>792</v>
      </c>
      <c r="E7" s="55">
        <v>80</v>
      </c>
      <c r="F7" s="52" t="s">
        <v>792</v>
      </c>
      <c r="G7" s="131">
        <f t="shared" si="0"/>
        <v>2.8921536266165822E-5</v>
      </c>
    </row>
    <row r="8" spans="1:9" ht="14">
      <c r="A8" s="31" t="s">
        <v>161</v>
      </c>
      <c r="B8" s="35" t="s">
        <v>195</v>
      </c>
      <c r="C8" s="35" t="s">
        <v>203</v>
      </c>
      <c r="D8" s="32">
        <v>479.11</v>
      </c>
      <c r="E8" s="55">
        <v>517.41</v>
      </c>
      <c r="F8" s="33">
        <f t="shared" ref="F8" si="1">(E8-D8)/D8</f>
        <v>7.9939888543340679E-2</v>
      </c>
      <c r="G8" s="131">
        <f t="shared" ref="G8:G23" si="2">E8/$E$23</f>
        <v>1.8705365099346073E-4</v>
      </c>
    </row>
    <row r="9" spans="1:9" ht="14">
      <c r="A9" s="31" t="s">
        <v>161</v>
      </c>
      <c r="B9" s="35" t="s">
        <v>196</v>
      </c>
      <c r="C9" s="35" t="s">
        <v>204</v>
      </c>
      <c r="D9" s="55">
        <v>39.44</v>
      </c>
      <c r="E9" s="55">
        <v>47.97</v>
      </c>
      <c r="F9" s="33">
        <f>(E9-D9)/D9</f>
        <v>0.21627789046653148</v>
      </c>
      <c r="G9" s="131">
        <f t="shared" si="2"/>
        <v>1.7342076183599682E-5</v>
      </c>
    </row>
    <row r="10" spans="1:9" ht="14">
      <c r="A10" s="31" t="s">
        <v>161</v>
      </c>
      <c r="B10" s="35" t="s">
        <v>497</v>
      </c>
      <c r="C10" s="35" t="s">
        <v>498</v>
      </c>
      <c r="D10" s="172" t="s">
        <v>792</v>
      </c>
      <c r="E10" s="55">
        <v>55034.12</v>
      </c>
      <c r="F10" s="52" t="s">
        <v>792</v>
      </c>
      <c r="G10" s="131">
        <f t="shared" si="2"/>
        <v>1.9895891218206525E-2</v>
      </c>
    </row>
    <row r="11" spans="1:9" ht="14">
      <c r="A11" s="31" t="s">
        <v>161</v>
      </c>
      <c r="B11" s="35" t="s">
        <v>197</v>
      </c>
      <c r="C11" s="35" t="s">
        <v>520</v>
      </c>
      <c r="D11" s="172" t="s">
        <v>792</v>
      </c>
      <c r="E11" s="55">
        <v>71.39</v>
      </c>
      <c r="F11" s="52" t="s">
        <v>792</v>
      </c>
      <c r="G11" s="131">
        <f t="shared" si="2"/>
        <v>2.5808855925519728E-5</v>
      </c>
    </row>
    <row r="12" spans="1:9" ht="14">
      <c r="A12" s="31" t="s">
        <v>161</v>
      </c>
      <c r="B12" s="35" t="s">
        <v>197</v>
      </c>
      <c r="C12" s="35" t="s">
        <v>205</v>
      </c>
      <c r="D12" s="55">
        <v>2357545.64</v>
      </c>
      <c r="E12" s="55">
        <v>2521444.75</v>
      </c>
      <c r="F12" s="33">
        <f t="shared" ref="F12:F16" si="3">(E12-D12)/D12</f>
        <v>6.9521076164616627E-2</v>
      </c>
      <c r="G12" s="131">
        <f t="shared" si="2"/>
        <v>0.91155069725323024</v>
      </c>
      <c r="I12" s="199"/>
    </row>
    <row r="13" spans="1:9" ht="14">
      <c r="A13" s="31" t="s">
        <v>161</v>
      </c>
      <c r="B13" s="35" t="s">
        <v>198</v>
      </c>
      <c r="C13" s="35" t="s">
        <v>206</v>
      </c>
      <c r="D13" s="55">
        <v>1592.33</v>
      </c>
      <c r="E13" s="55">
        <v>1733.42</v>
      </c>
      <c r="F13" s="33">
        <f t="shared" si="3"/>
        <v>8.8606005036644508E-2</v>
      </c>
      <c r="G13" s="131">
        <f t="shared" si="2"/>
        <v>6.2666461743121453E-4</v>
      </c>
    </row>
    <row r="14" spans="1:9" ht="14">
      <c r="A14" s="31" t="s">
        <v>161</v>
      </c>
      <c r="B14" s="35" t="s">
        <v>199</v>
      </c>
      <c r="C14" s="35" t="s">
        <v>207</v>
      </c>
      <c r="D14" s="55">
        <v>13511.29</v>
      </c>
      <c r="E14" s="55">
        <v>6478.86</v>
      </c>
      <c r="F14" s="33">
        <f t="shared" si="3"/>
        <v>-0.52048546067769996</v>
      </c>
      <c r="G14" s="131">
        <f t="shared" si="2"/>
        <v>2.3422323056676389E-3</v>
      </c>
    </row>
    <row r="15" spans="1:9" ht="14">
      <c r="A15" s="31" t="s">
        <v>161</v>
      </c>
      <c r="B15" s="35" t="s">
        <v>200</v>
      </c>
      <c r="C15" s="35" t="s">
        <v>208</v>
      </c>
      <c r="D15" s="55">
        <v>1312.25</v>
      </c>
      <c r="E15" s="55">
        <v>1312.25</v>
      </c>
      <c r="F15" s="33">
        <f t="shared" si="3"/>
        <v>0</v>
      </c>
      <c r="G15" s="131">
        <f t="shared" si="2"/>
        <v>4.7440357456595127E-4</v>
      </c>
    </row>
    <row r="16" spans="1:9" ht="14">
      <c r="A16" s="31" t="s">
        <v>161</v>
      </c>
      <c r="B16" s="35" t="s">
        <v>201</v>
      </c>
      <c r="C16" s="35" t="s">
        <v>209</v>
      </c>
      <c r="D16" s="55">
        <v>189296.16</v>
      </c>
      <c r="E16" s="55">
        <v>171720.48</v>
      </c>
      <c r="F16" s="33">
        <f t="shared" si="3"/>
        <v>-9.2847525274680653E-2</v>
      </c>
      <c r="G16" s="131">
        <f t="shared" si="2"/>
        <v>6.2080251124542539E-2</v>
      </c>
    </row>
    <row r="17" spans="1:7" ht="14">
      <c r="A17" s="31" t="s">
        <v>161</v>
      </c>
      <c r="B17" s="35" t="s">
        <v>202</v>
      </c>
      <c r="C17" s="35" t="s">
        <v>210</v>
      </c>
      <c r="D17" s="55">
        <v>3273.22</v>
      </c>
      <c r="E17" s="55">
        <v>2900.66</v>
      </c>
      <c r="F17" s="33">
        <f t="shared" ref="F17" si="4">(E17-D17)/D17</f>
        <v>-0.11382064144787089</v>
      </c>
      <c r="G17" s="131">
        <f t="shared" si="2"/>
        <v>1.0486442923227069E-3</v>
      </c>
    </row>
    <row r="18" spans="1:7" ht="14">
      <c r="A18" s="31" t="s">
        <v>161</v>
      </c>
      <c r="B18" s="35" t="s">
        <v>541</v>
      </c>
      <c r="C18" s="35" t="s">
        <v>944</v>
      </c>
      <c r="D18" s="172" t="s">
        <v>792</v>
      </c>
      <c r="E18" s="55">
        <v>334.54</v>
      </c>
      <c r="F18" s="52" t="s">
        <v>792</v>
      </c>
      <c r="G18" s="131">
        <f t="shared" si="2"/>
        <v>1.2094263428103894E-4</v>
      </c>
    </row>
    <row r="19" spans="1:7" ht="14">
      <c r="A19" s="31" t="s">
        <v>161</v>
      </c>
      <c r="B19" s="35" t="s">
        <v>542</v>
      </c>
      <c r="C19" s="35" t="s">
        <v>543</v>
      </c>
      <c r="D19" s="172" t="s">
        <v>792</v>
      </c>
      <c r="E19" s="55">
        <v>47.97</v>
      </c>
      <c r="F19" s="52" t="s">
        <v>792</v>
      </c>
      <c r="G19" s="131">
        <f t="shared" si="2"/>
        <v>1.7342076183599682E-5</v>
      </c>
    </row>
    <row r="20" spans="1:7" ht="14">
      <c r="A20" s="31" t="s">
        <v>162</v>
      </c>
      <c r="B20" s="35" t="s">
        <v>546</v>
      </c>
      <c r="C20" s="35" t="s">
        <v>945</v>
      </c>
      <c r="D20" s="172" t="s">
        <v>792</v>
      </c>
      <c r="E20" s="55">
        <v>1205.07</v>
      </c>
      <c r="F20" s="52" t="s">
        <v>792</v>
      </c>
      <c r="G20" s="131">
        <f t="shared" si="2"/>
        <v>4.3565594635335561E-4</v>
      </c>
    </row>
    <row r="21" spans="1:7" ht="14">
      <c r="A21" s="31" t="s">
        <v>162</v>
      </c>
      <c r="B21" s="35" t="s">
        <v>548</v>
      </c>
      <c r="C21" s="35" t="s">
        <v>946</v>
      </c>
      <c r="D21" s="172" t="s">
        <v>792</v>
      </c>
      <c r="E21" s="55">
        <f>2427.53+363.5</f>
        <v>2791.03</v>
      </c>
      <c r="F21" s="52" t="s">
        <v>792</v>
      </c>
      <c r="G21" s="131">
        <f t="shared" si="2"/>
        <v>1.00901094206196E-3</v>
      </c>
    </row>
    <row r="22" spans="1:7" ht="14">
      <c r="A22" s="31" t="s">
        <v>162</v>
      </c>
      <c r="B22" s="35" t="s">
        <v>550</v>
      </c>
      <c r="C22" s="35" t="s">
        <v>551</v>
      </c>
      <c r="D22" s="172" t="s">
        <v>792</v>
      </c>
      <c r="E22" s="55">
        <v>464.87</v>
      </c>
      <c r="F22" s="52" t="s">
        <v>792</v>
      </c>
      <c r="G22" s="173">
        <f t="shared" si="2"/>
        <v>1.6805943205065632E-4</v>
      </c>
    </row>
    <row r="23" spans="1:7" ht="14">
      <c r="B23" s="12"/>
      <c r="C23" s="174" t="s">
        <v>7</v>
      </c>
      <c r="D23" s="130">
        <f>SUM(D8:D22)</f>
        <v>2567049.4400000004</v>
      </c>
      <c r="E23" s="130">
        <f>SUM(E8:E22)</f>
        <v>2766104.79</v>
      </c>
      <c r="F23" s="130"/>
      <c r="G23" s="44">
        <f t="shared" si="2"/>
        <v>1</v>
      </c>
    </row>
    <row r="24" spans="1:7" ht="14">
      <c r="B24" s="12"/>
      <c r="C24" s="12"/>
      <c r="D24" s="12"/>
      <c r="E24" s="12"/>
      <c r="F24" s="12"/>
      <c r="G24" s="12"/>
    </row>
    <row r="25" spans="1:7" ht="14">
      <c r="B25" s="12"/>
      <c r="C25" s="12"/>
      <c r="D25" s="12"/>
      <c r="E25" s="12"/>
      <c r="F25" s="12"/>
      <c r="G25" s="12"/>
    </row>
    <row r="26" spans="1:7" ht="14">
      <c r="B26" s="12"/>
      <c r="C26" s="12"/>
      <c r="D26" s="12"/>
      <c r="E26" s="12"/>
      <c r="F26" s="12"/>
      <c r="G26" s="12"/>
    </row>
    <row r="27" spans="1:7" ht="14">
      <c r="B27" s="12"/>
      <c r="C27" s="12"/>
      <c r="D27" s="12"/>
      <c r="E27" s="12"/>
      <c r="F27" s="12"/>
      <c r="G27" s="12"/>
    </row>
    <row r="28" spans="1:7" ht="14">
      <c r="B28" s="12"/>
      <c r="C28" s="12"/>
      <c r="D28" s="12"/>
      <c r="E28" s="12"/>
      <c r="F28" s="12"/>
      <c r="G28" s="12"/>
    </row>
    <row r="29" spans="1:7" ht="14">
      <c r="B29" s="12"/>
      <c r="C29" s="12"/>
      <c r="D29" s="12"/>
      <c r="E29" s="12"/>
      <c r="F29" s="12"/>
      <c r="G29" s="12"/>
    </row>
    <row r="30" spans="1:7" ht="14">
      <c r="B30" s="12"/>
      <c r="C30" s="12"/>
      <c r="D30" s="12"/>
      <c r="E30" s="12"/>
      <c r="F30" s="12"/>
      <c r="G30" s="12"/>
    </row>
    <row r="31" spans="1:7" ht="14">
      <c r="B31" s="12"/>
      <c r="C31" s="12"/>
      <c r="D31" s="12"/>
      <c r="E31" s="12"/>
      <c r="F31" s="12"/>
      <c r="G31" s="12"/>
    </row>
    <row r="32" spans="1:7" ht="14">
      <c r="B32" s="12"/>
      <c r="C32" s="12"/>
      <c r="D32" s="12"/>
      <c r="E32" s="12"/>
      <c r="F32" s="12"/>
      <c r="G32" s="12"/>
    </row>
    <row r="33" spans="2:7" ht="14">
      <c r="B33" s="12"/>
      <c r="C33" s="12"/>
      <c r="D33" s="12"/>
      <c r="E33" s="12"/>
      <c r="F33" s="12"/>
      <c r="G33" s="12"/>
    </row>
    <row r="34" spans="2:7" ht="14">
      <c r="B34" s="12"/>
      <c r="C34" s="12"/>
      <c r="D34" s="12"/>
      <c r="E34" s="12"/>
      <c r="F34" s="12"/>
      <c r="G34" s="12"/>
    </row>
  </sheetData>
  <phoneticPr fontId="2" type="noConversion"/>
  <pageMargins left="0.75" right="0.75" top="1" bottom="1" header="0.5" footer="0.5"/>
  <pageSetup orientation="landscape"/>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election sqref="A1:C1"/>
    </sheetView>
  </sheetViews>
  <sheetFormatPr baseColWidth="10" defaultColWidth="8.83203125" defaultRowHeight="12" x14ac:dyDescent="0"/>
  <cols>
    <col min="1" max="1" width="7.33203125" customWidth="1"/>
    <col min="2" max="2" width="9.33203125" customWidth="1"/>
    <col min="3" max="3" width="24.1640625" bestFit="1" customWidth="1"/>
    <col min="4" max="5" width="13.5" bestFit="1" customWidth="1"/>
    <col min="6" max="6" width="9.6640625" bestFit="1" customWidth="1"/>
    <col min="7" max="7" width="14.33203125" bestFit="1" customWidth="1"/>
  </cols>
  <sheetData>
    <row r="1" spans="1:7" ht="18">
      <c r="A1" s="213" t="s">
        <v>992</v>
      </c>
      <c r="B1" s="3"/>
      <c r="C1" s="128"/>
      <c r="D1" s="12"/>
      <c r="E1" s="12"/>
      <c r="F1" s="12"/>
      <c r="G1" s="12"/>
    </row>
    <row r="2" spans="1:7" ht="14">
      <c r="B2" s="12"/>
      <c r="C2" s="12"/>
      <c r="D2" s="12"/>
      <c r="E2" s="12"/>
      <c r="F2" s="12"/>
      <c r="G2" s="12"/>
    </row>
    <row r="3" spans="1:7" ht="29.25" customHeight="1" thickBot="1">
      <c r="A3" s="30" t="s">
        <v>8</v>
      </c>
      <c r="B3" s="30" t="s">
        <v>136</v>
      </c>
      <c r="C3" s="30" t="s">
        <v>194</v>
      </c>
      <c r="D3" s="30" t="s">
        <v>5</v>
      </c>
      <c r="E3" s="30" t="s">
        <v>462</v>
      </c>
      <c r="F3" s="30" t="s">
        <v>370</v>
      </c>
      <c r="G3" s="30" t="s">
        <v>577</v>
      </c>
    </row>
    <row r="4" spans="1:7" ht="14">
      <c r="A4" s="31" t="s">
        <v>160</v>
      </c>
      <c r="B4" s="31" t="s">
        <v>478</v>
      </c>
      <c r="C4" s="31" t="s">
        <v>1000</v>
      </c>
      <c r="D4" s="55">
        <v>2289.1999999999998</v>
      </c>
      <c r="E4" s="55">
        <v>514.05999999999995</v>
      </c>
      <c r="F4" s="33">
        <f t="shared" ref="F4:F7" si="0">(E4-D4)/D4</f>
        <v>-0.77544120216669576</v>
      </c>
      <c r="G4" s="34">
        <f t="shared" ref="G4:G16" si="1">E4/$E$17</f>
        <v>1.4159166650163338E-3</v>
      </c>
    </row>
    <row r="5" spans="1:7" ht="14">
      <c r="A5" s="31" t="s">
        <v>160</v>
      </c>
      <c r="B5" s="31" t="s">
        <v>489</v>
      </c>
      <c r="C5" s="31" t="s">
        <v>490</v>
      </c>
      <c r="D5" s="55">
        <v>0</v>
      </c>
      <c r="E5" s="55">
        <v>80</v>
      </c>
      <c r="F5" s="52" t="s">
        <v>792</v>
      </c>
      <c r="G5" s="34">
        <f t="shared" si="1"/>
        <v>2.2035041279482303E-4</v>
      </c>
    </row>
    <row r="6" spans="1:7" ht="14">
      <c r="A6" s="31" t="s">
        <v>161</v>
      </c>
      <c r="B6" s="31" t="s">
        <v>993</v>
      </c>
      <c r="C6" s="31" t="s">
        <v>994</v>
      </c>
      <c r="D6" s="55">
        <v>0</v>
      </c>
      <c r="E6" s="55">
        <v>249.71</v>
      </c>
      <c r="F6" s="52" t="s">
        <v>792</v>
      </c>
      <c r="G6" s="34">
        <f t="shared" si="1"/>
        <v>6.8779626973744068E-4</v>
      </c>
    </row>
    <row r="7" spans="1:7" ht="14">
      <c r="A7" s="31" t="s">
        <v>161</v>
      </c>
      <c r="B7" s="31" t="s">
        <v>995</v>
      </c>
      <c r="C7" s="31" t="s">
        <v>996</v>
      </c>
      <c r="D7" s="55">
        <v>13062.13</v>
      </c>
      <c r="E7" s="55">
        <v>8286.9</v>
      </c>
      <c r="F7" s="33">
        <f t="shared" si="0"/>
        <v>-0.36557820202371283</v>
      </c>
      <c r="G7" s="34">
        <f t="shared" si="1"/>
        <v>2.2825272947367733E-2</v>
      </c>
    </row>
    <row r="8" spans="1:7" ht="14">
      <c r="A8" s="31" t="s">
        <v>161</v>
      </c>
      <c r="B8" s="31" t="s">
        <v>497</v>
      </c>
      <c r="C8" s="31" t="s">
        <v>498</v>
      </c>
      <c r="D8" s="55">
        <v>67620.06</v>
      </c>
      <c r="E8" s="55">
        <v>48090.61</v>
      </c>
      <c r="F8" s="33">
        <f t="shared" ref="F8" si="2">(E8-D8)/D8</f>
        <v>-0.28881148582240235</v>
      </c>
      <c r="G8" s="34">
        <f t="shared" si="1"/>
        <v>0.13245982206318554</v>
      </c>
    </row>
    <row r="9" spans="1:7" ht="14">
      <c r="A9" s="31" t="s">
        <v>161</v>
      </c>
      <c r="B9" s="31" t="s">
        <v>499</v>
      </c>
      <c r="C9" s="31" t="s">
        <v>500</v>
      </c>
      <c r="D9" s="55">
        <v>1657</v>
      </c>
      <c r="E9" s="55">
        <v>3908.76</v>
      </c>
      <c r="F9" s="33">
        <f>(E9-D9)/D9</f>
        <v>1.3589378394689198</v>
      </c>
      <c r="G9" s="34">
        <f t="shared" si="1"/>
        <v>1.0766210993948656E-2</v>
      </c>
    </row>
    <row r="10" spans="1:7" ht="14">
      <c r="A10" s="31" t="s">
        <v>161</v>
      </c>
      <c r="B10" s="31" t="s">
        <v>519</v>
      </c>
      <c r="C10" s="31" t="s">
        <v>520</v>
      </c>
      <c r="D10" s="55">
        <v>2044.75</v>
      </c>
      <c r="E10" s="55">
        <v>2001.49</v>
      </c>
      <c r="F10" s="33">
        <f>(E10-D10)/D10</f>
        <v>-2.1156620613766958E-2</v>
      </c>
      <c r="G10" s="34">
        <f t="shared" si="1"/>
        <v>5.5128643463088793E-3</v>
      </c>
    </row>
    <row r="11" spans="1:7" ht="14">
      <c r="A11" s="31" t="s">
        <v>161</v>
      </c>
      <c r="B11" s="31" t="s">
        <v>997</v>
      </c>
      <c r="C11" s="31" t="s">
        <v>998</v>
      </c>
      <c r="D11" s="55">
        <v>6235.92</v>
      </c>
      <c r="E11" s="55">
        <v>5964.06</v>
      </c>
      <c r="F11" s="33">
        <f t="shared" ref="F11:F16" si="3">(E11-D11)/D11</f>
        <v>-4.35958126467305E-2</v>
      </c>
      <c r="G11" s="34">
        <f t="shared" si="1"/>
        <v>1.6427288536663653E-2</v>
      </c>
    </row>
    <row r="12" spans="1:7" ht="14">
      <c r="A12" s="31" t="s">
        <v>161</v>
      </c>
      <c r="B12" s="31" t="s">
        <v>201</v>
      </c>
      <c r="C12" s="31" t="s">
        <v>209</v>
      </c>
      <c r="D12" s="55">
        <v>296.10000000000002</v>
      </c>
      <c r="E12" s="55">
        <v>201.59</v>
      </c>
      <c r="F12" s="33">
        <f t="shared" si="3"/>
        <v>-0.31918270854441072</v>
      </c>
      <c r="G12" s="34">
        <f t="shared" si="1"/>
        <v>5.5525549644135465E-4</v>
      </c>
    </row>
    <row r="13" spans="1:7" ht="14">
      <c r="A13" s="31" t="s">
        <v>161</v>
      </c>
      <c r="B13" s="31" t="s">
        <v>528</v>
      </c>
      <c r="C13" s="31" t="s">
        <v>529</v>
      </c>
      <c r="D13" s="55">
        <v>125</v>
      </c>
      <c r="E13" s="55">
        <v>647.29</v>
      </c>
      <c r="F13" s="33">
        <f t="shared" si="3"/>
        <v>4.1783199999999994</v>
      </c>
      <c r="G13" s="34">
        <f t="shared" si="1"/>
        <v>1.7828827337245123E-3</v>
      </c>
    </row>
    <row r="14" spans="1:7" ht="14">
      <c r="A14" s="31" t="s">
        <v>161</v>
      </c>
      <c r="B14" s="31" t="s">
        <v>541</v>
      </c>
      <c r="C14" s="31" t="s">
        <v>999</v>
      </c>
      <c r="D14" s="55">
        <v>233577.17</v>
      </c>
      <c r="E14" s="55">
        <v>278867.82</v>
      </c>
      <c r="F14" s="33">
        <f t="shared" si="3"/>
        <v>0.19390015727992591</v>
      </c>
      <c r="G14" s="34">
        <f t="shared" si="1"/>
        <v>0.76810799065240509</v>
      </c>
    </row>
    <row r="15" spans="1:7" ht="14">
      <c r="A15" s="31" t="s">
        <v>162</v>
      </c>
      <c r="B15" s="31" t="s">
        <v>550</v>
      </c>
      <c r="C15" s="31" t="s">
        <v>551</v>
      </c>
      <c r="D15" s="55">
        <v>659.89</v>
      </c>
      <c r="E15" s="55">
        <v>464.87</v>
      </c>
      <c r="F15" s="33">
        <f t="shared" si="3"/>
        <v>-0.2955341041688766</v>
      </c>
      <c r="G15" s="34">
        <f t="shared" si="1"/>
        <v>1.2804287049491172E-3</v>
      </c>
    </row>
    <row r="16" spans="1:7" ht="14">
      <c r="A16" s="31" t="s">
        <v>162</v>
      </c>
      <c r="B16" s="31" t="s">
        <v>552</v>
      </c>
      <c r="C16" s="31" t="s">
        <v>553</v>
      </c>
      <c r="D16" s="55">
        <v>7058.43</v>
      </c>
      <c r="E16" s="55">
        <v>13780.93</v>
      </c>
      <c r="F16" s="33">
        <f t="shared" si="3"/>
        <v>0.95240726337159964</v>
      </c>
      <c r="G16" s="34">
        <f t="shared" si="1"/>
        <v>3.7957920177457007E-2</v>
      </c>
    </row>
    <row r="17" spans="2:7" ht="14">
      <c r="B17" s="12"/>
      <c r="C17" s="174" t="s">
        <v>7</v>
      </c>
      <c r="D17" s="130">
        <f>SUM(D4:D16)</f>
        <v>334625.65000000002</v>
      </c>
      <c r="E17" s="130">
        <f>SUM(E4:E16)</f>
        <v>363058.08999999997</v>
      </c>
      <c r="F17" s="130"/>
      <c r="G17" s="176">
        <f>SUM(G4:G16)</f>
        <v>1.0000000000000002</v>
      </c>
    </row>
    <row r="18" spans="2:7" ht="14">
      <c r="B18" s="12"/>
      <c r="C18" s="12"/>
      <c r="D18" s="12"/>
      <c r="E18" s="12"/>
      <c r="F18" s="12"/>
      <c r="G18" s="12"/>
    </row>
    <row r="19" spans="2:7" ht="14">
      <c r="B19" s="12"/>
      <c r="C19" s="12"/>
      <c r="D19" s="12"/>
      <c r="E19" s="12"/>
      <c r="F19" s="12"/>
      <c r="G19" s="12"/>
    </row>
    <row r="20" spans="2:7" ht="14">
      <c r="B20" s="12"/>
      <c r="C20" s="12"/>
      <c r="D20" s="12"/>
      <c r="E20" s="12"/>
      <c r="F20" s="12"/>
      <c r="G20" s="12"/>
    </row>
    <row r="21" spans="2:7" ht="14">
      <c r="B21" s="12"/>
      <c r="C21" s="12"/>
      <c r="D21" s="12"/>
      <c r="E21" s="12"/>
      <c r="F21" s="12"/>
      <c r="G21" s="12"/>
    </row>
    <row r="22" spans="2:7" ht="14">
      <c r="B22" s="12"/>
      <c r="C22" s="12"/>
      <c r="D22" s="12"/>
      <c r="E22" s="12"/>
      <c r="F22" s="12"/>
      <c r="G22" s="12"/>
    </row>
    <row r="23" spans="2:7" ht="14">
      <c r="B23" s="12"/>
      <c r="C23" s="12"/>
      <c r="D23" s="12"/>
      <c r="E23" s="12"/>
      <c r="F23" s="12"/>
      <c r="G23" s="12"/>
    </row>
    <row r="24" spans="2:7" ht="14">
      <c r="B24" s="12"/>
      <c r="C24" s="12"/>
      <c r="D24" s="12"/>
      <c r="E24" s="12"/>
      <c r="F24" s="12"/>
      <c r="G24" s="12"/>
    </row>
    <row r="25" spans="2:7" ht="14">
      <c r="B25" s="12"/>
      <c r="C25" s="12"/>
      <c r="D25" s="12"/>
      <c r="E25" s="12"/>
      <c r="F25" s="12"/>
      <c r="G25" s="12"/>
    </row>
    <row r="26" spans="2:7" ht="14">
      <c r="B26" s="12"/>
      <c r="C26" s="12"/>
      <c r="D26" s="12"/>
      <c r="E26" s="12"/>
      <c r="F26" s="12"/>
      <c r="G26" s="12"/>
    </row>
    <row r="27" spans="2:7" ht="14">
      <c r="B27" s="12"/>
      <c r="C27" s="12"/>
      <c r="D27" s="12"/>
      <c r="E27" s="12"/>
      <c r="F27" s="12"/>
      <c r="G27" s="12"/>
    </row>
    <row r="28" spans="2:7" ht="14">
      <c r="B28" s="12"/>
      <c r="C28" s="12"/>
      <c r="D28" s="12"/>
      <c r="E28" s="12"/>
      <c r="F28" s="12"/>
      <c r="G28" s="12"/>
    </row>
  </sheetData>
  <phoneticPr fontId="2" type="noConversion"/>
  <pageMargins left="0.75" right="0.75" top="1" bottom="1" header="0.5" footer="0.5"/>
  <pageSetup orientation="landscape"/>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topLeftCell="A37" workbookViewId="0">
      <selection activeCell="A2" sqref="A1:C2"/>
    </sheetView>
  </sheetViews>
  <sheetFormatPr baseColWidth="10" defaultColWidth="8.83203125" defaultRowHeight="12" x14ac:dyDescent="0"/>
  <cols>
    <col min="2" max="2" width="24.1640625" bestFit="1" customWidth="1"/>
    <col min="3" max="3" width="13.5" bestFit="1" customWidth="1"/>
    <col min="4" max="4" width="12.5" customWidth="1"/>
  </cols>
  <sheetData>
    <row r="1" spans="1:5" ht="18">
      <c r="A1" s="213" t="s">
        <v>1002</v>
      </c>
      <c r="B1" s="128"/>
      <c r="C1" s="128"/>
      <c r="D1" s="12"/>
    </row>
    <row r="2" spans="1:5" ht="14">
      <c r="A2" s="128"/>
      <c r="B2" s="128"/>
      <c r="C2" s="128"/>
      <c r="D2" s="12"/>
    </row>
    <row r="3" spans="1:5" ht="29" thickBot="1">
      <c r="A3" s="30" t="s">
        <v>136</v>
      </c>
      <c r="B3" s="30" t="s">
        <v>194</v>
      </c>
      <c r="C3" s="30" t="s">
        <v>1001</v>
      </c>
      <c r="D3" s="30" t="s">
        <v>1003</v>
      </c>
      <c r="E3" s="30" t="s">
        <v>370</v>
      </c>
    </row>
    <row r="4" spans="1:5" ht="14">
      <c r="A4" s="31" t="s">
        <v>466</v>
      </c>
      <c r="B4" s="31" t="s">
        <v>467</v>
      </c>
      <c r="C4" s="31">
        <v>11</v>
      </c>
      <c r="D4" s="31">
        <v>11</v>
      </c>
      <c r="E4" s="34">
        <f>(D4-C4)/C4</f>
        <v>0</v>
      </c>
    </row>
    <row r="5" spans="1:5" ht="14">
      <c r="A5" s="35" t="s">
        <v>468</v>
      </c>
      <c r="B5" s="35" t="s">
        <v>469</v>
      </c>
      <c r="C5" s="35">
        <v>7</v>
      </c>
      <c r="D5" s="35">
        <v>6</v>
      </c>
      <c r="E5" s="34">
        <f t="shared" ref="E5:E61" si="0">(D5-C5)/C5</f>
        <v>-0.14285714285714285</v>
      </c>
    </row>
    <row r="6" spans="1:5" ht="14">
      <c r="A6" s="35" t="s">
        <v>470</v>
      </c>
      <c r="B6" s="35" t="s">
        <v>471</v>
      </c>
      <c r="C6" s="35">
        <v>8</v>
      </c>
      <c r="D6" s="35">
        <v>8</v>
      </c>
      <c r="E6" s="34">
        <f t="shared" si="0"/>
        <v>0</v>
      </c>
    </row>
    <row r="7" spans="1:5" ht="14">
      <c r="A7" s="35" t="s">
        <v>472</v>
      </c>
      <c r="B7" s="35" t="s">
        <v>473</v>
      </c>
      <c r="C7" s="35">
        <v>1</v>
      </c>
      <c r="D7" s="35">
        <v>1</v>
      </c>
      <c r="E7" s="34">
        <f t="shared" si="0"/>
        <v>0</v>
      </c>
    </row>
    <row r="8" spans="1:5" ht="14">
      <c r="A8" s="35" t="s">
        <v>474</v>
      </c>
      <c r="B8" s="35" t="s">
        <v>475</v>
      </c>
      <c r="C8" s="35">
        <v>50</v>
      </c>
      <c r="D8" s="35">
        <v>33</v>
      </c>
      <c r="E8" s="34">
        <f t="shared" si="0"/>
        <v>-0.34</v>
      </c>
    </row>
    <row r="9" spans="1:5" ht="14">
      <c r="A9" s="35" t="s">
        <v>476</v>
      </c>
      <c r="B9" s="35" t="s">
        <v>477</v>
      </c>
      <c r="C9" s="35">
        <v>34</v>
      </c>
      <c r="D9" s="35">
        <v>29</v>
      </c>
      <c r="E9" s="34">
        <f t="shared" si="0"/>
        <v>-0.14705882352941177</v>
      </c>
    </row>
    <row r="10" spans="1:5" ht="14">
      <c r="A10" s="35" t="s">
        <v>478</v>
      </c>
      <c r="B10" s="35" t="s">
        <v>463</v>
      </c>
      <c r="C10" s="35">
        <v>10</v>
      </c>
      <c r="D10" s="35">
        <v>11</v>
      </c>
      <c r="E10" s="34">
        <f t="shared" si="0"/>
        <v>0.1</v>
      </c>
    </row>
    <row r="11" spans="1:5" ht="14">
      <c r="A11" s="35" t="s">
        <v>479</v>
      </c>
      <c r="B11" s="35" t="s">
        <v>480</v>
      </c>
      <c r="C11" s="35">
        <v>220</v>
      </c>
      <c r="D11" s="35">
        <v>210</v>
      </c>
      <c r="E11" s="34">
        <f t="shared" si="0"/>
        <v>-4.5454545454545456E-2</v>
      </c>
    </row>
    <row r="12" spans="1:5" ht="14">
      <c r="A12" s="35" t="s">
        <v>481</v>
      </c>
      <c r="B12" s="35" t="s">
        <v>482</v>
      </c>
      <c r="C12" s="35">
        <v>22</v>
      </c>
      <c r="D12" s="35">
        <v>21</v>
      </c>
      <c r="E12" s="34">
        <f t="shared" si="0"/>
        <v>-4.5454545454545456E-2</v>
      </c>
    </row>
    <row r="13" spans="1:5" ht="14">
      <c r="A13" s="35" t="s">
        <v>483</v>
      </c>
      <c r="B13" s="35" t="s">
        <v>484</v>
      </c>
      <c r="C13" s="35">
        <v>1</v>
      </c>
      <c r="D13" s="35">
        <v>1</v>
      </c>
      <c r="E13" s="34">
        <f t="shared" si="0"/>
        <v>0</v>
      </c>
    </row>
    <row r="14" spans="1:5" ht="14">
      <c r="A14" s="35" t="s">
        <v>485</v>
      </c>
      <c r="B14" s="35" t="s">
        <v>486</v>
      </c>
      <c r="C14" s="35">
        <v>25</v>
      </c>
      <c r="D14" s="35">
        <v>25</v>
      </c>
      <c r="E14" s="34">
        <f t="shared" si="0"/>
        <v>0</v>
      </c>
    </row>
    <row r="15" spans="1:5" ht="14">
      <c r="A15" s="35" t="s">
        <v>487</v>
      </c>
      <c r="B15" s="35" t="s">
        <v>488</v>
      </c>
      <c r="C15" s="35">
        <v>2</v>
      </c>
      <c r="D15" s="35">
        <v>2</v>
      </c>
      <c r="E15" s="34">
        <f t="shared" si="0"/>
        <v>0</v>
      </c>
    </row>
    <row r="16" spans="1:5" ht="14">
      <c r="A16" s="35" t="s">
        <v>489</v>
      </c>
      <c r="B16" s="35" t="s">
        <v>490</v>
      </c>
      <c r="C16" s="35">
        <v>15</v>
      </c>
      <c r="D16" s="35">
        <v>11</v>
      </c>
      <c r="E16" s="34">
        <f t="shared" si="0"/>
        <v>-0.26666666666666666</v>
      </c>
    </row>
    <row r="17" spans="1:5" ht="14">
      <c r="A17" s="35" t="s">
        <v>491</v>
      </c>
      <c r="B17" s="35" t="s">
        <v>486</v>
      </c>
      <c r="C17" s="35">
        <v>3</v>
      </c>
      <c r="D17" s="35">
        <v>3</v>
      </c>
      <c r="E17" s="34">
        <f t="shared" si="0"/>
        <v>0</v>
      </c>
    </row>
    <row r="18" spans="1:5" ht="14">
      <c r="A18" s="35" t="s">
        <v>1007</v>
      </c>
      <c r="B18" s="35" t="s">
        <v>1008</v>
      </c>
      <c r="C18" s="58" t="s">
        <v>792</v>
      </c>
      <c r="D18" s="35">
        <v>79</v>
      </c>
      <c r="E18" s="58" t="s">
        <v>792</v>
      </c>
    </row>
    <row r="19" spans="1:5" ht="14">
      <c r="A19" s="35" t="s">
        <v>492</v>
      </c>
      <c r="B19" s="35" t="s">
        <v>161</v>
      </c>
      <c r="C19" s="35">
        <v>1</v>
      </c>
      <c r="D19" s="35">
        <v>2</v>
      </c>
      <c r="E19" s="34">
        <f t="shared" si="0"/>
        <v>1</v>
      </c>
    </row>
    <row r="20" spans="1:5" ht="14">
      <c r="A20" s="35" t="s">
        <v>493</v>
      </c>
      <c r="B20" s="35" t="s">
        <v>494</v>
      </c>
      <c r="C20" s="35">
        <v>4</v>
      </c>
      <c r="D20" s="35">
        <v>4</v>
      </c>
      <c r="E20" s="34">
        <f t="shared" si="0"/>
        <v>0</v>
      </c>
    </row>
    <row r="21" spans="1:5" ht="14">
      <c r="A21" s="35" t="s">
        <v>1005</v>
      </c>
      <c r="B21" s="35" t="s">
        <v>1006</v>
      </c>
      <c r="C21" s="58" t="s">
        <v>792</v>
      </c>
      <c r="D21" s="35">
        <v>2</v>
      </c>
      <c r="E21" s="58" t="s">
        <v>792</v>
      </c>
    </row>
    <row r="22" spans="1:5" ht="14">
      <c r="A22" s="35" t="s">
        <v>195</v>
      </c>
      <c r="B22" s="35" t="s">
        <v>203</v>
      </c>
      <c r="C22" s="35">
        <v>18</v>
      </c>
      <c r="D22" s="35">
        <v>18</v>
      </c>
      <c r="E22" s="34">
        <f t="shared" si="0"/>
        <v>0</v>
      </c>
    </row>
    <row r="23" spans="1:5" ht="14">
      <c r="A23" s="35" t="s">
        <v>495</v>
      </c>
      <c r="B23" s="35" t="s">
        <v>496</v>
      </c>
      <c r="C23" s="35">
        <v>7</v>
      </c>
      <c r="D23" s="35">
        <v>8</v>
      </c>
      <c r="E23" s="34">
        <f t="shared" si="0"/>
        <v>0.14285714285714285</v>
      </c>
    </row>
    <row r="24" spans="1:5" ht="14">
      <c r="A24" s="35" t="s">
        <v>196</v>
      </c>
      <c r="B24" s="35" t="s">
        <v>204</v>
      </c>
      <c r="C24" s="35">
        <v>1</v>
      </c>
      <c r="D24" s="35">
        <v>1</v>
      </c>
      <c r="E24" s="34">
        <f>(D24-C24)/C24</f>
        <v>0</v>
      </c>
    </row>
    <row r="25" spans="1:5" ht="14">
      <c r="A25" s="35" t="s">
        <v>497</v>
      </c>
      <c r="B25" s="35" t="s">
        <v>498</v>
      </c>
      <c r="C25" s="35">
        <v>184</v>
      </c>
      <c r="D25" s="35">
        <v>176</v>
      </c>
      <c r="E25" s="34">
        <f t="shared" si="0"/>
        <v>-4.3478260869565216E-2</v>
      </c>
    </row>
    <row r="26" spans="1:5" ht="14">
      <c r="A26" s="35" t="s">
        <v>499</v>
      </c>
      <c r="B26" s="35" t="s">
        <v>500</v>
      </c>
      <c r="C26" s="35">
        <v>13</v>
      </c>
      <c r="D26" s="35">
        <v>13</v>
      </c>
      <c r="E26" s="34">
        <f t="shared" si="0"/>
        <v>0</v>
      </c>
    </row>
    <row r="27" spans="1:5" ht="14">
      <c r="A27" s="35" t="s">
        <v>501</v>
      </c>
      <c r="B27" s="35" t="s">
        <v>502</v>
      </c>
      <c r="C27" s="35">
        <v>2</v>
      </c>
      <c r="D27" s="35">
        <v>1</v>
      </c>
      <c r="E27" s="34">
        <f t="shared" si="0"/>
        <v>-0.5</v>
      </c>
    </row>
    <row r="28" spans="1:5" ht="14">
      <c r="A28" s="35" t="s">
        <v>503</v>
      </c>
      <c r="B28" s="35" t="s">
        <v>504</v>
      </c>
      <c r="C28" s="35">
        <v>11</v>
      </c>
      <c r="D28" s="35">
        <v>3</v>
      </c>
      <c r="E28" s="34">
        <f t="shared" si="0"/>
        <v>-0.72727272727272729</v>
      </c>
    </row>
    <row r="29" spans="1:5" ht="14">
      <c r="A29" s="35" t="s">
        <v>505</v>
      </c>
      <c r="B29" s="35" t="s">
        <v>498</v>
      </c>
      <c r="C29" s="35">
        <v>57</v>
      </c>
      <c r="D29" s="35">
        <v>57</v>
      </c>
      <c r="E29" s="34">
        <f t="shared" si="0"/>
        <v>0</v>
      </c>
    </row>
    <row r="30" spans="1:5" ht="14">
      <c r="A30" s="35" t="s">
        <v>506</v>
      </c>
      <c r="B30" s="35" t="s">
        <v>507</v>
      </c>
      <c r="C30" s="35">
        <v>1904</v>
      </c>
      <c r="D30" s="35">
        <v>1928</v>
      </c>
      <c r="E30" s="34">
        <f t="shared" si="0"/>
        <v>1.2605042016806723E-2</v>
      </c>
    </row>
    <row r="31" spans="1:5" ht="14">
      <c r="A31" s="35" t="s">
        <v>508</v>
      </c>
      <c r="B31" s="35" t="s">
        <v>509</v>
      </c>
      <c r="C31" s="35">
        <v>2</v>
      </c>
      <c r="D31" s="35">
        <v>2</v>
      </c>
      <c r="E31" s="34">
        <f t="shared" si="0"/>
        <v>0</v>
      </c>
    </row>
    <row r="32" spans="1:5" ht="14">
      <c r="A32" s="35" t="s">
        <v>510</v>
      </c>
      <c r="B32" s="35" t="s">
        <v>511</v>
      </c>
      <c r="C32" s="35">
        <v>113</v>
      </c>
      <c r="D32" s="35">
        <v>114</v>
      </c>
      <c r="E32" s="34">
        <f t="shared" si="0"/>
        <v>8.8495575221238937E-3</v>
      </c>
    </row>
    <row r="33" spans="1:5" ht="14">
      <c r="A33" s="35" t="s">
        <v>512</v>
      </c>
      <c r="B33" s="35" t="s">
        <v>513</v>
      </c>
      <c r="C33" s="35">
        <v>822</v>
      </c>
      <c r="D33" s="35">
        <v>818</v>
      </c>
      <c r="E33" s="34">
        <f t="shared" si="0"/>
        <v>-4.8661800486618006E-3</v>
      </c>
    </row>
    <row r="34" spans="1:5" ht="14">
      <c r="A34" s="35" t="s">
        <v>514</v>
      </c>
      <c r="B34" s="35" t="s">
        <v>205</v>
      </c>
      <c r="C34" s="35">
        <v>1</v>
      </c>
      <c r="D34" s="35">
        <v>0</v>
      </c>
      <c r="E34" s="34">
        <f t="shared" si="0"/>
        <v>-1</v>
      </c>
    </row>
    <row r="35" spans="1:5" ht="14">
      <c r="A35" s="35" t="s">
        <v>515</v>
      </c>
      <c r="B35" s="35" t="s">
        <v>516</v>
      </c>
      <c r="C35" s="35">
        <v>35</v>
      </c>
      <c r="D35" s="35">
        <v>35</v>
      </c>
      <c r="E35" s="34">
        <f t="shared" si="0"/>
        <v>0</v>
      </c>
    </row>
    <row r="36" spans="1:5" ht="14">
      <c r="A36" s="35" t="s">
        <v>517</v>
      </c>
      <c r="B36" s="35" t="s">
        <v>518</v>
      </c>
      <c r="C36" s="35">
        <v>17</v>
      </c>
      <c r="D36" s="35">
        <v>18</v>
      </c>
      <c r="E36" s="34">
        <f t="shared" si="0"/>
        <v>5.8823529411764705E-2</v>
      </c>
    </row>
    <row r="37" spans="1:5" ht="14">
      <c r="A37" s="35" t="s">
        <v>519</v>
      </c>
      <c r="B37" s="35" t="s">
        <v>520</v>
      </c>
      <c r="C37" s="35">
        <v>22</v>
      </c>
      <c r="D37" s="35">
        <v>22</v>
      </c>
      <c r="E37" s="34">
        <f t="shared" si="0"/>
        <v>0</v>
      </c>
    </row>
    <row r="38" spans="1:5" ht="14">
      <c r="A38" s="35" t="s">
        <v>197</v>
      </c>
      <c r="B38" s="35" t="s">
        <v>205</v>
      </c>
      <c r="C38" s="35">
        <v>671</v>
      </c>
      <c r="D38" s="35">
        <v>685</v>
      </c>
      <c r="E38" s="34">
        <f t="shared" si="0"/>
        <v>2.0864381520119227E-2</v>
      </c>
    </row>
    <row r="39" spans="1:5" ht="14">
      <c r="A39" s="35" t="s">
        <v>198</v>
      </c>
      <c r="B39" s="35" t="s">
        <v>206</v>
      </c>
      <c r="C39" s="35">
        <v>10</v>
      </c>
      <c r="D39" s="35">
        <v>10</v>
      </c>
      <c r="E39" s="34">
        <f t="shared" si="0"/>
        <v>0</v>
      </c>
    </row>
    <row r="40" spans="1:5" ht="14">
      <c r="A40" s="35" t="s">
        <v>199</v>
      </c>
      <c r="B40" s="35" t="s">
        <v>207</v>
      </c>
      <c r="C40" s="35">
        <v>7</v>
      </c>
      <c r="D40" s="35">
        <v>6</v>
      </c>
      <c r="E40" s="34">
        <f t="shared" si="0"/>
        <v>-0.14285714285714285</v>
      </c>
    </row>
    <row r="41" spans="1:5" ht="14">
      <c r="A41" s="35" t="s">
        <v>521</v>
      </c>
      <c r="B41" s="35" t="s">
        <v>522</v>
      </c>
      <c r="C41" s="35">
        <v>18</v>
      </c>
      <c r="D41" s="35">
        <v>18</v>
      </c>
      <c r="E41" s="34">
        <f t="shared" si="0"/>
        <v>0</v>
      </c>
    </row>
    <row r="42" spans="1:5" ht="14">
      <c r="A42" s="35" t="s">
        <v>523</v>
      </c>
      <c r="B42" s="35" t="s">
        <v>524</v>
      </c>
      <c r="C42" s="35">
        <v>1</v>
      </c>
      <c r="D42" s="35">
        <v>1</v>
      </c>
      <c r="E42" s="34">
        <f t="shared" si="0"/>
        <v>0</v>
      </c>
    </row>
    <row r="43" spans="1:5" ht="14">
      <c r="A43" s="35" t="s">
        <v>200</v>
      </c>
      <c r="B43" s="35" t="s">
        <v>208</v>
      </c>
      <c r="C43" s="35">
        <v>9</v>
      </c>
      <c r="D43" s="35">
        <v>7</v>
      </c>
      <c r="E43" s="34">
        <f t="shared" si="0"/>
        <v>-0.22222222222222221</v>
      </c>
    </row>
    <row r="44" spans="1:5" ht="14">
      <c r="A44" s="35" t="s">
        <v>201</v>
      </c>
      <c r="B44" s="35" t="s">
        <v>209</v>
      </c>
      <c r="C44" s="35">
        <v>169</v>
      </c>
      <c r="D44" s="35">
        <v>162</v>
      </c>
      <c r="E44" s="34">
        <f>(D44-C44)/C44</f>
        <v>-4.142011834319527E-2</v>
      </c>
    </row>
    <row r="45" spans="1:5" ht="14">
      <c r="A45" s="35" t="s">
        <v>525</v>
      </c>
      <c r="B45" s="35" t="s">
        <v>526</v>
      </c>
      <c r="C45" s="35">
        <v>2</v>
      </c>
      <c r="D45" s="35">
        <v>1</v>
      </c>
      <c r="E45" s="34">
        <f t="shared" si="0"/>
        <v>-0.5</v>
      </c>
    </row>
    <row r="46" spans="1:5" ht="14">
      <c r="A46" s="35" t="s">
        <v>527</v>
      </c>
      <c r="B46" s="35" t="s">
        <v>209</v>
      </c>
      <c r="C46" s="35">
        <v>6</v>
      </c>
      <c r="D46" s="35">
        <v>6</v>
      </c>
      <c r="E46" s="34">
        <f t="shared" si="0"/>
        <v>0</v>
      </c>
    </row>
    <row r="47" spans="1:5" ht="14">
      <c r="A47" s="35" t="s">
        <v>528</v>
      </c>
      <c r="B47" s="35" t="s">
        <v>529</v>
      </c>
      <c r="C47" s="35">
        <v>2</v>
      </c>
      <c r="D47" s="35">
        <v>2</v>
      </c>
      <c r="E47" s="34">
        <f t="shared" si="0"/>
        <v>0</v>
      </c>
    </row>
    <row r="48" spans="1:5" ht="14">
      <c r="A48" s="35" t="s">
        <v>530</v>
      </c>
      <c r="B48" s="35" t="s">
        <v>531</v>
      </c>
      <c r="C48" s="35">
        <v>3</v>
      </c>
      <c r="D48" s="35">
        <v>3</v>
      </c>
      <c r="E48" s="34">
        <f t="shared" si="0"/>
        <v>0</v>
      </c>
    </row>
    <row r="49" spans="1:5" ht="14">
      <c r="A49" s="35" t="s">
        <v>532</v>
      </c>
      <c r="B49" s="35" t="s">
        <v>533</v>
      </c>
      <c r="C49" s="35">
        <v>2</v>
      </c>
      <c r="D49" s="35">
        <v>2</v>
      </c>
      <c r="E49" s="34">
        <f t="shared" si="0"/>
        <v>0</v>
      </c>
    </row>
    <row r="50" spans="1:5" ht="14">
      <c r="A50" s="35" t="s">
        <v>534</v>
      </c>
      <c r="B50" s="35" t="s">
        <v>535</v>
      </c>
      <c r="C50" s="35">
        <v>1</v>
      </c>
      <c r="D50" s="35">
        <v>1</v>
      </c>
      <c r="E50" s="34">
        <f t="shared" si="0"/>
        <v>0</v>
      </c>
    </row>
    <row r="51" spans="1:5" ht="14">
      <c r="A51" s="35" t="s">
        <v>202</v>
      </c>
      <c r="B51" s="35" t="s">
        <v>210</v>
      </c>
      <c r="C51" s="35">
        <v>618</v>
      </c>
      <c r="D51" s="35">
        <v>536</v>
      </c>
      <c r="E51" s="34">
        <f t="shared" si="0"/>
        <v>-0.13268608414239483</v>
      </c>
    </row>
    <row r="52" spans="1:5" ht="14">
      <c r="A52" s="35" t="s">
        <v>536</v>
      </c>
      <c r="B52" s="35" t="s">
        <v>210</v>
      </c>
      <c r="C52" s="35">
        <v>7</v>
      </c>
      <c r="D52" s="35">
        <v>6</v>
      </c>
      <c r="E52" s="34">
        <f t="shared" si="0"/>
        <v>-0.14285714285714285</v>
      </c>
    </row>
    <row r="53" spans="1:5" ht="14">
      <c r="A53" s="35" t="s">
        <v>537</v>
      </c>
      <c r="B53" s="35" t="s">
        <v>538</v>
      </c>
      <c r="C53" s="35">
        <v>355</v>
      </c>
      <c r="D53" s="35">
        <v>369</v>
      </c>
      <c r="E53" s="34">
        <f t="shared" si="0"/>
        <v>3.9436619718309862E-2</v>
      </c>
    </row>
    <row r="54" spans="1:5" ht="14">
      <c r="A54" s="35" t="s">
        <v>539</v>
      </c>
      <c r="B54" s="35" t="s">
        <v>540</v>
      </c>
      <c r="C54" s="35">
        <v>6</v>
      </c>
      <c r="D54" s="35">
        <v>7</v>
      </c>
      <c r="E54" s="34">
        <f t="shared" si="0"/>
        <v>0.16666666666666666</v>
      </c>
    </row>
    <row r="55" spans="1:5" ht="14">
      <c r="A55" s="35" t="s">
        <v>541</v>
      </c>
      <c r="B55" s="35" t="s">
        <v>161</v>
      </c>
      <c r="C55" s="35">
        <v>19</v>
      </c>
      <c r="D55" s="35">
        <v>17</v>
      </c>
      <c r="E55" s="34">
        <f t="shared" si="0"/>
        <v>-0.10526315789473684</v>
      </c>
    </row>
    <row r="56" spans="1:5" ht="14">
      <c r="A56" s="35" t="s">
        <v>542</v>
      </c>
      <c r="B56" s="35" t="s">
        <v>543</v>
      </c>
      <c r="C56" s="35">
        <v>1</v>
      </c>
      <c r="D56" s="35">
        <v>1</v>
      </c>
      <c r="E56" s="34">
        <f t="shared" si="0"/>
        <v>0</v>
      </c>
    </row>
    <row r="57" spans="1:5" ht="14">
      <c r="A57" s="35" t="s">
        <v>544</v>
      </c>
      <c r="B57" s="35" t="s">
        <v>545</v>
      </c>
      <c r="C57" s="35">
        <v>2</v>
      </c>
      <c r="D57" s="35">
        <v>2</v>
      </c>
      <c r="E57" s="34">
        <f t="shared" si="0"/>
        <v>0</v>
      </c>
    </row>
    <row r="58" spans="1:5" ht="14">
      <c r="A58" s="35" t="s">
        <v>546</v>
      </c>
      <c r="B58" s="35" t="s">
        <v>547</v>
      </c>
      <c r="C58" s="35">
        <v>5</v>
      </c>
      <c r="D58" s="35">
        <v>5</v>
      </c>
      <c r="E58" s="34">
        <f t="shared" si="0"/>
        <v>0</v>
      </c>
    </row>
    <row r="59" spans="1:5" ht="14">
      <c r="A59" s="35" t="s">
        <v>548</v>
      </c>
      <c r="B59" s="35" t="s">
        <v>549</v>
      </c>
      <c r="C59" s="35">
        <v>43</v>
      </c>
      <c r="D59" s="35">
        <v>42</v>
      </c>
      <c r="E59" s="34">
        <f t="shared" si="0"/>
        <v>-2.3255813953488372E-2</v>
      </c>
    </row>
    <row r="60" spans="1:5" ht="14">
      <c r="A60" s="35" t="s">
        <v>550</v>
      </c>
      <c r="B60" s="35" t="s">
        <v>551</v>
      </c>
      <c r="C60" s="35">
        <v>32</v>
      </c>
      <c r="D60" s="35">
        <v>34</v>
      </c>
      <c r="E60" s="34">
        <f t="shared" si="0"/>
        <v>6.25E-2</v>
      </c>
    </row>
    <row r="61" spans="1:5" ht="14">
      <c r="A61" s="35" t="s">
        <v>552</v>
      </c>
      <c r="B61" s="35" t="s">
        <v>553</v>
      </c>
      <c r="C61" s="35">
        <v>4</v>
      </c>
      <c r="D61" s="35">
        <v>4</v>
      </c>
      <c r="E61" s="34">
        <f t="shared" si="0"/>
        <v>0</v>
      </c>
    </row>
    <row r="62" spans="1:5" ht="14">
      <c r="B62" s="51" t="s">
        <v>7</v>
      </c>
      <c r="C62" s="12">
        <f>SUM(C4:C61)</f>
        <v>5616</v>
      </c>
      <c r="D62" s="12">
        <f>SUM(D4:D61)</f>
        <v>5600</v>
      </c>
      <c r="E62" s="53"/>
    </row>
  </sheetData>
  <phoneticPr fontId="2" type="noConversion"/>
  <pageMargins left="0.75" right="0.75" top="1" bottom="1" header="0.3" footer="0.3"/>
  <pageSetup orientation="portrait"/>
  <headerFooter>
    <oddFooter>&amp;L2009-2010&amp;C&amp;A&amp;RPage &amp;P of &amp;N</oddFooter>
  </headerFooter>
  <drawing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Views>
    <sheetView topLeftCell="A33" workbookViewId="0">
      <selection sqref="A1:B1"/>
    </sheetView>
  </sheetViews>
  <sheetFormatPr baseColWidth="10" defaultColWidth="8.83203125" defaultRowHeight="12" x14ac:dyDescent="0"/>
  <cols>
    <col min="1" max="1" width="22" customWidth="1"/>
    <col min="2" max="2" width="18" customWidth="1"/>
    <col min="3" max="3" width="13.5" bestFit="1" customWidth="1"/>
    <col min="4" max="4" width="12.5" customWidth="1"/>
    <col min="5" max="5" width="12.6640625" bestFit="1" customWidth="1"/>
    <col min="6" max="6" width="12.5" customWidth="1"/>
    <col min="7" max="7" width="11.6640625" bestFit="1" customWidth="1"/>
    <col min="10" max="11" width="12.6640625" bestFit="1" customWidth="1"/>
  </cols>
  <sheetData>
    <row r="1" spans="1:8" ht="18">
      <c r="A1" s="213" t="s">
        <v>1004</v>
      </c>
      <c r="B1" s="128"/>
      <c r="C1" s="12"/>
      <c r="D1" s="12"/>
      <c r="E1" s="12"/>
      <c r="F1" s="12"/>
      <c r="G1" s="12"/>
      <c r="H1" s="12"/>
    </row>
    <row r="2" spans="1:8" ht="14">
      <c r="A2" s="12"/>
      <c r="B2" s="12"/>
      <c r="C2" s="12"/>
      <c r="D2" s="12"/>
      <c r="E2" s="12"/>
      <c r="F2" s="12"/>
      <c r="G2" s="12"/>
      <c r="H2" s="12"/>
    </row>
    <row r="3" spans="1:8" ht="32.25" customHeight="1" thickBot="1">
      <c r="A3" s="29" t="s">
        <v>459</v>
      </c>
      <c r="B3" s="30" t="s">
        <v>5</v>
      </c>
      <c r="C3" s="30" t="s">
        <v>462</v>
      </c>
      <c r="D3" s="30" t="s">
        <v>370</v>
      </c>
      <c r="E3" s="30" t="s">
        <v>577</v>
      </c>
      <c r="F3" s="12"/>
      <c r="G3" s="12"/>
      <c r="H3" s="12"/>
    </row>
    <row r="4" spans="1:8" ht="14">
      <c r="A4" s="31" t="s">
        <v>1009</v>
      </c>
      <c r="B4" s="32">
        <v>2296092.17</v>
      </c>
      <c r="C4" s="32">
        <v>2537686.52</v>
      </c>
      <c r="D4" s="34">
        <f>(C4-B4)/B4</f>
        <v>0.10521979611994413</v>
      </c>
      <c r="E4" s="34">
        <f>B4/$B$8</f>
        <v>0.9712669031939406</v>
      </c>
      <c r="F4" s="12"/>
      <c r="G4" s="12"/>
      <c r="H4" s="12"/>
    </row>
    <row r="5" spans="1:8" ht="14">
      <c r="A5" s="35" t="s">
        <v>24</v>
      </c>
      <c r="B5" s="36">
        <v>27264.41</v>
      </c>
      <c r="C5" s="36">
        <v>10536.48</v>
      </c>
      <c r="D5" s="34">
        <f t="shared" ref="D5:D8" si="0">(C5-B5)/B5</f>
        <v>-0.6135445439677587</v>
      </c>
      <c r="E5" s="34">
        <f>B5/$B$8</f>
        <v>1.1533081909386027E-2</v>
      </c>
      <c r="F5" s="12"/>
      <c r="G5" s="124"/>
      <c r="H5" s="12"/>
    </row>
    <row r="6" spans="1:8" ht="14">
      <c r="A6" s="35" t="s">
        <v>9</v>
      </c>
      <c r="B6" s="36">
        <v>4194.3</v>
      </c>
      <c r="C6" s="36">
        <v>4460.97</v>
      </c>
      <c r="D6" s="34">
        <f t="shared" si="0"/>
        <v>6.3579143122809545E-2</v>
      </c>
      <c r="E6" s="34">
        <f>B6/$B$8</f>
        <v>1.7742252794957902E-3</v>
      </c>
      <c r="F6" s="12"/>
      <c r="G6" s="12"/>
      <c r="H6" s="12"/>
    </row>
    <row r="7" spans="1:8" ht="15" thickBot="1">
      <c r="A7" s="50" t="s">
        <v>192</v>
      </c>
      <c r="B7" s="38">
        <v>36466.839999999997</v>
      </c>
      <c r="C7" s="38">
        <v>14178.49</v>
      </c>
      <c r="D7" s="34">
        <f t="shared" si="0"/>
        <v>-0.61119499249180897</v>
      </c>
      <c r="E7" s="175">
        <f>B7/$B$8</f>
        <v>1.5425789617177658E-2</v>
      </c>
      <c r="F7" s="12"/>
      <c r="G7" s="12"/>
      <c r="H7" s="12"/>
    </row>
    <row r="8" spans="1:8" ht="15" thickBot="1">
      <c r="A8" s="125" t="s">
        <v>23</v>
      </c>
      <c r="B8" s="40">
        <f>SUM(B4:B7)</f>
        <v>2364017.7199999997</v>
      </c>
      <c r="C8" s="40">
        <f>SUM(C4:C7)</f>
        <v>2566862.4600000004</v>
      </c>
      <c r="D8" s="41">
        <f t="shared" si="0"/>
        <v>8.5805084405205179E-2</v>
      </c>
      <c r="E8" s="41">
        <f>B8/$B$8</f>
        <v>1</v>
      </c>
      <c r="F8" s="12"/>
      <c r="G8" s="124"/>
      <c r="H8" s="12"/>
    </row>
    <row r="9" spans="1:8" ht="14">
      <c r="A9" s="12"/>
      <c r="B9" s="12"/>
      <c r="C9" s="12"/>
      <c r="D9" s="12"/>
      <c r="E9" s="12"/>
      <c r="F9" s="12"/>
      <c r="G9" s="12"/>
      <c r="H9" s="12"/>
    </row>
    <row r="10" spans="1:8" ht="14">
      <c r="A10" s="12"/>
      <c r="B10" s="12"/>
      <c r="C10" s="12"/>
      <c r="D10" s="12"/>
      <c r="E10" s="12"/>
      <c r="F10" s="12"/>
      <c r="G10" s="12"/>
      <c r="H10" s="12"/>
    </row>
    <row r="11" spans="1:8" ht="36.75" customHeight="1" thickBot="1">
      <c r="A11" s="29" t="s">
        <v>337</v>
      </c>
      <c r="B11" s="30" t="s">
        <v>5</v>
      </c>
      <c r="C11" s="30" t="s">
        <v>462</v>
      </c>
      <c r="D11" s="30" t="s">
        <v>370</v>
      </c>
      <c r="E11" s="30" t="s">
        <v>577</v>
      </c>
      <c r="F11" s="12"/>
      <c r="G11" s="12"/>
      <c r="H11" s="12"/>
    </row>
    <row r="12" spans="1:8" ht="14">
      <c r="A12" s="31" t="s">
        <v>301</v>
      </c>
      <c r="B12" s="32">
        <v>330491.45</v>
      </c>
      <c r="C12" s="32">
        <v>331786.45</v>
      </c>
      <c r="D12" s="34">
        <f>(C12-B12)/B12</f>
        <v>3.9184069663526847E-3</v>
      </c>
      <c r="E12" s="34">
        <f>C12/$B$8</f>
        <v>0.14034854611834299</v>
      </c>
      <c r="F12" s="12"/>
      <c r="G12" s="12"/>
      <c r="H12" s="12"/>
    </row>
    <row r="13" spans="1:8" ht="14">
      <c r="A13" s="35" t="s">
        <v>460</v>
      </c>
      <c r="B13" s="36">
        <v>2168.62</v>
      </c>
      <c r="C13" s="32">
        <v>76.5</v>
      </c>
      <c r="D13" s="33">
        <f>(C13-B13)/B13</f>
        <v>-0.96472411026367</v>
      </c>
      <c r="E13" s="34">
        <f>C13/$B$8</f>
        <v>3.2360163527031436E-5</v>
      </c>
      <c r="F13" s="12"/>
      <c r="G13" s="12"/>
      <c r="H13" s="12"/>
    </row>
    <row r="14" spans="1:8" ht="14">
      <c r="A14" s="35" t="s">
        <v>461</v>
      </c>
      <c r="B14" s="36">
        <v>7058.43</v>
      </c>
      <c r="C14" s="32">
        <v>13780.93</v>
      </c>
      <c r="D14" s="33">
        <f>(C14-B14)/B14</f>
        <v>0.95240726337159964</v>
      </c>
      <c r="E14" s="34">
        <f>C14/$B$8</f>
        <v>5.8294529196676248E-3</v>
      </c>
      <c r="F14" s="12"/>
      <c r="G14" s="12"/>
      <c r="H14" s="12"/>
    </row>
    <row r="15" spans="1:8" ht="15" thickBot="1">
      <c r="A15" s="50" t="s">
        <v>192</v>
      </c>
      <c r="B15" s="38">
        <v>21098.01</v>
      </c>
      <c r="C15" s="38">
        <v>3810.68</v>
      </c>
      <c r="D15" s="39">
        <f>(C15-B15)/B15</f>
        <v>-0.81938201754573059</v>
      </c>
      <c r="E15" s="34">
        <f>C15/$B$8</f>
        <v>1.6119506921462503E-3</v>
      </c>
      <c r="F15" s="12"/>
      <c r="G15" s="12"/>
      <c r="H15" s="12"/>
    </row>
    <row r="16" spans="1:8" ht="15" thickBot="1">
      <c r="A16" s="125" t="s">
        <v>23</v>
      </c>
      <c r="B16" s="40">
        <f>SUM(B12:B15)</f>
        <v>360816.51</v>
      </c>
      <c r="C16" s="40">
        <f>SUM(C12:C15)</f>
        <v>349454.56</v>
      </c>
      <c r="D16" s="41">
        <f>(C16-B16)/B16</f>
        <v>-3.148955129575421E-2</v>
      </c>
      <c r="E16" s="126">
        <f>C16/$B$8</f>
        <v>0.14782230989368389</v>
      </c>
      <c r="F16" s="12"/>
      <c r="G16" s="12"/>
      <c r="H16" s="12"/>
    </row>
    <row r="17" spans="1:8" ht="14">
      <c r="A17" s="12"/>
      <c r="B17" s="12"/>
      <c r="C17" s="12"/>
      <c r="D17" s="12"/>
      <c r="E17" s="12"/>
      <c r="F17" s="12"/>
      <c r="G17" s="12"/>
      <c r="H17" s="12"/>
    </row>
    <row r="18" spans="1:8" ht="14">
      <c r="A18" s="12"/>
      <c r="B18" s="12"/>
      <c r="C18" s="12"/>
      <c r="D18" s="12"/>
      <c r="E18" s="12"/>
      <c r="F18" s="12"/>
      <c r="G18" s="12"/>
      <c r="H18" s="12"/>
    </row>
    <row r="19" spans="1:8" ht="14">
      <c r="A19" s="12"/>
      <c r="B19" s="12"/>
      <c r="C19" s="12"/>
      <c r="D19" s="12"/>
      <c r="E19" s="12"/>
      <c r="F19" s="12"/>
      <c r="G19" s="12"/>
      <c r="H19" s="12"/>
    </row>
    <row r="20" spans="1:8" ht="14">
      <c r="A20" s="12"/>
      <c r="B20" s="12"/>
      <c r="C20" s="12"/>
      <c r="D20" s="12"/>
      <c r="E20" s="12"/>
      <c r="F20" s="12"/>
      <c r="G20" s="12"/>
      <c r="H20" s="12"/>
    </row>
    <row r="21" spans="1:8" ht="14">
      <c r="A21" s="12"/>
      <c r="B21" s="12"/>
      <c r="C21" s="12"/>
      <c r="D21" s="12"/>
      <c r="E21" s="12"/>
      <c r="F21" s="12"/>
      <c r="G21" s="12"/>
      <c r="H21" s="12"/>
    </row>
    <row r="22" spans="1:8" ht="14">
      <c r="A22" s="12"/>
      <c r="B22" s="12"/>
      <c r="C22" s="12"/>
      <c r="D22" s="12"/>
      <c r="E22" s="12"/>
      <c r="F22" s="12"/>
      <c r="G22" s="12"/>
      <c r="H22" s="12"/>
    </row>
    <row r="23" spans="1:8" ht="14">
      <c r="A23" s="12"/>
      <c r="B23" s="12"/>
      <c r="C23" s="12"/>
      <c r="D23" s="12"/>
      <c r="E23" s="12"/>
      <c r="F23" s="12"/>
      <c r="G23" s="12"/>
      <c r="H23" s="12"/>
    </row>
    <row r="24" spans="1:8" ht="14">
      <c r="A24" s="12"/>
      <c r="B24" s="12"/>
      <c r="C24" s="12"/>
      <c r="D24" s="12"/>
      <c r="E24" s="12"/>
      <c r="F24" s="12"/>
      <c r="G24" s="12"/>
      <c r="H24" s="12"/>
    </row>
    <row r="25" spans="1:8" ht="14">
      <c r="A25" s="12"/>
      <c r="B25" s="12"/>
      <c r="C25" s="12"/>
      <c r="D25" s="12"/>
      <c r="E25" s="12"/>
      <c r="F25" s="12"/>
      <c r="G25" s="12"/>
      <c r="H25" s="12"/>
    </row>
    <row r="26" spans="1:8" ht="14">
      <c r="A26" s="12"/>
      <c r="B26" s="12"/>
      <c r="C26" s="12"/>
      <c r="D26" s="12"/>
      <c r="E26" s="12"/>
      <c r="F26" s="12"/>
      <c r="G26" s="12"/>
      <c r="H26" s="12"/>
    </row>
    <row r="27" spans="1:8" ht="14">
      <c r="A27" s="12"/>
      <c r="B27" s="12"/>
      <c r="C27" s="12"/>
      <c r="D27" s="12"/>
      <c r="E27" s="12"/>
      <c r="F27" s="12"/>
      <c r="G27" s="12"/>
      <c r="H27" s="12"/>
    </row>
    <row r="28" spans="1:8" ht="14">
      <c r="A28" s="12"/>
      <c r="B28" s="12"/>
      <c r="C28" s="12"/>
      <c r="D28" s="12"/>
      <c r="E28" s="12"/>
      <c r="F28" s="12"/>
      <c r="G28" s="12"/>
      <c r="H28" s="12"/>
    </row>
    <row r="29" spans="1:8" ht="14">
      <c r="A29" s="12"/>
      <c r="B29" s="12"/>
      <c r="C29" s="12"/>
      <c r="D29" s="12"/>
      <c r="E29" s="12"/>
      <c r="F29" s="12"/>
      <c r="G29" s="12"/>
      <c r="H29" s="12"/>
    </row>
    <row r="30" spans="1:8" ht="14">
      <c r="A30" s="12"/>
      <c r="B30" s="12"/>
      <c r="C30" s="12"/>
      <c r="D30" s="12"/>
      <c r="E30" s="12"/>
      <c r="F30" s="12"/>
      <c r="G30" s="12"/>
      <c r="H30" s="12"/>
    </row>
    <row r="31" spans="1:8" ht="14">
      <c r="A31" s="12"/>
      <c r="B31" s="12"/>
      <c r="C31" s="12"/>
      <c r="D31" s="12"/>
      <c r="E31" s="12"/>
      <c r="F31" s="12"/>
      <c r="G31" s="12"/>
      <c r="H31" s="12"/>
    </row>
    <row r="32" spans="1:8" ht="14">
      <c r="A32" s="12"/>
      <c r="B32" s="12"/>
      <c r="C32" s="12"/>
      <c r="D32" s="12"/>
      <c r="E32" s="12"/>
      <c r="F32" s="12"/>
      <c r="G32" s="177"/>
      <c r="H32" s="12"/>
    </row>
    <row r="33" spans="5:7" ht="14">
      <c r="G33" s="177"/>
    </row>
    <row r="34" spans="5:7" ht="14">
      <c r="G34" s="177"/>
    </row>
    <row r="36" spans="5:7">
      <c r="E36" s="1"/>
    </row>
    <row r="37" spans="5:7" ht="14">
      <c r="E37" s="1"/>
      <c r="G37" s="177"/>
    </row>
    <row r="38" spans="5:7">
      <c r="E38" s="1"/>
    </row>
    <row r="40" spans="5:7">
      <c r="G40" s="5"/>
    </row>
    <row r="50" spans="7:7" ht="14">
      <c r="G50" s="177"/>
    </row>
    <row r="51" spans="7:7" ht="14">
      <c r="G51" s="177"/>
    </row>
    <row r="52" spans="7:7" ht="14">
      <c r="G52" s="177"/>
    </row>
    <row r="54" spans="7:7">
      <c r="G54" s="5"/>
    </row>
    <row r="82" spans="2:7">
      <c r="C82" s="5"/>
      <c r="D82" s="5"/>
      <c r="F82" s="5"/>
    </row>
    <row r="83" spans="2:7">
      <c r="D83" s="5"/>
      <c r="F83" s="5"/>
    </row>
    <row r="84" spans="2:7">
      <c r="D84" s="5"/>
      <c r="F84" s="5"/>
    </row>
    <row r="87" spans="2:7">
      <c r="B87" s="4"/>
      <c r="C87" s="4"/>
      <c r="D87" s="5"/>
      <c r="E87" s="5"/>
      <c r="G87" s="5"/>
    </row>
    <row r="88" spans="2:7">
      <c r="B88" s="4"/>
      <c r="F88" s="5"/>
    </row>
    <row r="89" spans="2:7">
      <c r="B89" s="5"/>
    </row>
  </sheetData>
  <phoneticPr fontId="2" type="noConversion"/>
  <pageMargins left="0.75" right="0.75" top="1" bottom="1" header="0.5" footer="0.5"/>
  <pageSetup orientation="portrait"/>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31"/>
  <sheetViews>
    <sheetView workbookViewId="0"/>
  </sheetViews>
  <sheetFormatPr baseColWidth="10" defaultColWidth="8.83203125" defaultRowHeight="12" x14ac:dyDescent="0"/>
  <cols>
    <col min="1" max="1" width="46.5" bestFit="1" customWidth="1"/>
    <col min="2" max="2" width="11.6640625" bestFit="1" customWidth="1"/>
    <col min="3" max="3" width="8.1640625" bestFit="1" customWidth="1"/>
    <col min="4" max="4" width="11.1640625" bestFit="1" customWidth="1"/>
    <col min="5" max="5" width="13.33203125" bestFit="1" customWidth="1"/>
  </cols>
  <sheetData>
    <row r="1" spans="1:6" ht="18">
      <c r="A1" s="213" t="s">
        <v>929</v>
      </c>
      <c r="B1" s="12"/>
      <c r="C1" s="12"/>
      <c r="D1" s="12"/>
      <c r="E1" s="12"/>
      <c r="F1" s="12"/>
    </row>
    <row r="2" spans="1:6" ht="14">
      <c r="A2" s="12"/>
      <c r="B2" s="12"/>
      <c r="C2" s="12"/>
      <c r="D2" s="12"/>
      <c r="E2" s="12"/>
      <c r="F2" s="12"/>
    </row>
    <row r="3" spans="1:6" ht="15" thickBot="1">
      <c r="A3" s="29" t="s">
        <v>219</v>
      </c>
      <c r="B3" s="29" t="s">
        <v>220</v>
      </c>
      <c r="C3" s="29" t="s">
        <v>3</v>
      </c>
      <c r="D3" s="29" t="s">
        <v>407</v>
      </c>
      <c r="E3" s="29" t="s">
        <v>928</v>
      </c>
      <c r="F3" s="29" t="s">
        <v>27</v>
      </c>
    </row>
    <row r="4" spans="1:6" ht="14">
      <c r="A4" s="189" t="s">
        <v>1015</v>
      </c>
      <c r="B4" s="190">
        <v>442</v>
      </c>
      <c r="C4" s="183" t="s">
        <v>1016</v>
      </c>
      <c r="D4" s="191">
        <v>6600</v>
      </c>
      <c r="E4" s="191">
        <v>3950.99</v>
      </c>
      <c r="F4" s="186">
        <f t="shared" ref="F4:F9" si="0">(E4-D4)/D4</f>
        <v>-0.40136515151515156</v>
      </c>
    </row>
    <row r="5" spans="1:6" ht="14">
      <c r="A5" s="192" t="s">
        <v>222</v>
      </c>
      <c r="B5" s="193">
        <v>9</v>
      </c>
      <c r="C5" s="192" t="s">
        <v>392</v>
      </c>
      <c r="D5" s="194">
        <v>22780</v>
      </c>
      <c r="E5" s="194">
        <v>23440</v>
      </c>
      <c r="F5" s="195">
        <f t="shared" si="0"/>
        <v>2.8972783143107989E-2</v>
      </c>
    </row>
    <row r="6" spans="1:6" ht="28">
      <c r="A6" s="192" t="s">
        <v>1017</v>
      </c>
      <c r="B6" s="193">
        <v>13</v>
      </c>
      <c r="C6" s="192" t="s">
        <v>392</v>
      </c>
      <c r="D6" s="194">
        <v>1370</v>
      </c>
      <c r="E6" s="194">
        <v>1354</v>
      </c>
      <c r="F6" s="195">
        <f t="shared" si="0"/>
        <v>-1.167883211678832E-2</v>
      </c>
    </row>
    <row r="7" spans="1:6" ht="14">
      <c r="A7" s="192" t="s">
        <v>221</v>
      </c>
      <c r="B7" s="193">
        <v>40</v>
      </c>
      <c r="C7" s="192" t="s">
        <v>392</v>
      </c>
      <c r="D7" s="194">
        <v>61600</v>
      </c>
      <c r="E7" s="194">
        <v>64205</v>
      </c>
      <c r="F7" s="195">
        <f t="shared" si="0"/>
        <v>4.2288961038961036E-2</v>
      </c>
    </row>
    <row r="8" spans="1:6" ht="14">
      <c r="A8" s="192" t="s">
        <v>1021</v>
      </c>
      <c r="B8" s="193">
        <v>7</v>
      </c>
      <c r="C8" s="192" t="s">
        <v>417</v>
      </c>
      <c r="D8" s="194">
        <v>665</v>
      </c>
      <c r="E8" s="194">
        <v>735</v>
      </c>
      <c r="F8" s="195">
        <f t="shared" si="0"/>
        <v>0.10526315789473684</v>
      </c>
    </row>
    <row r="9" spans="1:6" ht="14">
      <c r="A9" s="183" t="s">
        <v>1022</v>
      </c>
      <c r="B9" s="184">
        <v>10</v>
      </c>
      <c r="C9" s="183" t="s">
        <v>2</v>
      </c>
      <c r="D9" s="185">
        <v>18859.3</v>
      </c>
      <c r="E9" s="185">
        <v>20018.05</v>
      </c>
      <c r="F9" s="186">
        <f t="shared" si="0"/>
        <v>6.1441835062807211E-2</v>
      </c>
    </row>
    <row r="10" spans="1:6" ht="14">
      <c r="A10" s="180" t="s">
        <v>1013</v>
      </c>
      <c r="B10" s="180">
        <v>11</v>
      </c>
      <c r="C10" s="180" t="s">
        <v>2</v>
      </c>
      <c r="D10" s="188" t="s">
        <v>792</v>
      </c>
      <c r="E10" s="182">
        <v>3980.44</v>
      </c>
      <c r="F10" s="188" t="s">
        <v>792</v>
      </c>
    </row>
    <row r="11" spans="1:6" ht="14">
      <c r="A11" s="192" t="s">
        <v>1023</v>
      </c>
      <c r="B11" s="193">
        <v>32</v>
      </c>
      <c r="C11" s="192" t="s">
        <v>392</v>
      </c>
      <c r="D11" s="194">
        <v>10590</v>
      </c>
      <c r="E11" s="194">
        <v>10802</v>
      </c>
      <c r="F11" s="195">
        <f t="shared" ref="F11:F20" si="1">(E11-D11)/D11</f>
        <v>2.0018885741265344E-2</v>
      </c>
    </row>
    <row r="12" spans="1:6" s="3" customFormat="1" ht="28">
      <c r="A12" s="192" t="s">
        <v>1024</v>
      </c>
      <c r="B12" s="193">
        <v>24</v>
      </c>
      <c r="C12" s="192" t="s">
        <v>392</v>
      </c>
      <c r="D12" s="194">
        <v>6500</v>
      </c>
      <c r="E12" s="194">
        <v>7035</v>
      </c>
      <c r="F12" s="195">
        <f t="shared" si="1"/>
        <v>8.2307692307692304E-2</v>
      </c>
    </row>
    <row r="13" spans="1:6" ht="14">
      <c r="A13" s="192" t="s">
        <v>225</v>
      </c>
      <c r="B13" s="193">
        <v>19</v>
      </c>
      <c r="C13" s="192" t="s">
        <v>392</v>
      </c>
      <c r="D13" s="194">
        <v>4572</v>
      </c>
      <c r="E13" s="194">
        <v>4572</v>
      </c>
      <c r="F13" s="195">
        <f t="shared" si="1"/>
        <v>0</v>
      </c>
    </row>
    <row r="14" spans="1:6" ht="14">
      <c r="A14" s="192" t="s">
        <v>239</v>
      </c>
      <c r="B14" s="193">
        <v>30</v>
      </c>
      <c r="C14" s="192" t="s">
        <v>392</v>
      </c>
      <c r="D14" s="194">
        <v>1268</v>
      </c>
      <c r="E14" s="194">
        <v>1516</v>
      </c>
      <c r="F14" s="195">
        <f t="shared" si="1"/>
        <v>0.19558359621451105</v>
      </c>
    </row>
    <row r="15" spans="1:6" ht="14">
      <c r="A15" s="183" t="s">
        <v>1011</v>
      </c>
      <c r="B15" s="184">
        <v>175</v>
      </c>
      <c r="C15" s="183" t="s">
        <v>1018</v>
      </c>
      <c r="D15" s="185">
        <v>3778.38</v>
      </c>
      <c r="E15" s="185">
        <v>3943</v>
      </c>
      <c r="F15" s="186">
        <f t="shared" si="1"/>
        <v>4.3568936951815296E-2</v>
      </c>
    </row>
    <row r="16" spans="1:6" ht="14">
      <c r="A16" s="192" t="s">
        <v>226</v>
      </c>
      <c r="B16" s="193">
        <v>264</v>
      </c>
      <c r="C16" s="192" t="s">
        <v>392</v>
      </c>
      <c r="D16" s="194">
        <v>23600</v>
      </c>
      <c r="E16" s="194">
        <v>25678</v>
      </c>
      <c r="F16" s="195">
        <f t="shared" si="1"/>
        <v>8.8050847457627118E-2</v>
      </c>
    </row>
    <row r="17" spans="1:6" ht="14">
      <c r="A17" s="192" t="s">
        <v>1026</v>
      </c>
      <c r="B17" s="193">
        <v>10</v>
      </c>
      <c r="C17" s="192" t="s">
        <v>392</v>
      </c>
      <c r="D17" s="194">
        <v>30457</v>
      </c>
      <c r="E17" s="194">
        <v>33759</v>
      </c>
      <c r="F17" s="195">
        <f t="shared" si="1"/>
        <v>0.10841514266014381</v>
      </c>
    </row>
    <row r="18" spans="1:6" ht="14">
      <c r="A18" s="192" t="s">
        <v>1025</v>
      </c>
      <c r="B18" s="193">
        <v>34</v>
      </c>
      <c r="C18" s="192" t="s">
        <v>392</v>
      </c>
      <c r="D18" s="194">
        <v>2504.1999999999998</v>
      </c>
      <c r="E18" s="194">
        <v>2917.45</v>
      </c>
      <c r="F18" s="195">
        <f t="shared" si="1"/>
        <v>0.1650227617602428</v>
      </c>
    </row>
    <row r="19" spans="1:6" ht="14">
      <c r="A19" s="192" t="s">
        <v>240</v>
      </c>
      <c r="B19" s="193">
        <v>143</v>
      </c>
      <c r="C19" s="192" t="s">
        <v>392</v>
      </c>
      <c r="D19" s="194">
        <v>43995</v>
      </c>
      <c r="E19" s="194">
        <v>45695</v>
      </c>
      <c r="F19" s="195">
        <f t="shared" si="1"/>
        <v>3.8640754631208092E-2</v>
      </c>
    </row>
    <row r="20" spans="1:6" ht="14">
      <c r="A20" s="192" t="s">
        <v>242</v>
      </c>
      <c r="B20" s="193">
        <v>50</v>
      </c>
      <c r="C20" s="192" t="s">
        <v>392</v>
      </c>
      <c r="D20" s="194">
        <v>13849</v>
      </c>
      <c r="E20" s="194">
        <v>14956</v>
      </c>
      <c r="F20" s="195">
        <f t="shared" si="1"/>
        <v>7.9933569210773339E-2</v>
      </c>
    </row>
    <row r="21" spans="1:6" ht="14">
      <c r="A21" s="180" t="s">
        <v>1012</v>
      </c>
      <c r="B21" s="181">
        <v>223</v>
      </c>
      <c r="C21" s="180" t="s">
        <v>1018</v>
      </c>
      <c r="D21" s="188" t="s">
        <v>792</v>
      </c>
      <c r="E21" s="182">
        <v>35524.480000000003</v>
      </c>
      <c r="F21" s="188" t="s">
        <v>792</v>
      </c>
    </row>
    <row r="22" spans="1:6" ht="14">
      <c r="A22" s="183" t="s">
        <v>1014</v>
      </c>
      <c r="B22" s="184">
        <v>466</v>
      </c>
      <c r="C22" s="183" t="s">
        <v>1019</v>
      </c>
      <c r="D22" s="185">
        <v>20700.900000000001</v>
      </c>
      <c r="E22" s="185">
        <v>21879</v>
      </c>
      <c r="F22" s="186">
        <f>(E22-D22)/D22</f>
        <v>5.6910569105690985E-2</v>
      </c>
    </row>
    <row r="23" spans="1:6" ht="14">
      <c r="A23" s="183" t="s">
        <v>408</v>
      </c>
      <c r="B23" s="184">
        <v>76</v>
      </c>
      <c r="C23" s="183" t="s">
        <v>392</v>
      </c>
      <c r="D23" s="185">
        <v>17105</v>
      </c>
      <c r="E23" s="185">
        <v>17969</v>
      </c>
      <c r="F23" s="186">
        <f>(E23-D23)/D23</f>
        <v>5.051154633148202E-2</v>
      </c>
    </row>
    <row r="24" spans="1:6" s="3" customFormat="1" ht="14">
      <c r="A24" s="192" t="s">
        <v>300</v>
      </c>
      <c r="B24" s="193">
        <v>6</v>
      </c>
      <c r="C24" s="192" t="s">
        <v>392</v>
      </c>
      <c r="D24" s="194">
        <v>16094.92</v>
      </c>
      <c r="E24" s="194">
        <v>21685.53</v>
      </c>
      <c r="F24" s="195">
        <f>(E24-D24)/D24</f>
        <v>0.34735245655150809</v>
      </c>
    </row>
    <row r="25" spans="1:6" ht="14">
      <c r="A25" s="183" t="s">
        <v>1010</v>
      </c>
      <c r="B25" s="184">
        <v>555</v>
      </c>
      <c r="C25" s="183" t="s">
        <v>1018</v>
      </c>
      <c r="D25" s="185">
        <v>72459.820000000007</v>
      </c>
      <c r="E25" s="185">
        <v>87592.66</v>
      </c>
      <c r="F25" s="186">
        <f>(E25-D25)/D25</f>
        <v>0.20884457068758927</v>
      </c>
    </row>
    <row r="26" spans="1:6" ht="14">
      <c r="A26" s="180" t="s">
        <v>1020</v>
      </c>
      <c r="B26" s="181">
        <v>10</v>
      </c>
      <c r="C26" s="180" t="s">
        <v>392</v>
      </c>
      <c r="D26" s="188" t="s">
        <v>792</v>
      </c>
      <c r="E26" s="182">
        <v>3858</v>
      </c>
      <c r="F26" s="188" t="s">
        <v>792</v>
      </c>
    </row>
    <row r="27" spans="1:6" ht="15" thickBot="1">
      <c r="A27" s="183" t="s">
        <v>299</v>
      </c>
      <c r="B27" s="184">
        <v>2068</v>
      </c>
      <c r="C27" s="183" t="s">
        <v>1019</v>
      </c>
      <c r="D27" s="185">
        <v>559065.1</v>
      </c>
      <c r="E27" s="185">
        <v>572824.42000000004</v>
      </c>
      <c r="F27" s="196">
        <f>(E27-D27)/D27</f>
        <v>2.4611301975387242E-2</v>
      </c>
    </row>
    <row r="28" spans="1:6" ht="15" thickBot="1">
      <c r="A28" s="97" t="s">
        <v>1139</v>
      </c>
      <c r="B28" s="100">
        <f>SUM(B4:B27)</f>
        <v>4717</v>
      </c>
      <c r="C28" s="97"/>
      <c r="D28" s="101">
        <f>SUM(D4:D27)</f>
        <v>938413.62</v>
      </c>
      <c r="E28" s="101">
        <f>SUM(E4:E27)</f>
        <v>1029890.02</v>
      </c>
      <c r="F28" s="41">
        <v>6.4000000000000001E-2</v>
      </c>
    </row>
    <row r="29" spans="1:6" ht="14">
      <c r="A29" s="12"/>
      <c r="B29" s="12"/>
      <c r="C29" s="12"/>
      <c r="D29" s="12"/>
      <c r="E29" s="54"/>
      <c r="F29" s="12"/>
    </row>
    <row r="30" spans="1:6" ht="14">
      <c r="A30" s="187" t="s">
        <v>1138</v>
      </c>
      <c r="B30" s="12"/>
      <c r="C30" s="12"/>
      <c r="D30" s="12"/>
      <c r="E30" s="54"/>
      <c r="F30" s="12"/>
    </row>
    <row r="31" spans="1:6" ht="14">
      <c r="A31" s="99"/>
      <c r="B31" s="12"/>
      <c r="C31" s="12"/>
      <c r="D31" s="12"/>
      <c r="E31" s="54"/>
      <c r="F31" s="12"/>
    </row>
  </sheetData>
  <sortState ref="A4:F27">
    <sortCondition ref="A4:A27"/>
  </sortState>
  <phoneticPr fontId="2" type="noConversion"/>
  <pageMargins left="0.75" right="0.75" top="1" bottom="1" header="0.5" footer="0.5"/>
  <pageSetup orientation="landscape"/>
  <headerFooter alignWithMargins="0">
    <oddFooter>&amp;L2009-2010&amp;C&amp;A&amp;RPage &amp;P of &amp;N</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53"/>
  <sheetViews>
    <sheetView workbookViewId="0"/>
  </sheetViews>
  <sheetFormatPr baseColWidth="10" defaultColWidth="8.83203125" defaultRowHeight="12" x14ac:dyDescent="0"/>
  <cols>
    <col min="1" max="1" width="46.5" bestFit="1" customWidth="1"/>
    <col min="2" max="2" width="46.5" customWidth="1"/>
    <col min="3" max="3" width="11.6640625" bestFit="1" customWidth="1"/>
    <col min="4" max="4" width="18.5" bestFit="1" customWidth="1"/>
    <col min="5" max="5" width="14" bestFit="1" customWidth="1"/>
    <col min="6" max="6" width="10.1640625" bestFit="1" customWidth="1"/>
  </cols>
  <sheetData>
    <row r="1" spans="1:6" ht="18">
      <c r="A1" s="213" t="s">
        <v>1131</v>
      </c>
      <c r="B1" s="213"/>
      <c r="C1" s="128"/>
      <c r="D1" s="12"/>
      <c r="E1" s="12"/>
      <c r="F1" s="12"/>
    </row>
    <row r="2" spans="1:6" ht="14">
      <c r="A2" s="12"/>
      <c r="B2" s="12"/>
      <c r="C2" s="12"/>
      <c r="D2" s="12"/>
      <c r="E2" s="12"/>
      <c r="F2" s="12"/>
    </row>
    <row r="3" spans="1:6" ht="15" thickBot="1">
      <c r="A3" s="29" t="s">
        <v>1027</v>
      </c>
      <c r="B3" s="29" t="s">
        <v>1028</v>
      </c>
      <c r="C3" s="29" t="s">
        <v>220</v>
      </c>
      <c r="D3" s="29" t="s">
        <v>3</v>
      </c>
      <c r="E3" s="29" t="s">
        <v>1029</v>
      </c>
      <c r="F3" s="29" t="s">
        <v>1030</v>
      </c>
    </row>
    <row r="4" spans="1:6" ht="14">
      <c r="A4" s="197" t="s">
        <v>1031</v>
      </c>
      <c r="B4" s="197" t="s">
        <v>1064</v>
      </c>
      <c r="C4" s="198">
        <v>6</v>
      </c>
      <c r="D4" s="197" t="s">
        <v>2</v>
      </c>
      <c r="E4" s="200">
        <v>1012</v>
      </c>
      <c r="F4" s="200">
        <v>119.39</v>
      </c>
    </row>
    <row r="5" spans="1:6" ht="14">
      <c r="A5" s="192" t="s">
        <v>1032</v>
      </c>
      <c r="B5" s="197" t="s">
        <v>1065</v>
      </c>
      <c r="C5" s="201" t="s">
        <v>792</v>
      </c>
      <c r="D5" s="197" t="s">
        <v>298</v>
      </c>
      <c r="E5" s="194">
        <v>0</v>
      </c>
      <c r="F5" s="200">
        <v>0</v>
      </c>
    </row>
    <row r="6" spans="1:6" ht="14">
      <c r="A6" s="192" t="s">
        <v>1033</v>
      </c>
      <c r="B6" s="197" t="s">
        <v>1064</v>
      </c>
      <c r="C6" s="193">
        <v>43</v>
      </c>
      <c r="D6" s="197" t="s">
        <v>1067</v>
      </c>
      <c r="E6" s="194">
        <v>7500</v>
      </c>
      <c r="F6" s="200">
        <v>0</v>
      </c>
    </row>
    <row r="7" spans="1:6" ht="14">
      <c r="A7" s="192" t="s">
        <v>1034</v>
      </c>
      <c r="B7" s="197" t="s">
        <v>1065</v>
      </c>
      <c r="C7" s="201" t="s">
        <v>792</v>
      </c>
      <c r="D7" s="197" t="s">
        <v>298</v>
      </c>
      <c r="E7" s="194">
        <v>0</v>
      </c>
      <c r="F7" s="200">
        <v>0</v>
      </c>
    </row>
    <row r="8" spans="1:6" ht="14">
      <c r="A8" s="192" t="s">
        <v>4</v>
      </c>
      <c r="B8" s="197" t="s">
        <v>1133</v>
      </c>
      <c r="C8" s="201" t="s">
        <v>792</v>
      </c>
      <c r="D8" s="197" t="s">
        <v>4</v>
      </c>
      <c r="E8" s="194">
        <v>25000</v>
      </c>
      <c r="F8" s="116">
        <v>13265</v>
      </c>
    </row>
    <row r="9" spans="1:6" ht="14">
      <c r="A9" s="192" t="s">
        <v>1035</v>
      </c>
      <c r="B9" s="197" t="s">
        <v>1065</v>
      </c>
      <c r="C9" s="201">
        <v>1</v>
      </c>
      <c r="D9" s="197" t="s">
        <v>1068</v>
      </c>
      <c r="E9" s="194">
        <v>10454</v>
      </c>
      <c r="F9" s="200">
        <v>145.22999999999999</v>
      </c>
    </row>
    <row r="10" spans="1:6" s="3" customFormat="1" ht="14">
      <c r="A10" s="180" t="s">
        <v>1036</v>
      </c>
      <c r="B10" s="202" t="s">
        <v>1065</v>
      </c>
      <c r="C10" s="203">
        <v>1</v>
      </c>
      <c r="D10" s="202" t="s">
        <v>1068</v>
      </c>
      <c r="E10" s="182">
        <v>5656</v>
      </c>
      <c r="F10" s="204">
        <v>0</v>
      </c>
    </row>
    <row r="11" spans="1:6" ht="14">
      <c r="A11" s="192" t="s">
        <v>1037</v>
      </c>
      <c r="B11" s="197" t="s">
        <v>1065</v>
      </c>
      <c r="C11" s="201">
        <v>1</v>
      </c>
      <c r="D11" s="197" t="s">
        <v>1069</v>
      </c>
      <c r="E11" s="194">
        <v>11215</v>
      </c>
      <c r="F11" s="200">
        <v>0</v>
      </c>
    </row>
    <row r="12" spans="1:6" ht="14">
      <c r="A12" s="180" t="s">
        <v>1038</v>
      </c>
      <c r="B12" s="202" t="s">
        <v>1065</v>
      </c>
      <c r="C12" s="203">
        <v>1</v>
      </c>
      <c r="D12" s="202" t="s">
        <v>1068</v>
      </c>
      <c r="E12" s="182">
        <v>9292</v>
      </c>
      <c r="F12" s="204">
        <v>0</v>
      </c>
    </row>
    <row r="13" spans="1:6" ht="14">
      <c r="A13" s="180" t="s">
        <v>882</v>
      </c>
      <c r="B13" s="202" t="s">
        <v>1064</v>
      </c>
      <c r="C13" s="181">
        <v>90</v>
      </c>
      <c r="D13" s="202" t="s">
        <v>1018</v>
      </c>
      <c r="E13" s="182">
        <v>22700</v>
      </c>
      <c r="F13" s="204">
        <v>0</v>
      </c>
    </row>
    <row r="14" spans="1:6" ht="14">
      <c r="A14" s="192" t="s">
        <v>1039</v>
      </c>
      <c r="B14" s="197" t="s">
        <v>1065</v>
      </c>
      <c r="C14" s="201">
        <v>1</v>
      </c>
      <c r="D14" s="197" t="s">
        <v>1068</v>
      </c>
      <c r="E14" s="194">
        <v>14360</v>
      </c>
      <c r="F14" s="200">
        <v>199.5</v>
      </c>
    </row>
    <row r="15" spans="1:6" ht="14">
      <c r="A15" s="180" t="s">
        <v>883</v>
      </c>
      <c r="B15" s="202" t="s">
        <v>1065</v>
      </c>
      <c r="C15" s="203">
        <v>1</v>
      </c>
      <c r="D15" s="202" t="s">
        <v>257</v>
      </c>
      <c r="E15" s="182">
        <v>7690</v>
      </c>
      <c r="F15" s="204">
        <v>0</v>
      </c>
    </row>
    <row r="16" spans="1:6" ht="14">
      <c r="A16" s="180" t="s">
        <v>884</v>
      </c>
      <c r="B16" s="202" t="s">
        <v>1064</v>
      </c>
      <c r="C16" s="181">
        <v>4</v>
      </c>
      <c r="D16" s="202" t="s">
        <v>2</v>
      </c>
      <c r="E16" s="182">
        <v>5145</v>
      </c>
      <c r="F16" s="204">
        <v>0</v>
      </c>
    </row>
    <row r="17" spans="1:6" ht="28">
      <c r="A17" s="192" t="s">
        <v>1040</v>
      </c>
      <c r="B17" s="197" t="s">
        <v>1064</v>
      </c>
      <c r="C17" s="193">
        <v>2</v>
      </c>
      <c r="D17" s="197" t="s">
        <v>2</v>
      </c>
      <c r="E17" s="194">
        <v>1112</v>
      </c>
      <c r="F17" s="194">
        <v>0</v>
      </c>
    </row>
    <row r="18" spans="1:6" ht="14">
      <c r="A18" s="192" t="s">
        <v>1041</v>
      </c>
      <c r="B18" s="197" t="s">
        <v>1065</v>
      </c>
      <c r="C18" s="201">
        <v>2</v>
      </c>
      <c r="D18" s="197" t="s">
        <v>1068</v>
      </c>
      <c r="E18" s="194">
        <v>14792</v>
      </c>
      <c r="F18" s="194">
        <v>205.5</v>
      </c>
    </row>
    <row r="19" spans="1:6" ht="14">
      <c r="A19" s="192" t="s">
        <v>1042</v>
      </c>
      <c r="B19" s="197" t="s">
        <v>1064</v>
      </c>
      <c r="C19" s="193">
        <v>118</v>
      </c>
      <c r="D19" s="197" t="s">
        <v>241</v>
      </c>
      <c r="E19" s="194">
        <v>97850</v>
      </c>
      <c r="F19" s="194">
        <v>6500</v>
      </c>
    </row>
    <row r="20" spans="1:6" ht="14">
      <c r="A20" s="192" t="s">
        <v>1043</v>
      </c>
      <c r="B20" s="197" t="s">
        <v>1064</v>
      </c>
      <c r="C20" s="193">
        <v>128</v>
      </c>
      <c r="D20" s="197" t="s">
        <v>241</v>
      </c>
      <c r="E20" s="205" t="s">
        <v>1071</v>
      </c>
      <c r="F20" s="194">
        <v>5000</v>
      </c>
    </row>
    <row r="21" spans="1:6" ht="14">
      <c r="A21" s="192" t="s">
        <v>1044</v>
      </c>
      <c r="B21" s="197" t="s">
        <v>1064</v>
      </c>
      <c r="C21" s="193">
        <v>151</v>
      </c>
      <c r="D21" s="197" t="s">
        <v>241</v>
      </c>
      <c r="E21" s="205" t="s">
        <v>1071</v>
      </c>
      <c r="F21" s="194">
        <v>6000</v>
      </c>
    </row>
    <row r="22" spans="1:6" s="3" customFormat="1" ht="14">
      <c r="A22" s="192" t="s">
        <v>1045</v>
      </c>
      <c r="B22" s="197" t="s">
        <v>1064</v>
      </c>
      <c r="C22" s="193">
        <v>112</v>
      </c>
      <c r="D22" s="197" t="s">
        <v>241</v>
      </c>
      <c r="E22" s="205" t="s">
        <v>1071</v>
      </c>
      <c r="F22" s="194">
        <v>5000</v>
      </c>
    </row>
    <row r="23" spans="1:6" ht="14">
      <c r="A23" s="192" t="s">
        <v>1046</v>
      </c>
      <c r="B23" s="197" t="s">
        <v>1064</v>
      </c>
      <c r="C23" s="193">
        <v>120</v>
      </c>
      <c r="D23" s="197" t="s">
        <v>241</v>
      </c>
      <c r="E23" s="194">
        <v>10000</v>
      </c>
      <c r="F23" s="194">
        <v>6000</v>
      </c>
    </row>
    <row r="24" spans="1:6" ht="14">
      <c r="A24" s="192" t="s">
        <v>1047</v>
      </c>
      <c r="B24" s="197" t="s">
        <v>1064</v>
      </c>
      <c r="C24" s="193">
        <v>120</v>
      </c>
      <c r="D24" s="197" t="s">
        <v>241</v>
      </c>
      <c r="E24" s="205" t="s">
        <v>1071</v>
      </c>
      <c r="F24" s="194">
        <v>6000</v>
      </c>
    </row>
    <row r="25" spans="1:6" ht="14">
      <c r="A25" s="192" t="s">
        <v>1048</v>
      </c>
      <c r="B25" s="197" t="s">
        <v>1064</v>
      </c>
      <c r="C25" s="193">
        <v>183</v>
      </c>
      <c r="D25" s="197" t="s">
        <v>241</v>
      </c>
      <c r="E25" s="194">
        <v>10000</v>
      </c>
      <c r="F25" s="194">
        <v>2500</v>
      </c>
    </row>
    <row r="26" spans="1:6" ht="14">
      <c r="A26" s="180" t="s">
        <v>885</v>
      </c>
      <c r="B26" s="202" t="s">
        <v>1064</v>
      </c>
      <c r="C26" s="181">
        <v>140</v>
      </c>
      <c r="D26" s="202" t="s">
        <v>241</v>
      </c>
      <c r="E26" s="182">
        <v>9500</v>
      </c>
      <c r="F26" s="182">
        <v>5000</v>
      </c>
    </row>
    <row r="27" spans="1:6" ht="14">
      <c r="A27" s="180" t="s">
        <v>1049</v>
      </c>
      <c r="B27" s="202" t="s">
        <v>1064</v>
      </c>
      <c r="C27" s="181">
        <v>50</v>
      </c>
      <c r="D27" s="202" t="s">
        <v>241</v>
      </c>
      <c r="E27" s="182">
        <v>6000</v>
      </c>
      <c r="F27" s="182">
        <v>1800</v>
      </c>
    </row>
    <row r="28" spans="1:6" ht="14">
      <c r="A28" s="192" t="s">
        <v>1050</v>
      </c>
      <c r="B28" s="197" t="s">
        <v>1064</v>
      </c>
      <c r="C28" s="193">
        <v>161</v>
      </c>
      <c r="D28" s="197" t="s">
        <v>241</v>
      </c>
      <c r="E28" s="205" t="s">
        <v>1071</v>
      </c>
      <c r="F28" s="59">
        <v>9700</v>
      </c>
    </row>
    <row r="29" spans="1:6" ht="14">
      <c r="A29" s="180" t="s">
        <v>1051</v>
      </c>
      <c r="B29" s="202" t="s">
        <v>1065</v>
      </c>
      <c r="C29" s="203">
        <v>1</v>
      </c>
      <c r="D29" s="202" t="s">
        <v>1068</v>
      </c>
      <c r="E29" s="182">
        <v>9292</v>
      </c>
      <c r="F29" s="182">
        <v>0</v>
      </c>
    </row>
    <row r="30" spans="1:6" ht="14">
      <c r="A30" s="192" t="s">
        <v>259</v>
      </c>
      <c r="B30" s="197" t="s">
        <v>1133</v>
      </c>
      <c r="C30" s="201" t="s">
        <v>1134</v>
      </c>
      <c r="D30" s="197" t="s">
        <v>214</v>
      </c>
      <c r="E30" s="194">
        <v>14034</v>
      </c>
      <c r="F30" s="194">
        <v>1986</v>
      </c>
    </row>
    <row r="31" spans="1:6" ht="14">
      <c r="A31" s="180" t="s">
        <v>1052</v>
      </c>
      <c r="B31" s="202" t="s">
        <v>1064</v>
      </c>
      <c r="C31" s="181">
        <v>8</v>
      </c>
      <c r="D31" s="202" t="s">
        <v>263</v>
      </c>
      <c r="E31" s="182">
        <v>25000</v>
      </c>
      <c r="F31" s="182">
        <v>1000</v>
      </c>
    </row>
    <row r="32" spans="1:6" ht="14">
      <c r="A32" s="192" t="s">
        <v>1053</v>
      </c>
      <c r="B32" s="197" t="s">
        <v>1064</v>
      </c>
      <c r="C32" s="193">
        <v>1</v>
      </c>
      <c r="D32" s="197" t="s">
        <v>1070</v>
      </c>
      <c r="E32" s="55">
        <v>90000</v>
      </c>
      <c r="F32" s="59">
        <v>0</v>
      </c>
    </row>
    <row r="33" spans="1:6" ht="14">
      <c r="A33" s="180" t="s">
        <v>889</v>
      </c>
      <c r="B33" s="180" t="s">
        <v>1064</v>
      </c>
      <c r="C33" s="181">
        <v>1</v>
      </c>
      <c r="D33" s="180" t="s">
        <v>900</v>
      </c>
      <c r="E33" s="182">
        <v>35000</v>
      </c>
      <c r="F33" s="182">
        <v>0</v>
      </c>
    </row>
    <row r="34" spans="1:6" ht="14">
      <c r="A34" s="192" t="s">
        <v>1054</v>
      </c>
      <c r="B34" s="192" t="s">
        <v>1064</v>
      </c>
      <c r="C34" s="193">
        <v>20</v>
      </c>
      <c r="D34" s="192" t="s">
        <v>1066</v>
      </c>
      <c r="E34" s="194">
        <v>18000</v>
      </c>
      <c r="F34" s="194">
        <v>0</v>
      </c>
    </row>
    <row r="35" spans="1:6" ht="14">
      <c r="A35" s="180" t="s">
        <v>1055</v>
      </c>
      <c r="B35" s="180" t="s">
        <v>1064</v>
      </c>
      <c r="C35" s="181">
        <v>1</v>
      </c>
      <c r="D35" s="180" t="s">
        <v>417</v>
      </c>
      <c r="E35" s="182">
        <v>285.14</v>
      </c>
      <c r="F35" s="182">
        <v>0</v>
      </c>
    </row>
    <row r="36" spans="1:6" ht="14">
      <c r="A36" s="192" t="s">
        <v>1056</v>
      </c>
      <c r="B36" s="192" t="s">
        <v>1065</v>
      </c>
      <c r="C36" s="201">
        <v>1</v>
      </c>
      <c r="D36" s="192" t="s">
        <v>392</v>
      </c>
      <c r="E36" s="194">
        <v>7669</v>
      </c>
      <c r="F36" s="194">
        <v>326</v>
      </c>
    </row>
    <row r="37" spans="1:6" ht="14">
      <c r="A37" s="192" t="s">
        <v>1057</v>
      </c>
      <c r="B37" s="192" t="s">
        <v>1064</v>
      </c>
      <c r="C37" s="193">
        <v>38</v>
      </c>
      <c r="D37" s="192" t="s">
        <v>1018</v>
      </c>
      <c r="E37" s="194">
        <v>6605</v>
      </c>
      <c r="F37" s="194">
        <v>0</v>
      </c>
    </row>
    <row r="38" spans="1:6" ht="14">
      <c r="A38" s="180" t="s">
        <v>891</v>
      </c>
      <c r="B38" s="202" t="s">
        <v>1064</v>
      </c>
      <c r="C38" s="181">
        <v>29</v>
      </c>
      <c r="D38" s="202" t="s">
        <v>1018</v>
      </c>
      <c r="E38" s="182">
        <v>5040</v>
      </c>
      <c r="F38" s="182">
        <v>0</v>
      </c>
    </row>
    <row r="39" spans="1:6" ht="14">
      <c r="A39" s="192" t="s">
        <v>1058</v>
      </c>
      <c r="B39" s="197" t="s">
        <v>1064</v>
      </c>
      <c r="C39" s="193">
        <v>453</v>
      </c>
      <c r="D39" s="197" t="s">
        <v>1018</v>
      </c>
      <c r="E39" s="194">
        <v>60000</v>
      </c>
      <c r="F39" s="194">
        <v>500</v>
      </c>
    </row>
    <row r="40" spans="1:6" ht="14">
      <c r="A40" s="180" t="s">
        <v>892</v>
      </c>
      <c r="B40" s="202" t="s">
        <v>1064</v>
      </c>
      <c r="C40" s="181">
        <v>1</v>
      </c>
      <c r="D40" s="202" t="s">
        <v>1018</v>
      </c>
      <c r="E40" s="182">
        <v>4750</v>
      </c>
      <c r="F40" s="182">
        <v>0</v>
      </c>
    </row>
    <row r="41" spans="1:6" ht="14">
      <c r="A41" s="180" t="s">
        <v>1059</v>
      </c>
      <c r="B41" s="202" t="s">
        <v>1065</v>
      </c>
      <c r="C41" s="203">
        <v>1</v>
      </c>
      <c r="D41" s="202" t="s">
        <v>1068</v>
      </c>
      <c r="E41" s="182">
        <v>3880</v>
      </c>
      <c r="F41" s="182">
        <v>0</v>
      </c>
    </row>
    <row r="42" spans="1:6" ht="14">
      <c r="A42" s="192" t="s">
        <v>1060</v>
      </c>
      <c r="B42" s="197" t="s">
        <v>1064</v>
      </c>
      <c r="C42" s="193">
        <v>961</v>
      </c>
      <c r="D42" s="197" t="s">
        <v>1018</v>
      </c>
      <c r="E42" s="194">
        <v>109468</v>
      </c>
      <c r="F42" s="194">
        <v>0</v>
      </c>
    </row>
    <row r="43" spans="1:6" ht="28">
      <c r="A43" s="180" t="s">
        <v>1061</v>
      </c>
      <c r="B43" s="202" t="s">
        <v>1064</v>
      </c>
      <c r="C43" s="181">
        <v>22</v>
      </c>
      <c r="D43" s="202" t="s">
        <v>904</v>
      </c>
      <c r="E43" s="182">
        <v>6025.5</v>
      </c>
      <c r="F43" s="182">
        <v>0</v>
      </c>
    </row>
    <row r="44" spans="1:6" ht="28">
      <c r="A44" s="180" t="s">
        <v>924</v>
      </c>
      <c r="B44" s="202" t="s">
        <v>1064</v>
      </c>
      <c r="C44" s="181">
        <v>46</v>
      </c>
      <c r="D44" s="202" t="s">
        <v>904</v>
      </c>
      <c r="E44" s="182">
        <v>18450</v>
      </c>
      <c r="F44" s="182">
        <v>0</v>
      </c>
    </row>
    <row r="45" spans="1:6" ht="14">
      <c r="A45" s="91" t="s">
        <v>1132</v>
      </c>
      <c r="B45" s="197" t="s">
        <v>1133</v>
      </c>
      <c r="C45" s="201" t="s">
        <v>792</v>
      </c>
      <c r="D45" s="197" t="s">
        <v>446</v>
      </c>
      <c r="E45" s="194">
        <v>2000</v>
      </c>
      <c r="F45" s="194">
        <v>0</v>
      </c>
    </row>
    <row r="46" spans="1:6" ht="14">
      <c r="A46" s="192" t="s">
        <v>1062</v>
      </c>
      <c r="B46" s="197" t="s">
        <v>1065</v>
      </c>
      <c r="C46" s="201">
        <v>1</v>
      </c>
      <c r="D46" s="197" t="s">
        <v>1018</v>
      </c>
      <c r="E46" s="194">
        <v>51330</v>
      </c>
      <c r="F46" s="194">
        <v>2188</v>
      </c>
    </row>
    <row r="47" spans="1:6" ht="28">
      <c r="A47" s="180" t="s">
        <v>894</v>
      </c>
      <c r="B47" s="202" t="s">
        <v>1065</v>
      </c>
      <c r="C47" s="181">
        <v>1</v>
      </c>
      <c r="D47" s="202" t="s">
        <v>298</v>
      </c>
      <c r="E47" s="182">
        <v>10400</v>
      </c>
      <c r="F47" s="182">
        <v>0</v>
      </c>
    </row>
    <row r="48" spans="1:6" ht="15" thickBot="1">
      <c r="A48" s="192" t="s">
        <v>1063</v>
      </c>
      <c r="B48" s="197" t="s">
        <v>1065</v>
      </c>
      <c r="C48" s="201">
        <v>3</v>
      </c>
      <c r="D48" s="197" t="s">
        <v>1069</v>
      </c>
      <c r="E48" s="194">
        <v>123432</v>
      </c>
      <c r="F48" s="194">
        <v>0</v>
      </c>
    </row>
    <row r="49" spans="1:6" ht="15" thickBot="1">
      <c r="A49" s="100" t="s">
        <v>7</v>
      </c>
      <c r="B49" s="100"/>
      <c r="C49" s="100">
        <f>SUM(C4:C48)</f>
        <v>3025</v>
      </c>
      <c r="D49" s="101"/>
      <c r="E49" s="101">
        <f>SUM(E4:E48)</f>
        <v>869938.64</v>
      </c>
      <c r="F49" s="101">
        <f>SUM(F4:F48)</f>
        <v>73434.62</v>
      </c>
    </row>
    <row r="50" spans="1:6">
      <c r="E50" s="199"/>
    </row>
    <row r="51" spans="1:6" ht="14">
      <c r="A51" s="187" t="s">
        <v>1138</v>
      </c>
    </row>
    <row r="53" spans="1:6">
      <c r="C53" s="4"/>
    </row>
  </sheetData>
  <phoneticPr fontId="2" type="noConversion"/>
  <pageMargins left="0.75" right="0.75" top="1" bottom="1" header="0.5" footer="0.5"/>
  <pageSetup scale="77" fitToHeight="4" orientation="landscape"/>
  <headerFooter alignWithMargins="0">
    <oddFooter>&amp;L2009-2010&amp;C&amp;A&amp;RPage &amp;P of &amp;N</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42"/>
  <sheetViews>
    <sheetView workbookViewId="0"/>
  </sheetViews>
  <sheetFormatPr baseColWidth="10" defaultColWidth="8.83203125" defaultRowHeight="12" x14ac:dyDescent="0"/>
  <cols>
    <col min="1" max="1" width="54.5" customWidth="1"/>
    <col min="2" max="2" width="22.83203125" customWidth="1"/>
    <col min="3" max="3" width="10.83203125" customWidth="1"/>
    <col min="4" max="4" width="13.1640625" customWidth="1"/>
    <col min="5" max="5" width="11.1640625" bestFit="1" customWidth="1"/>
    <col min="6" max="6" width="9.33203125" bestFit="1" customWidth="1"/>
  </cols>
  <sheetData>
    <row r="1" spans="1:9" ht="18">
      <c r="A1" s="213" t="s">
        <v>1135</v>
      </c>
      <c r="B1" s="12"/>
      <c r="C1" s="12"/>
      <c r="D1" s="12"/>
      <c r="E1" s="12"/>
      <c r="F1" s="12"/>
      <c r="G1" s="12"/>
    </row>
    <row r="2" spans="1:9" ht="14">
      <c r="A2" s="12"/>
      <c r="B2" s="12"/>
      <c r="C2" s="12"/>
      <c r="D2" s="12"/>
      <c r="E2" s="12"/>
      <c r="F2" s="12"/>
      <c r="G2" s="12"/>
    </row>
    <row r="3" spans="1:9" ht="15" thickBot="1">
      <c r="A3" s="29" t="s">
        <v>1</v>
      </c>
      <c r="B3" s="29" t="s">
        <v>229</v>
      </c>
      <c r="C3" s="29" t="s">
        <v>3</v>
      </c>
      <c r="D3" s="29" t="s">
        <v>407</v>
      </c>
      <c r="E3" s="29" t="s">
        <v>928</v>
      </c>
      <c r="F3" s="29" t="s">
        <v>27</v>
      </c>
      <c r="G3" s="12"/>
    </row>
    <row r="4" spans="1:9" ht="14">
      <c r="A4" s="109" t="s">
        <v>277</v>
      </c>
      <c r="B4" s="109" t="s">
        <v>268</v>
      </c>
      <c r="C4" s="113" t="s">
        <v>392</v>
      </c>
      <c r="D4" s="114">
        <v>0</v>
      </c>
      <c r="E4" s="114">
        <v>0</v>
      </c>
      <c r="F4" s="118" t="s">
        <v>792</v>
      </c>
      <c r="G4" s="12"/>
      <c r="I4" s="12"/>
    </row>
    <row r="5" spans="1:9" ht="14">
      <c r="A5" s="91" t="s">
        <v>278</v>
      </c>
      <c r="B5" s="91" t="s">
        <v>268</v>
      </c>
      <c r="C5" s="115" t="s">
        <v>392</v>
      </c>
      <c r="D5" s="116">
        <v>18757</v>
      </c>
      <c r="E5" s="116">
        <v>19320</v>
      </c>
      <c r="F5" s="117">
        <f>(E5-D5)/D5</f>
        <v>3.001546089459935E-2</v>
      </c>
      <c r="G5" s="12"/>
      <c r="I5" s="110"/>
    </row>
    <row r="6" spans="1:9" ht="14">
      <c r="A6" s="91" t="s">
        <v>279</v>
      </c>
      <c r="B6" s="91" t="s">
        <v>268</v>
      </c>
      <c r="C6" s="115" t="s">
        <v>392</v>
      </c>
      <c r="D6" s="116">
        <v>0</v>
      </c>
      <c r="E6" s="116">
        <v>0</v>
      </c>
      <c r="F6" s="118" t="s">
        <v>792</v>
      </c>
      <c r="G6" s="12"/>
      <c r="I6" s="110"/>
    </row>
    <row r="7" spans="1:9" ht="14">
      <c r="A7" s="91" t="s">
        <v>411</v>
      </c>
      <c r="B7" s="91" t="s">
        <v>251</v>
      </c>
      <c r="C7" s="115" t="s">
        <v>412</v>
      </c>
      <c r="D7" s="116">
        <v>0</v>
      </c>
      <c r="E7" s="116">
        <v>0</v>
      </c>
      <c r="F7" s="118" t="s">
        <v>792</v>
      </c>
      <c r="G7" s="12"/>
      <c r="I7" s="110"/>
    </row>
    <row r="8" spans="1:9" ht="14">
      <c r="A8" s="91" t="s">
        <v>250</v>
      </c>
      <c r="B8" s="91" t="s">
        <v>251</v>
      </c>
      <c r="C8" s="115" t="s">
        <v>392</v>
      </c>
      <c r="D8" s="116">
        <v>20342.75</v>
      </c>
      <c r="E8" s="116">
        <v>20953</v>
      </c>
      <c r="F8" s="117">
        <f>(E8-D8)/D8</f>
        <v>2.9998402379226016E-2</v>
      </c>
      <c r="G8" s="12"/>
      <c r="I8" s="110"/>
    </row>
    <row r="9" spans="1:9" ht="14">
      <c r="A9" s="180" t="s">
        <v>1109</v>
      </c>
      <c r="B9" s="180" t="s">
        <v>1108</v>
      </c>
      <c r="C9" s="206" t="s">
        <v>412</v>
      </c>
      <c r="D9" s="182">
        <v>0</v>
      </c>
      <c r="E9" s="182">
        <v>0</v>
      </c>
      <c r="F9" s="207" t="s">
        <v>792</v>
      </c>
      <c r="G9" s="12"/>
      <c r="I9" s="110"/>
    </row>
    <row r="10" spans="1:9" ht="14">
      <c r="A10" s="91" t="s">
        <v>1084</v>
      </c>
      <c r="B10" s="91" t="s">
        <v>243</v>
      </c>
      <c r="C10" s="115" t="s">
        <v>392</v>
      </c>
      <c r="D10" s="116">
        <v>7651.88</v>
      </c>
      <c r="E10" s="116">
        <v>7881</v>
      </c>
      <c r="F10" s="117">
        <f>(E10-D10)/D10</f>
        <v>2.9942968264008309E-2</v>
      </c>
      <c r="G10" s="12"/>
      <c r="I10" s="12"/>
    </row>
    <row r="11" spans="1:9" ht="14">
      <c r="A11" s="91" t="s">
        <v>1085</v>
      </c>
      <c r="B11" s="91" t="s">
        <v>413</v>
      </c>
      <c r="C11" s="115" t="s">
        <v>392</v>
      </c>
      <c r="D11" s="116">
        <v>337.5</v>
      </c>
      <c r="E11" s="116">
        <v>338</v>
      </c>
      <c r="F11" s="117">
        <f>(E11-D11)/D11</f>
        <v>1.4814814814814814E-3</v>
      </c>
      <c r="G11" s="12"/>
      <c r="I11" s="12"/>
    </row>
    <row r="12" spans="1:9" ht="14">
      <c r="A12" s="180" t="s">
        <v>1086</v>
      </c>
      <c r="B12" s="180" t="s">
        <v>1086</v>
      </c>
      <c r="C12" s="206" t="s">
        <v>392</v>
      </c>
      <c r="D12" s="182">
        <v>0</v>
      </c>
      <c r="E12" s="182">
        <v>0</v>
      </c>
      <c r="F12" s="207" t="s">
        <v>792</v>
      </c>
      <c r="G12" s="12"/>
      <c r="I12" s="12"/>
    </row>
    <row r="13" spans="1:9" ht="14">
      <c r="A13" s="91" t="s">
        <v>275</v>
      </c>
      <c r="B13" s="91" t="s">
        <v>427</v>
      </c>
      <c r="C13" s="115" t="s">
        <v>392</v>
      </c>
      <c r="D13" s="116">
        <v>5989.5</v>
      </c>
      <c r="E13" s="116">
        <v>6291</v>
      </c>
      <c r="F13" s="117">
        <f>(E13-D13)/D13</f>
        <v>5.0338091660405711E-2</v>
      </c>
      <c r="G13" s="12"/>
      <c r="I13" s="12"/>
    </row>
    <row r="14" spans="1:9" ht="14">
      <c r="A14" s="91" t="s">
        <v>4</v>
      </c>
      <c r="B14" s="91" t="s">
        <v>4</v>
      </c>
      <c r="C14" s="115" t="s">
        <v>392</v>
      </c>
      <c r="D14" s="116">
        <v>12940</v>
      </c>
      <c r="E14" s="116">
        <v>13265</v>
      </c>
      <c r="F14" s="117">
        <f>(E14-D14)/D14</f>
        <v>2.5115919629057189E-2</v>
      </c>
      <c r="G14" s="12"/>
    </row>
    <row r="15" spans="1:9" ht="14">
      <c r="A15" s="91" t="s">
        <v>1087</v>
      </c>
      <c r="B15" s="91" t="s">
        <v>235</v>
      </c>
      <c r="C15" s="115" t="s">
        <v>392</v>
      </c>
      <c r="D15" s="116">
        <v>0</v>
      </c>
      <c r="E15" s="116">
        <v>0</v>
      </c>
      <c r="F15" s="118" t="s">
        <v>792</v>
      </c>
      <c r="G15" s="12"/>
    </row>
    <row r="16" spans="1:9" ht="14">
      <c r="A16" s="91" t="s">
        <v>1088</v>
      </c>
      <c r="B16" s="91" t="s">
        <v>235</v>
      </c>
      <c r="C16" s="115" t="s">
        <v>392</v>
      </c>
      <c r="D16" s="116">
        <v>0</v>
      </c>
      <c r="E16" s="116">
        <v>0</v>
      </c>
      <c r="F16" s="118" t="s">
        <v>792</v>
      </c>
      <c r="G16" s="12"/>
    </row>
    <row r="17" spans="1:7" ht="14">
      <c r="A17" s="91" t="s">
        <v>1089</v>
      </c>
      <c r="B17" s="91" t="s">
        <v>235</v>
      </c>
      <c r="C17" s="115" t="s">
        <v>392</v>
      </c>
      <c r="D17" s="116">
        <v>0</v>
      </c>
      <c r="E17" s="116">
        <v>0</v>
      </c>
      <c r="F17" s="118" t="s">
        <v>792</v>
      </c>
      <c r="G17" s="12"/>
    </row>
    <row r="18" spans="1:7" ht="14">
      <c r="A18" s="91" t="s">
        <v>1090</v>
      </c>
      <c r="B18" s="91" t="s">
        <v>235</v>
      </c>
      <c r="C18" s="115" t="s">
        <v>392</v>
      </c>
      <c r="D18" s="116">
        <v>0</v>
      </c>
      <c r="E18" s="116">
        <v>0</v>
      </c>
      <c r="F18" s="118" t="s">
        <v>792</v>
      </c>
      <c r="G18" s="12"/>
    </row>
    <row r="19" spans="1:7" ht="14">
      <c r="A19" s="91" t="s">
        <v>1091</v>
      </c>
      <c r="B19" s="91" t="s">
        <v>235</v>
      </c>
      <c r="C19" s="115" t="s">
        <v>392</v>
      </c>
      <c r="D19" s="116">
        <v>0</v>
      </c>
      <c r="E19" s="116">
        <v>0</v>
      </c>
      <c r="F19" s="118" t="s">
        <v>792</v>
      </c>
      <c r="G19" s="12"/>
    </row>
    <row r="20" spans="1:7" ht="14">
      <c r="A20" s="91" t="s">
        <v>1092</v>
      </c>
      <c r="B20" s="91" t="s">
        <v>235</v>
      </c>
      <c r="C20" s="115" t="s">
        <v>392</v>
      </c>
      <c r="D20" s="116">
        <v>8025</v>
      </c>
      <c r="E20" s="116">
        <v>8265</v>
      </c>
      <c r="F20" s="117">
        <f>(E20-D20)/D20</f>
        <v>2.9906542056074768E-2</v>
      </c>
      <c r="G20" s="12"/>
    </row>
    <row r="21" spans="1:7" ht="14">
      <c r="A21" s="91" t="s">
        <v>414</v>
      </c>
      <c r="B21" s="91" t="s">
        <v>415</v>
      </c>
      <c r="C21" s="115" t="s">
        <v>2</v>
      </c>
      <c r="D21" s="116">
        <v>146.04</v>
      </c>
      <c r="E21" s="116">
        <v>146.04</v>
      </c>
      <c r="F21" s="117">
        <f>(E21-D21)/D21</f>
        <v>0</v>
      </c>
      <c r="G21" s="12"/>
    </row>
    <row r="22" spans="1:7" ht="14">
      <c r="A22" s="91" t="s">
        <v>276</v>
      </c>
      <c r="B22" s="91" t="s">
        <v>427</v>
      </c>
      <c r="C22" s="115" t="s">
        <v>392</v>
      </c>
      <c r="D22" s="116">
        <v>3411</v>
      </c>
      <c r="E22" s="116">
        <v>3514.5</v>
      </c>
      <c r="F22" s="117">
        <f>(E22-D22)/D22</f>
        <v>3.0343007915567283E-2</v>
      </c>
      <c r="G22" s="12"/>
    </row>
    <row r="23" spans="1:7" ht="14">
      <c r="A23" s="180" t="s">
        <v>1128</v>
      </c>
      <c r="B23" s="180" t="s">
        <v>271</v>
      </c>
      <c r="C23" s="206" t="s">
        <v>392</v>
      </c>
      <c r="D23" s="182">
        <v>27354</v>
      </c>
      <c r="E23" s="182">
        <v>28611</v>
      </c>
      <c r="F23" s="208">
        <f>(E23-D23)/D23</f>
        <v>4.5953059881552974E-2</v>
      </c>
      <c r="G23" s="12"/>
    </row>
    <row r="24" spans="1:7" ht="14">
      <c r="A24" s="180" t="s">
        <v>1093</v>
      </c>
      <c r="B24" s="180" t="s">
        <v>1094</v>
      </c>
      <c r="C24" s="206" t="s">
        <v>392</v>
      </c>
      <c r="D24" s="182">
        <v>0</v>
      </c>
      <c r="E24" s="182">
        <v>0</v>
      </c>
      <c r="F24" s="207" t="s">
        <v>792</v>
      </c>
      <c r="G24" s="12"/>
    </row>
    <row r="25" spans="1:7" ht="14">
      <c r="A25" s="91" t="s">
        <v>223</v>
      </c>
      <c r="B25" s="91" t="s">
        <v>230</v>
      </c>
      <c r="C25" s="115" t="s">
        <v>392</v>
      </c>
      <c r="D25" s="116">
        <v>545.9</v>
      </c>
      <c r="E25" s="116">
        <v>660</v>
      </c>
      <c r="F25" s="117">
        <f>(E25-D25)/D25</f>
        <v>0.20901263967759667</v>
      </c>
      <c r="G25" s="12"/>
    </row>
    <row r="26" spans="1:7" ht="14">
      <c r="A26" s="91" t="s">
        <v>228</v>
      </c>
      <c r="B26" s="91" t="s">
        <v>234</v>
      </c>
      <c r="C26" s="115" t="s">
        <v>392</v>
      </c>
      <c r="D26" s="116">
        <v>895.5</v>
      </c>
      <c r="E26" s="116">
        <v>1035</v>
      </c>
      <c r="F26" s="117">
        <f>(E26-D26)/D26</f>
        <v>0.15577889447236182</v>
      </c>
      <c r="G26" s="12"/>
    </row>
    <row r="27" spans="1:7" ht="14">
      <c r="A27" s="91" t="s">
        <v>252</v>
      </c>
      <c r="B27" s="91" t="s">
        <v>251</v>
      </c>
      <c r="C27" s="115" t="s">
        <v>392</v>
      </c>
      <c r="D27" s="116">
        <v>5699</v>
      </c>
      <c r="E27" s="116">
        <v>5870</v>
      </c>
      <c r="F27" s="117">
        <f>(E27-D27)/D27</f>
        <v>3.0005264081417793E-2</v>
      </c>
      <c r="G27" s="12"/>
    </row>
    <row r="28" spans="1:7" ht="14">
      <c r="A28" s="91" t="s">
        <v>280</v>
      </c>
      <c r="B28" s="91" t="s">
        <v>267</v>
      </c>
      <c r="C28" s="115" t="s">
        <v>392</v>
      </c>
      <c r="D28" s="116">
        <v>0</v>
      </c>
      <c r="E28" s="116">
        <v>0</v>
      </c>
      <c r="F28" s="118" t="s">
        <v>792</v>
      </c>
      <c r="G28" s="12"/>
    </row>
    <row r="29" spans="1:7" ht="14">
      <c r="A29" s="180" t="s">
        <v>1095</v>
      </c>
      <c r="B29" s="180" t="s">
        <v>1095</v>
      </c>
      <c r="C29" s="206" t="s">
        <v>1096</v>
      </c>
      <c r="D29" s="182">
        <v>0</v>
      </c>
      <c r="E29" s="182">
        <v>0</v>
      </c>
      <c r="F29" s="207" t="s">
        <v>792</v>
      </c>
      <c r="G29" s="12"/>
    </row>
    <row r="30" spans="1:7" ht="14">
      <c r="A30" s="91" t="s">
        <v>273</v>
      </c>
      <c r="B30" s="91" t="s">
        <v>274</v>
      </c>
      <c r="C30" s="115" t="s">
        <v>392</v>
      </c>
      <c r="D30" s="116">
        <v>3090</v>
      </c>
      <c r="E30" s="116">
        <v>3392</v>
      </c>
      <c r="F30" s="117">
        <f t="shared" ref="F30:F35" si="0">(E30-D30)/D30</f>
        <v>9.7734627831715215E-2</v>
      </c>
      <c r="G30" s="12"/>
    </row>
    <row r="31" spans="1:7" ht="14">
      <c r="A31" s="91" t="s">
        <v>418</v>
      </c>
      <c r="B31" s="91" t="s">
        <v>235</v>
      </c>
      <c r="C31" s="115" t="s">
        <v>392</v>
      </c>
      <c r="D31" s="116">
        <v>2650</v>
      </c>
      <c r="E31" s="116">
        <v>2730</v>
      </c>
      <c r="F31" s="117">
        <f t="shared" si="0"/>
        <v>3.0188679245283019E-2</v>
      </c>
      <c r="G31" s="12"/>
    </row>
    <row r="32" spans="1:7" ht="14">
      <c r="A32" s="91" t="s">
        <v>236</v>
      </c>
      <c r="B32" s="91" t="s">
        <v>235</v>
      </c>
      <c r="C32" s="115" t="s">
        <v>392</v>
      </c>
      <c r="D32" s="116">
        <v>3025</v>
      </c>
      <c r="E32" s="116">
        <v>3025</v>
      </c>
      <c r="F32" s="117">
        <f t="shared" si="0"/>
        <v>0</v>
      </c>
      <c r="G32" s="12"/>
    </row>
    <row r="33" spans="1:7" ht="14">
      <c r="A33" s="91" t="s">
        <v>1097</v>
      </c>
      <c r="B33" s="91" t="s">
        <v>257</v>
      </c>
      <c r="C33" s="115" t="s">
        <v>392</v>
      </c>
      <c r="D33" s="116">
        <v>16073</v>
      </c>
      <c r="E33" s="116">
        <v>16877</v>
      </c>
      <c r="F33" s="117">
        <f t="shared" si="0"/>
        <v>5.0021775648603245E-2</v>
      </c>
      <c r="G33" s="12"/>
    </row>
    <row r="34" spans="1:7" ht="14">
      <c r="A34" s="91" t="s">
        <v>419</v>
      </c>
      <c r="B34" s="91" t="s">
        <v>420</v>
      </c>
      <c r="C34" s="115" t="s">
        <v>392</v>
      </c>
      <c r="D34" s="116">
        <v>1613</v>
      </c>
      <c r="E34" s="116">
        <v>1694</v>
      </c>
      <c r="F34" s="117">
        <f t="shared" si="0"/>
        <v>5.0216986980781156E-2</v>
      </c>
      <c r="G34" s="12"/>
    </row>
    <row r="35" spans="1:7" ht="14">
      <c r="A35" s="91" t="s">
        <v>421</v>
      </c>
      <c r="B35" s="91" t="s">
        <v>268</v>
      </c>
      <c r="C35" s="115" t="s">
        <v>392</v>
      </c>
      <c r="D35" s="116">
        <v>5725</v>
      </c>
      <c r="E35" s="116">
        <v>6010</v>
      </c>
      <c r="F35" s="117">
        <f t="shared" si="0"/>
        <v>4.9781659388646288E-2</v>
      </c>
      <c r="G35" s="12"/>
    </row>
    <row r="36" spans="1:7" ht="14">
      <c r="A36" s="91" t="s">
        <v>422</v>
      </c>
      <c r="B36" s="91" t="s">
        <v>268</v>
      </c>
      <c r="C36" s="115" t="s">
        <v>392</v>
      </c>
      <c r="D36" s="116">
        <v>0</v>
      </c>
      <c r="E36" s="116">
        <v>0</v>
      </c>
      <c r="F36" s="118" t="s">
        <v>792</v>
      </c>
      <c r="G36" s="12"/>
    </row>
    <row r="37" spans="1:7" ht="14">
      <c r="A37" s="91" t="s">
        <v>1098</v>
      </c>
      <c r="B37" s="91" t="s">
        <v>416</v>
      </c>
      <c r="C37" s="115" t="s">
        <v>417</v>
      </c>
      <c r="D37" s="116">
        <v>149.5</v>
      </c>
      <c r="E37" s="116">
        <v>149.5</v>
      </c>
      <c r="F37" s="117">
        <f>(E37-D37)/D37</f>
        <v>0</v>
      </c>
      <c r="G37" s="12"/>
    </row>
    <row r="38" spans="1:7" ht="14">
      <c r="A38" s="91" t="s">
        <v>238</v>
      </c>
      <c r="B38" s="91" t="s">
        <v>251</v>
      </c>
      <c r="C38" s="115" t="s">
        <v>392</v>
      </c>
      <c r="D38" s="116">
        <v>3161</v>
      </c>
      <c r="E38" s="116">
        <v>3255</v>
      </c>
      <c r="F38" s="117">
        <f>(E38-D38)/D38</f>
        <v>2.9737424865548878E-2</v>
      </c>
      <c r="G38" s="12"/>
    </row>
    <row r="39" spans="1:7" ht="14">
      <c r="A39" s="91" t="s">
        <v>423</v>
      </c>
      <c r="B39" s="91" t="s">
        <v>427</v>
      </c>
      <c r="C39" s="115" t="s">
        <v>392</v>
      </c>
      <c r="D39" s="116">
        <v>6340.5</v>
      </c>
      <c r="E39" s="116">
        <v>6340.5</v>
      </c>
      <c r="F39" s="118" t="s">
        <v>792</v>
      </c>
      <c r="G39" s="12"/>
    </row>
    <row r="40" spans="1:7" ht="14">
      <c r="A40" s="180" t="s">
        <v>1099</v>
      </c>
      <c r="B40" s="180" t="s">
        <v>235</v>
      </c>
      <c r="C40" s="206" t="s">
        <v>392</v>
      </c>
      <c r="D40" s="182">
        <v>0</v>
      </c>
      <c r="E40" s="182">
        <v>0</v>
      </c>
      <c r="F40" s="207" t="s">
        <v>792</v>
      </c>
      <c r="G40" s="12"/>
    </row>
    <row r="41" spans="1:7" ht="14">
      <c r="A41" s="91" t="s">
        <v>258</v>
      </c>
      <c r="B41" s="91" t="s">
        <v>257</v>
      </c>
      <c r="C41" s="115" t="s">
        <v>392</v>
      </c>
      <c r="D41" s="116">
        <v>10260</v>
      </c>
      <c r="E41" s="116">
        <v>10927</v>
      </c>
      <c r="F41" s="117">
        <f>(E41-D41)/D41</f>
        <v>6.5009746588693962E-2</v>
      </c>
      <c r="G41" s="12"/>
    </row>
    <row r="42" spans="1:7" ht="14">
      <c r="A42" s="180" t="s">
        <v>1077</v>
      </c>
      <c r="B42" s="180" t="s">
        <v>1076</v>
      </c>
      <c r="C42" s="206" t="s">
        <v>392</v>
      </c>
      <c r="D42" s="182">
        <v>4900.8</v>
      </c>
      <c r="E42" s="182">
        <v>4900.8</v>
      </c>
      <c r="F42" s="208">
        <f>(E42-D42)/D42</f>
        <v>0</v>
      </c>
      <c r="G42" s="12"/>
    </row>
    <row r="43" spans="1:7" ht="14">
      <c r="A43" s="91" t="s">
        <v>281</v>
      </c>
      <c r="B43" s="91" t="s">
        <v>235</v>
      </c>
      <c r="C43" s="115" t="s">
        <v>392</v>
      </c>
      <c r="D43" s="116">
        <v>0</v>
      </c>
      <c r="E43" s="116">
        <v>0</v>
      </c>
      <c r="F43" s="118" t="s">
        <v>792</v>
      </c>
      <c r="G43" s="12"/>
    </row>
    <row r="44" spans="1:7" ht="14">
      <c r="A44" s="91" t="s">
        <v>281</v>
      </c>
      <c r="B44" s="91" t="s">
        <v>251</v>
      </c>
      <c r="C44" s="115" t="s">
        <v>392</v>
      </c>
      <c r="D44" s="116">
        <v>0</v>
      </c>
      <c r="E44" s="116">
        <v>0</v>
      </c>
      <c r="F44" s="118" t="s">
        <v>792</v>
      </c>
      <c r="G44" s="12"/>
    </row>
    <row r="45" spans="1:7" ht="14">
      <c r="A45" s="91" t="s">
        <v>281</v>
      </c>
      <c r="B45" s="91" t="s">
        <v>267</v>
      </c>
      <c r="C45" s="115" t="s">
        <v>392</v>
      </c>
      <c r="D45" s="116">
        <v>0</v>
      </c>
      <c r="E45" s="116">
        <v>0</v>
      </c>
      <c r="F45" s="118" t="s">
        <v>792</v>
      </c>
      <c r="G45" s="12"/>
    </row>
    <row r="46" spans="1:7" ht="14">
      <c r="A46" s="91" t="s">
        <v>281</v>
      </c>
      <c r="B46" s="91" t="s">
        <v>427</v>
      </c>
      <c r="C46" s="115" t="s">
        <v>392</v>
      </c>
      <c r="D46" s="116">
        <v>0</v>
      </c>
      <c r="E46" s="116">
        <v>0</v>
      </c>
      <c r="F46" s="118" t="s">
        <v>792</v>
      </c>
      <c r="G46" s="12"/>
    </row>
    <row r="47" spans="1:7" ht="14">
      <c r="A47" s="180" t="s">
        <v>1100</v>
      </c>
      <c r="B47" s="180" t="s">
        <v>1101</v>
      </c>
      <c r="C47" s="206" t="s">
        <v>1096</v>
      </c>
      <c r="D47" s="182">
        <v>0</v>
      </c>
      <c r="E47" s="182">
        <v>0</v>
      </c>
      <c r="F47" s="207" t="s">
        <v>792</v>
      </c>
      <c r="G47" s="12"/>
    </row>
    <row r="48" spans="1:7" ht="14">
      <c r="A48" s="91" t="s">
        <v>253</v>
      </c>
      <c r="B48" s="91" t="s">
        <v>251</v>
      </c>
      <c r="C48" s="115" t="s">
        <v>392</v>
      </c>
      <c r="D48" s="116">
        <v>1363</v>
      </c>
      <c r="E48" s="116">
        <v>1404</v>
      </c>
      <c r="F48" s="117">
        <f>(E48-D48)/D48</f>
        <v>3.008070432868672E-2</v>
      </c>
      <c r="G48" s="12"/>
    </row>
    <row r="49" spans="1:7" ht="14">
      <c r="A49" s="91" t="s">
        <v>266</v>
      </c>
      <c r="B49" s="91" t="s">
        <v>267</v>
      </c>
      <c r="C49" s="115" t="s">
        <v>392</v>
      </c>
      <c r="D49" s="116">
        <v>9215</v>
      </c>
      <c r="E49" s="116">
        <v>9606.4</v>
      </c>
      <c r="F49" s="117">
        <f>(E49-D49)/D49</f>
        <v>4.2474226804123674E-2</v>
      </c>
      <c r="G49" s="12"/>
    </row>
    <row r="50" spans="1:7" ht="14">
      <c r="A50" s="180" t="s">
        <v>1110</v>
      </c>
      <c r="B50" s="180"/>
      <c r="C50" s="206" t="s">
        <v>412</v>
      </c>
      <c r="D50" s="182">
        <v>0</v>
      </c>
      <c r="E50" s="182">
        <v>0</v>
      </c>
      <c r="F50" s="207" t="s">
        <v>792</v>
      </c>
      <c r="G50" s="12"/>
    </row>
    <row r="51" spans="1:7" ht="14">
      <c r="A51" s="180" t="s">
        <v>1075</v>
      </c>
      <c r="B51" s="180" t="s">
        <v>1129</v>
      </c>
      <c r="C51" s="206" t="s">
        <v>392</v>
      </c>
      <c r="D51" s="182">
        <v>4420</v>
      </c>
      <c r="E51" s="182">
        <v>6919</v>
      </c>
      <c r="F51" s="208">
        <f>(E51-D51)/D51</f>
        <v>0.56538461538461537</v>
      </c>
      <c r="G51" s="12"/>
    </row>
    <row r="52" spans="1:7" ht="14">
      <c r="A52" s="91" t="s">
        <v>282</v>
      </c>
      <c r="B52" s="91" t="s">
        <v>251</v>
      </c>
      <c r="C52" s="115" t="s">
        <v>392</v>
      </c>
      <c r="D52" s="116">
        <v>0</v>
      </c>
      <c r="E52" s="116">
        <v>0</v>
      </c>
      <c r="F52" s="118" t="s">
        <v>792</v>
      </c>
      <c r="G52" s="12"/>
    </row>
    <row r="53" spans="1:7" ht="42">
      <c r="A53" s="180" t="s">
        <v>1072</v>
      </c>
      <c r="B53" s="180" t="s">
        <v>1073</v>
      </c>
      <c r="C53" s="206" t="s">
        <v>417</v>
      </c>
      <c r="D53" s="182">
        <v>0</v>
      </c>
      <c r="E53" s="182">
        <v>2090.5100000000002</v>
      </c>
      <c r="F53" s="207" t="s">
        <v>792</v>
      </c>
      <c r="G53" s="12"/>
    </row>
    <row r="54" spans="1:7" ht="14">
      <c r="A54" s="91" t="s">
        <v>1105</v>
      </c>
      <c r="B54" s="91" t="s">
        <v>235</v>
      </c>
      <c r="C54" s="115" t="s">
        <v>392</v>
      </c>
      <c r="D54" s="116">
        <v>6142</v>
      </c>
      <c r="E54" s="116">
        <v>6412</v>
      </c>
      <c r="F54" s="117">
        <f>(E54-D54)/D54</f>
        <v>4.3959622272875282E-2</v>
      </c>
      <c r="G54" s="12"/>
    </row>
    <row r="55" spans="1:7" ht="14">
      <c r="A55" s="91" t="s">
        <v>283</v>
      </c>
      <c r="B55" s="91" t="s">
        <v>267</v>
      </c>
      <c r="C55" s="115" t="s">
        <v>392</v>
      </c>
      <c r="D55" s="116">
        <v>0</v>
      </c>
      <c r="E55" s="116">
        <v>0</v>
      </c>
      <c r="F55" s="118" t="s">
        <v>792</v>
      </c>
      <c r="G55" s="12"/>
    </row>
    <row r="56" spans="1:7" ht="14">
      <c r="A56" s="91" t="s">
        <v>426</v>
      </c>
      <c r="B56" s="91" t="s">
        <v>251</v>
      </c>
      <c r="C56" s="115" t="s">
        <v>392</v>
      </c>
      <c r="D56" s="116">
        <v>0</v>
      </c>
      <c r="E56" s="116">
        <v>0</v>
      </c>
      <c r="F56" s="118" t="s">
        <v>792</v>
      </c>
      <c r="G56" s="12"/>
    </row>
    <row r="57" spans="1:7" ht="14">
      <c r="A57" s="180" t="s">
        <v>424</v>
      </c>
      <c r="B57" s="180" t="s">
        <v>425</v>
      </c>
      <c r="C57" s="206" t="s">
        <v>392</v>
      </c>
      <c r="D57" s="182">
        <v>0</v>
      </c>
      <c r="E57" s="182">
        <v>0</v>
      </c>
      <c r="F57" s="207" t="s">
        <v>792</v>
      </c>
      <c r="G57" s="12"/>
    </row>
    <row r="58" spans="1:7" ht="14">
      <c r="A58" s="180" t="s">
        <v>1126</v>
      </c>
      <c r="B58" s="180" t="s">
        <v>1127</v>
      </c>
      <c r="C58" s="206" t="s">
        <v>392</v>
      </c>
      <c r="D58" s="182">
        <v>0</v>
      </c>
      <c r="E58" s="182">
        <v>1238</v>
      </c>
      <c r="F58" s="207" t="s">
        <v>792</v>
      </c>
      <c r="G58" s="12"/>
    </row>
    <row r="59" spans="1:7" ht="14">
      <c r="A59" s="91" t="s">
        <v>428</v>
      </c>
      <c r="B59" s="91" t="s">
        <v>251</v>
      </c>
      <c r="C59" s="115" t="s">
        <v>412</v>
      </c>
      <c r="D59" s="116">
        <v>0</v>
      </c>
      <c r="E59" s="116">
        <v>0</v>
      </c>
      <c r="F59" s="118" t="s">
        <v>792</v>
      </c>
      <c r="G59" s="12"/>
    </row>
    <row r="60" spans="1:7" ht="14">
      <c r="A60" s="91" t="s">
        <v>1102</v>
      </c>
      <c r="B60" s="91" t="s">
        <v>268</v>
      </c>
      <c r="C60" s="115" t="s">
        <v>412</v>
      </c>
      <c r="D60" s="116">
        <v>0</v>
      </c>
      <c r="E60" s="116">
        <v>0</v>
      </c>
      <c r="F60" s="118" t="s">
        <v>792</v>
      </c>
      <c r="G60" s="12"/>
    </row>
    <row r="61" spans="1:7" ht="14">
      <c r="A61" s="91" t="s">
        <v>244</v>
      </c>
      <c r="B61" s="91" t="s">
        <v>243</v>
      </c>
      <c r="C61" s="115" t="s">
        <v>392</v>
      </c>
      <c r="D61" s="116">
        <v>7651.88</v>
      </c>
      <c r="E61" s="116">
        <v>7881</v>
      </c>
      <c r="F61" s="117">
        <f>(E61-D61)/D61</f>
        <v>2.9942968264008309E-2</v>
      </c>
      <c r="G61" s="12"/>
    </row>
    <row r="62" spans="1:7" ht="14">
      <c r="A62" s="91" t="s">
        <v>429</v>
      </c>
      <c r="B62" s="91" t="s">
        <v>251</v>
      </c>
      <c r="C62" s="115" t="s">
        <v>412</v>
      </c>
      <c r="D62" s="116">
        <v>0</v>
      </c>
      <c r="E62" s="116">
        <v>0</v>
      </c>
      <c r="F62" s="118" t="s">
        <v>792</v>
      </c>
      <c r="G62" s="12"/>
    </row>
    <row r="63" spans="1:7" ht="14">
      <c r="A63" s="91" t="s">
        <v>431</v>
      </c>
      <c r="B63" s="91" t="s">
        <v>432</v>
      </c>
      <c r="C63" s="115" t="s">
        <v>433</v>
      </c>
      <c r="D63" s="116">
        <v>0</v>
      </c>
      <c r="E63" s="116">
        <v>0</v>
      </c>
      <c r="F63" s="118" t="s">
        <v>792</v>
      </c>
      <c r="G63" s="12"/>
    </row>
    <row r="64" spans="1:7" ht="28">
      <c r="A64" s="180" t="s">
        <v>1103</v>
      </c>
      <c r="B64" s="180" t="s">
        <v>434</v>
      </c>
      <c r="C64" s="206" t="s">
        <v>161</v>
      </c>
      <c r="D64" s="182">
        <v>0</v>
      </c>
      <c r="E64" s="182">
        <v>8750</v>
      </c>
      <c r="F64" s="207" t="s">
        <v>792</v>
      </c>
      <c r="G64" s="12"/>
    </row>
    <row r="65" spans="1:7" ht="14">
      <c r="A65" s="91" t="s">
        <v>254</v>
      </c>
      <c r="B65" s="91" t="s">
        <v>251</v>
      </c>
      <c r="C65" s="115" t="s">
        <v>392</v>
      </c>
      <c r="D65" s="116">
        <v>29808</v>
      </c>
      <c r="E65" s="116">
        <v>31302</v>
      </c>
      <c r="F65" s="117">
        <f>(E65-D65)/D65</f>
        <v>5.0120772946859904E-2</v>
      </c>
      <c r="G65" s="12"/>
    </row>
    <row r="66" spans="1:7" ht="14">
      <c r="A66" s="91" t="s">
        <v>237</v>
      </c>
      <c r="B66" s="91" t="s">
        <v>235</v>
      </c>
      <c r="C66" s="115" t="s">
        <v>392</v>
      </c>
      <c r="D66" s="116">
        <v>3600</v>
      </c>
      <c r="E66" s="116">
        <v>3710</v>
      </c>
      <c r="F66" s="117">
        <f>(E66-D66)/D66</f>
        <v>3.0555555555555555E-2</v>
      </c>
      <c r="G66" s="12"/>
    </row>
    <row r="67" spans="1:7" ht="14">
      <c r="A67" s="91" t="s">
        <v>1104</v>
      </c>
      <c r="B67" s="91" t="s">
        <v>231</v>
      </c>
      <c r="C67" s="115" t="s">
        <v>392</v>
      </c>
      <c r="D67" s="116">
        <f>3515/2</f>
        <v>1757.5</v>
      </c>
      <c r="E67" s="116">
        <v>1850</v>
      </c>
      <c r="F67" s="117">
        <f>(E67-D67)/D67</f>
        <v>5.2631578947368418E-2</v>
      </c>
      <c r="G67" s="12"/>
    </row>
    <row r="68" spans="1:7" ht="14">
      <c r="A68" s="91" t="s">
        <v>1074</v>
      </c>
      <c r="B68" s="91" t="s">
        <v>232</v>
      </c>
      <c r="C68" s="115" t="s">
        <v>392</v>
      </c>
      <c r="D68" s="116">
        <v>8966</v>
      </c>
      <c r="E68" s="116">
        <v>9145</v>
      </c>
      <c r="F68" s="117">
        <f>(E68-D68)/D68</f>
        <v>1.9964309614097703E-2</v>
      </c>
      <c r="G68" s="12"/>
    </row>
    <row r="69" spans="1:7" ht="14">
      <c r="A69" s="180" t="s">
        <v>1111</v>
      </c>
      <c r="B69" s="180" t="s">
        <v>1111</v>
      </c>
      <c r="C69" s="206" t="s">
        <v>412</v>
      </c>
      <c r="D69" s="182">
        <v>0</v>
      </c>
      <c r="E69" s="182">
        <v>0</v>
      </c>
      <c r="F69" s="207" t="s">
        <v>792</v>
      </c>
      <c r="G69" s="12"/>
    </row>
    <row r="70" spans="1:7" ht="14">
      <c r="A70" s="91" t="s">
        <v>443</v>
      </c>
      <c r="B70" s="91" t="s">
        <v>444</v>
      </c>
      <c r="C70" s="115" t="s">
        <v>161</v>
      </c>
      <c r="D70" s="116">
        <v>0</v>
      </c>
      <c r="E70" s="116">
        <v>0</v>
      </c>
      <c r="F70" s="118" t="s">
        <v>792</v>
      </c>
      <c r="G70" s="12"/>
    </row>
    <row r="71" spans="1:7" ht="14">
      <c r="A71" s="91" t="s">
        <v>265</v>
      </c>
      <c r="B71" s="91" t="s">
        <v>261</v>
      </c>
      <c r="C71" s="115" t="s">
        <v>392</v>
      </c>
      <c r="D71" s="116">
        <v>26063.1</v>
      </c>
      <c r="E71" s="116">
        <v>25295.63</v>
      </c>
      <c r="F71" s="117">
        <f>(E71-D71)/D71</f>
        <v>-2.9446612260245236E-2</v>
      </c>
      <c r="G71" s="12"/>
    </row>
    <row r="72" spans="1:7" ht="14">
      <c r="A72" s="91" t="s">
        <v>435</v>
      </c>
      <c r="B72" s="91" t="s">
        <v>261</v>
      </c>
      <c r="C72" s="115" t="s">
        <v>392</v>
      </c>
      <c r="D72" s="116">
        <v>7446.6</v>
      </c>
      <c r="E72" s="116">
        <v>7284.14</v>
      </c>
      <c r="F72" s="117">
        <f>(E72-D72)/D72</f>
        <v>-2.1816668009561415E-2</v>
      </c>
      <c r="G72" s="12"/>
    </row>
    <row r="73" spans="1:7" ht="28">
      <c r="A73" s="91" t="s">
        <v>1106</v>
      </c>
      <c r="B73" s="91" t="s">
        <v>251</v>
      </c>
      <c r="C73" s="115" t="s">
        <v>392</v>
      </c>
      <c r="D73" s="116">
        <v>0</v>
      </c>
      <c r="E73" s="116">
        <v>0</v>
      </c>
      <c r="F73" s="118" t="s">
        <v>792</v>
      </c>
      <c r="G73" s="12"/>
    </row>
    <row r="74" spans="1:7" ht="28">
      <c r="A74" s="91" t="s">
        <v>1107</v>
      </c>
      <c r="B74" s="91" t="s">
        <v>251</v>
      </c>
      <c r="C74" s="115" t="s">
        <v>392</v>
      </c>
      <c r="D74" s="116">
        <v>2583</v>
      </c>
      <c r="E74" s="116">
        <v>2660</v>
      </c>
      <c r="F74" s="117">
        <f>(E74-D74)/D74</f>
        <v>2.9810298102981029E-2</v>
      </c>
      <c r="G74" s="12"/>
    </row>
    <row r="75" spans="1:7" ht="14">
      <c r="A75" s="91" t="s">
        <v>259</v>
      </c>
      <c r="B75" s="91" t="s">
        <v>214</v>
      </c>
      <c r="C75" s="115" t="s">
        <v>392</v>
      </c>
      <c r="D75" s="116">
        <v>1874</v>
      </c>
      <c r="E75" s="116">
        <v>1986</v>
      </c>
      <c r="F75" s="117">
        <f>(E75-D75)/D75</f>
        <v>5.9765208110992528E-2</v>
      </c>
      <c r="G75" s="12"/>
    </row>
    <row r="76" spans="1:7" ht="14">
      <c r="A76" s="91" t="s">
        <v>284</v>
      </c>
      <c r="B76" s="91" t="s">
        <v>251</v>
      </c>
      <c r="C76" s="115" t="s">
        <v>392</v>
      </c>
      <c r="D76" s="116">
        <v>0</v>
      </c>
      <c r="E76" s="116">
        <v>0</v>
      </c>
      <c r="F76" s="118" t="s">
        <v>792</v>
      </c>
      <c r="G76" s="12"/>
    </row>
    <row r="77" spans="1:7" ht="14">
      <c r="A77" s="91" t="s">
        <v>436</v>
      </c>
      <c r="B77" s="91" t="s">
        <v>251</v>
      </c>
      <c r="C77" s="115" t="s">
        <v>412</v>
      </c>
      <c r="D77" s="116">
        <v>0</v>
      </c>
      <c r="E77" s="116">
        <v>0</v>
      </c>
      <c r="F77" s="118" t="s">
        <v>792</v>
      </c>
      <c r="G77" s="12"/>
    </row>
    <row r="78" spans="1:7" ht="14">
      <c r="A78" s="91" t="s">
        <v>224</v>
      </c>
      <c r="B78" s="91" t="s">
        <v>224</v>
      </c>
      <c r="C78" s="115" t="s">
        <v>392</v>
      </c>
      <c r="D78" s="116">
        <v>7751</v>
      </c>
      <c r="E78" s="116">
        <v>7751</v>
      </c>
      <c r="F78" s="117">
        <f>(E78-D78)/D78</f>
        <v>0</v>
      </c>
      <c r="G78" s="12"/>
    </row>
    <row r="79" spans="1:7" ht="14">
      <c r="A79" s="91" t="s">
        <v>285</v>
      </c>
      <c r="B79" s="91" t="s">
        <v>251</v>
      </c>
      <c r="C79" s="115" t="s">
        <v>392</v>
      </c>
      <c r="D79" s="116">
        <v>0</v>
      </c>
      <c r="E79" s="116">
        <v>0</v>
      </c>
      <c r="F79" s="118" t="s">
        <v>792</v>
      </c>
      <c r="G79" s="12"/>
    </row>
    <row r="80" spans="1:7" ht="14">
      <c r="A80" s="91" t="s">
        <v>285</v>
      </c>
      <c r="B80" s="91" t="s">
        <v>267</v>
      </c>
      <c r="C80" s="115" t="s">
        <v>392</v>
      </c>
      <c r="D80" s="116">
        <v>0</v>
      </c>
      <c r="E80" s="116">
        <v>0</v>
      </c>
      <c r="F80" s="118" t="s">
        <v>792</v>
      </c>
      <c r="G80" s="12"/>
    </row>
    <row r="81" spans="1:7" ht="14">
      <c r="A81" s="91" t="s">
        <v>285</v>
      </c>
      <c r="B81" s="91" t="s">
        <v>437</v>
      </c>
      <c r="C81" s="115" t="s">
        <v>392</v>
      </c>
      <c r="D81" s="116">
        <v>0</v>
      </c>
      <c r="E81" s="116">
        <v>0</v>
      </c>
      <c r="F81" s="118" t="s">
        <v>792</v>
      </c>
      <c r="G81" s="12"/>
    </row>
    <row r="82" spans="1:7" ht="14">
      <c r="A82" s="91" t="s">
        <v>438</v>
      </c>
      <c r="B82" s="91" t="s">
        <v>251</v>
      </c>
      <c r="C82" s="115" t="s">
        <v>392</v>
      </c>
      <c r="D82" s="116">
        <v>1649</v>
      </c>
      <c r="E82" s="116">
        <v>1806</v>
      </c>
      <c r="F82" s="118" t="s">
        <v>135</v>
      </c>
      <c r="G82" s="12"/>
    </row>
    <row r="83" spans="1:7" ht="14">
      <c r="A83" s="91" t="s">
        <v>262</v>
      </c>
      <c r="B83" s="91" t="s">
        <v>263</v>
      </c>
      <c r="C83" s="115" t="s">
        <v>392</v>
      </c>
      <c r="D83" s="116">
        <v>13750</v>
      </c>
      <c r="E83" s="116">
        <v>15000</v>
      </c>
      <c r="F83" s="117">
        <f>(E83-D83)/D83</f>
        <v>9.0909090909090912E-2</v>
      </c>
      <c r="G83" s="12"/>
    </row>
    <row r="84" spans="1:7" ht="14">
      <c r="A84" s="91" t="s">
        <v>1112</v>
      </c>
      <c r="B84" s="91" t="s">
        <v>235</v>
      </c>
      <c r="C84" s="115" t="s">
        <v>392</v>
      </c>
      <c r="D84" s="116">
        <v>4250</v>
      </c>
      <c r="E84" s="116">
        <v>4380</v>
      </c>
      <c r="F84" s="117">
        <f>(E84-D84)/D84</f>
        <v>3.0588235294117649E-2</v>
      </c>
      <c r="G84" s="12"/>
    </row>
    <row r="85" spans="1:7" ht="14">
      <c r="A85" s="91" t="s">
        <v>439</v>
      </c>
      <c r="B85" s="91" t="s">
        <v>251</v>
      </c>
      <c r="C85" s="115" t="s">
        <v>412</v>
      </c>
      <c r="D85" s="116">
        <v>0</v>
      </c>
      <c r="E85" s="116">
        <v>0</v>
      </c>
      <c r="F85" s="118" t="s">
        <v>792</v>
      </c>
      <c r="G85" s="12"/>
    </row>
    <row r="86" spans="1:7" ht="14">
      <c r="A86" s="91" t="s">
        <v>286</v>
      </c>
      <c r="B86" s="91" t="s">
        <v>267</v>
      </c>
      <c r="C86" s="115" t="s">
        <v>392</v>
      </c>
      <c r="D86" s="116">
        <v>0</v>
      </c>
      <c r="E86" s="116">
        <v>0</v>
      </c>
      <c r="F86" s="118" t="s">
        <v>792</v>
      </c>
      <c r="G86" s="12"/>
    </row>
    <row r="87" spans="1:7" ht="14">
      <c r="A87" s="91" t="s">
        <v>287</v>
      </c>
      <c r="B87" s="91" t="s">
        <v>235</v>
      </c>
      <c r="C87" s="115" t="s">
        <v>392</v>
      </c>
      <c r="D87" s="116">
        <v>0</v>
      </c>
      <c r="E87" s="116">
        <v>0</v>
      </c>
      <c r="F87" s="118" t="s">
        <v>792</v>
      </c>
      <c r="G87" s="12"/>
    </row>
    <row r="88" spans="1:7" ht="14">
      <c r="A88" s="91" t="s">
        <v>245</v>
      </c>
      <c r="B88" s="91" t="s">
        <v>235</v>
      </c>
      <c r="C88" s="115" t="s">
        <v>392</v>
      </c>
      <c r="D88" s="116">
        <v>7600</v>
      </c>
      <c r="E88" s="116">
        <v>7600</v>
      </c>
      <c r="F88" s="117">
        <f>(E88-D88)/D88</f>
        <v>0</v>
      </c>
      <c r="G88" s="12"/>
    </row>
    <row r="89" spans="1:7" ht="14">
      <c r="A89" s="91" t="s">
        <v>1113</v>
      </c>
      <c r="B89" s="91" t="s">
        <v>440</v>
      </c>
      <c r="C89" s="115" t="s">
        <v>392</v>
      </c>
      <c r="D89" s="116">
        <v>2200</v>
      </c>
      <c r="E89" s="116">
        <v>2280</v>
      </c>
      <c r="F89" s="117">
        <f>(E89-D89)/D89</f>
        <v>3.6363636363636362E-2</v>
      </c>
      <c r="G89" s="12"/>
    </row>
    <row r="90" spans="1:7" ht="14">
      <c r="A90" s="91" t="s">
        <v>441</v>
      </c>
      <c r="B90" s="91" t="s">
        <v>442</v>
      </c>
      <c r="C90" s="115" t="s">
        <v>433</v>
      </c>
      <c r="D90" s="116">
        <v>0</v>
      </c>
      <c r="E90" s="116">
        <v>0</v>
      </c>
      <c r="F90" s="118" t="s">
        <v>792</v>
      </c>
      <c r="G90" s="12"/>
    </row>
    <row r="91" spans="1:7" ht="14">
      <c r="A91" s="91" t="s">
        <v>455</v>
      </c>
      <c r="B91" s="91" t="s">
        <v>454</v>
      </c>
      <c r="C91" s="115" t="s">
        <v>433</v>
      </c>
      <c r="D91" s="116">
        <v>0</v>
      </c>
      <c r="E91" s="116">
        <v>0</v>
      </c>
      <c r="F91" s="118" t="s">
        <v>792</v>
      </c>
      <c r="G91" s="12"/>
    </row>
    <row r="92" spans="1:7" ht="14">
      <c r="A92" s="180" t="s">
        <v>1114</v>
      </c>
      <c r="B92" s="180" t="s">
        <v>267</v>
      </c>
      <c r="C92" s="206" t="s">
        <v>392</v>
      </c>
      <c r="D92" s="182">
        <v>0</v>
      </c>
      <c r="E92" s="182">
        <v>0</v>
      </c>
      <c r="F92" s="207" t="s">
        <v>792</v>
      </c>
      <c r="G92" s="12"/>
    </row>
    <row r="93" spans="1:7" ht="14">
      <c r="A93" s="91" t="s">
        <v>288</v>
      </c>
      <c r="B93" s="91" t="s">
        <v>235</v>
      </c>
      <c r="C93" s="115" t="s">
        <v>392</v>
      </c>
      <c r="D93" s="116">
        <v>0</v>
      </c>
      <c r="E93" s="116">
        <v>0</v>
      </c>
      <c r="F93" s="118" t="s">
        <v>792</v>
      </c>
      <c r="G93" s="12"/>
    </row>
    <row r="94" spans="1:7" ht="14">
      <c r="A94" s="90" t="s">
        <v>1081</v>
      </c>
      <c r="B94" s="91" t="s">
        <v>267</v>
      </c>
      <c r="C94" s="115" t="s">
        <v>392</v>
      </c>
      <c r="D94" s="116">
        <v>0</v>
      </c>
      <c r="E94" s="116">
        <v>0</v>
      </c>
      <c r="F94" s="118" t="s">
        <v>792</v>
      </c>
      <c r="G94" s="12"/>
    </row>
    <row r="95" spans="1:7" ht="14">
      <c r="A95" s="91" t="s">
        <v>289</v>
      </c>
      <c r="B95" s="91" t="s">
        <v>267</v>
      </c>
      <c r="C95" s="115" t="s">
        <v>392</v>
      </c>
      <c r="D95" s="116">
        <v>0</v>
      </c>
      <c r="E95" s="116">
        <v>0</v>
      </c>
      <c r="F95" s="118" t="s">
        <v>792</v>
      </c>
      <c r="G95" s="12"/>
    </row>
    <row r="96" spans="1:7" ht="14">
      <c r="A96" s="91" t="s">
        <v>290</v>
      </c>
      <c r="B96" s="91" t="s">
        <v>267</v>
      </c>
      <c r="C96" s="115" t="s">
        <v>392</v>
      </c>
      <c r="D96" s="116">
        <v>0</v>
      </c>
      <c r="E96" s="116">
        <v>0</v>
      </c>
      <c r="F96" s="118" t="s">
        <v>792</v>
      </c>
      <c r="G96" s="12"/>
    </row>
    <row r="97" spans="1:7" ht="14">
      <c r="A97" s="91" t="s">
        <v>1080</v>
      </c>
      <c r="B97" s="91" t="s">
        <v>267</v>
      </c>
      <c r="C97" s="115" t="s">
        <v>392</v>
      </c>
      <c r="D97" s="116">
        <v>0</v>
      </c>
      <c r="E97" s="116">
        <v>0</v>
      </c>
      <c r="F97" s="118" t="s">
        <v>792</v>
      </c>
      <c r="G97" s="12"/>
    </row>
    <row r="98" spans="1:7" ht="14">
      <c r="A98" s="91" t="s">
        <v>1115</v>
      </c>
      <c r="B98" s="91" t="s">
        <v>0</v>
      </c>
      <c r="C98" s="115" t="s">
        <v>392</v>
      </c>
      <c r="D98" s="116">
        <v>3033.8</v>
      </c>
      <c r="E98" s="116">
        <v>2968.02</v>
      </c>
      <c r="F98" s="117">
        <f t="shared" ref="F98:F103" si="1">(E98-D98)/D98</f>
        <v>-2.168237853517048E-2</v>
      </c>
      <c r="G98" s="12"/>
    </row>
    <row r="99" spans="1:7" ht="14">
      <c r="A99" s="91" t="s">
        <v>430</v>
      </c>
      <c r="B99" s="91" t="s">
        <v>264</v>
      </c>
      <c r="C99" s="115" t="s">
        <v>392</v>
      </c>
      <c r="D99" s="116">
        <v>1597.5</v>
      </c>
      <c r="E99" s="116">
        <v>1597.5</v>
      </c>
      <c r="F99" s="117">
        <f t="shared" si="1"/>
        <v>0</v>
      </c>
      <c r="G99" s="12"/>
    </row>
    <row r="100" spans="1:7" ht="14">
      <c r="A100" s="91" t="s">
        <v>1079</v>
      </c>
      <c r="B100" s="91" t="s">
        <v>0</v>
      </c>
      <c r="C100" s="115" t="s">
        <v>392</v>
      </c>
      <c r="D100" s="116">
        <v>1347.25</v>
      </c>
      <c r="E100" s="116">
        <v>1347.25</v>
      </c>
      <c r="F100" s="117">
        <f t="shared" si="1"/>
        <v>0</v>
      </c>
      <c r="G100" s="12"/>
    </row>
    <row r="101" spans="1:7" ht="14">
      <c r="A101" s="91" t="s">
        <v>1116</v>
      </c>
      <c r="B101" s="91" t="s">
        <v>235</v>
      </c>
      <c r="C101" s="115" t="s">
        <v>392</v>
      </c>
      <c r="D101" s="116">
        <v>5875</v>
      </c>
      <c r="E101" s="116">
        <v>6050</v>
      </c>
      <c r="F101" s="117">
        <f t="shared" si="1"/>
        <v>2.9787234042553193E-2</v>
      </c>
      <c r="G101" s="12"/>
    </row>
    <row r="102" spans="1:7" ht="14">
      <c r="A102" s="91" t="s">
        <v>246</v>
      </c>
      <c r="B102" s="91" t="s">
        <v>235</v>
      </c>
      <c r="C102" s="115" t="s">
        <v>392</v>
      </c>
      <c r="D102" s="116">
        <v>2720</v>
      </c>
      <c r="E102" s="116">
        <v>2800</v>
      </c>
      <c r="F102" s="117">
        <f t="shared" si="1"/>
        <v>2.9411764705882353E-2</v>
      </c>
      <c r="G102" s="12"/>
    </row>
    <row r="103" spans="1:7" ht="14">
      <c r="A103" s="91" t="s">
        <v>247</v>
      </c>
      <c r="B103" s="91" t="s">
        <v>235</v>
      </c>
      <c r="C103" s="115" t="s">
        <v>392</v>
      </c>
      <c r="D103" s="116">
        <v>1060</v>
      </c>
      <c r="E103" s="116">
        <v>1060</v>
      </c>
      <c r="F103" s="117">
        <f t="shared" si="1"/>
        <v>0</v>
      </c>
      <c r="G103" s="12"/>
    </row>
    <row r="104" spans="1:7" ht="14">
      <c r="A104" s="91" t="s">
        <v>291</v>
      </c>
      <c r="B104" s="91" t="s">
        <v>235</v>
      </c>
      <c r="C104" s="115" t="s">
        <v>392</v>
      </c>
      <c r="D104" s="116">
        <v>0</v>
      </c>
      <c r="E104" s="116">
        <v>0</v>
      </c>
      <c r="F104" s="118" t="s">
        <v>792</v>
      </c>
      <c r="G104" s="12"/>
    </row>
    <row r="105" spans="1:7" ht="14">
      <c r="A105" s="91" t="s">
        <v>292</v>
      </c>
      <c r="B105" s="91" t="s">
        <v>251</v>
      </c>
      <c r="C105" s="115" t="s">
        <v>392</v>
      </c>
      <c r="D105" s="116">
        <v>0</v>
      </c>
      <c r="E105" s="116">
        <v>0</v>
      </c>
      <c r="F105" s="118" t="s">
        <v>792</v>
      </c>
      <c r="G105" s="12"/>
    </row>
    <row r="106" spans="1:7" ht="14">
      <c r="A106" s="91" t="s">
        <v>293</v>
      </c>
      <c r="B106" s="91" t="s">
        <v>267</v>
      </c>
      <c r="C106" s="115" t="s">
        <v>392</v>
      </c>
      <c r="D106" s="116">
        <v>0</v>
      </c>
      <c r="E106" s="116">
        <v>0</v>
      </c>
      <c r="F106" s="118" t="s">
        <v>792</v>
      </c>
      <c r="G106" s="12"/>
    </row>
    <row r="107" spans="1:7" ht="14">
      <c r="A107" s="180" t="s">
        <v>1130</v>
      </c>
      <c r="B107" s="180" t="s">
        <v>268</v>
      </c>
      <c r="C107" s="206" t="s">
        <v>392</v>
      </c>
      <c r="D107" s="182">
        <v>0</v>
      </c>
      <c r="E107" s="182">
        <v>6424.2</v>
      </c>
      <c r="F107" s="207" t="s">
        <v>792</v>
      </c>
      <c r="G107" s="12"/>
    </row>
    <row r="108" spans="1:7" ht="14">
      <c r="A108" s="91" t="s">
        <v>1078</v>
      </c>
      <c r="B108" s="91" t="s">
        <v>268</v>
      </c>
      <c r="C108" s="115" t="s">
        <v>392</v>
      </c>
      <c r="D108" s="116">
        <v>3208</v>
      </c>
      <c r="E108" s="116">
        <v>3370</v>
      </c>
      <c r="F108" s="117">
        <f>(E108-D108)/D108</f>
        <v>5.0498753117206981E-2</v>
      </c>
      <c r="G108" s="12"/>
    </row>
    <row r="109" spans="1:7" ht="14">
      <c r="A109" s="91" t="s">
        <v>1082</v>
      </c>
      <c r="B109" s="91" t="s">
        <v>268</v>
      </c>
      <c r="C109" s="115" t="s">
        <v>392</v>
      </c>
      <c r="D109" s="116">
        <v>1901</v>
      </c>
      <c r="E109" s="116">
        <v>1940</v>
      </c>
      <c r="F109" s="117">
        <f>(E109-D109)/D109</f>
        <v>2.0515518148342977E-2</v>
      </c>
      <c r="G109" s="12"/>
    </row>
    <row r="110" spans="1:7" ht="14">
      <c r="A110" s="91" t="s">
        <v>248</v>
      </c>
      <c r="B110" s="91" t="s">
        <v>235</v>
      </c>
      <c r="C110" s="115" t="s">
        <v>392</v>
      </c>
      <c r="D110" s="116">
        <v>15220</v>
      </c>
      <c r="E110" s="116">
        <v>15675</v>
      </c>
      <c r="F110" s="117">
        <f>(E110-D110)/D110</f>
        <v>2.9894875164257557E-2</v>
      </c>
      <c r="G110" s="12"/>
    </row>
    <row r="111" spans="1:7" ht="14">
      <c r="A111" s="91" t="s">
        <v>450</v>
      </c>
      <c r="B111" s="91" t="s">
        <v>450</v>
      </c>
      <c r="C111" s="115" t="s">
        <v>451</v>
      </c>
      <c r="D111" s="116">
        <v>0</v>
      </c>
      <c r="E111" s="116">
        <v>0</v>
      </c>
      <c r="F111" s="118" t="s">
        <v>792</v>
      </c>
      <c r="G111" s="12"/>
    </row>
    <row r="112" spans="1:7" ht="14">
      <c r="A112" s="91" t="s">
        <v>1117</v>
      </c>
      <c r="B112" s="91" t="s">
        <v>1118</v>
      </c>
      <c r="C112" s="115" t="s">
        <v>2</v>
      </c>
      <c r="D112" s="116">
        <v>0</v>
      </c>
      <c r="E112" s="116">
        <v>0</v>
      </c>
      <c r="F112" s="118" t="s">
        <v>792</v>
      </c>
      <c r="G112" s="12"/>
    </row>
    <row r="113" spans="1:7" ht="14">
      <c r="A113" s="91" t="s">
        <v>1137</v>
      </c>
      <c r="B113" s="91" t="s">
        <v>260</v>
      </c>
      <c r="C113" s="115" t="s">
        <v>392</v>
      </c>
      <c r="D113" s="116">
        <v>11907</v>
      </c>
      <c r="E113" s="116">
        <v>11907</v>
      </c>
      <c r="F113" s="117">
        <f>(E113-D113)/D113</f>
        <v>0</v>
      </c>
      <c r="G113" s="12"/>
    </row>
    <row r="114" spans="1:7" ht="14">
      <c r="A114" s="180" t="s">
        <v>1136</v>
      </c>
      <c r="B114" s="180" t="s">
        <v>260</v>
      </c>
      <c r="C114" s="206" t="s">
        <v>412</v>
      </c>
      <c r="D114" s="182">
        <v>0</v>
      </c>
      <c r="E114" s="182">
        <v>0</v>
      </c>
      <c r="F114" s="207" t="s">
        <v>792</v>
      </c>
      <c r="G114" s="12"/>
    </row>
    <row r="115" spans="1:7" ht="14">
      <c r="A115" s="91" t="s">
        <v>457</v>
      </c>
      <c r="B115" s="91" t="s">
        <v>251</v>
      </c>
      <c r="C115" s="115" t="s">
        <v>412</v>
      </c>
      <c r="D115" s="116">
        <v>0</v>
      </c>
      <c r="E115" s="116">
        <v>0</v>
      </c>
      <c r="F115" s="118" t="s">
        <v>792</v>
      </c>
      <c r="G115" s="12"/>
    </row>
    <row r="116" spans="1:7" ht="14">
      <c r="A116" s="91" t="s">
        <v>1083</v>
      </c>
      <c r="B116" s="91" t="s">
        <v>448</v>
      </c>
      <c r="C116" s="115" t="s">
        <v>161</v>
      </c>
      <c r="D116" s="116">
        <v>0</v>
      </c>
      <c r="E116" s="116">
        <v>0</v>
      </c>
      <c r="F116" s="118" t="s">
        <v>792</v>
      </c>
      <c r="G116" s="12"/>
    </row>
    <row r="117" spans="1:7" ht="28">
      <c r="A117" s="180" t="s">
        <v>1120</v>
      </c>
      <c r="B117" s="180" t="s">
        <v>1119</v>
      </c>
      <c r="C117" s="206" t="s">
        <v>392</v>
      </c>
      <c r="D117" s="182">
        <v>0</v>
      </c>
      <c r="E117" s="182">
        <v>2970.75</v>
      </c>
      <c r="F117" s="207" t="s">
        <v>792</v>
      </c>
      <c r="G117" s="12"/>
    </row>
    <row r="118" spans="1:7" ht="14">
      <c r="A118" s="91" t="s">
        <v>227</v>
      </c>
      <c r="B118" s="91" t="s">
        <v>233</v>
      </c>
      <c r="C118" s="115" t="s">
        <v>392</v>
      </c>
      <c r="D118" s="116">
        <v>31525</v>
      </c>
      <c r="E118" s="116">
        <v>32670</v>
      </c>
      <c r="F118" s="117">
        <f>(E118-D118)/D118</f>
        <v>3.632038065027756E-2</v>
      </c>
      <c r="G118" s="12"/>
    </row>
    <row r="119" spans="1:7" ht="14">
      <c r="A119" s="91" t="s">
        <v>294</v>
      </c>
      <c r="B119" s="91" t="s">
        <v>235</v>
      </c>
      <c r="C119" s="115" t="s">
        <v>392</v>
      </c>
      <c r="D119" s="116">
        <v>0</v>
      </c>
      <c r="E119" s="116">
        <v>0</v>
      </c>
      <c r="F119" s="118" t="s">
        <v>792</v>
      </c>
      <c r="G119" s="12"/>
    </row>
    <row r="120" spans="1:7" ht="14">
      <c r="A120" s="91" t="s">
        <v>249</v>
      </c>
      <c r="B120" s="91" t="s">
        <v>235</v>
      </c>
      <c r="C120" s="115" t="s">
        <v>392</v>
      </c>
      <c r="D120" s="116">
        <v>4446</v>
      </c>
      <c r="E120" s="116">
        <v>4580</v>
      </c>
      <c r="F120" s="117">
        <f>(E120-D120)/D120</f>
        <v>3.0139451192082771E-2</v>
      </c>
      <c r="G120" s="12"/>
    </row>
    <row r="121" spans="1:7" ht="14">
      <c r="A121" s="91" t="s">
        <v>452</v>
      </c>
      <c r="B121" s="91" t="s">
        <v>453</v>
      </c>
      <c r="C121" s="115" t="s">
        <v>161</v>
      </c>
      <c r="D121" s="116">
        <v>0</v>
      </c>
      <c r="E121" s="116">
        <v>0</v>
      </c>
      <c r="F121" s="118" t="s">
        <v>792</v>
      </c>
      <c r="G121" s="12"/>
    </row>
    <row r="122" spans="1:7" ht="14">
      <c r="A122" s="91" t="s">
        <v>269</v>
      </c>
      <c r="B122" s="91" t="s">
        <v>270</v>
      </c>
      <c r="C122" s="115" t="s">
        <v>392</v>
      </c>
      <c r="D122" s="116">
        <v>3065</v>
      </c>
      <c r="E122" s="116">
        <v>3156</v>
      </c>
      <c r="F122" s="117">
        <f>(E122-D122)/D122</f>
        <v>2.9690048939641108E-2</v>
      </c>
      <c r="G122" s="12"/>
    </row>
    <row r="123" spans="1:7" ht="14">
      <c r="A123" s="91" t="s">
        <v>449</v>
      </c>
      <c r="B123" s="91" t="s">
        <v>449</v>
      </c>
      <c r="C123" s="115" t="s">
        <v>433</v>
      </c>
      <c r="D123" s="116">
        <v>0</v>
      </c>
      <c r="E123" s="116">
        <v>0</v>
      </c>
      <c r="F123" s="118" t="s">
        <v>792</v>
      </c>
      <c r="G123" s="12"/>
    </row>
    <row r="124" spans="1:7" ht="14">
      <c r="A124" s="180" t="s">
        <v>1121</v>
      </c>
      <c r="B124" s="180" t="s">
        <v>235</v>
      </c>
      <c r="C124" s="206" t="s">
        <v>392</v>
      </c>
      <c r="D124" s="182">
        <v>0</v>
      </c>
      <c r="E124" s="182">
        <v>0</v>
      </c>
      <c r="F124" s="207" t="s">
        <v>792</v>
      </c>
      <c r="G124" s="12"/>
    </row>
    <row r="125" spans="1:7" ht="14">
      <c r="A125" s="91" t="s">
        <v>295</v>
      </c>
      <c r="B125" s="91" t="s">
        <v>251</v>
      </c>
      <c r="C125" s="115" t="s">
        <v>392</v>
      </c>
      <c r="D125" s="116">
        <v>0</v>
      </c>
      <c r="E125" s="116">
        <v>0</v>
      </c>
      <c r="F125" s="118" t="s">
        <v>792</v>
      </c>
      <c r="G125" s="12"/>
    </row>
    <row r="126" spans="1:7" ht="14">
      <c r="A126" s="91" t="s">
        <v>255</v>
      </c>
      <c r="B126" s="91" t="s">
        <v>251</v>
      </c>
      <c r="C126" s="115" t="s">
        <v>392</v>
      </c>
      <c r="D126" s="116">
        <v>2728</v>
      </c>
      <c r="E126" s="116">
        <v>2810</v>
      </c>
      <c r="F126" s="117">
        <f>(E126-D126)/D126</f>
        <v>3.0058651026392963E-2</v>
      </c>
      <c r="G126" s="12"/>
    </row>
    <row r="127" spans="1:7" ht="14">
      <c r="A127" s="91" t="s">
        <v>456</v>
      </c>
      <c r="B127" s="91" t="s">
        <v>251</v>
      </c>
      <c r="C127" s="115" t="s">
        <v>412</v>
      </c>
      <c r="D127" s="116">
        <v>0</v>
      </c>
      <c r="E127" s="116">
        <v>0</v>
      </c>
      <c r="F127" s="118" t="s">
        <v>792</v>
      </c>
      <c r="G127" s="12"/>
    </row>
    <row r="128" spans="1:7" ht="14">
      <c r="A128" s="91" t="s">
        <v>445</v>
      </c>
      <c r="B128" s="91" t="s">
        <v>446</v>
      </c>
      <c r="C128" s="115" t="s">
        <v>417</v>
      </c>
      <c r="D128" s="116">
        <v>0</v>
      </c>
      <c r="E128" s="116">
        <v>0</v>
      </c>
      <c r="F128" s="118" t="s">
        <v>792</v>
      </c>
      <c r="G128" s="12"/>
    </row>
    <row r="129" spans="1:7" ht="14">
      <c r="A129" s="91" t="s">
        <v>1122</v>
      </c>
      <c r="B129" s="91" t="s">
        <v>447</v>
      </c>
      <c r="C129" s="115" t="s">
        <v>433</v>
      </c>
      <c r="D129" s="116">
        <v>0</v>
      </c>
      <c r="E129" s="116">
        <v>0</v>
      </c>
      <c r="F129" s="118" t="s">
        <v>792</v>
      </c>
      <c r="G129" s="12"/>
    </row>
    <row r="130" spans="1:7" ht="14">
      <c r="A130" s="91" t="s">
        <v>272</v>
      </c>
      <c r="B130" s="91" t="s">
        <v>271</v>
      </c>
      <c r="C130" s="115" t="s">
        <v>392</v>
      </c>
      <c r="D130" s="116">
        <v>104394</v>
      </c>
      <c r="E130" s="116">
        <v>109092</v>
      </c>
      <c r="F130" s="117">
        <f>(E130-D130)/D130</f>
        <v>4.5002586355537673E-2</v>
      </c>
      <c r="G130" s="12"/>
    </row>
    <row r="131" spans="1:7" ht="14">
      <c r="A131" s="91" t="s">
        <v>256</v>
      </c>
      <c r="B131" s="91" t="s">
        <v>251</v>
      </c>
      <c r="C131" s="115" t="s">
        <v>392</v>
      </c>
      <c r="D131" s="116">
        <v>2846</v>
      </c>
      <c r="E131" s="116">
        <v>2931</v>
      </c>
      <c r="F131" s="117">
        <f>(E131-D131)/D131</f>
        <v>2.9866479269149683E-2</v>
      </c>
      <c r="G131" s="12"/>
    </row>
    <row r="132" spans="1:7" ht="14">
      <c r="A132" s="91" t="s">
        <v>1123</v>
      </c>
      <c r="B132" s="91" t="s">
        <v>251</v>
      </c>
      <c r="C132" s="115" t="s">
        <v>392</v>
      </c>
      <c r="D132" s="116">
        <v>0</v>
      </c>
      <c r="E132" s="116">
        <v>0</v>
      </c>
      <c r="F132" s="118" t="s">
        <v>792</v>
      </c>
      <c r="G132" s="12"/>
    </row>
    <row r="133" spans="1:7" ht="14">
      <c r="A133" s="180" t="s">
        <v>1124</v>
      </c>
      <c r="B133" s="180" t="s">
        <v>1124</v>
      </c>
      <c r="C133" s="206" t="s">
        <v>412</v>
      </c>
      <c r="D133" s="182">
        <v>0</v>
      </c>
      <c r="E133" s="182">
        <v>0</v>
      </c>
      <c r="F133" s="207" t="s">
        <v>792</v>
      </c>
      <c r="G133" s="12"/>
    </row>
    <row r="134" spans="1:7" ht="14">
      <c r="A134" s="91" t="s">
        <v>296</v>
      </c>
      <c r="B134" s="91" t="s">
        <v>267</v>
      </c>
      <c r="C134" s="115" t="s">
        <v>392</v>
      </c>
      <c r="D134" s="116">
        <v>0</v>
      </c>
      <c r="E134" s="116">
        <v>0</v>
      </c>
      <c r="F134" s="118" t="s">
        <v>792</v>
      </c>
      <c r="G134" s="12"/>
    </row>
    <row r="135" spans="1:7" ht="14">
      <c r="A135" s="91" t="s">
        <v>297</v>
      </c>
      <c r="B135" s="91" t="s">
        <v>267</v>
      </c>
      <c r="C135" s="115" t="s">
        <v>392</v>
      </c>
      <c r="D135" s="116">
        <v>0</v>
      </c>
      <c r="E135" s="116">
        <v>0</v>
      </c>
      <c r="F135" s="118" t="s">
        <v>792</v>
      </c>
      <c r="G135" s="12"/>
    </row>
    <row r="136" spans="1:7" ht="15" thickBot="1">
      <c r="A136" s="91" t="s">
        <v>1125</v>
      </c>
      <c r="B136" s="91" t="s">
        <v>296</v>
      </c>
      <c r="C136" s="115" t="s">
        <v>392</v>
      </c>
      <c r="D136" s="116">
        <v>0</v>
      </c>
      <c r="E136" s="116">
        <v>0</v>
      </c>
      <c r="F136" s="118" t="s">
        <v>792</v>
      </c>
      <c r="G136" s="12"/>
    </row>
    <row r="137" spans="1:7" ht="15" thickBot="1">
      <c r="A137" s="97" t="s">
        <v>1139</v>
      </c>
      <c r="B137" s="100"/>
      <c r="C137" s="112"/>
      <c r="D137" s="101">
        <f>SUM(D4:D136)</f>
        <v>514046.49999999994</v>
      </c>
      <c r="E137" s="101">
        <f>SUM(E4:E136)</f>
        <v>555149.74</v>
      </c>
      <c r="F137" s="111">
        <v>4.2999999999999997E-2</v>
      </c>
      <c r="G137" s="12"/>
    </row>
    <row r="138" spans="1:7" ht="14">
      <c r="A138" s="12"/>
      <c r="B138" s="12"/>
      <c r="C138" s="12"/>
      <c r="D138" s="12"/>
      <c r="E138" s="12"/>
      <c r="F138" s="12"/>
      <c r="G138" s="12"/>
    </row>
    <row r="139" spans="1:7" ht="14">
      <c r="A139" s="187" t="s">
        <v>1138</v>
      </c>
      <c r="B139" s="12"/>
      <c r="C139" s="12"/>
      <c r="D139" s="12"/>
      <c r="E139" s="12"/>
    </row>
    <row r="140" spans="1:7" ht="14">
      <c r="B140" s="12"/>
      <c r="C140" s="12"/>
      <c r="D140" s="12"/>
      <c r="E140" s="12"/>
    </row>
    <row r="141" spans="1:7" ht="14">
      <c r="A141" s="12"/>
      <c r="B141" s="12"/>
      <c r="C141" s="12"/>
      <c r="D141" s="12"/>
      <c r="E141" s="12"/>
    </row>
    <row r="142" spans="1:7" ht="14">
      <c r="A142" s="12"/>
      <c r="B142" s="12"/>
      <c r="C142" s="12"/>
      <c r="D142" s="12"/>
      <c r="E142" s="12"/>
    </row>
  </sheetData>
  <sortState ref="A4:F135">
    <sortCondition ref="A4:A135"/>
  </sortState>
  <phoneticPr fontId="2" type="noConversion"/>
  <pageMargins left="0.75" right="0.75" top="1" bottom="1" header="0.5" footer="0.5"/>
  <pageSetup scale="93" fitToHeight="5" orientation="landscape"/>
  <headerFooter alignWithMargins="0">
    <oddFooter>&amp;L2009-2010&amp;C&amp;A&amp;RPage &amp;P of &amp;N</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153"/>
  <sheetViews>
    <sheetView workbookViewId="0"/>
  </sheetViews>
  <sheetFormatPr baseColWidth="10" defaultColWidth="8.83203125" defaultRowHeight="12" x14ac:dyDescent="0"/>
  <cols>
    <col min="1" max="1" width="14.5" customWidth="1"/>
    <col min="2" max="2" width="78" customWidth="1"/>
    <col min="3" max="3" width="13.5" customWidth="1"/>
    <col min="4" max="4" width="44.5" customWidth="1"/>
  </cols>
  <sheetData>
    <row r="1" spans="1:6" ht="18">
      <c r="A1" s="213" t="s">
        <v>1167</v>
      </c>
      <c r="B1" s="128"/>
      <c r="C1" s="12"/>
      <c r="D1" s="12"/>
      <c r="E1" s="12"/>
      <c r="F1" s="12"/>
    </row>
    <row r="2" spans="1:6" ht="14">
      <c r="A2" s="12"/>
      <c r="B2" s="12"/>
      <c r="C2" s="12"/>
      <c r="D2" s="12"/>
      <c r="E2" s="12"/>
      <c r="F2" s="12"/>
    </row>
    <row r="3" spans="1:6" ht="15" thickBot="1">
      <c r="A3" s="29" t="s">
        <v>217</v>
      </c>
      <c r="B3" s="29" t="s">
        <v>216</v>
      </c>
      <c r="C3" s="29" t="s">
        <v>1146</v>
      </c>
      <c r="D3" s="29" t="s">
        <v>215</v>
      </c>
      <c r="E3" s="12"/>
      <c r="F3" s="12"/>
    </row>
    <row r="4" spans="1:6" ht="84">
      <c r="A4" s="216" t="s">
        <v>1246</v>
      </c>
      <c r="B4" s="216" t="s">
        <v>1247</v>
      </c>
      <c r="C4" s="216"/>
      <c r="D4" s="225" t="s">
        <v>1250</v>
      </c>
      <c r="E4" s="12"/>
      <c r="F4" s="12"/>
    </row>
    <row r="5" spans="1:6" ht="14">
      <c r="A5" s="220" t="s">
        <v>318</v>
      </c>
      <c r="B5" s="220" t="s">
        <v>319</v>
      </c>
      <c r="C5" s="226" t="s">
        <v>317</v>
      </c>
      <c r="D5" s="220" t="s">
        <v>317</v>
      </c>
      <c r="E5" s="12"/>
      <c r="F5" s="12"/>
    </row>
    <row r="6" spans="1:6" ht="14">
      <c r="A6" s="183"/>
      <c r="B6" s="183" t="s">
        <v>1165</v>
      </c>
      <c r="C6" s="184">
        <v>2125</v>
      </c>
      <c r="D6" s="183" t="s">
        <v>332</v>
      </c>
      <c r="E6" s="12"/>
      <c r="F6" s="12"/>
    </row>
    <row r="7" spans="1:6" ht="14">
      <c r="A7" s="183"/>
      <c r="B7" s="183" t="s">
        <v>1166</v>
      </c>
      <c r="C7" s="184">
        <v>11533</v>
      </c>
      <c r="D7" s="183" t="s">
        <v>332</v>
      </c>
      <c r="E7" s="12"/>
      <c r="F7" s="12"/>
    </row>
    <row r="8" spans="1:6" ht="14">
      <c r="A8" s="220" t="s">
        <v>320</v>
      </c>
      <c r="B8" s="220" t="s">
        <v>321</v>
      </c>
      <c r="C8" s="226" t="s">
        <v>317</v>
      </c>
      <c r="D8" s="220" t="s">
        <v>317</v>
      </c>
      <c r="E8" s="12"/>
      <c r="F8" s="12"/>
    </row>
    <row r="9" spans="1:6" ht="14">
      <c r="A9" s="183"/>
      <c r="B9" s="183" t="s">
        <v>1165</v>
      </c>
      <c r="C9" s="184">
        <v>11999</v>
      </c>
      <c r="D9" s="183" t="s">
        <v>332</v>
      </c>
      <c r="E9" s="12"/>
      <c r="F9" s="12"/>
    </row>
    <row r="10" spans="1:6" ht="14">
      <c r="A10" s="183"/>
      <c r="B10" s="183" t="s">
        <v>1166</v>
      </c>
      <c r="C10" s="227">
        <v>728</v>
      </c>
      <c r="D10" s="183" t="s">
        <v>332</v>
      </c>
      <c r="E10" s="12"/>
      <c r="F10" s="12"/>
    </row>
    <row r="11" spans="1:6" ht="14">
      <c r="A11" s="183" t="s">
        <v>322</v>
      </c>
      <c r="B11" s="183" t="s">
        <v>1147</v>
      </c>
      <c r="C11" s="227">
        <v>916575</v>
      </c>
      <c r="D11" s="183" t="s">
        <v>1249</v>
      </c>
      <c r="E11" s="12"/>
      <c r="F11" s="12"/>
    </row>
    <row r="12" spans="1:6" ht="28">
      <c r="A12" s="183" t="s">
        <v>324</v>
      </c>
      <c r="B12" s="183" t="s">
        <v>323</v>
      </c>
      <c r="C12" s="184">
        <v>7634</v>
      </c>
      <c r="D12" s="183" t="s">
        <v>1248</v>
      </c>
      <c r="E12" s="12"/>
      <c r="F12" s="12"/>
    </row>
    <row r="13" spans="1:6" ht="14">
      <c r="A13" s="183" t="s">
        <v>327</v>
      </c>
      <c r="B13" s="183" t="s">
        <v>325</v>
      </c>
      <c r="C13" s="227" t="s">
        <v>326</v>
      </c>
      <c r="D13" s="183" t="s">
        <v>317</v>
      </c>
      <c r="E13" s="12"/>
      <c r="F13" s="12"/>
    </row>
    <row r="14" spans="1:6" s="3" customFormat="1" ht="14">
      <c r="A14" s="220" t="s">
        <v>1151</v>
      </c>
      <c r="B14" s="220" t="s">
        <v>1148</v>
      </c>
      <c r="C14" s="228" t="s">
        <v>317</v>
      </c>
      <c r="D14" s="220" t="s">
        <v>317</v>
      </c>
      <c r="E14" s="128"/>
      <c r="F14" s="128"/>
    </row>
    <row r="15" spans="1:6" s="3" customFormat="1" ht="14">
      <c r="A15" s="183" t="s">
        <v>1150</v>
      </c>
      <c r="B15" s="183" t="s">
        <v>1149</v>
      </c>
      <c r="C15" s="184">
        <v>23671</v>
      </c>
      <c r="D15" s="183" t="s">
        <v>317</v>
      </c>
      <c r="E15" s="128"/>
      <c r="F15" s="128"/>
    </row>
    <row r="16" spans="1:6" s="3" customFormat="1" ht="14">
      <c r="A16" s="183" t="s">
        <v>1153</v>
      </c>
      <c r="B16" s="183" t="s">
        <v>329</v>
      </c>
      <c r="C16" s="184">
        <v>721</v>
      </c>
      <c r="D16" s="183"/>
      <c r="E16" s="128"/>
      <c r="F16" s="128"/>
    </row>
    <row r="17" spans="1:6" s="3" customFormat="1" ht="14">
      <c r="A17" s="183" t="s">
        <v>1151</v>
      </c>
      <c r="B17" s="183" t="s">
        <v>1152</v>
      </c>
      <c r="C17" s="229">
        <f>C15+C16</f>
        <v>24392</v>
      </c>
      <c r="D17" s="183"/>
      <c r="E17" s="128"/>
      <c r="F17" s="128"/>
    </row>
    <row r="18" spans="1:6" s="3" customFormat="1" ht="14">
      <c r="A18" s="220" t="s">
        <v>1154</v>
      </c>
      <c r="B18" s="220" t="s">
        <v>1155</v>
      </c>
      <c r="C18" s="226" t="s">
        <v>317</v>
      </c>
      <c r="D18" s="183"/>
      <c r="E18" s="128"/>
      <c r="F18" s="128"/>
    </row>
    <row r="19" spans="1:6" s="3" customFormat="1" ht="14">
      <c r="A19" s="183" t="s">
        <v>1156</v>
      </c>
      <c r="B19" s="183" t="s">
        <v>330</v>
      </c>
      <c r="C19" s="184">
        <v>7040</v>
      </c>
      <c r="D19" s="183"/>
      <c r="E19" s="128"/>
      <c r="F19" s="128"/>
    </row>
    <row r="20" spans="1:6" s="3" customFormat="1" ht="14">
      <c r="A20" s="183" t="s">
        <v>1157</v>
      </c>
      <c r="B20" s="183" t="s">
        <v>331</v>
      </c>
      <c r="C20" s="184">
        <v>19525</v>
      </c>
      <c r="D20" s="183"/>
      <c r="E20" s="128"/>
      <c r="F20" s="128"/>
    </row>
    <row r="21" spans="1:6" s="3" customFormat="1" ht="14">
      <c r="A21" s="183" t="s">
        <v>1158</v>
      </c>
      <c r="B21" s="183" t="s">
        <v>1159</v>
      </c>
      <c r="C21" s="184">
        <v>53</v>
      </c>
      <c r="D21" s="183"/>
      <c r="E21" s="128"/>
      <c r="F21" s="128"/>
    </row>
    <row r="22" spans="1:6" s="3" customFormat="1" ht="14">
      <c r="A22" s="183" t="s">
        <v>1160</v>
      </c>
      <c r="B22" s="183" t="s">
        <v>333</v>
      </c>
      <c r="C22" s="226" t="s">
        <v>317</v>
      </c>
      <c r="D22" s="183" t="s">
        <v>1168</v>
      </c>
      <c r="E22" s="128"/>
      <c r="F22" s="128"/>
    </row>
    <row r="23" spans="1:6" s="3" customFormat="1" ht="14">
      <c r="A23" s="183" t="s">
        <v>334</v>
      </c>
      <c r="B23" s="183" t="s">
        <v>1161</v>
      </c>
      <c r="C23" s="226" t="s">
        <v>317</v>
      </c>
      <c r="D23" s="183"/>
      <c r="E23" s="128"/>
      <c r="F23" s="128"/>
    </row>
    <row r="24" spans="1:6" s="3" customFormat="1" ht="14">
      <c r="A24" s="183" t="s">
        <v>312</v>
      </c>
      <c r="B24" s="183" t="s">
        <v>1162</v>
      </c>
      <c r="C24" s="227" t="s">
        <v>1163</v>
      </c>
      <c r="D24" s="183"/>
      <c r="E24" s="128"/>
      <c r="F24" s="128"/>
    </row>
    <row r="25" spans="1:6" s="3" customFormat="1" ht="14">
      <c r="A25" s="183" t="s">
        <v>1164</v>
      </c>
      <c r="B25" s="183" t="s">
        <v>335</v>
      </c>
      <c r="C25" s="226" t="s">
        <v>317</v>
      </c>
      <c r="D25" s="183"/>
      <c r="E25" s="128"/>
      <c r="F25" s="128"/>
    </row>
    <row r="26" spans="1:6" s="3" customFormat="1" ht="14">
      <c r="A26" s="183"/>
      <c r="B26" s="183" t="s">
        <v>1165</v>
      </c>
      <c r="C26" s="227">
        <v>55</v>
      </c>
      <c r="D26" s="183"/>
      <c r="E26" s="128"/>
      <c r="F26" s="128"/>
    </row>
    <row r="27" spans="1:6" s="3" customFormat="1" ht="14">
      <c r="A27" s="128"/>
      <c r="B27" s="128"/>
      <c r="C27" s="129"/>
      <c r="D27" s="128"/>
      <c r="E27" s="128"/>
      <c r="F27" s="128"/>
    </row>
    <row r="28" spans="1:6" ht="14">
      <c r="A28" s="12"/>
      <c r="B28" s="12"/>
      <c r="C28" s="12"/>
      <c r="D28" s="12"/>
      <c r="E28" s="12"/>
      <c r="F28" s="12"/>
    </row>
    <row r="29" spans="1:6" ht="14">
      <c r="A29" s="12"/>
      <c r="B29" s="12"/>
      <c r="C29" s="12"/>
      <c r="D29" s="12"/>
      <c r="E29" s="12"/>
      <c r="F29" s="12"/>
    </row>
    <row r="30" spans="1:6" ht="14">
      <c r="A30" s="12"/>
      <c r="B30" s="12"/>
      <c r="C30" s="12"/>
      <c r="D30" s="12"/>
      <c r="E30" s="12"/>
      <c r="F30" s="12"/>
    </row>
    <row r="31" spans="1:6" ht="14">
      <c r="A31" s="12"/>
      <c r="B31" s="12"/>
      <c r="C31" s="12"/>
      <c r="D31" s="12"/>
      <c r="E31" s="12"/>
      <c r="F31" s="12"/>
    </row>
    <row r="32" spans="1:6" ht="14">
      <c r="A32" s="12"/>
      <c r="B32" s="12"/>
      <c r="C32" s="12"/>
      <c r="D32" s="12"/>
      <c r="E32" s="12"/>
      <c r="F32" s="12"/>
    </row>
    <row r="33" spans="1:6" ht="14">
      <c r="A33" s="12"/>
      <c r="B33" s="12"/>
      <c r="C33" s="12"/>
      <c r="D33" s="12"/>
      <c r="E33" s="12"/>
      <c r="F33" s="12"/>
    </row>
    <row r="34" spans="1:6" ht="14">
      <c r="A34" s="12"/>
      <c r="B34" s="12"/>
      <c r="C34" s="12"/>
      <c r="D34" s="12"/>
      <c r="E34" s="12"/>
      <c r="F34" s="12"/>
    </row>
    <row r="35" spans="1:6" ht="14">
      <c r="A35" s="12"/>
      <c r="B35" s="12"/>
      <c r="C35" s="12"/>
      <c r="D35" s="12"/>
      <c r="E35" s="12"/>
      <c r="F35" s="12"/>
    </row>
    <row r="36" spans="1:6" ht="14">
      <c r="A36" s="12"/>
      <c r="B36" s="12"/>
      <c r="C36" s="12"/>
      <c r="D36" s="12"/>
      <c r="E36" s="12"/>
      <c r="F36" s="12"/>
    </row>
    <row r="37" spans="1:6" ht="14">
      <c r="A37" s="12"/>
      <c r="B37" s="12"/>
      <c r="C37" s="12"/>
      <c r="D37" s="12"/>
      <c r="E37" s="12"/>
      <c r="F37" s="12"/>
    </row>
    <row r="38" spans="1:6" ht="14">
      <c r="A38" s="12"/>
      <c r="B38" s="12"/>
      <c r="C38" s="12"/>
      <c r="D38" s="12"/>
      <c r="E38" s="12"/>
      <c r="F38" s="12"/>
    </row>
    <row r="39" spans="1:6" ht="14">
      <c r="A39" s="12"/>
      <c r="B39" s="12"/>
      <c r="C39" s="12"/>
      <c r="D39" s="12"/>
      <c r="E39" s="12"/>
      <c r="F39" s="12"/>
    </row>
    <row r="40" spans="1:6" ht="14">
      <c r="A40" s="12"/>
      <c r="B40" s="12"/>
      <c r="C40" s="12"/>
      <c r="D40" s="12"/>
      <c r="E40" s="12"/>
      <c r="F40" s="12"/>
    </row>
    <row r="41" spans="1:6" ht="14">
      <c r="A41" s="12"/>
      <c r="B41" s="12"/>
      <c r="C41" s="12"/>
      <c r="D41" s="12"/>
      <c r="E41" s="12"/>
      <c r="F41" s="12"/>
    </row>
    <row r="42" spans="1:6" ht="14">
      <c r="A42" s="12"/>
      <c r="B42" s="12"/>
      <c r="C42" s="12"/>
      <c r="D42" s="12"/>
      <c r="E42" s="12"/>
      <c r="F42" s="12"/>
    </row>
    <row r="43" spans="1:6" ht="14">
      <c r="A43" s="12"/>
      <c r="B43" s="12"/>
      <c r="C43" s="12"/>
      <c r="D43" s="12"/>
      <c r="E43" s="12"/>
      <c r="F43" s="12"/>
    </row>
    <row r="44" spans="1:6" ht="14">
      <c r="A44" s="12"/>
      <c r="B44" s="12"/>
      <c r="C44" s="12"/>
      <c r="D44" s="12"/>
      <c r="E44" s="12"/>
      <c r="F44" s="12"/>
    </row>
    <row r="45" spans="1:6" ht="14">
      <c r="A45" s="12"/>
      <c r="B45" s="12"/>
      <c r="C45" s="12"/>
      <c r="D45" s="12"/>
      <c r="E45" s="12"/>
      <c r="F45" s="12"/>
    </row>
    <row r="46" spans="1:6" ht="14">
      <c r="A46" s="12"/>
      <c r="B46" s="12"/>
      <c r="C46" s="12"/>
      <c r="D46" s="12"/>
      <c r="E46" s="12"/>
      <c r="F46" s="12"/>
    </row>
    <row r="47" spans="1:6" ht="14">
      <c r="A47" s="12"/>
      <c r="B47" s="12"/>
      <c r="C47" s="12"/>
      <c r="D47" s="12"/>
      <c r="E47" s="12"/>
      <c r="F47" s="12"/>
    </row>
    <row r="48" spans="1:6" ht="14">
      <c r="A48" s="12"/>
      <c r="B48" s="12"/>
      <c r="C48" s="12"/>
      <c r="D48" s="12"/>
      <c r="E48" s="12"/>
      <c r="F48" s="12"/>
    </row>
    <row r="49" spans="1:6" ht="14">
      <c r="A49" s="12"/>
      <c r="B49" s="12"/>
      <c r="C49" s="12"/>
      <c r="D49" s="12"/>
      <c r="E49" s="12"/>
      <c r="F49" s="12"/>
    </row>
    <row r="50" spans="1:6" ht="14">
      <c r="A50" s="12"/>
      <c r="B50" s="12"/>
      <c r="C50" s="12"/>
      <c r="D50" s="12"/>
      <c r="E50" s="12"/>
      <c r="F50" s="12"/>
    </row>
    <row r="51" spans="1:6" ht="14">
      <c r="A51" s="12"/>
      <c r="B51" s="12"/>
      <c r="C51" s="12"/>
      <c r="D51" s="12"/>
      <c r="E51" s="12"/>
      <c r="F51" s="12"/>
    </row>
    <row r="52" spans="1:6" ht="14">
      <c r="A52" s="12"/>
      <c r="B52" s="12"/>
      <c r="C52" s="12"/>
      <c r="D52" s="12"/>
      <c r="E52" s="12"/>
      <c r="F52" s="12"/>
    </row>
    <row r="53" spans="1:6" ht="14">
      <c r="A53" s="12"/>
      <c r="B53" s="12"/>
      <c r="C53" s="12"/>
      <c r="D53" s="12"/>
      <c r="E53" s="12"/>
      <c r="F53" s="12"/>
    </row>
    <row r="54" spans="1:6" ht="14">
      <c r="A54" s="12"/>
      <c r="B54" s="12"/>
      <c r="C54" s="12"/>
      <c r="D54" s="12"/>
      <c r="E54" s="12"/>
      <c r="F54" s="12"/>
    </row>
    <row r="55" spans="1:6" ht="14">
      <c r="A55" s="12"/>
      <c r="B55" s="12"/>
      <c r="C55" s="12"/>
      <c r="D55" s="12"/>
      <c r="E55" s="12"/>
      <c r="F55" s="12"/>
    </row>
    <row r="56" spans="1:6" ht="14">
      <c r="A56" s="12"/>
      <c r="B56" s="12"/>
      <c r="C56" s="12"/>
      <c r="D56" s="12"/>
      <c r="E56" s="12"/>
      <c r="F56" s="12"/>
    </row>
    <row r="57" spans="1:6" ht="14">
      <c r="A57" s="12"/>
      <c r="B57" s="12"/>
      <c r="C57" s="12"/>
      <c r="D57" s="12"/>
      <c r="E57" s="12"/>
      <c r="F57" s="12"/>
    </row>
    <row r="58" spans="1:6" ht="14">
      <c r="A58" s="12"/>
      <c r="B58" s="12"/>
      <c r="C58" s="12"/>
      <c r="D58" s="12"/>
      <c r="E58" s="12"/>
      <c r="F58" s="12"/>
    </row>
    <row r="59" spans="1:6" ht="14">
      <c r="A59" s="12"/>
      <c r="B59" s="12"/>
      <c r="C59" s="12"/>
      <c r="D59" s="12"/>
      <c r="E59" s="12"/>
      <c r="F59" s="12"/>
    </row>
    <row r="60" spans="1:6" ht="14">
      <c r="A60" s="12"/>
      <c r="B60" s="12"/>
      <c r="C60" s="12"/>
      <c r="D60" s="12"/>
      <c r="E60" s="12"/>
      <c r="F60" s="12"/>
    </row>
    <row r="61" spans="1:6" ht="14">
      <c r="A61" s="12"/>
      <c r="B61" s="12"/>
      <c r="C61" s="12"/>
      <c r="D61" s="12"/>
      <c r="E61" s="12"/>
      <c r="F61" s="12"/>
    </row>
    <row r="62" spans="1:6" ht="14">
      <c r="A62" s="12"/>
      <c r="B62" s="12"/>
      <c r="C62" s="12"/>
      <c r="D62" s="12"/>
      <c r="E62" s="12"/>
      <c r="F62" s="12"/>
    </row>
    <row r="63" spans="1:6" ht="14">
      <c r="A63" s="12"/>
      <c r="B63" s="12"/>
      <c r="C63" s="12"/>
      <c r="D63" s="12"/>
      <c r="E63" s="12"/>
      <c r="F63" s="12"/>
    </row>
    <row r="64" spans="1:6" ht="14">
      <c r="A64" s="12"/>
      <c r="B64" s="12"/>
      <c r="C64" s="12"/>
      <c r="D64" s="12"/>
      <c r="E64" s="12"/>
      <c r="F64" s="12"/>
    </row>
    <row r="65" spans="1:6" ht="14">
      <c r="A65" s="12"/>
      <c r="B65" s="12"/>
      <c r="C65" s="12"/>
      <c r="D65" s="12"/>
      <c r="E65" s="12"/>
      <c r="F65" s="12"/>
    </row>
    <row r="66" spans="1:6" ht="14">
      <c r="A66" s="12"/>
      <c r="B66" s="12"/>
      <c r="C66" s="12"/>
      <c r="D66" s="12"/>
      <c r="E66" s="12"/>
      <c r="F66" s="12"/>
    </row>
    <row r="67" spans="1:6" ht="14">
      <c r="A67" s="12"/>
      <c r="B67" s="12"/>
      <c r="C67" s="12"/>
      <c r="D67" s="12"/>
      <c r="E67" s="12"/>
      <c r="F67" s="12"/>
    </row>
    <row r="68" spans="1:6" ht="14">
      <c r="A68" s="12"/>
      <c r="B68" s="12"/>
      <c r="C68" s="12"/>
      <c r="D68" s="12"/>
      <c r="E68" s="12"/>
      <c r="F68" s="12"/>
    </row>
    <row r="69" spans="1:6" ht="14">
      <c r="A69" s="12"/>
      <c r="B69" s="12"/>
      <c r="C69" s="12"/>
      <c r="D69" s="12"/>
      <c r="E69" s="12"/>
      <c r="F69" s="12"/>
    </row>
    <row r="70" spans="1:6" ht="14">
      <c r="A70" s="12"/>
      <c r="B70" s="12"/>
      <c r="C70" s="12"/>
      <c r="D70" s="12"/>
      <c r="E70" s="12"/>
      <c r="F70" s="12"/>
    </row>
    <row r="71" spans="1:6" ht="14">
      <c r="A71" s="12"/>
      <c r="B71" s="12"/>
      <c r="C71" s="12"/>
      <c r="D71" s="12"/>
      <c r="E71" s="12"/>
      <c r="F71" s="12"/>
    </row>
    <row r="72" spans="1:6" ht="14">
      <c r="A72" s="12"/>
      <c r="B72" s="12"/>
      <c r="C72" s="12"/>
      <c r="D72" s="12"/>
      <c r="E72" s="12"/>
      <c r="F72" s="12"/>
    </row>
    <row r="73" spans="1:6" ht="14">
      <c r="A73" s="12"/>
      <c r="B73" s="12"/>
      <c r="C73" s="12"/>
      <c r="D73" s="12"/>
      <c r="E73" s="12"/>
      <c r="F73" s="12"/>
    </row>
    <row r="74" spans="1:6" ht="14">
      <c r="A74" s="12"/>
      <c r="B74" s="12"/>
      <c r="C74" s="12"/>
      <c r="D74" s="12"/>
      <c r="E74" s="12"/>
      <c r="F74" s="12"/>
    </row>
    <row r="75" spans="1:6" ht="14">
      <c r="A75" s="12"/>
      <c r="B75" s="12"/>
      <c r="C75" s="12"/>
      <c r="D75" s="12"/>
      <c r="E75" s="12"/>
      <c r="F75" s="12"/>
    </row>
    <row r="76" spans="1:6" ht="14">
      <c r="A76" s="12"/>
      <c r="B76" s="12"/>
      <c r="C76" s="12"/>
      <c r="D76" s="12"/>
      <c r="E76" s="12"/>
      <c r="F76" s="12"/>
    </row>
    <row r="77" spans="1:6" ht="14">
      <c r="A77" s="12"/>
      <c r="B77" s="12"/>
      <c r="C77" s="12"/>
      <c r="D77" s="12"/>
      <c r="E77" s="12"/>
      <c r="F77" s="12"/>
    </row>
    <row r="78" spans="1:6" ht="14">
      <c r="A78" s="12"/>
      <c r="B78" s="12"/>
      <c r="C78" s="12"/>
      <c r="D78" s="12"/>
      <c r="E78" s="12"/>
      <c r="F78" s="12"/>
    </row>
    <row r="79" spans="1:6" ht="14">
      <c r="A79" s="12"/>
      <c r="B79" s="12"/>
      <c r="C79" s="12"/>
      <c r="D79" s="12"/>
      <c r="E79" s="12"/>
      <c r="F79" s="12"/>
    </row>
    <row r="80" spans="1:6" ht="14">
      <c r="A80" s="12"/>
      <c r="B80" s="12"/>
      <c r="C80" s="12"/>
      <c r="D80" s="12"/>
      <c r="E80" s="12"/>
      <c r="F80" s="12"/>
    </row>
    <row r="81" spans="1:6" ht="14">
      <c r="A81" s="12"/>
      <c r="B81" s="12"/>
      <c r="C81" s="12"/>
      <c r="D81" s="12"/>
      <c r="E81" s="12"/>
      <c r="F81" s="12"/>
    </row>
    <row r="82" spans="1:6" ht="14">
      <c r="A82" s="12"/>
      <c r="B82" s="12"/>
      <c r="C82" s="12"/>
      <c r="D82" s="12"/>
      <c r="E82" s="12"/>
      <c r="F82" s="12"/>
    </row>
    <row r="83" spans="1:6" ht="14">
      <c r="A83" s="12"/>
      <c r="B83" s="12"/>
      <c r="C83" s="12"/>
      <c r="D83" s="12"/>
      <c r="E83" s="12"/>
      <c r="F83" s="12"/>
    </row>
    <row r="84" spans="1:6" ht="14">
      <c r="A84" s="12"/>
      <c r="B84" s="12"/>
      <c r="C84" s="12"/>
      <c r="D84" s="12"/>
      <c r="E84" s="12"/>
      <c r="F84" s="12"/>
    </row>
    <row r="85" spans="1:6" ht="14">
      <c r="A85" s="12"/>
      <c r="B85" s="12"/>
      <c r="C85" s="12"/>
      <c r="D85" s="12"/>
      <c r="E85" s="12"/>
      <c r="F85" s="12"/>
    </row>
    <row r="86" spans="1:6" ht="14">
      <c r="A86" s="12"/>
      <c r="B86" s="12"/>
      <c r="C86" s="12"/>
      <c r="D86" s="12"/>
      <c r="E86" s="12"/>
      <c r="F86" s="12"/>
    </row>
    <row r="87" spans="1:6" ht="14">
      <c r="A87" s="12"/>
      <c r="B87" s="12"/>
      <c r="C87" s="12"/>
      <c r="D87" s="12"/>
      <c r="E87" s="12"/>
      <c r="F87" s="12"/>
    </row>
    <row r="88" spans="1:6" ht="14">
      <c r="A88" s="12"/>
      <c r="B88" s="12"/>
      <c r="C88" s="12"/>
      <c r="D88" s="12"/>
      <c r="E88" s="12"/>
      <c r="F88" s="12"/>
    </row>
    <row r="89" spans="1:6" ht="14">
      <c r="A89" s="12"/>
      <c r="B89" s="12"/>
      <c r="C89" s="12"/>
      <c r="D89" s="12"/>
      <c r="E89" s="12"/>
      <c r="F89" s="12"/>
    </row>
    <row r="90" spans="1:6" ht="14">
      <c r="A90" s="12"/>
      <c r="B90" s="12"/>
      <c r="C90" s="12"/>
      <c r="D90" s="12"/>
      <c r="E90" s="12"/>
      <c r="F90" s="12"/>
    </row>
    <row r="91" spans="1:6" ht="14">
      <c r="A91" s="12"/>
      <c r="B91" s="12"/>
      <c r="C91" s="12"/>
      <c r="D91" s="12"/>
      <c r="E91" s="12"/>
      <c r="F91" s="12"/>
    </row>
    <row r="92" spans="1:6" ht="14">
      <c r="A92" s="12"/>
      <c r="B92" s="12"/>
      <c r="C92" s="12"/>
      <c r="D92" s="12"/>
      <c r="E92" s="12"/>
      <c r="F92" s="12"/>
    </row>
    <row r="93" spans="1:6" ht="14">
      <c r="A93" s="12"/>
      <c r="B93" s="12"/>
      <c r="C93" s="12"/>
      <c r="D93" s="12"/>
      <c r="E93" s="12"/>
      <c r="F93" s="12"/>
    </row>
    <row r="94" spans="1:6" ht="14">
      <c r="A94" s="12"/>
      <c r="B94" s="12"/>
      <c r="C94" s="12"/>
      <c r="D94" s="12"/>
      <c r="E94" s="12"/>
      <c r="F94" s="12"/>
    </row>
    <row r="95" spans="1:6" ht="14">
      <c r="A95" s="12"/>
      <c r="B95" s="12"/>
      <c r="C95" s="12"/>
      <c r="D95" s="12"/>
      <c r="E95" s="12"/>
      <c r="F95" s="12"/>
    </row>
    <row r="96" spans="1:6" ht="14">
      <c r="A96" s="12"/>
      <c r="B96" s="12"/>
      <c r="C96" s="12"/>
      <c r="D96" s="12"/>
      <c r="E96" s="12"/>
      <c r="F96" s="12"/>
    </row>
    <row r="97" spans="1:6" ht="14">
      <c r="A97" s="12"/>
      <c r="B97" s="12"/>
      <c r="C97" s="12"/>
      <c r="D97" s="12"/>
      <c r="E97" s="12"/>
      <c r="F97" s="12"/>
    </row>
    <row r="98" spans="1:6" ht="14">
      <c r="A98" s="12"/>
      <c r="B98" s="12"/>
      <c r="C98" s="12"/>
      <c r="D98" s="12"/>
      <c r="E98" s="12"/>
      <c r="F98" s="12"/>
    </row>
    <row r="99" spans="1:6" ht="14">
      <c r="A99" s="12"/>
      <c r="B99" s="12"/>
      <c r="C99" s="12"/>
      <c r="D99" s="12"/>
      <c r="E99" s="12"/>
      <c r="F99" s="12"/>
    </row>
    <row r="100" spans="1:6" ht="14">
      <c r="A100" s="12"/>
      <c r="B100" s="12"/>
      <c r="C100" s="12"/>
      <c r="D100" s="12"/>
      <c r="E100" s="12"/>
      <c r="F100" s="12"/>
    </row>
    <row r="101" spans="1:6" ht="14">
      <c r="A101" s="12"/>
      <c r="B101" s="12"/>
      <c r="C101" s="12"/>
      <c r="D101" s="12"/>
      <c r="E101" s="12"/>
      <c r="F101" s="12"/>
    </row>
    <row r="102" spans="1:6" ht="14">
      <c r="A102" s="12"/>
      <c r="B102" s="12"/>
      <c r="C102" s="12"/>
      <c r="D102" s="12"/>
      <c r="E102" s="12"/>
      <c r="F102" s="12"/>
    </row>
    <row r="103" spans="1:6" ht="14">
      <c r="A103" s="12"/>
      <c r="B103" s="12"/>
      <c r="C103" s="12"/>
      <c r="D103" s="12"/>
      <c r="E103" s="12"/>
      <c r="F103" s="12"/>
    </row>
    <row r="104" spans="1:6" ht="14">
      <c r="A104" s="12"/>
      <c r="B104" s="12"/>
      <c r="C104" s="12"/>
      <c r="D104" s="12"/>
      <c r="E104" s="12"/>
      <c r="F104" s="12"/>
    </row>
    <row r="105" spans="1:6" ht="14">
      <c r="A105" s="12"/>
      <c r="B105" s="12"/>
      <c r="C105" s="12"/>
      <c r="D105" s="12"/>
      <c r="E105" s="12"/>
      <c r="F105" s="12"/>
    </row>
    <row r="106" spans="1:6" ht="14">
      <c r="A106" s="12"/>
      <c r="B106" s="12"/>
      <c r="C106" s="12"/>
      <c r="D106" s="12"/>
      <c r="E106" s="12"/>
      <c r="F106" s="12"/>
    </row>
    <row r="107" spans="1:6" ht="14">
      <c r="A107" s="12"/>
      <c r="B107" s="12"/>
      <c r="C107" s="12"/>
      <c r="D107" s="12"/>
      <c r="E107" s="12"/>
      <c r="F107" s="12"/>
    </row>
    <row r="108" spans="1:6" ht="14">
      <c r="A108" s="12"/>
      <c r="B108" s="12"/>
      <c r="C108" s="12"/>
      <c r="D108" s="12"/>
      <c r="E108" s="12"/>
      <c r="F108" s="12"/>
    </row>
    <row r="109" spans="1:6" ht="14">
      <c r="A109" s="12"/>
      <c r="B109" s="12"/>
      <c r="C109" s="12"/>
      <c r="D109" s="12"/>
      <c r="E109" s="12"/>
      <c r="F109" s="12"/>
    </row>
    <row r="110" spans="1:6" ht="14">
      <c r="A110" s="12"/>
      <c r="B110" s="12"/>
      <c r="C110" s="12"/>
      <c r="D110" s="12"/>
      <c r="E110" s="12"/>
      <c r="F110" s="12"/>
    </row>
    <row r="111" spans="1:6" ht="14">
      <c r="A111" s="12"/>
      <c r="B111" s="12"/>
      <c r="C111" s="12"/>
      <c r="D111" s="12"/>
      <c r="E111" s="12"/>
      <c r="F111" s="12"/>
    </row>
    <row r="112" spans="1:6" ht="14">
      <c r="A112" s="12"/>
      <c r="B112" s="12"/>
      <c r="C112" s="12"/>
      <c r="D112" s="12"/>
      <c r="E112" s="12"/>
      <c r="F112" s="12"/>
    </row>
    <row r="113" spans="1:6" ht="14">
      <c r="A113" s="12"/>
      <c r="B113" s="12"/>
      <c r="C113" s="12"/>
      <c r="D113" s="12"/>
      <c r="E113" s="12"/>
      <c r="F113" s="12"/>
    </row>
    <row r="114" spans="1:6" ht="14">
      <c r="A114" s="12"/>
      <c r="B114" s="12"/>
      <c r="C114" s="12"/>
      <c r="D114" s="12"/>
      <c r="E114" s="12"/>
      <c r="F114" s="12"/>
    </row>
    <row r="115" spans="1:6" ht="14">
      <c r="A115" s="12"/>
      <c r="B115" s="12"/>
      <c r="C115" s="12"/>
      <c r="D115" s="12"/>
      <c r="E115" s="12"/>
      <c r="F115" s="12"/>
    </row>
    <row r="116" spans="1:6" ht="14">
      <c r="A116" s="12"/>
      <c r="B116" s="12"/>
      <c r="C116" s="12"/>
      <c r="D116" s="12"/>
      <c r="E116" s="12"/>
      <c r="F116" s="12"/>
    </row>
    <row r="117" spans="1:6" ht="14">
      <c r="A117" s="12"/>
      <c r="B117" s="12"/>
      <c r="C117" s="12"/>
      <c r="D117" s="12"/>
      <c r="E117" s="12"/>
      <c r="F117" s="12"/>
    </row>
    <row r="118" spans="1:6" ht="14">
      <c r="A118" s="12"/>
      <c r="B118" s="12"/>
      <c r="C118" s="12"/>
      <c r="D118" s="12"/>
      <c r="E118" s="12"/>
      <c r="F118" s="12"/>
    </row>
    <row r="119" spans="1:6" ht="14">
      <c r="A119" s="12"/>
      <c r="B119" s="12"/>
      <c r="C119" s="12"/>
      <c r="D119" s="12"/>
      <c r="E119" s="12"/>
      <c r="F119" s="12"/>
    </row>
    <row r="120" spans="1:6" ht="14">
      <c r="A120" s="12"/>
      <c r="B120" s="12"/>
      <c r="C120" s="12"/>
      <c r="D120" s="12"/>
      <c r="E120" s="12"/>
      <c r="F120" s="12"/>
    </row>
    <row r="121" spans="1:6" ht="14">
      <c r="A121" s="12"/>
      <c r="B121" s="12"/>
      <c r="C121" s="12"/>
      <c r="D121" s="12"/>
      <c r="E121" s="12"/>
      <c r="F121" s="12"/>
    </row>
    <row r="122" spans="1:6" ht="14">
      <c r="A122" s="12"/>
      <c r="B122" s="12"/>
      <c r="C122" s="12"/>
      <c r="D122" s="12"/>
      <c r="E122" s="12"/>
      <c r="F122" s="12"/>
    </row>
    <row r="123" spans="1:6" ht="14">
      <c r="A123" s="12"/>
      <c r="B123" s="12"/>
      <c r="C123" s="12"/>
      <c r="D123" s="12"/>
      <c r="E123" s="12"/>
      <c r="F123" s="12"/>
    </row>
    <row r="124" spans="1:6" ht="14">
      <c r="A124" s="12"/>
      <c r="B124" s="12"/>
      <c r="C124" s="12"/>
      <c r="D124" s="12"/>
      <c r="E124" s="12"/>
      <c r="F124" s="12"/>
    </row>
    <row r="125" spans="1:6" ht="14">
      <c r="A125" s="12"/>
      <c r="B125" s="12"/>
      <c r="C125" s="12"/>
      <c r="D125" s="12"/>
      <c r="E125" s="12"/>
      <c r="F125" s="12"/>
    </row>
    <row r="126" spans="1:6" ht="14">
      <c r="A126" s="12"/>
      <c r="B126" s="12"/>
      <c r="C126" s="12"/>
      <c r="D126" s="12"/>
      <c r="E126" s="12"/>
      <c r="F126" s="12"/>
    </row>
    <row r="127" spans="1:6" ht="14">
      <c r="A127" s="12"/>
      <c r="B127" s="12"/>
      <c r="C127" s="12"/>
      <c r="D127" s="12"/>
      <c r="E127" s="12"/>
      <c r="F127" s="12"/>
    </row>
    <row r="128" spans="1:6" ht="14">
      <c r="A128" s="12"/>
      <c r="B128" s="12"/>
      <c r="C128" s="12"/>
      <c r="D128" s="12"/>
      <c r="E128" s="12"/>
      <c r="F128" s="12"/>
    </row>
    <row r="129" spans="1:6" ht="14">
      <c r="A129" s="12"/>
      <c r="B129" s="12"/>
      <c r="C129" s="12"/>
      <c r="D129" s="12"/>
      <c r="E129" s="12"/>
      <c r="F129" s="12"/>
    </row>
    <row r="130" spans="1:6" ht="14">
      <c r="A130" s="12"/>
      <c r="B130" s="12"/>
      <c r="C130" s="12"/>
      <c r="D130" s="12"/>
      <c r="E130" s="12"/>
      <c r="F130" s="12"/>
    </row>
    <row r="131" spans="1:6" ht="14">
      <c r="A131" s="12"/>
      <c r="B131" s="12"/>
      <c r="C131" s="12"/>
      <c r="D131" s="12"/>
      <c r="E131" s="12"/>
      <c r="F131" s="12"/>
    </row>
    <row r="132" spans="1:6" ht="14">
      <c r="A132" s="12"/>
      <c r="B132" s="12"/>
      <c r="C132" s="12"/>
      <c r="D132" s="12"/>
      <c r="E132" s="12"/>
      <c r="F132" s="12"/>
    </row>
    <row r="133" spans="1:6" ht="14">
      <c r="A133" s="12"/>
      <c r="B133" s="12"/>
      <c r="C133" s="12"/>
      <c r="D133" s="12"/>
      <c r="E133" s="12"/>
      <c r="F133" s="12"/>
    </row>
    <row r="134" spans="1:6" ht="14">
      <c r="A134" s="12"/>
      <c r="B134" s="12"/>
      <c r="C134" s="12"/>
      <c r="D134" s="12"/>
      <c r="E134" s="12"/>
      <c r="F134" s="12"/>
    </row>
    <row r="135" spans="1:6" ht="14">
      <c r="A135" s="12"/>
      <c r="B135" s="12"/>
      <c r="C135" s="12"/>
      <c r="D135" s="12"/>
      <c r="E135" s="12"/>
      <c r="F135" s="12"/>
    </row>
    <row r="136" spans="1:6" ht="14">
      <c r="A136" s="12"/>
      <c r="B136" s="12"/>
      <c r="C136" s="12"/>
      <c r="D136" s="12"/>
      <c r="E136" s="12"/>
      <c r="F136" s="12"/>
    </row>
    <row r="137" spans="1:6" ht="14">
      <c r="A137" s="12"/>
      <c r="B137" s="12"/>
      <c r="C137" s="12"/>
      <c r="D137" s="12"/>
      <c r="E137" s="12"/>
      <c r="F137" s="12"/>
    </row>
    <row r="138" spans="1:6" ht="14">
      <c r="A138" s="12"/>
      <c r="B138" s="12"/>
      <c r="C138" s="12"/>
      <c r="D138" s="12"/>
      <c r="E138" s="12"/>
      <c r="F138" s="12"/>
    </row>
    <row r="139" spans="1:6" ht="14">
      <c r="A139" s="12"/>
      <c r="B139" s="12"/>
      <c r="C139" s="12"/>
      <c r="D139" s="12"/>
      <c r="E139" s="12"/>
      <c r="F139" s="12"/>
    </row>
    <row r="140" spans="1:6" ht="14">
      <c r="A140" s="12"/>
      <c r="B140" s="12"/>
      <c r="C140" s="12"/>
      <c r="D140" s="12"/>
      <c r="E140" s="12"/>
      <c r="F140" s="12"/>
    </row>
    <row r="141" spans="1:6" ht="14">
      <c r="A141" s="12"/>
      <c r="B141" s="12"/>
      <c r="C141" s="12"/>
      <c r="D141" s="12"/>
      <c r="E141" s="12"/>
      <c r="F141" s="12"/>
    </row>
    <row r="142" spans="1:6" ht="14">
      <c r="A142" s="12"/>
      <c r="B142" s="12"/>
      <c r="C142" s="12"/>
      <c r="D142" s="12"/>
      <c r="E142" s="12"/>
      <c r="F142" s="12"/>
    </row>
    <row r="143" spans="1:6" ht="14">
      <c r="A143" s="12"/>
      <c r="B143" s="12"/>
      <c r="C143" s="12"/>
      <c r="D143" s="12"/>
      <c r="E143" s="12"/>
      <c r="F143" s="12"/>
    </row>
    <row r="144" spans="1:6" ht="14">
      <c r="A144" s="12"/>
      <c r="B144" s="12"/>
      <c r="C144" s="12"/>
      <c r="D144" s="12"/>
      <c r="E144" s="12"/>
      <c r="F144" s="12"/>
    </row>
    <row r="145" spans="1:6" ht="14">
      <c r="A145" s="12"/>
      <c r="B145" s="12"/>
      <c r="C145" s="12"/>
      <c r="D145" s="12"/>
      <c r="E145" s="12"/>
      <c r="F145" s="12"/>
    </row>
    <row r="146" spans="1:6" ht="14">
      <c r="A146" s="12"/>
      <c r="B146" s="12"/>
      <c r="C146" s="12"/>
      <c r="D146" s="12"/>
      <c r="E146" s="12"/>
      <c r="F146" s="12"/>
    </row>
    <row r="147" spans="1:6" ht="14">
      <c r="A147" s="12"/>
      <c r="B147" s="12"/>
      <c r="C147" s="12"/>
      <c r="D147" s="12"/>
      <c r="E147" s="12"/>
      <c r="F147" s="12"/>
    </row>
    <row r="148" spans="1:6" ht="14">
      <c r="A148" s="12"/>
      <c r="B148" s="12"/>
      <c r="C148" s="12"/>
      <c r="D148" s="12"/>
      <c r="E148" s="12"/>
      <c r="F148" s="12"/>
    </row>
    <row r="149" spans="1:6" ht="14">
      <c r="A149" s="12"/>
      <c r="B149" s="12"/>
      <c r="C149" s="12"/>
      <c r="D149" s="12"/>
      <c r="E149" s="12"/>
      <c r="F149" s="12"/>
    </row>
    <row r="150" spans="1:6" ht="14">
      <c r="A150" s="12"/>
      <c r="B150" s="12"/>
      <c r="C150" s="12"/>
      <c r="D150" s="12"/>
      <c r="E150" s="12"/>
      <c r="F150" s="12"/>
    </row>
    <row r="151" spans="1:6" ht="14">
      <c r="A151" s="12"/>
      <c r="B151" s="12"/>
      <c r="C151" s="12"/>
      <c r="D151" s="12"/>
      <c r="E151" s="12"/>
      <c r="F151" s="12"/>
    </row>
    <row r="152" spans="1:6" ht="14">
      <c r="A152" s="12"/>
      <c r="B152" s="12"/>
      <c r="C152" s="12"/>
      <c r="D152" s="12"/>
      <c r="E152" s="12"/>
      <c r="F152" s="12"/>
    </row>
    <row r="153" spans="1:6" ht="14">
      <c r="A153" s="12"/>
      <c r="B153" s="12"/>
      <c r="C153" s="12"/>
      <c r="D153" s="12"/>
      <c r="E153" s="12"/>
      <c r="F153" s="12"/>
    </row>
  </sheetData>
  <phoneticPr fontId="2" type="noConversion"/>
  <pageMargins left="0.75" right="0.75" top="1" bottom="1" header="0.5" footer="0.5"/>
  <pageSetup paperSize="5" scale="99" fitToHeight="8" orientation="landscape"/>
  <headerFooter alignWithMargins="0">
    <oddFooter>&amp;L2009-2010&amp;C&amp;A&amp;RPage &amp;P of &amp;N</oddFooter>
  </headerFooter>
  <drawing r:id="rId1"/>
  <extLst>
    <ext xmlns:mx="http://schemas.microsoft.com/office/mac/excel/2008/main" uri="{64002731-A6B0-56B0-2670-7721B7C09600}">
      <mx:PLV Mode="0" OnePage="0" WScale="10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sheetViews>
  <sheetFormatPr baseColWidth="10" defaultColWidth="8.83203125" defaultRowHeight="12" x14ac:dyDescent="0"/>
  <cols>
    <col min="1" max="1" width="13.5" customWidth="1"/>
    <col min="2" max="2" width="78" customWidth="1"/>
    <col min="3" max="3" width="13.5" customWidth="1"/>
    <col min="4" max="4" width="44.5" customWidth="1"/>
    <col min="5" max="5" width="14.5" customWidth="1"/>
    <col min="6" max="6" width="11.1640625" customWidth="1"/>
  </cols>
  <sheetData>
    <row r="1" spans="1:5" ht="18">
      <c r="A1" s="213" t="s">
        <v>1188</v>
      </c>
      <c r="B1" s="128"/>
      <c r="C1" s="12"/>
      <c r="D1" s="12"/>
      <c r="E1" s="12"/>
    </row>
    <row r="2" spans="1:5" ht="14">
      <c r="A2" s="12"/>
      <c r="B2" s="12"/>
      <c r="C2" s="12"/>
      <c r="D2" s="12"/>
      <c r="E2" s="12"/>
    </row>
    <row r="3" spans="1:5" ht="15" thickBot="1">
      <c r="A3" s="29" t="s">
        <v>217</v>
      </c>
      <c r="B3" s="29" t="s">
        <v>216</v>
      </c>
      <c r="C3" s="29" t="s">
        <v>1146</v>
      </c>
      <c r="D3" s="29" t="s">
        <v>215</v>
      </c>
      <c r="E3" s="12"/>
    </row>
    <row r="4" spans="1:5" ht="14">
      <c r="A4" s="225" t="s">
        <v>336</v>
      </c>
      <c r="B4" s="225" t="s">
        <v>1169</v>
      </c>
      <c r="C4" s="234" t="s">
        <v>1170</v>
      </c>
      <c r="D4" s="230" t="s">
        <v>317</v>
      </c>
      <c r="E4" s="12"/>
    </row>
    <row r="5" spans="1:5" ht="14">
      <c r="A5" s="221" t="s">
        <v>317</v>
      </c>
      <c r="B5" s="231" t="s">
        <v>1171</v>
      </c>
      <c r="C5" s="221" t="s">
        <v>317</v>
      </c>
      <c r="D5" s="183" t="s">
        <v>317</v>
      </c>
      <c r="E5" s="12"/>
    </row>
    <row r="6" spans="1:5" ht="14">
      <c r="A6" s="183" t="s">
        <v>1173</v>
      </c>
      <c r="B6" s="183" t="s">
        <v>337</v>
      </c>
      <c r="C6" s="222">
        <v>329296</v>
      </c>
      <c r="D6" s="183" t="s">
        <v>317</v>
      </c>
      <c r="E6" s="12"/>
    </row>
    <row r="7" spans="1:5" ht="14">
      <c r="A7" s="183" t="s">
        <v>1172</v>
      </c>
      <c r="B7" s="183" t="s">
        <v>1174</v>
      </c>
      <c r="C7" s="232">
        <v>2514951</v>
      </c>
      <c r="D7" s="183" t="s">
        <v>317</v>
      </c>
      <c r="E7" s="12"/>
    </row>
    <row r="8" spans="1:5" ht="14">
      <c r="A8" s="183" t="s">
        <v>1175</v>
      </c>
      <c r="B8" s="183" t="s">
        <v>338</v>
      </c>
      <c r="C8" s="217">
        <v>191298.88</v>
      </c>
      <c r="D8" s="183" t="s">
        <v>1251</v>
      </c>
      <c r="E8" s="12"/>
    </row>
    <row r="9" spans="1:5" ht="14">
      <c r="A9" s="183" t="s">
        <v>1176</v>
      </c>
      <c r="B9" s="183" t="s">
        <v>339</v>
      </c>
      <c r="C9" s="222">
        <v>0</v>
      </c>
      <c r="D9" s="183" t="s">
        <v>317</v>
      </c>
      <c r="E9" s="12"/>
    </row>
    <row r="10" spans="1:5" ht="14">
      <c r="A10" s="183" t="s">
        <v>313</v>
      </c>
      <c r="B10" s="183" t="s">
        <v>1177</v>
      </c>
      <c r="C10" s="233">
        <f>C6+C7+C8+C9</f>
        <v>3035545.88</v>
      </c>
      <c r="D10" s="183" t="s">
        <v>317</v>
      </c>
      <c r="E10" s="12"/>
    </row>
    <row r="11" spans="1:5" ht="14">
      <c r="A11" s="183" t="s">
        <v>1178</v>
      </c>
      <c r="B11" s="183" t="s">
        <v>314</v>
      </c>
      <c r="C11" s="217">
        <v>14960.5</v>
      </c>
      <c r="D11" s="183" t="s">
        <v>317</v>
      </c>
      <c r="E11" s="12"/>
    </row>
    <row r="12" spans="1:5" ht="14">
      <c r="A12" s="183" t="s">
        <v>315</v>
      </c>
      <c r="B12" s="183" t="s">
        <v>340</v>
      </c>
      <c r="C12" s="222">
        <v>187076.39</v>
      </c>
      <c r="D12" s="183" t="s">
        <v>317</v>
      </c>
      <c r="E12" s="12"/>
    </row>
    <row r="13" spans="1:5" ht="14">
      <c r="A13" s="183" t="s">
        <v>1179</v>
      </c>
      <c r="B13" s="183" t="s">
        <v>341</v>
      </c>
      <c r="C13" s="217">
        <v>2273424.83</v>
      </c>
      <c r="D13" s="183" t="s">
        <v>317</v>
      </c>
      <c r="E13" s="12"/>
    </row>
    <row r="14" spans="1:5" ht="14">
      <c r="A14" s="220" t="s">
        <v>1180</v>
      </c>
      <c r="B14" s="220" t="s">
        <v>1181</v>
      </c>
      <c r="C14" s="221" t="s">
        <v>317</v>
      </c>
      <c r="D14" s="183" t="s">
        <v>317</v>
      </c>
      <c r="E14" s="12"/>
    </row>
    <row r="15" spans="1:5" ht="14">
      <c r="A15" s="183" t="s">
        <v>1182</v>
      </c>
      <c r="B15" s="183" t="s">
        <v>1184</v>
      </c>
      <c r="C15" s="222">
        <v>126930.14</v>
      </c>
      <c r="D15" s="183" t="s">
        <v>317</v>
      </c>
      <c r="E15" s="12"/>
    </row>
    <row r="16" spans="1:5" ht="14">
      <c r="A16" s="183" t="s">
        <v>1183</v>
      </c>
      <c r="B16" s="183" t="s">
        <v>1185</v>
      </c>
      <c r="C16" s="222" t="s">
        <v>1252</v>
      </c>
      <c r="D16" s="183" t="s">
        <v>317</v>
      </c>
      <c r="E16" s="12"/>
    </row>
    <row r="17" spans="1:5" ht="14">
      <c r="A17" s="183" t="s">
        <v>1186</v>
      </c>
      <c r="B17" s="183" t="s">
        <v>1187</v>
      </c>
      <c r="C17" s="222">
        <v>29424.37</v>
      </c>
      <c r="D17" s="183" t="s">
        <v>1253</v>
      </c>
      <c r="E17" s="12"/>
    </row>
    <row r="18" spans="1:5" ht="14">
      <c r="A18" s="12"/>
      <c r="B18" s="12"/>
      <c r="C18" s="12"/>
      <c r="D18" s="12"/>
      <c r="E18" s="12"/>
    </row>
    <row r="19" spans="1:5" ht="14">
      <c r="A19" s="12"/>
      <c r="B19" s="12"/>
      <c r="C19" s="12"/>
      <c r="D19" s="12"/>
      <c r="E19" s="12"/>
    </row>
    <row r="20" spans="1:5" ht="14">
      <c r="A20" s="12"/>
      <c r="B20" s="12"/>
      <c r="C20" s="12"/>
      <c r="D20" s="12"/>
      <c r="E20" s="12"/>
    </row>
    <row r="21" spans="1:5" ht="14">
      <c r="A21" s="12"/>
      <c r="B21" s="12"/>
      <c r="C21" s="12"/>
      <c r="D21" s="12"/>
      <c r="E21" s="12"/>
    </row>
    <row r="22" spans="1:5" ht="14">
      <c r="A22" s="12"/>
      <c r="B22" s="12"/>
      <c r="C22" s="12"/>
      <c r="D22" s="12"/>
      <c r="E22" s="12"/>
    </row>
    <row r="23" spans="1:5" ht="14">
      <c r="A23" s="12"/>
      <c r="B23" s="12"/>
      <c r="C23" s="12"/>
      <c r="D23" s="12"/>
      <c r="E23" s="12"/>
    </row>
    <row r="24" spans="1:5" ht="14">
      <c r="A24" s="12"/>
      <c r="B24" s="12"/>
      <c r="C24" s="12"/>
      <c r="D24" s="12"/>
      <c r="E24" s="12"/>
    </row>
    <row r="25" spans="1:5" ht="14">
      <c r="A25" s="12"/>
      <c r="B25" s="12"/>
      <c r="C25" s="12"/>
      <c r="D25" s="12"/>
      <c r="E25" s="12"/>
    </row>
    <row r="26" spans="1:5" ht="14">
      <c r="A26" s="12"/>
      <c r="B26" s="12"/>
      <c r="C26" s="12"/>
      <c r="D26" s="12"/>
      <c r="E26" s="12"/>
    </row>
    <row r="27" spans="1:5" ht="14">
      <c r="A27" s="12"/>
      <c r="B27" s="12"/>
      <c r="C27" s="12"/>
      <c r="D27" s="12"/>
      <c r="E27" s="12"/>
    </row>
    <row r="28" spans="1:5" ht="14">
      <c r="A28" s="12"/>
      <c r="B28" s="12"/>
      <c r="C28" s="12"/>
      <c r="D28" s="12"/>
      <c r="E28" s="12"/>
    </row>
    <row r="29" spans="1:5" ht="14">
      <c r="A29" s="12"/>
      <c r="B29" s="12"/>
      <c r="C29" s="12"/>
      <c r="D29" s="12"/>
      <c r="E29" s="12"/>
    </row>
    <row r="30" spans="1:5" ht="14">
      <c r="A30" s="12"/>
      <c r="B30" s="12"/>
      <c r="C30" s="12"/>
      <c r="D30" s="12"/>
      <c r="E30" s="12"/>
    </row>
    <row r="31" spans="1:5" ht="14">
      <c r="A31" s="12"/>
      <c r="B31" s="12"/>
      <c r="C31" s="12"/>
      <c r="D31" s="12"/>
      <c r="E31" s="12"/>
    </row>
    <row r="32" spans="1:5" ht="14">
      <c r="A32" s="12"/>
      <c r="B32" s="12"/>
      <c r="C32" s="12"/>
      <c r="D32" s="12"/>
      <c r="E32" s="12"/>
    </row>
    <row r="33" spans="1:5" ht="14">
      <c r="A33" s="12"/>
      <c r="B33" s="12"/>
      <c r="C33" s="12"/>
      <c r="D33" s="12"/>
      <c r="E33" s="12"/>
    </row>
    <row r="34" spans="1:5" ht="14">
      <c r="A34" s="12"/>
      <c r="B34" s="12"/>
      <c r="C34" s="12"/>
      <c r="D34" s="12"/>
      <c r="E34" s="12"/>
    </row>
    <row r="35" spans="1:5" ht="14">
      <c r="A35" s="12"/>
      <c r="B35" s="12"/>
      <c r="C35" s="12"/>
      <c r="D35" s="12"/>
      <c r="E35" s="12"/>
    </row>
    <row r="36" spans="1:5" ht="14">
      <c r="A36" s="12"/>
      <c r="B36" s="12"/>
      <c r="C36" s="12"/>
      <c r="D36" s="12"/>
      <c r="E36" s="12"/>
    </row>
    <row r="37" spans="1:5" ht="14">
      <c r="A37" s="12"/>
      <c r="B37" s="12"/>
      <c r="C37" s="12"/>
      <c r="D37" s="12"/>
      <c r="E37" s="12"/>
    </row>
    <row r="38" spans="1:5" ht="14">
      <c r="A38" s="12"/>
      <c r="B38" s="12"/>
      <c r="C38" s="12"/>
      <c r="D38" s="12"/>
      <c r="E38" s="12"/>
    </row>
    <row r="39" spans="1:5" ht="14">
      <c r="A39" s="12"/>
      <c r="B39" s="12"/>
      <c r="C39" s="12"/>
      <c r="D39" s="12"/>
      <c r="E39" s="12"/>
    </row>
    <row r="40" spans="1:5" ht="14">
      <c r="A40" s="12"/>
      <c r="B40" s="12"/>
      <c r="C40" s="12"/>
      <c r="D40" s="12"/>
      <c r="E40" s="12"/>
    </row>
    <row r="41" spans="1:5" ht="14">
      <c r="A41" s="12"/>
      <c r="B41" s="12"/>
      <c r="C41" s="12"/>
      <c r="D41" s="12"/>
      <c r="E41" s="12"/>
    </row>
    <row r="42" spans="1:5" ht="14">
      <c r="A42" s="12"/>
      <c r="B42" s="12"/>
      <c r="C42" s="12"/>
      <c r="D42" s="12"/>
      <c r="E42" s="12"/>
    </row>
    <row r="43" spans="1:5" ht="14">
      <c r="A43" s="12"/>
      <c r="B43" s="12"/>
      <c r="C43" s="12"/>
      <c r="D43" s="12"/>
      <c r="E43" s="12"/>
    </row>
    <row r="44" spans="1:5" ht="14">
      <c r="A44" s="12"/>
      <c r="B44" s="12"/>
      <c r="C44" s="12"/>
      <c r="D44" s="12"/>
      <c r="E44" s="12"/>
    </row>
    <row r="45" spans="1:5" ht="14">
      <c r="A45" s="12"/>
      <c r="B45" s="12"/>
      <c r="C45" s="12"/>
      <c r="D45" s="12"/>
      <c r="E45" s="12"/>
    </row>
    <row r="46" spans="1:5" ht="14">
      <c r="A46" s="12"/>
      <c r="B46" s="12"/>
      <c r="C46" s="12"/>
      <c r="D46" s="12"/>
      <c r="E46" s="12"/>
    </row>
    <row r="47" spans="1:5" ht="14">
      <c r="A47" s="12"/>
      <c r="B47" s="12"/>
      <c r="C47" s="12"/>
      <c r="D47" s="12"/>
      <c r="E47" s="12"/>
    </row>
    <row r="48" spans="1:5" ht="14">
      <c r="A48" s="12"/>
      <c r="B48" s="12"/>
      <c r="C48" s="12"/>
      <c r="D48" s="12"/>
      <c r="E48" s="12"/>
    </row>
    <row r="49" spans="1:5" ht="14">
      <c r="A49" s="12"/>
      <c r="B49" s="12"/>
      <c r="C49" s="12"/>
      <c r="D49" s="12"/>
      <c r="E49" s="12"/>
    </row>
    <row r="50" spans="1:5" ht="14">
      <c r="A50" s="12"/>
      <c r="B50" s="12"/>
      <c r="C50" s="12"/>
      <c r="D50" s="12"/>
      <c r="E50" s="12"/>
    </row>
    <row r="51" spans="1:5" ht="14">
      <c r="A51" s="12"/>
      <c r="B51" s="12"/>
      <c r="C51" s="12"/>
      <c r="D51" s="12"/>
      <c r="E51" s="12"/>
    </row>
    <row r="52" spans="1:5" ht="14">
      <c r="A52" s="12"/>
      <c r="B52" s="12"/>
      <c r="C52" s="12"/>
      <c r="D52" s="12"/>
      <c r="E52" s="12"/>
    </row>
    <row r="53" spans="1:5" ht="14">
      <c r="A53" s="12"/>
      <c r="B53" s="12"/>
      <c r="C53" s="12"/>
      <c r="D53" s="12"/>
      <c r="E53" s="12"/>
    </row>
    <row r="54" spans="1:5" ht="14">
      <c r="A54" s="12"/>
      <c r="B54" s="12"/>
      <c r="C54" s="12"/>
      <c r="D54" s="12"/>
      <c r="E54" s="12"/>
    </row>
    <row r="55" spans="1:5" ht="14">
      <c r="A55" s="12"/>
      <c r="B55" s="12"/>
      <c r="C55" s="12"/>
      <c r="D55" s="12"/>
      <c r="E55" s="12"/>
    </row>
    <row r="56" spans="1:5" ht="14">
      <c r="A56" s="12"/>
      <c r="B56" s="12"/>
      <c r="C56" s="12"/>
      <c r="D56" s="12"/>
      <c r="E56" s="12"/>
    </row>
    <row r="57" spans="1:5" ht="14">
      <c r="A57" s="12"/>
      <c r="B57" s="12"/>
      <c r="C57" s="12"/>
      <c r="D57" s="12"/>
      <c r="E57" s="12"/>
    </row>
    <row r="58" spans="1:5" ht="14">
      <c r="A58" s="12"/>
      <c r="B58" s="12"/>
      <c r="C58" s="12"/>
      <c r="D58" s="12"/>
      <c r="E58" s="12"/>
    </row>
    <row r="59" spans="1:5" ht="14">
      <c r="A59" s="12"/>
      <c r="B59" s="12"/>
      <c r="C59" s="12"/>
      <c r="D59" s="12"/>
      <c r="E59" s="12"/>
    </row>
    <row r="60" spans="1:5" ht="14">
      <c r="A60" s="12"/>
      <c r="B60" s="12"/>
      <c r="C60" s="12"/>
      <c r="D60" s="12"/>
      <c r="E60" s="12"/>
    </row>
    <row r="61" spans="1:5" ht="14">
      <c r="A61" s="12"/>
      <c r="B61" s="12"/>
      <c r="C61" s="12"/>
      <c r="D61" s="12"/>
      <c r="E61" s="12"/>
    </row>
    <row r="62" spans="1:5" ht="14">
      <c r="A62" s="12"/>
      <c r="B62" s="12"/>
      <c r="C62" s="12"/>
      <c r="D62" s="12"/>
      <c r="E62" s="12"/>
    </row>
    <row r="63" spans="1:5" ht="14">
      <c r="A63" s="12"/>
      <c r="B63" s="12"/>
      <c r="C63" s="12"/>
      <c r="D63" s="12"/>
      <c r="E63" s="12"/>
    </row>
    <row r="64" spans="1:5" ht="14">
      <c r="A64" s="12"/>
      <c r="B64" s="12"/>
      <c r="C64" s="12"/>
      <c r="D64" s="12"/>
      <c r="E64" s="12"/>
    </row>
    <row r="65" spans="1:5" ht="14">
      <c r="A65" s="12"/>
      <c r="B65" s="12"/>
      <c r="C65" s="12"/>
      <c r="D65" s="12"/>
      <c r="E65" s="12"/>
    </row>
    <row r="66" spans="1:5" ht="14">
      <c r="A66" s="12"/>
      <c r="B66" s="12"/>
      <c r="C66" s="12"/>
      <c r="D66" s="12"/>
      <c r="E66" s="12"/>
    </row>
    <row r="67" spans="1:5" ht="14">
      <c r="A67" s="12"/>
      <c r="B67" s="12"/>
      <c r="C67" s="12"/>
      <c r="D67" s="12"/>
      <c r="E67" s="12"/>
    </row>
    <row r="68" spans="1:5" ht="14">
      <c r="A68" s="12"/>
      <c r="B68" s="12"/>
      <c r="C68" s="12"/>
      <c r="D68" s="12"/>
      <c r="E68" s="12"/>
    </row>
    <row r="69" spans="1:5" ht="14">
      <c r="A69" s="12"/>
      <c r="B69" s="12"/>
      <c r="C69" s="12"/>
      <c r="D69" s="12"/>
      <c r="E69" s="12"/>
    </row>
    <row r="70" spans="1:5" ht="14">
      <c r="A70" s="12"/>
      <c r="B70" s="12"/>
      <c r="C70" s="12"/>
      <c r="D70" s="12"/>
      <c r="E70" s="12"/>
    </row>
    <row r="71" spans="1:5" ht="14">
      <c r="A71" s="12"/>
      <c r="B71" s="12"/>
      <c r="C71" s="12"/>
      <c r="D71" s="12"/>
      <c r="E71" s="12"/>
    </row>
    <row r="72" spans="1:5" ht="14">
      <c r="A72" s="12"/>
      <c r="B72" s="12"/>
      <c r="C72" s="12"/>
      <c r="D72" s="12"/>
      <c r="E72" s="12"/>
    </row>
    <row r="73" spans="1:5" ht="14">
      <c r="A73" s="12"/>
      <c r="B73" s="12"/>
      <c r="C73" s="12"/>
      <c r="D73" s="12"/>
      <c r="E73" s="12"/>
    </row>
    <row r="74" spans="1:5" ht="14">
      <c r="A74" s="12"/>
      <c r="B74" s="12"/>
      <c r="C74" s="12"/>
      <c r="D74" s="12"/>
      <c r="E74" s="12"/>
    </row>
    <row r="75" spans="1:5" ht="14">
      <c r="A75" s="12"/>
      <c r="B75" s="12"/>
      <c r="C75" s="12"/>
      <c r="D75" s="12"/>
      <c r="E75" s="12"/>
    </row>
    <row r="96" spans="3:3">
      <c r="C96" s="98"/>
    </row>
  </sheetData>
  <phoneticPr fontId="2" type="noConversion"/>
  <pageMargins left="0.75" right="0.75" top="1" bottom="1" header="0.5" footer="0.5"/>
  <pageSetup paperSize="5" orientation="landscape"/>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78"/>
  <sheetViews>
    <sheetView workbookViewId="0"/>
  </sheetViews>
  <sheetFormatPr baseColWidth="10" defaultColWidth="8.83203125" defaultRowHeight="12" x14ac:dyDescent="0"/>
  <cols>
    <col min="1" max="1" width="13.5" customWidth="1"/>
    <col min="2" max="2" width="78" customWidth="1"/>
    <col min="3" max="3" width="13.5" customWidth="1"/>
    <col min="4" max="4" width="56.33203125" bestFit="1" customWidth="1"/>
  </cols>
  <sheetData>
    <row r="1" spans="1:5" ht="18">
      <c r="A1" s="213" t="s">
        <v>1189</v>
      </c>
      <c r="B1" s="128"/>
      <c r="C1" s="12"/>
      <c r="D1" s="12"/>
      <c r="E1" s="12"/>
    </row>
    <row r="2" spans="1:5" ht="14">
      <c r="A2" s="12"/>
      <c r="B2" s="12"/>
      <c r="C2" s="12"/>
      <c r="D2" s="12"/>
      <c r="E2" s="12"/>
    </row>
    <row r="3" spans="1:5" ht="15" thickBot="1">
      <c r="A3" s="29" t="s">
        <v>217</v>
      </c>
      <c r="B3" s="29" t="s">
        <v>216</v>
      </c>
      <c r="C3" s="29" t="s">
        <v>1146</v>
      </c>
      <c r="D3" s="29" t="s">
        <v>215</v>
      </c>
      <c r="E3" s="12"/>
    </row>
    <row r="4" spans="1:5" ht="14">
      <c r="A4" s="215" t="s">
        <v>317</v>
      </c>
      <c r="B4" s="216" t="s">
        <v>1190</v>
      </c>
      <c r="C4" s="215" t="s">
        <v>317</v>
      </c>
      <c r="D4" s="216" t="s">
        <v>317</v>
      </c>
      <c r="E4" s="12"/>
    </row>
    <row r="5" spans="1:5" ht="14">
      <c r="A5" s="183" t="s">
        <v>1191</v>
      </c>
      <c r="B5" s="183" t="s">
        <v>1192</v>
      </c>
      <c r="C5" s="184">
        <v>50098</v>
      </c>
      <c r="D5" s="183" t="s">
        <v>1223</v>
      </c>
      <c r="E5" s="12"/>
    </row>
    <row r="6" spans="1:5" ht="14">
      <c r="A6" s="183" t="s">
        <v>1193</v>
      </c>
      <c r="B6" s="183" t="s">
        <v>1194</v>
      </c>
      <c r="C6" s="217">
        <v>2970.75</v>
      </c>
      <c r="D6" s="183" t="s">
        <v>1195</v>
      </c>
      <c r="E6" s="12"/>
    </row>
    <row r="7" spans="1:5" ht="14">
      <c r="A7" s="183" t="s">
        <v>1196</v>
      </c>
      <c r="B7" s="183" t="s">
        <v>1197</v>
      </c>
      <c r="C7" s="222" t="s">
        <v>1170</v>
      </c>
      <c r="D7" s="183" t="s">
        <v>317</v>
      </c>
      <c r="E7" s="12"/>
    </row>
    <row r="8" spans="1:5" ht="14">
      <c r="A8" s="183" t="s">
        <v>1198</v>
      </c>
      <c r="B8" s="183" t="s">
        <v>1199</v>
      </c>
      <c r="C8" s="184">
        <v>353305</v>
      </c>
      <c r="D8" s="183"/>
      <c r="E8" s="12"/>
    </row>
    <row r="9" spans="1:5" ht="14">
      <c r="A9" s="183" t="s">
        <v>1200</v>
      </c>
      <c r="B9" s="183" t="s">
        <v>1201</v>
      </c>
      <c r="C9" s="184">
        <v>130</v>
      </c>
      <c r="D9" s="183"/>
      <c r="E9" s="12"/>
    </row>
    <row r="10" spans="1:5" ht="14">
      <c r="A10" s="183" t="s">
        <v>1202</v>
      </c>
      <c r="B10" s="183" t="s">
        <v>1203</v>
      </c>
      <c r="C10" s="184">
        <v>1063618</v>
      </c>
      <c r="D10" s="183"/>
      <c r="E10" s="12"/>
    </row>
    <row r="11" spans="1:5" ht="14">
      <c r="A11" s="183" t="s">
        <v>1204</v>
      </c>
      <c r="B11" s="183" t="s">
        <v>1201</v>
      </c>
      <c r="C11" s="184">
        <v>142</v>
      </c>
      <c r="D11" s="183" t="s">
        <v>317</v>
      </c>
      <c r="E11" s="12"/>
    </row>
    <row r="12" spans="1:5" ht="42">
      <c r="A12" s="183" t="s">
        <v>1205</v>
      </c>
      <c r="B12" s="183" t="s">
        <v>1206</v>
      </c>
      <c r="C12" s="218">
        <v>442066</v>
      </c>
      <c r="D12" s="219" t="s">
        <v>1254</v>
      </c>
      <c r="E12" s="12"/>
    </row>
    <row r="13" spans="1:5" ht="14">
      <c r="A13" s="183" t="s">
        <v>1207</v>
      </c>
      <c r="B13" s="183" t="s">
        <v>1201</v>
      </c>
      <c r="C13" s="218">
        <v>15193</v>
      </c>
      <c r="D13" s="219" t="s">
        <v>1255</v>
      </c>
      <c r="E13" s="12"/>
    </row>
    <row r="14" spans="1:5" ht="14">
      <c r="A14" s="220" t="s">
        <v>1208</v>
      </c>
      <c r="B14" s="220" t="s">
        <v>1209</v>
      </c>
      <c r="C14" s="221" t="s">
        <v>317</v>
      </c>
      <c r="D14" s="183"/>
      <c r="E14" s="12"/>
    </row>
    <row r="15" spans="1:5" ht="14">
      <c r="A15" s="183" t="s">
        <v>1210</v>
      </c>
      <c r="B15" s="183" t="s">
        <v>1211</v>
      </c>
      <c r="C15" s="222" t="s">
        <v>1252</v>
      </c>
      <c r="D15" s="183" t="s">
        <v>1224</v>
      </c>
      <c r="E15" s="12"/>
    </row>
    <row r="16" spans="1:5" ht="14">
      <c r="A16" s="183" t="s">
        <v>1212</v>
      </c>
      <c r="B16" s="183" t="s">
        <v>1213</v>
      </c>
      <c r="C16" s="223" t="s">
        <v>1170</v>
      </c>
      <c r="D16" s="183" t="s">
        <v>317</v>
      </c>
      <c r="E16" s="12"/>
    </row>
    <row r="17" spans="1:5" ht="14">
      <c r="A17" s="220" t="s">
        <v>1214</v>
      </c>
      <c r="B17" s="220" t="s">
        <v>1215</v>
      </c>
      <c r="C17" s="224" t="s">
        <v>317</v>
      </c>
      <c r="D17" s="183" t="s">
        <v>317</v>
      </c>
      <c r="E17" s="12"/>
    </row>
    <row r="18" spans="1:5" ht="14">
      <c r="A18" s="183" t="s">
        <v>1216</v>
      </c>
      <c r="B18" s="183" t="s">
        <v>1217</v>
      </c>
      <c r="C18" s="224" t="s">
        <v>317</v>
      </c>
      <c r="D18" s="183" t="s">
        <v>317</v>
      </c>
      <c r="E18" s="12"/>
    </row>
    <row r="19" spans="1:5" ht="14">
      <c r="A19" s="91"/>
      <c r="B19" s="91" t="s">
        <v>1218</v>
      </c>
      <c r="C19" s="217">
        <v>12699.5</v>
      </c>
      <c r="D19" s="91" t="s">
        <v>1222</v>
      </c>
      <c r="E19" s="12"/>
    </row>
    <row r="20" spans="1:5" ht="14">
      <c r="A20" s="91" t="s">
        <v>1219</v>
      </c>
      <c r="B20" s="91" t="s">
        <v>1220</v>
      </c>
      <c r="C20" s="91">
        <v>0</v>
      </c>
      <c r="D20" s="91" t="s">
        <v>1221</v>
      </c>
      <c r="E20" s="12"/>
    </row>
    <row r="21" spans="1:5" ht="14">
      <c r="A21" s="12"/>
      <c r="B21" s="12"/>
      <c r="C21" s="12"/>
      <c r="D21" s="12"/>
      <c r="E21" s="12"/>
    </row>
    <row r="22" spans="1:5" ht="14">
      <c r="A22" s="12"/>
      <c r="B22" s="12"/>
      <c r="C22" s="12"/>
      <c r="D22" s="12"/>
      <c r="E22" s="12"/>
    </row>
    <row r="23" spans="1:5" ht="14">
      <c r="A23" s="12"/>
      <c r="B23" s="12"/>
      <c r="C23" s="12"/>
      <c r="D23" s="12"/>
      <c r="E23" s="12"/>
    </row>
    <row r="24" spans="1:5" ht="14">
      <c r="A24" s="12"/>
      <c r="B24" s="12"/>
      <c r="C24" s="12"/>
      <c r="D24" s="12"/>
      <c r="E24" s="12"/>
    </row>
    <row r="25" spans="1:5" ht="14">
      <c r="A25" s="12"/>
      <c r="B25" s="12"/>
      <c r="C25" s="12"/>
      <c r="D25" s="12"/>
      <c r="E25" s="12"/>
    </row>
    <row r="26" spans="1:5" ht="14">
      <c r="A26" s="12"/>
      <c r="B26" s="12"/>
      <c r="C26" s="12"/>
      <c r="D26" s="12"/>
      <c r="E26" s="12"/>
    </row>
    <row r="27" spans="1:5" ht="14">
      <c r="A27" s="12"/>
      <c r="B27" s="12"/>
      <c r="C27" s="12"/>
      <c r="D27" s="12"/>
      <c r="E27" s="12"/>
    </row>
    <row r="28" spans="1:5" ht="14">
      <c r="A28" s="12"/>
      <c r="B28" s="12"/>
      <c r="C28" s="12"/>
      <c r="D28" s="12"/>
      <c r="E28" s="12"/>
    </row>
    <row r="29" spans="1:5" ht="14">
      <c r="A29" s="12"/>
      <c r="B29" s="12"/>
      <c r="C29" s="12"/>
      <c r="D29" s="12"/>
      <c r="E29" s="12"/>
    </row>
    <row r="30" spans="1:5" ht="14">
      <c r="A30" s="12"/>
      <c r="B30" s="12"/>
      <c r="C30" s="12"/>
      <c r="D30" s="12"/>
      <c r="E30" s="12"/>
    </row>
    <row r="31" spans="1:5" ht="14">
      <c r="A31" s="12"/>
      <c r="B31" s="12"/>
      <c r="C31" s="12"/>
      <c r="D31" s="12"/>
      <c r="E31" s="12"/>
    </row>
    <row r="32" spans="1:5" ht="14">
      <c r="A32" s="12"/>
      <c r="B32" s="12"/>
      <c r="C32" s="12"/>
      <c r="D32" s="12"/>
      <c r="E32" s="12"/>
    </row>
    <row r="33" spans="1:5" ht="14">
      <c r="A33" s="12"/>
      <c r="B33" s="12"/>
      <c r="C33" s="12"/>
      <c r="D33" s="12"/>
      <c r="E33" s="12"/>
    </row>
    <row r="34" spans="1:5" ht="14">
      <c r="A34" s="12"/>
      <c r="B34" s="12"/>
      <c r="C34" s="12"/>
      <c r="D34" s="12"/>
      <c r="E34" s="12"/>
    </row>
    <row r="35" spans="1:5" ht="14">
      <c r="A35" s="12"/>
      <c r="B35" s="12"/>
      <c r="C35" s="12"/>
      <c r="D35" s="12"/>
      <c r="E35" s="12"/>
    </row>
    <row r="36" spans="1:5" ht="14">
      <c r="A36" s="12"/>
      <c r="B36" s="12"/>
      <c r="C36" s="12"/>
      <c r="D36" s="12"/>
      <c r="E36" s="12"/>
    </row>
    <row r="37" spans="1:5" ht="14">
      <c r="A37" s="12"/>
      <c r="B37" s="12"/>
      <c r="C37" s="12"/>
      <c r="D37" s="12"/>
      <c r="E37" s="12"/>
    </row>
    <row r="38" spans="1:5" ht="14">
      <c r="A38" s="12"/>
      <c r="B38" s="12"/>
      <c r="C38" s="12"/>
      <c r="D38" s="12"/>
      <c r="E38" s="12"/>
    </row>
    <row r="39" spans="1:5" ht="14">
      <c r="A39" s="12"/>
      <c r="B39" s="12"/>
      <c r="C39" s="12"/>
      <c r="D39" s="12"/>
      <c r="E39" s="12"/>
    </row>
    <row r="40" spans="1:5" ht="14">
      <c r="A40" s="12"/>
      <c r="B40" s="12"/>
      <c r="C40" s="12"/>
      <c r="D40" s="12"/>
      <c r="E40" s="12"/>
    </row>
    <row r="41" spans="1:5" ht="14">
      <c r="A41" s="12"/>
      <c r="B41" s="12"/>
      <c r="C41" s="12"/>
      <c r="D41" s="12"/>
      <c r="E41" s="12"/>
    </row>
    <row r="42" spans="1:5" ht="14">
      <c r="A42" s="12"/>
      <c r="B42" s="12"/>
      <c r="C42" s="12"/>
      <c r="D42" s="12"/>
      <c r="E42" s="12"/>
    </row>
    <row r="43" spans="1:5" ht="14">
      <c r="A43" s="12"/>
      <c r="B43" s="12"/>
      <c r="C43" s="12"/>
      <c r="D43" s="12"/>
      <c r="E43" s="12"/>
    </row>
    <row r="44" spans="1:5" ht="14">
      <c r="A44" s="12"/>
      <c r="B44" s="12"/>
      <c r="C44" s="12"/>
      <c r="D44" s="12"/>
      <c r="E44" s="12"/>
    </row>
    <row r="45" spans="1:5" ht="14">
      <c r="A45" s="12"/>
      <c r="B45" s="12"/>
      <c r="C45" s="12"/>
      <c r="D45" s="12"/>
      <c r="E45" s="12"/>
    </row>
    <row r="46" spans="1:5" ht="14">
      <c r="A46" s="12"/>
      <c r="B46" s="12"/>
      <c r="C46" s="12"/>
      <c r="D46" s="12"/>
      <c r="E46" s="12"/>
    </row>
    <row r="47" spans="1:5" ht="14">
      <c r="A47" s="12"/>
      <c r="B47" s="12"/>
      <c r="C47" s="12"/>
      <c r="D47" s="12"/>
      <c r="E47" s="12"/>
    </row>
    <row r="48" spans="1:5" ht="14">
      <c r="A48" s="12"/>
      <c r="B48" s="12"/>
      <c r="C48" s="12"/>
      <c r="D48" s="12"/>
      <c r="E48" s="12"/>
    </row>
    <row r="49" spans="1:5" ht="14">
      <c r="A49" s="12"/>
      <c r="B49" s="12"/>
      <c r="C49" s="12"/>
      <c r="D49" s="12"/>
      <c r="E49" s="12"/>
    </row>
    <row r="50" spans="1:5" ht="14">
      <c r="A50" s="12"/>
      <c r="B50" s="12"/>
      <c r="C50" s="12"/>
      <c r="D50" s="12"/>
      <c r="E50" s="12"/>
    </row>
    <row r="51" spans="1:5" ht="14">
      <c r="A51" s="12"/>
      <c r="B51" s="12"/>
      <c r="C51" s="12"/>
      <c r="D51" s="12"/>
      <c r="E51" s="12"/>
    </row>
    <row r="52" spans="1:5" ht="14">
      <c r="A52" s="12"/>
      <c r="B52" s="12"/>
      <c r="C52" s="12"/>
      <c r="D52" s="12"/>
      <c r="E52" s="12"/>
    </row>
    <row r="53" spans="1:5" ht="14">
      <c r="A53" s="12"/>
      <c r="B53" s="12"/>
      <c r="C53" s="12"/>
      <c r="D53" s="12"/>
      <c r="E53" s="12"/>
    </row>
    <row r="54" spans="1:5" ht="14">
      <c r="A54" s="12"/>
      <c r="B54" s="12"/>
      <c r="C54" s="12"/>
      <c r="D54" s="12"/>
      <c r="E54" s="12"/>
    </row>
    <row r="55" spans="1:5" ht="14">
      <c r="A55" s="12"/>
      <c r="B55" s="12"/>
      <c r="C55" s="12"/>
      <c r="D55" s="12"/>
      <c r="E55" s="12"/>
    </row>
    <row r="56" spans="1:5" ht="14">
      <c r="A56" s="12"/>
      <c r="B56" s="12"/>
      <c r="C56" s="12"/>
      <c r="D56" s="12"/>
      <c r="E56" s="12"/>
    </row>
    <row r="57" spans="1:5" ht="14">
      <c r="A57" s="12"/>
      <c r="B57" s="12"/>
      <c r="C57" s="12"/>
      <c r="D57" s="12"/>
      <c r="E57" s="12"/>
    </row>
    <row r="58" spans="1:5" ht="14">
      <c r="A58" s="12"/>
      <c r="B58" s="12"/>
      <c r="C58" s="12"/>
      <c r="D58" s="12"/>
      <c r="E58" s="12"/>
    </row>
    <row r="59" spans="1:5" ht="14">
      <c r="A59" s="12"/>
      <c r="B59" s="12"/>
      <c r="C59" s="12"/>
      <c r="D59" s="12"/>
      <c r="E59" s="12"/>
    </row>
    <row r="60" spans="1:5" ht="14">
      <c r="A60" s="12"/>
      <c r="B60" s="12"/>
      <c r="C60" s="12"/>
      <c r="D60" s="12"/>
      <c r="E60" s="12"/>
    </row>
    <row r="61" spans="1:5" ht="14">
      <c r="A61" s="12"/>
      <c r="B61" s="12"/>
      <c r="C61" s="12"/>
      <c r="D61" s="12"/>
      <c r="E61" s="12"/>
    </row>
    <row r="62" spans="1:5" ht="14">
      <c r="A62" s="12"/>
      <c r="B62" s="12"/>
      <c r="C62" s="12"/>
      <c r="D62" s="12"/>
      <c r="E62" s="12"/>
    </row>
    <row r="63" spans="1:5" ht="14">
      <c r="A63" s="12"/>
      <c r="B63" s="12"/>
      <c r="C63" s="12"/>
      <c r="D63" s="12"/>
      <c r="E63" s="12"/>
    </row>
    <row r="64" spans="1:5" ht="14">
      <c r="A64" s="12"/>
      <c r="B64" s="12"/>
      <c r="C64" s="12"/>
      <c r="D64" s="12"/>
      <c r="E64" s="12"/>
    </row>
    <row r="65" spans="1:5" ht="14">
      <c r="A65" s="12"/>
      <c r="B65" s="12"/>
      <c r="C65" s="12"/>
      <c r="D65" s="12"/>
      <c r="E65" s="12"/>
    </row>
    <row r="66" spans="1:5" ht="14">
      <c r="A66" s="12"/>
      <c r="B66" s="12"/>
      <c r="C66" s="12"/>
      <c r="D66" s="12"/>
      <c r="E66" s="12"/>
    </row>
    <row r="67" spans="1:5" ht="14">
      <c r="A67" s="12"/>
      <c r="B67" s="12"/>
      <c r="C67" s="12"/>
      <c r="D67" s="12"/>
      <c r="E67" s="12"/>
    </row>
    <row r="68" spans="1:5" ht="14">
      <c r="A68" s="12"/>
      <c r="B68" s="12"/>
      <c r="C68" s="12"/>
      <c r="D68" s="12"/>
      <c r="E68" s="12"/>
    </row>
    <row r="69" spans="1:5" ht="14">
      <c r="A69" s="12"/>
      <c r="B69" s="12"/>
      <c r="C69" s="12"/>
      <c r="D69" s="12"/>
      <c r="E69" s="12"/>
    </row>
    <row r="70" spans="1:5" ht="14">
      <c r="A70" s="12"/>
      <c r="B70" s="12"/>
      <c r="C70" s="12"/>
      <c r="D70" s="12"/>
      <c r="E70" s="12"/>
    </row>
    <row r="71" spans="1:5" ht="14">
      <c r="A71" s="12"/>
      <c r="B71" s="12"/>
      <c r="C71" s="12"/>
      <c r="D71" s="12"/>
      <c r="E71" s="12"/>
    </row>
    <row r="72" spans="1:5" ht="14">
      <c r="A72" s="12"/>
      <c r="B72" s="12"/>
      <c r="C72" s="12"/>
      <c r="D72" s="12"/>
      <c r="E72" s="12"/>
    </row>
    <row r="73" spans="1:5" ht="14">
      <c r="A73" s="12"/>
      <c r="B73" s="12"/>
      <c r="C73" s="12"/>
      <c r="D73" s="12"/>
      <c r="E73" s="12"/>
    </row>
    <row r="74" spans="1:5" ht="14">
      <c r="A74" s="12"/>
      <c r="B74" s="12"/>
      <c r="C74" s="12"/>
      <c r="D74" s="12"/>
      <c r="E74" s="12"/>
    </row>
    <row r="75" spans="1:5" ht="14">
      <c r="A75" s="12"/>
      <c r="B75" s="12"/>
      <c r="C75" s="12"/>
      <c r="D75" s="12"/>
      <c r="E75" s="12"/>
    </row>
    <row r="76" spans="1:5" ht="14">
      <c r="A76" s="12"/>
      <c r="B76" s="12"/>
      <c r="C76" s="12"/>
      <c r="D76" s="12"/>
      <c r="E76" s="12"/>
    </row>
    <row r="77" spans="1:5" ht="14">
      <c r="A77" s="12"/>
      <c r="B77" s="12"/>
      <c r="C77" s="12"/>
      <c r="D77" s="12"/>
      <c r="E77" s="12"/>
    </row>
    <row r="78" spans="1:5" ht="14">
      <c r="A78" s="12"/>
      <c r="B78" s="12"/>
      <c r="C78" s="12"/>
      <c r="D78" s="12"/>
      <c r="E78" s="12"/>
    </row>
  </sheetData>
  <phoneticPr fontId="2" type="noConversion"/>
  <pageMargins left="0.75" right="0.75" top="1" bottom="1" header="0.5" footer="0.5"/>
  <pageSetup paperSize="5" scale="92" fitToHeight="7" orientation="landscape"/>
  <headerFooter alignWithMargins="0">
    <oddFooter>&amp;L2009-2010&amp;C&amp;A&amp;RPage &amp;P of &amp;N</oddFooter>
  </headerFooter>
  <drawing r:id="rId1"/>
  <extLst>
    <ext xmlns:mx="http://schemas.microsoft.com/office/mac/excel/2008/main" uri="{64002731-A6B0-56B0-2670-7721B7C09600}">
      <mx:PLV Mode="0" OnePage="0" WScale="10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D116"/>
  <sheetViews>
    <sheetView workbookViewId="0"/>
  </sheetViews>
  <sheetFormatPr baseColWidth="10" defaultColWidth="8.83203125" defaultRowHeight="12" x14ac:dyDescent="0"/>
  <cols>
    <col min="1" max="1" width="13.5" customWidth="1"/>
    <col min="2" max="2" width="78" customWidth="1"/>
    <col min="3" max="3" width="13.5" customWidth="1"/>
    <col min="4" max="4" width="64" customWidth="1"/>
  </cols>
  <sheetData>
    <row r="1" spans="1:4" ht="18">
      <c r="A1" s="213" t="s">
        <v>1144</v>
      </c>
      <c r="B1" s="128"/>
      <c r="C1" s="12"/>
      <c r="D1" s="12"/>
    </row>
    <row r="2" spans="1:4" ht="14">
      <c r="A2" s="12"/>
      <c r="B2" s="12"/>
      <c r="C2" s="12"/>
      <c r="D2" s="12"/>
    </row>
    <row r="3" spans="1:4" ht="15" thickBot="1">
      <c r="A3" s="29" t="s">
        <v>217</v>
      </c>
      <c r="B3" s="29" t="s">
        <v>216</v>
      </c>
      <c r="C3" s="29" t="s">
        <v>1146</v>
      </c>
      <c r="D3" s="29" t="s">
        <v>215</v>
      </c>
    </row>
    <row r="4" spans="1:4" ht="14">
      <c r="A4" s="230" t="s">
        <v>342</v>
      </c>
      <c r="B4" s="230" t="s">
        <v>343</v>
      </c>
      <c r="C4" s="235">
        <v>531481</v>
      </c>
      <c r="D4" s="230" t="s">
        <v>344</v>
      </c>
    </row>
    <row r="5" spans="1:4" ht="14">
      <c r="A5" s="183" t="s">
        <v>345</v>
      </c>
      <c r="B5" s="183" t="s">
        <v>328</v>
      </c>
      <c r="C5" s="222">
        <v>187076</v>
      </c>
      <c r="D5" s="183" t="s">
        <v>1145</v>
      </c>
    </row>
    <row r="6" spans="1:4" ht="14">
      <c r="A6" s="183" t="s">
        <v>346</v>
      </c>
      <c r="B6" s="183" t="s">
        <v>347</v>
      </c>
      <c r="C6" s="222">
        <v>7193.04</v>
      </c>
      <c r="D6" s="183" t="s">
        <v>193</v>
      </c>
    </row>
    <row r="7" spans="1:4" ht="14">
      <c r="A7" s="183" t="s">
        <v>348</v>
      </c>
      <c r="B7" s="183" t="s">
        <v>349</v>
      </c>
      <c r="C7" s="222">
        <v>2529948.2999999998</v>
      </c>
      <c r="D7" s="183" t="s">
        <v>350</v>
      </c>
    </row>
    <row r="8" spans="1:4" ht="28">
      <c r="A8" s="183" t="s">
        <v>351</v>
      </c>
      <c r="B8" s="183" t="s">
        <v>352</v>
      </c>
      <c r="C8" s="222">
        <v>2229014.33</v>
      </c>
      <c r="D8" s="183" t="s">
        <v>465</v>
      </c>
    </row>
    <row r="9" spans="1:4" ht="14">
      <c r="A9" s="183" t="s">
        <v>353</v>
      </c>
      <c r="B9" s="183" t="s">
        <v>354</v>
      </c>
      <c r="C9" s="217">
        <v>179064</v>
      </c>
      <c r="D9" s="183" t="s">
        <v>464</v>
      </c>
    </row>
    <row r="10" spans="1:4" ht="14">
      <c r="A10" s="12"/>
      <c r="B10" s="12"/>
      <c r="C10" s="12"/>
      <c r="D10" s="12"/>
    </row>
    <row r="11" spans="1:4" ht="14">
      <c r="A11" s="12"/>
      <c r="B11" s="12"/>
      <c r="C11" s="12"/>
      <c r="D11" s="12"/>
    </row>
    <row r="12" spans="1:4" ht="14">
      <c r="A12" s="12"/>
      <c r="B12" s="12"/>
      <c r="C12" s="12"/>
      <c r="D12" s="12"/>
    </row>
    <row r="13" spans="1:4" ht="14">
      <c r="A13" s="12"/>
      <c r="B13" s="12"/>
      <c r="C13" s="12"/>
      <c r="D13" s="12"/>
    </row>
    <row r="14" spans="1:4" ht="14">
      <c r="A14" s="12"/>
      <c r="B14" s="12"/>
      <c r="C14" s="12"/>
      <c r="D14" s="12"/>
    </row>
    <row r="15" spans="1:4" ht="14">
      <c r="A15" s="12"/>
      <c r="B15" s="12"/>
      <c r="C15" s="12"/>
      <c r="D15" s="12"/>
    </row>
    <row r="16" spans="1:4" ht="14">
      <c r="A16" s="12"/>
      <c r="B16" s="12"/>
      <c r="C16" s="12"/>
      <c r="D16" s="12"/>
    </row>
    <row r="17" spans="1:4" ht="14">
      <c r="A17" s="12"/>
      <c r="B17" s="12"/>
      <c r="C17" s="12"/>
      <c r="D17" s="12"/>
    </row>
    <row r="18" spans="1:4" ht="14">
      <c r="A18" s="12"/>
      <c r="B18" s="12"/>
      <c r="C18" s="12"/>
      <c r="D18" s="12"/>
    </row>
    <row r="19" spans="1:4" ht="14">
      <c r="A19" s="12"/>
      <c r="B19" s="12"/>
      <c r="C19" s="12"/>
      <c r="D19" s="12"/>
    </row>
    <row r="20" spans="1:4" ht="14">
      <c r="A20" s="12"/>
      <c r="B20" s="12"/>
      <c r="C20" s="12"/>
      <c r="D20" s="12"/>
    </row>
    <row r="21" spans="1:4" ht="14">
      <c r="A21" s="12"/>
      <c r="B21" s="12"/>
      <c r="C21" s="12"/>
      <c r="D21" s="12"/>
    </row>
    <row r="22" spans="1:4" ht="14">
      <c r="A22" s="12"/>
      <c r="B22" s="12"/>
      <c r="C22" s="12"/>
      <c r="D22" s="12"/>
    </row>
    <row r="23" spans="1:4" ht="14">
      <c r="A23" s="12"/>
      <c r="B23" s="12"/>
      <c r="C23" s="12"/>
      <c r="D23" s="12"/>
    </row>
    <row r="24" spans="1:4" ht="14">
      <c r="A24" s="12"/>
      <c r="B24" s="12"/>
      <c r="C24" s="12"/>
      <c r="D24" s="12"/>
    </row>
    <row r="25" spans="1:4" ht="14">
      <c r="A25" s="12"/>
      <c r="B25" s="12"/>
      <c r="C25" s="12"/>
      <c r="D25" s="12"/>
    </row>
    <row r="26" spans="1:4" ht="14">
      <c r="A26" s="12"/>
      <c r="B26" s="12"/>
      <c r="C26" s="12"/>
      <c r="D26" s="12"/>
    </row>
    <row r="27" spans="1:4" ht="14">
      <c r="A27" s="12"/>
      <c r="B27" s="12"/>
      <c r="C27" s="12"/>
      <c r="D27" s="12"/>
    </row>
    <row r="28" spans="1:4" ht="14">
      <c r="A28" s="12"/>
      <c r="B28" s="12"/>
      <c r="C28" s="12"/>
      <c r="D28" s="12"/>
    </row>
    <row r="29" spans="1:4" ht="14">
      <c r="A29" s="12"/>
      <c r="B29" s="12"/>
      <c r="C29" s="12"/>
      <c r="D29" s="12"/>
    </row>
    <row r="30" spans="1:4" ht="14">
      <c r="A30" s="12"/>
      <c r="B30" s="12"/>
      <c r="C30" s="12"/>
      <c r="D30" s="12"/>
    </row>
    <row r="31" spans="1:4" ht="14">
      <c r="A31" s="12"/>
      <c r="B31" s="12"/>
      <c r="C31" s="12"/>
      <c r="D31" s="12"/>
    </row>
    <row r="32" spans="1:4" ht="14">
      <c r="A32" s="12"/>
      <c r="B32" s="12"/>
      <c r="C32" s="12"/>
      <c r="D32" s="12"/>
    </row>
    <row r="33" spans="1:4" ht="14">
      <c r="A33" s="12"/>
      <c r="B33" s="12"/>
      <c r="C33" s="12"/>
      <c r="D33" s="12"/>
    </row>
    <row r="34" spans="1:4" ht="14">
      <c r="A34" s="12"/>
      <c r="B34" s="12"/>
      <c r="C34" s="12"/>
      <c r="D34" s="12"/>
    </row>
    <row r="35" spans="1:4" ht="14">
      <c r="A35" s="12"/>
      <c r="B35" s="12"/>
      <c r="C35" s="12"/>
      <c r="D35" s="12"/>
    </row>
    <row r="36" spans="1:4" ht="14">
      <c r="A36" s="12"/>
      <c r="B36" s="12"/>
      <c r="C36" s="12"/>
      <c r="D36" s="12"/>
    </row>
    <row r="37" spans="1:4" ht="14">
      <c r="A37" s="12"/>
      <c r="B37" s="12"/>
      <c r="C37" s="12"/>
      <c r="D37" s="12"/>
    </row>
    <row r="38" spans="1:4" ht="14">
      <c r="A38" s="12"/>
      <c r="B38" s="12"/>
      <c r="C38" s="12"/>
      <c r="D38" s="12"/>
    </row>
    <row r="39" spans="1:4" ht="14">
      <c r="A39" s="12"/>
      <c r="B39" s="12"/>
      <c r="C39" s="12"/>
      <c r="D39" s="12"/>
    </row>
    <row r="40" spans="1:4" ht="14">
      <c r="A40" s="12"/>
      <c r="B40" s="12"/>
      <c r="C40" s="12"/>
      <c r="D40" s="12"/>
    </row>
    <row r="41" spans="1:4" ht="14">
      <c r="A41" s="12"/>
      <c r="B41" s="12"/>
      <c r="C41" s="12"/>
      <c r="D41" s="12"/>
    </row>
    <row r="42" spans="1:4" ht="14">
      <c r="A42" s="12"/>
      <c r="B42" s="12"/>
      <c r="C42" s="12"/>
      <c r="D42" s="12"/>
    </row>
    <row r="43" spans="1:4" ht="14">
      <c r="A43" s="12"/>
      <c r="B43" s="12"/>
      <c r="C43" s="12"/>
      <c r="D43" s="12"/>
    </row>
    <row r="44" spans="1:4" ht="14">
      <c r="A44" s="12"/>
      <c r="B44" s="12"/>
      <c r="C44" s="12"/>
      <c r="D44" s="12"/>
    </row>
    <row r="45" spans="1:4" ht="14">
      <c r="A45" s="12"/>
      <c r="B45" s="12"/>
      <c r="C45" s="12"/>
      <c r="D45" s="12"/>
    </row>
    <row r="46" spans="1:4" ht="14">
      <c r="A46" s="12"/>
      <c r="B46" s="12"/>
      <c r="C46" s="12"/>
      <c r="D46" s="12"/>
    </row>
    <row r="47" spans="1:4" ht="14">
      <c r="A47" s="12"/>
      <c r="B47" s="12"/>
      <c r="C47" s="12"/>
      <c r="D47" s="12"/>
    </row>
    <row r="48" spans="1:4" ht="14">
      <c r="A48" s="12"/>
      <c r="B48" s="12"/>
      <c r="C48" s="12"/>
      <c r="D48" s="12"/>
    </row>
    <row r="49" spans="1:4" ht="14">
      <c r="A49" s="12"/>
      <c r="B49" s="12"/>
      <c r="C49" s="12"/>
      <c r="D49" s="12"/>
    </row>
    <row r="50" spans="1:4" ht="14">
      <c r="A50" s="12"/>
      <c r="B50" s="12"/>
      <c r="C50" s="12"/>
      <c r="D50" s="12"/>
    </row>
    <row r="51" spans="1:4" ht="14">
      <c r="A51" s="12"/>
      <c r="B51" s="12"/>
      <c r="C51" s="12"/>
      <c r="D51" s="12"/>
    </row>
    <row r="52" spans="1:4" ht="14">
      <c r="A52" s="12"/>
      <c r="B52" s="12"/>
      <c r="C52" s="12"/>
      <c r="D52" s="12"/>
    </row>
    <row r="53" spans="1:4" ht="14">
      <c r="A53" s="12"/>
      <c r="B53" s="12"/>
      <c r="C53" s="12"/>
      <c r="D53" s="12"/>
    </row>
    <row r="54" spans="1:4" ht="14">
      <c r="A54" s="12"/>
      <c r="B54" s="12"/>
      <c r="C54" s="12"/>
      <c r="D54" s="12"/>
    </row>
    <row r="55" spans="1:4" ht="14">
      <c r="A55" s="12"/>
      <c r="B55" s="12"/>
      <c r="C55" s="12"/>
      <c r="D55" s="12"/>
    </row>
    <row r="56" spans="1:4" ht="14">
      <c r="A56" s="12"/>
      <c r="B56" s="12"/>
      <c r="C56" s="12"/>
      <c r="D56" s="12"/>
    </row>
    <row r="57" spans="1:4" ht="14">
      <c r="A57" s="12"/>
      <c r="B57" s="12"/>
      <c r="C57" s="12"/>
      <c r="D57" s="12"/>
    </row>
    <row r="58" spans="1:4" ht="14">
      <c r="A58" s="12"/>
      <c r="B58" s="12"/>
      <c r="C58" s="12"/>
      <c r="D58" s="12"/>
    </row>
    <row r="59" spans="1:4" ht="14">
      <c r="A59" s="12"/>
      <c r="B59" s="12"/>
      <c r="C59" s="12"/>
      <c r="D59" s="12"/>
    </row>
    <row r="60" spans="1:4" ht="14">
      <c r="A60" s="12"/>
      <c r="B60" s="12"/>
      <c r="C60" s="12"/>
      <c r="D60" s="12"/>
    </row>
    <row r="61" spans="1:4" ht="14">
      <c r="A61" s="12"/>
      <c r="B61" s="12"/>
      <c r="C61" s="12"/>
      <c r="D61" s="12"/>
    </row>
    <row r="62" spans="1:4" ht="14">
      <c r="A62" s="12"/>
      <c r="B62" s="12"/>
      <c r="C62" s="12"/>
      <c r="D62" s="12"/>
    </row>
    <row r="63" spans="1:4" ht="14">
      <c r="A63" s="12"/>
      <c r="B63" s="12"/>
      <c r="C63" s="12"/>
      <c r="D63" s="12"/>
    </row>
    <row r="64" spans="1:4" ht="14">
      <c r="A64" s="12"/>
      <c r="B64" s="12"/>
      <c r="C64" s="12"/>
      <c r="D64" s="12"/>
    </row>
    <row r="65" spans="1:4" ht="14">
      <c r="A65" s="12"/>
      <c r="B65" s="12"/>
      <c r="C65" s="12"/>
      <c r="D65" s="12"/>
    </row>
    <row r="66" spans="1:4" ht="14">
      <c r="A66" s="12"/>
      <c r="B66" s="12"/>
      <c r="C66" s="12"/>
      <c r="D66" s="12"/>
    </row>
    <row r="67" spans="1:4" ht="14">
      <c r="A67" s="12"/>
      <c r="B67" s="12"/>
      <c r="C67" s="12"/>
      <c r="D67" s="12"/>
    </row>
    <row r="68" spans="1:4" ht="14">
      <c r="A68" s="12"/>
      <c r="B68" s="12"/>
      <c r="C68" s="12"/>
      <c r="D68" s="12"/>
    </row>
    <row r="69" spans="1:4" ht="14">
      <c r="A69" s="12"/>
      <c r="B69" s="12"/>
      <c r="C69" s="12"/>
      <c r="D69" s="12"/>
    </row>
    <row r="70" spans="1:4" ht="14">
      <c r="A70" s="12"/>
      <c r="B70" s="12"/>
      <c r="C70" s="12"/>
      <c r="D70" s="12"/>
    </row>
    <row r="71" spans="1:4" ht="14">
      <c r="A71" s="12"/>
      <c r="B71" s="12"/>
      <c r="C71" s="12"/>
      <c r="D71" s="12"/>
    </row>
    <row r="72" spans="1:4" ht="14">
      <c r="A72" s="12"/>
      <c r="B72" s="12"/>
      <c r="C72" s="12"/>
      <c r="D72" s="12"/>
    </row>
    <row r="73" spans="1:4" ht="14">
      <c r="A73" s="12"/>
      <c r="B73" s="12"/>
      <c r="C73" s="12"/>
      <c r="D73" s="12"/>
    </row>
    <row r="74" spans="1:4" ht="14">
      <c r="A74" s="12"/>
      <c r="B74" s="12"/>
      <c r="C74" s="12"/>
      <c r="D74" s="12"/>
    </row>
    <row r="75" spans="1:4" ht="14">
      <c r="A75" s="12"/>
      <c r="B75" s="12"/>
      <c r="C75" s="12"/>
      <c r="D75" s="12"/>
    </row>
    <row r="76" spans="1:4" ht="14">
      <c r="A76" s="12"/>
      <c r="B76" s="12"/>
      <c r="C76" s="12"/>
      <c r="D76" s="12"/>
    </row>
    <row r="77" spans="1:4" ht="14">
      <c r="A77" s="12"/>
      <c r="B77" s="12"/>
      <c r="C77" s="12"/>
      <c r="D77" s="12"/>
    </row>
    <row r="78" spans="1:4" ht="14">
      <c r="A78" s="12"/>
      <c r="B78" s="12"/>
      <c r="C78" s="12"/>
      <c r="D78" s="12"/>
    </row>
    <row r="79" spans="1:4" ht="14">
      <c r="A79" s="12"/>
      <c r="B79" s="12"/>
      <c r="C79" s="12"/>
      <c r="D79" s="12"/>
    </row>
    <row r="80" spans="1:4" ht="14">
      <c r="A80" s="12"/>
      <c r="B80" s="12"/>
      <c r="C80" s="12"/>
      <c r="D80" s="12"/>
    </row>
    <row r="81" spans="1:4" ht="14">
      <c r="A81" s="12"/>
      <c r="B81" s="12"/>
      <c r="C81" s="12"/>
      <c r="D81" s="12"/>
    </row>
    <row r="82" spans="1:4" ht="14">
      <c r="A82" s="12"/>
      <c r="B82" s="12"/>
      <c r="C82" s="12"/>
      <c r="D82" s="12"/>
    </row>
    <row r="83" spans="1:4" ht="14">
      <c r="A83" s="12"/>
      <c r="B83" s="12"/>
      <c r="C83" s="12"/>
      <c r="D83" s="12"/>
    </row>
    <row r="84" spans="1:4" ht="14">
      <c r="A84" s="12"/>
      <c r="B84" s="12"/>
      <c r="C84" s="12"/>
      <c r="D84" s="12"/>
    </row>
    <row r="85" spans="1:4" ht="14">
      <c r="A85" s="12"/>
      <c r="B85" s="12"/>
      <c r="C85" s="12"/>
      <c r="D85" s="12"/>
    </row>
    <row r="86" spans="1:4" ht="14">
      <c r="A86" s="12"/>
      <c r="B86" s="12"/>
      <c r="C86" s="12"/>
      <c r="D86" s="12"/>
    </row>
    <row r="87" spans="1:4" ht="14">
      <c r="A87" s="12"/>
      <c r="B87" s="12"/>
      <c r="C87" s="12"/>
      <c r="D87" s="12"/>
    </row>
    <row r="88" spans="1:4" ht="14">
      <c r="A88" s="12"/>
      <c r="B88" s="12"/>
      <c r="C88" s="12"/>
      <c r="D88" s="12"/>
    </row>
    <row r="89" spans="1:4" ht="14">
      <c r="A89" s="12"/>
      <c r="B89" s="12"/>
      <c r="C89" s="12"/>
      <c r="D89" s="12"/>
    </row>
    <row r="90" spans="1:4" ht="14">
      <c r="A90" s="12"/>
      <c r="B90" s="12"/>
      <c r="C90" s="12"/>
      <c r="D90" s="12"/>
    </row>
    <row r="91" spans="1:4" ht="14">
      <c r="A91" s="12"/>
      <c r="B91" s="12"/>
      <c r="C91" s="12"/>
      <c r="D91" s="12"/>
    </row>
    <row r="92" spans="1:4" ht="14">
      <c r="A92" s="12"/>
      <c r="B92" s="12"/>
      <c r="C92" s="12"/>
      <c r="D92" s="12"/>
    </row>
    <row r="93" spans="1:4" ht="14">
      <c r="A93" s="12"/>
      <c r="B93" s="12"/>
      <c r="C93" s="12"/>
      <c r="D93" s="12"/>
    </row>
    <row r="94" spans="1:4" ht="14">
      <c r="A94" s="12"/>
      <c r="B94" s="12"/>
      <c r="C94" s="12"/>
      <c r="D94" s="12"/>
    </row>
    <row r="95" spans="1:4" ht="14">
      <c r="A95" s="12"/>
      <c r="B95" s="12"/>
      <c r="C95" s="12"/>
      <c r="D95" s="12"/>
    </row>
    <row r="96" spans="1:4" ht="14">
      <c r="A96" s="12"/>
      <c r="B96" s="12"/>
      <c r="C96" s="12"/>
      <c r="D96" s="12"/>
    </row>
    <row r="97" spans="1:4" ht="14">
      <c r="A97" s="12"/>
      <c r="B97" s="12"/>
      <c r="C97" s="12"/>
      <c r="D97" s="12"/>
    </row>
    <row r="98" spans="1:4" ht="14">
      <c r="A98" s="12"/>
      <c r="B98" s="12"/>
      <c r="C98" s="12"/>
      <c r="D98" s="12"/>
    </row>
    <row r="99" spans="1:4" ht="14">
      <c r="A99" s="12"/>
      <c r="B99" s="12"/>
      <c r="C99" s="12"/>
      <c r="D99" s="12"/>
    </row>
    <row r="100" spans="1:4" ht="14">
      <c r="A100" s="12"/>
      <c r="B100" s="12"/>
      <c r="C100" s="12"/>
      <c r="D100" s="12"/>
    </row>
    <row r="101" spans="1:4" ht="14">
      <c r="A101" s="12"/>
      <c r="B101" s="12"/>
      <c r="C101" s="12"/>
      <c r="D101" s="12"/>
    </row>
    <row r="102" spans="1:4" ht="14">
      <c r="A102" s="12"/>
      <c r="B102" s="12"/>
      <c r="C102" s="12"/>
      <c r="D102" s="12"/>
    </row>
    <row r="103" spans="1:4" ht="14">
      <c r="A103" s="12"/>
      <c r="B103" s="12"/>
      <c r="C103" s="12"/>
      <c r="D103" s="12"/>
    </row>
    <row r="104" spans="1:4" ht="14">
      <c r="A104" s="12"/>
      <c r="B104" s="12"/>
      <c r="C104" s="12"/>
      <c r="D104" s="12"/>
    </row>
    <row r="105" spans="1:4" ht="14">
      <c r="A105" s="12"/>
      <c r="B105" s="12"/>
      <c r="C105" s="12"/>
      <c r="D105" s="12"/>
    </row>
    <row r="106" spans="1:4" ht="14">
      <c r="A106" s="12"/>
      <c r="B106" s="12"/>
      <c r="C106" s="12"/>
      <c r="D106" s="12"/>
    </row>
    <row r="107" spans="1:4" ht="14">
      <c r="A107" s="12"/>
      <c r="B107" s="12"/>
      <c r="C107" s="12"/>
      <c r="D107" s="12"/>
    </row>
    <row r="108" spans="1:4" ht="14">
      <c r="A108" s="12"/>
      <c r="B108" s="12"/>
      <c r="C108" s="12"/>
      <c r="D108" s="12"/>
    </row>
    <row r="109" spans="1:4" ht="14">
      <c r="A109" s="12"/>
      <c r="B109" s="12"/>
      <c r="C109" s="12"/>
      <c r="D109" s="12"/>
    </row>
    <row r="110" spans="1:4" ht="14">
      <c r="A110" s="12"/>
      <c r="B110" s="12"/>
      <c r="C110" s="12"/>
      <c r="D110" s="12"/>
    </row>
    <row r="111" spans="1:4" ht="14">
      <c r="A111" s="12"/>
      <c r="B111" s="12"/>
      <c r="C111" s="12"/>
      <c r="D111" s="12"/>
    </row>
    <row r="112" spans="1:4" ht="14">
      <c r="A112" s="12"/>
      <c r="B112" s="12"/>
      <c r="C112" s="12"/>
      <c r="D112" s="12"/>
    </row>
    <row r="113" spans="1:4" ht="14">
      <c r="A113" s="12"/>
      <c r="B113" s="12"/>
      <c r="C113" s="12"/>
      <c r="D113" s="12"/>
    </row>
    <row r="114" spans="1:4" ht="14">
      <c r="A114" s="12"/>
      <c r="B114" s="12"/>
      <c r="C114" s="12"/>
      <c r="D114" s="12"/>
    </row>
    <row r="115" spans="1:4" ht="14">
      <c r="A115" s="12"/>
      <c r="B115" s="12"/>
      <c r="C115" s="12"/>
      <c r="D115" s="12"/>
    </row>
    <row r="116" spans="1:4" ht="14">
      <c r="A116" s="12"/>
      <c r="B116" s="12"/>
      <c r="C116" s="12"/>
      <c r="D116" s="12"/>
    </row>
  </sheetData>
  <phoneticPr fontId="2" type="noConversion"/>
  <pageMargins left="0.75" right="0.75" top="1" bottom="1" header="0.5" footer="0.5"/>
  <pageSetup paperSize="5" scale="88" fitToHeight="7" orientation="landscape"/>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117"/>
  <sheetViews>
    <sheetView workbookViewId="0"/>
  </sheetViews>
  <sheetFormatPr baseColWidth="10" defaultColWidth="8.83203125" defaultRowHeight="12" x14ac:dyDescent="0"/>
  <cols>
    <col min="1" max="1" width="13.5" customWidth="1"/>
    <col min="2" max="2" width="57.5" customWidth="1"/>
    <col min="3" max="3" width="13.5" customWidth="1"/>
    <col min="4" max="4" width="12" customWidth="1"/>
    <col min="5" max="5" width="49.83203125" customWidth="1"/>
  </cols>
  <sheetData>
    <row r="1" spans="1:5" ht="18">
      <c r="A1" s="213" t="s">
        <v>1144</v>
      </c>
      <c r="B1" s="128"/>
      <c r="C1" s="12"/>
      <c r="D1" s="12"/>
    </row>
    <row r="2" spans="1:5" ht="14">
      <c r="A2" s="12"/>
      <c r="B2" s="12"/>
      <c r="C2" s="12"/>
      <c r="D2" s="12"/>
    </row>
    <row r="3" spans="1:5" ht="29" thickBot="1">
      <c r="A3" s="29" t="s">
        <v>217</v>
      </c>
      <c r="B3" s="29" t="s">
        <v>216</v>
      </c>
      <c r="C3" s="30" t="s">
        <v>1227</v>
      </c>
      <c r="D3" s="30" t="s">
        <v>1228</v>
      </c>
      <c r="E3" s="29" t="s">
        <v>215</v>
      </c>
    </row>
    <row r="4" spans="1:5" ht="42">
      <c r="A4" s="230" t="s">
        <v>1225</v>
      </c>
      <c r="B4" s="230" t="s">
        <v>1226</v>
      </c>
      <c r="C4" s="236">
        <v>13657</v>
      </c>
      <c r="D4" s="230"/>
      <c r="E4" s="225" t="s">
        <v>1242</v>
      </c>
    </row>
    <row r="5" spans="1:5" ht="14">
      <c r="A5" s="183" t="s">
        <v>1229</v>
      </c>
      <c r="B5" s="183" t="s">
        <v>1235</v>
      </c>
      <c r="C5" s="227">
        <v>1</v>
      </c>
      <c r="D5" s="227">
        <v>50098</v>
      </c>
      <c r="E5" s="237"/>
    </row>
    <row r="6" spans="1:5" ht="14">
      <c r="A6" s="183" t="s">
        <v>1230</v>
      </c>
      <c r="B6" s="183" t="s">
        <v>1236</v>
      </c>
      <c r="C6" s="227">
        <v>55</v>
      </c>
      <c r="D6" s="227">
        <v>1724708</v>
      </c>
      <c r="E6" s="91" t="s">
        <v>1241</v>
      </c>
    </row>
    <row r="7" spans="1:5" ht="14">
      <c r="A7" s="183" t="s">
        <v>1231</v>
      </c>
      <c r="B7" s="183" t="s">
        <v>1237</v>
      </c>
      <c r="C7" s="227"/>
      <c r="D7" s="183"/>
      <c r="E7" s="91" t="s">
        <v>1243</v>
      </c>
    </row>
    <row r="8" spans="1:5" ht="56">
      <c r="A8" s="183" t="s">
        <v>1232</v>
      </c>
      <c r="B8" s="183" t="s">
        <v>1244</v>
      </c>
      <c r="C8" s="227">
        <v>5019</v>
      </c>
      <c r="D8" s="227">
        <v>25309</v>
      </c>
      <c r="E8" s="91" t="s">
        <v>1245</v>
      </c>
    </row>
    <row r="9" spans="1:5" ht="14">
      <c r="A9" s="183" t="s">
        <v>1233</v>
      </c>
      <c r="B9" s="183" t="s">
        <v>1238</v>
      </c>
      <c r="C9" s="227"/>
      <c r="D9" s="183"/>
      <c r="E9" s="91"/>
    </row>
    <row r="10" spans="1:5" ht="14">
      <c r="A10" s="183" t="s">
        <v>1234</v>
      </c>
      <c r="B10" s="183" t="s">
        <v>1239</v>
      </c>
      <c r="C10" s="238" t="s">
        <v>317</v>
      </c>
      <c r="D10" s="239" t="s">
        <v>317</v>
      </c>
      <c r="E10" s="91" t="s">
        <v>1240</v>
      </c>
    </row>
    <row r="11" spans="1:5" ht="14">
      <c r="A11" s="12"/>
      <c r="B11" s="12"/>
      <c r="C11" s="12"/>
      <c r="D11" s="12"/>
    </row>
    <row r="12" spans="1:5" ht="14">
      <c r="A12" s="12"/>
      <c r="B12" s="12"/>
      <c r="C12" s="12"/>
      <c r="D12" s="12"/>
    </row>
    <row r="13" spans="1:5" ht="14">
      <c r="A13" s="12"/>
      <c r="B13" s="12"/>
      <c r="C13" s="12"/>
      <c r="D13" s="12"/>
    </row>
    <row r="14" spans="1:5" ht="14">
      <c r="A14" s="12"/>
      <c r="B14" s="12"/>
      <c r="C14" s="12"/>
      <c r="D14" s="12"/>
    </row>
    <row r="15" spans="1:5" ht="14">
      <c r="A15" s="12"/>
      <c r="B15" s="12"/>
      <c r="C15" s="12"/>
      <c r="D15" s="12"/>
    </row>
    <row r="16" spans="1:5" ht="14">
      <c r="A16" s="12"/>
      <c r="B16" s="12"/>
      <c r="C16" s="12"/>
      <c r="D16" s="12"/>
    </row>
    <row r="17" spans="1:4" ht="14">
      <c r="A17" s="12"/>
      <c r="B17" s="12"/>
      <c r="C17" s="12"/>
      <c r="D17" s="12"/>
    </row>
    <row r="18" spans="1:4" ht="14">
      <c r="A18" s="12"/>
      <c r="B18" s="12"/>
      <c r="C18" s="12"/>
      <c r="D18" s="12"/>
    </row>
    <row r="19" spans="1:4" ht="14">
      <c r="A19" s="12"/>
      <c r="B19" s="12"/>
      <c r="C19" s="12"/>
      <c r="D19" s="12"/>
    </row>
    <row r="20" spans="1:4" ht="14">
      <c r="A20" s="12"/>
      <c r="B20" s="12"/>
      <c r="C20" s="12"/>
      <c r="D20" s="12"/>
    </row>
    <row r="21" spans="1:4" ht="14">
      <c r="A21" s="12"/>
      <c r="B21" s="12"/>
      <c r="C21" s="12"/>
      <c r="D21" s="12"/>
    </row>
    <row r="22" spans="1:4" ht="14">
      <c r="A22" s="12"/>
      <c r="B22" s="12"/>
      <c r="C22" s="12"/>
      <c r="D22" s="12"/>
    </row>
    <row r="23" spans="1:4" ht="14">
      <c r="A23" s="12"/>
      <c r="B23" s="12"/>
      <c r="C23" s="12"/>
      <c r="D23" s="12"/>
    </row>
    <row r="24" spans="1:4" ht="14">
      <c r="A24" s="12"/>
      <c r="B24" s="12"/>
      <c r="C24" s="12"/>
      <c r="D24" s="12"/>
    </row>
    <row r="25" spans="1:4" ht="14">
      <c r="A25" s="12"/>
      <c r="B25" s="12"/>
      <c r="C25" s="12"/>
      <c r="D25" s="12"/>
    </row>
    <row r="26" spans="1:4" ht="14">
      <c r="A26" s="12"/>
      <c r="B26" s="12"/>
      <c r="C26" s="12"/>
      <c r="D26" s="12"/>
    </row>
    <row r="27" spans="1:4" ht="14">
      <c r="A27" s="12"/>
      <c r="B27" s="12"/>
      <c r="C27" s="12"/>
      <c r="D27" s="12"/>
    </row>
    <row r="28" spans="1:4" ht="14">
      <c r="A28" s="12"/>
      <c r="B28" s="12"/>
      <c r="C28" s="12"/>
      <c r="D28" s="12"/>
    </row>
    <row r="29" spans="1:4" ht="14">
      <c r="A29" s="12"/>
      <c r="B29" s="12"/>
      <c r="C29" s="12"/>
      <c r="D29" s="12"/>
    </row>
    <row r="30" spans="1:4" ht="14">
      <c r="A30" s="12"/>
      <c r="B30" s="12"/>
      <c r="C30" s="12"/>
      <c r="D30" s="12"/>
    </row>
    <row r="31" spans="1:4" ht="14">
      <c r="A31" s="12"/>
      <c r="B31" s="12"/>
      <c r="C31" s="12"/>
      <c r="D31" s="12"/>
    </row>
    <row r="32" spans="1:4" ht="14">
      <c r="A32" s="12"/>
      <c r="B32" s="12"/>
      <c r="C32" s="12"/>
      <c r="D32" s="12"/>
    </row>
    <row r="33" spans="1:4" ht="14">
      <c r="A33" s="12"/>
      <c r="B33" s="12"/>
      <c r="C33" s="12"/>
      <c r="D33" s="12"/>
    </row>
    <row r="34" spans="1:4" ht="14">
      <c r="A34" s="12"/>
      <c r="B34" s="12"/>
      <c r="C34" s="12"/>
      <c r="D34" s="12"/>
    </row>
    <row r="35" spans="1:4" ht="14">
      <c r="A35" s="12"/>
      <c r="B35" s="12"/>
      <c r="C35" s="12"/>
      <c r="D35" s="12"/>
    </row>
    <row r="36" spans="1:4" ht="14">
      <c r="A36" s="12"/>
      <c r="B36" s="12"/>
      <c r="C36" s="12"/>
      <c r="D36" s="12"/>
    </row>
    <row r="37" spans="1:4" ht="14">
      <c r="A37" s="12"/>
      <c r="B37" s="12"/>
      <c r="C37" s="12"/>
      <c r="D37" s="12"/>
    </row>
    <row r="38" spans="1:4" ht="14">
      <c r="A38" s="12"/>
      <c r="B38" s="12"/>
      <c r="C38" s="12"/>
      <c r="D38" s="12"/>
    </row>
    <row r="39" spans="1:4" ht="14">
      <c r="A39" s="12"/>
      <c r="B39" s="12"/>
      <c r="C39" s="12"/>
      <c r="D39" s="12"/>
    </row>
    <row r="40" spans="1:4" ht="14">
      <c r="A40" s="12"/>
      <c r="B40" s="12"/>
      <c r="C40" s="12"/>
      <c r="D40" s="12"/>
    </row>
    <row r="41" spans="1:4" ht="14">
      <c r="A41" s="12"/>
      <c r="B41" s="12"/>
      <c r="C41" s="12"/>
      <c r="D41" s="12"/>
    </row>
    <row r="42" spans="1:4" ht="14">
      <c r="A42" s="12"/>
      <c r="B42" s="12"/>
      <c r="C42" s="12"/>
      <c r="D42" s="12"/>
    </row>
    <row r="43" spans="1:4" ht="14">
      <c r="A43" s="12"/>
      <c r="B43" s="12"/>
      <c r="C43" s="12"/>
      <c r="D43" s="12"/>
    </row>
    <row r="44" spans="1:4" ht="14">
      <c r="A44" s="12"/>
      <c r="B44" s="12"/>
      <c r="C44" s="12"/>
      <c r="D44" s="12"/>
    </row>
    <row r="45" spans="1:4" ht="14">
      <c r="A45" s="12"/>
      <c r="B45" s="12"/>
      <c r="C45" s="12"/>
      <c r="D45" s="12"/>
    </row>
    <row r="46" spans="1:4" ht="14">
      <c r="A46" s="12"/>
      <c r="B46" s="12"/>
      <c r="C46" s="12"/>
      <c r="D46" s="12"/>
    </row>
    <row r="47" spans="1:4" ht="14">
      <c r="A47" s="12"/>
      <c r="B47" s="12"/>
      <c r="C47" s="12"/>
      <c r="D47" s="12"/>
    </row>
    <row r="48" spans="1:4" ht="14">
      <c r="A48" s="12"/>
      <c r="B48" s="12"/>
      <c r="C48" s="12"/>
      <c r="D48" s="12"/>
    </row>
    <row r="49" spans="1:4" ht="14">
      <c r="A49" s="12"/>
      <c r="B49" s="12"/>
      <c r="C49" s="12"/>
      <c r="D49" s="12"/>
    </row>
    <row r="50" spans="1:4" ht="14">
      <c r="A50" s="12"/>
      <c r="B50" s="12"/>
      <c r="C50" s="12"/>
      <c r="D50" s="12"/>
    </row>
    <row r="51" spans="1:4" ht="14">
      <c r="A51" s="12"/>
      <c r="B51" s="12"/>
      <c r="C51" s="12"/>
      <c r="D51" s="12"/>
    </row>
    <row r="52" spans="1:4" ht="14">
      <c r="A52" s="12"/>
      <c r="B52" s="12"/>
      <c r="C52" s="12"/>
      <c r="D52" s="12"/>
    </row>
    <row r="53" spans="1:4" ht="14">
      <c r="A53" s="12"/>
      <c r="B53" s="12"/>
      <c r="C53" s="12"/>
      <c r="D53" s="12"/>
    </row>
    <row r="54" spans="1:4" ht="14">
      <c r="A54" s="12"/>
      <c r="B54" s="12"/>
      <c r="C54" s="12"/>
      <c r="D54" s="12"/>
    </row>
    <row r="55" spans="1:4" ht="14">
      <c r="A55" s="12"/>
      <c r="B55" s="12"/>
      <c r="C55" s="12"/>
      <c r="D55" s="12"/>
    </row>
    <row r="56" spans="1:4" ht="14">
      <c r="A56" s="12"/>
      <c r="B56" s="12"/>
      <c r="C56" s="12"/>
      <c r="D56" s="12"/>
    </row>
    <row r="57" spans="1:4" ht="14">
      <c r="A57" s="12"/>
      <c r="B57" s="12"/>
      <c r="C57" s="12"/>
      <c r="D57" s="12"/>
    </row>
    <row r="58" spans="1:4" ht="14">
      <c r="A58" s="12"/>
      <c r="B58" s="12"/>
      <c r="C58" s="12"/>
      <c r="D58" s="12"/>
    </row>
    <row r="59" spans="1:4" ht="14">
      <c r="A59" s="12"/>
      <c r="B59" s="12"/>
      <c r="C59" s="12"/>
      <c r="D59" s="12"/>
    </row>
    <row r="60" spans="1:4" ht="14">
      <c r="A60" s="12"/>
      <c r="B60" s="12"/>
      <c r="C60" s="12"/>
      <c r="D60" s="12"/>
    </row>
    <row r="61" spans="1:4" ht="14">
      <c r="A61" s="12"/>
      <c r="B61" s="12"/>
      <c r="C61" s="12"/>
      <c r="D61" s="12"/>
    </row>
    <row r="62" spans="1:4" ht="14">
      <c r="A62" s="12"/>
      <c r="B62" s="12"/>
      <c r="C62" s="12"/>
      <c r="D62" s="12"/>
    </row>
    <row r="63" spans="1:4" ht="14">
      <c r="A63" s="12"/>
      <c r="B63" s="12"/>
      <c r="C63" s="12"/>
      <c r="D63" s="12"/>
    </row>
    <row r="64" spans="1:4" ht="14">
      <c r="A64" s="12"/>
      <c r="B64" s="12"/>
      <c r="C64" s="12"/>
      <c r="D64" s="12"/>
    </row>
    <row r="65" spans="1:4" ht="14">
      <c r="A65" s="12"/>
      <c r="B65" s="12"/>
      <c r="C65" s="12"/>
      <c r="D65" s="12"/>
    </row>
    <row r="66" spans="1:4" ht="14">
      <c r="A66" s="12"/>
      <c r="B66" s="12"/>
      <c r="C66" s="12"/>
      <c r="D66" s="12"/>
    </row>
    <row r="67" spans="1:4" ht="14">
      <c r="A67" s="12"/>
      <c r="B67" s="12"/>
      <c r="C67" s="12"/>
      <c r="D67" s="12"/>
    </row>
    <row r="68" spans="1:4" ht="14">
      <c r="A68" s="12"/>
      <c r="B68" s="12"/>
      <c r="C68" s="12"/>
      <c r="D68" s="12"/>
    </row>
    <row r="69" spans="1:4" ht="14">
      <c r="A69" s="12"/>
      <c r="B69" s="12"/>
      <c r="C69" s="12"/>
      <c r="D69" s="12"/>
    </row>
    <row r="70" spans="1:4" ht="14">
      <c r="A70" s="12"/>
      <c r="B70" s="12"/>
      <c r="C70" s="12"/>
      <c r="D70" s="12"/>
    </row>
    <row r="71" spans="1:4" ht="14">
      <c r="A71" s="12"/>
      <c r="B71" s="12"/>
      <c r="C71" s="12"/>
      <c r="D71" s="12"/>
    </row>
    <row r="72" spans="1:4" ht="14">
      <c r="A72" s="12"/>
      <c r="B72" s="12"/>
      <c r="C72" s="12"/>
      <c r="D72" s="12"/>
    </row>
    <row r="73" spans="1:4" ht="14">
      <c r="A73" s="12"/>
      <c r="B73" s="12"/>
      <c r="C73" s="12"/>
      <c r="D73" s="12"/>
    </row>
    <row r="74" spans="1:4" ht="14">
      <c r="A74" s="12"/>
      <c r="B74" s="12"/>
      <c r="C74" s="12"/>
      <c r="D74" s="12"/>
    </row>
    <row r="75" spans="1:4" ht="14">
      <c r="A75" s="12"/>
      <c r="B75" s="12"/>
      <c r="C75" s="12"/>
      <c r="D75" s="12"/>
    </row>
    <row r="76" spans="1:4" ht="14">
      <c r="A76" s="12"/>
      <c r="B76" s="12"/>
      <c r="C76" s="12"/>
      <c r="D76" s="12"/>
    </row>
    <row r="77" spans="1:4" ht="14">
      <c r="A77" s="12"/>
      <c r="B77" s="12"/>
      <c r="C77" s="12"/>
      <c r="D77" s="12"/>
    </row>
    <row r="78" spans="1:4" ht="14">
      <c r="A78" s="12"/>
      <c r="B78" s="12"/>
      <c r="C78" s="12"/>
      <c r="D78" s="12"/>
    </row>
    <row r="79" spans="1:4" ht="14">
      <c r="A79" s="12"/>
      <c r="B79" s="12"/>
      <c r="C79" s="12"/>
      <c r="D79" s="12"/>
    </row>
    <row r="80" spans="1:4" ht="14">
      <c r="A80" s="12"/>
      <c r="B80" s="12"/>
      <c r="C80" s="12"/>
      <c r="D80" s="12"/>
    </row>
    <row r="81" spans="1:4" ht="14">
      <c r="A81" s="12"/>
      <c r="B81" s="12"/>
      <c r="C81" s="12"/>
      <c r="D81" s="12"/>
    </row>
    <row r="82" spans="1:4" ht="14">
      <c r="A82" s="12"/>
      <c r="B82" s="12"/>
      <c r="C82" s="12"/>
      <c r="D82" s="12"/>
    </row>
    <row r="83" spans="1:4" ht="14">
      <c r="A83" s="12"/>
      <c r="B83" s="12"/>
      <c r="C83" s="12"/>
      <c r="D83" s="12"/>
    </row>
    <row r="84" spans="1:4" ht="14">
      <c r="A84" s="12"/>
      <c r="B84" s="12"/>
      <c r="C84" s="12"/>
      <c r="D84" s="12"/>
    </row>
    <row r="85" spans="1:4" ht="14">
      <c r="A85" s="12"/>
      <c r="B85" s="12"/>
      <c r="C85" s="12"/>
      <c r="D85" s="12"/>
    </row>
    <row r="86" spans="1:4" ht="14">
      <c r="A86" s="12"/>
      <c r="B86" s="12"/>
      <c r="C86" s="12"/>
      <c r="D86" s="12"/>
    </row>
    <row r="87" spans="1:4" ht="14">
      <c r="A87" s="12"/>
      <c r="B87" s="12"/>
      <c r="C87" s="12"/>
      <c r="D87" s="12"/>
    </row>
    <row r="88" spans="1:4" ht="14">
      <c r="A88" s="12"/>
      <c r="B88" s="12"/>
      <c r="C88" s="12"/>
      <c r="D88" s="12"/>
    </row>
    <row r="89" spans="1:4" ht="14">
      <c r="A89" s="12"/>
      <c r="B89" s="12"/>
      <c r="C89" s="12"/>
      <c r="D89" s="12"/>
    </row>
    <row r="90" spans="1:4" ht="14">
      <c r="A90" s="12"/>
      <c r="B90" s="12"/>
      <c r="C90" s="12"/>
      <c r="D90" s="12"/>
    </row>
    <row r="91" spans="1:4" ht="14">
      <c r="A91" s="12"/>
      <c r="B91" s="12"/>
      <c r="C91" s="12"/>
      <c r="D91" s="12"/>
    </row>
    <row r="92" spans="1:4" ht="14">
      <c r="A92" s="12"/>
      <c r="B92" s="12"/>
      <c r="C92" s="12"/>
      <c r="D92" s="12"/>
    </row>
    <row r="93" spans="1:4" ht="14">
      <c r="A93" s="12"/>
      <c r="B93" s="12"/>
      <c r="C93" s="12"/>
      <c r="D93" s="12"/>
    </row>
    <row r="94" spans="1:4" ht="14">
      <c r="A94" s="12"/>
      <c r="B94" s="12"/>
      <c r="C94" s="12"/>
      <c r="D94" s="12"/>
    </row>
    <row r="95" spans="1:4" ht="14">
      <c r="A95" s="12"/>
      <c r="B95" s="12"/>
      <c r="C95" s="12"/>
      <c r="D95" s="12"/>
    </row>
    <row r="96" spans="1:4" ht="14">
      <c r="A96" s="12"/>
      <c r="B96" s="12"/>
      <c r="C96" s="12"/>
      <c r="D96" s="12"/>
    </row>
    <row r="97" spans="1:4" ht="14">
      <c r="A97" s="12"/>
      <c r="B97" s="12"/>
      <c r="C97" s="12"/>
      <c r="D97" s="12"/>
    </row>
    <row r="98" spans="1:4" ht="14">
      <c r="A98" s="12"/>
      <c r="B98" s="12"/>
      <c r="C98" s="12"/>
      <c r="D98" s="12"/>
    </row>
    <row r="99" spans="1:4" ht="14">
      <c r="A99" s="12"/>
      <c r="B99" s="12"/>
      <c r="C99" s="12"/>
      <c r="D99" s="12"/>
    </row>
    <row r="100" spans="1:4" ht="14">
      <c r="A100" s="12"/>
      <c r="B100" s="12"/>
      <c r="C100" s="12"/>
      <c r="D100" s="12"/>
    </row>
    <row r="101" spans="1:4" ht="14">
      <c r="A101" s="12"/>
      <c r="B101" s="12"/>
      <c r="C101" s="12"/>
      <c r="D101" s="12"/>
    </row>
    <row r="102" spans="1:4" ht="14">
      <c r="A102" s="12"/>
      <c r="B102" s="12"/>
      <c r="C102" s="12"/>
      <c r="D102" s="12"/>
    </row>
    <row r="103" spans="1:4" ht="14">
      <c r="A103" s="12"/>
      <c r="B103" s="12"/>
      <c r="C103" s="12"/>
      <c r="D103" s="12"/>
    </row>
    <row r="104" spans="1:4" ht="14">
      <c r="A104" s="12"/>
      <c r="B104" s="12"/>
      <c r="C104" s="12"/>
      <c r="D104" s="12"/>
    </row>
    <row r="105" spans="1:4" ht="14">
      <c r="A105" s="12"/>
      <c r="B105" s="12"/>
      <c r="C105" s="12"/>
      <c r="D105" s="12"/>
    </row>
    <row r="106" spans="1:4" ht="14">
      <c r="A106" s="12"/>
      <c r="B106" s="12"/>
      <c r="C106" s="12"/>
      <c r="D106" s="12"/>
    </row>
    <row r="107" spans="1:4" ht="14">
      <c r="A107" s="12"/>
      <c r="B107" s="12"/>
      <c r="C107" s="12"/>
      <c r="D107" s="12"/>
    </row>
    <row r="108" spans="1:4" ht="14">
      <c r="A108" s="12"/>
      <c r="B108" s="12"/>
      <c r="C108" s="12"/>
      <c r="D108" s="12"/>
    </row>
    <row r="109" spans="1:4" ht="14">
      <c r="A109" s="12"/>
      <c r="B109" s="12"/>
      <c r="C109" s="12"/>
      <c r="D109" s="12"/>
    </row>
    <row r="110" spans="1:4" ht="14">
      <c r="A110" s="12"/>
      <c r="B110" s="12"/>
      <c r="C110" s="12"/>
      <c r="D110" s="12"/>
    </row>
    <row r="111" spans="1:4" ht="14">
      <c r="A111" s="12"/>
      <c r="B111" s="12"/>
      <c r="C111" s="12"/>
      <c r="D111" s="12"/>
    </row>
    <row r="112" spans="1:4" ht="14">
      <c r="A112" s="12"/>
      <c r="B112" s="12"/>
      <c r="C112" s="12"/>
      <c r="D112" s="12"/>
    </row>
    <row r="113" spans="1:4" ht="14">
      <c r="A113" s="12"/>
      <c r="B113" s="12"/>
      <c r="C113" s="12"/>
      <c r="D113" s="12"/>
    </row>
    <row r="114" spans="1:4" ht="14">
      <c r="A114" s="12"/>
      <c r="B114" s="12"/>
      <c r="C114" s="12"/>
      <c r="D114" s="12"/>
    </row>
    <row r="115" spans="1:4" ht="14">
      <c r="A115" s="12"/>
      <c r="B115" s="12"/>
      <c r="C115" s="12"/>
      <c r="D115" s="12"/>
    </row>
    <row r="116" spans="1:4" ht="14">
      <c r="A116" s="12"/>
      <c r="B116" s="12"/>
      <c r="C116" s="12"/>
      <c r="D116" s="12"/>
    </row>
    <row r="117" spans="1:4" ht="14">
      <c r="A117" s="12"/>
      <c r="B117" s="12"/>
      <c r="C117" s="12"/>
      <c r="D117" s="12"/>
    </row>
  </sheetData>
  <phoneticPr fontId="2" type="noConversion"/>
  <pageMargins left="0.75" right="0.75" top="1" bottom="1" header="0.5" footer="0.5"/>
  <pageSetup paperSize="5" fitToHeight="7" orientation="landscape"/>
  <headerFooter alignWithMargins="0">
    <oddFooter>&amp;L2009-2010&amp;C&amp;A&amp;RPage &amp;P of &amp;N</oddFooter>
  </headerFooter>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monographs productivity stats</vt:lpstr>
      <vt:lpstr>serials productivity stats</vt:lpstr>
      <vt:lpstr>total spending all materials</vt:lpstr>
      <vt:lpstr>$ monographs totals</vt:lpstr>
      <vt:lpstr>vols added monographs</vt:lpstr>
      <vt:lpstr>$ serials totals</vt:lpstr>
      <vt:lpstr>$ endowment</vt:lpstr>
      <vt:lpstr>$ by format</vt:lpstr>
      <vt:lpstr>serials v mono</vt:lpstr>
      <vt:lpstr>$ by fund - monographs</vt:lpstr>
      <vt:lpstr>$ by fund - serials</vt:lpstr>
      <vt:lpstr>$ backfiles</vt:lpstr>
      <vt:lpstr>$ serials by vendor</vt:lpstr>
      <vt:lpstr>$ mono by vendor</vt:lpstr>
      <vt:lpstr>$ serials by location</vt:lpstr>
      <vt:lpstr>$ mono by location</vt:lpstr>
      <vt:lpstr>Count by location</vt:lpstr>
      <vt:lpstr>$ FY10 content</vt:lpstr>
      <vt:lpstr>Journal Packages</vt:lpstr>
      <vt:lpstr>Backfiles owned</vt:lpstr>
      <vt:lpstr>Reference Databases</vt:lpstr>
      <vt:lpstr>ACRL1</vt:lpstr>
      <vt:lpstr>ACRL2</vt:lpstr>
      <vt:lpstr>ACRL3</vt:lpstr>
      <vt:lpstr>IPEDS1</vt:lpstr>
      <vt:lpstr>IPEDS2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dc:creator>
  <cp:lastModifiedBy>Andree Rathemacher</cp:lastModifiedBy>
  <cp:lastPrinted>2011-07-19T15:03:31Z</cp:lastPrinted>
  <dcterms:created xsi:type="dcterms:W3CDTF">2008-06-25T17:56:30Z</dcterms:created>
  <dcterms:modified xsi:type="dcterms:W3CDTF">2011-07-19T15:28:19Z</dcterms:modified>
</cp:coreProperties>
</file>