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716" yWindow="4632" windowWidth="17016" windowHeight="4836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B6" i="1"/>
  <c r="D5" i="1"/>
  <c r="B5" i="1"/>
  <c r="AZ598" i="3"/>
  <c r="BA598" i="3"/>
  <c r="BF598" i="3" s="1"/>
  <c r="BB598" i="3"/>
  <c r="BG598" i="3" s="1"/>
  <c r="BC598" i="3"/>
  <c r="BH598" i="3" s="1"/>
  <c r="BD598" i="3"/>
  <c r="BI598" i="3" s="1"/>
  <c r="BE598" i="3"/>
  <c r="BJ598" i="3"/>
  <c r="AP598" i="3"/>
  <c r="AQ598" i="3"/>
  <c r="AR598" i="3"/>
  <c r="AS598" i="3"/>
  <c r="AV598" i="3" s="1"/>
  <c r="AT598" i="3"/>
  <c r="AW598" i="3" s="1"/>
  <c r="AU598" i="3"/>
  <c r="AI598" i="3"/>
  <c r="AJ598" i="3"/>
  <c r="AM598" i="3" s="1"/>
  <c r="AK598" i="3"/>
  <c r="AA598" i="3"/>
  <c r="Y598" i="3"/>
  <c r="O598" i="3"/>
  <c r="P598" i="3"/>
  <c r="S598" i="3" s="1"/>
  <c r="Q598" i="3"/>
  <c r="R598" i="3"/>
  <c r="E598" i="3"/>
  <c r="F598" i="3"/>
  <c r="G598" i="3"/>
  <c r="H598" i="3"/>
  <c r="I598" i="3"/>
  <c r="J598" i="3"/>
  <c r="A598" i="3"/>
  <c r="AX598" i="3" l="1"/>
  <c r="AN598" i="3"/>
  <c r="AB598" i="3"/>
  <c r="Z598" i="3"/>
  <c r="T598" i="3"/>
  <c r="AZ597" i="3"/>
  <c r="BE597" i="3" s="1"/>
  <c r="BA597" i="3"/>
  <c r="BF597" i="3" s="1"/>
  <c r="BB597" i="3"/>
  <c r="BG597" i="3" s="1"/>
  <c r="BC597" i="3"/>
  <c r="BD597" i="3"/>
  <c r="BH597" i="3"/>
  <c r="BI597" i="3"/>
  <c r="BJ597" i="3"/>
  <c r="AR597" i="3"/>
  <c r="AS597" i="3"/>
  <c r="AV597" i="3" s="1"/>
  <c r="AT597" i="3"/>
  <c r="AW597" i="3" s="1"/>
  <c r="AU597" i="3"/>
  <c r="AI597" i="3"/>
  <c r="AJ597" i="3"/>
  <c r="AK597" i="3"/>
  <c r="AN597" i="3" s="1"/>
  <c r="AL597" i="3"/>
  <c r="AM597" i="3"/>
  <c r="AQ597" i="3"/>
  <c r="AP597" i="3"/>
  <c r="Y597" i="3"/>
  <c r="Z597" i="3" s="1"/>
  <c r="AA597" i="3"/>
  <c r="O597" i="3"/>
  <c r="P597" i="3"/>
  <c r="Q597" i="3"/>
  <c r="R597" i="3"/>
  <c r="S597" i="3"/>
  <c r="T597" i="3"/>
  <c r="E597" i="3"/>
  <c r="F597" i="3"/>
  <c r="G597" i="3"/>
  <c r="H597" i="3"/>
  <c r="I597" i="3"/>
  <c r="J597" i="3"/>
  <c r="A597" i="3"/>
  <c r="AC598" i="3" l="1"/>
  <c r="AD598" i="3"/>
  <c r="AX597" i="3"/>
  <c r="AC597" i="3"/>
  <c r="AD597" i="3"/>
  <c r="AB597" i="3"/>
  <c r="AZ596" i="3"/>
  <c r="BE596" i="3" s="1"/>
  <c r="BA596" i="3"/>
  <c r="BB596" i="3"/>
  <c r="BC596" i="3"/>
  <c r="BD596" i="3"/>
  <c r="BI596" i="3" s="1"/>
  <c r="BF596" i="3"/>
  <c r="BG596" i="3"/>
  <c r="BH596" i="3"/>
  <c r="BJ596" i="3"/>
  <c r="AP596" i="3"/>
  <c r="AQ596" i="3"/>
  <c r="AR596" i="3"/>
  <c r="AS596" i="3"/>
  <c r="AT596" i="3" s="1"/>
  <c r="AU596" i="3"/>
  <c r="AI596" i="3"/>
  <c r="AJ596" i="3"/>
  <c r="AK596" i="3"/>
  <c r="AL596" i="3"/>
  <c r="AM596" i="3"/>
  <c r="AN596" i="3"/>
  <c r="Y596" i="3"/>
  <c r="Z596" i="3"/>
  <c r="AA596" i="3"/>
  <c r="AB596" i="3"/>
  <c r="AC596" i="3"/>
  <c r="AD596" i="3"/>
  <c r="O596" i="3"/>
  <c r="P596" i="3" s="1"/>
  <c r="Q596" i="3"/>
  <c r="E596" i="3"/>
  <c r="F596" i="3"/>
  <c r="G596" i="3"/>
  <c r="H596" i="3"/>
  <c r="I596" i="3"/>
  <c r="J596" i="3"/>
  <c r="A596" i="3"/>
  <c r="AW596" i="3" l="1"/>
  <c r="AX596" i="3"/>
  <c r="AV596" i="3"/>
  <c r="T596" i="3"/>
  <c r="S596" i="3"/>
  <c r="R596" i="3"/>
  <c r="AZ595" i="3"/>
  <c r="BA595" i="3"/>
  <c r="BF595" i="3" s="1"/>
  <c r="BB595" i="3"/>
  <c r="BC595" i="3"/>
  <c r="BD595" i="3"/>
  <c r="BE595" i="3"/>
  <c r="BG595" i="3"/>
  <c r="BH595" i="3"/>
  <c r="BI595" i="3"/>
  <c r="BJ595" i="3"/>
  <c r="AT595" i="3"/>
  <c r="AW595" i="3" s="1"/>
  <c r="AU595" i="3"/>
  <c r="AV595" i="3"/>
  <c r="AJ595" i="3"/>
  <c r="AM595" i="3" s="1"/>
  <c r="AK595" i="3"/>
  <c r="AL595" i="3"/>
  <c r="AI595" i="3"/>
  <c r="AS595" i="3" s="1"/>
  <c r="AR595" i="3"/>
  <c r="AQ595" i="3"/>
  <c r="AP595" i="3"/>
  <c r="Y595" i="3"/>
  <c r="Z595" i="3"/>
  <c r="AA595" i="3"/>
  <c r="AB595" i="3"/>
  <c r="AC595" i="3"/>
  <c r="AD595" i="3"/>
  <c r="O595" i="3"/>
  <c r="P595" i="3" s="1"/>
  <c r="Q595" i="3"/>
  <c r="E595" i="3"/>
  <c r="F595" i="3" s="1"/>
  <c r="G595" i="3"/>
  <c r="A595" i="3"/>
  <c r="AX595" i="3" l="1"/>
  <c r="AN595" i="3"/>
  <c r="T595" i="3"/>
  <c r="S595" i="3"/>
  <c r="R595" i="3"/>
  <c r="J595" i="3"/>
  <c r="I595" i="3"/>
  <c r="H595" i="3"/>
  <c r="AZ594" i="3"/>
  <c r="BA594" i="3"/>
  <c r="BB594" i="3"/>
  <c r="BG594" i="3" s="1"/>
  <c r="BC594" i="3"/>
  <c r="BH594" i="3" s="1"/>
  <c r="BD594" i="3"/>
  <c r="BE594" i="3"/>
  <c r="BF594" i="3"/>
  <c r="BI594" i="3"/>
  <c r="BJ594" i="3"/>
  <c r="AR594" i="3"/>
  <c r="AS594" i="3"/>
  <c r="AT594" i="3"/>
  <c r="AU594" i="3"/>
  <c r="AV594" i="3"/>
  <c r="AW594" i="3"/>
  <c r="AX594" i="3"/>
  <c r="AI594" i="3"/>
  <c r="AJ594" i="3"/>
  <c r="AK594" i="3"/>
  <c r="AL594" i="3"/>
  <c r="AM594" i="3"/>
  <c r="AN594" i="3"/>
  <c r="AQ594" i="3"/>
  <c r="AP594" i="3"/>
  <c r="Y594" i="3"/>
  <c r="Z594" i="3"/>
  <c r="AA594" i="3"/>
  <c r="AB594" i="3"/>
  <c r="AC594" i="3"/>
  <c r="AD594" i="3"/>
  <c r="O594" i="3"/>
  <c r="P594" i="3"/>
  <c r="Q594" i="3"/>
  <c r="R594" i="3"/>
  <c r="S594" i="3"/>
  <c r="T594" i="3"/>
  <c r="E594" i="3"/>
  <c r="F594" i="3"/>
  <c r="G594" i="3"/>
  <c r="J594" i="3" s="1"/>
  <c r="H594" i="3"/>
  <c r="I594" i="3"/>
  <c r="A594" i="3"/>
  <c r="AZ593" i="3" l="1"/>
  <c r="BE593" i="3" s="1"/>
  <c r="BA593" i="3"/>
  <c r="BF593" i="3" s="1"/>
  <c r="BB593" i="3"/>
  <c r="BG593" i="3" s="1"/>
  <c r="BC593" i="3"/>
  <c r="BH593" i="3" s="1"/>
  <c r="BD593" i="3"/>
  <c r="BI593" i="3"/>
  <c r="BJ593" i="3"/>
  <c r="AT593" i="3"/>
  <c r="AX593" i="3" s="1"/>
  <c r="AU593" i="3"/>
  <c r="AV593" i="3"/>
  <c r="AW593" i="3"/>
  <c r="AJ593" i="3"/>
  <c r="AM593" i="3" s="1"/>
  <c r="AK593" i="3"/>
  <c r="AL593" i="3"/>
  <c r="AI593" i="3"/>
  <c r="AS593" i="3"/>
  <c r="AR593" i="3"/>
  <c r="AQ593" i="3"/>
  <c r="AP593" i="3"/>
  <c r="Y593" i="3"/>
  <c r="Z593" i="3"/>
  <c r="AC593" i="3" s="1"/>
  <c r="AA593" i="3"/>
  <c r="AB593" i="3"/>
  <c r="AD593" i="3"/>
  <c r="O593" i="3"/>
  <c r="P593" i="3"/>
  <c r="S593" i="3" s="1"/>
  <c r="Q593" i="3"/>
  <c r="R593" i="3"/>
  <c r="E593" i="3"/>
  <c r="F593" i="3" s="1"/>
  <c r="G593" i="3"/>
  <c r="H593" i="3"/>
  <c r="A593" i="3"/>
  <c r="AN593" i="3" l="1"/>
  <c r="T593" i="3"/>
  <c r="I593" i="3"/>
  <c r="J593" i="3"/>
  <c r="AZ592" i="3"/>
  <c r="BE592" i="3" s="1"/>
  <c r="BA592" i="3"/>
  <c r="BF592" i="3" s="1"/>
  <c r="BB592" i="3"/>
  <c r="BG592" i="3" s="1"/>
  <c r="BC592" i="3"/>
  <c r="BD592" i="3"/>
  <c r="BH592" i="3"/>
  <c r="BI592" i="3"/>
  <c r="BJ592" i="3"/>
  <c r="AP592" i="3"/>
  <c r="AQ592" i="3"/>
  <c r="AR592" i="3"/>
  <c r="AS592" i="3"/>
  <c r="AV592" i="3" s="1"/>
  <c r="AT592" i="3"/>
  <c r="AW592" i="3" s="1"/>
  <c r="AU592" i="3"/>
  <c r="AJ592" i="3"/>
  <c r="AK592" i="3"/>
  <c r="AM592" i="3"/>
  <c r="AN592" i="3"/>
  <c r="AI592" i="3"/>
  <c r="Y592" i="3"/>
  <c r="Z592" i="3" s="1"/>
  <c r="AA592" i="3"/>
  <c r="O592" i="3"/>
  <c r="P592" i="3" s="1"/>
  <c r="Q592" i="3"/>
  <c r="E592" i="3"/>
  <c r="F592" i="3" s="1"/>
  <c r="G592" i="3"/>
  <c r="H592" i="3"/>
  <c r="A592" i="3"/>
  <c r="AX592" i="3" l="1"/>
  <c r="AD592" i="3"/>
  <c r="AC592" i="3"/>
  <c r="AB592" i="3"/>
  <c r="S592" i="3"/>
  <c r="T592" i="3"/>
  <c r="R592" i="3"/>
  <c r="I592" i="3"/>
  <c r="J592" i="3"/>
  <c r="BA591" i="3"/>
  <c r="AR591" i="3"/>
  <c r="AI591" i="3"/>
  <c r="AQ591" i="3"/>
  <c r="AP591" i="3"/>
  <c r="Y591" i="3"/>
  <c r="O591" i="3"/>
  <c r="E591" i="3"/>
  <c r="AZ591" i="3" s="1"/>
  <c r="BC591" i="3" l="1"/>
  <c r="AS591" i="3"/>
  <c r="BB591" i="3"/>
  <c r="BB590" i="3"/>
  <c r="AR590" i="3"/>
  <c r="AI590" i="3"/>
  <c r="AQ590" i="3"/>
  <c r="AP590" i="3"/>
  <c r="Y590" i="3"/>
  <c r="O590" i="3"/>
  <c r="E590" i="3"/>
  <c r="AZ590" i="3" s="1"/>
  <c r="BD591" i="3" l="1"/>
  <c r="BC590" i="3"/>
  <c r="BA590" i="3"/>
  <c r="AS590" i="3"/>
  <c r="BC589" i="3"/>
  <c r="AI589" i="3"/>
  <c r="AR589" i="3"/>
  <c r="AQ589" i="3"/>
  <c r="AP589" i="3"/>
  <c r="Y589" i="3"/>
  <c r="O589" i="3"/>
  <c r="E589" i="3"/>
  <c r="BD590" i="3" l="1"/>
  <c r="BB589" i="3"/>
  <c r="BA589" i="3"/>
  <c r="AS589" i="3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BC587" i="3"/>
  <c r="AI587" i="3"/>
  <c r="AJ590" i="3" s="1"/>
  <c r="AR587" i="3"/>
  <c r="AQ587" i="3"/>
  <c r="AP587" i="3"/>
  <c r="Y587" i="3"/>
  <c r="Z590" i="3" s="1"/>
  <c r="O587" i="3"/>
  <c r="E587" i="3"/>
  <c r="F590" i="3" s="1"/>
  <c r="BB587" i="3" l="1"/>
  <c r="P590" i="3"/>
  <c r="AS587" i="3"/>
  <c r="BA587" i="3"/>
  <c r="AZ587" i="3"/>
  <c r="AZ586" i="3"/>
  <c r="BA586" i="3"/>
  <c r="AP586" i="3"/>
  <c r="AQ586" i="3"/>
  <c r="AR586" i="3"/>
  <c r="AI586" i="3"/>
  <c r="Y586" i="3"/>
  <c r="Z589" i="3" s="1"/>
  <c r="O586" i="3"/>
  <c r="P589" i="3" s="1"/>
  <c r="E586" i="3"/>
  <c r="F589" i="3" s="1"/>
  <c r="AJ589" i="3" l="1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B585" i="3"/>
  <c r="AP585" i="3"/>
  <c r="AQ585" i="3"/>
  <c r="AR585" i="3"/>
  <c r="AI585" i="3"/>
  <c r="Y585" i="3"/>
  <c r="Z588" i="3" s="1"/>
  <c r="O585" i="3"/>
  <c r="P588" i="3" s="1"/>
  <c r="E585" i="3"/>
  <c r="F588" i="3" s="1"/>
  <c r="AJ588" i="3" l="1"/>
  <c r="AZ585" i="3"/>
  <c r="BC585" i="3"/>
  <c r="AT589" i="3"/>
  <c r="BD586" i="3"/>
  <c r="BA585" i="3"/>
  <c r="AS585" i="3"/>
  <c r="BD58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A584" i="3"/>
  <c r="BF584" i="3" s="1"/>
  <c r="BF585" i="3" s="1"/>
  <c r="BF586" i="3" s="1"/>
  <c r="BF587" i="3" s="1"/>
  <c r="BF588" i="3" s="1"/>
  <c r="BF589" i="3" s="1"/>
  <c r="BF590" i="3" s="1"/>
  <c r="BF591" i="3" s="1"/>
  <c r="BB584" i="3"/>
  <c r="BG584" i="3" s="1"/>
  <c r="BG585" i="3" s="1"/>
  <c r="BG586" i="3" s="1"/>
  <c r="BG587" i="3" s="1"/>
  <c r="BG588" i="3" s="1"/>
  <c r="BG589" i="3" s="1"/>
  <c r="BG590" i="3" s="1"/>
  <c r="BG591" i="3" s="1"/>
  <c r="AQ584" i="3"/>
  <c r="AR584" i="3"/>
  <c r="AS584" i="3"/>
  <c r="AI584" i="3"/>
  <c r="AP584" i="3"/>
  <c r="Y584" i="3"/>
  <c r="Z587" i="3" s="1"/>
  <c r="O584" i="3"/>
  <c r="E584" i="3"/>
  <c r="F587" i="3" s="1"/>
  <c r="AT587" i="3" l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AT588" i="3"/>
  <c r="BA583" i="3"/>
  <c r="AP583" i="3"/>
  <c r="AQ583" i="3"/>
  <c r="AR583" i="3"/>
  <c r="AI583" i="3"/>
  <c r="AJ586" i="3" s="1"/>
  <c r="Y583" i="3"/>
  <c r="O583" i="3"/>
  <c r="P586" i="3" s="1"/>
  <c r="E583" i="3"/>
  <c r="F586" i="3" l="1"/>
  <c r="AZ583" i="3"/>
  <c r="Z586" i="3"/>
  <c r="AS583" i="3"/>
  <c r="BC583" i="3"/>
  <c r="BB583" i="3"/>
  <c r="AT586" i="3" l="1"/>
  <c r="BD583" i="3"/>
  <c r="F6" i="1"/>
  <c r="F7" i="1"/>
  <c r="F8" i="1"/>
  <c r="F9" i="1"/>
  <c r="F5" i="1"/>
  <c r="AZ582" i="3"/>
  <c r="AP582" i="3"/>
  <c r="AQ582" i="3"/>
  <c r="AR582" i="3"/>
  <c r="AI582" i="3"/>
  <c r="AJ585" i="3" s="1"/>
  <c r="Y582" i="3"/>
  <c r="Z585" i="3" s="1"/>
  <c r="O582" i="3"/>
  <c r="E582" i="3"/>
  <c r="F585" i="3" s="1"/>
  <c r="AS582" i="3" l="1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BA578" i="3"/>
  <c r="AQ578" i="3"/>
  <c r="AI578" i="3"/>
  <c r="AR578" i="3"/>
  <c r="AP578" i="3"/>
  <c r="Y578" i="3"/>
  <c r="Z581" i="3" s="1"/>
  <c r="O578" i="3"/>
  <c r="P581" i="3" s="1"/>
  <c r="E578" i="3"/>
  <c r="F581" i="3" s="1"/>
  <c r="BC578" i="3" l="1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BB576" i="3"/>
  <c r="AP576" i="3"/>
  <c r="AQ576" i="3"/>
  <c r="AR576" i="3"/>
  <c r="AI576" i="3"/>
  <c r="AJ579" i="3" s="1"/>
  <c r="Y576" i="3"/>
  <c r="O576" i="3"/>
  <c r="E576" i="3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AJ578" i="3" s="1"/>
  <c r="Y575" i="3"/>
  <c r="Z578" i="3" s="1"/>
  <c r="O575" i="3"/>
  <c r="P578" i="3" s="1"/>
  <c r="E575" i="3"/>
  <c r="BB575" i="3" l="1"/>
  <c r="BA575" i="3"/>
  <c r="AT579" i="3"/>
  <c r="BD576" i="3"/>
  <c r="F578" i="3"/>
  <c r="BC575" i="3"/>
  <c r="AS575" i="3"/>
  <c r="AT578" i="3" s="1"/>
  <c r="AZ575" i="3"/>
  <c r="AQ574" i="3"/>
  <c r="AR574" i="3"/>
  <c r="AI574" i="3"/>
  <c r="BC574" i="3" s="1"/>
  <c r="AP574" i="3"/>
  <c r="Y574" i="3"/>
  <c r="Z577" i="3" s="1"/>
  <c r="O574" i="3"/>
  <c r="P577" i="3" s="1"/>
  <c r="E574" i="3"/>
  <c r="F577" i="3" s="1"/>
  <c r="BA574" i="3" l="1"/>
  <c r="BB574" i="3"/>
  <c r="AS574" i="3"/>
  <c r="AZ574" i="3"/>
  <c r="AJ577" i="3"/>
  <c r="BD575" i="3"/>
  <c r="AQ573" i="3"/>
  <c r="AR573" i="3"/>
  <c r="AI573" i="3"/>
  <c r="AJ576" i="3" s="1"/>
  <c r="AP573" i="3"/>
  <c r="Y573" i="3"/>
  <c r="Z576" i="3" s="1"/>
  <c r="O573" i="3"/>
  <c r="P576" i="3" s="1"/>
  <c r="E573" i="3"/>
  <c r="AZ573" i="3" s="1"/>
  <c r="AR572" i="3"/>
  <c r="AI572" i="3"/>
  <c r="AJ575" i="3" s="1"/>
  <c r="AQ572" i="3"/>
  <c r="AP572" i="3"/>
  <c r="Y572" i="3"/>
  <c r="O572" i="3"/>
  <c r="P575" i="3" s="1"/>
  <c r="E572" i="3"/>
  <c r="AR571" i="3"/>
  <c r="AI571" i="3"/>
  <c r="AQ571" i="3"/>
  <c r="AP571" i="3"/>
  <c r="Y571" i="3"/>
  <c r="O571" i="3"/>
  <c r="BA571" i="3" s="1"/>
  <c r="E571" i="3"/>
  <c r="AJ574" i="3" l="1"/>
  <c r="BA573" i="3"/>
  <c r="Z574" i="3"/>
  <c r="BA572" i="3"/>
  <c r="F575" i="3"/>
  <c r="AZ572" i="3"/>
  <c r="BB573" i="3"/>
  <c r="AS572" i="3"/>
  <c r="AS573" i="3"/>
  <c r="P574" i="3"/>
  <c r="AT577" i="3"/>
  <c r="BD574" i="3"/>
  <c r="BC571" i="3"/>
  <c r="BB571" i="3"/>
  <c r="F576" i="3"/>
  <c r="F574" i="3"/>
  <c r="Z575" i="3"/>
  <c r="AZ571" i="3"/>
  <c r="BC572" i="3"/>
  <c r="AS571" i="3"/>
  <c r="BB572" i="3"/>
  <c r="BC573" i="3"/>
  <c r="AI570" i="3"/>
  <c r="AJ573" i="3" s="1"/>
  <c r="AR570" i="3"/>
  <c r="AQ570" i="3"/>
  <c r="AP570" i="3"/>
  <c r="Y570" i="3"/>
  <c r="Z573" i="3" s="1"/>
  <c r="O570" i="3"/>
  <c r="P573" i="3" s="1"/>
  <c r="E570" i="3"/>
  <c r="AZ570" i="3" s="1"/>
  <c r="F573" i="3" l="1"/>
  <c r="BD572" i="3"/>
  <c r="AT575" i="3"/>
  <c r="AT574" i="3"/>
  <c r="BD571" i="3"/>
  <c r="AT576" i="3"/>
  <c r="BD573" i="3"/>
  <c r="BC570" i="3"/>
  <c r="AS570" i="3"/>
  <c r="BB570" i="3"/>
  <c r="BA570" i="3"/>
  <c r="BA569" i="3"/>
  <c r="AI569" i="3"/>
  <c r="BC569" i="3" s="1"/>
  <c r="AR569" i="3"/>
  <c r="AQ569" i="3"/>
  <c r="AP569" i="3"/>
  <c r="Y569" i="3"/>
  <c r="Z572" i="3" s="1"/>
  <c r="O569" i="3"/>
  <c r="E569" i="3"/>
  <c r="F572" i="3" s="1"/>
  <c r="AZ569" i="3" l="1"/>
  <c r="P572" i="3"/>
  <c r="AS569" i="3"/>
  <c r="AJ572" i="3"/>
  <c r="AT573" i="3"/>
  <c r="BD570" i="3"/>
  <c r="BB569" i="3"/>
  <c r="AP568" i="3"/>
  <c r="AQ568" i="3"/>
  <c r="AR568" i="3"/>
  <c r="AI568" i="3"/>
  <c r="AJ571" i="3" s="1"/>
  <c r="Y568" i="3"/>
  <c r="Z571" i="3" s="1"/>
  <c r="O568" i="3"/>
  <c r="E568" i="3"/>
  <c r="BC568" i="3" l="1"/>
  <c r="F571" i="3"/>
  <c r="AS568" i="3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Z570" i="3" s="1"/>
  <c r="O567" i="3"/>
  <c r="E567" i="3"/>
  <c r="BB567" i="3" l="1"/>
  <c r="P570" i="3"/>
  <c r="BA567" i="3"/>
  <c r="AS567" i="3"/>
  <c r="AZ567" i="3"/>
  <c r="AT571" i="3"/>
  <c r="BD568" i="3"/>
  <c r="AJ570" i="3"/>
  <c r="F570" i="3"/>
  <c r="AT570" i="3" l="1"/>
  <c r="BD567" i="3"/>
  <c r="AI566" i="3" l="1"/>
  <c r="AJ569" i="3" s="1"/>
  <c r="AR566" i="3"/>
  <c r="AQ566" i="3"/>
  <c r="AP566" i="3"/>
  <c r="Y566" i="3"/>
  <c r="Z569" i="3" s="1"/>
  <c r="O566" i="3"/>
  <c r="P569" i="3" s="1"/>
  <c r="E566" i="3"/>
  <c r="F569" i="3" s="1"/>
  <c r="BC566" i="3" l="1"/>
  <c r="BB566" i="3"/>
  <c r="BA566" i="3"/>
  <c r="AZ566" i="3"/>
  <c r="AS566" i="3"/>
  <c r="AT569" i="3" l="1"/>
  <c r="BD566" i="3"/>
  <c r="AR565" i="3" l="1"/>
  <c r="AP565" i="3"/>
  <c r="AI565" i="3"/>
  <c r="AQ565" i="3"/>
  <c r="Y565" i="3"/>
  <c r="Z568" i="3" s="1"/>
  <c r="O565" i="3"/>
  <c r="P568" i="3" s="1"/>
  <c r="E565" i="3"/>
  <c r="AZ565" i="3" l="1"/>
  <c r="F568" i="3"/>
  <c r="BA565" i="3"/>
  <c r="BB565" i="3"/>
  <c r="AJ568" i="3"/>
  <c r="BC565" i="3"/>
  <c r="AS565" i="3"/>
  <c r="AT568" i="3" s="1"/>
  <c r="AZ564" i="3"/>
  <c r="AI564" i="3"/>
  <c r="AJ567" i="3" s="1"/>
  <c r="AR564" i="3"/>
  <c r="AQ564" i="3"/>
  <c r="AP564" i="3"/>
  <c r="Y564" i="3"/>
  <c r="Z567" i="3" s="1"/>
  <c r="O564" i="3"/>
  <c r="P567" i="3" s="1"/>
  <c r="E564" i="3"/>
  <c r="F567" i="3" s="1"/>
  <c r="BC564" i="3" l="1"/>
  <c r="BB564" i="3"/>
  <c r="BA564" i="3"/>
  <c r="AS564" i="3"/>
  <c r="BD565" i="3"/>
  <c r="AI563" i="3"/>
  <c r="AJ566" i="3" s="1"/>
  <c r="AR563" i="3"/>
  <c r="AQ563" i="3"/>
  <c r="AP563" i="3"/>
  <c r="Y563" i="3"/>
  <c r="Z566" i="3" s="1"/>
  <c r="O563" i="3"/>
  <c r="BA563" i="3" s="1"/>
  <c r="E563" i="3"/>
  <c r="F566" i="3" s="1"/>
  <c r="AZ563" i="3" l="1"/>
  <c r="BC563" i="3"/>
  <c r="P566" i="3"/>
  <c r="AS563" i="3"/>
  <c r="BB563" i="3"/>
  <c r="AT567" i="3"/>
  <c r="BD564" i="3"/>
  <c r="AT566" i="3" l="1"/>
  <c r="BD563" i="3"/>
  <c r="AI562" i="3"/>
  <c r="AR562" i="3"/>
  <c r="AQ562" i="3"/>
  <c r="AP562" i="3"/>
  <c r="Y562" i="3"/>
  <c r="Z565" i="3" s="1"/>
  <c r="O562" i="3"/>
  <c r="P565" i="3" s="1"/>
  <c r="E562" i="3"/>
  <c r="F565" i="3" s="1"/>
  <c r="BB562" i="3" l="1"/>
  <c r="AS562" i="3"/>
  <c r="BC562" i="3"/>
  <c r="AJ565" i="3"/>
  <c r="BA562" i="3"/>
  <c r="AZ562" i="3"/>
  <c r="AP561" i="3"/>
  <c r="AQ561" i="3"/>
  <c r="AR561" i="3"/>
  <c r="AI561" i="3"/>
  <c r="Y561" i="3"/>
  <c r="Z564" i="3" s="1"/>
  <c r="O561" i="3"/>
  <c r="P564" i="3" s="1"/>
  <c r="E561" i="3"/>
  <c r="F564" i="3" s="1"/>
  <c r="BB561" i="3" l="1"/>
  <c r="BA561" i="3"/>
  <c r="BC561" i="3"/>
  <c r="AJ564" i="3"/>
  <c r="BD562" i="3"/>
  <c r="AT565" i="3"/>
  <c r="AS561" i="3"/>
  <c r="AT564" i="3" s="1"/>
  <c r="AZ561" i="3"/>
  <c r="AI560" i="3"/>
  <c r="AJ563" i="3" s="1"/>
  <c r="AR560" i="3"/>
  <c r="AQ560" i="3"/>
  <c r="AP560" i="3"/>
  <c r="Y560" i="3"/>
  <c r="Z563" i="3" s="1"/>
  <c r="O560" i="3"/>
  <c r="P563" i="3" s="1"/>
  <c r="E560" i="3"/>
  <c r="BA560" i="3" l="1"/>
  <c r="AZ560" i="3"/>
  <c r="F563" i="3"/>
  <c r="AS560" i="3"/>
  <c r="BB560" i="3"/>
  <c r="BD561" i="3"/>
  <c r="BC560" i="3"/>
  <c r="BD560" i="3" l="1"/>
  <c r="AT563" i="3"/>
  <c r="AP559" i="3"/>
  <c r="AQ559" i="3"/>
  <c r="AR559" i="3"/>
  <c r="AI559" i="3"/>
  <c r="AJ562" i="3" s="1"/>
  <c r="Y559" i="3"/>
  <c r="Z562" i="3" s="1"/>
  <c r="O559" i="3"/>
  <c r="E559" i="3"/>
  <c r="BB559" i="3" l="1"/>
  <c r="BA559" i="3"/>
  <c r="P562" i="3"/>
  <c r="AS559" i="3"/>
  <c r="F562" i="3"/>
  <c r="AZ559" i="3"/>
  <c r="BC559" i="3"/>
  <c r="AP558" i="3"/>
  <c r="AQ558" i="3"/>
  <c r="AR558" i="3"/>
  <c r="AI558" i="3"/>
  <c r="AJ561" i="3" s="1"/>
  <c r="Y558" i="3"/>
  <c r="Z561" i="3" s="1"/>
  <c r="O558" i="3"/>
  <c r="P561" i="3" s="1"/>
  <c r="E558" i="3"/>
  <c r="BC558" i="3" l="1"/>
  <c r="BB558" i="3"/>
  <c r="BD559" i="3"/>
  <c r="AT562" i="3"/>
  <c r="AZ558" i="3"/>
  <c r="F561" i="3"/>
  <c r="BA558" i="3"/>
  <c r="AS558" i="3"/>
  <c r="AT561" i="3" s="1"/>
  <c r="AP557" i="3"/>
  <c r="AQ557" i="3"/>
  <c r="AR557" i="3"/>
  <c r="AI557" i="3"/>
  <c r="AJ560" i="3" s="1"/>
  <c r="Y557" i="3"/>
  <c r="O557" i="3"/>
  <c r="P560" i="3" s="1"/>
  <c r="E557" i="3"/>
  <c r="F560" i="3" s="1"/>
  <c r="Z560" i="3" l="1"/>
  <c r="BC557" i="3"/>
  <c r="BB557" i="3"/>
  <c r="BA557" i="3"/>
  <c r="BD558" i="3"/>
  <c r="AS557" i="3"/>
  <c r="AZ557" i="3"/>
  <c r="AT560" i="3" l="1"/>
  <c r="BD557" i="3"/>
  <c r="AR556" i="3" l="1"/>
  <c r="AQ556" i="3"/>
  <c r="AP556" i="3"/>
  <c r="AI556" i="3"/>
  <c r="AJ559" i="3" s="1"/>
  <c r="Y556" i="3"/>
  <c r="O556" i="3"/>
  <c r="E556" i="3"/>
  <c r="F559" i="3" s="1"/>
  <c r="BB556" i="3" l="1"/>
  <c r="Z559" i="3"/>
  <c r="BA556" i="3"/>
  <c r="P559" i="3"/>
  <c r="AZ556" i="3"/>
  <c r="AS556" i="3"/>
  <c r="AT559" i="3" s="1"/>
  <c r="BC556" i="3"/>
  <c r="BA555" i="3"/>
  <c r="AP555" i="3"/>
  <c r="AQ555" i="3"/>
  <c r="AR555" i="3"/>
  <c r="AI555" i="3"/>
  <c r="Y555" i="3"/>
  <c r="O555" i="3"/>
  <c r="P558" i="3" s="1"/>
  <c r="E555" i="3"/>
  <c r="BB555" i="3" l="1"/>
  <c r="Z558" i="3"/>
  <c r="AS555" i="3"/>
  <c r="AT558" i="3" s="1"/>
  <c r="F558" i="3"/>
  <c r="BC555" i="3"/>
  <c r="AJ558" i="3"/>
  <c r="AZ555" i="3"/>
  <c r="BD556" i="3"/>
  <c r="AP554" i="3"/>
  <c r="AQ554" i="3"/>
  <c r="AR554" i="3"/>
  <c r="AI554" i="3"/>
  <c r="AJ557" i="3" s="1"/>
  <c r="Y554" i="3"/>
  <c r="Z557" i="3" s="1"/>
  <c r="O554" i="3"/>
  <c r="P557" i="3" s="1"/>
  <c r="E554" i="3"/>
  <c r="BD555" i="3" l="1"/>
  <c r="BB554" i="3"/>
  <c r="BC554" i="3"/>
  <c r="BA554" i="3"/>
  <c r="AZ554" i="3"/>
  <c r="F557" i="3"/>
  <c r="AS554" i="3"/>
  <c r="AT557" i="3" s="1"/>
  <c r="AP553" i="3"/>
  <c r="AQ553" i="3"/>
  <c r="AR553" i="3"/>
  <c r="AI553" i="3"/>
  <c r="AJ556" i="3" s="1"/>
  <c r="Y553" i="3"/>
  <c r="Z556" i="3" s="1"/>
  <c r="O553" i="3"/>
  <c r="E553" i="3"/>
  <c r="F556" i="3" s="1"/>
  <c r="P556" i="3" l="1"/>
  <c r="BB553" i="3"/>
  <c r="BA553" i="3"/>
  <c r="BC553" i="3"/>
  <c r="AZ553" i="3"/>
  <c r="BD554" i="3"/>
  <c r="AS553" i="3"/>
  <c r="BA552" i="3"/>
  <c r="AP552" i="3"/>
  <c r="AQ552" i="3"/>
  <c r="AR552" i="3"/>
  <c r="AI552" i="3"/>
  <c r="AJ555" i="3" s="1"/>
  <c r="Y552" i="3"/>
  <c r="O552" i="3"/>
  <c r="P555" i="3" s="1"/>
  <c r="E552" i="3"/>
  <c r="F555" i="3" s="1"/>
  <c r="BC552" i="3" l="1"/>
  <c r="Z555" i="3"/>
  <c r="BB552" i="3"/>
  <c r="AT556" i="3"/>
  <c r="BD553" i="3"/>
  <c r="AS552" i="3"/>
  <c r="AZ552" i="3"/>
  <c r="AP551" i="3"/>
  <c r="AQ551" i="3"/>
  <c r="AR551" i="3"/>
  <c r="AI551" i="3"/>
  <c r="AJ554" i="3" s="1"/>
  <c r="Y551" i="3"/>
  <c r="Z554" i="3" s="1"/>
  <c r="O551" i="3"/>
  <c r="P554" i="3" s="1"/>
  <c r="E551" i="3"/>
  <c r="F554" i="3" s="1"/>
  <c r="BA551" i="3" l="1"/>
  <c r="BB551" i="3"/>
  <c r="BC551" i="3"/>
  <c r="AS551" i="3"/>
  <c r="AZ551" i="3"/>
  <c r="AT555" i="3"/>
  <c r="BD552" i="3"/>
  <c r="AP550" i="3"/>
  <c r="AQ550" i="3"/>
  <c r="AR550" i="3"/>
  <c r="AI550" i="3"/>
  <c r="AJ553" i="3" s="1"/>
  <c r="Y550" i="3"/>
  <c r="O550" i="3"/>
  <c r="P553" i="3" s="1"/>
  <c r="E550" i="3"/>
  <c r="F553" i="3" s="1"/>
  <c r="BA550" i="3" l="1"/>
  <c r="Z553" i="3"/>
  <c r="AT554" i="3"/>
  <c r="BD551" i="3"/>
  <c r="AS550" i="3"/>
  <c r="BC550" i="3"/>
  <c r="BB550" i="3"/>
  <c r="AZ550" i="3"/>
  <c r="AR549" i="3"/>
  <c r="AQ549" i="3"/>
  <c r="AP549" i="3"/>
  <c r="AR548" i="3"/>
  <c r="AQ548" i="3"/>
  <c r="AP548" i="3"/>
  <c r="AI549" i="3"/>
  <c r="AJ552" i="3" s="1"/>
  <c r="Y549" i="3"/>
  <c r="Z552" i="3" s="1"/>
  <c r="O549" i="3"/>
  <c r="P552" i="3" s="1"/>
  <c r="E549" i="3"/>
  <c r="BB549" i="3" l="1"/>
  <c r="BA549" i="3"/>
  <c r="AT553" i="3"/>
  <c r="BD550" i="3"/>
  <c r="AZ549" i="3"/>
  <c r="F552" i="3"/>
  <c r="BC549" i="3"/>
  <c r="AS549" i="3"/>
  <c r="AT552" i="3" s="1"/>
  <c r="BD549" i="3" l="1"/>
  <c r="AI548" i="3"/>
  <c r="AJ551" i="3" s="1"/>
  <c r="Y548" i="3"/>
  <c r="BB548" i="3" s="1"/>
  <c r="O548" i="3"/>
  <c r="P551" i="3" s="1"/>
  <c r="E548" i="3"/>
  <c r="F551" i="3" s="1"/>
  <c r="BA548" i="3" l="1"/>
  <c r="Z551" i="3"/>
  <c r="BC548" i="3"/>
  <c r="AZ548" i="3"/>
  <c r="AS548" i="3"/>
  <c r="AT551" i="3" s="1"/>
  <c r="BD548" i="3" l="1"/>
  <c r="AP547" i="3"/>
  <c r="AQ547" i="3"/>
  <c r="AR547" i="3"/>
  <c r="AI547" i="3"/>
  <c r="Y547" i="3"/>
  <c r="O547" i="3"/>
  <c r="P550" i="3" s="1"/>
  <c r="E547" i="3"/>
  <c r="F550" i="3" s="1"/>
  <c r="BA547" i="3" l="1"/>
  <c r="AZ547" i="3"/>
  <c r="BB547" i="3"/>
  <c r="Z550" i="3"/>
  <c r="BC547" i="3"/>
  <c r="AJ550" i="3"/>
  <c r="AS547" i="3"/>
  <c r="AT550" i="3" s="1"/>
  <c r="AP546" i="3"/>
  <c r="AQ546" i="3"/>
  <c r="AR546" i="3"/>
  <c r="AI546" i="3"/>
  <c r="Y546" i="3"/>
  <c r="Z549" i="3" s="1"/>
  <c r="O546" i="3"/>
  <c r="BA546" i="3" s="1"/>
  <c r="E546" i="3"/>
  <c r="F549" i="3" s="1"/>
  <c r="P549" i="3" l="1"/>
  <c r="AJ549" i="3"/>
  <c r="BC546" i="3"/>
  <c r="AS546" i="3"/>
  <c r="BB546" i="3"/>
  <c r="BD547" i="3"/>
  <c r="AZ546" i="3"/>
  <c r="AP545" i="3"/>
  <c r="AQ545" i="3"/>
  <c r="AR545" i="3"/>
  <c r="AI545" i="3"/>
  <c r="AJ548" i="3" s="1"/>
  <c r="Y545" i="3"/>
  <c r="BB545" i="3" s="1"/>
  <c r="O545" i="3"/>
  <c r="P548" i="3" s="1"/>
  <c r="E545" i="3"/>
  <c r="F548" i="3" s="1"/>
  <c r="BC545" i="3" l="1"/>
  <c r="BA545" i="3"/>
  <c r="AT549" i="3"/>
  <c r="BD546" i="3"/>
  <c r="Z548" i="3"/>
  <c r="AZ545" i="3"/>
  <c r="AS545" i="3"/>
  <c r="AP544" i="3"/>
  <c r="AQ544" i="3"/>
  <c r="AR544" i="3"/>
  <c r="AI544" i="3"/>
  <c r="AJ547" i="3" s="1"/>
  <c r="Y544" i="3"/>
  <c r="BB544" i="3" s="1"/>
  <c r="O544" i="3"/>
  <c r="P547" i="3" s="1"/>
  <c r="E544" i="3"/>
  <c r="Z547" i="3" l="1"/>
  <c r="BC544" i="3"/>
  <c r="BA544" i="3"/>
  <c r="AZ544" i="3"/>
  <c r="F547" i="3"/>
  <c r="BD545" i="3"/>
  <c r="AT548" i="3"/>
  <c r="AS544" i="3"/>
  <c r="AT547" i="3" s="1"/>
  <c r="AP543" i="3"/>
  <c r="AQ543" i="3"/>
  <c r="AR543" i="3"/>
  <c r="AI543" i="3"/>
  <c r="Y543" i="3"/>
  <c r="Z546" i="3" s="1"/>
  <c r="O543" i="3"/>
  <c r="P546" i="3" s="1"/>
  <c r="E543" i="3"/>
  <c r="BB543" i="3" l="1"/>
  <c r="BA543" i="3"/>
  <c r="AS543" i="3"/>
  <c r="AT546" i="3" s="1"/>
  <c r="F546" i="3"/>
  <c r="BC543" i="3"/>
  <c r="AJ546" i="3"/>
  <c r="AZ543" i="3"/>
  <c r="BD544" i="3"/>
  <c r="BD543" i="3" l="1"/>
  <c r="AI542" i="3" l="1"/>
  <c r="AR542" i="3"/>
  <c r="AQ542" i="3"/>
  <c r="AP542" i="3"/>
  <c r="Y542" i="3"/>
  <c r="O542" i="3"/>
  <c r="E542" i="3"/>
  <c r="Z545" i="3" l="1"/>
  <c r="BB542" i="3"/>
  <c r="AJ545" i="3"/>
  <c r="BC542" i="3"/>
  <c r="BA542" i="3"/>
  <c r="P545" i="3"/>
  <c r="AZ542" i="3"/>
  <c r="F545" i="3"/>
  <c r="AS542" i="3"/>
  <c r="AT545" i="3" s="1"/>
  <c r="BD542" i="3" l="1"/>
  <c r="AP541" i="3"/>
  <c r="AQ541" i="3"/>
  <c r="AR541" i="3"/>
  <c r="AI541" i="3"/>
  <c r="AJ544" i="3" s="1"/>
  <c r="Y541" i="3"/>
  <c r="Z544" i="3" s="1"/>
  <c r="O541" i="3"/>
  <c r="P544" i="3" s="1"/>
  <c r="E541" i="3"/>
  <c r="F544" i="3" s="1"/>
  <c r="BB541" i="3" l="1"/>
  <c r="BC541" i="3"/>
  <c r="BA541" i="3"/>
  <c r="AZ541" i="3"/>
  <c r="AS541" i="3"/>
  <c r="AT544" i="3" s="1"/>
  <c r="AI540" i="3"/>
  <c r="AR540" i="3"/>
  <c r="AQ540" i="3"/>
  <c r="AP540" i="3"/>
  <c r="Y540" i="3"/>
  <c r="O540" i="3"/>
  <c r="P543" i="3" s="1"/>
  <c r="E540" i="3"/>
  <c r="F543" i="3" s="1"/>
  <c r="BC540" i="3" l="1"/>
  <c r="AJ543" i="3"/>
  <c r="BB540" i="3"/>
  <c r="Z543" i="3"/>
  <c r="BA540" i="3"/>
  <c r="AS540" i="3"/>
  <c r="BD541" i="3"/>
  <c r="AZ540" i="3"/>
  <c r="AI539" i="3"/>
  <c r="AR539" i="3"/>
  <c r="AQ539" i="3"/>
  <c r="AP539" i="3"/>
  <c r="Y539" i="3"/>
  <c r="O539" i="3"/>
  <c r="E539" i="3"/>
  <c r="BA539" i="3" l="1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Z541" i="3" l="1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BD538" i="3" l="1"/>
  <c r="AT541" i="3"/>
  <c r="AP537" i="3"/>
  <c r="AQ537" i="3"/>
  <c r="AR537" i="3"/>
  <c r="AI537" i="3"/>
  <c r="Y537" i="3"/>
  <c r="O537" i="3"/>
  <c r="E537" i="3"/>
  <c r="Z540" i="3" l="1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AT540" i="3" l="1"/>
  <c r="BD537" i="3"/>
  <c r="AI536" i="3"/>
  <c r="AR536" i="3"/>
  <c r="AQ536" i="3"/>
  <c r="AP536" i="3"/>
  <c r="Y536" i="3"/>
  <c r="O536" i="3"/>
  <c r="E536" i="3"/>
  <c r="P539" i="3" l="1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BG562" i="3" s="1"/>
  <c r="BG563" i="3" s="1"/>
  <c r="BG564" i="3" s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D19" i="1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BE562" i="3" s="1"/>
  <c r="BE563" i="3" s="1"/>
  <c r="BE564" i="3" s="1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E576" i="3" s="1"/>
  <c r="BE577" i="3" s="1"/>
  <c r="BE578" i="3" s="1"/>
  <c r="BE579" i="3" s="1"/>
  <c r="BE580" i="3" s="1"/>
  <c r="BE581" i="3" s="1"/>
  <c r="BE582" i="3" s="1"/>
  <c r="BE583" i="3" s="1"/>
  <c r="B19" i="1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BF562" i="3" s="1"/>
  <c r="BF563" i="3" s="1"/>
  <c r="BF564" i="3" s="1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F576" i="3" s="1"/>
  <c r="BF577" i="3" s="1"/>
  <c r="BF578" i="3" s="1"/>
  <c r="BF579" i="3" s="1"/>
  <c r="BF580" i="3" s="1"/>
  <c r="BF581" i="3" s="1"/>
  <c r="BF582" i="3" s="1"/>
  <c r="BF583" i="3" s="1"/>
  <c r="C19" i="1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I586" i="3" l="1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BI562" i="3" s="1"/>
  <c r="BI563" i="3" s="1"/>
  <c r="BI564" i="3" s="1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I576" i="3" s="1"/>
  <c r="BI577" i="3" s="1"/>
  <c r="BI578" i="3" s="1"/>
  <c r="BI579" i="3" s="1"/>
  <c r="BI580" i="3" s="1"/>
  <c r="BI581" i="3" s="1"/>
  <c r="BI582" i="3" s="1"/>
  <c r="BI583" i="3" s="1"/>
  <c r="F19" i="1" s="1"/>
  <c r="AW587" i="3"/>
  <c r="BH540" i="3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Z533" i="3"/>
  <c r="P533" i="3"/>
  <c r="BB530" i="3"/>
  <c r="AP529" i="3"/>
  <c r="AQ529" i="3"/>
  <c r="AR529" i="3"/>
  <c r="AI529" i="3"/>
  <c r="Y529" i="3"/>
  <c r="O529" i="3"/>
  <c r="E529" i="3"/>
  <c r="S585" i="3" l="1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BH562" i="3" s="1"/>
  <c r="BH563" i="3" s="1"/>
  <c r="BH564" i="3" s="1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BH576" i="3" s="1"/>
  <c r="BH577" i="3" s="1"/>
  <c r="BH578" i="3" s="1"/>
  <c r="BH579" i="3" s="1"/>
  <c r="BH580" i="3" s="1"/>
  <c r="BH581" i="3" s="1"/>
  <c r="BH582" i="3" s="1"/>
  <c r="BH583" i="3" s="1"/>
  <c r="E19" i="1" s="1"/>
  <c r="AT533" i="3"/>
  <c r="BD530" i="3"/>
  <c r="AS529" i="3"/>
  <c r="AV581" i="3" s="1"/>
  <c r="AJ532" i="3"/>
  <c r="AZ529" i="3"/>
  <c r="AW585" i="3" l="1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AM583" i="3" l="1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S583" i="3" l="1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BB525" i="3"/>
  <c r="AI525" i="3"/>
  <c r="AJ528" i="3" s="1"/>
  <c r="AR525" i="3"/>
  <c r="AQ525" i="3"/>
  <c r="AP525" i="3"/>
  <c r="Y525" i="3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T501" i="3"/>
  <c r="BD498" i="3"/>
  <c r="AJ501" i="3"/>
  <c r="BC498" i="3"/>
  <c r="BB497" i="3"/>
  <c r="BC497" i="3"/>
  <c r="BA497" i="3"/>
  <c r="AZ497" i="3"/>
  <c r="AS497" i="3"/>
  <c r="AV549" i="3" s="1"/>
  <c r="S552" i="3" l="1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Z457" i="3"/>
  <c r="F460" i="3"/>
  <c r="BA457" i="3"/>
  <c r="P460" i="3"/>
  <c r="AS457" i="3"/>
  <c r="AV509" i="3" s="1"/>
  <c r="AJ460" i="3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L508" i="3"/>
  <c r="I512" i="3"/>
  <c r="AC512" i="3"/>
  <c r="F459" i="3"/>
  <c r="H508" i="3"/>
  <c r="P459" i="3"/>
  <c r="R508" i="3"/>
  <c r="AM512" i="3"/>
  <c r="AW513" i="3"/>
  <c r="BC456" i="3"/>
  <c r="AZ456" i="3"/>
  <c r="BA456" i="3"/>
  <c r="BB456" i="3"/>
  <c r="Z459" i="3"/>
  <c r="AS456" i="3"/>
  <c r="AV508" i="3" s="1"/>
  <c r="BD457" i="3"/>
  <c r="AT460" i="3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B507" i="3"/>
  <c r="BB455" i="3"/>
  <c r="AZ455" i="3"/>
  <c r="F458" i="3"/>
  <c r="AS455" i="3"/>
  <c r="AV507" i="3" s="1"/>
  <c r="AJ458" i="3"/>
  <c r="BA455" i="3"/>
  <c r="P458" i="3"/>
  <c r="BD456" i="3"/>
  <c r="AT459" i="3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H506" i="3"/>
  <c r="AZ454" i="3"/>
  <c r="BB454" i="3"/>
  <c r="Z457" i="3"/>
  <c r="AS454" i="3"/>
  <c r="AV506" i="3" s="1"/>
  <c r="AJ457" i="3"/>
  <c r="BD455" i="3"/>
  <c r="AT458" i="3"/>
  <c r="BA454" i="3"/>
  <c r="P457" i="3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BB453" i="3"/>
  <c r="Z456" i="3"/>
  <c r="BC453" i="3"/>
  <c r="BD454" i="3"/>
  <c r="AT457" i="3"/>
  <c r="BA453" i="3"/>
  <c r="P456" i="3"/>
  <c r="AS453" i="3"/>
  <c r="AV505" i="3" s="1"/>
  <c r="AJ456" i="3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H504" i="3"/>
  <c r="P455" i="3"/>
  <c r="R504" i="3"/>
  <c r="AZ452" i="3"/>
  <c r="BA452" i="3"/>
  <c r="BB452" i="3"/>
  <c r="Z455" i="3"/>
  <c r="AS452" i="3"/>
  <c r="AV504" i="3" s="1"/>
  <c r="AJ455" i="3"/>
  <c r="BD453" i="3"/>
  <c r="AT456" i="3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M507" i="3"/>
  <c r="AC507" i="3"/>
  <c r="BC451" i="3"/>
  <c r="S507" i="3"/>
  <c r="I507" i="3"/>
  <c r="AZ451" i="3"/>
  <c r="F454" i="3"/>
  <c r="BA451" i="3"/>
  <c r="P454" i="3"/>
  <c r="BB451" i="3"/>
  <c r="Z454" i="3"/>
  <c r="AS451" i="3"/>
  <c r="AV503" i="3" s="1"/>
  <c r="BD452" i="3"/>
  <c r="AT455" i="3"/>
  <c r="AI450" i="3"/>
  <c r="AR450" i="3"/>
  <c r="AQ450" i="3"/>
  <c r="AP450" i="3"/>
  <c r="Y450" i="3"/>
  <c r="AB502" i="3" s="1"/>
  <c r="O450" i="3"/>
  <c r="E450" i="3"/>
  <c r="H502" i="3" s="1"/>
  <c r="AW507" i="3" l="1"/>
  <c r="P453" i="3"/>
  <c r="R502" i="3"/>
  <c r="BC450" i="3"/>
  <c r="AL502" i="3"/>
  <c r="AC506" i="3"/>
  <c r="S506" i="3"/>
  <c r="I506" i="3"/>
  <c r="AM506" i="3"/>
  <c r="AZ450" i="3"/>
  <c r="F453" i="3"/>
  <c r="BA450" i="3"/>
  <c r="BB450" i="3"/>
  <c r="Z453" i="3"/>
  <c r="BD451" i="3"/>
  <c r="AT454" i="3"/>
  <c r="AS450" i="3"/>
  <c r="AV502" i="3" s="1"/>
  <c r="AJ453" i="3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B501" i="3"/>
  <c r="AM505" i="3"/>
  <c r="AW506" i="3"/>
  <c r="AC505" i="3"/>
  <c r="S505" i="3"/>
  <c r="AZ449" i="3"/>
  <c r="F452" i="3"/>
  <c r="BB449" i="3"/>
  <c r="AS449" i="3"/>
  <c r="AV501" i="3" s="1"/>
  <c r="AJ452" i="3"/>
  <c r="BA449" i="3"/>
  <c r="P452" i="3"/>
  <c r="BD450" i="3"/>
  <c r="AT453" i="3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H500" i="3"/>
  <c r="AJ451" i="3"/>
  <c r="I504" i="3"/>
  <c r="AW505" i="3"/>
  <c r="S504" i="3"/>
  <c r="AM504" i="3"/>
  <c r="AC504" i="3"/>
  <c r="AZ448" i="3"/>
  <c r="BA448" i="3"/>
  <c r="P451" i="3"/>
  <c r="BB448" i="3"/>
  <c r="Z451" i="3"/>
  <c r="AS448" i="3"/>
  <c r="AV500" i="3" s="1"/>
  <c r="BD449" i="3"/>
  <c r="AT452" i="3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L497" i="3"/>
  <c r="P449" i="3"/>
  <c r="R498" i="3"/>
  <c r="BC447" i="3"/>
  <c r="AL499" i="3"/>
  <c r="AC503" i="3"/>
  <c r="S503" i="3"/>
  <c r="AM503" i="3"/>
  <c r="I503" i="3"/>
  <c r="AJ449" i="3"/>
  <c r="Z447" i="3"/>
  <c r="BC446" i="3"/>
  <c r="BB445" i="3"/>
  <c r="Z448" i="3"/>
  <c r="AS446" i="3"/>
  <c r="F449" i="3"/>
  <c r="AZ447" i="3"/>
  <c r="F450" i="3"/>
  <c r="P447" i="3"/>
  <c r="AJ447" i="3"/>
  <c r="AJ450" i="3"/>
  <c r="BA445" i="3"/>
  <c r="P448" i="3"/>
  <c r="AZ446" i="3"/>
  <c r="BA446" i="3"/>
  <c r="BB446" i="3"/>
  <c r="Z449" i="3"/>
  <c r="BA447" i="3"/>
  <c r="P450" i="3"/>
  <c r="BB447" i="3"/>
  <c r="Z450" i="3"/>
  <c r="AS447" i="3"/>
  <c r="AV499" i="3" s="1"/>
  <c r="BD448" i="3"/>
  <c r="AT451" i="3"/>
  <c r="AZ445" i="3"/>
  <c r="F448" i="3"/>
  <c r="F447" i="3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L491" i="3"/>
  <c r="AJ444" i="3"/>
  <c r="AL493" i="3"/>
  <c r="F446" i="3"/>
  <c r="H495" i="3"/>
  <c r="Z446" i="3"/>
  <c r="AB495" i="3"/>
  <c r="AJ446" i="3"/>
  <c r="AL495" i="3"/>
  <c r="AT447" i="3"/>
  <c r="AV496" i="3"/>
  <c r="I500" i="3"/>
  <c r="AW503" i="3"/>
  <c r="AM499" i="3"/>
  <c r="I502" i="3"/>
  <c r="I501" i="3"/>
  <c r="AC500" i="3"/>
  <c r="AM501" i="3"/>
  <c r="S501" i="3"/>
  <c r="AM500" i="3"/>
  <c r="F442" i="3"/>
  <c r="H491" i="3"/>
  <c r="Z442" i="3"/>
  <c r="AB491" i="3"/>
  <c r="P446" i="3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F445" i="3"/>
  <c r="Z445" i="3"/>
  <c r="AJ445" i="3"/>
  <c r="AT448" i="3"/>
  <c r="F443" i="3"/>
  <c r="Z443" i="3"/>
  <c r="BC440" i="3"/>
  <c r="F444" i="3"/>
  <c r="BC441" i="3"/>
  <c r="AZ442" i="3"/>
  <c r="P445" i="3"/>
  <c r="BC443" i="3"/>
  <c r="AZ439" i="3"/>
  <c r="BC442" i="3"/>
  <c r="BD447" i="3"/>
  <c r="AT450" i="3"/>
  <c r="AT449" i="3"/>
  <c r="BA439" i="3"/>
  <c r="P442" i="3"/>
  <c r="BC439" i="3"/>
  <c r="BB439" i="3"/>
  <c r="AS439" i="3"/>
  <c r="AV491" i="3" s="1"/>
  <c r="BA440" i="3"/>
  <c r="P443" i="3"/>
  <c r="BB440" i="3"/>
  <c r="AZ441" i="3"/>
  <c r="BB441" i="3"/>
  <c r="Z444" i="3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R489" i="3"/>
  <c r="F441" i="3"/>
  <c r="H490" i="3"/>
  <c r="Z441" i="3"/>
  <c r="AB490" i="3"/>
  <c r="AJ441" i="3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AJ440" i="3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R485" i="3"/>
  <c r="F437" i="3"/>
  <c r="H486" i="3"/>
  <c r="BB434" i="3"/>
  <c r="AB486" i="3"/>
  <c r="AJ437" i="3"/>
  <c r="AL486" i="3"/>
  <c r="BA435" i="3"/>
  <c r="R487" i="3"/>
  <c r="AJ439" i="3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AS436" i="3"/>
  <c r="AV488" i="3" s="1"/>
  <c r="P439" i="3"/>
  <c r="AJ436" i="3"/>
  <c r="BA437" i="3"/>
  <c r="BB437" i="3"/>
  <c r="Z440" i="3"/>
  <c r="Z437" i="3"/>
  <c r="BA438" i="3"/>
  <c r="P441" i="3"/>
  <c r="P438" i="3"/>
  <c r="Z438" i="3"/>
  <c r="AJ438" i="3"/>
  <c r="BB431" i="3"/>
  <c r="BA432" i="3"/>
  <c r="AS432" i="3"/>
  <c r="BA433" i="3"/>
  <c r="AZ434" i="3"/>
  <c r="AZ436" i="3"/>
  <c r="F439" i="3"/>
  <c r="BA436" i="3"/>
  <c r="BB436" i="3"/>
  <c r="Z439" i="3"/>
  <c r="Z436" i="3"/>
  <c r="F438" i="3"/>
  <c r="BB438" i="3"/>
  <c r="AS438" i="3"/>
  <c r="AV490" i="3" s="1"/>
  <c r="BD441" i="3"/>
  <c r="AT444" i="3"/>
  <c r="BD440" i="3"/>
  <c r="AT443" i="3"/>
  <c r="BD443" i="3"/>
  <c r="AT446" i="3"/>
  <c r="BD442" i="3"/>
  <c r="AT442" i="3"/>
  <c r="BD439" i="3"/>
  <c r="BA430" i="3"/>
  <c r="AS430" i="3"/>
  <c r="AV482" i="3" s="1"/>
  <c r="BA431" i="3"/>
  <c r="AS431" i="3"/>
  <c r="AV483" i="3" s="1"/>
  <c r="BA434" i="3"/>
  <c r="P437" i="3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T439" i="3"/>
  <c r="BD438" i="3"/>
  <c r="AT441" i="3"/>
  <c r="BD437" i="3"/>
  <c r="AT435" i="3"/>
  <c r="AU591" i="3" s="1"/>
  <c r="AX591" i="3" s="1"/>
  <c r="BD434" i="3"/>
  <c r="AT437" i="3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Y124" i="3"/>
  <c r="AI124" i="3"/>
  <c r="BC124" i="3" s="1"/>
  <c r="AR283" i="3"/>
  <c r="AQ283" i="3"/>
  <c r="AP283" i="3"/>
  <c r="E175" i="3"/>
  <c r="O175" i="3"/>
  <c r="BA175" i="3" s="1"/>
  <c r="Y175" i="3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H320" i="3" s="1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BB175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BC74" i="3"/>
  <c r="BA90" i="3"/>
  <c r="BA107" i="3"/>
  <c r="BB119" i="3"/>
  <c r="AZ121" i="3"/>
  <c r="BA124" i="3"/>
  <c r="BB124" i="3"/>
  <c r="AZ141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R306" i="3"/>
  <c r="AL319" i="3" l="1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AV70" i="3" s="1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S150" i="3" s="1"/>
  <c r="AS149" i="3"/>
  <c r="P152" i="3"/>
  <c r="AS151" i="3"/>
  <c r="P154" i="3"/>
  <c r="S154" i="3" s="1"/>
  <c r="BD196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AC88" i="3" s="1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V77" i="3" l="1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AW309" i="3" s="1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T254" i="3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J231" i="3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T175" i="3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W65" i="3" s="1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AW77" i="3" s="1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BG314" i="3"/>
  <c r="BG315" i="3" s="1"/>
  <c r="BG316" i="3" s="1"/>
  <c r="BG317" i="3" s="1"/>
  <c r="BG318" i="3" s="1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126" i="3" l="1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<sst xmlns="http://schemas.openxmlformats.org/spreadsheetml/2006/main" count="183" uniqueCount="64">
  <si>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</si>
  <si>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</si>
  <si>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</si>
  <si>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</si>
  <si>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</si>
  <si>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</si>
  <si>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</si>
  <si>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</si>
  <si>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</si>
  <si>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</si>
  <si>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</si>
  <si>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</si>
  <si>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</si>
  <si>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</si>
  <si>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</si>
  <si>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</si>
  <si>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</si>
  <si>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</si>
  <si>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</si>
  <si>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</si>
  <si>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</si>
  <si>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</si>
  <si>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</si>
  <si>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</si>
  <si>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</si>
  <si>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</si>
  <si>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</si>
  <si>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</si>
  <si>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</si>
  <si>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</si>
  <si>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</si>
  <si>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</si>
  <si>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</si>
  <si>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</si>
  <si>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</si>
  <si>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</si>
  <si>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</si>
  <si>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</si>
  <si>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</si>
  <si>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</si>
  <si>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</si>
  <si>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</si>
  <si>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</si>
  <si>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</si>
  <si>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</si>
  <si>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</si>
  <si>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</si>
  <si>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</si>
  <si>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</si>
  <si>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</si>
  <si>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</si>
  <si>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</si>
  <si>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</si>
  <si>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</si>
  <si>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</si>
  <si>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</si>
  <si>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</si>
  <si>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</si>
  <si>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</si>
  <si>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</si>
  <si>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</si>
  <si>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</si>
  <si>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</si>
  <si>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4/12/2014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</si>
</sst>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0" fontId="2" fillId="0" borderId="0" xfId="2" applyNumberFormat="1" applyFont="1"/>
    <xf numFmtId="9" fontId="2" fillId="0" borderId="0" xfId="2" applyNumberFormat="1" applyFont="1"/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15"/>
  <sheetViews>
    <sheetView topLeftCell="A3" workbookViewId="0">
      <pane xSplit="1" ySplit="6" topLeftCell="AZ596" activePane="bottomRight" state="frozen"/>
      <selection activeCell="A3" sqref="A3"/>
      <selection pane="topRight" activeCell="B3" sqref="B3"/>
      <selection pane="bottomLeft" activeCell="A8" sqref="A8"/>
      <selection pane="bottomRight" activeCell="BA599" sqref="BA599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80" t="s">
        <v>31</v>
      </c>
      <c r="C6" s="80"/>
      <c r="D6" s="80"/>
      <c r="E6" s="80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80" t="s">
        <v>35</v>
      </c>
      <c r="M6" s="80"/>
      <c r="N6" s="80"/>
      <c r="O6" s="80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80" t="s">
        <v>34</v>
      </c>
      <c r="W6" s="80"/>
      <c r="X6" s="80"/>
      <c r="Y6" s="80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80" t="s">
        <v>33</v>
      </c>
      <c r="AG6" s="80"/>
      <c r="AH6" s="80"/>
      <c r="AI6" s="80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80" t="s">
        <v>36</v>
      </c>
      <c r="AQ6" s="80"/>
      <c r="AR6" s="80"/>
      <c r="AS6" s="80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25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25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25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25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25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25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25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25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1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25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25">
      <c r="A590" s="48">
        <f t="shared" ref="A590:A598" si="8958"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9">AVERAGE(E587,E588,E589,E590)</f>
        <v>252158.5</v>
      </c>
      <c r="G590" s="71">
        <f t="shared" ref="G590" si="8960">AVERAGE(F538,F486,F434)</f>
        <v>259777</v>
      </c>
      <c r="H590" s="64">
        <f t="shared" ref="H590" si="8961">((E590/E538)-1)*100</f>
        <v>125.78639356254571</v>
      </c>
      <c r="I590" s="64">
        <f t="shared" ref="I590" si="8962">((F590/F538)-1)*100</f>
        <v>184.53422702165955</v>
      </c>
      <c r="J590" s="64">
        <f t="shared" ref="J590" si="8963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4">SUM(L590:N590)</f>
        <v>18327</v>
      </c>
      <c r="P590" s="71">
        <f t="shared" ref="P590" si="8965">AVERAGE(O587,O588,O589,O590)</f>
        <v>13056.75</v>
      </c>
      <c r="Q590" s="71">
        <f t="shared" ref="Q590" si="8966">AVERAGE(P538,P486,P434)</f>
        <v>39004.416666666664</v>
      </c>
      <c r="R590" s="64">
        <f t="shared" ref="R590" si="8967">((O590/O538)-1)*100</f>
        <v>-82.791549295774644</v>
      </c>
      <c r="S590" s="73">
        <f t="shared" ref="S590" si="8968">((P590/P538)-1)*100</f>
        <v>-82.352762290927515</v>
      </c>
      <c r="T590" s="64">
        <f t="shared" ref="T590" si="8969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70">SUM(V590:X590)</f>
        <v>239927</v>
      </c>
      <c r="Z590" s="71">
        <f t="shared" ref="Z590" si="8971">AVERAGE(Y587,Y588,Y589,Y590)</f>
        <v>377925.5</v>
      </c>
      <c r="AA590" s="71">
        <f t="shared" ref="AA590" si="8972">AVERAGE(Z538,Z486,Z434)</f>
        <v>270677</v>
      </c>
      <c r="AB590" s="64">
        <f t="shared" ref="AB590" si="8973">((Y590/Y538)-1)*100</f>
        <v>21.452507744953131</v>
      </c>
      <c r="AC590" s="64">
        <f t="shared" ref="AC590" si="8974">((Z590/Z538)-1)*100</f>
        <v>26.342929878387665</v>
      </c>
      <c r="AD590" s="64">
        <f t="shared" ref="AD590" si="8975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6">SUM(AF590:AH590)</f>
        <v>1400</v>
      </c>
      <c r="AJ590" s="71">
        <f t="shared" ref="AJ590" si="8977">AVERAGE(AI587,AI588,AI589,AI590)</f>
        <v>1575</v>
      </c>
      <c r="AK590" s="71">
        <f t="shared" ref="AK590" si="8978">AVERAGE(AJ538,AJ486,AJ434)</f>
        <v>6726.666666666667</v>
      </c>
      <c r="AL590" s="64">
        <f t="shared" ref="AL590" si="8979">((AI590/AI538)-1)*100</f>
        <v>-79.166666666666657</v>
      </c>
      <c r="AM590" s="64">
        <f t="shared" ref="AM590" si="8980">((AJ590/AJ538)-1)*100</f>
        <v>-73.271107339838764</v>
      </c>
      <c r="AN590" s="64">
        <f t="shared" ref="AN590" si="8981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2">SUM(D590,N590,X590,AH590)</f>
        <v>63800</v>
      </c>
      <c r="AS590" s="60">
        <f t="shared" ref="AS590" si="8983">SUM(E590,O590,Y590,AI590)</f>
        <v>568304</v>
      </c>
      <c r="AT590" s="64">
        <f t="shared" ref="AT590" si="8984">AVERAGE(AS587,AS588,AS589,AS590)</f>
        <v>644715.75</v>
      </c>
      <c r="AU590" s="71">
        <f t="shared" ref="AU590" si="8985">AVERAGE(AT538,AT486,AT434)</f>
        <v>576185.08333333337</v>
      </c>
      <c r="AV590" s="64">
        <f t="shared" ref="AV590" si="8986">((AS590/AS538)-1)*100</f>
        <v>27.004389140675976</v>
      </c>
      <c r="AW590" s="64">
        <f t="shared" ref="AW590" si="8987">((AT590/AT538)-1)*100</f>
        <v>37.869290403220937</v>
      </c>
      <c r="AX590" s="64">
        <f t="shared" ref="AX590" si="8988">((AT590/AU590)-1)*100</f>
        <v>11.893863386779202</v>
      </c>
      <c r="AZ590" s="71">
        <f t="shared" ref="AZ590" si="8989">+E590/1000</f>
        <v>308.64999999999998</v>
      </c>
      <c r="BA590" s="53">
        <f t="shared" ref="BA590" si="8990">+O590/1000</f>
        <v>18.327000000000002</v>
      </c>
      <c r="BB590" s="53">
        <f t="shared" ref="BB590" si="8991">+Y590/1000</f>
        <v>239.92699999999999</v>
      </c>
      <c r="BC590" s="53">
        <f t="shared" ref="BC590" si="8992">+AI590/1000</f>
        <v>1.4</v>
      </c>
      <c r="BD590" s="53">
        <f t="shared" ref="BD590" si="8993">+AS590/1000</f>
        <v>568.30399999999997</v>
      </c>
      <c r="BE590" s="64">
        <f t="shared" si="8805"/>
        <v>1524.5279999999998</v>
      </c>
      <c r="BF590" s="64">
        <f t="shared" ref="BF590" si="8994">BF589+BA590</f>
        <v>124.81700000000001</v>
      </c>
      <c r="BG590" s="64">
        <f t="shared" ref="BG590" si="8995">BG589+BB590</f>
        <v>2425.9210000000003</v>
      </c>
      <c r="BH590" s="64">
        <f t="shared" ref="BH590" si="8996">BH589+BC590</f>
        <v>33.1</v>
      </c>
      <c r="BI590" s="64">
        <f t="shared" ref="BI590" si="8997">BI589+BD590</f>
        <v>4108.366</v>
      </c>
      <c r="BJ590" s="64">
        <f t="shared" si="8807"/>
        <v>7</v>
      </c>
    </row>
    <row r="591" spans="1:62" x14ac:dyDescent="0.25">
      <c r="A591" s="48">
        <f t="shared" si="8958"/>
        <v>41692</v>
      </c>
      <c r="B591" s="64">
        <v>65772</v>
      </c>
      <c r="C591" s="64">
        <v>231950</v>
      </c>
      <c r="D591" s="53">
        <v>2800</v>
      </c>
      <c r="E591" s="64">
        <f t="shared" ref="E591" si="8998">SUM(B591:D591)</f>
        <v>300522</v>
      </c>
      <c r="F591" s="64">
        <f t="shared" ref="F591" si="8999">AVERAGE(E588,E589,E590,E591)</f>
        <v>272264.5</v>
      </c>
      <c r="G591" s="71">
        <f t="shared" ref="G591" si="9000">AVERAGE(F539,F487,F435)</f>
        <v>259518.41666666666</v>
      </c>
      <c r="H591" s="64">
        <f t="shared" ref="H591" si="9001">((E591/E539)-1)*100</f>
        <v>168.29686370088649</v>
      </c>
      <c r="I591" s="64">
        <f t="shared" ref="I591" si="9002">((F591/F539)-1)*100</f>
        <v>167.9788482690571</v>
      </c>
      <c r="J591" s="64">
        <f t="shared" ref="J591" si="9003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4">SUM(L591:N591)</f>
        <v>17750</v>
      </c>
      <c r="P591" s="71">
        <f t="shared" ref="P591" si="9005">AVERAGE(O588,O589,O590,O591)</f>
        <v>14144.25</v>
      </c>
      <c r="Q591" s="71">
        <f t="shared" ref="Q591" si="9006">AVERAGE(P539,P487,P435)</f>
        <v>44511.083333333336</v>
      </c>
      <c r="R591" s="64">
        <f t="shared" ref="R591" si="9007">((O591/O539)-1)*100</f>
        <v>-85.372888339513793</v>
      </c>
      <c r="S591" s="73">
        <f t="shared" ref="S591" si="9008">((P591/P539)-1)*100</f>
        <v>-84.321186088402385</v>
      </c>
      <c r="T591" s="64">
        <f t="shared" ref="T591" si="9009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10">SUM(V591:X591)</f>
        <v>148400</v>
      </c>
      <c r="Z591" s="71">
        <f t="shared" ref="Z591" si="9011">AVERAGE(Y588,Y589,Y590,Y591)</f>
        <v>292056.75</v>
      </c>
      <c r="AA591" s="71">
        <f t="shared" ref="AA591" si="9012">AVERAGE(Z539,Z487,Z435)</f>
        <v>249273.41666666666</v>
      </c>
      <c r="AB591" s="64">
        <f t="shared" ref="AB591" si="9013">((Y591/Y539)-1)*100</f>
        <v>-19.726507562152452</v>
      </c>
      <c r="AC591" s="64">
        <f t="shared" ref="AC591" si="9014">((Z591/Z539)-1)*100</f>
        <v>16.886169189870092</v>
      </c>
      <c r="AD591" s="64">
        <f t="shared" ref="AD591" si="9015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3" si="9016">SUM(AF591:AH591)</f>
        <v>1400</v>
      </c>
      <c r="AJ591" s="71">
        <f t="shared" ref="AJ591" si="9017">AVERAGE(AI588,AI589,AI590,AI591)</f>
        <v>1925</v>
      </c>
      <c r="AK591" s="71">
        <f t="shared" ref="AK591" si="9018">AVERAGE(AJ539,AJ487,AJ435)</f>
        <v>7176.666666666667</v>
      </c>
      <c r="AL591" s="64">
        <f t="shared" ref="AL591" si="9019">((AI591/AI539)-1)*100</f>
        <v>-59.420289855072461</v>
      </c>
      <c r="AM591" s="64">
        <f t="shared" ref="AM591" si="9020">((AJ591/AJ539)-1)*100</f>
        <v>-71.502590673575128</v>
      </c>
      <c r="AN591" s="64">
        <f t="shared" ref="AN591" si="9021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" si="9022">SUM(D591,N591,X591,AH591)</f>
        <v>44800</v>
      </c>
      <c r="AS591" s="60">
        <f t="shared" ref="AS591" si="9023">SUM(E591,O591,Y591,AI591)</f>
        <v>468072</v>
      </c>
      <c r="AT591" s="64">
        <f t="shared" ref="AT591" si="9024">AVERAGE(AS588,AS589,AS590,AS591)</f>
        <v>580390.5</v>
      </c>
      <c r="AU591" s="71">
        <f t="shared" ref="AU591" si="9025">AVERAGE(AT539,AT487,AT435)</f>
        <v>560479.58333333337</v>
      </c>
      <c r="AV591" s="64">
        <f t="shared" ref="AV591" si="9026">((AS591/AS539)-1)*100</f>
        <v>11.001970693347317</v>
      </c>
      <c r="AW591" s="64">
        <f t="shared" ref="AW591" si="9027">((AT591/AT539)-1)*100</f>
        <v>29.426935247563168</v>
      </c>
      <c r="AX591" s="64">
        <f t="shared" ref="AX591" si="9028">((AT591/AU591)-1)*100</f>
        <v>3.552478494979372</v>
      </c>
      <c r="AZ591" s="71">
        <f t="shared" ref="AZ591" si="9029">+E591/1000</f>
        <v>300.52199999999999</v>
      </c>
      <c r="BA591" s="53">
        <f t="shared" ref="BA591" si="9030">+O591/1000</f>
        <v>17.75</v>
      </c>
      <c r="BB591" s="53">
        <f t="shared" ref="BB591" si="9031">+Y591/1000</f>
        <v>148.4</v>
      </c>
      <c r="BC591" s="53">
        <f t="shared" ref="BC591" si="9032">+AI591/1000</f>
        <v>1.4</v>
      </c>
      <c r="BD591" s="53">
        <f t="shared" ref="BD591" si="9033">+AS591/1000</f>
        <v>468.072</v>
      </c>
      <c r="BE591" s="64">
        <f t="shared" ref="BE591" si="9034">BE590+AZ591</f>
        <v>1825.0499999999997</v>
      </c>
      <c r="BF591" s="64">
        <f t="shared" ref="BF591" si="9035">BF590+BA591</f>
        <v>142.56700000000001</v>
      </c>
      <c r="BG591" s="64">
        <f t="shared" ref="BG591" si="9036">BG590+BB591</f>
        <v>2574.3210000000004</v>
      </c>
      <c r="BH591" s="64">
        <f t="shared" ref="BH591" si="9037">BH590+BC591</f>
        <v>34.5</v>
      </c>
      <c r="BI591" s="64">
        <f t="shared" ref="BI591" si="9038">BI590+BD591</f>
        <v>4576.4380000000001</v>
      </c>
      <c r="BJ591" s="64">
        <f t="shared" ref="BJ591:BJ598" si="9039">BJ590+1</f>
        <v>8</v>
      </c>
    </row>
    <row r="592" spans="1:62" x14ac:dyDescent="0.25">
      <c r="A592" s="48">
        <f t="shared" si="8958"/>
        <v>41699</v>
      </c>
      <c r="B592" s="64">
        <v>97316</v>
      </c>
      <c r="C592" s="64">
        <v>232650</v>
      </c>
      <c r="D592" s="53">
        <v>2800</v>
      </c>
      <c r="E592" s="64">
        <f t="shared" ref="E592" si="9040">SUM(B592:D592)</f>
        <v>332766</v>
      </c>
      <c r="F592" s="64">
        <f t="shared" ref="F592" si="9041">AVERAGE(E589,E590,E591,E592)</f>
        <v>298147</v>
      </c>
      <c r="G592" s="71">
        <f t="shared" ref="G592" si="9042">AVERAGE(F540,F488,F436)</f>
        <v>252070.58333333334</v>
      </c>
      <c r="H592" s="64">
        <f t="shared" ref="H592" si="9043">((E592/E540)-1)*100</f>
        <v>167.92753623188409</v>
      </c>
      <c r="I592" s="64">
        <f t="shared" ref="I592" si="9044">((F592/F540)-1)*100</f>
        <v>171.13700900540417</v>
      </c>
      <c r="J592" s="64">
        <f t="shared" ref="J592" si="9045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6">SUM(L592:N592)</f>
        <v>37500</v>
      </c>
      <c r="P592" s="71">
        <f t="shared" ref="P592" si="9047">AVERAGE(O589,O590,O591,O592)</f>
        <v>21631.75</v>
      </c>
      <c r="Q592" s="71">
        <f t="shared" ref="Q592" si="9048">AVERAGE(P540,P488,P436)</f>
        <v>52506.916666666664</v>
      </c>
      <c r="R592" s="64">
        <f t="shared" ref="R592" si="9049">((O592/O540)-1)*100</f>
        <v>-67.134092900964063</v>
      </c>
      <c r="S592" s="73">
        <f t="shared" ref="S592" si="9050">((P592/P540)-1)*100</f>
        <v>-80.104161876293404</v>
      </c>
      <c r="T592" s="64">
        <f t="shared" ref="T592" si="9051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2">SUM(V592:X592)</f>
        <v>264798</v>
      </c>
      <c r="Z592" s="71">
        <f t="shared" ref="Z592" si="9053">AVERAGE(Y589,Y590,Y591,Y592)</f>
        <v>263256.25</v>
      </c>
      <c r="AA592" s="71">
        <f t="shared" ref="AA592" si="9054">AVERAGE(Z540,Z488,Z436)</f>
        <v>220247.08333333334</v>
      </c>
      <c r="AB592" s="64">
        <f t="shared" ref="AB592" si="9055">((Y592/Y540)-1)*100</f>
        <v>166.16074300418143</v>
      </c>
      <c r="AC592" s="64">
        <f t="shared" ref="AC592" si="9056">((Z592/Z540)-1)*100</f>
        <v>31.227716430242225</v>
      </c>
      <c r="AD592" s="64">
        <f t="shared" ref="AD592" si="9057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6"/>
        <v>4550</v>
      </c>
      <c r="AJ592" s="71">
        <f t="shared" ref="AJ592" si="9058">AVERAGE(AI589,AI590,AI591,AI592)</f>
        <v>2187.5</v>
      </c>
      <c r="AK592" s="71">
        <f t="shared" ref="AK592" si="9059">AVERAGE(AJ540,AJ488,AJ436)</f>
        <v>7522.5</v>
      </c>
      <c r="AL592" s="64"/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:AP595" si="9062">SUM(B592,L592,V592,AF592)</f>
        <v>197206</v>
      </c>
      <c r="AQ592" s="60">
        <f t="shared" ref="AQ592:AQ595" si="9063">SUM(C592,M592,W592,AG592)</f>
        <v>380808</v>
      </c>
      <c r="AR592" s="60">
        <f t="shared" ref="AR592:AR593" si="9064">SUM(D592,N592,X592,AH592)</f>
        <v>61600</v>
      </c>
      <c r="AS592" s="60">
        <f t="shared" ref="AS592:AS593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9"/>
        <v>9</v>
      </c>
    </row>
    <row r="593" spans="1:62" x14ac:dyDescent="0.25">
      <c r="A593" s="48">
        <f t="shared" si="8958"/>
        <v>41706</v>
      </c>
      <c r="B593" s="64">
        <v>105291</v>
      </c>
      <c r="C593" s="64">
        <v>217350</v>
      </c>
      <c r="D593" s="53">
        <v>7000</v>
      </c>
      <c r="E593" s="64">
        <f t="shared" ref="E593" si="9081">SUM(B593:D593)</f>
        <v>329641</v>
      </c>
      <c r="F593" s="64">
        <f t="shared" ref="F593" si="9082">AVERAGE(E590,E591,E592,E593)</f>
        <v>317894.75</v>
      </c>
      <c r="G593" s="71">
        <f t="shared" ref="G593" si="9083">AVERAGE(F541,F489,F437)</f>
        <v>262201.41666666669</v>
      </c>
      <c r="H593" s="64">
        <f t="shared" ref="H593" si="9084">((E593/E541)-1)*100</f>
        <v>51.139364706745404</v>
      </c>
      <c r="I593" s="64">
        <f t="shared" ref="I593" si="9085">((F593/F541)-1)*100</f>
        <v>115.15173049753389</v>
      </c>
      <c r="J593" s="64">
        <f t="shared" ref="J593" si="9086">((F593/G593)-1)*100</f>
        <v>21.240668353876792</v>
      </c>
      <c r="L593" s="53">
        <v>0</v>
      </c>
      <c r="M593" s="53">
        <v>7150</v>
      </c>
      <c r="N593" s="53">
        <v>21000</v>
      </c>
      <c r="O593" s="53">
        <f t="shared" ref="O593" si="9087">SUM(L593:N593)</f>
        <v>28150</v>
      </c>
      <c r="P593" s="71">
        <f t="shared" ref="P593" si="9088">AVERAGE(O590,O591,O592,O593)</f>
        <v>25431.75</v>
      </c>
      <c r="Q593" s="71">
        <f t="shared" ref="Q593" si="9089">AVERAGE(P541,P489,P437)</f>
        <v>59979.25</v>
      </c>
      <c r="R593" s="64">
        <f t="shared" ref="R593" si="9090">((O593/O541)-1)*100</f>
        <v>-82.250945775535939</v>
      </c>
      <c r="S593" s="73">
        <f t="shared" ref="S593" si="9091">((P593/P541)-1)*100</f>
        <v>-79.676955349115971</v>
      </c>
      <c r="T593" s="64">
        <f t="shared" ref="T593" si="9092">((P593/Q593)-1)*100</f>
        <v>-57.599086350696282</v>
      </c>
      <c r="V593" s="64">
        <v>87348</v>
      </c>
      <c r="W593" s="64">
        <v>53300</v>
      </c>
      <c r="X593" s="64">
        <v>23800</v>
      </c>
      <c r="Y593" s="64">
        <f t="shared" ref="Y593" si="9093">SUM(V593:X593)</f>
        <v>164448</v>
      </c>
      <c r="Z593" s="71">
        <f t="shared" ref="Z593" si="9094">AVERAGE(Y590,Y591,Y592,Y593)</f>
        <v>204393.25</v>
      </c>
      <c r="AA593" s="71">
        <f t="shared" ref="AA593" si="9095">AVERAGE(Z541,Z489,Z437)</f>
        <v>197148.75</v>
      </c>
      <c r="AB593" s="64">
        <f t="shared" ref="AB593" si="9096">((Y593/Y541)-1)*100</f>
        <v>-8.6963039459000306</v>
      </c>
      <c r="AC593" s="64">
        <f t="shared" ref="AC593" si="9097">((Z593/Z541)-1)*100</f>
        <v>23.497654886973862</v>
      </c>
      <c r="AD593" s="64">
        <f t="shared" ref="AD593" si="9098">((Z593/AA593)-1)*100</f>
        <v>3.6746365371324918</v>
      </c>
      <c r="AF593" s="53">
        <v>0</v>
      </c>
      <c r="AG593" s="53">
        <v>0</v>
      </c>
      <c r="AH593" s="53">
        <v>0</v>
      </c>
      <c r="AI593" s="53">
        <f t="shared" si="9016"/>
        <v>0</v>
      </c>
      <c r="AJ593" s="71">
        <f t="shared" ref="AJ593" si="9099">AVERAGE(AI590,AI591,AI592,AI593)</f>
        <v>1837.5</v>
      </c>
      <c r="AK593" s="71">
        <f t="shared" ref="AK593" si="9100">AVERAGE(AJ541,AJ489,AJ437)</f>
        <v>7485</v>
      </c>
      <c r="AL593" s="64">
        <f t="shared" ref="AL593" si="9101">((AI593/AI541)-1)*100</f>
        <v>-100</v>
      </c>
      <c r="AM593" s="64">
        <f t="shared" ref="AM593" si="9102">((AJ593/AJ541)-1)*100</f>
        <v>-46.232626188734457</v>
      </c>
      <c r="AN593" s="64">
        <f t="shared" ref="AN593" si="9103">((AJ593/AK593)-1)*100</f>
        <v>-75.450901803607223</v>
      </c>
      <c r="AP593" s="60">
        <f t="shared" si="9062"/>
        <v>192639</v>
      </c>
      <c r="AQ593" s="60">
        <f t="shared" si="9063"/>
        <v>277800</v>
      </c>
      <c r="AR593" s="60">
        <f t="shared" si="9064"/>
        <v>51800</v>
      </c>
      <c r="AS593" s="60">
        <f t="shared" si="9065"/>
        <v>522239</v>
      </c>
      <c r="AT593" s="64">
        <f t="shared" ref="AT593" si="9104">AVERAGE(AS590,AS591,AS592,AS593)</f>
        <v>549557.25</v>
      </c>
      <c r="AU593" s="71">
        <f t="shared" ref="AU593" si="9105">AVERAGE(AT541,AT489,AT437)</f>
        <v>526814.41666666663</v>
      </c>
      <c r="AV593" s="64">
        <f t="shared" ref="AV593" si="9106">((AS593/AS541)-1)*100</f>
        <v>-6.7954632661984764</v>
      </c>
      <c r="AW593" s="64">
        <f t="shared" ref="AW593" si="9107">((AT593/AT541)-1)*100</f>
        <v>24.386985429339369</v>
      </c>
      <c r="AX593" s="64">
        <f t="shared" ref="AX593" si="9108">((AT593/AU593)-1)*100</f>
        <v>4.3170483976568086</v>
      </c>
      <c r="AZ593" s="71">
        <f t="shared" ref="AZ593" si="9109">+E593/1000</f>
        <v>329.64100000000002</v>
      </c>
      <c r="BA593" s="53">
        <f t="shared" ref="BA593" si="9110">+O593/1000</f>
        <v>28.15</v>
      </c>
      <c r="BB593" s="53">
        <f t="shared" ref="BB593" si="9111">+Y593/1000</f>
        <v>164.44800000000001</v>
      </c>
      <c r="BC593" s="53">
        <f t="shared" ref="BC593" si="9112">+AI593/1000</f>
        <v>0</v>
      </c>
      <c r="BD593" s="53">
        <f t="shared" ref="BD593" si="9113">+AS593/1000</f>
        <v>522.23900000000003</v>
      </c>
      <c r="BE593" s="64">
        <f t="shared" ref="BE593" si="9114">BE592+AZ593</f>
        <v>2487.4569999999999</v>
      </c>
      <c r="BF593" s="64">
        <f t="shared" ref="BF593" si="9115">BF592+BA593</f>
        <v>208.21700000000001</v>
      </c>
      <c r="BG593" s="64">
        <f t="shared" ref="BG593" si="9116">BG592+BB593</f>
        <v>3003.5670000000005</v>
      </c>
      <c r="BH593" s="64">
        <f t="shared" ref="BH593" si="9117">BH592+BC593</f>
        <v>39.049999999999997</v>
      </c>
      <c r="BI593" s="64">
        <f t="shared" ref="BI593" si="9118">BI592+BD593</f>
        <v>5738.2909999999993</v>
      </c>
      <c r="BJ593" s="64">
        <f t="shared" si="9039"/>
        <v>10</v>
      </c>
    </row>
    <row r="594" spans="1:62" x14ac:dyDescent="0.25">
      <c r="A594" s="48">
        <f t="shared" si="8958"/>
        <v>41713</v>
      </c>
      <c r="B594" s="64">
        <v>261200</v>
      </c>
      <c r="C594" s="64">
        <v>271036</v>
      </c>
      <c r="D594" s="53">
        <v>2800</v>
      </c>
      <c r="E594" s="64">
        <f t="shared" ref="E594" si="9119">SUM(B594:D594)</f>
        <v>535036</v>
      </c>
      <c r="F594" s="64">
        <f t="shared" ref="F594" si="9120">AVERAGE(E591,E592,E593,E594)</f>
        <v>374491.25</v>
      </c>
      <c r="G594" s="71">
        <f t="shared" ref="G594" si="9121">AVERAGE(F542,F490,F438)</f>
        <v>250942.5</v>
      </c>
      <c r="H594" s="64">
        <f t="shared" ref="H594" si="9122">((E594/E542)-1)*100</f>
        <v>209.84786624738675</v>
      </c>
      <c r="I594" s="64">
        <f t="shared" ref="I594" si="9123">((F594/F542)-1)*100</f>
        <v>138.91293668818741</v>
      </c>
      <c r="J594" s="64">
        <f t="shared" ref="J594" si="9124">((F594/G594)-1)*100</f>
        <v>49.233888241330192</v>
      </c>
      <c r="L594" s="53">
        <v>0</v>
      </c>
      <c r="M594" s="53">
        <v>10300</v>
      </c>
      <c r="N594" s="53">
        <v>36400</v>
      </c>
      <c r="O594" s="53">
        <f t="shared" ref="O594" si="9125">SUM(L594:N594)</f>
        <v>46700</v>
      </c>
      <c r="P594" s="71">
        <f t="shared" ref="P594" si="9126">AVERAGE(O591,O592,O593,O594)</f>
        <v>32525</v>
      </c>
      <c r="Q594" s="71">
        <f t="shared" ref="Q594" si="9127">AVERAGE(P542,P490,P438)</f>
        <v>60453.833333333336</v>
      </c>
      <c r="R594" s="64">
        <f t="shared" ref="R594" si="9128">((O594/O542)-1)*100</f>
        <v>-59.671848013816927</v>
      </c>
      <c r="S594" s="73">
        <f t="shared" ref="S594" si="9129">((P594/P542)-1)*100</f>
        <v>-74.482690987545368</v>
      </c>
      <c r="T594" s="64">
        <f t="shared" ref="T594" si="9130">((P594/Q594)-1)*100</f>
        <v>-46.198614369642954</v>
      </c>
      <c r="V594" s="64">
        <v>69348</v>
      </c>
      <c r="W594" s="64">
        <v>89140</v>
      </c>
      <c r="X594" s="64">
        <v>15400</v>
      </c>
      <c r="Y594" s="64">
        <f t="shared" ref="Y594" si="9131">SUM(V594:X594)</f>
        <v>173888</v>
      </c>
      <c r="Z594" s="71">
        <f t="shared" ref="Z594" si="9132">AVERAGE(Y591,Y592,Y593,Y594)</f>
        <v>187883.5</v>
      </c>
      <c r="AA594" s="71">
        <f t="shared" ref="AA594" si="9133">AVERAGE(Z542,Z490,Z438)</f>
        <v>176523.41666666666</v>
      </c>
      <c r="AB594" s="64">
        <f t="shared" ref="AB594" si="9134">((Y594/Y542)-1)*100</f>
        <v>13.950196592398424</v>
      </c>
      <c r="AC594" s="64">
        <f t="shared" ref="AC594" si="9135">((Z594/Z542)-1)*100</f>
        <v>21.79131277478783</v>
      </c>
      <c r="AD594" s="64">
        <f t="shared" ref="AD594" si="9136">((Z594/AA594)-1)*100</f>
        <v>6.4354540308863672</v>
      </c>
      <c r="AF594" s="53">
        <v>0</v>
      </c>
      <c r="AG594" s="53">
        <v>0</v>
      </c>
      <c r="AH594" s="53">
        <v>1400</v>
      </c>
      <c r="AI594" s="53">
        <f t="shared" ref="AI594:AI595" si="9137">SUM(AF594:AH594)</f>
        <v>1400</v>
      </c>
      <c r="AJ594" s="71">
        <f t="shared" ref="AJ594" si="9138">AVERAGE(AI591,AI592,AI593,AI594)</f>
        <v>1837.5</v>
      </c>
      <c r="AK594" s="71">
        <f t="shared" ref="AK594" si="9139">AVERAGE(AJ542,AJ490,AJ438)</f>
        <v>6329.166666666667</v>
      </c>
      <c r="AL594" s="64">
        <f t="shared" ref="AL594" si="9140">((AI594/AI542)-1)*100</f>
        <v>-19.999999999999996</v>
      </c>
      <c r="AM594" s="64">
        <f t="shared" ref="AM594" si="9141">((AJ594/AJ542)-1)*100</f>
        <v>-15.517241379310342</v>
      </c>
      <c r="AN594" s="64">
        <f t="shared" ref="AN594" si="9142">((AJ594/AK594)-1)*100</f>
        <v>-70.967741935483872</v>
      </c>
      <c r="AP594" s="60">
        <f t="shared" si="9062"/>
        <v>330548</v>
      </c>
      <c r="AQ594" s="60">
        <f t="shared" si="9063"/>
        <v>370476</v>
      </c>
      <c r="AR594" s="60">
        <f t="shared" ref="AR594:AR595" si="9143">SUM(D594,N594,X594,AH594)</f>
        <v>56000</v>
      </c>
      <c r="AS594" s="60">
        <f t="shared" ref="AS594:AS595" si="9144">SUM(E594,O594,Y594,AI594)</f>
        <v>757024</v>
      </c>
      <c r="AT594" s="64">
        <f t="shared" ref="AT594" si="9145">AVERAGE(AS591,AS592,AS593,AS594)</f>
        <v>596737.25</v>
      </c>
      <c r="AU594" s="71">
        <f t="shared" ref="AU594" si="9146">AVERAGE(AT542,AT490,AT438)</f>
        <v>494248.91666666669</v>
      </c>
      <c r="AV594" s="64">
        <f t="shared" ref="AV594" si="9147">((AS594/AS542)-1)*100</f>
        <v>70.952539027656385</v>
      </c>
      <c r="AW594" s="64">
        <f t="shared" ref="AW594" si="9148">((AT594/AT542)-1)*100</f>
        <v>35.421355501985971</v>
      </c>
      <c r="AX594" s="64">
        <f t="shared" ref="AX594" si="9149">((AT594/AU594)-1)*100</f>
        <v>20.736177637887245</v>
      </c>
      <c r="AZ594" s="71">
        <f t="shared" ref="AZ594" si="9150">+E594/1000</f>
        <v>535.03599999999994</v>
      </c>
      <c r="BA594" s="53">
        <f t="shared" ref="BA594" si="9151">+O594/1000</f>
        <v>46.7</v>
      </c>
      <c r="BB594" s="53">
        <f t="shared" ref="BB594" si="9152">+Y594/1000</f>
        <v>173.88800000000001</v>
      </c>
      <c r="BC594" s="53">
        <f t="shared" ref="BC594" si="9153">+AI594/1000</f>
        <v>1.4</v>
      </c>
      <c r="BD594" s="53">
        <f t="shared" ref="BD594" si="9154">+AS594/1000</f>
        <v>757.024</v>
      </c>
      <c r="BE594" s="64">
        <f t="shared" ref="BE594" si="9155">BE593+AZ594</f>
        <v>3022.4929999999999</v>
      </c>
      <c r="BF594" s="64">
        <f t="shared" ref="BF594" si="9156">BF593+BA594</f>
        <v>254.91700000000003</v>
      </c>
      <c r="BG594" s="64">
        <f t="shared" ref="BG594" si="9157">BG593+BB594</f>
        <v>3177.4550000000004</v>
      </c>
      <c r="BH594" s="64">
        <f t="shared" ref="BH594" si="9158">BH593+BC594</f>
        <v>40.449999999999996</v>
      </c>
      <c r="BI594" s="64">
        <f t="shared" ref="BI594" si="9159">BI593+BD594</f>
        <v>6495.3149999999996</v>
      </c>
      <c r="BJ594" s="64">
        <f t="shared" si="9039"/>
        <v>11</v>
      </c>
    </row>
    <row r="595" spans="1:62" x14ac:dyDescent="0.25">
      <c r="A595" s="48">
        <f t="shared" si="8958"/>
        <v>41720</v>
      </c>
      <c r="B595" s="64">
        <v>166200</v>
      </c>
      <c r="C595" s="64">
        <v>299300</v>
      </c>
      <c r="D595" s="53">
        <v>15400</v>
      </c>
      <c r="E595" s="64">
        <f t="shared" ref="E595" si="9160">SUM(B595:D595)</f>
        <v>480900</v>
      </c>
      <c r="F595" s="64">
        <f t="shared" ref="F595" si="9161">AVERAGE(E592,E593,E594,E595)</f>
        <v>419585.75</v>
      </c>
      <c r="G595" s="71">
        <f t="shared" ref="G595" si="9162">AVERAGE(F543,F491,F439)</f>
        <v>283885.16666666669</v>
      </c>
      <c r="H595" s="64">
        <f t="shared" ref="H595" si="9163">((E595/E543)-1)*100</f>
        <v>229.15811088295689</v>
      </c>
      <c r="I595" s="64">
        <f t="shared" ref="I595" si="9164">((F595/F543)-1)*100</f>
        <v>153.87857161225327</v>
      </c>
      <c r="J595" s="64">
        <f t="shared" ref="J595" si="9165">((F595/G595)-1)*100</f>
        <v>47.801223616826285</v>
      </c>
      <c r="L595" s="53">
        <v>0</v>
      </c>
      <c r="M595" s="53">
        <v>28100</v>
      </c>
      <c r="N595" s="53">
        <v>29400</v>
      </c>
      <c r="O595" s="53">
        <f t="shared" ref="O595" si="9166">SUM(L595:N595)</f>
        <v>57500</v>
      </c>
      <c r="P595" s="71">
        <f t="shared" ref="P595" si="9167">AVERAGE(O592,O593,O594,O595)</f>
        <v>42462.5</v>
      </c>
      <c r="Q595" s="71">
        <f t="shared" ref="Q595" si="9168">AVERAGE(P543,P491,P439)</f>
        <v>62288.833333333336</v>
      </c>
      <c r="R595" s="64">
        <f t="shared" ref="R595" si="9169">((O595/O543)-1)*100</f>
        <v>-49.605609114811564</v>
      </c>
      <c r="S595" s="73">
        <f t="shared" ref="S595" si="9170">((P595/P543)-1)*100</f>
        <v>-66.205730202944693</v>
      </c>
      <c r="T595" s="64">
        <f t="shared" ref="T595" si="9171">((P595/Q595)-1)*100</f>
        <v>-31.82967519592864</v>
      </c>
      <c r="V595" s="64">
        <v>51050</v>
      </c>
      <c r="W595" s="64">
        <v>47500</v>
      </c>
      <c r="X595" s="64">
        <v>9800</v>
      </c>
      <c r="Y595" s="64">
        <f t="shared" ref="Y595" si="9172">SUM(V595:X595)</f>
        <v>108350</v>
      </c>
      <c r="Z595" s="71">
        <f t="shared" ref="Z595" si="9173">AVERAGE(Y592,Y593,Y594,Y595)</f>
        <v>177871</v>
      </c>
      <c r="AA595" s="71">
        <f t="shared" ref="AA595" si="9174">AVERAGE(Z543,Z491,Z439)</f>
        <v>164117.25</v>
      </c>
      <c r="AB595" s="64">
        <f t="shared" ref="AB595" si="9175">((Y595/Y543)-1)*100</f>
        <v>2.1350803600886037</v>
      </c>
      <c r="AC595" s="64">
        <f t="shared" ref="AC595" si="9176">((Z595/Z543)-1)*100</f>
        <v>32.176323279161181</v>
      </c>
      <c r="AD595" s="64">
        <f t="shared" ref="AD595" si="9177">((Z595/AA595)-1)*100</f>
        <v>8.3804414222149006</v>
      </c>
      <c r="AF595" s="53">
        <v>0</v>
      </c>
      <c r="AG595" s="53">
        <v>0</v>
      </c>
      <c r="AH595" s="53">
        <v>0</v>
      </c>
      <c r="AI595" s="53">
        <f t="shared" si="9137"/>
        <v>0</v>
      </c>
      <c r="AJ595" s="71">
        <f t="shared" ref="AJ595" si="9178">AVERAGE(AI592,AI593,AI594,AI595)</f>
        <v>1487.5</v>
      </c>
      <c r="AK595" s="71">
        <f t="shared" ref="AK595" si="9179">AVERAGE(AJ543,AJ491,AJ439)</f>
        <v>8187.5</v>
      </c>
      <c r="AL595" s="64">
        <f t="shared" ref="AL595" si="9180">((AI595/AI543)-1)*100</f>
        <v>-100</v>
      </c>
      <c r="AM595" s="64">
        <f t="shared" ref="AM595" si="9181">((AJ595/AJ543)-1)*100</f>
        <v>-40.796019900497512</v>
      </c>
      <c r="AN595" s="64">
        <f t="shared" ref="AN595" si="9182">((AJ595/AK595)-1)*100</f>
        <v>-81.832061068702288</v>
      </c>
      <c r="AP595" s="60">
        <f t="shared" si="9062"/>
        <v>217250</v>
      </c>
      <c r="AQ595" s="60">
        <f t="shared" si="9063"/>
        <v>374900</v>
      </c>
      <c r="AR595" s="60">
        <f t="shared" si="9143"/>
        <v>54600</v>
      </c>
      <c r="AS595" s="60">
        <f t="shared" si="9144"/>
        <v>646750</v>
      </c>
      <c r="AT595" s="64">
        <f t="shared" ref="AT595" si="9183">AVERAGE(AS592,AS593,AS594,AS595)</f>
        <v>641406.75</v>
      </c>
      <c r="AU595" s="71">
        <f t="shared" ref="AU595" si="9184">AVERAGE(AT543,AT491,AT439)</f>
        <v>518478.75</v>
      </c>
      <c r="AV595" s="64">
        <f t="shared" ref="AV595" si="9185">((AS595/AS543)-1)*100</f>
        <v>74.286214748642493</v>
      </c>
      <c r="AW595" s="64">
        <f t="shared" ref="AW595" si="9186">((AT595/AT543)-1)*100</f>
        <v>49.860077160538907</v>
      </c>
      <c r="AX595" s="64">
        <f t="shared" ref="AX595" si="9187">((AT595/AU595)-1)*100</f>
        <v>23.709361280476781</v>
      </c>
      <c r="AZ595" s="71">
        <f t="shared" ref="AZ595" si="9188">+E595/1000</f>
        <v>480.9</v>
      </c>
      <c r="BA595" s="53">
        <f t="shared" ref="BA595" si="9189">+O595/1000</f>
        <v>57.5</v>
      </c>
      <c r="BB595" s="53">
        <f t="shared" ref="BB595" si="9190">+Y595/1000</f>
        <v>108.35</v>
      </c>
      <c r="BC595" s="53">
        <f t="shared" ref="BC595" si="9191">+AI595/1000</f>
        <v>0</v>
      </c>
      <c r="BD595" s="53">
        <f t="shared" ref="BD595" si="9192">+AS595/1000</f>
        <v>646.75</v>
      </c>
      <c r="BE595" s="64">
        <f t="shared" ref="BE595" si="9193">BE594+AZ595</f>
        <v>3503.393</v>
      </c>
      <c r="BF595" s="64">
        <f t="shared" ref="BF595" si="9194">BF594+BA595</f>
        <v>312.41700000000003</v>
      </c>
      <c r="BG595" s="64">
        <f t="shared" ref="BG595" si="9195">BG594+BB595</f>
        <v>3285.8050000000003</v>
      </c>
      <c r="BH595" s="64">
        <f t="shared" ref="BH595" si="9196">BH594+BC595</f>
        <v>40.449999999999996</v>
      </c>
      <c r="BI595" s="64">
        <f t="shared" ref="BI595" si="9197">BI594+BD595</f>
        <v>7142.0649999999996</v>
      </c>
      <c r="BJ595" s="64">
        <f t="shared" si="9039"/>
        <v>12</v>
      </c>
    </row>
    <row r="596" spans="1:62" x14ac:dyDescent="0.25">
      <c r="A596" s="48">
        <f t="shared" si="8958"/>
        <v>41727</v>
      </c>
      <c r="B596" s="64">
        <v>277316</v>
      </c>
      <c r="C596" s="64">
        <v>306400</v>
      </c>
      <c r="D596" s="53">
        <v>4700</v>
      </c>
      <c r="E596" s="64">
        <f t="shared" ref="E596" si="9198">SUM(B596:D596)</f>
        <v>588416</v>
      </c>
      <c r="F596" s="64">
        <f t="shared" ref="F596" si="9199">AVERAGE(E593,E594,E595,E596)</f>
        <v>483498.25</v>
      </c>
      <c r="G596" s="71">
        <f t="shared" ref="G596" si="9200">AVERAGE(F544,F492,F440)</f>
        <v>327343</v>
      </c>
      <c r="H596" s="64">
        <f t="shared" ref="H596" si="9201">((E596/E544)-1)*100</f>
        <v>203.64059508635771</v>
      </c>
      <c r="I596" s="64">
        <f t="shared" ref="I596" si="9202">((F596/F544)-1)*100</f>
        <v>164.68833998478104</v>
      </c>
      <c r="J596" s="64">
        <f t="shared" ref="J596" si="9203">((F596/G596)-1)*100</f>
        <v>47.703861087605361</v>
      </c>
      <c r="L596" s="53">
        <v>15000</v>
      </c>
      <c r="M596" s="53">
        <v>22800</v>
      </c>
      <c r="N596" s="53">
        <v>28000</v>
      </c>
      <c r="O596" s="53">
        <f t="shared" ref="O596" si="9204">SUM(L596:N596)</f>
        <v>65800</v>
      </c>
      <c r="P596" s="71">
        <f t="shared" ref="P596" si="9205">AVERAGE(O593,O594,O595,O596)</f>
        <v>49537.5</v>
      </c>
      <c r="Q596" s="71">
        <f t="shared" ref="Q596" si="9206">AVERAGE(P544,P492,P440)</f>
        <v>62416.583333333336</v>
      </c>
      <c r="R596" s="64">
        <f t="shared" ref="R596" si="9207">((O596/O544)-1)*100</f>
        <v>-22.769953051643189</v>
      </c>
      <c r="S596" s="73">
        <f t="shared" ref="S596" si="9208">((P596/P544)-1)*100</f>
        <v>-58.169727675744141</v>
      </c>
      <c r="T596" s="64">
        <f t="shared" ref="T596" si="9209">((P596/Q596)-1)*100</f>
        <v>-20.63407294268751</v>
      </c>
      <c r="V596" s="64">
        <v>86400</v>
      </c>
      <c r="W596" s="64">
        <v>50550</v>
      </c>
      <c r="X596" s="64">
        <v>4200</v>
      </c>
      <c r="Y596" s="64">
        <f t="shared" ref="Y596" si="9210">SUM(V596:X596)</f>
        <v>141150</v>
      </c>
      <c r="Z596" s="71">
        <f t="shared" ref="Z596" si="9211">AVERAGE(Y593,Y594,Y595,Y596)</f>
        <v>146959</v>
      </c>
      <c r="AA596" s="71">
        <f t="shared" ref="AA596" si="9212">AVERAGE(Z544,Z492,Z440)</f>
        <v>166599.33333333334</v>
      </c>
      <c r="AB596" s="64">
        <f t="shared" ref="AB596" si="9213">((Y596/Y544)-1)*100</f>
        <v>130.31361159155438</v>
      </c>
      <c r="AC596" s="64">
        <f t="shared" ref="AC596" si="9214">((Z596/Z544)-1)*100</f>
        <v>17.547922140768925</v>
      </c>
      <c r="AD596" s="64">
        <f t="shared" ref="AD596" si="9215">((Z596/AA596)-1)*100</f>
        <v>-11.788962740947351</v>
      </c>
      <c r="AF596" s="53">
        <v>9500</v>
      </c>
      <c r="AG596" s="53">
        <v>0</v>
      </c>
      <c r="AH596" s="53">
        <v>1400</v>
      </c>
      <c r="AI596" s="53">
        <f t="shared" ref="AI596" si="9216">SUM(AF596:AH596)</f>
        <v>10900</v>
      </c>
      <c r="AJ596" s="71">
        <f t="shared" ref="AJ596" si="9217">AVERAGE(AI593,AI594,AI595,AI596)</f>
        <v>3075</v>
      </c>
      <c r="AK596" s="71">
        <f t="shared" ref="AK596" si="9218">AVERAGE(AJ544,AJ492,AJ440)</f>
        <v>9912.5</v>
      </c>
      <c r="AL596" s="64">
        <f t="shared" ref="AL596" si="9219">((AI596/AI544)-1)*100</f>
        <v>-47.596153846153847</v>
      </c>
      <c r="AM596" s="64">
        <f t="shared" ref="AM596" si="9220">((AJ596/AJ544)-1)*100</f>
        <v>-60.129659643435971</v>
      </c>
      <c r="AN596" s="64">
        <f t="shared" ref="AN596" si="9221">((AJ596/AK596)-1)*100</f>
        <v>-68.978562421185373</v>
      </c>
      <c r="AP596" s="60">
        <f t="shared" ref="AP596:AP597" si="9222">SUM(B596,L596,V596,AF596)</f>
        <v>388216</v>
      </c>
      <c r="AQ596" s="60">
        <f t="shared" ref="AQ596:AQ598" si="9223">SUM(C596,M596,W596,AG596)</f>
        <v>379750</v>
      </c>
      <c r="AR596" s="60">
        <f t="shared" ref="AR596" si="9224">SUM(D596,N596,X596,AH596)</f>
        <v>38300</v>
      </c>
      <c r="AS596" s="60">
        <f t="shared" ref="AS596" si="9225">SUM(E596,O596,Y596,AI596)</f>
        <v>806266</v>
      </c>
      <c r="AT596" s="64">
        <f t="shared" ref="AT596" si="9226">AVERAGE(AS593,AS594,AS595,AS596)</f>
        <v>683069.75</v>
      </c>
      <c r="AU596" s="71">
        <f t="shared" ref="AU596" si="9227">AVERAGE(AT544,AT492,AT440)</f>
        <v>566271.41666666663</v>
      </c>
      <c r="AV596" s="64">
        <f t="shared" ref="AV596" si="9228">((AS596/AS544)-1)*100</f>
        <v>123.29722798436879</v>
      </c>
      <c r="AW596" s="64">
        <f t="shared" ref="AW596" si="9229">((AT596/AT544)-1)*100</f>
        <v>57.452832363280116</v>
      </c>
      <c r="AX596" s="64">
        <f t="shared" ref="AX596" si="9230">((AT596/AU596)-1)*100</f>
        <v>20.625857123579006</v>
      </c>
      <c r="AZ596" s="71">
        <f t="shared" ref="AZ596" si="9231">+E596/1000</f>
        <v>588.41600000000005</v>
      </c>
      <c r="BA596" s="53">
        <f t="shared" ref="BA596" si="9232">+O596/1000</f>
        <v>65.8</v>
      </c>
      <c r="BB596" s="53">
        <f t="shared" ref="BB596" si="9233">+Y596/1000</f>
        <v>141.15</v>
      </c>
      <c r="BC596" s="53">
        <f t="shared" ref="BC596" si="9234">+AI596/1000</f>
        <v>10.9</v>
      </c>
      <c r="BD596" s="53">
        <f t="shared" ref="BD596" si="9235">+AS596/1000</f>
        <v>806.26599999999996</v>
      </c>
      <c r="BE596" s="64">
        <f t="shared" ref="BE596" si="9236">BE595+AZ596</f>
        <v>4091.8090000000002</v>
      </c>
      <c r="BF596" s="64">
        <f t="shared" ref="BF596" si="9237">BF595+BA596</f>
        <v>378.21700000000004</v>
      </c>
      <c r="BG596" s="64">
        <f t="shared" ref="BG596" si="9238">BG595+BB596</f>
        <v>3426.9550000000004</v>
      </c>
      <c r="BH596" s="64">
        <f t="shared" ref="BH596" si="9239">BH595+BC596</f>
        <v>51.349999999999994</v>
      </c>
      <c r="BI596" s="64">
        <f t="shared" ref="BI596" si="9240">BI595+BD596</f>
        <v>7948.3309999999992</v>
      </c>
      <c r="BJ596" s="64">
        <f t="shared" si="9039"/>
        <v>13</v>
      </c>
    </row>
    <row r="597" spans="1:62" x14ac:dyDescent="0.25">
      <c r="A597" s="48">
        <f t="shared" si="8958"/>
        <v>41734</v>
      </c>
      <c r="B597" s="64">
        <v>299500</v>
      </c>
      <c r="C597" s="64">
        <v>186450</v>
      </c>
      <c r="D597" s="53">
        <v>5600</v>
      </c>
      <c r="E597" s="64">
        <f t="shared" ref="E597" si="9241">SUM(B597:D597)</f>
        <v>491550</v>
      </c>
      <c r="F597" s="64">
        <f t="shared" ref="F597" si="9242">AVERAGE(E594,E595,E596,E597)</f>
        <v>523975.5</v>
      </c>
      <c r="G597" s="71">
        <f t="shared" ref="G597" si="9243">AVERAGE(F545,F493,F441)</f>
        <v>329807.41666666669</v>
      </c>
      <c r="H597" s="64">
        <f t="shared" ref="H597" si="9244">((E597/E545)-1)*100</f>
        <v>245.91836734693877</v>
      </c>
      <c r="I597" s="64">
        <f t="shared" ref="I597" si="9245">((F597/F545)-1)*100</f>
        <v>220.1492674104579</v>
      </c>
      <c r="J597" s="64">
        <f t="shared" ref="J597" si="9246">((F597/G597)-1)*100</f>
        <v>58.873170681172773</v>
      </c>
      <c r="L597" s="53">
        <v>18700</v>
      </c>
      <c r="M597" s="53">
        <v>19200</v>
      </c>
      <c r="N597" s="53">
        <v>28000</v>
      </c>
      <c r="O597" s="53">
        <f t="shared" ref="O597" si="9247">SUM(L597:N597)</f>
        <v>65900</v>
      </c>
      <c r="P597" s="71">
        <f t="shared" ref="P597" si="9248">AVERAGE(O594,O595,O596,O597)</f>
        <v>58975</v>
      </c>
      <c r="Q597" s="71">
        <f t="shared" ref="Q597" si="9249">AVERAGE(P545,P493,P441)</f>
        <v>53919.25</v>
      </c>
      <c r="R597" s="64">
        <f t="shared" ref="R597" si="9250">((O597/O545)-1)*100</f>
        <v>29.342492639842988</v>
      </c>
      <c r="S597" s="73">
        <f t="shared" ref="S597" si="9251">((P597/P545)-1)*100</f>
        <v>-35.555252014752078</v>
      </c>
      <c r="T597" s="64">
        <f t="shared" ref="T597" si="9252">((P597/Q597)-1)*100</f>
        <v>9.376521372237189</v>
      </c>
      <c r="V597" s="64">
        <v>47100</v>
      </c>
      <c r="W597" s="64">
        <v>25900</v>
      </c>
      <c r="X597" s="64">
        <v>2800</v>
      </c>
      <c r="Y597" s="64">
        <f t="shared" ref="Y597:Y598" si="9253">SUM(V597:X597)</f>
        <v>75800</v>
      </c>
      <c r="Z597" s="71">
        <f t="shared" ref="Z597" si="9254">AVERAGE(Y594,Y595,Y596,Y597)</f>
        <v>124797</v>
      </c>
      <c r="AA597" s="71">
        <f t="shared" ref="AA597" si="9255">AVERAGE(Z545,Z493,Z441)</f>
        <v>145603.58333333334</v>
      </c>
      <c r="AB597" s="64">
        <f t="shared" ref="AB597" si="9256">((Y597/Y545)-1)*100</f>
        <v>-13.073394495412849</v>
      </c>
      <c r="AC597" s="64">
        <f t="shared" ref="AC597" si="9257">((Z597/Z545)-1)*100</f>
        <v>22.599104553123862</v>
      </c>
      <c r="AD597" s="64">
        <f t="shared" ref="AD597" si="9258">((Z597/AA597)-1)*100</f>
        <v>-14.289884120296959</v>
      </c>
      <c r="AF597" s="53">
        <v>0</v>
      </c>
      <c r="AG597" s="53">
        <v>0</v>
      </c>
      <c r="AH597" s="53">
        <v>1400</v>
      </c>
      <c r="AI597" s="53">
        <f t="shared" ref="AI597" si="9259">SUM(AF597:AH597)</f>
        <v>1400</v>
      </c>
      <c r="AJ597" s="71">
        <f t="shared" ref="AJ597" si="9260">AVERAGE(AI594,AI595,AI596,AI597)</f>
        <v>3425</v>
      </c>
      <c r="AK597" s="71">
        <f t="shared" ref="AK597" si="9261">AVERAGE(AJ545,AJ493,AJ441)</f>
        <v>9383.3333333333339</v>
      </c>
      <c r="AL597" s="64">
        <f t="shared" ref="AL597" si="9262">((AI597/AI545)-1)*100</f>
        <v>-82.389937106918239</v>
      </c>
      <c r="AM597" s="64">
        <f t="shared" ref="AM597" si="9263">((AJ597/AJ545)-1)*100</f>
        <v>-61.189801699716703</v>
      </c>
      <c r="AN597" s="64">
        <f t="shared" ref="AN597" si="9264">((AJ597/AK597)-1)*100</f>
        <v>-63.499111900532853</v>
      </c>
      <c r="AP597" s="60">
        <f t="shared" si="9222"/>
        <v>365300</v>
      </c>
      <c r="AQ597" s="60">
        <f t="shared" si="9223"/>
        <v>231550</v>
      </c>
      <c r="AR597" s="60">
        <f t="shared" ref="AR597" si="9265">SUM(D597,N597,X597,AH597)</f>
        <v>37800</v>
      </c>
      <c r="AS597" s="60">
        <f t="shared" ref="AS597" si="9266">SUM(E597,O597,Y597,AI597)</f>
        <v>634650</v>
      </c>
      <c r="AT597" s="64">
        <f t="shared" ref="AT597" si="9267">AVERAGE(AS594,AS595,AS596,AS597)</f>
        <v>711172.5</v>
      </c>
      <c r="AU597" s="71">
        <f t="shared" ref="AU597" si="9268">AVERAGE(AT545,AT493,AT441)</f>
        <v>538713.58333333337</v>
      </c>
      <c r="AV597" s="64">
        <f t="shared" ref="AV597" si="9269">((AS597/AS545)-1)*100</f>
        <v>120.21165857043718</v>
      </c>
      <c r="AW597" s="64">
        <f t="shared" ref="AW597" si="9270">((AT597/AT545)-1)*100</f>
        <v>94.417657370735753</v>
      </c>
      <c r="AX597" s="64">
        <f t="shared" ref="AX597" si="9271">((AT597/AU597)-1)*100</f>
        <v>32.013099725379732</v>
      </c>
      <c r="AZ597" s="71">
        <f t="shared" ref="AZ597" si="9272">+E597/1000</f>
        <v>491.55</v>
      </c>
      <c r="BA597" s="53">
        <f t="shared" ref="BA597" si="9273">+O597/1000</f>
        <v>65.900000000000006</v>
      </c>
      <c r="BB597" s="53">
        <f t="shared" ref="BB597:BB598" si="9274">+Y597/1000</f>
        <v>75.8</v>
      </c>
      <c r="BC597" s="53">
        <f t="shared" ref="BC597" si="9275">+AI597/1000</f>
        <v>1.4</v>
      </c>
      <c r="BD597" s="53">
        <f t="shared" ref="BD597" si="9276">+AS597/1000</f>
        <v>634.65</v>
      </c>
      <c r="BE597" s="64">
        <f t="shared" ref="BE597" si="9277">BE596+AZ597</f>
        <v>4583.3590000000004</v>
      </c>
      <c r="BF597" s="64">
        <f t="shared" ref="BF597" si="9278">BF596+BA597</f>
        <v>444.11700000000008</v>
      </c>
      <c r="BG597" s="64">
        <f t="shared" ref="BG597" si="9279">BG596+BB597</f>
        <v>3502.7550000000006</v>
      </c>
      <c r="BH597" s="64">
        <f t="shared" ref="BH597" si="9280">BH596+BC597</f>
        <v>52.749999999999993</v>
      </c>
      <c r="BI597" s="64">
        <f t="shared" ref="BI597" si="9281">BI596+BD597</f>
        <v>8582.9809999999998</v>
      </c>
      <c r="BJ597" s="64">
        <f t="shared" si="9039"/>
        <v>14</v>
      </c>
    </row>
    <row r="598" spans="1:62" x14ac:dyDescent="0.25">
      <c r="A598" s="48">
        <f t="shared" si="8958"/>
        <v>41741</v>
      </c>
      <c r="B598" s="64">
        <v>277400</v>
      </c>
      <c r="C598" s="64">
        <v>203450</v>
      </c>
      <c r="D598" s="53">
        <v>4200</v>
      </c>
      <c r="E598" s="64">
        <f t="shared" ref="E598" si="9282">SUM(B598:D598)</f>
        <v>485050</v>
      </c>
      <c r="F598" s="64">
        <f t="shared" ref="F598" si="9283">AVERAGE(E595,E596,E597,E598)</f>
        <v>511479</v>
      </c>
      <c r="G598" s="71">
        <f t="shared" ref="G598" si="9284">AVERAGE(F546,F494,F442)</f>
        <v>335809.16666666669</v>
      </c>
      <c r="H598" s="64">
        <f t="shared" ref="H598" si="9285">((E598/E546)-1)*100</f>
        <v>184.32004689331771</v>
      </c>
      <c r="I598" s="64">
        <f t="shared" ref="I598" si="9286">((F598/F546)-1)*100</f>
        <v>213.50854368842772</v>
      </c>
      <c r="J598" s="64">
        <f t="shared" ref="J598" si="9287">((F598/G598)-1)*100</f>
        <v>52.312399651587825</v>
      </c>
      <c r="L598" s="53">
        <v>17644</v>
      </c>
      <c r="M598" s="53">
        <v>21150</v>
      </c>
      <c r="N598" s="53">
        <v>21000</v>
      </c>
      <c r="O598" s="53">
        <f t="shared" ref="O598" si="9288">SUM(L598:N598)</f>
        <v>59794</v>
      </c>
      <c r="P598" s="71">
        <f t="shared" ref="P598" si="9289">AVERAGE(O595,O596,O597,O598)</f>
        <v>62248.5</v>
      </c>
      <c r="Q598" s="71">
        <f t="shared" ref="Q598" si="9290">AVERAGE(P546,P494,P442)</f>
        <v>53634.916666666664</v>
      </c>
      <c r="R598" s="64">
        <f t="shared" ref="R598" si="9291">((O598/O546)-1)*100</f>
        <v>-29.279716144293321</v>
      </c>
      <c r="S598" s="73">
        <f t="shared" ref="S598" si="9292">((P598/P546)-1)*100</f>
        <v>-25.62903225806452</v>
      </c>
      <c r="T598" s="64">
        <f t="shared" ref="T598" si="9293">((P598/Q598)-1)*100</f>
        <v>16.059656411634847</v>
      </c>
      <c r="V598" s="64">
        <v>125276</v>
      </c>
      <c r="W598" s="64">
        <v>31950</v>
      </c>
      <c r="X598" s="53">
        <v>0</v>
      </c>
      <c r="Y598" s="64">
        <f t="shared" si="9253"/>
        <v>157226</v>
      </c>
      <c r="Z598" s="71">
        <f t="shared" ref="Z598" si="9294">AVERAGE(Y595,Y596,Y597,Y598)</f>
        <v>120631.5</v>
      </c>
      <c r="AA598" s="71">
        <f t="shared" ref="AA598" si="9295">AVERAGE(Z546,Z494,Z442)</f>
        <v>135198.08333333334</v>
      </c>
      <c r="AB598" s="64">
        <f t="shared" ref="AB598" si="9296">((Y598/Y546)-1)*100</f>
        <v>90.692540933899338</v>
      </c>
      <c r="AC598" s="64">
        <f t="shared" ref="AC598" si="9297">((Z598/Z546)-1)*100</f>
        <v>43.173867503805411</v>
      </c>
      <c r="AD598" s="64">
        <f t="shared" ref="AD598" si="9298">((Z598/AA598)-1)*100</f>
        <v>-10.774252840122866</v>
      </c>
      <c r="AF598" s="53">
        <v>3200</v>
      </c>
      <c r="AG598" s="53">
        <v>0</v>
      </c>
      <c r="AH598" s="53">
        <v>2800</v>
      </c>
      <c r="AI598" s="53">
        <f t="shared" ref="AI598" si="9299">SUM(AF598:AH598)</f>
        <v>6000</v>
      </c>
      <c r="AJ598" s="71">
        <f t="shared" ref="AJ598" si="9300">AVERAGE(AI595,AI596,AI597,AI598)</f>
        <v>4575</v>
      </c>
      <c r="AK598" s="71">
        <f t="shared" ref="AK598" si="9301">AVERAGE(AJ546,AJ494,AJ442)</f>
        <v>9029.1666666666661</v>
      </c>
      <c r="AL598" s="64"/>
      <c r="AM598" s="64">
        <f t="shared" ref="AM598" si="9302">((AJ598/AJ546)-1)*100</f>
        <v>-45.45454545454546</v>
      </c>
      <c r="AN598" s="64">
        <f t="shared" ref="AN598" si="9303">((AJ598/AK598)-1)*100</f>
        <v>-49.330872173511764</v>
      </c>
      <c r="AP598" s="60">
        <f t="shared" ref="AP598" si="9304">SUM(B598,L598,V598,AF598)</f>
        <v>423520</v>
      </c>
      <c r="AQ598" s="60">
        <f t="shared" ref="AQ598" si="9305">SUM(C598,M598,W598,AG598)</f>
        <v>256550</v>
      </c>
      <c r="AR598" s="60">
        <f t="shared" ref="AR598" si="9306">SUM(D598,N598,X598,AH598)</f>
        <v>28000</v>
      </c>
      <c r="AS598" s="60">
        <f t="shared" ref="AS598" si="9307">SUM(E598,O598,Y598,AI598)</f>
        <v>708070</v>
      </c>
      <c r="AT598" s="64">
        <f t="shared" ref="AT598" si="9308">AVERAGE(AS595,AS596,AS597,AS598)</f>
        <v>698934</v>
      </c>
      <c r="AU598" s="71">
        <f t="shared" ref="AU598" si="9309">AVERAGE(AT546,AT494,AT442)</f>
        <v>533671.33333333337</v>
      </c>
      <c r="AV598" s="64">
        <f t="shared" ref="AV598" si="9310">((AS598/AS546)-1)*100</f>
        <v>109.73637440758294</v>
      </c>
      <c r="AW598" s="64">
        <f t="shared" ref="AW598" si="9311">((AT598/AT546)-1)*100</f>
        <v>105.87794320590179</v>
      </c>
      <c r="AX598" s="64">
        <f t="shared" ref="AX598" si="9312">((AT598/AU598)-1)*100</f>
        <v>30.96712458479438</v>
      </c>
      <c r="AZ598" s="71">
        <f t="shared" ref="AZ598" si="9313">+E598/1000</f>
        <v>485.05</v>
      </c>
      <c r="BA598" s="53">
        <f t="shared" ref="BA598" si="9314">+O598/1000</f>
        <v>59.793999999999997</v>
      </c>
      <c r="BB598" s="53">
        <f t="shared" ref="BB598" si="9315">+Y598/1000</f>
        <v>157.226</v>
      </c>
      <c r="BC598" s="53">
        <f t="shared" ref="BC598" si="9316">+AI598/1000</f>
        <v>6</v>
      </c>
      <c r="BD598" s="53">
        <f t="shared" ref="BD598" si="9317">+AS598/1000</f>
        <v>708.07</v>
      </c>
      <c r="BE598" s="64">
        <f t="shared" ref="BE598" si="9318">BE597+AZ598</f>
        <v>5068.4090000000006</v>
      </c>
      <c r="BF598" s="64">
        <f t="shared" ref="BF598" si="9319">BF597+BA598</f>
        <v>503.91100000000006</v>
      </c>
      <c r="BG598" s="64">
        <f t="shared" ref="BG598" si="9320">BG597+BB598</f>
        <v>3659.9810000000007</v>
      </c>
      <c r="BH598" s="64">
        <f t="shared" ref="BH598" si="9321">BH597+BC598</f>
        <v>58.749999999999993</v>
      </c>
      <c r="BI598" s="64">
        <f t="shared" ref="BI598" si="9322">BI597+BD598</f>
        <v>9291.0509999999995</v>
      </c>
      <c r="BJ598" s="64">
        <f t="shared" si="9039"/>
        <v>15</v>
      </c>
    </row>
    <row r="599" spans="1:62" x14ac:dyDescent="0.25">
      <c r="A599" s="48"/>
      <c r="B599" s="64"/>
      <c r="C599" s="64"/>
      <c r="D599" s="53"/>
      <c r="E599" s="64"/>
      <c r="F599" s="64"/>
      <c r="G599" s="71"/>
      <c r="H599" s="64"/>
      <c r="I599" s="64"/>
      <c r="J599" s="64"/>
      <c r="L599" s="53"/>
      <c r="M599" s="53"/>
      <c r="N599" s="53"/>
      <c r="O599" s="53"/>
      <c r="P599" s="71"/>
      <c r="Q599" s="71"/>
      <c r="R599" s="64"/>
      <c r="S599" s="73"/>
      <c r="T599" s="64"/>
      <c r="V599" s="64"/>
      <c r="W599" s="64"/>
      <c r="X599" s="64"/>
      <c r="Y599" s="64"/>
      <c r="Z599" s="71"/>
      <c r="AA599" s="71"/>
      <c r="AB599" s="64"/>
      <c r="AC599" s="64"/>
      <c r="AD599" s="64"/>
      <c r="AF599" s="53"/>
      <c r="AG599" s="53"/>
      <c r="AH599" s="53"/>
      <c r="AI599" s="53"/>
      <c r="AJ599" s="71"/>
      <c r="AK599" s="71"/>
      <c r="AL599" s="64"/>
      <c r="AM599" s="64"/>
      <c r="AN599" s="64"/>
      <c r="AP599" s="60"/>
      <c r="AQ599" s="60"/>
      <c r="AR599" s="60"/>
      <c r="AS599" s="60"/>
      <c r="AT599" s="64"/>
      <c r="AU599" s="71"/>
      <c r="AV599" s="64"/>
      <c r="AW599" s="64"/>
      <c r="AX599" s="64"/>
      <c r="AZ599" s="71"/>
      <c r="BA599" s="53"/>
      <c r="BB599" s="53"/>
      <c r="BC599" s="53"/>
      <c r="BD599" s="53"/>
      <c r="BE599" s="64"/>
      <c r="BF599" s="64"/>
      <c r="BG599" s="64"/>
      <c r="BH599" s="64"/>
      <c r="BI599" s="64"/>
      <c r="BJ599" s="64"/>
    </row>
    <row r="600" spans="1:62" x14ac:dyDescent="0.25">
      <c r="A600" s="48"/>
      <c r="B600" s="64"/>
      <c r="C600" s="64"/>
      <c r="D600" s="53"/>
      <c r="E600" s="64"/>
      <c r="F600" s="64"/>
      <c r="G600" s="71"/>
      <c r="H600" s="64"/>
      <c r="I600" s="64"/>
      <c r="J600" s="64"/>
      <c r="L600" s="53"/>
      <c r="M600" s="53"/>
      <c r="N600" s="53"/>
      <c r="O600" s="53"/>
      <c r="P600" s="71"/>
      <c r="Q600" s="71"/>
      <c r="R600" s="64"/>
      <c r="S600" s="73"/>
      <c r="T600" s="64"/>
      <c r="V600" s="64"/>
      <c r="W600" s="64"/>
      <c r="X600" s="64"/>
      <c r="Y600" s="64"/>
      <c r="Z600" s="71"/>
      <c r="AA600" s="71"/>
      <c r="AB600" s="64"/>
      <c r="AC600" s="64"/>
      <c r="AD600" s="64"/>
      <c r="AF600" s="53"/>
      <c r="AG600" s="53"/>
      <c r="AH600" s="53"/>
      <c r="AI600" s="53"/>
      <c r="AJ600" s="71"/>
      <c r="AK600" s="71"/>
      <c r="AL600" s="64"/>
      <c r="AM600" s="64"/>
      <c r="AN600" s="64"/>
      <c r="AP600" s="60"/>
      <c r="AQ600" s="60"/>
      <c r="AR600" s="60"/>
      <c r="AS600" s="60"/>
      <c r="AT600" s="64"/>
      <c r="AU600" s="71"/>
      <c r="AV600" s="64"/>
      <c r="AW600" s="64"/>
      <c r="AX600" s="64"/>
      <c r="AZ600" s="71"/>
      <c r="BA600" s="53"/>
      <c r="BB600" s="53"/>
      <c r="BC600" s="53"/>
      <c r="BD600" s="53"/>
      <c r="BE600" s="64"/>
      <c r="BF600" s="64"/>
      <c r="BG600" s="64"/>
      <c r="BH600" s="64"/>
      <c r="BI600" s="64"/>
      <c r="BJ600" s="64"/>
    </row>
    <row r="601" spans="1:62" x14ac:dyDescent="0.25">
      <c r="A601" s="48"/>
      <c r="B601" s="64"/>
      <c r="C601" s="64"/>
      <c r="D601" s="53"/>
      <c r="E601" s="64"/>
      <c r="F601" s="64"/>
      <c r="G601" s="71"/>
      <c r="H601" s="64"/>
      <c r="I601" s="64"/>
      <c r="J601" s="64"/>
      <c r="L601" s="53"/>
      <c r="M601" s="53"/>
      <c r="N601" s="53"/>
      <c r="O601" s="53"/>
      <c r="P601" s="71"/>
      <c r="Q601" s="71"/>
      <c r="R601" s="64"/>
      <c r="S601" s="73"/>
      <c r="T601" s="64"/>
      <c r="V601" s="64"/>
      <c r="W601" s="64"/>
      <c r="X601" s="64"/>
      <c r="Y601" s="64"/>
      <c r="Z601" s="71"/>
      <c r="AA601" s="71"/>
      <c r="AB601" s="64"/>
      <c r="AC601" s="64"/>
      <c r="AD601" s="64"/>
      <c r="AF601" s="53"/>
      <c r="AG601" s="53"/>
      <c r="AH601" s="53"/>
      <c r="AI601" s="53"/>
      <c r="AJ601" s="71"/>
      <c r="AK601" s="71"/>
      <c r="AL601" s="64"/>
      <c r="AM601" s="64"/>
      <c r="AN601" s="64"/>
      <c r="AP601" s="60"/>
      <c r="AQ601" s="60"/>
      <c r="AR601" s="60"/>
      <c r="AS601" s="60"/>
      <c r="AT601" s="64"/>
      <c r="AU601" s="71"/>
      <c r="AV601" s="64"/>
      <c r="AW601" s="64"/>
      <c r="AX601" s="64"/>
      <c r="AZ601" s="71"/>
      <c r="BA601" s="53"/>
      <c r="BB601" s="53"/>
      <c r="BC601" s="53"/>
      <c r="BD601" s="53"/>
      <c r="BE601" s="64"/>
      <c r="BF601" s="64"/>
      <c r="BG601" s="64"/>
      <c r="BH601" s="64"/>
      <c r="BI601" s="64"/>
      <c r="BJ601" s="64"/>
    </row>
    <row r="602" spans="1:62" x14ac:dyDescent="0.25">
      <c r="A602" s="48"/>
      <c r="B602" s="64"/>
      <c r="C602" s="64"/>
      <c r="D602" s="53"/>
      <c r="E602" s="64"/>
      <c r="F602" s="64"/>
      <c r="G602" s="71"/>
      <c r="H602" s="64"/>
      <c r="I602" s="64"/>
      <c r="J602" s="64"/>
      <c r="L602" s="53"/>
      <c r="M602" s="53"/>
      <c r="N602" s="53"/>
      <c r="O602" s="53"/>
      <c r="P602" s="71"/>
      <c r="Q602" s="71"/>
      <c r="R602" s="64"/>
      <c r="S602" s="73"/>
      <c r="T602" s="64"/>
      <c r="V602" s="64"/>
      <c r="W602" s="64"/>
      <c r="X602" s="64"/>
      <c r="Y602" s="64"/>
      <c r="Z602" s="71"/>
      <c r="AA602" s="71"/>
      <c r="AB602" s="64"/>
      <c r="AC602" s="64"/>
      <c r="AD602" s="64"/>
      <c r="AF602" s="53"/>
      <c r="AG602" s="53"/>
      <c r="AH602" s="53"/>
      <c r="AI602" s="53"/>
      <c r="AJ602" s="71"/>
      <c r="AK602" s="71"/>
      <c r="AL602" s="64"/>
      <c r="AM602" s="64"/>
      <c r="AN602" s="64"/>
      <c r="AP602" s="60"/>
      <c r="AQ602" s="60"/>
      <c r="AR602" s="60"/>
      <c r="AS602" s="60"/>
      <c r="AT602" s="64"/>
      <c r="AU602" s="71"/>
      <c r="AV602" s="64"/>
      <c r="AW602" s="64"/>
      <c r="AX602" s="64"/>
      <c r="AZ602" s="71"/>
      <c r="BA602" s="53"/>
      <c r="BB602" s="53"/>
      <c r="BC602" s="53"/>
      <c r="BD602" s="53"/>
      <c r="BE602" s="64"/>
      <c r="BF602" s="64"/>
      <c r="BG602" s="64"/>
      <c r="BH602" s="64"/>
      <c r="BI602" s="64"/>
      <c r="BJ602" s="64"/>
    </row>
    <row r="603" spans="1:62" x14ac:dyDescent="0.25">
      <c r="A603" s="51" t="s">
        <v>46</v>
      </c>
      <c r="B603" s="64"/>
      <c r="C603" s="64"/>
      <c r="D603" s="53"/>
      <c r="E603" s="64"/>
      <c r="L603" s="53"/>
      <c r="M603" s="53"/>
      <c r="N603" s="53"/>
      <c r="O603" s="71"/>
      <c r="V603" s="64"/>
      <c r="W603" s="64"/>
      <c r="X603" s="64"/>
      <c r="Y603" s="64"/>
      <c r="AS603" s="60"/>
    </row>
    <row r="604" spans="1:62" x14ac:dyDescent="0.25">
      <c r="A604" s="79" t="s">
        <v>47</v>
      </c>
      <c r="B604" s="64"/>
      <c r="C604" s="64"/>
      <c r="D604" s="53"/>
      <c r="E604" s="64"/>
      <c r="L604" s="53"/>
      <c r="M604" s="53"/>
      <c r="N604" s="53"/>
      <c r="O604" s="71"/>
      <c r="V604" s="64"/>
      <c r="W604" s="64"/>
      <c r="X604" s="64"/>
      <c r="Y604" s="64"/>
      <c r="AS604" s="60"/>
    </row>
    <row r="605" spans="1:62" x14ac:dyDescent="0.25">
      <c r="A605" s="79"/>
      <c r="B605" s="64"/>
      <c r="C605" s="64"/>
      <c r="D605" s="53"/>
      <c r="E605" s="64"/>
      <c r="F605"/>
      <c r="G605"/>
      <c r="L605" s="53"/>
      <c r="M605" s="53"/>
      <c r="N605" s="53"/>
      <c r="O605" s="71"/>
      <c r="V605" s="64"/>
      <c r="W605" s="64"/>
      <c r="X605" s="64"/>
      <c r="AS605" s="60"/>
    </row>
    <row r="606" spans="1:62" x14ac:dyDescent="0.25">
      <c r="A606" s="79" t="s">
        <v>48</v>
      </c>
      <c r="B606" s="64"/>
      <c r="C606" s="64"/>
      <c r="D606" s="53"/>
      <c r="E606" s="64"/>
      <c r="F606"/>
      <c r="G606"/>
      <c r="L606" s="53"/>
      <c r="M606" s="53"/>
      <c r="N606" s="53"/>
      <c r="O606" s="71"/>
      <c r="V606" s="64"/>
      <c r="W606" s="64"/>
      <c r="X606" s="64"/>
      <c r="AS606" s="78"/>
    </row>
    <row r="607" spans="1:62" x14ac:dyDescent="0.25">
      <c r="A607" s="79"/>
      <c r="B607" s="64"/>
      <c r="C607" s="64"/>
      <c r="D607" s="53"/>
      <c r="E607" s="64"/>
      <c r="F607"/>
      <c r="G607" s="70"/>
      <c r="L607" s="53"/>
      <c r="M607" s="53"/>
      <c r="N607" s="53"/>
      <c r="V607" s="64"/>
      <c r="W607" s="64"/>
      <c r="X607" s="64"/>
      <c r="AS607" s="77"/>
    </row>
    <row r="608" spans="1:62" x14ac:dyDescent="0.25">
      <c r="B608" s="64"/>
      <c r="C608" s="64"/>
      <c r="D608" s="53"/>
      <c r="E608" s="64"/>
      <c r="F608" s="69"/>
      <c r="G608" s="70"/>
      <c r="L608" s="53"/>
      <c r="M608" s="53"/>
      <c r="N608" s="53"/>
      <c r="V608" s="64"/>
      <c r="W608" s="64"/>
      <c r="X608" s="64"/>
    </row>
    <row r="609" spans="1:24" x14ac:dyDescent="0.25">
      <c r="A609" s="68" t="s">
        <v>52</v>
      </c>
      <c r="B609" s="64"/>
      <c r="C609" s="64"/>
      <c r="D609" s="53"/>
      <c r="E609" s="64"/>
      <c r="F609"/>
      <c r="G609" s="70"/>
      <c r="L609" s="53"/>
      <c r="M609" s="53"/>
      <c r="N609" s="53"/>
      <c r="V609" s="64"/>
      <c r="W609" s="64"/>
      <c r="X609" s="64"/>
    </row>
    <row r="610" spans="1:24" x14ac:dyDescent="0.25">
      <c r="B610" s="64"/>
      <c r="C610" s="64"/>
      <c r="D610" s="53"/>
      <c r="E610" s="64"/>
      <c r="F610"/>
      <c r="G610" s="70"/>
      <c r="L610" s="53"/>
      <c r="M610" s="53"/>
      <c r="N610" s="53"/>
      <c r="V610" s="64"/>
      <c r="W610" s="64"/>
      <c r="X610" s="64"/>
    </row>
    <row r="611" spans="1:24" x14ac:dyDescent="0.25">
      <c r="B611" s="64"/>
      <c r="C611" s="64"/>
      <c r="D611" s="53"/>
      <c r="E611" s="69"/>
      <c r="F611"/>
      <c r="G611" s="70"/>
      <c r="L611" s="53"/>
      <c r="M611" s="53"/>
      <c r="N611" s="53"/>
      <c r="V611" s="64"/>
      <c r="W611" s="64"/>
      <c r="X611" s="64"/>
    </row>
    <row r="612" spans="1:24" x14ac:dyDescent="0.25">
      <c r="B612" s="76"/>
      <c r="C612" s="69"/>
      <c r="D612" s="53"/>
      <c r="E612" s="69"/>
      <c r="F612"/>
      <c r="G612" s="70"/>
      <c r="L612" s="53"/>
      <c r="M612" s="53"/>
      <c r="N612" s="53"/>
      <c r="V612" s="64"/>
      <c r="W612" s="64"/>
      <c r="X612" s="64"/>
    </row>
    <row r="613" spans="1:24" x14ac:dyDescent="0.25">
      <c r="B613" s="76"/>
      <c r="C613" s="69"/>
      <c r="D613" s="53"/>
      <c r="E613" s="69"/>
      <c r="F613"/>
      <c r="L613" s="53"/>
      <c r="M613" s="53"/>
      <c r="N613" s="53"/>
    </row>
    <row r="614" spans="1:24" x14ac:dyDescent="0.25">
      <c r="B614" s="76"/>
      <c r="C614" s="69"/>
      <c r="D614" s="69"/>
      <c r="E614" s="69"/>
      <c r="F614"/>
    </row>
    <row r="615" spans="1:24" x14ac:dyDescent="0.25">
      <c r="B615" s="76"/>
      <c r="C615" s="69"/>
      <c r="D615" s="69"/>
      <c r="E615" s="69"/>
      <c r="F615" s="69"/>
    </row>
  </sheetData>
  <mergeCells count="7">
    <mergeCell ref="A606:A607"/>
    <mergeCell ref="A604:A605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5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25">
      <c r="A5" s="8" t="s">
        <v>1</v>
      </c>
      <c r="B5" s="45">
        <f>17200/1000</f>
        <v>17.2</v>
      </c>
      <c r="C5" s="45">
        <v>0</v>
      </c>
      <c r="D5" s="45">
        <f>12500/1000</f>
        <v>12.5</v>
      </c>
      <c r="E5" s="45">
        <v>0</v>
      </c>
      <c r="F5" s="45">
        <f>SUM(B5:E5)</f>
        <v>29.7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25">
      <c r="A6" s="8" t="s">
        <v>2</v>
      </c>
      <c r="B6" s="72">
        <f>127100/1000</f>
        <v>127.1</v>
      </c>
      <c r="C6" s="72">
        <v>0</v>
      </c>
      <c r="D6" s="72">
        <f>112700/1000</f>
        <v>112.7</v>
      </c>
      <c r="E6" s="72">
        <f>1600/1000</f>
        <v>1.6</v>
      </c>
      <c r="F6" s="45">
        <f t="shared" ref="F6:F11" si="0">SUM(B6:E6)</f>
        <v>241.4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25">
      <c r="A7" s="8" t="s">
        <v>3</v>
      </c>
      <c r="B7" s="45">
        <f>261100/1000</f>
        <v>261.10000000000002</v>
      </c>
      <c r="C7" s="45">
        <f>17644/1000</f>
        <v>17.643999999999998</v>
      </c>
      <c r="D7" s="45">
        <f>139076/1000</f>
        <v>139.07599999999999</v>
      </c>
      <c r="E7" s="45">
        <f>3200/1000</f>
        <v>3.2</v>
      </c>
      <c r="F7" s="45">
        <f t="shared" si="0"/>
        <v>421.02000000000004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25">
      <c r="A8" s="8" t="s">
        <v>4</v>
      </c>
      <c r="B8" s="45">
        <f>Data!B598/1000</f>
        <v>277.39999999999998</v>
      </c>
      <c r="C8" s="45">
        <f>Data!L598/1000</f>
        <v>17.643999999999998</v>
      </c>
      <c r="D8" s="45">
        <f>Data!V598/1000</f>
        <v>125.276</v>
      </c>
      <c r="E8" s="45">
        <f>Data!AF598/1000</f>
        <v>3.2</v>
      </c>
      <c r="F8" s="45">
        <f t="shared" si="0"/>
        <v>423.52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25">
      <c r="A9" s="4" t="s">
        <v>5</v>
      </c>
      <c r="B9" s="45">
        <f>171200/1000</f>
        <v>171.2</v>
      </c>
      <c r="C9" s="45">
        <f>6300/1000</f>
        <v>6.3</v>
      </c>
      <c r="D9" s="45">
        <f>30900/1000</f>
        <v>30.9</v>
      </c>
      <c r="E9" s="45">
        <f>1600/1000</f>
        <v>1.6</v>
      </c>
      <c r="F9" s="45">
        <f t="shared" si="0"/>
        <v>210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25">
      <c r="A10" s="4" t="s">
        <v>6</v>
      </c>
      <c r="B10" s="45">
        <f>Data!C598/1000</f>
        <v>203.45</v>
      </c>
      <c r="C10" s="45">
        <f>Data!M598/1000</f>
        <v>21.15</v>
      </c>
      <c r="D10" s="45">
        <f>Data!W598/1000</f>
        <v>31.95</v>
      </c>
      <c r="E10" s="45">
        <f>Data!AG598/1000</f>
        <v>0</v>
      </c>
      <c r="F10" s="45">
        <f t="shared" si="0"/>
        <v>256.55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25">
      <c r="A11" s="4" t="s">
        <v>7</v>
      </c>
      <c r="B11" s="45">
        <f>Data!D598/1000</f>
        <v>4.2</v>
      </c>
      <c r="C11" s="45">
        <f>Data!N598/1000</f>
        <v>21</v>
      </c>
      <c r="D11" s="45">
        <f>Data!X598/1000</f>
        <v>0</v>
      </c>
      <c r="E11" s="45">
        <f>Data!AH598/1000</f>
        <v>2.8</v>
      </c>
      <c r="F11" s="45">
        <f t="shared" si="0"/>
        <v>28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25">
      <c r="A13" s="5" t="s">
        <v>62</v>
      </c>
      <c r="B13" s="45">
        <f>Data!AZ598</f>
        <v>485.05</v>
      </c>
      <c r="C13" s="45">
        <f>+Data!BA598</f>
        <v>59.793999999999997</v>
      </c>
      <c r="D13" s="45">
        <f>+Data!BB598</f>
        <v>157.226</v>
      </c>
      <c r="E13" s="45">
        <f>+Data!BC598</f>
        <v>6</v>
      </c>
      <c r="F13" s="45">
        <f>+Data!BD598</f>
        <v>708.07</v>
      </c>
      <c r="G13" s="14"/>
      <c r="H13" s="40"/>
      <c r="I13" s="13"/>
      <c r="J13" s="2">
        <f>(+F13-F14)/F14</f>
        <v>1.0973637440758295</v>
      </c>
    </row>
    <row r="14" spans="1:15" s="2" customFormat="1" ht="12.75" customHeight="1" x14ac:dyDescent="0.25">
      <c r="A14" s="5" t="s">
        <v>54</v>
      </c>
      <c r="B14" s="45">
        <f>Data!AZ546</f>
        <v>170.6</v>
      </c>
      <c r="C14" s="45">
        <f>Data!BA546</f>
        <v>84.55</v>
      </c>
      <c r="D14" s="45">
        <f>Data!BB546</f>
        <v>82.45</v>
      </c>
      <c r="E14" s="45">
        <f>Data!BC546</f>
        <v>0</v>
      </c>
      <c r="F14" s="45">
        <f>Data!BD546</f>
        <v>337.6</v>
      </c>
      <c r="G14" s="14"/>
      <c r="H14" s="43"/>
      <c r="I14" s="13"/>
    </row>
    <row r="15" spans="1:15" s="2" customFormat="1" ht="12.75" customHeight="1" x14ac:dyDescent="0.25">
      <c r="A15" s="5" t="s">
        <v>59</v>
      </c>
      <c r="B15" s="46">
        <f>Data!BE598</f>
        <v>5068.4090000000006</v>
      </c>
      <c r="C15" s="46">
        <f>Data!BF598</f>
        <v>503.91100000000006</v>
      </c>
      <c r="D15" s="46">
        <f>Data!BG598</f>
        <v>3659.9810000000007</v>
      </c>
      <c r="E15" s="46">
        <f>Data!BH598</f>
        <v>58.749999999999993</v>
      </c>
      <c r="F15" s="46">
        <f>Data!BI598</f>
        <v>9291.0509999999995</v>
      </c>
      <c r="G15" s="14"/>
      <c r="H15" s="40"/>
      <c r="I15" s="13"/>
    </row>
    <row r="16" spans="1:15" s="2" customFormat="1" ht="12.75" customHeight="1" x14ac:dyDescent="0.25">
      <c r="A16" s="5" t="s">
        <v>60</v>
      </c>
      <c r="B16" s="45">
        <f>Data!BE546</f>
        <v>1872.0529999999997</v>
      </c>
      <c r="C16" s="45">
        <f>Data!BF546</f>
        <v>1271.05</v>
      </c>
      <c r="D16" s="45">
        <f>Data!BG546</f>
        <v>3083.2669999999994</v>
      </c>
      <c r="E16" s="45">
        <f>Data!BH546</f>
        <v>84.77</v>
      </c>
      <c r="F16" s="45">
        <f>Data!BI546</f>
        <v>6311.14</v>
      </c>
      <c r="G16" s="14"/>
      <c r="H16" s="14"/>
      <c r="I16" s="13"/>
    </row>
    <row r="17" spans="1:17" s="2" customFormat="1" ht="12.75" customHeight="1" x14ac:dyDescent="0.25">
      <c r="A17" s="5" t="s">
        <v>61</v>
      </c>
      <c r="B17" s="45">
        <f>(B15/B16)*100</f>
        <v>270.74067881625155</v>
      </c>
      <c r="C17" s="45">
        <f>(C15/C16)*100</f>
        <v>39.645253923921175</v>
      </c>
      <c r="D17" s="45">
        <f>(D15/D16)*100</f>
        <v>118.70464024036846</v>
      </c>
      <c r="E17" s="45">
        <f>(E15/E16)*100</f>
        <v>69.305178718886395</v>
      </c>
      <c r="F17" s="45">
        <f>(F15/F16)*100</f>
        <v>147.21668351518107</v>
      </c>
      <c r="G17" s="14"/>
      <c r="H17" s="14"/>
      <c r="I17" s="13"/>
    </row>
    <row r="18" spans="1:17" s="2" customFormat="1" ht="12.75" customHeight="1" x14ac:dyDescent="0.25">
      <c r="A18" s="5" t="s">
        <v>57</v>
      </c>
      <c r="B18" s="45">
        <f>+Data!I598+100</f>
        <v>313.50854368842772</v>
      </c>
      <c r="C18" s="45">
        <f>+Data!S598+100</f>
        <v>74.370967741935488</v>
      </c>
      <c r="D18" s="45">
        <f>+Data!AC598+100</f>
        <v>143.17386750380541</v>
      </c>
      <c r="E18" s="45">
        <f>+Data!AM598+100</f>
        <v>54.54545454545454</v>
      </c>
      <c r="F18" s="45">
        <f>+Data!AW598+100</f>
        <v>205.87794320590177</v>
      </c>
      <c r="G18" s="14"/>
      <c r="H18" s="14"/>
      <c r="I18" s="13"/>
    </row>
    <row r="19" spans="1:17" s="2" customFormat="1" ht="12.75" customHeight="1" x14ac:dyDescent="0.25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81" t="s">
        <v>10</v>
      </c>
      <c r="B22" s="82"/>
      <c r="C22" s="82"/>
      <c r="D22" s="82"/>
      <c r="E22" s="82"/>
      <c r="F22" s="82"/>
      <c r="G22" s="12"/>
      <c r="H22" s="12"/>
      <c r="I22" s="13"/>
    </row>
    <row r="23" spans="1:17" s="9" customFormat="1" ht="9.75" customHeight="1" x14ac:dyDescent="0.25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2014-04-14T15:18:23Z</dcterms:modified>
</cp:coreProperties>
</file>