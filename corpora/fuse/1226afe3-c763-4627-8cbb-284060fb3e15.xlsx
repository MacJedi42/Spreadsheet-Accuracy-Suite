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875" yWindow="15" windowWidth="7485" windowHeight="8310" firstSheet="1" activeTab="1"/>
  </bookViews>
  <sheets>
    <sheet name="2011-12" sheetId="22" r:id="rId1"/>
    <sheet name="2010-11" sheetId="21" r:id="rId2"/>
    <sheet name="2009-10" sheetId="20" r:id="rId3"/>
    <sheet name="2008-09" sheetId="19" r:id="rId4"/>
    <sheet name="2007-08" sheetId="18" r:id="rId5"/>
    <sheet name="2006-07" sheetId="17" r:id="rId6"/>
    <sheet name="2005-06" sheetId="16" r:id="rId7"/>
    <sheet name="2004-05" sheetId="15" r:id="rId8"/>
    <sheet name="2003-04" sheetId="14" r:id="rId9"/>
    <sheet name="2002-03" sheetId="13" r:id="rId10"/>
    <sheet name="2001-02" sheetId="12" r:id="rId11"/>
    <sheet name="2000-01" sheetId="10" r:id="rId12"/>
    <sheet name="1999-00" sheetId="9" r:id="rId13"/>
    <sheet name="1998-99" sheetId="8" r:id="rId14"/>
    <sheet name="1997-98" sheetId="7" r:id="rId15"/>
    <sheet name="1995-96" sheetId="4" r:id="rId16"/>
  </sheets>
  <calcPr calcId="145621" calcMode="manual"/>
</workbook>
</file>

<file path=xl/calcChain.xml><?xml version="1.0" encoding="utf-8"?>
<calcChain xmlns="http://schemas.openxmlformats.org/spreadsheetml/2006/main">
  <c r="L6" i="20" l="1"/>
  <c r="L7" i="20"/>
  <c r="L8" i="20"/>
  <c r="L9" i="20"/>
  <c r="E9" i="20" s="1"/>
  <c r="L10" i="20"/>
  <c r="L11" i="20"/>
  <c r="L12" i="20"/>
  <c r="K12" i="20" s="1"/>
  <c r="L13" i="20"/>
  <c r="K13" i="20" s="1"/>
  <c r="L14" i="20"/>
  <c r="K14" i="20" s="1"/>
  <c r="L15" i="20"/>
  <c r="K15" i="20" s="1"/>
  <c r="L16" i="20"/>
  <c r="C16" i="20" s="1"/>
  <c r="L17" i="20"/>
  <c r="K17" i="20" s="1"/>
  <c r="L18" i="20"/>
  <c r="G18" i="20" s="1"/>
  <c r="L19" i="20"/>
  <c r="I19" i="20" s="1"/>
  <c r="L20" i="20"/>
  <c r="L21" i="20"/>
  <c r="L22" i="20"/>
  <c r="L23" i="20"/>
  <c r="L24" i="20"/>
  <c r="E24" i="20" s="1"/>
  <c r="L25" i="20"/>
  <c r="L26" i="20"/>
  <c r="K26" i="20" s="1"/>
  <c r="L27" i="20"/>
  <c r="I27" i="20" s="1"/>
  <c r="L28" i="20"/>
  <c r="K28" i="20" s="1"/>
  <c r="L29" i="20"/>
  <c r="K29" i="20" s="1"/>
  <c r="L30" i="20"/>
  <c r="K30" i="20" s="1"/>
  <c r="L31" i="20"/>
  <c r="I31" i="20" s="1"/>
  <c r="L32" i="20"/>
  <c r="C32" i="20" s="1"/>
  <c r="L33" i="20"/>
  <c r="K33" i="20" s="1"/>
  <c r="L34" i="20"/>
  <c r="G34" i="20" s="1"/>
  <c r="L35" i="20"/>
  <c r="C35" i="20" s="1"/>
  <c r="L36" i="20"/>
  <c r="K36" i="20" s="1"/>
  <c r="L37" i="20"/>
  <c r="G37" i="20" s="1"/>
  <c r="L38" i="20"/>
  <c r="L39" i="20"/>
  <c r="G39" i="20" s="1"/>
  <c r="L40" i="20"/>
  <c r="L41" i="20"/>
  <c r="L42" i="20"/>
  <c r="C42" i="20" s="1"/>
  <c r="L43" i="20"/>
  <c r="I43" i="20" s="1"/>
  <c r="L44" i="20"/>
  <c r="L45" i="20"/>
  <c r="K45" i="20" s="1"/>
  <c r="L46" i="20"/>
  <c r="K46" i="20" s="1"/>
  <c r="L47" i="20"/>
  <c r="I47" i="20" s="1"/>
  <c r="L48" i="20"/>
  <c r="C48" i="20" s="1"/>
  <c r="L49" i="20"/>
  <c r="K49" i="20" s="1"/>
  <c r="L50" i="20"/>
  <c r="G50" i="20" s="1"/>
  <c r="L51" i="20"/>
  <c r="L52" i="20"/>
  <c r="L53" i="20"/>
  <c r="E53" i="20" s="1"/>
  <c r="L54" i="20"/>
  <c r="L66" i="20"/>
  <c r="L65" i="20"/>
  <c r="L64" i="20"/>
  <c r="L63" i="20"/>
  <c r="L62" i="20"/>
  <c r="L61" i="20"/>
  <c r="L60" i="20"/>
  <c r="L59" i="20"/>
  <c r="J67" i="19"/>
  <c r="H67" i="19"/>
  <c r="F67" i="19"/>
  <c r="D67" i="19"/>
  <c r="B67" i="19"/>
  <c r="L66" i="19"/>
  <c r="C66" i="19" s="1"/>
  <c r="L65" i="19"/>
  <c r="K65" i="19" s="1"/>
  <c r="I65" i="19"/>
  <c r="G65" i="19"/>
  <c r="E65" i="19"/>
  <c r="C65" i="19"/>
  <c r="L64" i="19"/>
  <c r="I64" i="19" s="1"/>
  <c r="L63" i="19"/>
  <c r="G63" i="19" s="1"/>
  <c r="L62" i="19"/>
  <c r="K62" i="19" s="1"/>
  <c r="L61" i="19"/>
  <c r="E61" i="19" s="1"/>
  <c r="G61" i="19"/>
  <c r="L60" i="19"/>
  <c r="K60" i="19" s="1"/>
  <c r="L59" i="19"/>
  <c r="E59" i="19" s="1"/>
  <c r="J55" i="19"/>
  <c r="H55" i="19"/>
  <c r="F55" i="19"/>
  <c r="D55" i="19"/>
  <c r="B55" i="19"/>
  <c r="L54" i="19"/>
  <c r="K54" i="19" s="1"/>
  <c r="I54" i="19"/>
  <c r="L53" i="19"/>
  <c r="E53" i="19" s="1"/>
  <c r="L52" i="19"/>
  <c r="K52" i="19" s="1"/>
  <c r="L51" i="19"/>
  <c r="K51" i="19" s="1"/>
  <c r="G51" i="19"/>
  <c r="E51" i="19"/>
  <c r="C51" i="19"/>
  <c r="L50" i="19"/>
  <c r="I50" i="19" s="1"/>
  <c r="L49" i="19"/>
  <c r="I49" i="19" s="1"/>
  <c r="L48" i="19"/>
  <c r="E48" i="19" s="1"/>
  <c r="K48" i="19"/>
  <c r="I48" i="19"/>
  <c r="L47" i="19"/>
  <c r="I47" i="19" s="1"/>
  <c r="K47" i="19"/>
  <c r="L46" i="19"/>
  <c r="K46" i="19" s="1"/>
  <c r="L45" i="19"/>
  <c r="E45" i="19" s="1"/>
  <c r="L44" i="19"/>
  <c r="K44" i="19" s="1"/>
  <c r="G44" i="19"/>
  <c r="E44" i="19"/>
  <c r="L43" i="19"/>
  <c r="K43" i="19" s="1"/>
  <c r="G43" i="19"/>
  <c r="L42" i="19"/>
  <c r="I42" i="19" s="1"/>
  <c r="K42" i="19"/>
  <c r="L41" i="19"/>
  <c r="I41" i="19" s="1"/>
  <c r="L40" i="19"/>
  <c r="E40" i="19" s="1"/>
  <c r="L39" i="19"/>
  <c r="C39" i="19" s="1"/>
  <c r="L38" i="19"/>
  <c r="K38" i="19" s="1"/>
  <c r="L37" i="19"/>
  <c r="E37" i="19" s="1"/>
  <c r="L36" i="19"/>
  <c r="K36" i="19" s="1"/>
  <c r="E36" i="19"/>
  <c r="L35" i="19"/>
  <c r="K35" i="19" s="1"/>
  <c r="L34" i="19"/>
  <c r="I34" i="19" s="1"/>
  <c r="L33" i="19"/>
  <c r="I33" i="19" s="1"/>
  <c r="K33" i="19"/>
  <c r="L32" i="19"/>
  <c r="E32" i="19" s="1"/>
  <c r="K32" i="19"/>
  <c r="L31" i="19"/>
  <c r="G31" i="19" s="1"/>
  <c r="L30" i="19"/>
  <c r="K30" i="19" s="1"/>
  <c r="L29" i="19"/>
  <c r="E29" i="19" s="1"/>
  <c r="L28" i="19"/>
  <c r="K28" i="19" s="1"/>
  <c r="E28" i="19"/>
  <c r="C28" i="19"/>
  <c r="L27" i="19"/>
  <c r="K27" i="19" s="1"/>
  <c r="L26" i="19"/>
  <c r="I26" i="19" s="1"/>
  <c r="L25" i="19"/>
  <c r="K25" i="19" s="1"/>
  <c r="E25" i="19"/>
  <c r="C25" i="19"/>
  <c r="L24" i="19"/>
  <c r="E24" i="19" s="1"/>
  <c r="L23" i="19"/>
  <c r="I23" i="19" s="1"/>
  <c r="L22" i="19"/>
  <c r="K22" i="19" s="1"/>
  <c r="G22" i="19"/>
  <c r="L21" i="19"/>
  <c r="E21" i="19" s="1"/>
  <c r="L20" i="19"/>
  <c r="K20" i="19" s="1"/>
  <c r="L19" i="19"/>
  <c r="K19" i="19" s="1"/>
  <c r="L18" i="19"/>
  <c r="I18" i="19" s="1"/>
  <c r="K18" i="19"/>
  <c r="L17" i="19"/>
  <c r="K17" i="19" s="1"/>
  <c r="C17" i="19"/>
  <c r="L16" i="19"/>
  <c r="E16" i="19" s="1"/>
  <c r="K16" i="19"/>
  <c r="G16" i="19"/>
  <c r="L15" i="19"/>
  <c r="K15" i="19" s="1"/>
  <c r="L14" i="19"/>
  <c r="K14" i="19" s="1"/>
  <c r="L13" i="19"/>
  <c r="E13" i="19" s="1"/>
  <c r="L12" i="19"/>
  <c r="K12" i="19" s="1"/>
  <c r="I12" i="19"/>
  <c r="E12" i="19"/>
  <c r="L11" i="19"/>
  <c r="K11" i="19" s="1"/>
  <c r="L10" i="19"/>
  <c r="I10" i="19" s="1"/>
  <c r="L9" i="19"/>
  <c r="K9" i="19" s="1"/>
  <c r="L8" i="19"/>
  <c r="E8" i="19" s="1"/>
  <c r="L7" i="19"/>
  <c r="E7" i="19" s="1"/>
  <c r="L6" i="19"/>
  <c r="K6" i="19" s="1"/>
  <c r="C6" i="19"/>
  <c r="L6" i="18"/>
  <c r="L7" i="18"/>
  <c r="L8" i="18"/>
  <c r="L9" i="18"/>
  <c r="K9" i="18" s="1"/>
  <c r="L10" i="18"/>
  <c r="C10" i="18" s="1"/>
  <c r="L11" i="18"/>
  <c r="K11" i="18" s="1"/>
  <c r="L12" i="18"/>
  <c r="L13" i="18"/>
  <c r="E13" i="18" s="1"/>
  <c r="L14" i="18"/>
  <c r="I14" i="18" s="1"/>
  <c r="L15" i="18"/>
  <c r="I15" i="18" s="1"/>
  <c r="L16" i="18"/>
  <c r="I16" i="18" s="1"/>
  <c r="L17" i="18"/>
  <c r="K17" i="18" s="1"/>
  <c r="L18" i="18"/>
  <c r="C18" i="18" s="1"/>
  <c r="L19" i="18"/>
  <c r="K19" i="18" s="1"/>
  <c r="L20" i="18"/>
  <c r="C20" i="18" s="1"/>
  <c r="L21" i="18"/>
  <c r="K21" i="18" s="1"/>
  <c r="L22" i="18"/>
  <c r="L23" i="18"/>
  <c r="C23" i="18" s="1"/>
  <c r="L24" i="18"/>
  <c r="L25" i="18"/>
  <c r="L26" i="18"/>
  <c r="C26" i="18" s="1"/>
  <c r="L27" i="18"/>
  <c r="C27" i="18" s="1"/>
  <c r="L28" i="18"/>
  <c r="C28" i="18" s="1"/>
  <c r="L29" i="18"/>
  <c r="E29" i="18" s="1"/>
  <c r="L30" i="18"/>
  <c r="C30" i="18" s="1"/>
  <c r="L31" i="18"/>
  <c r="I31" i="18" s="1"/>
  <c r="L32" i="18"/>
  <c r="K32" i="18" s="1"/>
  <c r="L33" i="18"/>
  <c r="K33" i="18" s="1"/>
  <c r="L34" i="18"/>
  <c r="K34" i="18" s="1"/>
  <c r="L35" i="18"/>
  <c r="K35" i="18" s="1"/>
  <c r="L36" i="18"/>
  <c r="I36" i="18" s="1"/>
  <c r="L37" i="18"/>
  <c r="E37" i="18" s="1"/>
  <c r="L38" i="18"/>
  <c r="L39" i="18"/>
  <c r="L40" i="18"/>
  <c r="K40" i="18" s="1"/>
  <c r="L41" i="18"/>
  <c r="I41" i="18" s="1"/>
  <c r="L42" i="18"/>
  <c r="L43" i="18"/>
  <c r="K43" i="18" s="1"/>
  <c r="L44" i="18"/>
  <c r="C44" i="18" s="1"/>
  <c r="L45" i="18"/>
  <c r="E45" i="18" s="1"/>
  <c r="L46" i="18"/>
  <c r="G46" i="18" s="1"/>
  <c r="L47" i="18"/>
  <c r="I47" i="18" s="1"/>
  <c r="L48" i="18"/>
  <c r="K48" i="18" s="1"/>
  <c r="L49" i="18"/>
  <c r="K49" i="18" s="1"/>
  <c r="L50" i="18"/>
  <c r="G50" i="18" s="1"/>
  <c r="L51" i="18"/>
  <c r="G51" i="18" s="1"/>
  <c r="L52" i="18"/>
  <c r="G52" i="18" s="1"/>
  <c r="L53" i="18"/>
  <c r="G53" i="18" s="1"/>
  <c r="L54" i="18"/>
  <c r="L59" i="18"/>
  <c r="L60" i="18"/>
  <c r="I60" i="18" s="1"/>
  <c r="L61" i="18"/>
  <c r="L62" i="18"/>
  <c r="L63" i="18"/>
  <c r="K63" i="18" s="1"/>
  <c r="L64" i="18"/>
  <c r="L66" i="18"/>
  <c r="L65" i="18"/>
  <c r="K65" i="18" s="1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I19" i="17" s="1"/>
  <c r="L20" i="17"/>
  <c r="C20" i="17" s="1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K35" i="17" s="1"/>
  <c r="L36" i="17"/>
  <c r="C36" i="17" s="1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K51" i="17" s="1"/>
  <c r="L52" i="17"/>
  <c r="C52" i="17" s="1"/>
  <c r="L53" i="17"/>
  <c r="L54" i="17"/>
  <c r="L55" i="17"/>
  <c r="L56" i="17"/>
  <c r="L57" i="17"/>
  <c r="L58" i="17"/>
  <c r="L6" i="17"/>
  <c r="L65" i="17"/>
  <c r="L66" i="17"/>
  <c r="L67" i="17"/>
  <c r="L68" i="17"/>
  <c r="L69" i="17"/>
  <c r="L70" i="17"/>
  <c r="G70" i="17" s="1"/>
  <c r="L63" i="17"/>
  <c r="L64" i="17"/>
  <c r="N73" i="16"/>
  <c r="N61" i="16"/>
  <c r="N70" i="15"/>
  <c r="N69" i="14"/>
  <c r="N57" i="14"/>
  <c r="N72" i="13"/>
  <c r="N60" i="13"/>
  <c r="N67" i="10"/>
  <c r="L67" i="22"/>
  <c r="M67" i="22" s="1"/>
  <c r="J67" i="22"/>
  <c r="K67" i="22" s="1"/>
  <c r="H67" i="22"/>
  <c r="I67" i="22" s="1"/>
  <c r="F67" i="22"/>
  <c r="G67" i="22" s="1"/>
  <c r="D67" i="22"/>
  <c r="E67" i="22" s="1"/>
  <c r="B67" i="22"/>
  <c r="C67" i="22" s="1"/>
  <c r="N66" i="22"/>
  <c r="G66" i="22" s="1"/>
  <c r="M66" i="22"/>
  <c r="K66" i="22"/>
  <c r="I66" i="22"/>
  <c r="N65" i="22"/>
  <c r="M65" i="22" s="1"/>
  <c r="K65" i="22"/>
  <c r="I65" i="22"/>
  <c r="G65" i="22"/>
  <c r="E65" i="22"/>
  <c r="C65" i="22"/>
  <c r="N64" i="22"/>
  <c r="C64" i="22" s="1"/>
  <c r="M64" i="22"/>
  <c r="K64" i="22"/>
  <c r="I64" i="22"/>
  <c r="G64" i="22"/>
  <c r="E64" i="22"/>
  <c r="N63" i="22"/>
  <c r="M63" i="22"/>
  <c r="K63" i="22"/>
  <c r="I63" i="22"/>
  <c r="G63" i="22"/>
  <c r="E63" i="22"/>
  <c r="C63" i="22"/>
  <c r="N62" i="22"/>
  <c r="M62" i="22" s="1"/>
  <c r="I62" i="22"/>
  <c r="G62" i="22"/>
  <c r="E62" i="22"/>
  <c r="C62" i="22"/>
  <c r="N61" i="22"/>
  <c r="M61" i="22" s="1"/>
  <c r="N60" i="22"/>
  <c r="M60" i="22"/>
  <c r="K60" i="22"/>
  <c r="I60" i="22"/>
  <c r="G60" i="22"/>
  <c r="E60" i="22"/>
  <c r="C60" i="22"/>
  <c r="N59" i="22"/>
  <c r="I59" i="22" s="1"/>
  <c r="M59" i="22"/>
  <c r="K59" i="22"/>
  <c r="L55" i="22"/>
  <c r="M55" i="22" s="1"/>
  <c r="J55" i="22"/>
  <c r="K55" i="22" s="1"/>
  <c r="H55" i="22"/>
  <c r="I55" i="22" s="1"/>
  <c r="F55" i="22"/>
  <c r="G55" i="22" s="1"/>
  <c r="D55" i="22"/>
  <c r="E55" i="22" s="1"/>
  <c r="B55" i="22"/>
  <c r="C55" i="22" s="1"/>
  <c r="N54" i="22"/>
  <c r="M54" i="22"/>
  <c r="K54" i="22"/>
  <c r="I54" i="22"/>
  <c r="G54" i="22"/>
  <c r="E54" i="22"/>
  <c r="C54" i="22"/>
  <c r="N53" i="22"/>
  <c r="M53" i="22"/>
  <c r="K53" i="22"/>
  <c r="I53" i="22"/>
  <c r="G53" i="22"/>
  <c r="E53" i="22"/>
  <c r="C53" i="22"/>
  <c r="N52" i="22"/>
  <c r="K52" i="22" s="1"/>
  <c r="M52" i="22"/>
  <c r="N51" i="22"/>
  <c r="M51" i="22" s="1"/>
  <c r="K51" i="22"/>
  <c r="I51" i="22"/>
  <c r="G51" i="22"/>
  <c r="E51" i="22"/>
  <c r="C51" i="22"/>
  <c r="N50" i="22"/>
  <c r="G50" i="22" s="1"/>
  <c r="M50" i="22"/>
  <c r="K50" i="22"/>
  <c r="I50" i="22"/>
  <c r="N49" i="22"/>
  <c r="M49" i="22" s="1"/>
  <c r="K49" i="22"/>
  <c r="I49" i="22"/>
  <c r="G49" i="22"/>
  <c r="E49" i="22"/>
  <c r="C49" i="22"/>
  <c r="N48" i="22"/>
  <c r="C48" i="22" s="1"/>
  <c r="M48" i="22"/>
  <c r="K48" i="22"/>
  <c r="I48" i="22"/>
  <c r="G48" i="22"/>
  <c r="E48" i="22"/>
  <c r="N47" i="22"/>
  <c r="M47" i="22"/>
  <c r="K47" i="22"/>
  <c r="I47" i="22"/>
  <c r="G47" i="22"/>
  <c r="E47" i="22"/>
  <c r="C47" i="22"/>
  <c r="N46" i="22"/>
  <c r="M46" i="22" s="1"/>
  <c r="I46" i="22"/>
  <c r="G46" i="22"/>
  <c r="E46" i="22"/>
  <c r="C46" i="22"/>
  <c r="N45" i="22"/>
  <c r="M45" i="22" s="1"/>
  <c r="N44" i="22"/>
  <c r="M44" i="22"/>
  <c r="K44" i="22"/>
  <c r="I44" i="22"/>
  <c r="G44" i="22"/>
  <c r="E44" i="22"/>
  <c r="C44" i="22"/>
  <c r="N43" i="22"/>
  <c r="I43" i="22" s="1"/>
  <c r="M43" i="22"/>
  <c r="K43" i="22"/>
  <c r="N42" i="22"/>
  <c r="M42" i="22"/>
  <c r="K42" i="22"/>
  <c r="I42" i="22"/>
  <c r="G42" i="22"/>
  <c r="E42" i="22"/>
  <c r="C42" i="22"/>
  <c r="N41" i="22"/>
  <c r="E41" i="22" s="1"/>
  <c r="K41" i="22"/>
  <c r="I41" i="22"/>
  <c r="G41" i="22"/>
  <c r="N40" i="22"/>
  <c r="M40" i="22"/>
  <c r="K40" i="22"/>
  <c r="I40" i="22"/>
  <c r="G40" i="22"/>
  <c r="E40" i="22"/>
  <c r="C40" i="22"/>
  <c r="N39" i="22"/>
  <c r="M39" i="22" s="1"/>
  <c r="K39" i="22"/>
  <c r="I39" i="22"/>
  <c r="G39" i="22"/>
  <c r="E39" i="22"/>
  <c r="C39" i="22"/>
  <c r="N38" i="22"/>
  <c r="M38" i="22"/>
  <c r="K38" i="22"/>
  <c r="I38" i="22"/>
  <c r="G38" i="22"/>
  <c r="E38" i="22"/>
  <c r="C38" i="22"/>
  <c r="N37" i="22"/>
  <c r="M37" i="22"/>
  <c r="K37" i="22"/>
  <c r="I37" i="22"/>
  <c r="G37" i="22"/>
  <c r="E37" i="22"/>
  <c r="C37" i="22"/>
  <c r="N36" i="22"/>
  <c r="K36" i="22" s="1"/>
  <c r="M36" i="22"/>
  <c r="N35" i="22"/>
  <c r="M35" i="22" s="1"/>
  <c r="K35" i="22"/>
  <c r="I35" i="22"/>
  <c r="G35" i="22"/>
  <c r="E35" i="22"/>
  <c r="C35" i="22"/>
  <c r="N34" i="22"/>
  <c r="G34" i="22" s="1"/>
  <c r="M34" i="22"/>
  <c r="K34" i="22"/>
  <c r="I34" i="22"/>
  <c r="N33" i="22"/>
  <c r="M33" i="22" s="1"/>
  <c r="K33" i="22"/>
  <c r="I33" i="22"/>
  <c r="G33" i="22"/>
  <c r="E33" i="22"/>
  <c r="C33" i="22"/>
  <c r="N32" i="22"/>
  <c r="C32" i="22" s="1"/>
  <c r="M32" i="22"/>
  <c r="K32" i="22"/>
  <c r="I32" i="22"/>
  <c r="G32" i="22"/>
  <c r="E32" i="22"/>
  <c r="N31" i="22"/>
  <c r="M31" i="22"/>
  <c r="K31" i="22"/>
  <c r="I31" i="22"/>
  <c r="G31" i="22"/>
  <c r="E31" i="22"/>
  <c r="C31" i="22"/>
  <c r="N30" i="22"/>
  <c r="M30" i="22" s="1"/>
  <c r="I30" i="22"/>
  <c r="G30" i="22"/>
  <c r="E30" i="22"/>
  <c r="C30" i="22"/>
  <c r="N29" i="22"/>
  <c r="M29" i="22" s="1"/>
  <c r="N28" i="22"/>
  <c r="M28" i="22"/>
  <c r="K28" i="22"/>
  <c r="I28" i="22"/>
  <c r="G28" i="22"/>
  <c r="E28" i="22"/>
  <c r="C28" i="22"/>
  <c r="N27" i="22"/>
  <c r="I27" i="22" s="1"/>
  <c r="M27" i="22"/>
  <c r="K27" i="22"/>
  <c r="N26" i="22"/>
  <c r="M26" i="22"/>
  <c r="K26" i="22"/>
  <c r="I26" i="22"/>
  <c r="G26" i="22"/>
  <c r="E26" i="22"/>
  <c r="C26" i="22"/>
  <c r="N25" i="22"/>
  <c r="E25" i="22" s="1"/>
  <c r="K25" i="22"/>
  <c r="I25" i="22"/>
  <c r="G25" i="22"/>
  <c r="N24" i="22"/>
  <c r="M24" i="22"/>
  <c r="K24" i="22"/>
  <c r="I24" i="22"/>
  <c r="G24" i="22"/>
  <c r="E24" i="22"/>
  <c r="C24" i="22"/>
  <c r="N23" i="22"/>
  <c r="M23" i="22" s="1"/>
  <c r="K23" i="22"/>
  <c r="I23" i="22"/>
  <c r="G23" i="22"/>
  <c r="E23" i="22"/>
  <c r="C23" i="22"/>
  <c r="N22" i="22"/>
  <c r="M22" i="22"/>
  <c r="K22" i="22"/>
  <c r="I22" i="22"/>
  <c r="G22" i="22"/>
  <c r="E22" i="22"/>
  <c r="C22" i="22"/>
  <c r="N21" i="22"/>
  <c r="M21" i="22"/>
  <c r="K21" i="22"/>
  <c r="I21" i="22"/>
  <c r="G21" i="22"/>
  <c r="E21" i="22"/>
  <c r="C21" i="22"/>
  <c r="N20" i="22"/>
  <c r="K20" i="22" s="1"/>
  <c r="M20" i="22"/>
  <c r="N19" i="22"/>
  <c r="M19" i="22" s="1"/>
  <c r="K19" i="22"/>
  <c r="I19" i="22"/>
  <c r="G19" i="22"/>
  <c r="E19" i="22"/>
  <c r="C19" i="22"/>
  <c r="N18" i="22"/>
  <c r="G18" i="22" s="1"/>
  <c r="M18" i="22"/>
  <c r="K18" i="22"/>
  <c r="I18" i="22"/>
  <c r="N17" i="22"/>
  <c r="M17" i="22" s="1"/>
  <c r="K17" i="22"/>
  <c r="I17" i="22"/>
  <c r="G17" i="22"/>
  <c r="E17" i="22"/>
  <c r="C17" i="22"/>
  <c r="N16" i="22"/>
  <c r="C16" i="22" s="1"/>
  <c r="M16" i="22"/>
  <c r="K16" i="22"/>
  <c r="I16" i="22"/>
  <c r="G16" i="22"/>
  <c r="E16" i="22"/>
  <c r="N15" i="22"/>
  <c r="M15" i="22"/>
  <c r="K15" i="22"/>
  <c r="I15" i="22"/>
  <c r="G15" i="22"/>
  <c r="E15" i="22"/>
  <c r="C15" i="22"/>
  <c r="N14" i="22"/>
  <c r="M14" i="22" s="1"/>
  <c r="I14" i="22"/>
  <c r="G14" i="22"/>
  <c r="E14" i="22"/>
  <c r="C14" i="22"/>
  <c r="N13" i="22"/>
  <c r="M13" i="22" s="1"/>
  <c r="N12" i="22"/>
  <c r="M12" i="22"/>
  <c r="K12" i="22"/>
  <c r="I12" i="22"/>
  <c r="G12" i="22"/>
  <c r="E12" i="22"/>
  <c r="C12" i="22"/>
  <c r="N11" i="22"/>
  <c r="I11" i="22" s="1"/>
  <c r="M11" i="22"/>
  <c r="K11" i="22"/>
  <c r="N10" i="22"/>
  <c r="M10" i="22"/>
  <c r="K10" i="22"/>
  <c r="I10" i="22"/>
  <c r="G10" i="22"/>
  <c r="E10" i="22"/>
  <c r="C10" i="22"/>
  <c r="N9" i="22"/>
  <c r="E9" i="22" s="1"/>
  <c r="K9" i="22"/>
  <c r="I9" i="22"/>
  <c r="G9" i="22"/>
  <c r="N8" i="22"/>
  <c r="M8" i="22"/>
  <c r="K8" i="22"/>
  <c r="I8" i="22"/>
  <c r="G8" i="22"/>
  <c r="E8" i="22"/>
  <c r="C8" i="22"/>
  <c r="N7" i="22"/>
  <c r="M7" i="22" s="1"/>
  <c r="K7" i="22"/>
  <c r="I7" i="22"/>
  <c r="G7" i="22"/>
  <c r="E7" i="22"/>
  <c r="C7" i="22"/>
  <c r="N6" i="22"/>
  <c r="M6" i="22"/>
  <c r="K6" i="22"/>
  <c r="I6" i="22"/>
  <c r="G6" i="22"/>
  <c r="E6" i="22"/>
  <c r="C6" i="22"/>
  <c r="A3" i="22"/>
  <c r="L67" i="21"/>
  <c r="M67" i="21" s="1"/>
  <c r="J67" i="21"/>
  <c r="K67" i="21" s="1"/>
  <c r="H67" i="21"/>
  <c r="I67" i="21" s="1"/>
  <c r="F67" i="21"/>
  <c r="G67" i="21" s="1"/>
  <c r="D67" i="21"/>
  <c r="E67" i="21" s="1"/>
  <c r="B67" i="21"/>
  <c r="C67" i="21" s="1"/>
  <c r="N66" i="21"/>
  <c r="G66" i="21" s="1"/>
  <c r="K66" i="21"/>
  <c r="I66" i="21"/>
  <c r="N65" i="21"/>
  <c r="M65" i="21" s="1"/>
  <c r="K65" i="21"/>
  <c r="G65" i="21"/>
  <c r="N64" i="21"/>
  <c r="C64" i="21" s="1"/>
  <c r="G64" i="21"/>
  <c r="E64" i="21"/>
  <c r="N63" i="21"/>
  <c r="M63" i="21" s="1"/>
  <c r="K63" i="21"/>
  <c r="G63" i="21"/>
  <c r="E63" i="21"/>
  <c r="C63" i="21"/>
  <c r="N62" i="21"/>
  <c r="G62" i="21" s="1"/>
  <c r="M62" i="21"/>
  <c r="I62" i="21"/>
  <c r="N61" i="21"/>
  <c r="M61" i="21" s="1"/>
  <c r="N60" i="21"/>
  <c r="M60" i="21"/>
  <c r="K60" i="21"/>
  <c r="I60" i="21"/>
  <c r="G60" i="21"/>
  <c r="E60" i="21"/>
  <c r="C60" i="21"/>
  <c r="N59" i="21"/>
  <c r="I59" i="21" s="1"/>
  <c r="M59" i="21"/>
  <c r="K59" i="21"/>
  <c r="L55" i="21"/>
  <c r="M55" i="21" s="1"/>
  <c r="J55" i="21"/>
  <c r="K55" i="21" s="1"/>
  <c r="H55" i="21"/>
  <c r="I55" i="21" s="1"/>
  <c r="F55" i="21"/>
  <c r="G55" i="21" s="1"/>
  <c r="D55" i="21"/>
  <c r="E55" i="21" s="1"/>
  <c r="B55" i="21"/>
  <c r="C55" i="21" s="1"/>
  <c r="N54" i="21"/>
  <c r="K54" i="21" s="1"/>
  <c r="M54" i="21"/>
  <c r="I54" i="21"/>
  <c r="G54" i="21"/>
  <c r="E54" i="21"/>
  <c r="C54" i="21"/>
  <c r="N53" i="21"/>
  <c r="M53" i="21" s="1"/>
  <c r="K53" i="21"/>
  <c r="I53" i="21"/>
  <c r="G53" i="21"/>
  <c r="E53" i="21"/>
  <c r="C53" i="21"/>
  <c r="N52" i="21"/>
  <c r="K52" i="21" s="1"/>
  <c r="N51" i="21"/>
  <c r="M51" i="21" s="1"/>
  <c r="I51" i="21"/>
  <c r="G51" i="21"/>
  <c r="E51" i="21"/>
  <c r="C51" i="21"/>
  <c r="N50" i="21"/>
  <c r="G50" i="21" s="1"/>
  <c r="M50" i="21"/>
  <c r="K50" i="21"/>
  <c r="I50" i="21"/>
  <c r="N49" i="21"/>
  <c r="M49" i="21" s="1"/>
  <c r="I49" i="21"/>
  <c r="N48" i="21"/>
  <c r="C48" i="21" s="1"/>
  <c r="K48" i="21"/>
  <c r="I48" i="21"/>
  <c r="G48" i="21"/>
  <c r="E48" i="21"/>
  <c r="N47" i="21"/>
  <c r="M47" i="21" s="1"/>
  <c r="K47" i="21"/>
  <c r="G47" i="21"/>
  <c r="E47" i="21"/>
  <c r="C47" i="21"/>
  <c r="N46" i="21"/>
  <c r="K46" i="21" s="1"/>
  <c r="M46" i="21"/>
  <c r="N45" i="21"/>
  <c r="M45" i="21" s="1"/>
  <c r="N44" i="21"/>
  <c r="M44" i="21"/>
  <c r="K44" i="21"/>
  <c r="I44" i="21"/>
  <c r="G44" i="21"/>
  <c r="E44" i="21"/>
  <c r="C44" i="21"/>
  <c r="N43" i="21"/>
  <c r="I43" i="21" s="1"/>
  <c r="K43" i="21"/>
  <c r="N42" i="21"/>
  <c r="M42" i="21" s="1"/>
  <c r="K42" i="21"/>
  <c r="I42" i="21"/>
  <c r="E42" i="21"/>
  <c r="C42" i="21"/>
  <c r="N41" i="21"/>
  <c r="E41" i="21" s="1"/>
  <c r="I41" i="21"/>
  <c r="G41" i="21"/>
  <c r="N40" i="21"/>
  <c r="C40" i="21" s="1"/>
  <c r="M40" i="21"/>
  <c r="K40" i="21"/>
  <c r="I40" i="21"/>
  <c r="G40" i="21"/>
  <c r="E40" i="21"/>
  <c r="N39" i="21"/>
  <c r="M39" i="21"/>
  <c r="K39" i="21"/>
  <c r="I39" i="21"/>
  <c r="G39" i="21"/>
  <c r="E39" i="21"/>
  <c r="C39" i="21"/>
  <c r="N38" i="21"/>
  <c r="M38" i="21"/>
  <c r="K38" i="21"/>
  <c r="I38" i="21"/>
  <c r="G38" i="21"/>
  <c r="E38" i="21"/>
  <c r="C38" i="21"/>
  <c r="N37" i="21"/>
  <c r="M37" i="21" s="1"/>
  <c r="N36" i="21"/>
  <c r="K36" i="21" s="1"/>
  <c r="M36" i="21"/>
  <c r="N35" i="21"/>
  <c r="M35" i="21"/>
  <c r="K35" i="21"/>
  <c r="I35" i="21"/>
  <c r="G35" i="21"/>
  <c r="E35" i="21"/>
  <c r="C35" i="21"/>
  <c r="N34" i="21"/>
  <c r="G34" i="21" s="1"/>
  <c r="M34" i="21"/>
  <c r="N33" i="21"/>
  <c r="M33" i="21" s="1"/>
  <c r="G33" i="21"/>
  <c r="E33" i="21"/>
  <c r="C33" i="21"/>
  <c r="N32" i="21"/>
  <c r="C32" i="21" s="1"/>
  <c r="M32" i="21"/>
  <c r="K32" i="21"/>
  <c r="I32" i="21"/>
  <c r="G32" i="21"/>
  <c r="E32" i="21"/>
  <c r="N31" i="21"/>
  <c r="M31" i="21" s="1"/>
  <c r="K31" i="21"/>
  <c r="N30" i="21"/>
  <c r="M30" i="21" s="1"/>
  <c r="K30" i="21"/>
  <c r="I30" i="21"/>
  <c r="G30" i="21"/>
  <c r="E30" i="21"/>
  <c r="C30" i="21"/>
  <c r="N29" i="21"/>
  <c r="M29" i="21" s="1"/>
  <c r="N28" i="21"/>
  <c r="E28" i="21" s="1"/>
  <c r="M28" i="21"/>
  <c r="K28" i="21"/>
  <c r="I28" i="21"/>
  <c r="G28" i="21"/>
  <c r="N27" i="21"/>
  <c r="I27" i="21" s="1"/>
  <c r="N26" i="21"/>
  <c r="M26" i="21"/>
  <c r="K26" i="21"/>
  <c r="I26" i="21"/>
  <c r="G26" i="21"/>
  <c r="E26" i="21"/>
  <c r="C26" i="21"/>
  <c r="N25" i="21"/>
  <c r="E25" i="21" s="1"/>
  <c r="I25" i="21"/>
  <c r="N24" i="21"/>
  <c r="M24" i="21" s="1"/>
  <c r="N23" i="21"/>
  <c r="M23" i="21"/>
  <c r="K23" i="21"/>
  <c r="I23" i="21"/>
  <c r="G23" i="21"/>
  <c r="E23" i="21"/>
  <c r="C23" i="21"/>
  <c r="N22" i="21"/>
  <c r="I22" i="21" s="1"/>
  <c r="K22" i="21"/>
  <c r="N21" i="21"/>
  <c r="M21" i="21" s="1"/>
  <c r="I21" i="21"/>
  <c r="G21" i="21"/>
  <c r="E21" i="21"/>
  <c r="C21" i="21"/>
  <c r="N20" i="21"/>
  <c r="K20" i="21" s="1"/>
  <c r="M20" i="21"/>
  <c r="N19" i="21"/>
  <c r="E19" i="21" s="1"/>
  <c r="M19" i="21"/>
  <c r="K19" i="21"/>
  <c r="I19" i="21"/>
  <c r="G19" i="21"/>
  <c r="N18" i="21"/>
  <c r="G18" i="21" s="1"/>
  <c r="I18" i="21"/>
  <c r="N17" i="21"/>
  <c r="M17" i="21" s="1"/>
  <c r="K17" i="21"/>
  <c r="I17" i="21"/>
  <c r="G17" i="21"/>
  <c r="E17" i="21"/>
  <c r="C17" i="21"/>
  <c r="N16" i="21"/>
  <c r="C16" i="21" s="1"/>
  <c r="M16" i="21"/>
  <c r="I16" i="21"/>
  <c r="N15" i="21"/>
  <c r="M15" i="21" s="1"/>
  <c r="E15" i="21"/>
  <c r="C15" i="21"/>
  <c r="N14" i="21"/>
  <c r="M14" i="21" s="1"/>
  <c r="K14" i="21"/>
  <c r="I14" i="21"/>
  <c r="G14" i="21"/>
  <c r="E14" i="21"/>
  <c r="C14" i="21"/>
  <c r="N13" i="21"/>
  <c r="M13" i="21" s="1"/>
  <c r="N12" i="21"/>
  <c r="K12" i="21" s="1"/>
  <c r="M12" i="21"/>
  <c r="N11" i="21"/>
  <c r="I11" i="21" s="1"/>
  <c r="M11" i="21"/>
  <c r="K11" i="21"/>
  <c r="N10" i="21"/>
  <c r="M10" i="21"/>
  <c r="K10" i="21"/>
  <c r="I10" i="21"/>
  <c r="G10" i="21"/>
  <c r="E10" i="21"/>
  <c r="C10" i="21"/>
  <c r="N9" i="21"/>
  <c r="E9" i="21" s="1"/>
  <c r="N8" i="21"/>
  <c r="K8" i="21" s="1"/>
  <c r="G8" i="21"/>
  <c r="E8" i="21"/>
  <c r="C8" i="21"/>
  <c r="N7" i="21"/>
  <c r="M7" i="21"/>
  <c r="K7" i="21"/>
  <c r="I7" i="21"/>
  <c r="G7" i="21"/>
  <c r="E7" i="21"/>
  <c r="C7" i="21"/>
  <c r="N6" i="21"/>
  <c r="M6" i="21" s="1"/>
  <c r="A3" i="21"/>
  <c r="J67" i="20"/>
  <c r="H67" i="20"/>
  <c r="F67" i="20"/>
  <c r="D67" i="20"/>
  <c r="B67" i="20"/>
  <c r="G66" i="20"/>
  <c r="K65" i="20"/>
  <c r="C64" i="20"/>
  <c r="I63" i="20"/>
  <c r="K62" i="20"/>
  <c r="K61" i="20"/>
  <c r="I59" i="20"/>
  <c r="J55" i="20"/>
  <c r="H55" i="20"/>
  <c r="F55" i="20"/>
  <c r="D55" i="20"/>
  <c r="B55" i="20"/>
  <c r="G54" i="20"/>
  <c r="I44" i="20"/>
  <c r="E41" i="20"/>
  <c r="K40" i="20"/>
  <c r="K39" i="20"/>
  <c r="I39" i="20"/>
  <c r="E39" i="20"/>
  <c r="E38" i="20"/>
  <c r="I26" i="20"/>
  <c r="E25" i="20"/>
  <c r="G25" i="20"/>
  <c r="K24" i="20"/>
  <c r="K23" i="20"/>
  <c r="K22" i="20"/>
  <c r="I22" i="20"/>
  <c r="G22" i="20"/>
  <c r="E22" i="20"/>
  <c r="C22" i="20"/>
  <c r="I11" i="20"/>
  <c r="G10" i="20"/>
  <c r="K8" i="20"/>
  <c r="C8" i="20"/>
  <c r="C7" i="20"/>
  <c r="K6" i="20"/>
  <c r="E6" i="20"/>
  <c r="C6" i="20"/>
  <c r="J67" i="18"/>
  <c r="H67" i="18"/>
  <c r="F67" i="18"/>
  <c r="D67" i="18"/>
  <c r="B67" i="18"/>
  <c r="G66" i="18"/>
  <c r="C64" i="18"/>
  <c r="I62" i="18"/>
  <c r="K61" i="18"/>
  <c r="I59" i="18"/>
  <c r="J55" i="18"/>
  <c r="H55" i="18"/>
  <c r="F55" i="18"/>
  <c r="D55" i="18"/>
  <c r="B55" i="18"/>
  <c r="G54" i="18"/>
  <c r="K54" i="18"/>
  <c r="I54" i="18"/>
  <c r="E42" i="18"/>
  <c r="G42" i="18"/>
  <c r="K41" i="18"/>
  <c r="C39" i="18"/>
  <c r="E39" i="18"/>
  <c r="G38" i="18"/>
  <c r="K38" i="18"/>
  <c r="I38" i="18"/>
  <c r="K25" i="18"/>
  <c r="I25" i="18"/>
  <c r="K24" i="18"/>
  <c r="I23" i="18"/>
  <c r="K23" i="18"/>
  <c r="G23" i="18"/>
  <c r="E23" i="18"/>
  <c r="G22" i="18"/>
  <c r="K22" i="18"/>
  <c r="I22" i="18"/>
  <c r="I10" i="18"/>
  <c r="G10" i="18"/>
  <c r="E10" i="18"/>
  <c r="K8" i="18"/>
  <c r="K7" i="18"/>
  <c r="I7" i="18"/>
  <c r="G7" i="18"/>
  <c r="E7" i="18"/>
  <c r="C7" i="18"/>
  <c r="G6" i="18"/>
  <c r="K6" i="18"/>
  <c r="J71" i="17"/>
  <c r="H71" i="17"/>
  <c r="F71" i="17"/>
  <c r="D71" i="17"/>
  <c r="B71" i="17"/>
  <c r="K69" i="17"/>
  <c r="C68" i="17"/>
  <c r="K67" i="17"/>
  <c r="I66" i="17"/>
  <c r="K65" i="17"/>
  <c r="K64" i="17"/>
  <c r="I63" i="17"/>
  <c r="J59" i="17"/>
  <c r="H59" i="17"/>
  <c r="F59" i="17"/>
  <c r="D59" i="17"/>
  <c r="B59" i="17"/>
  <c r="I58" i="17"/>
  <c r="E57" i="17"/>
  <c r="K56" i="17"/>
  <c r="K55" i="17"/>
  <c r="G54" i="17"/>
  <c r="K53" i="17"/>
  <c r="K50" i="17"/>
  <c r="K49" i="17"/>
  <c r="K48" i="17"/>
  <c r="I47" i="17"/>
  <c r="K46" i="17"/>
  <c r="E45" i="17"/>
  <c r="E44" i="17"/>
  <c r="I43" i="17"/>
  <c r="K42" i="17"/>
  <c r="K41" i="17"/>
  <c r="K39" i="17"/>
  <c r="C39" i="17"/>
  <c r="G38" i="17"/>
  <c r="K37" i="17"/>
  <c r="E34" i="17"/>
  <c r="K33" i="17"/>
  <c r="I32" i="17"/>
  <c r="I31" i="17"/>
  <c r="G30" i="17"/>
  <c r="I30" i="17"/>
  <c r="E29" i="17"/>
  <c r="K28" i="17"/>
  <c r="K27" i="17"/>
  <c r="K26" i="17"/>
  <c r="K25" i="17"/>
  <c r="K23" i="17"/>
  <c r="G22" i="17"/>
  <c r="K21" i="17"/>
  <c r="E18" i="17"/>
  <c r="K17" i="17"/>
  <c r="K16" i="17"/>
  <c r="I15" i="17"/>
  <c r="G14" i="17"/>
  <c r="E13" i="17"/>
  <c r="K12" i="17"/>
  <c r="K11" i="17"/>
  <c r="K10" i="17"/>
  <c r="E9" i="17"/>
  <c r="K8" i="17"/>
  <c r="C7" i="17"/>
  <c r="G6" i="17"/>
  <c r="N21" i="16"/>
  <c r="M21" i="16" s="1"/>
  <c r="E21" i="16"/>
  <c r="C21" i="16"/>
  <c r="N20" i="16"/>
  <c r="G20" i="16" s="1"/>
  <c r="I20" i="16"/>
  <c r="L73" i="16"/>
  <c r="M73" i="16" s="1"/>
  <c r="J73" i="16"/>
  <c r="K73" i="16" s="1"/>
  <c r="H73" i="16"/>
  <c r="I73" i="16" s="1"/>
  <c r="F73" i="16"/>
  <c r="G73" i="16" s="1"/>
  <c r="D73" i="16"/>
  <c r="E73" i="16" s="1"/>
  <c r="B73" i="16"/>
  <c r="C73" i="16" s="1"/>
  <c r="N72" i="16"/>
  <c r="G72" i="16" s="1"/>
  <c r="I72" i="16"/>
  <c r="N71" i="16"/>
  <c r="M71" i="16" s="1"/>
  <c r="N70" i="16"/>
  <c r="C70" i="16" s="1"/>
  <c r="N69" i="16"/>
  <c r="M69" i="16" s="1"/>
  <c r="N68" i="16"/>
  <c r="G68" i="16" s="1"/>
  <c r="N67" i="16"/>
  <c r="M67" i="16" s="1"/>
  <c r="N66" i="16"/>
  <c r="C66" i="16" s="1"/>
  <c r="N65" i="16"/>
  <c r="I65" i="16" s="1"/>
  <c r="L61" i="16"/>
  <c r="M61" i="16" s="1"/>
  <c r="J61" i="16"/>
  <c r="K61" i="16" s="1"/>
  <c r="H61" i="16"/>
  <c r="I61" i="16" s="1"/>
  <c r="F61" i="16"/>
  <c r="G61" i="16" s="1"/>
  <c r="D61" i="16"/>
  <c r="E61" i="16" s="1"/>
  <c r="B61" i="16"/>
  <c r="C61" i="16" s="1"/>
  <c r="N60" i="16"/>
  <c r="M60" i="16" s="1"/>
  <c r="N59" i="16"/>
  <c r="M59" i="16" s="1"/>
  <c r="N58" i="16"/>
  <c r="K58" i="16" s="1"/>
  <c r="M58" i="16"/>
  <c r="N57" i="16"/>
  <c r="K57" i="16" s="1"/>
  <c r="N56" i="16"/>
  <c r="G56" i="16" s="1"/>
  <c r="N55" i="16"/>
  <c r="M55" i="16" s="1"/>
  <c r="G55" i="16"/>
  <c r="N54" i="16"/>
  <c r="C54" i="16" s="1"/>
  <c r="N53" i="16"/>
  <c r="E53" i="16" s="1"/>
  <c r="N52" i="16"/>
  <c r="C52" i="16" s="1"/>
  <c r="N51" i="16"/>
  <c r="M51" i="16" s="1"/>
  <c r="N50" i="16"/>
  <c r="I50" i="16" s="1"/>
  <c r="K50" i="16"/>
  <c r="N49" i="16"/>
  <c r="I49" i="16" s="1"/>
  <c r="N48" i="16"/>
  <c r="M48" i="16" s="1"/>
  <c r="N47" i="16"/>
  <c r="E47" i="16" s="1"/>
  <c r="N46" i="16"/>
  <c r="K46" i="16" s="1"/>
  <c r="G46" i="16"/>
  <c r="N45" i="16"/>
  <c r="I45" i="16" s="1"/>
  <c r="N44" i="16"/>
  <c r="E44" i="16" s="1"/>
  <c r="K44" i="16"/>
  <c r="N43" i="16"/>
  <c r="G43" i="16" s="1"/>
  <c r="N42" i="16"/>
  <c r="K42" i="16" s="1"/>
  <c r="N41" i="16"/>
  <c r="M41" i="16" s="1"/>
  <c r="N40" i="16"/>
  <c r="G40" i="16" s="1"/>
  <c r="N39" i="16"/>
  <c r="M39" i="16" s="1"/>
  <c r="N38" i="16"/>
  <c r="C38" i="16" s="1"/>
  <c r="N37" i="16"/>
  <c r="M37" i="16" s="1"/>
  <c r="N36" i="16"/>
  <c r="G36" i="16" s="1"/>
  <c r="N35" i="16"/>
  <c r="M35" i="16" s="1"/>
  <c r="N34" i="16"/>
  <c r="G34" i="16" s="1"/>
  <c r="K34" i="16"/>
  <c r="N33" i="16"/>
  <c r="I33" i="16" s="1"/>
  <c r="N32" i="16"/>
  <c r="I32" i="16" s="1"/>
  <c r="N31" i="16"/>
  <c r="E31" i="16" s="1"/>
  <c r="G31" i="16"/>
  <c r="N30" i="16"/>
  <c r="C30" i="16" s="1"/>
  <c r="N29" i="16"/>
  <c r="M29" i="16" s="1"/>
  <c r="N28" i="16"/>
  <c r="M28" i="16" s="1"/>
  <c r="N27" i="16"/>
  <c r="K27" i="16" s="1"/>
  <c r="M27" i="16"/>
  <c r="N26" i="16"/>
  <c r="K26" i="16" s="1"/>
  <c r="N25" i="16"/>
  <c r="M25" i="16" s="1"/>
  <c r="N24" i="16"/>
  <c r="G24" i="16" s="1"/>
  <c r="N23" i="16"/>
  <c r="M23" i="16" s="1"/>
  <c r="N22" i="16"/>
  <c r="C22" i="16" s="1"/>
  <c r="N19" i="16"/>
  <c r="I19" i="16" s="1"/>
  <c r="E19" i="16"/>
  <c r="N18" i="16"/>
  <c r="M18" i="16" s="1"/>
  <c r="N17" i="16"/>
  <c r="M17" i="16" s="1"/>
  <c r="N16" i="16"/>
  <c r="C16" i="16" s="1"/>
  <c r="N15" i="16"/>
  <c r="I15" i="16" s="1"/>
  <c r="N14" i="16"/>
  <c r="M14" i="16" s="1"/>
  <c r="I14" i="16"/>
  <c r="G14" i="16"/>
  <c r="E14" i="16"/>
  <c r="N13" i="16"/>
  <c r="E13" i="16" s="1"/>
  <c r="G13" i="16"/>
  <c r="N12" i="16"/>
  <c r="G12" i="16" s="1"/>
  <c r="N11" i="16"/>
  <c r="M11" i="16" s="1"/>
  <c r="N10" i="16"/>
  <c r="I10" i="16" s="1"/>
  <c r="K10" i="16"/>
  <c r="E10" i="16"/>
  <c r="N9" i="16"/>
  <c r="G9" i="16" s="1"/>
  <c r="I9" i="16"/>
  <c r="N8" i="16"/>
  <c r="K8" i="16" s="1"/>
  <c r="N7" i="16"/>
  <c r="M7" i="16" s="1"/>
  <c r="N6" i="16"/>
  <c r="G6" i="16" s="1"/>
  <c r="L70" i="15"/>
  <c r="M70" i="15" s="1"/>
  <c r="J70" i="15"/>
  <c r="K70" i="15" s="1"/>
  <c r="H70" i="15"/>
  <c r="I70" i="15" s="1"/>
  <c r="F70" i="15"/>
  <c r="G70" i="15" s="1"/>
  <c r="D70" i="15"/>
  <c r="E70" i="15" s="1"/>
  <c r="B70" i="15"/>
  <c r="C70" i="15" s="1"/>
  <c r="N69" i="15"/>
  <c r="G69" i="15" s="1"/>
  <c r="N68" i="15"/>
  <c r="M68" i="15" s="1"/>
  <c r="C68" i="15"/>
  <c r="N67" i="15"/>
  <c r="C67" i="15" s="1"/>
  <c r="N66" i="15"/>
  <c r="G66" i="15" s="1"/>
  <c r="I66" i="15"/>
  <c r="N65" i="15"/>
  <c r="E65" i="15" s="1"/>
  <c r="I65" i="15"/>
  <c r="N64" i="15"/>
  <c r="M64" i="15" s="1"/>
  <c r="N63" i="15"/>
  <c r="M63" i="15" s="1"/>
  <c r="N62" i="15"/>
  <c r="I62" i="15" s="1"/>
  <c r="L58" i="15"/>
  <c r="J58" i="15"/>
  <c r="H58" i="15"/>
  <c r="F58" i="15"/>
  <c r="D58" i="15"/>
  <c r="B58" i="15"/>
  <c r="N57" i="15"/>
  <c r="K57" i="15" s="1"/>
  <c r="M57" i="15"/>
  <c r="I57" i="15"/>
  <c r="G57" i="15"/>
  <c r="E57" i="15"/>
  <c r="C57" i="15"/>
  <c r="N56" i="15"/>
  <c r="M56" i="15" s="1"/>
  <c r="N55" i="15"/>
  <c r="K55" i="15" s="1"/>
  <c r="N54" i="15"/>
  <c r="M54" i="15" s="1"/>
  <c r="N53" i="15"/>
  <c r="G53" i="15" s="1"/>
  <c r="N52" i="15"/>
  <c r="M52" i="15" s="1"/>
  <c r="N51" i="15"/>
  <c r="C51" i="15" s="1"/>
  <c r="E51" i="15"/>
  <c r="N50" i="15"/>
  <c r="M50" i="15" s="1"/>
  <c r="N49" i="15"/>
  <c r="M49" i="15" s="1"/>
  <c r="N48" i="15"/>
  <c r="M48" i="15" s="1"/>
  <c r="N47" i="15"/>
  <c r="G47" i="15" s="1"/>
  <c r="N46" i="15"/>
  <c r="I46" i="15" s="1"/>
  <c r="N45" i="15"/>
  <c r="M45" i="15" s="1"/>
  <c r="N44" i="15"/>
  <c r="E44" i="15" s="1"/>
  <c r="N43" i="15"/>
  <c r="K43" i="15" s="1"/>
  <c r="N42" i="15"/>
  <c r="K42" i="15" s="1"/>
  <c r="N41" i="15"/>
  <c r="M41" i="15" s="1"/>
  <c r="N40" i="15"/>
  <c r="M40" i="15" s="1"/>
  <c r="N39" i="15"/>
  <c r="K39" i="15" s="1"/>
  <c r="N38" i="15"/>
  <c r="M38" i="15" s="1"/>
  <c r="N37" i="15"/>
  <c r="M37" i="15" s="1"/>
  <c r="N36" i="15"/>
  <c r="C36" i="15" s="1"/>
  <c r="N35" i="15"/>
  <c r="M35" i="15" s="1"/>
  <c r="N34" i="15"/>
  <c r="I34" i="15" s="1"/>
  <c r="N33" i="15"/>
  <c r="M33" i="15" s="1"/>
  <c r="N32" i="15"/>
  <c r="M32" i="15" s="1"/>
  <c r="N31" i="15"/>
  <c r="I31" i="15" s="1"/>
  <c r="N30" i="15"/>
  <c r="K30" i="15" s="1"/>
  <c r="N29" i="15"/>
  <c r="E29" i="15" s="1"/>
  <c r="N28" i="15"/>
  <c r="M28" i="15" s="1"/>
  <c r="N27" i="15"/>
  <c r="K27" i="15" s="1"/>
  <c r="N26" i="15"/>
  <c r="M26" i="15" s="1"/>
  <c r="N25" i="15"/>
  <c r="G25" i="15" s="1"/>
  <c r="N24" i="15"/>
  <c r="K24" i="15" s="1"/>
  <c r="N23" i="15"/>
  <c r="M23" i="15" s="1"/>
  <c r="G23" i="15"/>
  <c r="N22" i="15"/>
  <c r="G22" i="15" s="1"/>
  <c r="M22" i="15"/>
  <c r="N21" i="15"/>
  <c r="M21" i="15" s="1"/>
  <c r="N20" i="15"/>
  <c r="C20" i="15" s="1"/>
  <c r="N19" i="15"/>
  <c r="C19" i="15" s="1"/>
  <c r="N18" i="15"/>
  <c r="K18" i="15" s="1"/>
  <c r="N17" i="15"/>
  <c r="M17" i="15" s="1"/>
  <c r="N16" i="15"/>
  <c r="M16" i="15" s="1"/>
  <c r="N15" i="15"/>
  <c r="I15" i="15" s="1"/>
  <c r="N14" i="15"/>
  <c r="G14" i="15" s="1"/>
  <c r="N13" i="15"/>
  <c r="E13" i="15" s="1"/>
  <c r="N12" i="15"/>
  <c r="M12" i="15" s="1"/>
  <c r="N11" i="15"/>
  <c r="M11" i="15" s="1"/>
  <c r="N10" i="15"/>
  <c r="M10" i="15" s="1"/>
  <c r="N9" i="15"/>
  <c r="M9" i="15" s="1"/>
  <c r="N8" i="15"/>
  <c r="K8" i="15" s="1"/>
  <c r="N7" i="15"/>
  <c r="M7" i="15" s="1"/>
  <c r="N6" i="15"/>
  <c r="G6" i="15" s="1"/>
  <c r="L69" i="14"/>
  <c r="M69" i="14" s="1"/>
  <c r="J69" i="14"/>
  <c r="K69" i="14" s="1"/>
  <c r="H69" i="14"/>
  <c r="I69" i="14" s="1"/>
  <c r="F69" i="14"/>
  <c r="G69" i="14" s="1"/>
  <c r="D69" i="14"/>
  <c r="E69" i="14" s="1"/>
  <c r="B69" i="14"/>
  <c r="C69" i="14" s="1"/>
  <c r="N68" i="14"/>
  <c r="G68" i="14" s="1"/>
  <c r="N67" i="14"/>
  <c r="M67" i="14" s="1"/>
  <c r="N66" i="14"/>
  <c r="C66" i="14" s="1"/>
  <c r="I66" i="14"/>
  <c r="N65" i="14"/>
  <c r="M65" i="14" s="1"/>
  <c r="G65" i="14"/>
  <c r="E65" i="14"/>
  <c r="N64" i="14"/>
  <c r="M64" i="14" s="1"/>
  <c r="N63" i="14"/>
  <c r="M63" i="14" s="1"/>
  <c r="N62" i="14"/>
  <c r="M62" i="14" s="1"/>
  <c r="N61" i="14"/>
  <c r="I61" i="14" s="1"/>
  <c r="L57" i="14"/>
  <c r="M57" i="14" s="1"/>
  <c r="J57" i="14"/>
  <c r="K57" i="14" s="1"/>
  <c r="H57" i="14"/>
  <c r="I57" i="14" s="1"/>
  <c r="F57" i="14"/>
  <c r="G57" i="14" s="1"/>
  <c r="D57" i="14"/>
  <c r="E57" i="14" s="1"/>
  <c r="B57" i="14"/>
  <c r="C57" i="14" s="1"/>
  <c r="N56" i="14"/>
  <c r="M56" i="14" s="1"/>
  <c r="N55" i="14"/>
  <c r="M55" i="14" s="1"/>
  <c r="N54" i="14"/>
  <c r="K54" i="14" s="1"/>
  <c r="N53" i="14"/>
  <c r="I53" i="14" s="1"/>
  <c r="N52" i="14"/>
  <c r="G52" i="14" s="1"/>
  <c r="N51" i="14"/>
  <c r="E51" i="14" s="1"/>
  <c r="N50" i="14"/>
  <c r="C50" i="14" s="1"/>
  <c r="N49" i="14"/>
  <c r="M49" i="14" s="1"/>
  <c r="N48" i="14"/>
  <c r="M48" i="14" s="1"/>
  <c r="N47" i="14"/>
  <c r="M47" i="14" s="1"/>
  <c r="N46" i="14"/>
  <c r="M46" i="14" s="1"/>
  <c r="N45" i="14"/>
  <c r="I45" i="14" s="1"/>
  <c r="N44" i="14"/>
  <c r="M44" i="14" s="1"/>
  <c r="N43" i="14"/>
  <c r="E43" i="14" s="1"/>
  <c r="N42" i="14"/>
  <c r="M42" i="14" s="1"/>
  <c r="N41" i="14"/>
  <c r="M41" i="14" s="1"/>
  <c r="N40" i="14"/>
  <c r="K40" i="14" s="1"/>
  <c r="N39" i="14"/>
  <c r="K39" i="14" s="1"/>
  <c r="N38" i="14"/>
  <c r="G38" i="14" s="1"/>
  <c r="N37" i="14"/>
  <c r="K37" i="14" s="1"/>
  <c r="N36" i="14"/>
  <c r="C36" i="14" s="1"/>
  <c r="N35" i="14"/>
  <c r="I35" i="14" s="1"/>
  <c r="N34" i="14"/>
  <c r="M34" i="14" s="1"/>
  <c r="N33" i="14"/>
  <c r="M33" i="14" s="1"/>
  <c r="N32" i="14"/>
  <c r="M32" i="14" s="1"/>
  <c r="N31" i="14"/>
  <c r="I31" i="14" s="1"/>
  <c r="N30" i="14"/>
  <c r="M30" i="14" s="1"/>
  <c r="N29" i="14"/>
  <c r="E29" i="14" s="1"/>
  <c r="N28" i="14"/>
  <c r="M28" i="14" s="1"/>
  <c r="N27" i="14"/>
  <c r="M27" i="14" s="1"/>
  <c r="K27" i="14"/>
  <c r="N26" i="14"/>
  <c r="M26" i="14" s="1"/>
  <c r="N25" i="14"/>
  <c r="M25" i="14" s="1"/>
  <c r="N24" i="14"/>
  <c r="K24" i="14" s="1"/>
  <c r="N23" i="14"/>
  <c r="G23" i="14" s="1"/>
  <c r="N22" i="14"/>
  <c r="G22" i="14" s="1"/>
  <c r="N21" i="14"/>
  <c r="E21" i="14" s="1"/>
  <c r="K21" i="14"/>
  <c r="N20" i="14"/>
  <c r="C20" i="14" s="1"/>
  <c r="N19" i="14"/>
  <c r="K19" i="14" s="1"/>
  <c r="N18" i="14"/>
  <c r="M18" i="14" s="1"/>
  <c r="N17" i="14"/>
  <c r="M17" i="14" s="1"/>
  <c r="N16" i="14"/>
  <c r="M16" i="14" s="1"/>
  <c r="N15" i="14"/>
  <c r="I15" i="14" s="1"/>
  <c r="N14" i="14"/>
  <c r="M14" i="14" s="1"/>
  <c r="N13" i="14"/>
  <c r="E13" i="14" s="1"/>
  <c r="N12" i="14"/>
  <c r="M12" i="14" s="1"/>
  <c r="N11" i="14"/>
  <c r="M11" i="14" s="1"/>
  <c r="N10" i="14"/>
  <c r="E10" i="14" s="1"/>
  <c r="N9" i="14"/>
  <c r="M9" i="14" s="1"/>
  <c r="N8" i="14"/>
  <c r="K8" i="14" s="1"/>
  <c r="N7" i="14"/>
  <c r="M7" i="14" s="1"/>
  <c r="N6" i="14"/>
  <c r="G6" i="14" s="1"/>
  <c r="N26" i="13"/>
  <c r="C26" i="13" s="1"/>
  <c r="N27" i="13"/>
  <c r="E27" i="13" s="1"/>
  <c r="N28" i="13"/>
  <c r="G28" i="13" s="1"/>
  <c r="N29" i="13"/>
  <c r="G29" i="13" s="1"/>
  <c r="N30" i="13"/>
  <c r="K30" i="13" s="1"/>
  <c r="N31" i="13"/>
  <c r="I31" i="13" s="1"/>
  <c r="L72" i="13"/>
  <c r="M72" i="13" s="1"/>
  <c r="J72" i="13"/>
  <c r="K72" i="13" s="1"/>
  <c r="H72" i="13"/>
  <c r="I72" i="13" s="1"/>
  <c r="F72" i="13"/>
  <c r="G72" i="13" s="1"/>
  <c r="D72" i="13"/>
  <c r="E72" i="13" s="1"/>
  <c r="B72" i="13"/>
  <c r="C72" i="13" s="1"/>
  <c r="N71" i="13"/>
  <c r="G71" i="13" s="1"/>
  <c r="N70" i="13"/>
  <c r="M70" i="13" s="1"/>
  <c r="E70" i="13"/>
  <c r="N69" i="13"/>
  <c r="C69" i="13" s="1"/>
  <c r="N68" i="13"/>
  <c r="M68" i="13" s="1"/>
  <c r="N67" i="13"/>
  <c r="M67" i="13" s="1"/>
  <c r="N66" i="13"/>
  <c r="M66" i="13" s="1"/>
  <c r="N65" i="13"/>
  <c r="I65" i="13" s="1"/>
  <c r="N64" i="13"/>
  <c r="I64" i="13" s="1"/>
  <c r="L60" i="13"/>
  <c r="M60" i="13" s="1"/>
  <c r="J60" i="13"/>
  <c r="K60" i="13" s="1"/>
  <c r="H60" i="13"/>
  <c r="I60" i="13" s="1"/>
  <c r="F60" i="13"/>
  <c r="G60" i="13" s="1"/>
  <c r="D60" i="13"/>
  <c r="E60" i="13" s="1"/>
  <c r="B60" i="13"/>
  <c r="C60" i="13" s="1"/>
  <c r="N59" i="13"/>
  <c r="K59" i="13" s="1"/>
  <c r="N58" i="13"/>
  <c r="M58" i="13" s="1"/>
  <c r="N57" i="13"/>
  <c r="K57" i="13" s="1"/>
  <c r="N56" i="13"/>
  <c r="M56" i="13" s="1"/>
  <c r="N55" i="13"/>
  <c r="G55" i="13" s="1"/>
  <c r="N54" i="13"/>
  <c r="M54" i="13" s="1"/>
  <c r="N53" i="13"/>
  <c r="C53" i="13" s="1"/>
  <c r="N52" i="13"/>
  <c r="M52" i="13" s="1"/>
  <c r="N51" i="13"/>
  <c r="G51" i="13" s="1"/>
  <c r="N50" i="13"/>
  <c r="M50" i="13" s="1"/>
  <c r="N49" i="13"/>
  <c r="K49" i="13" s="1"/>
  <c r="N48" i="13"/>
  <c r="I48" i="13" s="1"/>
  <c r="N47" i="13"/>
  <c r="M47" i="13" s="1"/>
  <c r="N46" i="13"/>
  <c r="E46" i="13" s="1"/>
  <c r="N45" i="13"/>
  <c r="C45" i="13" s="1"/>
  <c r="N44" i="13"/>
  <c r="M44" i="13" s="1"/>
  <c r="N43" i="13"/>
  <c r="K43" i="13" s="1"/>
  <c r="G43" i="13"/>
  <c r="N42" i="13"/>
  <c r="M42" i="13" s="1"/>
  <c r="N41" i="13"/>
  <c r="K41" i="13" s="1"/>
  <c r="N40" i="13"/>
  <c r="M40" i="13" s="1"/>
  <c r="N39" i="13"/>
  <c r="G39" i="13" s="1"/>
  <c r="N38" i="13"/>
  <c r="K38" i="13" s="1"/>
  <c r="N37" i="13"/>
  <c r="C37" i="13" s="1"/>
  <c r="N36" i="13"/>
  <c r="M36" i="13" s="1"/>
  <c r="I36" i="13"/>
  <c r="N35" i="13"/>
  <c r="E35" i="13" s="1"/>
  <c r="N34" i="13"/>
  <c r="M34" i="13" s="1"/>
  <c r="N33" i="13"/>
  <c r="G33" i="13" s="1"/>
  <c r="N32" i="13"/>
  <c r="I32" i="13" s="1"/>
  <c r="N25" i="13"/>
  <c r="M25" i="13" s="1"/>
  <c r="N24" i="13"/>
  <c r="K24" i="13" s="1"/>
  <c r="N23" i="13"/>
  <c r="M23" i="13" s="1"/>
  <c r="N22" i="13"/>
  <c r="G22" i="13" s="1"/>
  <c r="N21" i="13"/>
  <c r="K21" i="13" s="1"/>
  <c r="N20" i="13"/>
  <c r="C20" i="13" s="1"/>
  <c r="N19" i="13"/>
  <c r="M19" i="13" s="1"/>
  <c r="N18" i="13"/>
  <c r="M18" i="13" s="1"/>
  <c r="N17" i="13"/>
  <c r="M17" i="13" s="1"/>
  <c r="N16" i="13"/>
  <c r="E16" i="13" s="1"/>
  <c r="N15" i="13"/>
  <c r="I15" i="13" s="1"/>
  <c r="N14" i="13"/>
  <c r="M14" i="13" s="1"/>
  <c r="N13" i="13"/>
  <c r="E13" i="13" s="1"/>
  <c r="N12" i="13"/>
  <c r="M12" i="13" s="1"/>
  <c r="N11" i="13"/>
  <c r="M11" i="13" s="1"/>
  <c r="N10" i="13"/>
  <c r="K10" i="13" s="1"/>
  <c r="N9" i="13"/>
  <c r="M9" i="13" s="1"/>
  <c r="N8" i="13"/>
  <c r="K8" i="13" s="1"/>
  <c r="N7" i="13"/>
  <c r="E7" i="13" s="1"/>
  <c r="N6" i="13"/>
  <c r="G6" i="13" s="1"/>
  <c r="L71" i="12"/>
  <c r="J71" i="12"/>
  <c r="H71" i="12"/>
  <c r="F71" i="12"/>
  <c r="D71" i="12"/>
  <c r="B71" i="12"/>
  <c r="N70" i="12"/>
  <c r="G70" i="12" s="1"/>
  <c r="N69" i="12"/>
  <c r="M69" i="12" s="1"/>
  <c r="N68" i="12"/>
  <c r="C68" i="12" s="1"/>
  <c r="N67" i="12"/>
  <c r="M67" i="12" s="1"/>
  <c r="E67" i="12"/>
  <c r="N66" i="12"/>
  <c r="G66" i="12" s="1"/>
  <c r="N65" i="12"/>
  <c r="M65" i="12" s="1"/>
  <c r="N64" i="12"/>
  <c r="M64" i="12" s="1"/>
  <c r="N63" i="12"/>
  <c r="I63" i="12" s="1"/>
  <c r="M63" i="12"/>
  <c r="K63" i="12"/>
  <c r="L59" i="12"/>
  <c r="J59" i="12"/>
  <c r="H59" i="12"/>
  <c r="F59" i="12"/>
  <c r="D59" i="12"/>
  <c r="B59" i="12"/>
  <c r="N58" i="12"/>
  <c r="K58" i="12" s="1"/>
  <c r="N57" i="12"/>
  <c r="C57" i="12" s="1"/>
  <c r="N56" i="12"/>
  <c r="K56" i="12" s="1"/>
  <c r="N55" i="12"/>
  <c r="M55" i="12" s="1"/>
  <c r="N54" i="12"/>
  <c r="G54" i="12" s="1"/>
  <c r="N53" i="12"/>
  <c r="M53" i="12" s="1"/>
  <c r="N52" i="12"/>
  <c r="C52" i="12" s="1"/>
  <c r="N51" i="12"/>
  <c r="M51" i="12" s="1"/>
  <c r="N50" i="12"/>
  <c r="G50" i="12" s="1"/>
  <c r="K50" i="12"/>
  <c r="N49" i="12"/>
  <c r="M49" i="12" s="1"/>
  <c r="N48" i="12"/>
  <c r="K48" i="12" s="1"/>
  <c r="N47" i="12"/>
  <c r="I47" i="12" s="1"/>
  <c r="N46" i="12"/>
  <c r="M46" i="12" s="1"/>
  <c r="N45" i="12"/>
  <c r="E45" i="12" s="1"/>
  <c r="N44" i="12"/>
  <c r="K44" i="12" s="1"/>
  <c r="N43" i="12"/>
  <c r="I43" i="12" s="1"/>
  <c r="N42" i="12"/>
  <c r="M42" i="12" s="1"/>
  <c r="N41" i="12"/>
  <c r="C41" i="12" s="1"/>
  <c r="N40" i="12"/>
  <c r="K40" i="12" s="1"/>
  <c r="N39" i="12"/>
  <c r="M39" i="12" s="1"/>
  <c r="N38" i="12"/>
  <c r="G38" i="12" s="1"/>
  <c r="N37" i="12"/>
  <c r="M37" i="12" s="1"/>
  <c r="N36" i="12"/>
  <c r="C36" i="12" s="1"/>
  <c r="N35" i="12"/>
  <c r="M35" i="12" s="1"/>
  <c r="G35" i="12"/>
  <c r="N34" i="12"/>
  <c r="G34" i="12" s="1"/>
  <c r="N33" i="12"/>
  <c r="M33" i="12" s="1"/>
  <c r="N32" i="12"/>
  <c r="G32" i="12" s="1"/>
  <c r="M32" i="12"/>
  <c r="I32" i="12"/>
  <c r="N31" i="12"/>
  <c r="I31" i="12" s="1"/>
  <c r="N30" i="12"/>
  <c r="M30" i="12" s="1"/>
  <c r="N29" i="12"/>
  <c r="E29" i="12" s="1"/>
  <c r="N28" i="12"/>
  <c r="K28" i="12" s="1"/>
  <c r="N27" i="12"/>
  <c r="I27" i="12" s="1"/>
  <c r="N26" i="12"/>
  <c r="E26" i="12" s="1"/>
  <c r="N25" i="12"/>
  <c r="C25" i="12" s="1"/>
  <c r="N24" i="12"/>
  <c r="K24" i="12" s="1"/>
  <c r="N23" i="12"/>
  <c r="G23" i="12" s="1"/>
  <c r="M23" i="12"/>
  <c r="K23" i="12"/>
  <c r="I23" i="12"/>
  <c r="N22" i="12"/>
  <c r="G22" i="12" s="1"/>
  <c r="I22" i="12"/>
  <c r="N21" i="12"/>
  <c r="M21" i="12" s="1"/>
  <c r="N20" i="12"/>
  <c r="C20" i="12" s="1"/>
  <c r="N19" i="12"/>
  <c r="M19" i="12" s="1"/>
  <c r="C19" i="12"/>
  <c r="N18" i="12"/>
  <c r="G18" i="12" s="1"/>
  <c r="N17" i="12"/>
  <c r="M17" i="12" s="1"/>
  <c r="N16" i="12"/>
  <c r="M16" i="12" s="1"/>
  <c r="N15" i="12"/>
  <c r="I15" i="12" s="1"/>
  <c r="N14" i="12"/>
  <c r="I14" i="12" s="1"/>
  <c r="N13" i="12"/>
  <c r="E13" i="12" s="1"/>
  <c r="N12" i="12"/>
  <c r="K12" i="12" s="1"/>
  <c r="N11" i="12"/>
  <c r="I11" i="12" s="1"/>
  <c r="M11" i="12"/>
  <c r="N10" i="12"/>
  <c r="C10" i="12" s="1"/>
  <c r="N9" i="12"/>
  <c r="E9" i="12" s="1"/>
  <c r="N8" i="12"/>
  <c r="K8" i="12" s="1"/>
  <c r="N7" i="12"/>
  <c r="I7" i="12" s="1"/>
  <c r="N6" i="12"/>
  <c r="G6" i="12" s="1"/>
  <c r="L67" i="10"/>
  <c r="M67" i="10" s="1"/>
  <c r="J67" i="10"/>
  <c r="K67" i="10" s="1"/>
  <c r="H67" i="10"/>
  <c r="I67" i="10" s="1"/>
  <c r="F67" i="10"/>
  <c r="G67" i="10" s="1"/>
  <c r="D67" i="10"/>
  <c r="E67" i="10" s="1"/>
  <c r="B67" i="10"/>
  <c r="C67" i="10" s="1"/>
  <c r="N66" i="10"/>
  <c r="G66" i="10" s="1"/>
  <c r="M66" i="10"/>
  <c r="N65" i="10"/>
  <c r="M65" i="10" s="1"/>
  <c r="N64" i="10"/>
  <c r="C64" i="10" s="1"/>
  <c r="N63" i="10"/>
  <c r="M63" i="10" s="1"/>
  <c r="N62" i="10"/>
  <c r="G62" i="10" s="1"/>
  <c r="N61" i="10"/>
  <c r="M61" i="10" s="1"/>
  <c r="N60" i="10"/>
  <c r="C60" i="10" s="1"/>
  <c r="E60" i="10"/>
  <c r="N59" i="10"/>
  <c r="I59" i="10" s="1"/>
  <c r="L55" i="10"/>
  <c r="J55" i="10"/>
  <c r="H55" i="10"/>
  <c r="F55" i="10"/>
  <c r="D55" i="10"/>
  <c r="B55" i="10"/>
  <c r="N54" i="10"/>
  <c r="K54" i="10" s="1"/>
  <c r="C54" i="10"/>
  <c r="N53" i="10"/>
  <c r="G53" i="10" s="1"/>
  <c r="N52" i="10"/>
  <c r="K52" i="10" s="1"/>
  <c r="N51" i="10"/>
  <c r="M51" i="10" s="1"/>
  <c r="N50" i="10"/>
  <c r="G50" i="10" s="1"/>
  <c r="N49" i="10"/>
  <c r="M49" i="10" s="1"/>
  <c r="N48" i="10"/>
  <c r="C48" i="10" s="1"/>
  <c r="N47" i="10"/>
  <c r="M47" i="10" s="1"/>
  <c r="N46" i="10"/>
  <c r="K46" i="10" s="1"/>
  <c r="N45" i="10"/>
  <c r="M45" i="10" s="1"/>
  <c r="N44" i="10"/>
  <c r="M44" i="10" s="1"/>
  <c r="E44" i="10"/>
  <c r="N43" i="10"/>
  <c r="I43" i="10" s="1"/>
  <c r="N42" i="10"/>
  <c r="M42" i="10" s="1"/>
  <c r="N41" i="10"/>
  <c r="E41" i="10" s="1"/>
  <c r="N40" i="10"/>
  <c r="K40" i="10" s="1"/>
  <c r="N39" i="10"/>
  <c r="I39" i="10" s="1"/>
  <c r="N38" i="10"/>
  <c r="K38" i="10" s="1"/>
  <c r="N37" i="10"/>
  <c r="M37" i="10" s="1"/>
  <c r="N36" i="10"/>
  <c r="K36" i="10" s="1"/>
  <c r="N35" i="10"/>
  <c r="K35" i="10" s="1"/>
  <c r="N34" i="10"/>
  <c r="G34" i="10" s="1"/>
  <c r="N33" i="10"/>
  <c r="M33" i="10" s="1"/>
  <c r="N32" i="10"/>
  <c r="C32" i="10" s="1"/>
  <c r="N31" i="10"/>
  <c r="M31" i="10" s="1"/>
  <c r="N30" i="10"/>
  <c r="K30" i="10" s="1"/>
  <c r="E30" i="10"/>
  <c r="C30" i="10"/>
  <c r="N29" i="10"/>
  <c r="M29" i="10" s="1"/>
  <c r="N28" i="10"/>
  <c r="G28" i="10" s="1"/>
  <c r="N27" i="10"/>
  <c r="I27" i="10" s="1"/>
  <c r="N26" i="10"/>
  <c r="E26" i="10" s="1"/>
  <c r="N25" i="10"/>
  <c r="E25" i="10" s="1"/>
  <c r="N24" i="10"/>
  <c r="M24" i="10" s="1"/>
  <c r="N23" i="10"/>
  <c r="C23" i="10" s="1"/>
  <c r="E23" i="10"/>
  <c r="N22" i="10"/>
  <c r="K22" i="10" s="1"/>
  <c r="N21" i="10"/>
  <c r="M21" i="10" s="1"/>
  <c r="N20" i="10"/>
  <c r="K20" i="10" s="1"/>
  <c r="N19" i="10"/>
  <c r="M19" i="10" s="1"/>
  <c r="N18" i="10"/>
  <c r="G18" i="10" s="1"/>
  <c r="N17" i="10"/>
  <c r="M17" i="10" s="1"/>
  <c r="N16" i="10"/>
  <c r="C16" i="10" s="1"/>
  <c r="N15" i="10"/>
  <c r="M15" i="10" s="1"/>
  <c r="N14" i="10"/>
  <c r="E14" i="10" s="1"/>
  <c r="N13" i="10"/>
  <c r="M13" i="10" s="1"/>
  <c r="N12" i="10"/>
  <c r="G12" i="10" s="1"/>
  <c r="I12" i="10"/>
  <c r="N11" i="10"/>
  <c r="I11" i="10" s="1"/>
  <c r="M11" i="10"/>
  <c r="N10" i="10"/>
  <c r="I10" i="10" s="1"/>
  <c r="M10" i="10"/>
  <c r="N9" i="10"/>
  <c r="E9" i="10" s="1"/>
  <c r="N8" i="10"/>
  <c r="K8" i="10" s="1"/>
  <c r="N7" i="10"/>
  <c r="M7" i="10" s="1"/>
  <c r="N6" i="10"/>
  <c r="K6" i="10" s="1"/>
  <c r="C6" i="10"/>
  <c r="L67" i="9"/>
  <c r="J67" i="9"/>
  <c r="H67" i="9"/>
  <c r="F67" i="9"/>
  <c r="D67" i="9"/>
  <c r="B67" i="9"/>
  <c r="N66" i="9"/>
  <c r="G66" i="9" s="1"/>
  <c r="M66" i="9"/>
  <c r="I66" i="9"/>
  <c r="N65" i="9"/>
  <c r="C65" i="9" s="1"/>
  <c r="M65" i="9"/>
  <c r="N64" i="9"/>
  <c r="C64" i="9" s="1"/>
  <c r="N63" i="9"/>
  <c r="M63" i="9" s="1"/>
  <c r="N62" i="9"/>
  <c r="I62" i="9" s="1"/>
  <c r="N61" i="9"/>
  <c r="M61" i="9" s="1"/>
  <c r="N60" i="9"/>
  <c r="I60" i="9" s="1"/>
  <c r="N59" i="9"/>
  <c r="K59" i="9" s="1"/>
  <c r="L55" i="9"/>
  <c r="J55" i="9"/>
  <c r="H55" i="9"/>
  <c r="F55" i="9"/>
  <c r="D55" i="9"/>
  <c r="B55" i="9"/>
  <c r="N54" i="9"/>
  <c r="I54" i="9" s="1"/>
  <c r="N53" i="9"/>
  <c r="K53" i="9" s="1"/>
  <c r="M53" i="9"/>
  <c r="N52" i="9"/>
  <c r="E52" i="9" s="1"/>
  <c r="M52" i="9"/>
  <c r="K52" i="9"/>
  <c r="G52" i="9"/>
  <c r="N51" i="9"/>
  <c r="G51" i="9" s="1"/>
  <c r="M51" i="9"/>
  <c r="N50" i="9"/>
  <c r="M50" i="9" s="1"/>
  <c r="E50" i="9"/>
  <c r="C50" i="9"/>
  <c r="N49" i="9"/>
  <c r="C49" i="9" s="1"/>
  <c r="M49" i="9"/>
  <c r="K49" i="9"/>
  <c r="G49" i="9"/>
  <c r="E49" i="9"/>
  <c r="N48" i="9"/>
  <c r="M48" i="9" s="1"/>
  <c r="K48" i="9"/>
  <c r="N47" i="9"/>
  <c r="M47" i="9" s="1"/>
  <c r="N46" i="9"/>
  <c r="M46" i="9" s="1"/>
  <c r="N45" i="9"/>
  <c r="G45" i="9" s="1"/>
  <c r="K45" i="9"/>
  <c r="I45" i="9"/>
  <c r="N44" i="9"/>
  <c r="I44" i="9" s="1"/>
  <c r="M44" i="9"/>
  <c r="K44" i="9"/>
  <c r="N43" i="9"/>
  <c r="K43" i="9" s="1"/>
  <c r="M43" i="9"/>
  <c r="N42" i="9"/>
  <c r="E42" i="9" s="1"/>
  <c r="M42" i="9"/>
  <c r="K42" i="9"/>
  <c r="N41" i="9"/>
  <c r="I41" i="9" s="1"/>
  <c r="M41" i="9"/>
  <c r="K41" i="9"/>
  <c r="G41" i="9"/>
  <c r="E41" i="9"/>
  <c r="N40" i="9"/>
  <c r="M40" i="9" s="1"/>
  <c r="N39" i="9"/>
  <c r="M39" i="9" s="1"/>
  <c r="I39" i="9"/>
  <c r="G39" i="9"/>
  <c r="C39" i="9"/>
  <c r="N38" i="9"/>
  <c r="I38" i="9" s="1"/>
  <c r="N37" i="9"/>
  <c r="K37" i="9" s="1"/>
  <c r="M37" i="9"/>
  <c r="N36" i="9"/>
  <c r="M36" i="9" s="1"/>
  <c r="I36" i="9"/>
  <c r="G36" i="9"/>
  <c r="C36" i="9"/>
  <c r="N35" i="9"/>
  <c r="G35" i="9" s="1"/>
  <c r="N34" i="9"/>
  <c r="E34" i="9" s="1"/>
  <c r="N33" i="9"/>
  <c r="C33" i="9" s="1"/>
  <c r="G33" i="9"/>
  <c r="E33" i="9"/>
  <c r="N32" i="9"/>
  <c r="M32" i="9" s="1"/>
  <c r="K32" i="9"/>
  <c r="I32" i="9"/>
  <c r="E32" i="9"/>
  <c r="N31" i="9"/>
  <c r="K31" i="9" s="1"/>
  <c r="N30" i="9"/>
  <c r="M30" i="9" s="1"/>
  <c r="N29" i="9"/>
  <c r="M29" i="9"/>
  <c r="K29" i="9"/>
  <c r="I29" i="9"/>
  <c r="G29" i="9"/>
  <c r="E29" i="9"/>
  <c r="C29" i="9"/>
  <c r="N28" i="9"/>
  <c r="I28" i="9" s="1"/>
  <c r="M28" i="9"/>
  <c r="K28" i="9"/>
  <c r="N27" i="9"/>
  <c r="K27" i="9" s="1"/>
  <c r="M27" i="9"/>
  <c r="N26" i="9"/>
  <c r="E26" i="9" s="1"/>
  <c r="M26" i="9"/>
  <c r="K26" i="9"/>
  <c r="I26" i="9"/>
  <c r="G26" i="9"/>
  <c r="N25" i="9"/>
  <c r="G25" i="9" s="1"/>
  <c r="K25" i="9"/>
  <c r="I25" i="9"/>
  <c r="N24" i="9"/>
  <c r="M24" i="9" s="1"/>
  <c r="I24" i="9"/>
  <c r="N23" i="9"/>
  <c r="C23" i="9" s="1"/>
  <c r="K23" i="9"/>
  <c r="I23" i="9"/>
  <c r="G23" i="9"/>
  <c r="E23" i="9"/>
  <c r="N22" i="9"/>
  <c r="K22" i="9" s="1"/>
  <c r="M22" i="9"/>
  <c r="I22" i="9"/>
  <c r="G22" i="9"/>
  <c r="C22" i="9"/>
  <c r="N21" i="9"/>
  <c r="K21" i="9" s="1"/>
  <c r="N20" i="9"/>
  <c r="C20" i="9" s="1"/>
  <c r="M20" i="9"/>
  <c r="I20" i="9"/>
  <c r="G20" i="9"/>
  <c r="E20" i="9"/>
  <c r="N19" i="9"/>
  <c r="G19" i="9" s="1"/>
  <c r="M19" i="9"/>
  <c r="K19" i="9"/>
  <c r="N18" i="9"/>
  <c r="E18" i="9" s="1"/>
  <c r="M18" i="9"/>
  <c r="K18" i="9"/>
  <c r="I18" i="9"/>
  <c r="G18" i="9"/>
  <c r="N17" i="9"/>
  <c r="C17" i="9" s="1"/>
  <c r="M17" i="9"/>
  <c r="I17" i="9"/>
  <c r="N16" i="9"/>
  <c r="M16" i="9" s="1"/>
  <c r="E16" i="9"/>
  <c r="C16" i="9"/>
  <c r="N15" i="9"/>
  <c r="K15" i="9" s="1"/>
  <c r="M15" i="9"/>
  <c r="I15" i="9"/>
  <c r="G15" i="9"/>
  <c r="C15" i="9"/>
  <c r="N14" i="9"/>
  <c r="M14" i="9" s="1"/>
  <c r="N13" i="9"/>
  <c r="M13" i="9" s="1"/>
  <c r="E13" i="9"/>
  <c r="C13" i="9"/>
  <c r="N12" i="9"/>
  <c r="I12" i="9" s="1"/>
  <c r="M12" i="9"/>
  <c r="K12" i="9"/>
  <c r="N11" i="9"/>
  <c r="C11" i="9" s="1"/>
  <c r="M11" i="9"/>
  <c r="K11" i="9"/>
  <c r="I11" i="9"/>
  <c r="G11" i="9"/>
  <c r="N10" i="9"/>
  <c r="E10" i="9" s="1"/>
  <c r="N9" i="9"/>
  <c r="M9" i="9"/>
  <c r="K9" i="9"/>
  <c r="I9" i="9"/>
  <c r="G9" i="9"/>
  <c r="E9" i="9"/>
  <c r="C9" i="9"/>
  <c r="N8" i="9"/>
  <c r="I8" i="9" s="1"/>
  <c r="M8" i="9"/>
  <c r="K8" i="9"/>
  <c r="N7" i="9"/>
  <c r="M7" i="9" s="1"/>
  <c r="K7" i="9"/>
  <c r="N6" i="9"/>
  <c r="E6" i="9" s="1"/>
  <c r="M6" i="9"/>
  <c r="K6" i="9"/>
  <c r="I6" i="9"/>
  <c r="G6" i="9"/>
  <c r="L68" i="8"/>
  <c r="J68" i="8"/>
  <c r="H68" i="8"/>
  <c r="F68" i="8"/>
  <c r="D68" i="8"/>
  <c r="B68" i="8"/>
  <c r="N67" i="8"/>
  <c r="G67" i="8" s="1"/>
  <c r="N66" i="8"/>
  <c r="M66" i="8" s="1"/>
  <c r="E66" i="8"/>
  <c r="N65" i="8"/>
  <c r="C65" i="8" s="1"/>
  <c r="N64" i="8"/>
  <c r="M64" i="8" s="1"/>
  <c r="E64" i="8"/>
  <c r="N63" i="8"/>
  <c r="M63" i="8" s="1"/>
  <c r="K63" i="8"/>
  <c r="N62" i="8"/>
  <c r="M62" i="8" s="1"/>
  <c r="N61" i="8"/>
  <c r="M61" i="8" s="1"/>
  <c r="N60" i="8"/>
  <c r="I60" i="8" s="1"/>
  <c r="N59" i="8"/>
  <c r="M59" i="8" s="1"/>
  <c r="L55" i="8"/>
  <c r="J55" i="8"/>
  <c r="H55" i="8"/>
  <c r="F55" i="8"/>
  <c r="D55" i="8"/>
  <c r="B55" i="8"/>
  <c r="N54" i="8"/>
  <c r="M54" i="8" s="1"/>
  <c r="I54" i="8"/>
  <c r="C54" i="8"/>
  <c r="N53" i="8"/>
  <c r="K53" i="8" s="1"/>
  <c r="N52" i="8"/>
  <c r="M52" i="8" s="1"/>
  <c r="N51" i="8"/>
  <c r="G51" i="8" s="1"/>
  <c r="N50" i="8"/>
  <c r="M50" i="8" s="1"/>
  <c r="N49" i="8"/>
  <c r="C49" i="8" s="1"/>
  <c r="N48" i="8"/>
  <c r="M48" i="8" s="1"/>
  <c r="N47" i="8"/>
  <c r="C47" i="8" s="1"/>
  <c r="N46" i="8"/>
  <c r="M46" i="8" s="1"/>
  <c r="N45" i="8"/>
  <c r="M45" i="8" s="1"/>
  <c r="N44" i="8"/>
  <c r="I44" i="8" s="1"/>
  <c r="N43" i="8"/>
  <c r="M43" i="8" s="1"/>
  <c r="N42" i="8"/>
  <c r="E42" i="8" s="1"/>
  <c r="M42" i="8"/>
  <c r="N41" i="8"/>
  <c r="I41" i="8" s="1"/>
  <c r="N40" i="8"/>
  <c r="M40" i="8" s="1"/>
  <c r="N39" i="8"/>
  <c r="E39" i="8" s="1"/>
  <c r="G39" i="8"/>
  <c r="C39" i="8"/>
  <c r="N38" i="8"/>
  <c r="M38" i="8" s="1"/>
  <c r="N37" i="8"/>
  <c r="K37" i="8" s="1"/>
  <c r="N36" i="8"/>
  <c r="M36" i="8" s="1"/>
  <c r="N35" i="8"/>
  <c r="G35" i="8" s="1"/>
  <c r="N34" i="8"/>
  <c r="M34" i="8" s="1"/>
  <c r="N33" i="8"/>
  <c r="C33" i="8" s="1"/>
  <c r="N32" i="8"/>
  <c r="M32" i="8" s="1"/>
  <c r="N31" i="8"/>
  <c r="M31" i="8" s="1"/>
  <c r="N30" i="8"/>
  <c r="M30" i="8" s="1"/>
  <c r="N29" i="8"/>
  <c r="M29" i="8" s="1"/>
  <c r="N28" i="8"/>
  <c r="I28" i="8" s="1"/>
  <c r="N27" i="8"/>
  <c r="M27" i="8" s="1"/>
  <c r="N26" i="8"/>
  <c r="E26" i="8" s="1"/>
  <c r="N25" i="8"/>
  <c r="I25" i="8" s="1"/>
  <c r="M25" i="8"/>
  <c r="C25" i="8"/>
  <c r="N24" i="8"/>
  <c r="M24" i="8" s="1"/>
  <c r="N23" i="8"/>
  <c r="K23" i="8" s="1"/>
  <c r="N22" i="8"/>
  <c r="G22" i="8" s="1"/>
  <c r="N21" i="8"/>
  <c r="K21" i="8" s="1"/>
  <c r="N20" i="8"/>
  <c r="K20" i="8" s="1"/>
  <c r="N19" i="8"/>
  <c r="G19" i="8" s="1"/>
  <c r="N18" i="8"/>
  <c r="M18" i="8" s="1"/>
  <c r="N17" i="8"/>
  <c r="C17" i="8" s="1"/>
  <c r="N16" i="8"/>
  <c r="M16" i="8" s="1"/>
  <c r="N15" i="8"/>
  <c r="C15" i="8" s="1"/>
  <c r="G15" i="8"/>
  <c r="E15" i="8"/>
  <c r="N14" i="8"/>
  <c r="M14" i="8" s="1"/>
  <c r="N13" i="8"/>
  <c r="M13" i="8" s="1"/>
  <c r="E13" i="8"/>
  <c r="N12" i="8"/>
  <c r="I12" i="8" s="1"/>
  <c r="N11" i="8"/>
  <c r="M11" i="8" s="1"/>
  <c r="N10" i="8"/>
  <c r="E10" i="8" s="1"/>
  <c r="N9" i="8"/>
  <c r="I9" i="8" s="1"/>
  <c r="N8" i="8"/>
  <c r="C8" i="8" s="1"/>
  <c r="N7" i="8"/>
  <c r="K7" i="8" s="1"/>
  <c r="N6" i="8"/>
  <c r="I6" i="8" s="1"/>
  <c r="L68" i="7"/>
  <c r="J68" i="7"/>
  <c r="H68" i="7"/>
  <c r="F68" i="7"/>
  <c r="D68" i="7"/>
  <c r="B68" i="7"/>
  <c r="N67" i="7"/>
  <c r="G67" i="7" s="1"/>
  <c r="N66" i="7"/>
  <c r="M66" i="7" s="1"/>
  <c r="N65" i="7"/>
  <c r="C65" i="7" s="1"/>
  <c r="K65" i="7"/>
  <c r="N64" i="7"/>
  <c r="M64" i="7" s="1"/>
  <c r="N63" i="7"/>
  <c r="M63" i="7" s="1"/>
  <c r="N62" i="7"/>
  <c r="M62" i="7" s="1"/>
  <c r="N61" i="7"/>
  <c r="M61" i="7" s="1"/>
  <c r="N60" i="7"/>
  <c r="I60" i="7" s="1"/>
  <c r="N59" i="7"/>
  <c r="M59" i="7" s="1"/>
  <c r="L55" i="7"/>
  <c r="J55" i="7"/>
  <c r="H55" i="7"/>
  <c r="F55" i="7"/>
  <c r="D55" i="7"/>
  <c r="B55" i="7"/>
  <c r="N54" i="7"/>
  <c r="I54" i="7" s="1"/>
  <c r="M54" i="7"/>
  <c r="K54" i="7"/>
  <c r="G54" i="7"/>
  <c r="E54" i="7"/>
  <c r="C54" i="7"/>
  <c r="N53" i="7"/>
  <c r="K53" i="7" s="1"/>
  <c r="M53" i="7"/>
  <c r="N52" i="7"/>
  <c r="I52" i="7" s="1"/>
  <c r="N51" i="7"/>
  <c r="G51" i="7" s="1"/>
  <c r="N50" i="7"/>
  <c r="C50" i="7" s="1"/>
  <c r="N49" i="7"/>
  <c r="C49" i="7" s="1"/>
  <c r="N48" i="7"/>
  <c r="K48" i="7" s="1"/>
  <c r="N47" i="7"/>
  <c r="K47" i="7" s="1"/>
  <c r="N46" i="7"/>
  <c r="M46" i="7" s="1"/>
  <c r="N45" i="7"/>
  <c r="M45" i="7" s="1"/>
  <c r="I45" i="7"/>
  <c r="N44" i="7"/>
  <c r="I44" i="7" s="1"/>
  <c r="N43" i="7"/>
  <c r="M43" i="7" s="1"/>
  <c r="N42" i="7"/>
  <c r="E42" i="7" s="1"/>
  <c r="N41" i="7"/>
  <c r="K41" i="7" s="1"/>
  <c r="N40" i="7"/>
  <c r="M40" i="7" s="1"/>
  <c r="N39" i="7"/>
  <c r="M39" i="7" s="1"/>
  <c r="C39" i="7"/>
  <c r="N38" i="7"/>
  <c r="G38" i="7" s="1"/>
  <c r="N37" i="7"/>
  <c r="K37" i="7" s="1"/>
  <c r="N36" i="7"/>
  <c r="M36" i="7" s="1"/>
  <c r="N35" i="7"/>
  <c r="G35" i="7" s="1"/>
  <c r="N34" i="7"/>
  <c r="C34" i="7" s="1"/>
  <c r="N33" i="7"/>
  <c r="C33" i="7" s="1"/>
  <c r="N32" i="7"/>
  <c r="C32" i="7" s="1"/>
  <c r="E32" i="7"/>
  <c r="N31" i="7"/>
  <c r="K31" i="7" s="1"/>
  <c r="N30" i="7"/>
  <c r="M30" i="7" s="1"/>
  <c r="N29" i="7"/>
  <c r="M29" i="7" s="1"/>
  <c r="N28" i="7"/>
  <c r="I28" i="7" s="1"/>
  <c r="N27" i="7"/>
  <c r="M27" i="7" s="1"/>
  <c r="I27" i="7"/>
  <c r="N26" i="7"/>
  <c r="E26" i="7" s="1"/>
  <c r="N25" i="7"/>
  <c r="I25" i="7" s="1"/>
  <c r="N24" i="7"/>
  <c r="M24" i="7" s="1"/>
  <c r="N23" i="7"/>
  <c r="M23" i="7" s="1"/>
  <c r="N22" i="7"/>
  <c r="I22" i="7" s="1"/>
  <c r="K22" i="7"/>
  <c r="N21" i="7"/>
  <c r="K21" i="7" s="1"/>
  <c r="N20" i="7"/>
  <c r="M20" i="7" s="1"/>
  <c r="N19" i="7"/>
  <c r="G19" i="7" s="1"/>
  <c r="N18" i="7"/>
  <c r="G18" i="7" s="1"/>
  <c r="N17" i="7"/>
  <c r="C17" i="7" s="1"/>
  <c r="N16" i="7"/>
  <c r="K16" i="7" s="1"/>
  <c r="N15" i="7"/>
  <c r="K15" i="7" s="1"/>
  <c r="N14" i="7"/>
  <c r="M14" i="7" s="1"/>
  <c r="N13" i="7"/>
  <c r="M13" i="7" s="1"/>
  <c r="N12" i="7"/>
  <c r="I12" i="7" s="1"/>
  <c r="N11" i="7"/>
  <c r="C11" i="7" s="1"/>
  <c r="N10" i="7"/>
  <c r="E10" i="7" s="1"/>
  <c r="G10" i="7"/>
  <c r="N9" i="7"/>
  <c r="E9" i="7" s="1"/>
  <c r="K9" i="7"/>
  <c r="N8" i="7"/>
  <c r="M8" i="7" s="1"/>
  <c r="N7" i="7"/>
  <c r="M7" i="7" s="1"/>
  <c r="C7" i="7"/>
  <c r="N6" i="7"/>
  <c r="G6" i="7" s="1"/>
  <c r="C6" i="7"/>
  <c r="K16" i="21" l="1"/>
  <c r="M22" i="21"/>
  <c r="G25" i="21"/>
  <c r="M43" i="21"/>
  <c r="K49" i="21"/>
  <c r="K62" i="21"/>
  <c r="I65" i="21"/>
  <c r="C24" i="21"/>
  <c r="C6" i="21"/>
  <c r="I8" i="21"/>
  <c r="C12" i="21"/>
  <c r="G15" i="21"/>
  <c r="K18" i="21"/>
  <c r="E24" i="21"/>
  <c r="K27" i="21"/>
  <c r="I33" i="21"/>
  <c r="C37" i="21"/>
  <c r="G42" i="21"/>
  <c r="C46" i="21"/>
  <c r="M48" i="21"/>
  <c r="K51" i="21"/>
  <c r="I64" i="21"/>
  <c r="E6" i="21"/>
  <c r="M8" i="21"/>
  <c r="E12" i="21"/>
  <c r="K15" i="21"/>
  <c r="M18" i="21"/>
  <c r="C22" i="21"/>
  <c r="G24" i="21"/>
  <c r="M27" i="21"/>
  <c r="K33" i="21"/>
  <c r="E37" i="21"/>
  <c r="E46" i="21"/>
  <c r="K64" i="21"/>
  <c r="G6" i="21"/>
  <c r="G12" i="21"/>
  <c r="E22" i="21"/>
  <c r="I24" i="21"/>
  <c r="C31" i="21"/>
  <c r="G37" i="21"/>
  <c r="G46" i="21"/>
  <c r="C49" i="21"/>
  <c r="C62" i="21"/>
  <c r="I6" i="21"/>
  <c r="G9" i="21"/>
  <c r="I12" i="21"/>
  <c r="E16" i="21"/>
  <c r="C19" i="21"/>
  <c r="G22" i="21"/>
  <c r="K24" i="21"/>
  <c r="C28" i="21"/>
  <c r="E31" i="21"/>
  <c r="I34" i="21"/>
  <c r="I37" i="21"/>
  <c r="I46" i="21"/>
  <c r="E49" i="21"/>
  <c r="M52" i="21"/>
  <c r="E62" i="21"/>
  <c r="C65" i="21"/>
  <c r="K6" i="21"/>
  <c r="I9" i="21"/>
  <c r="G16" i="21"/>
  <c r="G31" i="21"/>
  <c r="K34" i="21"/>
  <c r="K37" i="21"/>
  <c r="G49" i="21"/>
  <c r="E65" i="21"/>
  <c r="C26" i="20"/>
  <c r="E26" i="20"/>
  <c r="G26" i="20"/>
  <c r="C30" i="20"/>
  <c r="K48" i="20"/>
  <c r="G30" i="20"/>
  <c r="I30" i="20"/>
  <c r="C39" i="20"/>
  <c r="C53" i="20"/>
  <c r="K53" i="20"/>
  <c r="I14" i="20"/>
  <c r="C15" i="20"/>
  <c r="K43" i="20"/>
  <c r="I50" i="20"/>
  <c r="K19" i="20"/>
  <c r="C33" i="20"/>
  <c r="I15" i="20"/>
  <c r="G33" i="20"/>
  <c r="C19" i="20"/>
  <c r="E19" i="20"/>
  <c r="G19" i="20"/>
  <c r="C47" i="20"/>
  <c r="I10" i="20"/>
  <c r="C23" i="20"/>
  <c r="C28" i="20"/>
  <c r="E35" i="20"/>
  <c r="E42" i="20"/>
  <c r="G49" i="20"/>
  <c r="G23" i="20"/>
  <c r="I28" i="20"/>
  <c r="I35" i="20"/>
  <c r="I42" i="20"/>
  <c r="I49" i="20"/>
  <c r="I23" i="20"/>
  <c r="K35" i="20"/>
  <c r="E32" i="20"/>
  <c r="E47" i="20"/>
  <c r="G53" i="20"/>
  <c r="K7" i="20"/>
  <c r="E16" i="20"/>
  <c r="K32" i="20"/>
  <c r="G47" i="20"/>
  <c r="I53" i="20"/>
  <c r="K16" i="20"/>
  <c r="C17" i="20"/>
  <c r="C54" i="20"/>
  <c r="G9" i="20"/>
  <c r="E17" i="20"/>
  <c r="K27" i="20"/>
  <c r="C49" i="20"/>
  <c r="E54" i="20"/>
  <c r="G17" i="20"/>
  <c r="E49" i="20"/>
  <c r="K54" i="20"/>
  <c r="E23" i="20"/>
  <c r="E33" i="20"/>
  <c r="I37" i="20"/>
  <c r="G42" i="20"/>
  <c r="E8" i="20"/>
  <c r="I33" i="20"/>
  <c r="G38" i="20"/>
  <c r="G8" i="20"/>
  <c r="K38" i="20"/>
  <c r="K42" i="20"/>
  <c r="G6" i="20"/>
  <c r="E12" i="20"/>
  <c r="I6" i="20"/>
  <c r="G12" i="20"/>
  <c r="C46" i="20"/>
  <c r="G46" i="20"/>
  <c r="E7" i="20"/>
  <c r="C37" i="20"/>
  <c r="I46" i="20"/>
  <c r="C14" i="20"/>
  <c r="E37" i="20"/>
  <c r="K51" i="20"/>
  <c r="L55" i="20"/>
  <c r="E55" i="20" s="1"/>
  <c r="C65" i="20"/>
  <c r="E65" i="20"/>
  <c r="G65" i="20"/>
  <c r="I65" i="20"/>
  <c r="K60" i="20"/>
  <c r="I66" i="20"/>
  <c r="C62" i="20"/>
  <c r="E62" i="20"/>
  <c r="G62" i="20"/>
  <c r="G64" i="20"/>
  <c r="I62" i="20"/>
  <c r="C63" i="20"/>
  <c r="E63" i="20"/>
  <c r="G63" i="20"/>
  <c r="L67" i="20"/>
  <c r="K67" i="20" s="1"/>
  <c r="G7" i="20"/>
  <c r="E15" i="20"/>
  <c r="G24" i="20"/>
  <c r="E28" i="20"/>
  <c r="K31" i="20"/>
  <c r="G35" i="20"/>
  <c r="I38" i="20"/>
  <c r="K44" i="20"/>
  <c r="K64" i="20"/>
  <c r="I7" i="20"/>
  <c r="K10" i="20"/>
  <c r="G15" i="20"/>
  <c r="I24" i="20"/>
  <c r="G28" i="20"/>
  <c r="K52" i="20"/>
  <c r="K11" i="20"/>
  <c r="I8" i="20"/>
  <c r="K20" i="20"/>
  <c r="K59" i="20"/>
  <c r="C51" i="20"/>
  <c r="C60" i="20"/>
  <c r="G14" i="20"/>
  <c r="I17" i="20"/>
  <c r="E21" i="20"/>
  <c r="I34" i="20"/>
  <c r="K37" i="20"/>
  <c r="C40" i="20"/>
  <c r="C44" i="20"/>
  <c r="E51" i="20"/>
  <c r="I54" i="20"/>
  <c r="E60" i="20"/>
  <c r="C21" i="20"/>
  <c r="C10" i="20"/>
  <c r="G21" i="20"/>
  <c r="C31" i="20"/>
  <c r="E40" i="20"/>
  <c r="E44" i="20"/>
  <c r="K47" i="20"/>
  <c r="G51" i="20"/>
  <c r="G60" i="20"/>
  <c r="K63" i="20"/>
  <c r="E10" i="20"/>
  <c r="I21" i="20"/>
  <c r="E31" i="20"/>
  <c r="C38" i="20"/>
  <c r="G40" i="20"/>
  <c r="G44" i="20"/>
  <c r="I51" i="20"/>
  <c r="I60" i="20"/>
  <c r="I18" i="20"/>
  <c r="K21" i="20"/>
  <c r="C24" i="20"/>
  <c r="G31" i="20"/>
  <c r="I40" i="20"/>
  <c r="E48" i="20"/>
  <c r="E64" i="20"/>
  <c r="C59" i="19"/>
  <c r="E66" i="19"/>
  <c r="I61" i="19"/>
  <c r="K61" i="19"/>
  <c r="G59" i="19"/>
  <c r="C62" i="19"/>
  <c r="E62" i="19"/>
  <c r="G62" i="19"/>
  <c r="I62" i="19"/>
  <c r="K64" i="19"/>
  <c r="I63" i="19"/>
  <c r="I66" i="19"/>
  <c r="L67" i="19"/>
  <c r="E67" i="19" s="1"/>
  <c r="C64" i="19"/>
  <c r="E64" i="19"/>
  <c r="C61" i="19"/>
  <c r="G64" i="19"/>
  <c r="C33" i="19"/>
  <c r="E33" i="19"/>
  <c r="C44" i="19"/>
  <c r="E54" i="19"/>
  <c r="E17" i="19"/>
  <c r="K34" i="19"/>
  <c r="E9" i="19"/>
  <c r="I51" i="19"/>
  <c r="C38" i="19"/>
  <c r="C52" i="19"/>
  <c r="C32" i="19"/>
  <c r="E38" i="19"/>
  <c r="C47" i="19"/>
  <c r="E52" i="19"/>
  <c r="G13" i="19"/>
  <c r="G32" i="19"/>
  <c r="G38" i="19"/>
  <c r="E47" i="19"/>
  <c r="G52" i="19"/>
  <c r="K23" i="19"/>
  <c r="I32" i="19"/>
  <c r="G47" i="19"/>
  <c r="G36" i="19"/>
  <c r="G37" i="19"/>
  <c r="K10" i="19"/>
  <c r="K37" i="19"/>
  <c r="K50" i="19"/>
  <c r="E6" i="19"/>
  <c r="G6" i="19"/>
  <c r="I6" i="19"/>
  <c r="C14" i="19"/>
  <c r="G21" i="19"/>
  <c r="G28" i="19"/>
  <c r="E14" i="19"/>
  <c r="I28" i="19"/>
  <c r="I7" i="19"/>
  <c r="G14" i="19"/>
  <c r="C22" i="19"/>
  <c r="C48" i="19"/>
  <c r="I52" i="19"/>
  <c r="K7" i="19"/>
  <c r="I14" i="19"/>
  <c r="E22" i="19"/>
  <c r="G29" i="19"/>
  <c r="C36" i="19"/>
  <c r="C43" i="19"/>
  <c r="G48" i="19"/>
  <c r="G7" i="19"/>
  <c r="G19" i="19"/>
  <c r="K24" i="19"/>
  <c r="E30" i="19"/>
  <c r="I40" i="19"/>
  <c r="G45" i="19"/>
  <c r="E49" i="19"/>
  <c r="I19" i="19"/>
  <c r="G30" i="19"/>
  <c r="K40" i="19"/>
  <c r="K45" i="19"/>
  <c r="K49" i="19"/>
  <c r="C41" i="19"/>
  <c r="I36" i="19"/>
  <c r="E41" i="19"/>
  <c r="C9" i="19"/>
  <c r="K26" i="19"/>
  <c r="K41" i="19"/>
  <c r="I22" i="19"/>
  <c r="C24" i="19"/>
  <c r="C7" i="19"/>
  <c r="C19" i="19"/>
  <c r="G24" i="19"/>
  <c r="C40" i="19"/>
  <c r="E19" i="19"/>
  <c r="I24" i="19"/>
  <c r="C30" i="19"/>
  <c r="G35" i="19"/>
  <c r="G40" i="19"/>
  <c r="C49" i="19"/>
  <c r="G53" i="19"/>
  <c r="C8" i="19"/>
  <c r="C20" i="19"/>
  <c r="I31" i="19"/>
  <c r="E39" i="19"/>
  <c r="G8" i="19"/>
  <c r="G12" i="19"/>
  <c r="C16" i="19"/>
  <c r="E20" i="19"/>
  <c r="K31" i="19"/>
  <c r="G39" i="19"/>
  <c r="E43" i="19"/>
  <c r="G54" i="19"/>
  <c r="I8" i="19"/>
  <c r="G20" i="19"/>
  <c r="I39" i="19"/>
  <c r="K8" i="19"/>
  <c r="I16" i="19"/>
  <c r="I20" i="19"/>
  <c r="K39" i="19"/>
  <c r="I44" i="19"/>
  <c r="C11" i="19"/>
  <c r="E11" i="19"/>
  <c r="C15" i="19"/>
  <c r="I30" i="19"/>
  <c r="G11" i="19"/>
  <c r="E15" i="19"/>
  <c r="C23" i="19"/>
  <c r="C27" i="19"/>
  <c r="C46" i="19"/>
  <c r="I11" i="19"/>
  <c r="G15" i="19"/>
  <c r="E23" i="19"/>
  <c r="E27" i="19"/>
  <c r="C31" i="19"/>
  <c r="I38" i="19"/>
  <c r="E46" i="19"/>
  <c r="K53" i="19"/>
  <c r="I15" i="19"/>
  <c r="G23" i="19"/>
  <c r="G27" i="19"/>
  <c r="E31" i="19"/>
  <c r="C35" i="19"/>
  <c r="G46" i="19"/>
  <c r="C12" i="19"/>
  <c r="I27" i="19"/>
  <c r="E35" i="19"/>
  <c r="I46" i="19"/>
  <c r="C54" i="19"/>
  <c r="C67" i="19"/>
  <c r="I13" i="19"/>
  <c r="I21" i="19"/>
  <c r="I29" i="19"/>
  <c r="I37" i="19"/>
  <c r="I45" i="19"/>
  <c r="I53" i="19"/>
  <c r="K63" i="19"/>
  <c r="G66" i="19"/>
  <c r="K13" i="19"/>
  <c r="K21" i="19"/>
  <c r="K29" i="19"/>
  <c r="K66" i="19"/>
  <c r="L55" i="19"/>
  <c r="I55" i="19" s="1"/>
  <c r="I35" i="19"/>
  <c r="I43" i="19"/>
  <c r="G9" i="19"/>
  <c r="G17" i="19"/>
  <c r="G25" i="19"/>
  <c r="G33" i="19"/>
  <c r="G41" i="19"/>
  <c r="G49" i="19"/>
  <c r="I59" i="19"/>
  <c r="I9" i="19"/>
  <c r="I17" i="19"/>
  <c r="I25" i="19"/>
  <c r="K59" i="19"/>
  <c r="C60" i="19"/>
  <c r="C10" i="19"/>
  <c r="C18" i="19"/>
  <c r="C26" i="19"/>
  <c r="C34" i="19"/>
  <c r="C42" i="19"/>
  <c r="C50" i="19"/>
  <c r="E60" i="19"/>
  <c r="E10" i="19"/>
  <c r="E18" i="19"/>
  <c r="E26" i="19"/>
  <c r="E34" i="19"/>
  <c r="E42" i="19"/>
  <c r="E50" i="19"/>
  <c r="G60" i="19"/>
  <c r="C63" i="19"/>
  <c r="G10" i="19"/>
  <c r="C13" i="19"/>
  <c r="G18" i="19"/>
  <c r="C21" i="19"/>
  <c r="G26" i="19"/>
  <c r="C29" i="19"/>
  <c r="G34" i="19"/>
  <c r="C37" i="19"/>
  <c r="G42" i="19"/>
  <c r="C45" i="19"/>
  <c r="G50" i="19"/>
  <c r="C53" i="19"/>
  <c r="I60" i="19"/>
  <c r="E63" i="19"/>
  <c r="K46" i="18"/>
  <c r="I46" i="18"/>
  <c r="K27" i="18"/>
  <c r="E28" i="18"/>
  <c r="G28" i="18"/>
  <c r="L67" i="18"/>
  <c r="E67" i="18" s="1"/>
  <c r="I28" i="18"/>
  <c r="K28" i="18"/>
  <c r="E16" i="18"/>
  <c r="I51" i="18"/>
  <c r="C41" i="18"/>
  <c r="K10" i="18"/>
  <c r="E26" i="18"/>
  <c r="G26" i="18"/>
  <c r="E41" i="18"/>
  <c r="G16" i="18"/>
  <c r="G41" i="18"/>
  <c r="G30" i="18"/>
  <c r="I30" i="18"/>
  <c r="C52" i="18"/>
  <c r="C11" i="18"/>
  <c r="E35" i="18"/>
  <c r="G35" i="18"/>
  <c r="L55" i="18"/>
  <c r="C55" i="18" s="1"/>
  <c r="K12" i="18"/>
  <c r="I35" i="18"/>
  <c r="C46" i="18"/>
  <c r="K51" i="18"/>
  <c r="K14" i="18"/>
  <c r="E46" i="18"/>
  <c r="E30" i="18"/>
  <c r="G36" i="18"/>
  <c r="K53" i="18"/>
  <c r="C37" i="18"/>
  <c r="I12" i="18"/>
  <c r="K18" i="18"/>
  <c r="G37" i="18"/>
  <c r="E44" i="18"/>
  <c r="I50" i="18"/>
  <c r="E18" i="18"/>
  <c r="G18" i="18"/>
  <c r="E50" i="18"/>
  <c r="I18" i="18"/>
  <c r="K37" i="18"/>
  <c r="G44" i="18"/>
  <c r="K50" i="18"/>
  <c r="E36" i="18"/>
  <c r="C14" i="18"/>
  <c r="I44" i="18"/>
  <c r="C50" i="18"/>
  <c r="K30" i="18"/>
  <c r="E14" i="18"/>
  <c r="G21" i="18"/>
  <c r="C34" i="18"/>
  <c r="K44" i="18"/>
  <c r="C51" i="18"/>
  <c r="C36" i="18"/>
  <c r="G14" i="18"/>
  <c r="E34" i="18"/>
  <c r="E51" i="18"/>
  <c r="I21" i="18"/>
  <c r="G39" i="18"/>
  <c r="I53" i="18"/>
  <c r="I19" i="18"/>
  <c r="G34" i="18"/>
  <c r="I37" i="18"/>
  <c r="I42" i="18"/>
  <c r="I52" i="18"/>
  <c r="I34" i="18"/>
  <c r="K52" i="18"/>
  <c r="C25" i="18"/>
  <c r="G29" i="18"/>
  <c r="C43" i="18"/>
  <c r="C21" i="18"/>
  <c r="E25" i="18"/>
  <c r="C53" i="18"/>
  <c r="E21" i="18"/>
  <c r="G25" i="18"/>
  <c r="C35" i="18"/>
  <c r="E53" i="18"/>
  <c r="K59" i="18"/>
  <c r="E64" i="18"/>
  <c r="K60" i="18"/>
  <c r="K62" i="18"/>
  <c r="C65" i="18"/>
  <c r="E65" i="18"/>
  <c r="G65" i="18"/>
  <c r="I65" i="18"/>
  <c r="I66" i="18"/>
  <c r="C62" i="18"/>
  <c r="E62" i="18"/>
  <c r="K66" i="18"/>
  <c r="G62" i="18"/>
  <c r="I26" i="18"/>
  <c r="I39" i="18"/>
  <c r="G64" i="18"/>
  <c r="G13" i="18"/>
  <c r="K16" i="18"/>
  <c r="E20" i="18"/>
  <c r="K36" i="18"/>
  <c r="K42" i="18"/>
  <c r="I64" i="18"/>
  <c r="K20" i="18"/>
  <c r="K26" i="18"/>
  <c r="K39" i="18"/>
  <c r="K64" i="18"/>
  <c r="I48" i="18"/>
  <c r="C48" i="18"/>
  <c r="C32" i="18"/>
  <c r="E48" i="18"/>
  <c r="C63" i="18"/>
  <c r="C9" i="18"/>
  <c r="C12" i="18"/>
  <c r="E32" i="18"/>
  <c r="G48" i="18"/>
  <c r="C60" i="18"/>
  <c r="E63" i="18"/>
  <c r="E9" i="18"/>
  <c r="E12" i="18"/>
  <c r="C19" i="18"/>
  <c r="G32" i="18"/>
  <c r="E60" i="18"/>
  <c r="G63" i="18"/>
  <c r="G9" i="18"/>
  <c r="G12" i="18"/>
  <c r="C16" i="18"/>
  <c r="E19" i="18"/>
  <c r="I32" i="18"/>
  <c r="C42" i="18"/>
  <c r="G60" i="18"/>
  <c r="I63" i="18"/>
  <c r="I6" i="18"/>
  <c r="I9" i="18"/>
  <c r="G19" i="18"/>
  <c r="G45" i="18"/>
  <c r="E52" i="18"/>
  <c r="G37" i="17"/>
  <c r="C50" i="17"/>
  <c r="E39" i="17"/>
  <c r="G9" i="17"/>
  <c r="C21" i="17"/>
  <c r="G46" i="17"/>
  <c r="C12" i="17"/>
  <c r="C28" i="17"/>
  <c r="K19" i="17"/>
  <c r="C43" i="17"/>
  <c r="E43" i="17"/>
  <c r="C55" i="17"/>
  <c r="K20" i="17"/>
  <c r="K43" i="17"/>
  <c r="I7" i="17"/>
  <c r="C16" i="17"/>
  <c r="C27" i="17"/>
  <c r="K34" i="17"/>
  <c r="E42" i="17"/>
  <c r="K58" i="17"/>
  <c r="E27" i="17"/>
  <c r="E28" i="17"/>
  <c r="C37" i="17"/>
  <c r="G43" i="17"/>
  <c r="C10" i="17"/>
  <c r="G28" i="17"/>
  <c r="E37" i="17"/>
  <c r="G52" i="17"/>
  <c r="I52" i="17"/>
  <c r="G12" i="17"/>
  <c r="G13" i="17"/>
  <c r="G39" i="17"/>
  <c r="I46" i="17"/>
  <c r="E55" i="17"/>
  <c r="I14" i="17"/>
  <c r="E25" i="17"/>
  <c r="C34" i="17"/>
  <c r="E7" i="17"/>
  <c r="G34" i="17"/>
  <c r="C48" i="17"/>
  <c r="G7" i="17"/>
  <c r="I34" i="17"/>
  <c r="C42" i="17"/>
  <c r="E48" i="17"/>
  <c r="E19" i="17"/>
  <c r="G19" i="17"/>
  <c r="I27" i="17"/>
  <c r="G42" i="17"/>
  <c r="I48" i="17"/>
  <c r="G57" i="17"/>
  <c r="C19" i="17"/>
  <c r="C58" i="17"/>
  <c r="K7" i="17"/>
  <c r="K14" i="17"/>
  <c r="G21" i="17"/>
  <c r="I37" i="17"/>
  <c r="G51" i="17"/>
  <c r="E58" i="17"/>
  <c r="G58" i="17"/>
  <c r="E52" i="17"/>
  <c r="K30" i="17"/>
  <c r="E10" i="17"/>
  <c r="E50" i="17"/>
  <c r="G55" i="17"/>
  <c r="E16" i="17"/>
  <c r="G10" i="17"/>
  <c r="G16" i="17"/>
  <c r="I28" i="17"/>
  <c r="G44" i="17"/>
  <c r="G50" i="17"/>
  <c r="I55" i="17"/>
  <c r="I10" i="17"/>
  <c r="I16" i="17"/>
  <c r="I22" i="17"/>
  <c r="C41" i="17"/>
  <c r="I50" i="17"/>
  <c r="E36" i="17"/>
  <c r="I36" i="17"/>
  <c r="G41" i="17"/>
  <c r="C46" i="17"/>
  <c r="C51" i="17"/>
  <c r="E41" i="17"/>
  <c r="G18" i="17"/>
  <c r="E30" i="17"/>
  <c r="K36" i="17"/>
  <c r="I41" i="17"/>
  <c r="E46" i="17"/>
  <c r="E51" i="17"/>
  <c r="L59" i="17"/>
  <c r="C59" i="17" s="1"/>
  <c r="G69" i="17"/>
  <c r="E68" i="17"/>
  <c r="G68" i="17"/>
  <c r="I68" i="17"/>
  <c r="C64" i="17"/>
  <c r="G64" i="17"/>
  <c r="E67" i="17"/>
  <c r="L71" i="17"/>
  <c r="E71" i="17" s="1"/>
  <c r="C69" i="17"/>
  <c r="K20" i="16"/>
  <c r="I37" i="16"/>
  <c r="C60" i="16"/>
  <c r="K37" i="16"/>
  <c r="E60" i="16"/>
  <c r="E38" i="16"/>
  <c r="I6" i="16"/>
  <c r="C29" i="16"/>
  <c r="K15" i="16"/>
  <c r="I53" i="16"/>
  <c r="E46" i="16"/>
  <c r="G19" i="16"/>
  <c r="M50" i="16"/>
  <c r="G60" i="16"/>
  <c r="I12" i="16"/>
  <c r="K19" i="16"/>
  <c r="C41" i="16"/>
  <c r="M19" i="16"/>
  <c r="K32" i="16"/>
  <c r="C14" i="16"/>
  <c r="K23" i="16"/>
  <c r="I34" i="16"/>
  <c r="G44" i="16"/>
  <c r="G52" i="16"/>
  <c r="I60" i="16"/>
  <c r="C27" i="16"/>
  <c r="I52" i="16"/>
  <c r="G27" i="16"/>
  <c r="E27" i="16"/>
  <c r="M10" i="16"/>
  <c r="I27" i="16"/>
  <c r="M45" i="16"/>
  <c r="C19" i="16"/>
  <c r="M30" i="16"/>
  <c r="M57" i="16"/>
  <c r="E41" i="16"/>
  <c r="C10" i="16"/>
  <c r="K14" i="16"/>
  <c r="M34" i="16"/>
  <c r="G41" i="16"/>
  <c r="I48" i="16"/>
  <c r="M54" i="16"/>
  <c r="K60" i="16"/>
  <c r="C23" i="16"/>
  <c r="I41" i="16"/>
  <c r="G10" i="16"/>
  <c r="E23" i="16"/>
  <c r="K41" i="16"/>
  <c r="C55" i="16"/>
  <c r="I23" i="16"/>
  <c r="C50" i="16"/>
  <c r="E55" i="16"/>
  <c r="I16" i="16"/>
  <c r="G30" i="16"/>
  <c r="E37" i="16"/>
  <c r="G50" i="16"/>
  <c r="E16" i="16"/>
  <c r="E30" i="16"/>
  <c r="C37" i="16"/>
  <c r="E50" i="16"/>
  <c r="K16" i="16"/>
  <c r="M24" i="16"/>
  <c r="I30" i="16"/>
  <c r="G37" i="16"/>
  <c r="I40" i="16"/>
  <c r="I44" i="16"/>
  <c r="M53" i="16"/>
  <c r="K9" i="16"/>
  <c r="M26" i="16"/>
  <c r="K30" i="16"/>
  <c r="M44" i="16"/>
  <c r="E54" i="16"/>
  <c r="M32" i="16"/>
  <c r="M46" i="16"/>
  <c r="C7" i="16"/>
  <c r="E7" i="16"/>
  <c r="G16" i="16"/>
  <c r="G23" i="16"/>
  <c r="K33" i="16"/>
  <c r="I43" i="16"/>
  <c r="G47" i="16"/>
  <c r="E52" i="16"/>
  <c r="C57" i="16"/>
  <c r="G7" i="16"/>
  <c r="K43" i="16"/>
  <c r="E57" i="16"/>
  <c r="I7" i="16"/>
  <c r="G57" i="16"/>
  <c r="C34" i="16"/>
  <c r="C48" i="16"/>
  <c r="K7" i="16"/>
  <c r="K12" i="16"/>
  <c r="M16" i="16"/>
  <c r="E34" i="16"/>
  <c r="M38" i="16"/>
  <c r="C44" i="16"/>
  <c r="E48" i="16"/>
  <c r="I57" i="16"/>
  <c r="I24" i="16"/>
  <c r="G48" i="16"/>
  <c r="G53" i="16"/>
  <c r="M6" i="16"/>
  <c r="M9" i="16"/>
  <c r="M12" i="16"/>
  <c r="M40" i="16"/>
  <c r="M43" i="16"/>
  <c r="I46" i="16"/>
  <c r="K53" i="16"/>
  <c r="M20" i="16"/>
  <c r="C28" i="16"/>
  <c r="M8" i="16"/>
  <c r="C11" i="16"/>
  <c r="E25" i="16"/>
  <c r="E28" i="16"/>
  <c r="C39" i="16"/>
  <c r="M42" i="16"/>
  <c r="C45" i="16"/>
  <c r="K48" i="16"/>
  <c r="K52" i="16"/>
  <c r="I55" i="16"/>
  <c r="E59" i="16"/>
  <c r="C25" i="16"/>
  <c r="C59" i="16"/>
  <c r="G25" i="16"/>
  <c r="G28" i="16"/>
  <c r="C32" i="16"/>
  <c r="E39" i="16"/>
  <c r="K45" i="16"/>
  <c r="M52" i="16"/>
  <c r="K55" i="16"/>
  <c r="G59" i="16"/>
  <c r="C9" i="16"/>
  <c r="C12" i="16"/>
  <c r="I25" i="16"/>
  <c r="I28" i="16"/>
  <c r="I36" i="16"/>
  <c r="G39" i="16"/>
  <c r="C43" i="16"/>
  <c r="I59" i="16"/>
  <c r="C20" i="16"/>
  <c r="E9" i="16"/>
  <c r="E12" i="16"/>
  <c r="K25" i="16"/>
  <c r="K28" i="16"/>
  <c r="G32" i="16"/>
  <c r="K36" i="16"/>
  <c r="I39" i="16"/>
  <c r="E43" i="16"/>
  <c r="K49" i="16"/>
  <c r="C53" i="16"/>
  <c r="I56" i="16"/>
  <c r="K59" i="16"/>
  <c r="E20" i="16"/>
  <c r="E32" i="16"/>
  <c r="E22" i="16"/>
  <c r="M36" i="16"/>
  <c r="K39" i="16"/>
  <c r="C46" i="16"/>
  <c r="M56" i="16"/>
  <c r="C69" i="16"/>
  <c r="M66" i="16"/>
  <c r="C68" i="16"/>
  <c r="G69" i="16"/>
  <c r="I68" i="16"/>
  <c r="E66" i="16"/>
  <c r="G66" i="16"/>
  <c r="G71" i="16"/>
  <c r="I66" i="16"/>
  <c r="I71" i="16"/>
  <c r="K66" i="16"/>
  <c r="K71" i="16"/>
  <c r="K68" i="16"/>
  <c r="M68" i="16"/>
  <c r="I69" i="16"/>
  <c r="K65" i="16"/>
  <c r="E69" i="16"/>
  <c r="M72" i="16"/>
  <c r="K69" i="16"/>
  <c r="E70" i="16"/>
  <c r="M70" i="16"/>
  <c r="E68" i="16"/>
  <c r="C71" i="16"/>
  <c r="E71" i="16"/>
  <c r="I53" i="17"/>
  <c r="I9" i="17"/>
  <c r="I18" i="17"/>
  <c r="K24" i="17"/>
  <c r="K29" i="17"/>
  <c r="K32" i="17"/>
  <c r="I44" i="17"/>
  <c r="I57" i="17"/>
  <c r="K66" i="17"/>
  <c r="E69" i="17"/>
  <c r="I6" i="17"/>
  <c r="K9" i="17"/>
  <c r="E12" i="17"/>
  <c r="K18" i="17"/>
  <c r="E21" i="17"/>
  <c r="C25" i="17"/>
  <c r="G27" i="17"/>
  <c r="C30" i="17"/>
  <c r="G36" i="17"/>
  <c r="I39" i="17"/>
  <c r="I42" i="17"/>
  <c r="K44" i="17"/>
  <c r="G48" i="17"/>
  <c r="I51" i="17"/>
  <c r="I54" i="17"/>
  <c r="K57" i="17"/>
  <c r="C67" i="17"/>
  <c r="I69" i="17"/>
  <c r="I12" i="17"/>
  <c r="I21" i="17"/>
  <c r="G25" i="17"/>
  <c r="G45" i="17"/>
  <c r="E64" i="17"/>
  <c r="G67" i="17"/>
  <c r="I70" i="17"/>
  <c r="I25" i="17"/>
  <c r="I67" i="17"/>
  <c r="K40" i="17"/>
  <c r="K45" i="17"/>
  <c r="I64" i="17"/>
  <c r="C23" i="17"/>
  <c r="C26" i="17"/>
  <c r="C11" i="17"/>
  <c r="K13" i="17"/>
  <c r="E23" i="17"/>
  <c r="E26" i="17"/>
  <c r="C35" i="17"/>
  <c r="K52" i="17"/>
  <c r="E11" i="17"/>
  <c r="E20" i="17"/>
  <c r="G23" i="17"/>
  <c r="G26" i="17"/>
  <c r="C32" i="17"/>
  <c r="E35" i="17"/>
  <c r="C66" i="17"/>
  <c r="C14" i="17"/>
  <c r="G20" i="17"/>
  <c r="I23" i="17"/>
  <c r="I26" i="17"/>
  <c r="E32" i="17"/>
  <c r="G35" i="17"/>
  <c r="E66" i="17"/>
  <c r="C53" i="17"/>
  <c r="C9" i="17"/>
  <c r="I11" i="17"/>
  <c r="E14" i="17"/>
  <c r="C18" i="17"/>
  <c r="I20" i="17"/>
  <c r="G32" i="17"/>
  <c r="I35" i="17"/>
  <c r="I38" i="17"/>
  <c r="C44" i="17"/>
  <c r="E53" i="17"/>
  <c r="C57" i="17"/>
  <c r="G66" i="17"/>
  <c r="K68" i="17"/>
  <c r="G11" i="17"/>
  <c r="G29" i="17"/>
  <c r="G53" i="17"/>
  <c r="C35" i="15"/>
  <c r="G10" i="15"/>
  <c r="I35" i="15"/>
  <c r="I51" i="15"/>
  <c r="G11" i="15"/>
  <c r="I26" i="15"/>
  <c r="C11" i="15"/>
  <c r="G51" i="15"/>
  <c r="G7" i="15"/>
  <c r="M18" i="15"/>
  <c r="G52" i="15"/>
  <c r="C32" i="15"/>
  <c r="E43" i="15"/>
  <c r="G32" i="15"/>
  <c r="G43" i="15"/>
  <c r="C10" i="15"/>
  <c r="K32" i="15"/>
  <c r="M43" i="15"/>
  <c r="E28" i="15"/>
  <c r="C38" i="15"/>
  <c r="I10" i="15"/>
  <c r="I12" i="15"/>
  <c r="K44" i="15"/>
  <c r="I52" i="15"/>
  <c r="E45" i="15"/>
  <c r="C7" i="15"/>
  <c r="K26" i="15"/>
  <c r="G45" i="15"/>
  <c r="G54" i="15"/>
  <c r="E7" i="15"/>
  <c r="I45" i="15"/>
  <c r="G19" i="15"/>
  <c r="C50" i="15"/>
  <c r="E41" i="15"/>
  <c r="K21" i="15"/>
  <c r="E32" i="15"/>
  <c r="G41" i="15"/>
  <c r="I14" i="15"/>
  <c r="C42" i="15"/>
  <c r="I47" i="15"/>
  <c r="C26" i="15"/>
  <c r="E42" i="15"/>
  <c r="K47" i="15"/>
  <c r="E26" i="15"/>
  <c r="G42" i="15"/>
  <c r="M47" i="15"/>
  <c r="G26" i="15"/>
  <c r="M42" i="15"/>
  <c r="I56" i="15"/>
  <c r="N58" i="15"/>
  <c r="M58" i="15" s="1"/>
  <c r="I69" i="15"/>
  <c r="C63" i="15"/>
  <c r="G63" i="15"/>
  <c r="I63" i="15"/>
  <c r="K63" i="15"/>
  <c r="E63" i="15"/>
  <c r="E35" i="15"/>
  <c r="E50" i="15"/>
  <c r="I54" i="15"/>
  <c r="K66" i="15"/>
  <c r="K14" i="15"/>
  <c r="M14" i="15"/>
  <c r="E19" i="15"/>
  <c r="M24" i="15"/>
  <c r="M29" i="15"/>
  <c r="G35" i="15"/>
  <c r="C45" i="15"/>
  <c r="G50" i="15"/>
  <c r="K54" i="15"/>
  <c r="M66" i="15"/>
  <c r="E11" i="15"/>
  <c r="K15" i="15"/>
  <c r="I19" i="15"/>
  <c r="M25" i="15"/>
  <c r="M30" i="15"/>
  <c r="K35" i="15"/>
  <c r="I11" i="15"/>
  <c r="C16" i="15"/>
  <c r="K20" i="15"/>
  <c r="K31" i="15"/>
  <c r="E36" i="15"/>
  <c r="I42" i="15"/>
  <c r="K45" i="15"/>
  <c r="E68" i="15"/>
  <c r="K11" i="15"/>
  <c r="E16" i="15"/>
  <c r="M20" i="15"/>
  <c r="M51" i="15"/>
  <c r="G68" i="15"/>
  <c r="I16" i="15"/>
  <c r="K37" i="15"/>
  <c r="M8" i="15"/>
  <c r="G13" i="15"/>
  <c r="C18" i="15"/>
  <c r="I22" i="15"/>
  <c r="I32" i="15"/>
  <c r="E38" i="15"/>
  <c r="K52" i="15"/>
  <c r="E18" i="15"/>
  <c r="C14" i="15"/>
  <c r="G18" i="15"/>
  <c r="M27" i="15"/>
  <c r="G65" i="15"/>
  <c r="E14" i="15"/>
  <c r="I18" i="15"/>
  <c r="C23" i="15"/>
  <c r="G44" i="15"/>
  <c r="C54" i="15"/>
  <c r="E10" i="15"/>
  <c r="E23" i="15"/>
  <c r="C28" i="15"/>
  <c r="C41" i="15"/>
  <c r="I44" i="15"/>
  <c r="E54" i="15"/>
  <c r="C9" i="15"/>
  <c r="K65" i="15"/>
  <c r="E9" i="15"/>
  <c r="K19" i="15"/>
  <c r="K46" i="15"/>
  <c r="M55" i="15"/>
  <c r="M65" i="15"/>
  <c r="G9" i="15"/>
  <c r="I9" i="15"/>
  <c r="G12" i="15"/>
  <c r="G16" i="15"/>
  <c r="E20" i="15"/>
  <c r="I43" i="15"/>
  <c r="C47" i="15"/>
  <c r="K51" i="15"/>
  <c r="C56" i="15"/>
  <c r="C66" i="15"/>
  <c r="K9" i="15"/>
  <c r="G20" i="15"/>
  <c r="I25" i="15"/>
  <c r="G29" i="15"/>
  <c r="K34" i="15"/>
  <c r="E47" i="15"/>
  <c r="E56" i="15"/>
  <c r="E66" i="15"/>
  <c r="I20" i="15"/>
  <c r="K25" i="15"/>
  <c r="K29" i="15"/>
  <c r="M34" i="15"/>
  <c r="G56" i="15"/>
  <c r="M36" i="14"/>
  <c r="K38" i="14"/>
  <c r="K12" i="14"/>
  <c r="E28" i="14"/>
  <c r="K7" i="14"/>
  <c r="E16" i="14"/>
  <c r="K28" i="14"/>
  <c r="M10" i="14"/>
  <c r="M37" i="14"/>
  <c r="E42" i="14"/>
  <c r="K31" i="14"/>
  <c r="G21" i="14"/>
  <c r="I36" i="14"/>
  <c r="K36" i="14"/>
  <c r="M8" i="14"/>
  <c r="E12" i="14"/>
  <c r="M21" i="14"/>
  <c r="G42" i="14"/>
  <c r="C12" i="14"/>
  <c r="G12" i="14"/>
  <c r="I12" i="14"/>
  <c r="G18" i="14"/>
  <c r="E36" i="14"/>
  <c r="E18" i="14"/>
  <c r="I18" i="14"/>
  <c r="G36" i="14"/>
  <c r="G51" i="14"/>
  <c r="G43" i="14"/>
  <c r="M51" i="14"/>
  <c r="K53" i="14"/>
  <c r="C32" i="14"/>
  <c r="C49" i="14"/>
  <c r="G56" i="14"/>
  <c r="M23" i="14"/>
  <c r="E32" i="14"/>
  <c r="M39" i="14"/>
  <c r="E49" i="14"/>
  <c r="I56" i="14"/>
  <c r="G49" i="14"/>
  <c r="I49" i="14"/>
  <c r="C25" i="14"/>
  <c r="I34" i="14"/>
  <c r="G41" i="14"/>
  <c r="K49" i="14"/>
  <c r="G10" i="14"/>
  <c r="C18" i="14"/>
  <c r="C67" i="14"/>
  <c r="E67" i="14"/>
  <c r="G67" i="14"/>
  <c r="M15" i="14"/>
  <c r="I21" i="14"/>
  <c r="C65" i="14"/>
  <c r="E25" i="14"/>
  <c r="I67" i="14"/>
  <c r="M19" i="14"/>
  <c r="C39" i="14"/>
  <c r="K67" i="14"/>
  <c r="E39" i="14"/>
  <c r="C27" i="14"/>
  <c r="G39" i="14"/>
  <c r="G7" i="14"/>
  <c r="C21" i="14"/>
  <c r="E27" i="14"/>
  <c r="I39" i="14"/>
  <c r="C48" i="14"/>
  <c r="M53" i="14"/>
  <c r="G64" i="14"/>
  <c r="I7" i="14"/>
  <c r="I27" i="14"/>
  <c r="M35" i="14"/>
  <c r="I48" i="14"/>
  <c r="I64" i="14"/>
  <c r="C7" i="14"/>
  <c r="I10" i="14"/>
  <c r="G28" i="14"/>
  <c r="E48" i="14"/>
  <c r="I51" i="14"/>
  <c r="C56" i="14"/>
  <c r="C62" i="14"/>
  <c r="K66" i="14"/>
  <c r="E7" i="14"/>
  <c r="K10" i="14"/>
  <c r="C16" i="14"/>
  <c r="K20" i="14"/>
  <c r="M24" i="14"/>
  <c r="I28" i="14"/>
  <c r="K35" i="14"/>
  <c r="I38" i="14"/>
  <c r="C42" i="14"/>
  <c r="G48" i="14"/>
  <c r="K51" i="14"/>
  <c r="E56" i="14"/>
  <c r="M66" i="14"/>
  <c r="I42" i="14"/>
  <c r="I52" i="14"/>
  <c r="K56" i="14"/>
  <c r="G25" i="14"/>
  <c r="K42" i="14"/>
  <c r="K52" i="14"/>
  <c r="C9" i="14"/>
  <c r="I65" i="14"/>
  <c r="I68" i="14"/>
  <c r="E9" i="14"/>
  <c r="C19" i="14"/>
  <c r="I22" i="14"/>
  <c r="G27" i="14"/>
  <c r="C37" i="14"/>
  <c r="K45" i="14"/>
  <c r="M54" i="14"/>
  <c r="K65" i="14"/>
  <c r="K68" i="14"/>
  <c r="G9" i="14"/>
  <c r="G13" i="14"/>
  <c r="E19" i="14"/>
  <c r="K22" i="14"/>
  <c r="E37" i="14"/>
  <c r="M40" i="14"/>
  <c r="M45" i="14"/>
  <c r="M50" i="14"/>
  <c r="M68" i="14"/>
  <c r="G19" i="14"/>
  <c r="C34" i="14"/>
  <c r="G37" i="14"/>
  <c r="C55" i="14"/>
  <c r="I6" i="14"/>
  <c r="C10" i="14"/>
  <c r="I19" i="14"/>
  <c r="I23" i="14"/>
  <c r="E34" i="14"/>
  <c r="I37" i="14"/>
  <c r="C41" i="14"/>
  <c r="C51" i="14"/>
  <c r="E55" i="14"/>
  <c r="K61" i="14"/>
  <c r="E66" i="14"/>
  <c r="K6" i="14"/>
  <c r="K15" i="14"/>
  <c r="K23" i="14"/>
  <c r="C28" i="14"/>
  <c r="G34" i="14"/>
  <c r="E41" i="14"/>
  <c r="G55" i="14"/>
  <c r="M61" i="14"/>
  <c r="G66" i="14"/>
  <c r="M38" i="13"/>
  <c r="E20" i="13"/>
  <c r="C9" i="13"/>
  <c r="I20" i="13"/>
  <c r="C43" i="13"/>
  <c r="E43" i="13"/>
  <c r="I33" i="13"/>
  <c r="C8" i="13"/>
  <c r="M33" i="13"/>
  <c r="M21" i="13"/>
  <c r="G12" i="13"/>
  <c r="E23" i="13"/>
  <c r="I12" i="13"/>
  <c r="G23" i="13"/>
  <c r="E59" i="13"/>
  <c r="I23" i="13"/>
  <c r="M59" i="13"/>
  <c r="K23" i="13"/>
  <c r="I6" i="13"/>
  <c r="K51" i="13"/>
  <c r="K52" i="13"/>
  <c r="K55" i="13"/>
  <c r="C36" i="13"/>
  <c r="E36" i="13"/>
  <c r="K45" i="13"/>
  <c r="E12" i="13"/>
  <c r="G36" i="13"/>
  <c r="M45" i="13"/>
  <c r="K11" i="13"/>
  <c r="G20" i="13"/>
  <c r="C41" i="13"/>
  <c r="I59" i="13"/>
  <c r="C12" i="13"/>
  <c r="K36" i="13"/>
  <c r="I55" i="13"/>
  <c r="M55" i="13"/>
  <c r="E9" i="13"/>
  <c r="C56" i="13"/>
  <c r="G9" i="13"/>
  <c r="K39" i="13"/>
  <c r="I19" i="13"/>
  <c r="G10" i="13"/>
  <c r="E40" i="13"/>
  <c r="M49" i="13"/>
  <c r="C67" i="13"/>
  <c r="E67" i="13"/>
  <c r="K65" i="13"/>
  <c r="I67" i="13"/>
  <c r="K67" i="13"/>
  <c r="K71" i="13"/>
  <c r="C70" i="13"/>
  <c r="G16" i="13"/>
  <c r="I16" i="13"/>
  <c r="K33" i="13"/>
  <c r="M39" i="13"/>
  <c r="E45" i="13"/>
  <c r="M51" i="13"/>
  <c r="G58" i="13"/>
  <c r="M65" i="13"/>
  <c r="M71" i="13"/>
  <c r="C11" i="13"/>
  <c r="G45" i="13"/>
  <c r="K16" i="13"/>
  <c r="G11" i="13"/>
  <c r="M16" i="13"/>
  <c r="C23" i="13"/>
  <c r="C40" i="13"/>
  <c r="I45" i="13"/>
  <c r="C52" i="13"/>
  <c r="C59" i="13"/>
  <c r="M8" i="13"/>
  <c r="K19" i="13"/>
  <c r="G42" i="13"/>
  <c r="I9" i="13"/>
  <c r="K20" i="13"/>
  <c r="C33" i="13"/>
  <c r="I43" i="13"/>
  <c r="C51" i="13"/>
  <c r="E56" i="13"/>
  <c r="G70" i="13"/>
  <c r="K9" i="13"/>
  <c r="C16" i="13"/>
  <c r="M20" i="13"/>
  <c r="E33" i="13"/>
  <c r="M43" i="13"/>
  <c r="E51" i="13"/>
  <c r="G56" i="13"/>
  <c r="I39" i="13"/>
  <c r="I51" i="13"/>
  <c r="C65" i="13"/>
  <c r="I71" i="13"/>
  <c r="G7" i="13"/>
  <c r="E25" i="13"/>
  <c r="G35" i="13"/>
  <c r="E69" i="13"/>
  <c r="I7" i="13"/>
  <c r="I10" i="13"/>
  <c r="C19" i="13"/>
  <c r="G25" i="13"/>
  <c r="I35" i="13"/>
  <c r="C38" i="13"/>
  <c r="M41" i="13"/>
  <c r="C54" i="13"/>
  <c r="C58" i="13"/>
  <c r="E65" i="13"/>
  <c r="G69" i="13"/>
  <c r="K7" i="13"/>
  <c r="M10" i="13"/>
  <c r="E19" i="13"/>
  <c r="I22" i="13"/>
  <c r="I25" i="13"/>
  <c r="K35" i="13"/>
  <c r="E38" i="13"/>
  <c r="E54" i="13"/>
  <c r="G65" i="13"/>
  <c r="I69" i="13"/>
  <c r="M7" i="13"/>
  <c r="G19" i="13"/>
  <c r="M22" i="13"/>
  <c r="K25" i="13"/>
  <c r="M35" i="13"/>
  <c r="G38" i="13"/>
  <c r="C42" i="13"/>
  <c r="G54" i="13"/>
  <c r="M69" i="13"/>
  <c r="E37" i="13"/>
  <c r="M6" i="13"/>
  <c r="K12" i="13"/>
  <c r="G18" i="13"/>
  <c r="C24" i="13"/>
  <c r="G37" i="13"/>
  <c r="G40" i="13"/>
  <c r="C44" i="13"/>
  <c r="E49" i="13"/>
  <c r="E53" i="13"/>
  <c r="I56" i="13"/>
  <c r="C28" i="13"/>
  <c r="G30" i="13"/>
  <c r="E18" i="13"/>
  <c r="C49" i="13"/>
  <c r="I18" i="13"/>
  <c r="C21" i="13"/>
  <c r="M24" i="13"/>
  <c r="I37" i="13"/>
  <c r="I40" i="13"/>
  <c r="E44" i="13"/>
  <c r="G49" i="13"/>
  <c r="G53" i="13"/>
  <c r="K56" i="13"/>
  <c r="C68" i="13"/>
  <c r="E30" i="13"/>
  <c r="E28" i="13"/>
  <c r="C7" i="13"/>
  <c r="C10" i="13"/>
  <c r="K18" i="13"/>
  <c r="E21" i="13"/>
  <c r="C35" i="13"/>
  <c r="K37" i="13"/>
  <c r="K40" i="13"/>
  <c r="G44" i="13"/>
  <c r="I49" i="13"/>
  <c r="I53" i="13"/>
  <c r="K68" i="13"/>
  <c r="I30" i="13"/>
  <c r="C30" i="13"/>
  <c r="C18" i="13"/>
  <c r="E10" i="13"/>
  <c r="G21" i="13"/>
  <c r="C25" i="13"/>
  <c r="M37" i="13"/>
  <c r="K44" i="13"/>
  <c r="M53" i="13"/>
  <c r="M57" i="13"/>
  <c r="E19" i="12"/>
  <c r="C30" i="12"/>
  <c r="K47" i="12"/>
  <c r="I38" i="12"/>
  <c r="E30" i="12"/>
  <c r="G30" i="12"/>
  <c r="C23" i="12"/>
  <c r="I30" i="12"/>
  <c r="E23" i="12"/>
  <c r="K30" i="12"/>
  <c r="C42" i="12"/>
  <c r="M58" i="12"/>
  <c r="C12" i="12"/>
  <c r="E12" i="12"/>
  <c r="E42" i="12"/>
  <c r="M24" i="12"/>
  <c r="I42" i="12"/>
  <c r="G19" i="12"/>
  <c r="M34" i="12"/>
  <c r="M43" i="12"/>
  <c r="I57" i="12"/>
  <c r="C11" i="12"/>
  <c r="M20" i="12"/>
  <c r="C35" i="12"/>
  <c r="K57" i="12"/>
  <c r="M14" i="12"/>
  <c r="E7" i="12"/>
  <c r="E35" i="12"/>
  <c r="G42" i="12"/>
  <c r="I9" i="12"/>
  <c r="K11" i="12"/>
  <c r="M26" i="12"/>
  <c r="K32" i="12"/>
  <c r="C39" i="12"/>
  <c r="M57" i="12"/>
  <c r="E39" i="12"/>
  <c r="K27" i="12"/>
  <c r="G39" i="12"/>
  <c r="C58" i="12"/>
  <c r="M27" i="12"/>
  <c r="I39" i="12"/>
  <c r="E58" i="12"/>
  <c r="G58" i="12"/>
  <c r="I34" i="12"/>
  <c r="I28" i="12"/>
  <c r="K34" i="12"/>
  <c r="I50" i="12"/>
  <c r="I58" i="12"/>
  <c r="N59" i="12"/>
  <c r="K59" i="12" s="1"/>
  <c r="C67" i="12"/>
  <c r="N71" i="12"/>
  <c r="C71" i="12" s="1"/>
  <c r="G9" i="12"/>
  <c r="K14" i="12"/>
  <c r="K26" i="12"/>
  <c r="K31" i="12"/>
  <c r="M36" i="12"/>
  <c r="I69" i="12"/>
  <c r="K9" i="12"/>
  <c r="C37" i="12"/>
  <c r="I70" i="12"/>
  <c r="K15" i="12"/>
  <c r="G37" i="12"/>
  <c r="M48" i="12"/>
  <c r="C46" i="12"/>
  <c r="K7" i="12"/>
  <c r="G12" i="12"/>
  <c r="K19" i="12"/>
  <c r="K39" i="12"/>
  <c r="E46" i="12"/>
  <c r="G53" i="12"/>
  <c r="G67" i="12"/>
  <c r="M7" i="12"/>
  <c r="M12" i="12"/>
  <c r="K25" i="12"/>
  <c r="G46" i="12"/>
  <c r="I53" i="12"/>
  <c r="K67" i="12"/>
  <c r="I46" i="12"/>
  <c r="M8" i="12"/>
  <c r="G26" i="12"/>
  <c r="K35" i="12"/>
  <c r="M40" i="12"/>
  <c r="K46" i="12"/>
  <c r="I54" i="12"/>
  <c r="M68" i="12"/>
  <c r="E14" i="12"/>
  <c r="I21" i="12"/>
  <c r="I26" i="12"/>
  <c r="E10" i="12"/>
  <c r="E41" i="12"/>
  <c r="C44" i="12"/>
  <c r="C48" i="12"/>
  <c r="C7" i="12"/>
  <c r="G10" i="12"/>
  <c r="C14" i="12"/>
  <c r="M25" i="12"/>
  <c r="M28" i="12"/>
  <c r="E37" i="12"/>
  <c r="G41" i="12"/>
  <c r="E44" i="12"/>
  <c r="E48" i="12"/>
  <c r="M52" i="12"/>
  <c r="M56" i="12"/>
  <c r="I10" i="12"/>
  <c r="I41" i="12"/>
  <c r="I66" i="12"/>
  <c r="G7" i="12"/>
  <c r="K10" i="12"/>
  <c r="G14" i="12"/>
  <c r="K18" i="12"/>
  <c r="C26" i="12"/>
  <c r="I37" i="12"/>
  <c r="K41" i="12"/>
  <c r="I44" i="12"/>
  <c r="I48" i="12"/>
  <c r="C53" i="12"/>
  <c r="E57" i="12"/>
  <c r="K66" i="12"/>
  <c r="I18" i="12"/>
  <c r="G44" i="12"/>
  <c r="G48" i="12"/>
  <c r="M10" i="12"/>
  <c r="M18" i="12"/>
  <c r="M41" i="12"/>
  <c r="M44" i="12"/>
  <c r="E53" i="12"/>
  <c r="G57" i="12"/>
  <c r="M66" i="12"/>
  <c r="C16" i="12"/>
  <c r="K42" i="12"/>
  <c r="M50" i="12"/>
  <c r="C55" i="12"/>
  <c r="C64" i="12"/>
  <c r="E16" i="12"/>
  <c r="E64" i="12"/>
  <c r="G16" i="12"/>
  <c r="C51" i="12"/>
  <c r="G55" i="12"/>
  <c r="G64" i="12"/>
  <c r="M9" i="12"/>
  <c r="I12" i="12"/>
  <c r="I16" i="12"/>
  <c r="C21" i="12"/>
  <c r="E25" i="12"/>
  <c r="C28" i="12"/>
  <c r="C32" i="12"/>
  <c r="K43" i="12"/>
  <c r="E51" i="12"/>
  <c r="I55" i="12"/>
  <c r="I64" i="12"/>
  <c r="C69" i="12"/>
  <c r="E55" i="12"/>
  <c r="K16" i="12"/>
  <c r="E21" i="12"/>
  <c r="E28" i="12"/>
  <c r="E32" i="12"/>
  <c r="K55" i="12"/>
  <c r="K64" i="12"/>
  <c r="E69" i="12"/>
  <c r="G25" i="12"/>
  <c r="G51" i="12"/>
  <c r="I6" i="12"/>
  <c r="G21" i="12"/>
  <c r="I25" i="12"/>
  <c r="G28" i="12"/>
  <c r="K51" i="12"/>
  <c r="G69" i="12"/>
  <c r="G23" i="10"/>
  <c r="E6" i="10"/>
  <c r="G30" i="10"/>
  <c r="G48" i="10"/>
  <c r="M12" i="10"/>
  <c r="K50" i="10"/>
  <c r="M27" i="10"/>
  <c r="K39" i="10"/>
  <c r="C22" i="10"/>
  <c r="M30" i="10"/>
  <c r="K12" i="10"/>
  <c r="K33" i="10"/>
  <c r="C44" i="10"/>
  <c r="M25" i="10"/>
  <c r="G44" i="10"/>
  <c r="M6" i="10"/>
  <c r="G38" i="10"/>
  <c r="I38" i="10"/>
  <c r="M38" i="10"/>
  <c r="K10" i="10"/>
  <c r="M43" i="10"/>
  <c r="M50" i="10"/>
  <c r="K27" i="10"/>
  <c r="M14" i="10"/>
  <c r="I23" i="10"/>
  <c r="I48" i="10"/>
  <c r="K23" i="10"/>
  <c r="M48" i="10"/>
  <c r="M8" i="10"/>
  <c r="E15" i="10"/>
  <c r="M23" i="10"/>
  <c r="M41" i="10"/>
  <c r="G15" i="10"/>
  <c r="I9" i="10"/>
  <c r="K15" i="10"/>
  <c r="G33" i="10"/>
  <c r="E42" i="10"/>
  <c r="I50" i="10"/>
  <c r="I33" i="10"/>
  <c r="M39" i="10"/>
  <c r="M20" i="10"/>
  <c r="K48" i="10"/>
  <c r="C50" i="10"/>
  <c r="C49" i="10"/>
  <c r="C39" i="10"/>
  <c r="E39" i="10"/>
  <c r="I44" i="10"/>
  <c r="C47" i="10"/>
  <c r="I17" i="10"/>
  <c r="G39" i="10"/>
  <c r="K44" i="10"/>
  <c r="C46" i="10"/>
  <c r="K11" i="10"/>
  <c r="K17" i="10"/>
  <c r="K25" i="10"/>
  <c r="E33" i="10"/>
  <c r="C45" i="10"/>
  <c r="G26" i="10"/>
  <c r="E32" i="10"/>
  <c r="M35" i="10"/>
  <c r="K51" i="10"/>
  <c r="I26" i="10"/>
  <c r="G32" i="10"/>
  <c r="K26" i="10"/>
  <c r="I32" i="10"/>
  <c r="G9" i="10"/>
  <c r="C15" i="10"/>
  <c r="M26" i="10"/>
  <c r="K32" i="10"/>
  <c r="C42" i="10"/>
  <c r="E48" i="10"/>
  <c r="M53" i="10"/>
  <c r="C35" i="10"/>
  <c r="E35" i="10"/>
  <c r="G35" i="10"/>
  <c r="C7" i="10"/>
  <c r="C26" i="10"/>
  <c r="I35" i="10"/>
  <c r="G51" i="10"/>
  <c r="E7" i="10"/>
  <c r="G40" i="10"/>
  <c r="M46" i="10"/>
  <c r="I51" i="10"/>
  <c r="N55" i="10"/>
  <c r="I55" i="10" s="1"/>
  <c r="E65" i="10"/>
  <c r="K66" i="10"/>
  <c r="M59" i="10"/>
  <c r="G60" i="10"/>
  <c r="I60" i="10"/>
  <c r="K60" i="10"/>
  <c r="K65" i="10"/>
  <c r="M60" i="10"/>
  <c r="I62" i="10"/>
  <c r="I64" i="10"/>
  <c r="C63" i="10"/>
  <c r="E63" i="10"/>
  <c r="G63" i="10"/>
  <c r="I18" i="10"/>
  <c r="E47" i="10"/>
  <c r="E54" i="10"/>
  <c r="G6" i="10"/>
  <c r="K9" i="10"/>
  <c r="K18" i="10"/>
  <c r="I30" i="10"/>
  <c r="G47" i="10"/>
  <c r="C51" i="10"/>
  <c r="I54" i="10"/>
  <c r="I6" i="10"/>
  <c r="M9" i="10"/>
  <c r="G14" i="10"/>
  <c r="M18" i="10"/>
  <c r="K43" i="10"/>
  <c r="K47" i="10"/>
  <c r="E51" i="10"/>
  <c r="M54" i="10"/>
  <c r="I66" i="10"/>
  <c r="C21" i="10"/>
  <c r="E24" i="10"/>
  <c r="C8" i="10"/>
  <c r="E8" i="10"/>
  <c r="G21" i="10"/>
  <c r="G24" i="10"/>
  <c r="C53" i="10"/>
  <c r="K63" i="10"/>
  <c r="C24" i="10"/>
  <c r="G8" i="10"/>
  <c r="C12" i="10"/>
  <c r="E16" i="10"/>
  <c r="I21" i="10"/>
  <c r="I24" i="10"/>
  <c r="M32" i="10"/>
  <c r="M36" i="10"/>
  <c r="G41" i="10"/>
  <c r="I49" i="10"/>
  <c r="E53" i="10"/>
  <c r="E21" i="10"/>
  <c r="I8" i="10"/>
  <c r="E12" i="10"/>
  <c r="K21" i="10"/>
  <c r="K24" i="10"/>
  <c r="I28" i="10"/>
  <c r="I41" i="10"/>
  <c r="K49" i="10"/>
  <c r="I53" i="10"/>
  <c r="E64" i="10"/>
  <c r="C17" i="10"/>
  <c r="C33" i="10"/>
  <c r="K41" i="10"/>
  <c r="K53" i="10"/>
  <c r="G64" i="10"/>
  <c r="I14" i="10"/>
  <c r="E17" i="10"/>
  <c r="K28" i="10"/>
  <c r="C38" i="10"/>
  <c r="I40" i="10"/>
  <c r="K62" i="10"/>
  <c r="G65" i="10"/>
  <c r="K14" i="10"/>
  <c r="G17" i="10"/>
  <c r="M28" i="10"/>
  <c r="E38" i="10"/>
  <c r="M40" i="10"/>
  <c r="K59" i="10"/>
  <c r="M62" i="10"/>
  <c r="I65" i="10"/>
  <c r="C37" i="10"/>
  <c r="G7" i="10"/>
  <c r="G16" i="10"/>
  <c r="E19" i="10"/>
  <c r="E22" i="10"/>
  <c r="I7" i="10"/>
  <c r="C10" i="10"/>
  <c r="I16" i="10"/>
  <c r="G19" i="10"/>
  <c r="G22" i="10"/>
  <c r="C31" i="10"/>
  <c r="G37" i="10"/>
  <c r="I42" i="10"/>
  <c r="E46" i="10"/>
  <c r="K64" i="10"/>
  <c r="K7" i="10"/>
  <c r="E10" i="10"/>
  <c r="K16" i="10"/>
  <c r="I19" i="10"/>
  <c r="I22" i="10"/>
  <c r="C28" i="10"/>
  <c r="E31" i="10"/>
  <c r="I34" i="10"/>
  <c r="I37" i="10"/>
  <c r="K42" i="10"/>
  <c r="G46" i="10"/>
  <c r="C62" i="10"/>
  <c r="M64" i="10"/>
  <c r="E37" i="10"/>
  <c r="G42" i="10"/>
  <c r="G10" i="10"/>
  <c r="C14" i="10"/>
  <c r="M16" i="10"/>
  <c r="K19" i="10"/>
  <c r="M22" i="10"/>
  <c r="G25" i="10"/>
  <c r="E28" i="10"/>
  <c r="G31" i="10"/>
  <c r="K34" i="10"/>
  <c r="K37" i="10"/>
  <c r="C40" i="10"/>
  <c r="I46" i="10"/>
  <c r="E49" i="10"/>
  <c r="M52" i="10"/>
  <c r="E62" i="10"/>
  <c r="C19" i="10"/>
  <c r="I25" i="10"/>
  <c r="K31" i="10"/>
  <c r="M34" i="10"/>
  <c r="E40" i="10"/>
  <c r="G49" i="10"/>
  <c r="C65" i="10"/>
  <c r="K35" i="9"/>
  <c r="K38" i="9"/>
  <c r="E15" i="9"/>
  <c r="E22" i="9"/>
  <c r="G32" i="9"/>
  <c r="M35" i="9"/>
  <c r="M38" i="9"/>
  <c r="C41" i="9"/>
  <c r="I52" i="9"/>
  <c r="M25" i="9"/>
  <c r="E36" i="9"/>
  <c r="E39" i="9"/>
  <c r="I49" i="9"/>
  <c r="K33" i="9"/>
  <c r="K36" i="9"/>
  <c r="K39" i="9"/>
  <c r="M45" i="9"/>
  <c r="K54" i="9"/>
  <c r="M33" i="9"/>
  <c r="M54" i="9"/>
  <c r="C47" i="9"/>
  <c r="I13" i="9"/>
  <c r="K17" i="9"/>
  <c r="K20" i="9"/>
  <c r="M23" i="9"/>
  <c r="C27" i="9"/>
  <c r="I34" i="9"/>
  <c r="E40" i="9"/>
  <c r="C43" i="9"/>
  <c r="E47" i="9"/>
  <c r="K51" i="9"/>
  <c r="E55" i="9"/>
  <c r="G13" i="9"/>
  <c r="K10" i="9"/>
  <c r="K34" i="9"/>
  <c r="C38" i="9"/>
  <c r="G40" i="9"/>
  <c r="G47" i="9"/>
  <c r="G34" i="9"/>
  <c r="C40" i="9"/>
  <c r="C7" i="9"/>
  <c r="K13" i="9"/>
  <c r="E27" i="9"/>
  <c r="E43" i="9"/>
  <c r="E7" i="9"/>
  <c r="M10" i="9"/>
  <c r="C24" i="9"/>
  <c r="G27" i="9"/>
  <c r="M31" i="9"/>
  <c r="M34" i="9"/>
  <c r="E38" i="9"/>
  <c r="I40" i="9"/>
  <c r="G43" i="9"/>
  <c r="I47" i="9"/>
  <c r="G7" i="9"/>
  <c r="C18" i="9"/>
  <c r="M21" i="9"/>
  <c r="E24" i="9"/>
  <c r="I27" i="9"/>
  <c r="G38" i="9"/>
  <c r="K40" i="9"/>
  <c r="I43" i="9"/>
  <c r="K47" i="9"/>
  <c r="C52" i="9"/>
  <c r="I7" i="9"/>
  <c r="E11" i="9"/>
  <c r="G24" i="9"/>
  <c r="C32" i="9"/>
  <c r="I35" i="9"/>
  <c r="N55" i="9"/>
  <c r="K55" i="9" s="1"/>
  <c r="I63" i="9"/>
  <c r="K62" i="9"/>
  <c r="M59" i="9"/>
  <c r="K60" i="9"/>
  <c r="K63" i="9"/>
  <c r="E64" i="9"/>
  <c r="K66" i="9"/>
  <c r="M62" i="9"/>
  <c r="C63" i="9"/>
  <c r="E63" i="9"/>
  <c r="G63" i="9"/>
  <c r="E65" i="9"/>
  <c r="G61" i="9"/>
  <c r="E61" i="9"/>
  <c r="G65" i="9"/>
  <c r="I61" i="9"/>
  <c r="I65" i="9"/>
  <c r="K61" i="9"/>
  <c r="K65" i="9"/>
  <c r="M60" i="9"/>
  <c r="N67" i="9"/>
  <c r="M67" i="9" s="1"/>
  <c r="C61" i="9"/>
  <c r="C7" i="8"/>
  <c r="I7" i="8"/>
  <c r="K49" i="8"/>
  <c r="N55" i="8"/>
  <c r="I55" i="8" s="1"/>
  <c r="G59" i="8"/>
  <c r="C64" i="8"/>
  <c r="G63" i="8"/>
  <c r="I59" i="8"/>
  <c r="K59" i="8"/>
  <c r="K65" i="8"/>
  <c r="C59" i="8"/>
  <c r="M65" i="8"/>
  <c r="G66" i="8"/>
  <c r="I66" i="8"/>
  <c r="I63" i="8"/>
  <c r="C63" i="8"/>
  <c r="E59" i="8"/>
  <c r="E63" i="8"/>
  <c r="C66" i="8"/>
  <c r="K60" i="8"/>
  <c r="I67" i="8"/>
  <c r="E61" i="8"/>
  <c r="K64" i="8"/>
  <c r="C61" i="8"/>
  <c r="G61" i="8"/>
  <c r="E65" i="8"/>
  <c r="I61" i="8"/>
  <c r="K61" i="8"/>
  <c r="G65" i="8"/>
  <c r="I65" i="8"/>
  <c r="N68" i="8"/>
  <c r="K68" i="8" s="1"/>
  <c r="C34" i="8"/>
  <c r="G7" i="8"/>
  <c r="M17" i="8"/>
  <c r="G31" i="8"/>
  <c r="E8" i="8"/>
  <c r="C32" i="8"/>
  <c r="C22" i="8"/>
  <c r="K32" i="8"/>
  <c r="M22" i="8"/>
  <c r="K6" i="8"/>
  <c r="C23" i="8"/>
  <c r="K54" i="8"/>
  <c r="I8" i="8"/>
  <c r="K27" i="8"/>
  <c r="C38" i="8"/>
  <c r="E47" i="8"/>
  <c r="E18" i="8"/>
  <c r="E38" i="8"/>
  <c r="G47" i="8"/>
  <c r="C9" i="8"/>
  <c r="I38" i="8"/>
  <c r="K47" i="8"/>
  <c r="E9" i="8"/>
  <c r="K38" i="8"/>
  <c r="M47" i="8"/>
  <c r="M6" i="8"/>
  <c r="G13" i="8"/>
  <c r="E22" i="8"/>
  <c r="I22" i="8"/>
  <c r="G43" i="8"/>
  <c r="C50" i="8"/>
  <c r="K22" i="8"/>
  <c r="I43" i="8"/>
  <c r="C6" i="8"/>
  <c r="M19" i="8"/>
  <c r="E34" i="8"/>
  <c r="G41" i="8"/>
  <c r="C41" i="8"/>
  <c r="E6" i="8"/>
  <c r="C27" i="8"/>
  <c r="K41" i="8"/>
  <c r="E48" i="8"/>
  <c r="G6" i="8"/>
  <c r="E27" i="8"/>
  <c r="I35" i="8"/>
  <c r="M41" i="8"/>
  <c r="K48" i="8"/>
  <c r="I27" i="8"/>
  <c r="C13" i="8"/>
  <c r="G27" i="8"/>
  <c r="E32" i="8"/>
  <c r="G38" i="8"/>
  <c r="I47" i="8"/>
  <c r="K8" i="8"/>
  <c r="I19" i="8"/>
  <c r="C24" i="8"/>
  <c r="K33" i="8"/>
  <c r="C43" i="8"/>
  <c r="E54" i="8"/>
  <c r="K19" i="8"/>
  <c r="I24" i="8"/>
  <c r="K28" i="8"/>
  <c r="E43" i="8"/>
  <c r="C48" i="8"/>
  <c r="G54" i="8"/>
  <c r="G9" i="8"/>
  <c r="I15" i="8"/>
  <c r="M20" i="8"/>
  <c r="E25" i="8"/>
  <c r="G34" i="8"/>
  <c r="K43" i="8"/>
  <c r="K9" i="8"/>
  <c r="K15" i="8"/>
  <c r="G25" i="8"/>
  <c r="C31" i="8"/>
  <c r="I34" i="8"/>
  <c r="C40" i="8"/>
  <c r="M9" i="8"/>
  <c r="M15" i="8"/>
  <c r="K25" i="8"/>
  <c r="E31" i="8"/>
  <c r="I40" i="8"/>
  <c r="K44" i="8"/>
  <c r="I31" i="8"/>
  <c r="G50" i="8"/>
  <c r="C16" i="8"/>
  <c r="G11" i="8"/>
  <c r="E16" i="8"/>
  <c r="M26" i="8"/>
  <c r="K31" i="8"/>
  <c r="E41" i="8"/>
  <c r="I50" i="8"/>
  <c r="K16" i="8"/>
  <c r="K12" i="8"/>
  <c r="I51" i="8"/>
  <c r="G8" i="8"/>
  <c r="C11" i="8"/>
  <c r="E24" i="8"/>
  <c r="M33" i="8"/>
  <c r="M37" i="8"/>
  <c r="E40" i="8"/>
  <c r="M49" i="8"/>
  <c r="M53" i="8"/>
  <c r="E11" i="8"/>
  <c r="C18" i="8"/>
  <c r="M21" i="8"/>
  <c r="G24" i="8"/>
  <c r="G40" i="8"/>
  <c r="M8" i="8"/>
  <c r="I11" i="8"/>
  <c r="G18" i="8"/>
  <c r="K24" i="8"/>
  <c r="K40" i="8"/>
  <c r="E50" i="8"/>
  <c r="K11" i="8"/>
  <c r="I18" i="8"/>
  <c r="C36" i="8"/>
  <c r="C45" i="8"/>
  <c r="C52" i="8"/>
  <c r="C20" i="8"/>
  <c r="E29" i="8"/>
  <c r="E36" i="8"/>
  <c r="E52" i="8"/>
  <c r="G10" i="8"/>
  <c r="I13" i="8"/>
  <c r="E17" i="8"/>
  <c r="E20" i="8"/>
  <c r="G23" i="8"/>
  <c r="G29" i="8"/>
  <c r="G36" i="8"/>
  <c r="I39" i="8"/>
  <c r="G45" i="8"/>
  <c r="G52" i="8"/>
  <c r="E45" i="8"/>
  <c r="M7" i="8"/>
  <c r="I10" i="8"/>
  <c r="K13" i="8"/>
  <c r="G17" i="8"/>
  <c r="G20" i="8"/>
  <c r="I23" i="8"/>
  <c r="G26" i="8"/>
  <c r="I29" i="8"/>
  <c r="E33" i="8"/>
  <c r="I36" i="8"/>
  <c r="K39" i="8"/>
  <c r="G42" i="8"/>
  <c r="I45" i="8"/>
  <c r="E49" i="8"/>
  <c r="I52" i="8"/>
  <c r="C29" i="8"/>
  <c r="K10" i="8"/>
  <c r="I17" i="8"/>
  <c r="I20" i="8"/>
  <c r="M23" i="8"/>
  <c r="I26" i="8"/>
  <c r="K29" i="8"/>
  <c r="G33" i="8"/>
  <c r="K36" i="8"/>
  <c r="M39" i="8"/>
  <c r="I42" i="8"/>
  <c r="K45" i="8"/>
  <c r="G49" i="8"/>
  <c r="K52" i="8"/>
  <c r="M10" i="8"/>
  <c r="K17" i="8"/>
  <c r="K26" i="8"/>
  <c r="I33" i="8"/>
  <c r="K42" i="8"/>
  <c r="I49" i="8"/>
  <c r="E6" i="7"/>
  <c r="K6" i="7"/>
  <c r="M6" i="7"/>
  <c r="G47" i="7"/>
  <c r="C68" i="7"/>
  <c r="M47" i="7"/>
  <c r="E68" i="7"/>
  <c r="I38" i="7"/>
  <c r="G68" i="7"/>
  <c r="K12" i="7"/>
  <c r="K38" i="7"/>
  <c r="I68" i="7"/>
  <c r="C27" i="7"/>
  <c r="M38" i="7"/>
  <c r="K68" i="7"/>
  <c r="N68" i="7"/>
  <c r="M68" i="7" s="1"/>
  <c r="M41" i="7"/>
  <c r="I10" i="7"/>
  <c r="I6" i="7"/>
  <c r="M12" i="7"/>
  <c r="I36" i="7"/>
  <c r="K45" i="7"/>
  <c r="E17" i="7"/>
  <c r="G9" i="7"/>
  <c r="G17" i="7"/>
  <c r="I9" i="7"/>
  <c r="I17" i="7"/>
  <c r="M9" i="7"/>
  <c r="K17" i="7"/>
  <c r="K27" i="7"/>
  <c r="C41" i="7"/>
  <c r="E34" i="7"/>
  <c r="E41" i="7"/>
  <c r="G7" i="7"/>
  <c r="K34" i="7"/>
  <c r="G41" i="7"/>
  <c r="E49" i="7"/>
  <c r="C9" i="7"/>
  <c r="I26" i="7"/>
  <c r="I41" i="7"/>
  <c r="K26" i="7"/>
  <c r="I35" i="7"/>
  <c r="M22" i="7"/>
  <c r="E43" i="7"/>
  <c r="C22" i="7"/>
  <c r="E22" i="7"/>
  <c r="C38" i="7"/>
  <c r="I13" i="7"/>
  <c r="G22" i="7"/>
  <c r="K29" i="7"/>
  <c r="E38" i="7"/>
  <c r="G42" i="7"/>
  <c r="E50" i="7"/>
  <c r="I42" i="7"/>
  <c r="G32" i="7"/>
  <c r="M26" i="7"/>
  <c r="I32" i="7"/>
  <c r="E15" i="7"/>
  <c r="K32" i="7"/>
  <c r="M32" i="7"/>
  <c r="E7" i="7"/>
  <c r="C18" i="7"/>
  <c r="K35" i="7"/>
  <c r="E39" i="7"/>
  <c r="K50" i="7"/>
  <c r="E18" i="7"/>
  <c r="G31" i="7"/>
  <c r="G39" i="7"/>
  <c r="M50" i="7"/>
  <c r="I18" i="7"/>
  <c r="M25" i="7"/>
  <c r="M31" i="7"/>
  <c r="C36" i="7"/>
  <c r="I39" i="7"/>
  <c r="C45" i="7"/>
  <c r="E8" i="7"/>
  <c r="C13" i="7"/>
  <c r="K18" i="7"/>
  <c r="E36" i="7"/>
  <c r="E45" i="7"/>
  <c r="I51" i="7"/>
  <c r="G13" i="7"/>
  <c r="M18" i="7"/>
  <c r="G26" i="7"/>
  <c r="G36" i="7"/>
  <c r="G45" i="7"/>
  <c r="K51" i="7"/>
  <c r="C8" i="7"/>
  <c r="M16" i="7"/>
  <c r="K25" i="7"/>
  <c r="I29" i="7"/>
  <c r="E40" i="7"/>
  <c r="M48" i="7"/>
  <c r="M52" i="7"/>
  <c r="M34" i="7"/>
  <c r="G49" i="7"/>
  <c r="M21" i="7"/>
  <c r="C16" i="7"/>
  <c r="C48" i="7"/>
  <c r="I7" i="7"/>
  <c r="C25" i="7"/>
  <c r="K28" i="7"/>
  <c r="K36" i="7"/>
  <c r="K39" i="7"/>
  <c r="E48" i="7"/>
  <c r="C52" i="7"/>
  <c r="E16" i="7"/>
  <c r="K7" i="7"/>
  <c r="E11" i="7"/>
  <c r="G16" i="7"/>
  <c r="I19" i="7"/>
  <c r="E25" i="7"/>
  <c r="M28" i="7"/>
  <c r="G48" i="7"/>
  <c r="E52" i="7"/>
  <c r="K11" i="7"/>
  <c r="I16" i="7"/>
  <c r="K19" i="7"/>
  <c r="G25" i="7"/>
  <c r="E33" i="7"/>
  <c r="K44" i="7"/>
  <c r="I48" i="7"/>
  <c r="G52" i="7"/>
  <c r="M11" i="7"/>
  <c r="C29" i="7"/>
  <c r="G33" i="7"/>
  <c r="M37" i="7"/>
  <c r="C40" i="7"/>
  <c r="M44" i="7"/>
  <c r="K52" i="7"/>
  <c r="G15" i="7"/>
  <c r="C24" i="7"/>
  <c r="G43" i="7"/>
  <c r="G11" i="7"/>
  <c r="E27" i="7"/>
  <c r="G34" i="7"/>
  <c r="G50" i="7"/>
  <c r="I11" i="7"/>
  <c r="M15" i="7"/>
  <c r="E24" i="7"/>
  <c r="G27" i="7"/>
  <c r="I34" i="7"/>
  <c r="K43" i="7"/>
  <c r="I50" i="7"/>
  <c r="E23" i="7"/>
  <c r="K10" i="7"/>
  <c r="K13" i="7"/>
  <c r="G20" i="7"/>
  <c r="G23" i="7"/>
  <c r="I33" i="7"/>
  <c r="K42" i="7"/>
  <c r="I49" i="7"/>
  <c r="C20" i="7"/>
  <c r="M10" i="7"/>
  <c r="I20" i="7"/>
  <c r="I23" i="7"/>
  <c r="K33" i="7"/>
  <c r="M42" i="7"/>
  <c r="K49" i="7"/>
  <c r="E20" i="7"/>
  <c r="K20" i="7"/>
  <c r="C47" i="7"/>
  <c r="C23" i="7"/>
  <c r="K23" i="7"/>
  <c r="C31" i="7"/>
  <c r="C15" i="7"/>
  <c r="E31" i="7"/>
  <c r="C43" i="7"/>
  <c r="E47" i="7"/>
  <c r="N55" i="7"/>
  <c r="I55" i="7" s="1"/>
  <c r="G64" i="7"/>
  <c r="C66" i="7"/>
  <c r="E66" i="7"/>
  <c r="I67" i="7"/>
  <c r="M67" i="7"/>
  <c r="E61" i="7"/>
  <c r="I61" i="7"/>
  <c r="K61" i="7"/>
  <c r="E65" i="7"/>
  <c r="I65" i="7"/>
  <c r="C63" i="7"/>
  <c r="E59" i="7"/>
  <c r="C59" i="7"/>
  <c r="G59" i="7"/>
  <c r="K59" i="7"/>
  <c r="E63" i="7"/>
  <c r="C64" i="7"/>
  <c r="E64" i="7"/>
  <c r="G61" i="7"/>
  <c r="G65" i="7"/>
  <c r="K60" i="7"/>
  <c r="I64" i="7"/>
  <c r="M60" i="7"/>
  <c r="K64" i="7"/>
  <c r="C61" i="7"/>
  <c r="M9" i="22"/>
  <c r="M25" i="22"/>
  <c r="M41" i="22"/>
  <c r="K14" i="22"/>
  <c r="K30" i="22"/>
  <c r="K46" i="22"/>
  <c r="K62" i="22"/>
  <c r="C13" i="22"/>
  <c r="C29" i="22"/>
  <c r="C45" i="22"/>
  <c r="C61" i="22"/>
  <c r="E13" i="22"/>
  <c r="C20" i="22"/>
  <c r="E29" i="22"/>
  <c r="C36" i="22"/>
  <c r="E45" i="22"/>
  <c r="C52" i="22"/>
  <c r="E61" i="22"/>
  <c r="C11" i="22"/>
  <c r="G13" i="22"/>
  <c r="E20" i="22"/>
  <c r="C27" i="22"/>
  <c r="G29" i="22"/>
  <c r="E36" i="22"/>
  <c r="C43" i="22"/>
  <c r="G45" i="22"/>
  <c r="E52" i="22"/>
  <c r="C59" i="22"/>
  <c r="G61" i="22"/>
  <c r="E11" i="22"/>
  <c r="I13" i="22"/>
  <c r="C18" i="22"/>
  <c r="G20" i="22"/>
  <c r="E27" i="22"/>
  <c r="I29" i="22"/>
  <c r="C34" i="22"/>
  <c r="G36" i="22"/>
  <c r="E43" i="22"/>
  <c r="I45" i="22"/>
  <c r="C50" i="22"/>
  <c r="G52" i="22"/>
  <c r="E59" i="22"/>
  <c r="I61" i="22"/>
  <c r="C66" i="22"/>
  <c r="C9" i="22"/>
  <c r="G11" i="22"/>
  <c r="K13" i="22"/>
  <c r="E18" i="22"/>
  <c r="I20" i="22"/>
  <c r="C25" i="22"/>
  <c r="G27" i="22"/>
  <c r="K29" i="22"/>
  <c r="E34" i="22"/>
  <c r="I36" i="22"/>
  <c r="C41" i="22"/>
  <c r="G43" i="22"/>
  <c r="K45" i="22"/>
  <c r="E50" i="22"/>
  <c r="I52" i="22"/>
  <c r="G59" i="22"/>
  <c r="K61" i="22"/>
  <c r="E66" i="22"/>
  <c r="K9" i="21"/>
  <c r="K25" i="21"/>
  <c r="K41" i="21"/>
  <c r="M66" i="21"/>
  <c r="M9" i="21"/>
  <c r="M25" i="21"/>
  <c r="M41" i="21"/>
  <c r="M64" i="21"/>
  <c r="K21" i="21"/>
  <c r="C13" i="21"/>
  <c r="C29" i="21"/>
  <c r="C45" i="21"/>
  <c r="C61" i="21"/>
  <c r="E13" i="21"/>
  <c r="I15" i="21"/>
  <c r="C20" i="21"/>
  <c r="E29" i="21"/>
  <c r="I31" i="21"/>
  <c r="C36" i="21"/>
  <c r="E45" i="21"/>
  <c r="I47" i="21"/>
  <c r="C52" i="21"/>
  <c r="E61" i="21"/>
  <c r="I63" i="21"/>
  <c r="C11" i="21"/>
  <c r="G13" i="21"/>
  <c r="E20" i="21"/>
  <c r="C27" i="21"/>
  <c r="G29" i="21"/>
  <c r="E36" i="21"/>
  <c r="C43" i="21"/>
  <c r="G45" i="21"/>
  <c r="E52" i="21"/>
  <c r="C59" i="21"/>
  <c r="G61" i="21"/>
  <c r="E11" i="21"/>
  <c r="I13" i="21"/>
  <c r="C18" i="21"/>
  <c r="G20" i="21"/>
  <c r="E27" i="21"/>
  <c r="I29" i="21"/>
  <c r="C34" i="21"/>
  <c r="G36" i="21"/>
  <c r="E43" i="21"/>
  <c r="I45" i="21"/>
  <c r="C50" i="21"/>
  <c r="G52" i="21"/>
  <c r="E59" i="21"/>
  <c r="I61" i="21"/>
  <c r="C66" i="21"/>
  <c r="C9" i="21"/>
  <c r="G11" i="21"/>
  <c r="K13" i="21"/>
  <c r="E18" i="21"/>
  <c r="I20" i="21"/>
  <c r="C25" i="21"/>
  <c r="G27" i="21"/>
  <c r="K29" i="21"/>
  <c r="E34" i="21"/>
  <c r="I36" i="21"/>
  <c r="C41" i="21"/>
  <c r="G43" i="21"/>
  <c r="K45" i="21"/>
  <c r="E50" i="21"/>
  <c r="I52" i="21"/>
  <c r="G59" i="21"/>
  <c r="K61" i="21"/>
  <c r="E66" i="21"/>
  <c r="G41" i="20"/>
  <c r="I9" i="20"/>
  <c r="G16" i="20"/>
  <c r="I25" i="20"/>
  <c r="G32" i="20"/>
  <c r="I41" i="20"/>
  <c r="G48" i="20"/>
  <c r="E14" i="20"/>
  <c r="I16" i="20"/>
  <c r="K18" i="20"/>
  <c r="E30" i="20"/>
  <c r="I32" i="20"/>
  <c r="K34" i="20"/>
  <c r="E46" i="20"/>
  <c r="I48" i="20"/>
  <c r="K50" i="20"/>
  <c r="I64" i="20"/>
  <c r="K66" i="20"/>
  <c r="K9" i="20"/>
  <c r="C12" i="20"/>
  <c r="K25" i="20"/>
  <c r="K41" i="20"/>
  <c r="I12" i="20"/>
  <c r="C13" i="20"/>
  <c r="C29" i="20"/>
  <c r="C45" i="20"/>
  <c r="C61" i="20"/>
  <c r="E13" i="20"/>
  <c r="C20" i="20"/>
  <c r="E29" i="20"/>
  <c r="C36" i="20"/>
  <c r="E45" i="20"/>
  <c r="C52" i="20"/>
  <c r="E61" i="20"/>
  <c r="C11" i="20"/>
  <c r="G13" i="20"/>
  <c r="E20" i="20"/>
  <c r="C27" i="20"/>
  <c r="G29" i="20"/>
  <c r="E36" i="20"/>
  <c r="C43" i="20"/>
  <c r="G45" i="20"/>
  <c r="E52" i="20"/>
  <c r="C59" i="20"/>
  <c r="G61" i="20"/>
  <c r="E11" i="20"/>
  <c r="I13" i="20"/>
  <c r="C18" i="20"/>
  <c r="G20" i="20"/>
  <c r="E27" i="20"/>
  <c r="I29" i="20"/>
  <c r="C34" i="20"/>
  <c r="G36" i="20"/>
  <c r="E43" i="20"/>
  <c r="I45" i="20"/>
  <c r="C50" i="20"/>
  <c r="G52" i="20"/>
  <c r="E59" i="20"/>
  <c r="I61" i="20"/>
  <c r="C66" i="20"/>
  <c r="C9" i="20"/>
  <c r="G11" i="20"/>
  <c r="E18" i="20"/>
  <c r="I20" i="20"/>
  <c r="C25" i="20"/>
  <c r="G27" i="20"/>
  <c r="E34" i="20"/>
  <c r="I36" i="20"/>
  <c r="C41" i="20"/>
  <c r="G43" i="20"/>
  <c r="E50" i="20"/>
  <c r="I52" i="20"/>
  <c r="G59" i="20"/>
  <c r="E66" i="20"/>
  <c r="E11" i="18"/>
  <c r="I13" i="18"/>
  <c r="K15" i="18"/>
  <c r="G20" i="18"/>
  <c r="E27" i="18"/>
  <c r="I29" i="18"/>
  <c r="K31" i="18"/>
  <c r="E43" i="18"/>
  <c r="I45" i="18"/>
  <c r="K47" i="18"/>
  <c r="G11" i="18"/>
  <c r="I20" i="18"/>
  <c r="G27" i="18"/>
  <c r="G43" i="18"/>
  <c r="I11" i="18"/>
  <c r="K13" i="18"/>
  <c r="I27" i="18"/>
  <c r="K29" i="18"/>
  <c r="I43" i="18"/>
  <c r="K45" i="18"/>
  <c r="C17" i="18"/>
  <c r="C33" i="18"/>
  <c r="C49" i="18"/>
  <c r="C61" i="18"/>
  <c r="C8" i="18"/>
  <c r="E17" i="18"/>
  <c r="C24" i="18"/>
  <c r="E33" i="18"/>
  <c r="C40" i="18"/>
  <c r="E49" i="18"/>
  <c r="E61" i="18"/>
  <c r="E8" i="18"/>
  <c r="C15" i="18"/>
  <c r="G17" i="18"/>
  <c r="E24" i="18"/>
  <c r="C31" i="18"/>
  <c r="G33" i="18"/>
  <c r="E40" i="18"/>
  <c r="C47" i="18"/>
  <c r="G49" i="18"/>
  <c r="C59" i="18"/>
  <c r="G61" i="18"/>
  <c r="C6" i="18"/>
  <c r="G8" i="18"/>
  <c r="E15" i="18"/>
  <c r="I17" i="18"/>
  <c r="C22" i="18"/>
  <c r="G24" i="18"/>
  <c r="E31" i="18"/>
  <c r="I33" i="18"/>
  <c r="C38" i="18"/>
  <c r="G40" i="18"/>
  <c r="E47" i="18"/>
  <c r="I49" i="18"/>
  <c r="C54" i="18"/>
  <c r="E59" i="18"/>
  <c r="I61" i="18"/>
  <c r="C66" i="18"/>
  <c r="E6" i="18"/>
  <c r="I8" i="18"/>
  <c r="C13" i="18"/>
  <c r="G15" i="18"/>
  <c r="E22" i="18"/>
  <c r="I24" i="18"/>
  <c r="C29" i="18"/>
  <c r="G31" i="18"/>
  <c r="E38" i="18"/>
  <c r="I40" i="18"/>
  <c r="C45" i="18"/>
  <c r="G47" i="18"/>
  <c r="E54" i="18"/>
  <c r="G59" i="18"/>
  <c r="E66" i="18"/>
  <c r="I13" i="17"/>
  <c r="K15" i="17"/>
  <c r="I29" i="17"/>
  <c r="K31" i="17"/>
  <c r="I45" i="17"/>
  <c r="K47" i="17"/>
  <c r="K63" i="17"/>
  <c r="K6" i="17"/>
  <c r="K22" i="17"/>
  <c r="K38" i="17"/>
  <c r="K54" i="17"/>
  <c r="K70" i="17"/>
  <c r="C17" i="17"/>
  <c r="C33" i="17"/>
  <c r="C49" i="17"/>
  <c r="C65" i="17"/>
  <c r="C8" i="17"/>
  <c r="E17" i="17"/>
  <c r="C24" i="17"/>
  <c r="E33" i="17"/>
  <c r="C40" i="17"/>
  <c r="E49" i="17"/>
  <c r="C56" i="17"/>
  <c r="E65" i="17"/>
  <c r="E8" i="17"/>
  <c r="C15" i="17"/>
  <c r="G17" i="17"/>
  <c r="E24" i="17"/>
  <c r="C31" i="17"/>
  <c r="G33" i="17"/>
  <c r="E40" i="17"/>
  <c r="C47" i="17"/>
  <c r="G49" i="17"/>
  <c r="E56" i="17"/>
  <c r="C63" i="17"/>
  <c r="G65" i="17"/>
  <c r="C6" i="17"/>
  <c r="G8" i="17"/>
  <c r="E15" i="17"/>
  <c r="I17" i="17"/>
  <c r="C22" i="17"/>
  <c r="G24" i="17"/>
  <c r="E31" i="17"/>
  <c r="I33" i="17"/>
  <c r="C38" i="17"/>
  <c r="G40" i="17"/>
  <c r="E47" i="17"/>
  <c r="I49" i="17"/>
  <c r="C54" i="17"/>
  <c r="G56" i="17"/>
  <c r="E63" i="17"/>
  <c r="I65" i="17"/>
  <c r="C70" i="17"/>
  <c r="E6" i="17"/>
  <c r="I8" i="17"/>
  <c r="C13" i="17"/>
  <c r="G15" i="17"/>
  <c r="E22" i="17"/>
  <c r="I24" i="17"/>
  <c r="C29" i="17"/>
  <c r="G31" i="17"/>
  <c r="E38" i="17"/>
  <c r="I40" i="17"/>
  <c r="C45" i="17"/>
  <c r="G47" i="17"/>
  <c r="E54" i="17"/>
  <c r="I56" i="17"/>
  <c r="G63" i="17"/>
  <c r="E70" i="17"/>
  <c r="G21" i="16"/>
  <c r="I21" i="16"/>
  <c r="K21" i="16"/>
  <c r="K6" i="16"/>
  <c r="E11" i="16"/>
  <c r="I13" i="16"/>
  <c r="M15" i="16"/>
  <c r="C18" i="16"/>
  <c r="G22" i="16"/>
  <c r="K24" i="16"/>
  <c r="E29" i="16"/>
  <c r="I31" i="16"/>
  <c r="M33" i="16"/>
  <c r="C36" i="16"/>
  <c r="G38" i="16"/>
  <c r="K40" i="16"/>
  <c r="E45" i="16"/>
  <c r="I47" i="16"/>
  <c r="M49" i="16"/>
  <c r="G54" i="16"/>
  <c r="K56" i="16"/>
  <c r="M65" i="16"/>
  <c r="G70" i="16"/>
  <c r="K72" i="16"/>
  <c r="G11" i="16"/>
  <c r="K13" i="16"/>
  <c r="E18" i="16"/>
  <c r="I22" i="16"/>
  <c r="G29" i="16"/>
  <c r="K31" i="16"/>
  <c r="E36" i="16"/>
  <c r="I38" i="16"/>
  <c r="G45" i="16"/>
  <c r="K47" i="16"/>
  <c r="I54" i="16"/>
  <c r="I70" i="16"/>
  <c r="I11" i="16"/>
  <c r="M13" i="16"/>
  <c r="G18" i="16"/>
  <c r="K22" i="16"/>
  <c r="I29" i="16"/>
  <c r="M31" i="16"/>
  <c r="K38" i="16"/>
  <c r="M47" i="16"/>
  <c r="K54" i="16"/>
  <c r="K70" i="16"/>
  <c r="K11" i="16"/>
  <c r="I18" i="16"/>
  <c r="M22" i="16"/>
  <c r="K29" i="16"/>
  <c r="K18" i="16"/>
  <c r="C17" i="16"/>
  <c r="C35" i="16"/>
  <c r="C51" i="16"/>
  <c r="C67" i="16"/>
  <c r="C8" i="16"/>
  <c r="E17" i="16"/>
  <c r="C26" i="16"/>
  <c r="E35" i="16"/>
  <c r="C42" i="16"/>
  <c r="E51" i="16"/>
  <c r="C58" i="16"/>
  <c r="E67" i="16"/>
  <c r="C6" i="16"/>
  <c r="G8" i="16"/>
  <c r="E15" i="16"/>
  <c r="I17" i="16"/>
  <c r="C24" i="16"/>
  <c r="G26" i="16"/>
  <c r="E33" i="16"/>
  <c r="I35" i="16"/>
  <c r="C40" i="16"/>
  <c r="G42" i="16"/>
  <c r="I51" i="16"/>
  <c r="C56" i="16"/>
  <c r="G58" i="16"/>
  <c r="E65" i="16"/>
  <c r="I67" i="16"/>
  <c r="C72" i="16"/>
  <c r="E8" i="16"/>
  <c r="C15" i="16"/>
  <c r="G17" i="16"/>
  <c r="E26" i="16"/>
  <c r="C33" i="16"/>
  <c r="G35" i="16"/>
  <c r="E42" i="16"/>
  <c r="C49" i="16"/>
  <c r="G51" i="16"/>
  <c r="E58" i="16"/>
  <c r="C65" i="16"/>
  <c r="G67" i="16"/>
  <c r="E49" i="16"/>
  <c r="E6" i="16"/>
  <c r="I8" i="16"/>
  <c r="C13" i="16"/>
  <c r="G15" i="16"/>
  <c r="K17" i="16"/>
  <c r="E24" i="16"/>
  <c r="I26" i="16"/>
  <c r="C31" i="16"/>
  <c r="G33" i="16"/>
  <c r="K35" i="16"/>
  <c r="E40" i="16"/>
  <c r="I42" i="16"/>
  <c r="C47" i="16"/>
  <c r="G49" i="16"/>
  <c r="K51" i="16"/>
  <c r="E56" i="16"/>
  <c r="I58" i="16"/>
  <c r="G65" i="16"/>
  <c r="K67" i="16"/>
  <c r="E72" i="16"/>
  <c r="I7" i="15"/>
  <c r="K10" i="15"/>
  <c r="K13" i="15"/>
  <c r="K16" i="15"/>
  <c r="M19" i="15"/>
  <c r="G28" i="15"/>
  <c r="G38" i="15"/>
  <c r="I41" i="15"/>
  <c r="I50" i="15"/>
  <c r="I53" i="15"/>
  <c r="K56" i="15"/>
  <c r="K62" i="15"/>
  <c r="I68" i="15"/>
  <c r="K7" i="15"/>
  <c r="M13" i="15"/>
  <c r="I28" i="15"/>
  <c r="I38" i="15"/>
  <c r="K41" i="15"/>
  <c r="K50" i="15"/>
  <c r="K53" i="15"/>
  <c r="K68" i="15"/>
  <c r="K38" i="15"/>
  <c r="M53" i="15"/>
  <c r="I23" i="15"/>
  <c r="M39" i="15"/>
  <c r="K69" i="15"/>
  <c r="K23" i="15"/>
  <c r="C40" i="15"/>
  <c r="C49" i="15"/>
  <c r="C37" i="15"/>
  <c r="C30" i="15"/>
  <c r="C21" i="15"/>
  <c r="E27" i="15"/>
  <c r="E30" i="15"/>
  <c r="C34" i="15"/>
  <c r="G40" i="15"/>
  <c r="G49" i="15"/>
  <c r="E67" i="15"/>
  <c r="C27" i="15"/>
  <c r="E40" i="15"/>
  <c r="E49" i="15"/>
  <c r="E21" i="15"/>
  <c r="C25" i="15"/>
  <c r="G27" i="15"/>
  <c r="G30" i="15"/>
  <c r="E34" i="15"/>
  <c r="E37" i="15"/>
  <c r="I40" i="15"/>
  <c r="I49" i="15"/>
  <c r="G67" i="15"/>
  <c r="I6" i="15"/>
  <c r="C12" i="15"/>
  <c r="G21" i="15"/>
  <c r="E25" i="15"/>
  <c r="I27" i="15"/>
  <c r="I30" i="15"/>
  <c r="G34" i="15"/>
  <c r="G37" i="15"/>
  <c r="K40" i="15"/>
  <c r="K49" i="15"/>
  <c r="C52" i="15"/>
  <c r="C65" i="15"/>
  <c r="I67" i="15"/>
  <c r="M6" i="15"/>
  <c r="E12" i="15"/>
  <c r="I21" i="15"/>
  <c r="I37" i="15"/>
  <c r="C43" i="15"/>
  <c r="E52" i="15"/>
  <c r="K67" i="15"/>
  <c r="K6" i="15"/>
  <c r="I13" i="15"/>
  <c r="M15" i="15"/>
  <c r="K22" i="15"/>
  <c r="I29" i="15"/>
  <c r="M31" i="15"/>
  <c r="G36" i="15"/>
  <c r="M46" i="15"/>
  <c r="M62" i="15"/>
  <c r="I36" i="15"/>
  <c r="M69" i="15"/>
  <c r="K36" i="15"/>
  <c r="M44" i="15"/>
  <c r="M36" i="15"/>
  <c r="M67" i="15"/>
  <c r="C17" i="15"/>
  <c r="C33" i="15"/>
  <c r="C48" i="15"/>
  <c r="C64" i="15"/>
  <c r="C8" i="15"/>
  <c r="K12" i="15"/>
  <c r="E17" i="15"/>
  <c r="C24" i="15"/>
  <c r="K28" i="15"/>
  <c r="E33" i="15"/>
  <c r="C39" i="15"/>
  <c r="E48" i="15"/>
  <c r="C55" i="15"/>
  <c r="E64" i="15"/>
  <c r="E8" i="15"/>
  <c r="C15" i="15"/>
  <c r="G17" i="15"/>
  <c r="E24" i="15"/>
  <c r="C31" i="15"/>
  <c r="G33" i="15"/>
  <c r="E39" i="15"/>
  <c r="C46" i="15"/>
  <c r="G48" i="15"/>
  <c r="E55" i="15"/>
  <c r="C62" i="15"/>
  <c r="G64" i="15"/>
  <c r="C6" i="15"/>
  <c r="G8" i="15"/>
  <c r="E15" i="15"/>
  <c r="I17" i="15"/>
  <c r="C22" i="15"/>
  <c r="G24" i="15"/>
  <c r="E31" i="15"/>
  <c r="I33" i="15"/>
  <c r="G39" i="15"/>
  <c r="E46" i="15"/>
  <c r="I48" i="15"/>
  <c r="C53" i="15"/>
  <c r="G55" i="15"/>
  <c r="E62" i="15"/>
  <c r="I64" i="15"/>
  <c r="C69" i="15"/>
  <c r="E6" i="15"/>
  <c r="I8" i="15"/>
  <c r="C13" i="15"/>
  <c r="G15" i="15"/>
  <c r="K17" i="15"/>
  <c r="E22" i="15"/>
  <c r="I24" i="15"/>
  <c r="C29" i="15"/>
  <c r="G31" i="15"/>
  <c r="K33" i="15"/>
  <c r="I39" i="15"/>
  <c r="C44" i="15"/>
  <c r="G46" i="15"/>
  <c r="K48" i="15"/>
  <c r="E53" i="15"/>
  <c r="I55" i="15"/>
  <c r="G62" i="15"/>
  <c r="K64" i="15"/>
  <c r="E69" i="15"/>
  <c r="M20" i="14"/>
  <c r="M31" i="14"/>
  <c r="C26" i="14"/>
  <c r="C11" i="14"/>
  <c r="E26" i="14"/>
  <c r="E62" i="14"/>
  <c r="E11" i="14"/>
  <c r="G26" i="14"/>
  <c r="C35" i="14"/>
  <c r="C46" i="14"/>
  <c r="E50" i="14"/>
  <c r="C53" i="14"/>
  <c r="G11" i="14"/>
  <c r="E20" i="14"/>
  <c r="C23" i="14"/>
  <c r="I26" i="14"/>
  <c r="G29" i="14"/>
  <c r="E35" i="14"/>
  <c r="E46" i="14"/>
  <c r="G50" i="14"/>
  <c r="E53" i="14"/>
  <c r="I11" i="14"/>
  <c r="G20" i="14"/>
  <c r="E23" i="14"/>
  <c r="K26" i="14"/>
  <c r="G35" i="14"/>
  <c r="I50" i="14"/>
  <c r="C64" i="14"/>
  <c r="G53" i="14"/>
  <c r="K11" i="14"/>
  <c r="I20" i="14"/>
  <c r="K50" i="14"/>
  <c r="E64" i="14"/>
  <c r="I13" i="14"/>
  <c r="I29" i="14"/>
  <c r="I43" i="14"/>
  <c r="M6" i="14"/>
  <c r="K13" i="14"/>
  <c r="M22" i="14"/>
  <c r="K29" i="14"/>
  <c r="M38" i="14"/>
  <c r="K43" i="14"/>
  <c r="M52" i="14"/>
  <c r="M13" i="14"/>
  <c r="M29" i="14"/>
  <c r="M43" i="14"/>
  <c r="I9" i="14"/>
  <c r="C14" i="14"/>
  <c r="G16" i="14"/>
  <c r="K18" i="14"/>
  <c r="I25" i="14"/>
  <c r="C30" i="14"/>
  <c r="G32" i="14"/>
  <c r="K34" i="14"/>
  <c r="I41" i="14"/>
  <c r="C44" i="14"/>
  <c r="G46" i="14"/>
  <c r="K48" i="14"/>
  <c r="I55" i="14"/>
  <c r="G62" i="14"/>
  <c r="K64" i="14"/>
  <c r="K9" i="14"/>
  <c r="E14" i="14"/>
  <c r="I16" i="14"/>
  <c r="K25" i="14"/>
  <c r="E30" i="14"/>
  <c r="I32" i="14"/>
  <c r="K41" i="14"/>
  <c r="E44" i="14"/>
  <c r="I46" i="14"/>
  <c r="K55" i="14"/>
  <c r="I62" i="14"/>
  <c r="G14" i="14"/>
  <c r="K16" i="14"/>
  <c r="G30" i="14"/>
  <c r="K32" i="14"/>
  <c r="G44" i="14"/>
  <c r="K46" i="14"/>
  <c r="K62" i="14"/>
  <c r="I14" i="14"/>
  <c r="I30" i="14"/>
  <c r="I44" i="14"/>
  <c r="K14" i="14"/>
  <c r="K30" i="14"/>
  <c r="K44" i="14"/>
  <c r="C17" i="14"/>
  <c r="C33" i="14"/>
  <c r="C47" i="14"/>
  <c r="C63" i="14"/>
  <c r="C8" i="14"/>
  <c r="E17" i="14"/>
  <c r="C24" i="14"/>
  <c r="E33" i="14"/>
  <c r="C40" i="14"/>
  <c r="E47" i="14"/>
  <c r="C54" i="14"/>
  <c r="E63" i="14"/>
  <c r="E8" i="14"/>
  <c r="C15" i="14"/>
  <c r="G17" i="14"/>
  <c r="E24" i="14"/>
  <c r="C31" i="14"/>
  <c r="G33" i="14"/>
  <c r="E40" i="14"/>
  <c r="C45" i="14"/>
  <c r="G47" i="14"/>
  <c r="E54" i="14"/>
  <c r="C61" i="14"/>
  <c r="G63" i="14"/>
  <c r="C6" i="14"/>
  <c r="G8" i="14"/>
  <c r="E15" i="14"/>
  <c r="I17" i="14"/>
  <c r="C22" i="14"/>
  <c r="G24" i="14"/>
  <c r="E31" i="14"/>
  <c r="I33" i="14"/>
  <c r="C38" i="14"/>
  <c r="G40" i="14"/>
  <c r="E45" i="14"/>
  <c r="I47" i="14"/>
  <c r="C52" i="14"/>
  <c r="G54" i="14"/>
  <c r="E61" i="14"/>
  <c r="I63" i="14"/>
  <c r="C68" i="14"/>
  <c r="E6" i="14"/>
  <c r="I8" i="14"/>
  <c r="C13" i="14"/>
  <c r="G15" i="14"/>
  <c r="K17" i="14"/>
  <c r="E22" i="14"/>
  <c r="I24" i="14"/>
  <c r="C29" i="14"/>
  <c r="G31" i="14"/>
  <c r="K33" i="14"/>
  <c r="E38" i="14"/>
  <c r="I40" i="14"/>
  <c r="C43" i="14"/>
  <c r="G45" i="14"/>
  <c r="K47" i="14"/>
  <c r="E52" i="14"/>
  <c r="I54" i="14"/>
  <c r="G61" i="14"/>
  <c r="K63" i="14"/>
  <c r="E68" i="14"/>
  <c r="M27" i="13"/>
  <c r="K27" i="13"/>
  <c r="M29" i="13"/>
  <c r="I27" i="13"/>
  <c r="G31" i="13"/>
  <c r="G27" i="13"/>
  <c r="I29" i="13"/>
  <c r="C27" i="13"/>
  <c r="M26" i="13"/>
  <c r="E31" i="13"/>
  <c r="K26" i="13"/>
  <c r="M31" i="13"/>
  <c r="K31" i="13"/>
  <c r="E29" i="13"/>
  <c r="C29" i="13"/>
  <c r="C31" i="13"/>
  <c r="M28" i="13"/>
  <c r="I26" i="13"/>
  <c r="K28" i="13"/>
  <c r="G26" i="13"/>
  <c r="K29" i="13"/>
  <c r="M30" i="13"/>
  <c r="I28" i="13"/>
  <c r="E26" i="13"/>
  <c r="G13" i="13"/>
  <c r="K15" i="13"/>
  <c r="K32" i="13"/>
  <c r="G46" i="13"/>
  <c r="K48" i="13"/>
  <c r="K64" i="13"/>
  <c r="K6" i="13"/>
  <c r="E11" i="13"/>
  <c r="I13" i="13"/>
  <c r="M15" i="13"/>
  <c r="K22" i="13"/>
  <c r="M32" i="13"/>
  <c r="I46" i="13"/>
  <c r="M48" i="13"/>
  <c r="M64" i="13"/>
  <c r="K13" i="13"/>
  <c r="K46" i="13"/>
  <c r="I11" i="13"/>
  <c r="M13" i="13"/>
  <c r="E42" i="13"/>
  <c r="I44" i="13"/>
  <c r="M46" i="13"/>
  <c r="K53" i="13"/>
  <c r="E58" i="13"/>
  <c r="G67" i="13"/>
  <c r="K69" i="13"/>
  <c r="C14" i="13"/>
  <c r="I42" i="13"/>
  <c r="C47" i="13"/>
  <c r="I58" i="13"/>
  <c r="E14" i="13"/>
  <c r="K42" i="13"/>
  <c r="E47" i="13"/>
  <c r="K58" i="13"/>
  <c r="G14" i="13"/>
  <c r="G47" i="13"/>
  <c r="I14" i="13"/>
  <c r="I47" i="13"/>
  <c r="K14" i="13"/>
  <c r="I21" i="13"/>
  <c r="I38" i="13"/>
  <c r="K47" i="13"/>
  <c r="E52" i="13"/>
  <c r="I54" i="13"/>
  <c r="E68" i="13"/>
  <c r="I70" i="13"/>
  <c r="C17" i="13"/>
  <c r="C34" i="13"/>
  <c r="C50" i="13"/>
  <c r="G52" i="13"/>
  <c r="K54" i="13"/>
  <c r="C66" i="13"/>
  <c r="G68" i="13"/>
  <c r="K70" i="13"/>
  <c r="E50" i="13"/>
  <c r="I52" i="13"/>
  <c r="C57" i="13"/>
  <c r="G59" i="13"/>
  <c r="E66" i="13"/>
  <c r="I68" i="13"/>
  <c r="E8" i="13"/>
  <c r="C15" i="13"/>
  <c r="G17" i="13"/>
  <c r="E24" i="13"/>
  <c r="C32" i="13"/>
  <c r="G34" i="13"/>
  <c r="E41" i="13"/>
  <c r="C48" i="13"/>
  <c r="G50" i="13"/>
  <c r="E57" i="13"/>
  <c r="C64" i="13"/>
  <c r="G66" i="13"/>
  <c r="E34" i="13"/>
  <c r="C6" i="13"/>
  <c r="G8" i="13"/>
  <c r="E15" i="13"/>
  <c r="I17" i="13"/>
  <c r="C22" i="13"/>
  <c r="G24" i="13"/>
  <c r="E32" i="13"/>
  <c r="I34" i="13"/>
  <c r="C39" i="13"/>
  <c r="G41" i="13"/>
  <c r="E48" i="13"/>
  <c r="I50" i="13"/>
  <c r="C55" i="13"/>
  <c r="G57" i="13"/>
  <c r="E64" i="13"/>
  <c r="I66" i="13"/>
  <c r="C71" i="13"/>
  <c r="E6" i="13"/>
  <c r="I8" i="13"/>
  <c r="C13" i="13"/>
  <c r="G15" i="13"/>
  <c r="K17" i="13"/>
  <c r="E22" i="13"/>
  <c r="I24" i="13"/>
  <c r="G32" i="13"/>
  <c r="K34" i="13"/>
  <c r="E39" i="13"/>
  <c r="I41" i="13"/>
  <c r="C46" i="13"/>
  <c r="G48" i="13"/>
  <c r="K50" i="13"/>
  <c r="E55" i="13"/>
  <c r="I57" i="13"/>
  <c r="G64" i="13"/>
  <c r="K66" i="13"/>
  <c r="E71" i="13"/>
  <c r="E17" i="13"/>
  <c r="G13" i="12"/>
  <c r="C27" i="12"/>
  <c r="E68" i="12"/>
  <c r="K6" i="12"/>
  <c r="E11" i="12"/>
  <c r="I13" i="12"/>
  <c r="M15" i="12"/>
  <c r="C18" i="12"/>
  <c r="G20" i="12"/>
  <c r="K22" i="12"/>
  <c r="E27" i="12"/>
  <c r="I29" i="12"/>
  <c r="M31" i="12"/>
  <c r="C34" i="12"/>
  <c r="G36" i="12"/>
  <c r="K38" i="12"/>
  <c r="E43" i="12"/>
  <c r="I45" i="12"/>
  <c r="M47" i="12"/>
  <c r="C50" i="12"/>
  <c r="G52" i="12"/>
  <c r="K54" i="12"/>
  <c r="C66" i="12"/>
  <c r="G68" i="12"/>
  <c r="K70" i="12"/>
  <c r="E20" i="12"/>
  <c r="G29" i="12"/>
  <c r="E36" i="12"/>
  <c r="C43" i="12"/>
  <c r="G45" i="12"/>
  <c r="E52" i="12"/>
  <c r="M6" i="12"/>
  <c r="C9" i="12"/>
  <c r="G11" i="12"/>
  <c r="K13" i="12"/>
  <c r="E18" i="12"/>
  <c r="I20" i="12"/>
  <c r="M22" i="12"/>
  <c r="G27" i="12"/>
  <c r="K29" i="12"/>
  <c r="E34" i="12"/>
  <c r="I36" i="12"/>
  <c r="M38" i="12"/>
  <c r="G43" i="12"/>
  <c r="K45" i="12"/>
  <c r="E50" i="12"/>
  <c r="I52" i="12"/>
  <c r="M54" i="12"/>
  <c r="E66" i="12"/>
  <c r="I68" i="12"/>
  <c r="M70" i="12"/>
  <c r="M13" i="12"/>
  <c r="K20" i="12"/>
  <c r="M29" i="12"/>
  <c r="K36" i="12"/>
  <c r="M45" i="12"/>
  <c r="K52" i="12"/>
  <c r="K68" i="12"/>
  <c r="C17" i="12"/>
  <c r="K21" i="12"/>
  <c r="C33" i="12"/>
  <c r="K37" i="12"/>
  <c r="C49" i="12"/>
  <c r="K53" i="12"/>
  <c r="C65" i="12"/>
  <c r="K69" i="12"/>
  <c r="C8" i="12"/>
  <c r="E17" i="12"/>
  <c r="I19" i="12"/>
  <c r="C24" i="12"/>
  <c r="E33" i="12"/>
  <c r="I35" i="12"/>
  <c r="C40" i="12"/>
  <c r="E49" i="12"/>
  <c r="I51" i="12"/>
  <c r="C56" i="12"/>
  <c r="E65" i="12"/>
  <c r="I67" i="12"/>
  <c r="E8" i="12"/>
  <c r="G17" i="12"/>
  <c r="C31" i="12"/>
  <c r="C47" i="12"/>
  <c r="G65" i="12"/>
  <c r="C6" i="12"/>
  <c r="G8" i="12"/>
  <c r="E15" i="12"/>
  <c r="I17" i="12"/>
  <c r="C22" i="12"/>
  <c r="G24" i="12"/>
  <c r="E31" i="12"/>
  <c r="I33" i="12"/>
  <c r="C38" i="12"/>
  <c r="G40" i="12"/>
  <c r="E47" i="12"/>
  <c r="I49" i="12"/>
  <c r="C54" i="12"/>
  <c r="G56" i="12"/>
  <c r="E63" i="12"/>
  <c r="I65" i="12"/>
  <c r="C70" i="12"/>
  <c r="E6" i="12"/>
  <c r="I8" i="12"/>
  <c r="C13" i="12"/>
  <c r="G15" i="12"/>
  <c r="K17" i="12"/>
  <c r="E22" i="12"/>
  <c r="I24" i="12"/>
  <c r="C29" i="12"/>
  <c r="G31" i="12"/>
  <c r="K33" i="12"/>
  <c r="E38" i="12"/>
  <c r="I40" i="12"/>
  <c r="C45" i="12"/>
  <c r="G47" i="12"/>
  <c r="K49" i="12"/>
  <c r="E54" i="12"/>
  <c r="I56" i="12"/>
  <c r="G63" i="12"/>
  <c r="K65" i="12"/>
  <c r="E70" i="12"/>
  <c r="C15" i="12"/>
  <c r="E24" i="12"/>
  <c r="G33" i="12"/>
  <c r="E40" i="12"/>
  <c r="G49" i="12"/>
  <c r="E56" i="12"/>
  <c r="C63" i="12"/>
  <c r="C13" i="10"/>
  <c r="C29" i="10"/>
  <c r="C61" i="10"/>
  <c r="E13" i="10"/>
  <c r="I15" i="10"/>
  <c r="C20" i="10"/>
  <c r="E29" i="10"/>
  <c r="I31" i="10"/>
  <c r="C36" i="10"/>
  <c r="E45" i="10"/>
  <c r="I47" i="10"/>
  <c r="C52" i="10"/>
  <c r="G54" i="10"/>
  <c r="E61" i="10"/>
  <c r="I63" i="10"/>
  <c r="C11" i="10"/>
  <c r="G13" i="10"/>
  <c r="E20" i="10"/>
  <c r="C27" i="10"/>
  <c r="G29" i="10"/>
  <c r="E36" i="10"/>
  <c r="C43" i="10"/>
  <c r="G45" i="10"/>
  <c r="E52" i="10"/>
  <c r="C59" i="10"/>
  <c r="G61" i="10"/>
  <c r="E11" i="10"/>
  <c r="I13" i="10"/>
  <c r="C18" i="10"/>
  <c r="G20" i="10"/>
  <c r="E27" i="10"/>
  <c r="I29" i="10"/>
  <c r="C34" i="10"/>
  <c r="G36" i="10"/>
  <c r="E43" i="10"/>
  <c r="I45" i="10"/>
  <c r="G52" i="10"/>
  <c r="E59" i="10"/>
  <c r="I61" i="10"/>
  <c r="C66" i="10"/>
  <c r="C9" i="10"/>
  <c r="G11" i="10"/>
  <c r="K13" i="10"/>
  <c r="E18" i="10"/>
  <c r="I20" i="10"/>
  <c r="C25" i="10"/>
  <c r="G27" i="10"/>
  <c r="K29" i="10"/>
  <c r="E34" i="10"/>
  <c r="I36" i="10"/>
  <c r="C41" i="10"/>
  <c r="G43" i="10"/>
  <c r="K45" i="10"/>
  <c r="E50" i="10"/>
  <c r="I52" i="10"/>
  <c r="G59" i="10"/>
  <c r="K61" i="10"/>
  <c r="E66" i="10"/>
  <c r="G10" i="9"/>
  <c r="G16" i="9"/>
  <c r="K24" i="9"/>
  <c r="I33" i="9"/>
  <c r="G50" i="9"/>
  <c r="G64" i="9"/>
  <c r="I10" i="9"/>
  <c r="I16" i="9"/>
  <c r="I19" i="9"/>
  <c r="C31" i="9"/>
  <c r="I50" i="9"/>
  <c r="C59" i="9"/>
  <c r="I64" i="9"/>
  <c r="C8" i="9"/>
  <c r="K16" i="9"/>
  <c r="E31" i="9"/>
  <c r="C48" i="9"/>
  <c r="K50" i="9"/>
  <c r="C54" i="9"/>
  <c r="E59" i="9"/>
  <c r="C62" i="9"/>
  <c r="K64" i="9"/>
  <c r="E8" i="9"/>
  <c r="C25" i="9"/>
  <c r="G31" i="9"/>
  <c r="C45" i="9"/>
  <c r="E48" i="9"/>
  <c r="E54" i="9"/>
  <c r="G59" i="9"/>
  <c r="E62" i="9"/>
  <c r="M64" i="9"/>
  <c r="C6" i="9"/>
  <c r="G8" i="9"/>
  <c r="E17" i="9"/>
  <c r="E25" i="9"/>
  <c r="I31" i="9"/>
  <c r="C34" i="9"/>
  <c r="G42" i="9"/>
  <c r="E45" i="9"/>
  <c r="G48" i="9"/>
  <c r="G54" i="9"/>
  <c r="I59" i="9"/>
  <c r="G62" i="9"/>
  <c r="G17" i="9"/>
  <c r="I42" i="9"/>
  <c r="I48" i="9"/>
  <c r="I51" i="9"/>
  <c r="C30" i="9"/>
  <c r="C46" i="9"/>
  <c r="E14" i="9"/>
  <c r="C21" i="9"/>
  <c r="E30" i="9"/>
  <c r="C37" i="9"/>
  <c r="E46" i="9"/>
  <c r="C53" i="9"/>
  <c r="C28" i="9"/>
  <c r="E37" i="9"/>
  <c r="C44" i="9"/>
  <c r="E12" i="9"/>
  <c r="I14" i="9"/>
  <c r="C19" i="9"/>
  <c r="G21" i="9"/>
  <c r="E28" i="9"/>
  <c r="I30" i="9"/>
  <c r="C35" i="9"/>
  <c r="G37" i="9"/>
  <c r="E44" i="9"/>
  <c r="I46" i="9"/>
  <c r="C51" i="9"/>
  <c r="G53" i="9"/>
  <c r="E60" i="9"/>
  <c r="C66" i="9"/>
  <c r="G14" i="9"/>
  <c r="E21" i="9"/>
  <c r="G46" i="9"/>
  <c r="E53" i="9"/>
  <c r="C10" i="9"/>
  <c r="G12" i="9"/>
  <c r="K14" i="9"/>
  <c r="E19" i="9"/>
  <c r="I21" i="9"/>
  <c r="C26" i="9"/>
  <c r="G28" i="9"/>
  <c r="K30" i="9"/>
  <c r="E35" i="9"/>
  <c r="I37" i="9"/>
  <c r="C42" i="9"/>
  <c r="G44" i="9"/>
  <c r="K46" i="9"/>
  <c r="E51" i="9"/>
  <c r="I53" i="9"/>
  <c r="G60" i="9"/>
  <c r="E66" i="9"/>
  <c r="C14" i="9"/>
  <c r="C12" i="9"/>
  <c r="G30" i="9"/>
  <c r="C60" i="9"/>
  <c r="M12" i="8"/>
  <c r="M28" i="8"/>
  <c r="K35" i="8"/>
  <c r="M44" i="8"/>
  <c r="K51" i="8"/>
  <c r="M60" i="8"/>
  <c r="K67" i="8"/>
  <c r="M35" i="8"/>
  <c r="M51" i="8"/>
  <c r="M67" i="8"/>
  <c r="E7" i="8"/>
  <c r="C14" i="8"/>
  <c r="G16" i="8"/>
  <c r="K18" i="8"/>
  <c r="E23" i="8"/>
  <c r="C30" i="8"/>
  <c r="G32" i="8"/>
  <c r="K34" i="8"/>
  <c r="C46" i="8"/>
  <c r="G48" i="8"/>
  <c r="K50" i="8"/>
  <c r="C62" i="8"/>
  <c r="G64" i="8"/>
  <c r="K66" i="8"/>
  <c r="E14" i="8"/>
  <c r="I16" i="8"/>
  <c r="C21" i="8"/>
  <c r="E30" i="8"/>
  <c r="I32" i="8"/>
  <c r="C37" i="8"/>
  <c r="E46" i="8"/>
  <c r="I48" i="8"/>
  <c r="C53" i="8"/>
  <c r="E62" i="8"/>
  <c r="I64" i="8"/>
  <c r="C12" i="8"/>
  <c r="G14" i="8"/>
  <c r="E21" i="8"/>
  <c r="C28" i="8"/>
  <c r="G30" i="8"/>
  <c r="E37" i="8"/>
  <c r="C44" i="8"/>
  <c r="G46" i="8"/>
  <c r="E53" i="8"/>
  <c r="C60" i="8"/>
  <c r="G62" i="8"/>
  <c r="E12" i="8"/>
  <c r="I14" i="8"/>
  <c r="C19" i="8"/>
  <c r="G21" i="8"/>
  <c r="E28" i="8"/>
  <c r="I30" i="8"/>
  <c r="C35" i="8"/>
  <c r="G37" i="8"/>
  <c r="E44" i="8"/>
  <c r="I46" i="8"/>
  <c r="C51" i="8"/>
  <c r="G53" i="8"/>
  <c r="E60" i="8"/>
  <c r="I62" i="8"/>
  <c r="C67" i="8"/>
  <c r="C10" i="8"/>
  <c r="G12" i="8"/>
  <c r="K14" i="8"/>
  <c r="E19" i="8"/>
  <c r="I21" i="8"/>
  <c r="C26" i="8"/>
  <c r="G28" i="8"/>
  <c r="K30" i="8"/>
  <c r="E35" i="8"/>
  <c r="I37" i="8"/>
  <c r="C42" i="8"/>
  <c r="G44" i="8"/>
  <c r="K46" i="8"/>
  <c r="E51" i="8"/>
  <c r="I53" i="8"/>
  <c r="G60" i="8"/>
  <c r="K62" i="8"/>
  <c r="E67" i="8"/>
  <c r="K67" i="7"/>
  <c r="G8" i="7"/>
  <c r="M19" i="7"/>
  <c r="G24" i="7"/>
  <c r="M35" i="7"/>
  <c r="G40" i="7"/>
  <c r="M51" i="7"/>
  <c r="I24" i="7"/>
  <c r="I40" i="7"/>
  <c r="G63" i="7"/>
  <c r="I8" i="7"/>
  <c r="K8" i="7"/>
  <c r="E13" i="7"/>
  <c r="I15" i="7"/>
  <c r="M17" i="7"/>
  <c r="K24" i="7"/>
  <c r="E29" i="7"/>
  <c r="I31" i="7"/>
  <c r="M33" i="7"/>
  <c r="K40" i="7"/>
  <c r="I47" i="7"/>
  <c r="M49" i="7"/>
  <c r="I63" i="7"/>
  <c r="M65" i="7"/>
  <c r="G29" i="7"/>
  <c r="K63" i="7"/>
  <c r="I43" i="7"/>
  <c r="I59" i="7"/>
  <c r="G66" i="7"/>
  <c r="I66" i="7"/>
  <c r="C30" i="7"/>
  <c r="C46" i="7"/>
  <c r="C62" i="7"/>
  <c r="K66" i="7"/>
  <c r="E62" i="7"/>
  <c r="C60" i="7"/>
  <c r="E30" i="7"/>
  <c r="C53" i="7"/>
  <c r="G14" i="7"/>
  <c r="E21" i="7"/>
  <c r="C28" i="7"/>
  <c r="E37" i="7"/>
  <c r="G46" i="7"/>
  <c r="G62" i="7"/>
  <c r="G37" i="7"/>
  <c r="C14" i="7"/>
  <c r="E14" i="7"/>
  <c r="C21" i="7"/>
  <c r="C37" i="7"/>
  <c r="G30" i="7"/>
  <c r="E53" i="7"/>
  <c r="E46" i="7"/>
  <c r="C12" i="7"/>
  <c r="C44" i="7"/>
  <c r="E12" i="7"/>
  <c r="I14" i="7"/>
  <c r="C19" i="7"/>
  <c r="G21" i="7"/>
  <c r="E28" i="7"/>
  <c r="I30" i="7"/>
  <c r="C35" i="7"/>
  <c r="E44" i="7"/>
  <c r="I46" i="7"/>
  <c r="C51" i="7"/>
  <c r="G53" i="7"/>
  <c r="E60" i="7"/>
  <c r="I62" i="7"/>
  <c r="C67" i="7"/>
  <c r="C10" i="7"/>
  <c r="G12" i="7"/>
  <c r="K14" i="7"/>
  <c r="E19" i="7"/>
  <c r="I21" i="7"/>
  <c r="C26" i="7"/>
  <c r="G28" i="7"/>
  <c r="K30" i="7"/>
  <c r="E35" i="7"/>
  <c r="I37" i="7"/>
  <c r="C42" i="7"/>
  <c r="G44" i="7"/>
  <c r="K46" i="7"/>
  <c r="E51" i="7"/>
  <c r="I53" i="7"/>
  <c r="G60" i="7"/>
  <c r="K62" i="7"/>
  <c r="E67" i="7"/>
  <c r="N50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8" i="4"/>
  <c r="N51" i="4" s="1"/>
  <c r="N9" i="4"/>
  <c r="N10" i="4"/>
  <c r="N11" i="4"/>
  <c r="N12" i="4"/>
  <c r="N13" i="4"/>
  <c r="N14" i="4"/>
  <c r="N7" i="4"/>
  <c r="K55" i="20" l="1"/>
  <c r="C55" i="20"/>
  <c r="G55" i="20"/>
  <c r="I55" i="20"/>
  <c r="I67" i="20"/>
  <c r="G67" i="20"/>
  <c r="E67" i="20"/>
  <c r="C67" i="20"/>
  <c r="K67" i="19"/>
  <c r="I67" i="19"/>
  <c r="G67" i="19"/>
  <c r="G55" i="19"/>
  <c r="E55" i="19"/>
  <c r="C55" i="19"/>
  <c r="K55" i="19"/>
  <c r="K67" i="18"/>
  <c r="G67" i="18"/>
  <c r="I67" i="18"/>
  <c r="C67" i="18"/>
  <c r="E55" i="18"/>
  <c r="I55" i="18"/>
  <c r="G55" i="18"/>
  <c r="K55" i="18"/>
  <c r="E59" i="17"/>
  <c r="G59" i="17"/>
  <c r="K59" i="17"/>
  <c r="I59" i="17"/>
  <c r="I71" i="17"/>
  <c r="G71" i="17"/>
  <c r="C71" i="17"/>
  <c r="K71" i="17"/>
  <c r="K58" i="15"/>
  <c r="I58" i="15"/>
  <c r="G58" i="15"/>
  <c r="E58" i="15"/>
  <c r="C58" i="15"/>
  <c r="I59" i="12"/>
  <c r="M59" i="12"/>
  <c r="C59" i="12"/>
  <c r="G59" i="12"/>
  <c r="E59" i="12"/>
  <c r="M71" i="12"/>
  <c r="E71" i="12"/>
  <c r="K71" i="12"/>
  <c r="I71" i="12"/>
  <c r="G71" i="12"/>
  <c r="M55" i="10"/>
  <c r="C55" i="10"/>
  <c r="E55" i="10"/>
  <c r="K55" i="10"/>
  <c r="G55" i="10"/>
  <c r="M55" i="9"/>
  <c r="C55" i="9"/>
  <c r="I55" i="9"/>
  <c r="G55" i="9"/>
  <c r="E67" i="9"/>
  <c r="K67" i="9"/>
  <c r="I67" i="9"/>
  <c r="G67" i="9"/>
  <c r="C67" i="9"/>
  <c r="M55" i="8"/>
  <c r="C55" i="8"/>
  <c r="K55" i="8"/>
  <c r="E55" i="8"/>
  <c r="G55" i="8"/>
  <c r="E68" i="8"/>
  <c r="I68" i="8"/>
  <c r="C68" i="8"/>
  <c r="G68" i="8"/>
  <c r="M68" i="8"/>
  <c r="M55" i="7"/>
  <c r="E55" i="7"/>
  <c r="C55" i="7"/>
  <c r="G55" i="7"/>
  <c r="K55" i="7"/>
  <c r="L51" i="4"/>
  <c r="M51" i="4" s="1"/>
  <c r="J51" i="4"/>
  <c r="K51" i="4" s="1"/>
  <c r="H51" i="4"/>
  <c r="F51" i="4"/>
  <c r="D51" i="4"/>
  <c r="E51" i="4" s="1"/>
  <c r="B51" i="4"/>
  <c r="C51" i="4" s="1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C50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7" i="4"/>
</calcChain>
</file>

<file path=xl/sharedStrings.xml><?xml version="1.0" encoding="utf-8"?>
<sst xmlns="http://schemas.openxmlformats.org/spreadsheetml/2006/main" count="1171" uniqueCount="164">
  <si>
    <t>Total</t>
  </si>
  <si>
    <t>Laws</t>
  </si>
  <si>
    <t>1995-96</t>
  </si>
  <si>
    <t>Department</t>
  </si>
  <si>
    <t>Anatomy and Developmental Biology</t>
  </si>
  <si>
    <t>Anthropology</t>
  </si>
  <si>
    <t>Institute of Archaeology</t>
  </si>
  <si>
    <t>Biochemistry and Molecular Biology</t>
  </si>
  <si>
    <t>Biology</t>
  </si>
  <si>
    <t>Chemical and Biochemical Engineering</t>
  </si>
  <si>
    <t>Chemistry</t>
  </si>
  <si>
    <t>Civil and Environmental Engineering</t>
  </si>
  <si>
    <t>Computer Science</t>
  </si>
  <si>
    <t>Dutch Language and Literature</t>
  </si>
  <si>
    <t>Economics</t>
  </si>
  <si>
    <t>Electronic and Electrical Engineering</t>
  </si>
  <si>
    <t>English Language and Literature</t>
  </si>
  <si>
    <t>Slade School of Fine Art</t>
  </si>
  <si>
    <t>French</t>
  </si>
  <si>
    <t>Geography</t>
  </si>
  <si>
    <t>Geological Sciences</t>
  </si>
  <si>
    <t>German</t>
  </si>
  <si>
    <t>History</t>
  </si>
  <si>
    <t>Italian</t>
  </si>
  <si>
    <t>Mathematics</t>
  </si>
  <si>
    <t>Mechanical Engineering</t>
  </si>
  <si>
    <t>Pharmacology</t>
  </si>
  <si>
    <t>Philosophy</t>
  </si>
  <si>
    <t>Phonetics and Linguistics</t>
  </si>
  <si>
    <t>Physics and Astronomy</t>
  </si>
  <si>
    <t>Physiology</t>
  </si>
  <si>
    <t>Psychology</t>
  </si>
  <si>
    <t>Scandinavian Studies</t>
  </si>
  <si>
    <t>Science and Technology Studies</t>
  </si>
  <si>
    <t>Spanish and Latin American Studies</t>
  </si>
  <si>
    <t>Statistical Science</t>
  </si>
  <si>
    <t>Interdepartmental Course</t>
  </si>
  <si>
    <t>Immunology</t>
  </si>
  <si>
    <t>Greek and Latin</t>
  </si>
  <si>
    <t>Hebrew and Jewish Studies</t>
  </si>
  <si>
    <t>History of Art</t>
  </si>
  <si>
    <t>Grand Total</t>
  </si>
  <si>
    <t>Faculty of Clinical Sciences</t>
  </si>
  <si>
    <t>Bartlett School</t>
  </si>
  <si>
    <t>Table S</t>
  </si>
  <si>
    <t>Pass</t>
  </si>
  <si>
    <t>Aegrotat</t>
  </si>
  <si>
    <t>Modern European Studies</t>
  </si>
  <si>
    <t>Institute of Orthopaedics</t>
  </si>
  <si>
    <t>Surgery</t>
  </si>
  <si>
    <t>Intercollegiate Course</t>
  </si>
  <si>
    <t>[The figures above relate to the position as at 14 February 1997 and do not include any students in debt to the College at that time]</t>
  </si>
  <si>
    <t>First Class Honours</t>
  </si>
  <si>
    <t>Second Class Honours (Upper Div.)</t>
  </si>
  <si>
    <t>Second Class Honours (Lower Div.)</t>
  </si>
  <si>
    <t>Third Class Honours</t>
  </si>
  <si>
    <t xml:space="preserve">First Degree Awards </t>
  </si>
  <si>
    <t>Faculty</t>
  </si>
  <si>
    <t>Additional</t>
  </si>
  <si>
    <t>students passed the Basic Medical Sciences Part II Examination</t>
  </si>
  <si>
    <t>medical students gained M.B.,B.S. Degrees, including 27 with distinction</t>
  </si>
  <si>
    <t>students gained College Certificates in Archaeological Conservation, all with distinction.</t>
  </si>
  <si>
    <t>Arts and Humanities</t>
  </si>
  <si>
    <t>Built Environment</t>
  </si>
  <si>
    <t>Clinical Sciences</t>
  </si>
  <si>
    <t>Engineering</t>
  </si>
  <si>
    <t>Life Sciences</t>
  </si>
  <si>
    <t>Mathematical and Physical Sciences</t>
  </si>
  <si>
    <t>Social and Historical Sciences</t>
  </si>
  <si>
    <t>Royal Free Hospital School of Medicine</t>
  </si>
  <si>
    <t>Biochemical Engineering</t>
  </si>
  <si>
    <t>Chemical Engineering</t>
  </si>
  <si>
    <t>Human Communication Science</t>
  </si>
  <si>
    <t>Library, Archive and information Studies</t>
  </si>
  <si>
    <t>Medical Physics</t>
  </si>
  <si>
    <t>Podiatry</t>
  </si>
  <si>
    <t>Basic Medical Sciences Part II Examination</t>
  </si>
  <si>
    <t>Passed</t>
  </si>
  <si>
    <t>MB,BS Degrees</t>
  </si>
  <si>
    <t>Gained (distinction)</t>
  </si>
  <si>
    <t>College Diploma in Archaeological Conservation</t>
  </si>
  <si>
    <t>College Diploma in in International Study in Engineering</t>
  </si>
  <si>
    <t>3(1)</t>
  </si>
  <si>
    <t>1(1)</t>
  </si>
  <si>
    <t>298(27)</t>
  </si>
  <si>
    <t>[The figures above relate to the position as at 11 December 1998 and do not include any students in debt to the College at that time]</t>
  </si>
  <si>
    <t>297(51)</t>
  </si>
  <si>
    <t>College Diploma in Chemical Engineering</t>
  </si>
  <si>
    <t>[The figures above relate to the position as at 1st December 1999 and do not include any students in debt to the College at that time]</t>
  </si>
  <si>
    <t>289(60)</t>
  </si>
  <si>
    <t>[The figures above relate to the position as at 1st December 2000 and do not include any students in debt to the College at that time]</t>
  </si>
  <si>
    <t>314(58)</t>
  </si>
  <si>
    <t>[The figures above relate to the position as at 7th December 2001and do not include any students in debt to the College at that time]</t>
  </si>
  <si>
    <t>Bartlett School of Architecture</t>
  </si>
  <si>
    <t>Immunology and Molecular Pathology</t>
  </si>
  <si>
    <t>Library, Archive and Information Studies</t>
  </si>
  <si>
    <t>Medicine</t>
  </si>
  <si>
    <t>Orthopaedics</t>
  </si>
  <si>
    <t>School of Podiatry</t>
  </si>
  <si>
    <t>Primary Care and Population Sciences</t>
  </si>
  <si>
    <t>School of Slavonic and E. European Stds</t>
  </si>
  <si>
    <t>304(65)</t>
  </si>
  <si>
    <t>[The figures above relate to the position as at 1st December 2002 and do not include any students in debt to the College at that time]</t>
  </si>
  <si>
    <t>Engineering Sciences</t>
  </si>
  <si>
    <t>CHIME</t>
  </si>
  <si>
    <t>Earth Sciences</t>
  </si>
  <si>
    <t>Physical Sciences</t>
  </si>
  <si>
    <t>361(83)</t>
  </si>
  <si>
    <t>[The figures above relate to the position as at 1st December 2003 and do not include any students in debt to the College at that time]</t>
  </si>
  <si>
    <t>European Social and Political Studies</t>
  </si>
  <si>
    <t>Human Sciences</t>
  </si>
  <si>
    <t>367(35)</t>
  </si>
  <si>
    <t xml:space="preserve">[The figures above relate to the position as at 1st December 2004 </t>
  </si>
  <si>
    <t>314(36)</t>
  </si>
  <si>
    <t xml:space="preserve">The figures above relate to the position as at 1st December 2005 </t>
  </si>
  <si>
    <t>Natural/Physical Sciences</t>
  </si>
  <si>
    <t>Institute of Orthopaedics and Musculoskeletal Science</t>
  </si>
  <si>
    <t>393(63)</t>
  </si>
  <si>
    <t xml:space="preserve">The figures above relate to the position as at 1st December 2006 </t>
  </si>
  <si>
    <t>Biomedical Sciences</t>
  </si>
  <si>
    <t>Bartlett School of Construction and Proj. Mngmt.</t>
  </si>
  <si>
    <t>Bartlett School of Planning</t>
  </si>
  <si>
    <t>Geomatic Engineering</t>
  </si>
  <si>
    <t>Faculty of Life Sciences</t>
  </si>
  <si>
    <t>The figures above relate to the position as at 1st December 2007</t>
  </si>
  <si>
    <t>Institute of Child Health</t>
  </si>
  <si>
    <t>Civil, Environmental and Geomatic Eng.</t>
  </si>
  <si>
    <t>Ear Institute</t>
  </si>
  <si>
    <t>Natural Sciences Office</t>
  </si>
  <si>
    <t>361(49)</t>
  </si>
  <si>
    <t>The figures above relate to the position as at 1st December 2008</t>
  </si>
  <si>
    <t>378(60)</t>
  </si>
  <si>
    <t>Division of Biosciences</t>
  </si>
  <si>
    <t>Wellcome Trust Centre History of Medicine</t>
  </si>
  <si>
    <t>Division of Infection and Immunity</t>
  </si>
  <si>
    <t>UCL Medical School</t>
  </si>
  <si>
    <t>Division of Medicine</t>
  </si>
  <si>
    <t>Division of Population Health</t>
  </si>
  <si>
    <t>Division of Psychology and Language Sciences</t>
  </si>
  <si>
    <t>Division of Surgery and Interventional Science</t>
  </si>
  <si>
    <t>The figures above relate to the position as at 1st December 2009</t>
  </si>
  <si>
    <t>363 (58)</t>
  </si>
  <si>
    <t>Bartlett School of Constrctn. &amp; Prj. Mgmt.</t>
  </si>
  <si>
    <t>Information Studies</t>
  </si>
  <si>
    <t>Division of Psychology and Language Sci.</t>
  </si>
  <si>
    <t>Division of Surgery and Interventional Sci</t>
  </si>
  <si>
    <t>Ordinary and Aegrotat</t>
  </si>
  <si>
    <t>339 (71)</t>
  </si>
  <si>
    <t>The figures above relate to the position as at 1st December 2010</t>
  </si>
  <si>
    <t>Ordinary &amp; Aegrotat</t>
  </si>
  <si>
    <t>Management Science and Innovation</t>
  </si>
  <si>
    <t>1997-98</t>
  </si>
  <si>
    <t>1998-99</t>
  </si>
  <si>
    <t>2000-01</t>
  </si>
  <si>
    <t>1999-00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</si>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</sst>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8.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/>
    <xf numFmtId="0" fontId="1" fillId="0" borderId="5" xfId="0" applyFont="1" applyBorder="1"/>
    <xf numFmtId="0" fontId="2" fillId="0" borderId="7" xfId="0" applyFont="1" applyBorder="1"/>
    <xf numFmtId="0" fontId="1" fillId="0" borderId="10" xfId="0" applyFont="1" applyBorder="1"/>
    <xf numFmtId="0" fontId="3" fillId="0" borderId="3" xfId="0" applyFont="1" applyBorder="1"/>
    <xf numFmtId="0" fontId="2" fillId="0" borderId="9" xfId="0" applyFont="1" applyBorder="1"/>
    <xf numFmtId="0" fontId="3" fillId="0" borderId="9" xfId="0" applyFont="1" applyBorder="1"/>
    <xf numFmtId="0" fontId="2" fillId="0" borderId="4" xfId="0" applyFont="1" applyBorder="1"/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9" fontId="2" fillId="0" borderId="11" xfId="0" applyNumberFormat="1" applyFont="1" applyBorder="1"/>
    <xf numFmtId="9" fontId="2" fillId="0" borderId="12" xfId="0" applyNumberFormat="1" applyFont="1" applyBorder="1"/>
    <xf numFmtId="9" fontId="1" fillId="0" borderId="5" xfId="0" applyNumberFormat="1" applyFont="1" applyBorder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0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0" fontId="8" fillId="2" borderId="17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6" fillId="0" borderId="0" xfId="0" applyFont="1" applyAlignment="1">
      <alignment horizontal="left" vertical="center" wrapText="1"/>
    </xf>
    <xf numFmtId="0" fontId="8" fillId="2" borderId="18" xfId="0" applyFont="1" applyFill="1" applyBorder="1" applyAlignment="1">
      <alignment horizontal="center" wrapText="1"/>
    </xf>
    <xf numFmtId="0" fontId="8" fillId="2" borderId="19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16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13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16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wrapText="1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N81"/>
  <sheetViews>
    <sheetView tabSelected="1" view="pageLayout" topLeftCell="A40" zoomScale="40" zoomScaleNormal="100" zoomScalePageLayoutView="40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tr">
        <f ca="1">RIGHT(CELL("filename",A1),LEN(CELL("filename",A1))-FIND("]",CELL("filename",A1)))</f>
        <v>2011-12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/>
      <c r="B6" s="1"/>
      <c r="C6" s="13" t="e">
        <f>B6/N6</f>
        <v>#DIV/0!</v>
      </c>
      <c r="D6" s="1"/>
      <c r="E6" s="13" t="e">
        <f>D6/N6</f>
        <v>#DIV/0!</v>
      </c>
      <c r="F6" s="1"/>
      <c r="G6" s="13" t="e">
        <f>F6/N6</f>
        <v>#DIV/0!</v>
      </c>
      <c r="H6" s="1"/>
      <c r="I6" s="13" t="e">
        <f>H6/N6</f>
        <v>#DIV/0!</v>
      </c>
      <c r="J6" s="1"/>
      <c r="K6" s="13" t="e">
        <f>J6/N6</f>
        <v>#DIV/0!</v>
      </c>
      <c r="L6" s="1"/>
      <c r="M6" s="13" t="e">
        <f>L6/N6</f>
        <v>#DIV/0!</v>
      </c>
      <c r="N6" s="3">
        <f t="shared" ref="N6:N54" si="0">B6+D6+F6+H6+J6+L6</f>
        <v>0</v>
      </c>
    </row>
    <row r="7" spans="1:14" ht="13.5" customHeight="1" x14ac:dyDescent="0.25">
      <c r="A7" s="5"/>
      <c r="B7" s="1"/>
      <c r="C7" s="13" t="e">
        <f>B7/N7</f>
        <v>#DIV/0!</v>
      </c>
      <c r="D7" s="1"/>
      <c r="E7" s="13" t="e">
        <f>D7/N7</f>
        <v>#DIV/0!</v>
      </c>
      <c r="F7" s="1"/>
      <c r="G7" s="13" t="e">
        <f>F7/N7</f>
        <v>#DIV/0!</v>
      </c>
      <c r="H7" s="1"/>
      <c r="I7" s="13" t="e">
        <f>H7/N7</f>
        <v>#DIV/0!</v>
      </c>
      <c r="J7" s="1"/>
      <c r="K7" s="13" t="e">
        <f>J7/N7</f>
        <v>#DIV/0!</v>
      </c>
      <c r="L7" s="1"/>
      <c r="M7" s="13" t="e">
        <f>L7/N7</f>
        <v>#DIV/0!</v>
      </c>
      <c r="N7" s="3">
        <f>B7+D7+F7+H7+J7+L7</f>
        <v>0</v>
      </c>
    </row>
    <row r="8" spans="1:14" ht="13.5" customHeight="1" x14ac:dyDescent="0.25">
      <c r="A8" s="5"/>
      <c r="B8" s="1"/>
      <c r="C8" s="13" t="e">
        <f>B8/N8</f>
        <v>#DIV/0!</v>
      </c>
      <c r="D8" s="1"/>
      <c r="E8" s="13" t="e">
        <f>D8/N8</f>
        <v>#DIV/0!</v>
      </c>
      <c r="F8" s="1"/>
      <c r="G8" s="13" t="e">
        <f>F8/N8</f>
        <v>#DIV/0!</v>
      </c>
      <c r="H8" s="1"/>
      <c r="I8" s="13" t="e">
        <f>H8/N8</f>
        <v>#DIV/0!</v>
      </c>
      <c r="J8" s="1"/>
      <c r="K8" s="13" t="e">
        <f>J8/N8</f>
        <v>#DIV/0!</v>
      </c>
      <c r="L8" s="1"/>
      <c r="M8" s="13" t="e">
        <f>L8/N8</f>
        <v>#DIV/0!</v>
      </c>
      <c r="N8" s="3">
        <f>B8+D8+F8+H8+J8+L8</f>
        <v>0</v>
      </c>
    </row>
    <row r="9" spans="1:14" ht="13.5" customHeight="1" x14ac:dyDescent="0.25">
      <c r="A9" s="5"/>
      <c r="B9" s="1"/>
      <c r="C9" s="13" t="e">
        <f t="shared" ref="C9:C55" si="1">B9/N9</f>
        <v>#DIV/0!</v>
      </c>
      <c r="D9" s="1"/>
      <c r="E9" s="13" t="e">
        <f t="shared" ref="E9:E55" si="2">D9/N9</f>
        <v>#DIV/0!</v>
      </c>
      <c r="F9" s="1"/>
      <c r="G9" s="13" t="e">
        <f t="shared" ref="G9:G55" si="3">F9/N9</f>
        <v>#DIV/0!</v>
      </c>
      <c r="H9" s="1"/>
      <c r="I9" s="13" t="e">
        <f t="shared" ref="I9:I55" si="4">H9/N9</f>
        <v>#DIV/0!</v>
      </c>
      <c r="J9" s="1"/>
      <c r="K9" s="13" t="e">
        <f t="shared" ref="K9:K55" si="5">J9/N9</f>
        <v>#DIV/0!</v>
      </c>
      <c r="L9" s="1"/>
      <c r="M9" s="13" t="e">
        <f t="shared" ref="M9:M55" si="6">L9/N9</f>
        <v>#DIV/0!</v>
      </c>
      <c r="N9" s="3">
        <f t="shared" si="0"/>
        <v>0</v>
      </c>
    </row>
    <row r="10" spans="1:14" ht="13.5" customHeight="1" x14ac:dyDescent="0.25">
      <c r="A10" s="5"/>
      <c r="B10" s="1"/>
      <c r="C10" s="13" t="e">
        <f t="shared" si="1"/>
        <v>#DIV/0!</v>
      </c>
      <c r="D10" s="1"/>
      <c r="E10" s="13" t="e">
        <f t="shared" si="2"/>
        <v>#DIV/0!</v>
      </c>
      <c r="F10" s="1"/>
      <c r="G10" s="13" t="e">
        <f t="shared" si="3"/>
        <v>#DIV/0!</v>
      </c>
      <c r="H10" s="1"/>
      <c r="I10" s="13" t="e">
        <f t="shared" si="4"/>
        <v>#DIV/0!</v>
      </c>
      <c r="J10" s="1"/>
      <c r="K10" s="13" t="e">
        <f t="shared" si="5"/>
        <v>#DIV/0!</v>
      </c>
      <c r="L10" s="1"/>
      <c r="M10" s="13" t="e">
        <f t="shared" si="6"/>
        <v>#DIV/0!</v>
      </c>
      <c r="N10" s="3">
        <f t="shared" si="0"/>
        <v>0</v>
      </c>
    </row>
    <row r="11" spans="1:14" ht="13.5" customHeight="1" x14ac:dyDescent="0.25">
      <c r="A11" s="5"/>
      <c r="B11" s="1"/>
      <c r="C11" s="13" t="e">
        <f t="shared" si="1"/>
        <v>#DIV/0!</v>
      </c>
      <c r="D11" s="1"/>
      <c r="E11" s="13" t="e">
        <f t="shared" si="2"/>
        <v>#DIV/0!</v>
      </c>
      <c r="F11" s="1"/>
      <c r="G11" s="13" t="e">
        <f t="shared" si="3"/>
        <v>#DIV/0!</v>
      </c>
      <c r="H11" s="1"/>
      <c r="I11" s="13" t="e">
        <f t="shared" si="4"/>
        <v>#DIV/0!</v>
      </c>
      <c r="J11" s="1"/>
      <c r="K11" s="13" t="e">
        <f t="shared" si="5"/>
        <v>#DIV/0!</v>
      </c>
      <c r="L11" s="1"/>
      <c r="M11" s="13" t="e">
        <f t="shared" si="6"/>
        <v>#DIV/0!</v>
      </c>
      <c r="N11" s="3">
        <f t="shared" si="0"/>
        <v>0</v>
      </c>
    </row>
    <row r="12" spans="1:14" ht="13.5" customHeight="1" x14ac:dyDescent="0.25">
      <c r="A12" s="5"/>
      <c r="B12" s="1"/>
      <c r="C12" s="13" t="e">
        <f t="shared" si="1"/>
        <v>#DIV/0!</v>
      </c>
      <c r="D12" s="1"/>
      <c r="E12" s="13" t="e">
        <f t="shared" si="2"/>
        <v>#DIV/0!</v>
      </c>
      <c r="F12" s="1"/>
      <c r="G12" s="13" t="e">
        <f t="shared" si="3"/>
        <v>#DIV/0!</v>
      </c>
      <c r="H12" s="1"/>
      <c r="I12" s="13" t="e">
        <f t="shared" si="4"/>
        <v>#DIV/0!</v>
      </c>
      <c r="J12" s="1"/>
      <c r="K12" s="13" t="e">
        <f t="shared" si="5"/>
        <v>#DIV/0!</v>
      </c>
      <c r="L12" s="1"/>
      <c r="M12" s="13" t="e">
        <f t="shared" si="6"/>
        <v>#DIV/0!</v>
      </c>
      <c r="N12" s="3">
        <f t="shared" si="0"/>
        <v>0</v>
      </c>
    </row>
    <row r="13" spans="1:14" ht="13.5" customHeight="1" x14ac:dyDescent="0.25">
      <c r="A13" s="5"/>
      <c r="B13" s="1"/>
      <c r="C13" s="13" t="e">
        <f t="shared" si="1"/>
        <v>#DIV/0!</v>
      </c>
      <c r="D13" s="1"/>
      <c r="E13" s="13" t="e">
        <f t="shared" si="2"/>
        <v>#DIV/0!</v>
      </c>
      <c r="F13" s="1"/>
      <c r="G13" s="13" t="e">
        <f t="shared" si="3"/>
        <v>#DIV/0!</v>
      </c>
      <c r="H13" s="1"/>
      <c r="I13" s="13" t="e">
        <f t="shared" si="4"/>
        <v>#DIV/0!</v>
      </c>
      <c r="J13" s="1"/>
      <c r="K13" s="13" t="e">
        <f t="shared" si="5"/>
        <v>#DIV/0!</v>
      </c>
      <c r="L13" s="1"/>
      <c r="M13" s="13" t="e">
        <f t="shared" si="6"/>
        <v>#DIV/0!</v>
      </c>
      <c r="N13" s="3">
        <f t="shared" si="0"/>
        <v>0</v>
      </c>
    </row>
    <row r="14" spans="1:14" ht="13.5" customHeight="1" x14ac:dyDescent="0.25">
      <c r="A14" s="5"/>
      <c r="B14" s="1"/>
      <c r="C14" s="13" t="e">
        <f t="shared" si="1"/>
        <v>#DIV/0!</v>
      </c>
      <c r="D14" s="1"/>
      <c r="E14" s="13" t="e">
        <f t="shared" si="2"/>
        <v>#DIV/0!</v>
      </c>
      <c r="F14" s="1"/>
      <c r="G14" s="13" t="e">
        <f t="shared" si="3"/>
        <v>#DIV/0!</v>
      </c>
      <c r="H14" s="1"/>
      <c r="I14" s="13" t="e">
        <f t="shared" si="4"/>
        <v>#DIV/0!</v>
      </c>
      <c r="J14" s="1"/>
      <c r="K14" s="13" t="e">
        <f t="shared" si="5"/>
        <v>#DIV/0!</v>
      </c>
      <c r="L14" s="1"/>
      <c r="M14" s="13" t="e">
        <f t="shared" si="6"/>
        <v>#DIV/0!</v>
      </c>
      <c r="N14" s="3">
        <f t="shared" si="0"/>
        <v>0</v>
      </c>
    </row>
    <row r="15" spans="1:14" ht="13.5" customHeight="1" x14ac:dyDescent="0.25">
      <c r="A15" s="5"/>
      <c r="B15" s="1"/>
      <c r="C15" s="13" t="e">
        <f t="shared" si="1"/>
        <v>#DIV/0!</v>
      </c>
      <c r="D15" s="1"/>
      <c r="E15" s="13" t="e">
        <f t="shared" si="2"/>
        <v>#DIV/0!</v>
      </c>
      <c r="F15" s="1"/>
      <c r="G15" s="13" t="e">
        <f t="shared" si="3"/>
        <v>#DIV/0!</v>
      </c>
      <c r="H15" s="1"/>
      <c r="I15" s="13" t="e">
        <f t="shared" si="4"/>
        <v>#DIV/0!</v>
      </c>
      <c r="J15" s="1"/>
      <c r="K15" s="13" t="e">
        <f t="shared" si="5"/>
        <v>#DIV/0!</v>
      </c>
      <c r="L15" s="1"/>
      <c r="M15" s="13" t="e">
        <f t="shared" si="6"/>
        <v>#DIV/0!</v>
      </c>
      <c r="N15" s="3">
        <f t="shared" si="0"/>
        <v>0</v>
      </c>
    </row>
    <row r="16" spans="1:14" ht="13.5" customHeight="1" x14ac:dyDescent="0.25">
      <c r="A16" s="5"/>
      <c r="B16" s="1"/>
      <c r="C16" s="13" t="e">
        <f t="shared" si="1"/>
        <v>#DIV/0!</v>
      </c>
      <c r="D16" s="1"/>
      <c r="E16" s="13" t="e">
        <f t="shared" si="2"/>
        <v>#DIV/0!</v>
      </c>
      <c r="F16" s="1"/>
      <c r="G16" s="13" t="e">
        <f t="shared" si="3"/>
        <v>#DIV/0!</v>
      </c>
      <c r="H16" s="1"/>
      <c r="I16" s="13" t="e">
        <f t="shared" si="4"/>
        <v>#DIV/0!</v>
      </c>
      <c r="J16" s="1"/>
      <c r="K16" s="13" t="e">
        <f t="shared" si="5"/>
        <v>#DIV/0!</v>
      </c>
      <c r="L16" s="1"/>
      <c r="M16" s="13" t="e">
        <f t="shared" si="6"/>
        <v>#DIV/0!</v>
      </c>
      <c r="N16" s="3">
        <f t="shared" si="0"/>
        <v>0</v>
      </c>
    </row>
    <row r="17" spans="1:14" ht="13.5" customHeight="1" x14ac:dyDescent="0.25">
      <c r="A17" s="5"/>
      <c r="B17" s="1"/>
      <c r="C17" s="13" t="e">
        <f t="shared" si="1"/>
        <v>#DIV/0!</v>
      </c>
      <c r="D17" s="1"/>
      <c r="E17" s="13" t="e">
        <f t="shared" si="2"/>
        <v>#DIV/0!</v>
      </c>
      <c r="F17" s="1"/>
      <c r="G17" s="13" t="e">
        <f t="shared" si="3"/>
        <v>#DIV/0!</v>
      </c>
      <c r="H17" s="1"/>
      <c r="I17" s="13" t="e">
        <f t="shared" si="4"/>
        <v>#DIV/0!</v>
      </c>
      <c r="J17" s="1"/>
      <c r="K17" s="13" t="e">
        <f t="shared" si="5"/>
        <v>#DIV/0!</v>
      </c>
      <c r="L17" s="1"/>
      <c r="M17" s="13" t="e">
        <f t="shared" si="6"/>
        <v>#DIV/0!</v>
      </c>
      <c r="N17" s="3">
        <f t="shared" si="0"/>
        <v>0</v>
      </c>
    </row>
    <row r="18" spans="1:14" ht="13.5" customHeight="1" x14ac:dyDescent="0.25">
      <c r="A18" s="5"/>
      <c r="B18" s="1"/>
      <c r="C18" s="13" t="e">
        <f t="shared" si="1"/>
        <v>#DIV/0!</v>
      </c>
      <c r="D18" s="1"/>
      <c r="E18" s="13" t="e">
        <f t="shared" si="2"/>
        <v>#DIV/0!</v>
      </c>
      <c r="F18" s="1"/>
      <c r="G18" s="13" t="e">
        <f t="shared" si="3"/>
        <v>#DIV/0!</v>
      </c>
      <c r="H18" s="1"/>
      <c r="I18" s="13" t="e">
        <f t="shared" si="4"/>
        <v>#DIV/0!</v>
      </c>
      <c r="J18" s="1"/>
      <c r="K18" s="13" t="e">
        <f t="shared" si="5"/>
        <v>#DIV/0!</v>
      </c>
      <c r="L18" s="1"/>
      <c r="M18" s="13" t="e">
        <f t="shared" si="6"/>
        <v>#DIV/0!</v>
      </c>
      <c r="N18" s="3">
        <f t="shared" si="0"/>
        <v>0</v>
      </c>
    </row>
    <row r="19" spans="1:14" ht="13.5" customHeight="1" x14ac:dyDescent="0.25">
      <c r="A19" s="5"/>
      <c r="B19" s="1"/>
      <c r="C19" s="13" t="e">
        <f t="shared" si="1"/>
        <v>#DIV/0!</v>
      </c>
      <c r="D19" s="1"/>
      <c r="E19" s="13" t="e">
        <f t="shared" si="2"/>
        <v>#DIV/0!</v>
      </c>
      <c r="F19" s="1"/>
      <c r="G19" s="13" t="e">
        <f t="shared" si="3"/>
        <v>#DIV/0!</v>
      </c>
      <c r="H19" s="1"/>
      <c r="I19" s="13" t="e">
        <f t="shared" si="4"/>
        <v>#DIV/0!</v>
      </c>
      <c r="J19" s="1"/>
      <c r="K19" s="13" t="e">
        <f t="shared" si="5"/>
        <v>#DIV/0!</v>
      </c>
      <c r="L19" s="1"/>
      <c r="M19" s="13" t="e">
        <f t="shared" si="6"/>
        <v>#DIV/0!</v>
      </c>
      <c r="N19" s="3">
        <f t="shared" si="0"/>
        <v>0</v>
      </c>
    </row>
    <row r="20" spans="1:14" ht="13.5" customHeight="1" x14ac:dyDescent="0.25">
      <c r="A20" s="5"/>
      <c r="B20" s="1"/>
      <c r="C20" s="13" t="e">
        <f t="shared" si="1"/>
        <v>#DIV/0!</v>
      </c>
      <c r="D20" s="1"/>
      <c r="E20" s="13" t="e">
        <f t="shared" si="2"/>
        <v>#DIV/0!</v>
      </c>
      <c r="F20" s="1"/>
      <c r="G20" s="13" t="e">
        <f t="shared" si="3"/>
        <v>#DIV/0!</v>
      </c>
      <c r="H20" s="1"/>
      <c r="I20" s="13" t="e">
        <f t="shared" si="4"/>
        <v>#DIV/0!</v>
      </c>
      <c r="J20" s="1"/>
      <c r="K20" s="13" t="e">
        <f t="shared" si="5"/>
        <v>#DIV/0!</v>
      </c>
      <c r="L20" s="1"/>
      <c r="M20" s="13" t="e">
        <f t="shared" si="6"/>
        <v>#DIV/0!</v>
      </c>
      <c r="N20" s="3">
        <f t="shared" si="0"/>
        <v>0</v>
      </c>
    </row>
    <row r="21" spans="1:14" ht="13.5" customHeight="1" x14ac:dyDescent="0.25">
      <c r="A21" s="5"/>
      <c r="B21" s="1"/>
      <c r="C21" s="13" t="e">
        <f t="shared" si="1"/>
        <v>#DIV/0!</v>
      </c>
      <c r="D21" s="1"/>
      <c r="E21" s="13" t="e">
        <f t="shared" si="2"/>
        <v>#DIV/0!</v>
      </c>
      <c r="F21" s="1"/>
      <c r="G21" s="13" t="e">
        <f t="shared" si="3"/>
        <v>#DIV/0!</v>
      </c>
      <c r="H21" s="1"/>
      <c r="I21" s="13" t="e">
        <f t="shared" si="4"/>
        <v>#DIV/0!</v>
      </c>
      <c r="J21" s="1"/>
      <c r="K21" s="13" t="e">
        <f t="shared" si="5"/>
        <v>#DIV/0!</v>
      </c>
      <c r="L21" s="1"/>
      <c r="M21" s="13" t="e">
        <f t="shared" si="6"/>
        <v>#DIV/0!</v>
      </c>
      <c r="N21" s="3">
        <f t="shared" si="0"/>
        <v>0</v>
      </c>
    </row>
    <row r="22" spans="1:14" ht="13.5" customHeight="1" x14ac:dyDescent="0.25">
      <c r="A22" s="5"/>
      <c r="B22" s="1"/>
      <c r="C22" s="13" t="e">
        <f t="shared" si="1"/>
        <v>#DIV/0!</v>
      </c>
      <c r="D22" s="1"/>
      <c r="E22" s="13" t="e">
        <f t="shared" si="2"/>
        <v>#DIV/0!</v>
      </c>
      <c r="F22" s="1"/>
      <c r="G22" s="13" t="e">
        <f t="shared" si="3"/>
        <v>#DIV/0!</v>
      </c>
      <c r="H22" s="1"/>
      <c r="I22" s="13" t="e">
        <f t="shared" si="4"/>
        <v>#DIV/0!</v>
      </c>
      <c r="J22" s="1"/>
      <c r="K22" s="13" t="e">
        <f t="shared" si="5"/>
        <v>#DIV/0!</v>
      </c>
      <c r="L22" s="1"/>
      <c r="M22" s="13" t="e">
        <f t="shared" si="6"/>
        <v>#DIV/0!</v>
      </c>
      <c r="N22" s="3">
        <f t="shared" si="0"/>
        <v>0</v>
      </c>
    </row>
    <row r="23" spans="1:14" ht="13.5" customHeight="1" x14ac:dyDescent="0.25">
      <c r="A23" s="5"/>
      <c r="B23" s="1"/>
      <c r="C23" s="13" t="e">
        <f t="shared" si="1"/>
        <v>#DIV/0!</v>
      </c>
      <c r="D23" s="1"/>
      <c r="E23" s="13" t="e">
        <f t="shared" si="2"/>
        <v>#DIV/0!</v>
      </c>
      <c r="F23" s="1"/>
      <c r="G23" s="13" t="e">
        <f t="shared" si="3"/>
        <v>#DIV/0!</v>
      </c>
      <c r="H23" s="1"/>
      <c r="I23" s="13" t="e">
        <f t="shared" si="4"/>
        <v>#DIV/0!</v>
      </c>
      <c r="J23" s="1"/>
      <c r="K23" s="13" t="e">
        <f t="shared" si="5"/>
        <v>#DIV/0!</v>
      </c>
      <c r="L23" s="1"/>
      <c r="M23" s="13" t="e">
        <f t="shared" si="6"/>
        <v>#DIV/0!</v>
      </c>
      <c r="N23" s="3">
        <f t="shared" si="0"/>
        <v>0</v>
      </c>
    </row>
    <row r="24" spans="1:14" ht="13.5" customHeight="1" x14ac:dyDescent="0.25">
      <c r="A24" s="5"/>
      <c r="B24" s="1"/>
      <c r="C24" s="13" t="e">
        <f t="shared" si="1"/>
        <v>#DIV/0!</v>
      </c>
      <c r="D24" s="1"/>
      <c r="E24" s="13" t="e">
        <f t="shared" si="2"/>
        <v>#DIV/0!</v>
      </c>
      <c r="F24" s="1"/>
      <c r="G24" s="13" t="e">
        <f t="shared" si="3"/>
        <v>#DIV/0!</v>
      </c>
      <c r="H24" s="1"/>
      <c r="I24" s="13" t="e">
        <f t="shared" si="4"/>
        <v>#DIV/0!</v>
      </c>
      <c r="J24" s="1"/>
      <c r="K24" s="13" t="e">
        <f t="shared" si="5"/>
        <v>#DIV/0!</v>
      </c>
      <c r="L24" s="1"/>
      <c r="M24" s="13" t="e">
        <f t="shared" si="6"/>
        <v>#DIV/0!</v>
      </c>
      <c r="N24" s="3">
        <f t="shared" si="0"/>
        <v>0</v>
      </c>
    </row>
    <row r="25" spans="1:14" ht="13.5" customHeight="1" x14ac:dyDescent="0.25">
      <c r="A25" s="5"/>
      <c r="B25" s="1"/>
      <c r="C25" s="13" t="e">
        <f t="shared" si="1"/>
        <v>#DIV/0!</v>
      </c>
      <c r="D25" s="1"/>
      <c r="E25" s="13" t="e">
        <f t="shared" si="2"/>
        <v>#DIV/0!</v>
      </c>
      <c r="F25" s="1"/>
      <c r="G25" s="13" t="e">
        <f t="shared" si="3"/>
        <v>#DIV/0!</v>
      </c>
      <c r="H25" s="1"/>
      <c r="I25" s="13" t="e">
        <f t="shared" si="4"/>
        <v>#DIV/0!</v>
      </c>
      <c r="J25" s="1"/>
      <c r="K25" s="13" t="e">
        <f t="shared" si="5"/>
        <v>#DIV/0!</v>
      </c>
      <c r="L25" s="1"/>
      <c r="M25" s="13" t="e">
        <f t="shared" si="6"/>
        <v>#DIV/0!</v>
      </c>
      <c r="N25" s="3">
        <f t="shared" si="0"/>
        <v>0</v>
      </c>
    </row>
    <row r="26" spans="1:14" ht="13.5" customHeight="1" x14ac:dyDescent="0.25">
      <c r="A26" s="5"/>
      <c r="B26" s="1"/>
      <c r="C26" s="13" t="e">
        <f t="shared" si="1"/>
        <v>#DIV/0!</v>
      </c>
      <c r="D26" s="1"/>
      <c r="E26" s="13" t="e">
        <f t="shared" si="2"/>
        <v>#DIV/0!</v>
      </c>
      <c r="F26" s="1"/>
      <c r="G26" s="13" t="e">
        <f t="shared" si="3"/>
        <v>#DIV/0!</v>
      </c>
      <c r="H26" s="1"/>
      <c r="I26" s="13" t="e">
        <f t="shared" si="4"/>
        <v>#DIV/0!</v>
      </c>
      <c r="J26" s="1"/>
      <c r="K26" s="13" t="e">
        <f t="shared" si="5"/>
        <v>#DIV/0!</v>
      </c>
      <c r="L26" s="1"/>
      <c r="M26" s="13" t="e">
        <f t="shared" si="6"/>
        <v>#DIV/0!</v>
      </c>
      <c r="N26" s="3">
        <f t="shared" si="0"/>
        <v>0</v>
      </c>
    </row>
    <row r="27" spans="1:14" ht="13.5" customHeight="1" x14ac:dyDescent="0.25">
      <c r="A27" s="5"/>
      <c r="B27" s="1"/>
      <c r="C27" s="13" t="e">
        <f t="shared" si="1"/>
        <v>#DIV/0!</v>
      </c>
      <c r="D27" s="1"/>
      <c r="E27" s="13" t="e">
        <f t="shared" si="2"/>
        <v>#DIV/0!</v>
      </c>
      <c r="F27" s="1"/>
      <c r="G27" s="13" t="e">
        <f t="shared" si="3"/>
        <v>#DIV/0!</v>
      </c>
      <c r="H27" s="1"/>
      <c r="I27" s="13" t="e">
        <f t="shared" si="4"/>
        <v>#DIV/0!</v>
      </c>
      <c r="J27" s="1"/>
      <c r="K27" s="13" t="e">
        <f t="shared" si="5"/>
        <v>#DIV/0!</v>
      </c>
      <c r="L27" s="1"/>
      <c r="M27" s="13" t="e">
        <f t="shared" si="6"/>
        <v>#DIV/0!</v>
      </c>
      <c r="N27" s="3">
        <f t="shared" si="0"/>
        <v>0</v>
      </c>
    </row>
    <row r="28" spans="1:14" ht="13.5" customHeight="1" x14ac:dyDescent="0.25">
      <c r="A28" s="5"/>
      <c r="B28" s="1"/>
      <c r="C28" s="13" t="e">
        <f t="shared" si="1"/>
        <v>#DIV/0!</v>
      </c>
      <c r="D28" s="1"/>
      <c r="E28" s="13" t="e">
        <f t="shared" si="2"/>
        <v>#DIV/0!</v>
      </c>
      <c r="F28" s="1"/>
      <c r="G28" s="13" t="e">
        <f t="shared" si="3"/>
        <v>#DIV/0!</v>
      </c>
      <c r="H28" s="1"/>
      <c r="I28" s="13" t="e">
        <f t="shared" si="4"/>
        <v>#DIV/0!</v>
      </c>
      <c r="J28" s="1"/>
      <c r="K28" s="13" t="e">
        <f t="shared" si="5"/>
        <v>#DIV/0!</v>
      </c>
      <c r="L28" s="1"/>
      <c r="M28" s="13" t="e">
        <f t="shared" si="6"/>
        <v>#DIV/0!</v>
      </c>
      <c r="N28" s="3">
        <f t="shared" si="0"/>
        <v>0</v>
      </c>
    </row>
    <row r="29" spans="1:14" ht="13.5" customHeight="1" x14ac:dyDescent="0.25">
      <c r="A29" s="5"/>
      <c r="B29" s="1"/>
      <c r="C29" s="13" t="e">
        <f t="shared" si="1"/>
        <v>#DIV/0!</v>
      </c>
      <c r="D29" s="1"/>
      <c r="E29" s="13" t="e">
        <f t="shared" si="2"/>
        <v>#DIV/0!</v>
      </c>
      <c r="F29" s="1"/>
      <c r="G29" s="13" t="e">
        <f t="shared" si="3"/>
        <v>#DIV/0!</v>
      </c>
      <c r="H29" s="1"/>
      <c r="I29" s="13" t="e">
        <f t="shared" si="4"/>
        <v>#DIV/0!</v>
      </c>
      <c r="J29" s="1"/>
      <c r="K29" s="13" t="e">
        <f t="shared" si="5"/>
        <v>#DIV/0!</v>
      </c>
      <c r="L29" s="1"/>
      <c r="M29" s="13" t="e">
        <f t="shared" si="6"/>
        <v>#DIV/0!</v>
      </c>
      <c r="N29" s="3">
        <f t="shared" si="0"/>
        <v>0</v>
      </c>
    </row>
    <row r="30" spans="1:14" ht="13.5" customHeight="1" x14ac:dyDescent="0.25">
      <c r="A30" s="5"/>
      <c r="B30" s="1"/>
      <c r="C30" s="13" t="e">
        <f t="shared" si="1"/>
        <v>#DIV/0!</v>
      </c>
      <c r="D30" s="1"/>
      <c r="E30" s="13" t="e">
        <f t="shared" si="2"/>
        <v>#DIV/0!</v>
      </c>
      <c r="F30" s="1"/>
      <c r="G30" s="13" t="e">
        <f t="shared" si="3"/>
        <v>#DIV/0!</v>
      </c>
      <c r="H30" s="1"/>
      <c r="I30" s="13" t="e">
        <f t="shared" si="4"/>
        <v>#DIV/0!</v>
      </c>
      <c r="J30" s="1"/>
      <c r="K30" s="13" t="e">
        <f t="shared" si="5"/>
        <v>#DIV/0!</v>
      </c>
      <c r="L30" s="1"/>
      <c r="M30" s="13" t="e">
        <f t="shared" si="6"/>
        <v>#DIV/0!</v>
      </c>
      <c r="N30" s="3">
        <f t="shared" si="0"/>
        <v>0</v>
      </c>
    </row>
    <row r="31" spans="1:14" ht="13.5" customHeight="1" x14ac:dyDescent="0.25">
      <c r="A31" s="5"/>
      <c r="B31" s="1"/>
      <c r="C31" s="13" t="e">
        <f t="shared" si="1"/>
        <v>#DIV/0!</v>
      </c>
      <c r="D31" s="1"/>
      <c r="E31" s="13" t="e">
        <f t="shared" si="2"/>
        <v>#DIV/0!</v>
      </c>
      <c r="F31" s="1"/>
      <c r="G31" s="13" t="e">
        <f t="shared" si="3"/>
        <v>#DIV/0!</v>
      </c>
      <c r="H31" s="1"/>
      <c r="I31" s="13" t="e">
        <f t="shared" si="4"/>
        <v>#DIV/0!</v>
      </c>
      <c r="J31" s="1"/>
      <c r="K31" s="13" t="e">
        <f t="shared" si="5"/>
        <v>#DIV/0!</v>
      </c>
      <c r="L31" s="1"/>
      <c r="M31" s="13" t="e">
        <f t="shared" si="6"/>
        <v>#DIV/0!</v>
      </c>
      <c r="N31" s="3">
        <f t="shared" si="0"/>
        <v>0</v>
      </c>
    </row>
    <row r="32" spans="1:14" ht="13.5" customHeight="1" x14ac:dyDescent="0.25">
      <c r="A32" s="5"/>
      <c r="B32" s="1"/>
      <c r="C32" s="13" t="e">
        <f t="shared" si="1"/>
        <v>#DIV/0!</v>
      </c>
      <c r="D32" s="1"/>
      <c r="E32" s="13" t="e">
        <f t="shared" si="2"/>
        <v>#DIV/0!</v>
      </c>
      <c r="F32" s="1"/>
      <c r="G32" s="13" t="e">
        <f t="shared" si="3"/>
        <v>#DIV/0!</v>
      </c>
      <c r="H32" s="1"/>
      <c r="I32" s="13" t="e">
        <f t="shared" si="4"/>
        <v>#DIV/0!</v>
      </c>
      <c r="J32" s="1"/>
      <c r="K32" s="13" t="e">
        <f t="shared" si="5"/>
        <v>#DIV/0!</v>
      </c>
      <c r="L32" s="1"/>
      <c r="M32" s="13" t="e">
        <f t="shared" si="6"/>
        <v>#DIV/0!</v>
      </c>
      <c r="N32" s="3">
        <f t="shared" si="0"/>
        <v>0</v>
      </c>
    </row>
    <row r="33" spans="1:14" ht="13.5" customHeight="1" x14ac:dyDescent="0.25">
      <c r="A33" s="5"/>
      <c r="B33" s="1"/>
      <c r="C33" s="13" t="e">
        <f t="shared" si="1"/>
        <v>#DIV/0!</v>
      </c>
      <c r="D33" s="1"/>
      <c r="E33" s="13" t="e">
        <f t="shared" si="2"/>
        <v>#DIV/0!</v>
      </c>
      <c r="F33" s="1"/>
      <c r="G33" s="13" t="e">
        <f t="shared" si="3"/>
        <v>#DIV/0!</v>
      </c>
      <c r="H33" s="1"/>
      <c r="I33" s="13" t="e">
        <f t="shared" si="4"/>
        <v>#DIV/0!</v>
      </c>
      <c r="J33" s="1"/>
      <c r="K33" s="13" t="e">
        <f t="shared" si="5"/>
        <v>#DIV/0!</v>
      </c>
      <c r="L33" s="1"/>
      <c r="M33" s="13" t="e">
        <f t="shared" si="6"/>
        <v>#DIV/0!</v>
      </c>
      <c r="N33" s="3">
        <f t="shared" si="0"/>
        <v>0</v>
      </c>
    </row>
    <row r="34" spans="1:14" ht="13.5" customHeight="1" x14ac:dyDescent="0.25">
      <c r="A34" s="5"/>
      <c r="B34" s="1"/>
      <c r="C34" s="13" t="e">
        <f t="shared" si="1"/>
        <v>#DIV/0!</v>
      </c>
      <c r="D34" s="1"/>
      <c r="E34" s="13" t="e">
        <f t="shared" si="2"/>
        <v>#DIV/0!</v>
      </c>
      <c r="F34" s="1"/>
      <c r="G34" s="13" t="e">
        <f t="shared" si="3"/>
        <v>#DIV/0!</v>
      </c>
      <c r="H34" s="1"/>
      <c r="I34" s="13" t="e">
        <f t="shared" si="4"/>
        <v>#DIV/0!</v>
      </c>
      <c r="J34" s="1"/>
      <c r="K34" s="13" t="e">
        <f t="shared" si="5"/>
        <v>#DIV/0!</v>
      </c>
      <c r="L34" s="1"/>
      <c r="M34" s="13" t="e">
        <f t="shared" si="6"/>
        <v>#DIV/0!</v>
      </c>
      <c r="N34" s="3">
        <f t="shared" si="0"/>
        <v>0</v>
      </c>
    </row>
    <row r="35" spans="1:14" ht="13.5" customHeight="1" x14ac:dyDescent="0.25">
      <c r="A35" s="5"/>
      <c r="B35" s="1"/>
      <c r="C35" s="13" t="e">
        <f t="shared" si="1"/>
        <v>#DIV/0!</v>
      </c>
      <c r="D35" s="1"/>
      <c r="E35" s="13" t="e">
        <f t="shared" si="2"/>
        <v>#DIV/0!</v>
      </c>
      <c r="F35" s="1"/>
      <c r="G35" s="13" t="e">
        <f t="shared" si="3"/>
        <v>#DIV/0!</v>
      </c>
      <c r="H35" s="1"/>
      <c r="I35" s="13" t="e">
        <f t="shared" si="4"/>
        <v>#DIV/0!</v>
      </c>
      <c r="J35" s="1"/>
      <c r="K35" s="13" t="e">
        <f t="shared" si="5"/>
        <v>#DIV/0!</v>
      </c>
      <c r="L35" s="1"/>
      <c r="M35" s="13" t="e">
        <f t="shared" si="6"/>
        <v>#DIV/0!</v>
      </c>
      <c r="N35" s="3">
        <f t="shared" si="0"/>
        <v>0</v>
      </c>
    </row>
    <row r="36" spans="1:14" ht="13.5" customHeight="1" x14ac:dyDescent="0.25">
      <c r="A36" s="5"/>
      <c r="B36" s="1"/>
      <c r="C36" s="13" t="e">
        <f t="shared" si="1"/>
        <v>#DIV/0!</v>
      </c>
      <c r="D36" s="1"/>
      <c r="E36" s="13" t="e">
        <f t="shared" si="2"/>
        <v>#DIV/0!</v>
      </c>
      <c r="F36" s="1"/>
      <c r="G36" s="13" t="e">
        <f t="shared" si="3"/>
        <v>#DIV/0!</v>
      </c>
      <c r="H36" s="1"/>
      <c r="I36" s="13" t="e">
        <f t="shared" si="4"/>
        <v>#DIV/0!</v>
      </c>
      <c r="J36" s="1"/>
      <c r="K36" s="13" t="e">
        <f t="shared" si="5"/>
        <v>#DIV/0!</v>
      </c>
      <c r="L36" s="1"/>
      <c r="M36" s="13" t="e">
        <f t="shared" si="6"/>
        <v>#DIV/0!</v>
      </c>
      <c r="N36" s="3">
        <f t="shared" si="0"/>
        <v>0</v>
      </c>
    </row>
    <row r="37" spans="1:14" ht="13.5" customHeight="1" x14ac:dyDescent="0.25">
      <c r="A37" s="5"/>
      <c r="B37" s="1"/>
      <c r="C37" s="13" t="e">
        <f t="shared" si="1"/>
        <v>#DIV/0!</v>
      </c>
      <c r="D37" s="1"/>
      <c r="E37" s="13" t="e">
        <f t="shared" si="2"/>
        <v>#DIV/0!</v>
      </c>
      <c r="F37" s="1"/>
      <c r="G37" s="13" t="e">
        <f t="shared" si="3"/>
        <v>#DIV/0!</v>
      </c>
      <c r="H37" s="1"/>
      <c r="I37" s="13" t="e">
        <f t="shared" si="4"/>
        <v>#DIV/0!</v>
      </c>
      <c r="J37" s="1"/>
      <c r="K37" s="13" t="e">
        <f t="shared" si="5"/>
        <v>#DIV/0!</v>
      </c>
      <c r="L37" s="1"/>
      <c r="M37" s="13" t="e">
        <f t="shared" si="6"/>
        <v>#DIV/0!</v>
      </c>
      <c r="N37" s="3">
        <f t="shared" si="0"/>
        <v>0</v>
      </c>
    </row>
    <row r="38" spans="1:14" ht="13.5" customHeight="1" x14ac:dyDescent="0.25">
      <c r="A38" s="5"/>
      <c r="B38" s="1"/>
      <c r="C38" s="13" t="e">
        <f t="shared" si="1"/>
        <v>#DIV/0!</v>
      </c>
      <c r="D38" s="1"/>
      <c r="E38" s="13" t="e">
        <f t="shared" si="2"/>
        <v>#DIV/0!</v>
      </c>
      <c r="F38" s="1"/>
      <c r="G38" s="13" t="e">
        <f t="shared" si="3"/>
        <v>#DIV/0!</v>
      </c>
      <c r="H38" s="1"/>
      <c r="I38" s="13" t="e">
        <f t="shared" si="4"/>
        <v>#DIV/0!</v>
      </c>
      <c r="J38" s="1"/>
      <c r="K38" s="13" t="e">
        <f t="shared" si="5"/>
        <v>#DIV/0!</v>
      </c>
      <c r="L38" s="1"/>
      <c r="M38" s="13" t="e">
        <f t="shared" si="6"/>
        <v>#DIV/0!</v>
      </c>
      <c r="N38" s="3">
        <f t="shared" si="0"/>
        <v>0</v>
      </c>
    </row>
    <row r="39" spans="1:14" ht="13.5" customHeight="1" x14ac:dyDescent="0.25">
      <c r="A39" s="5"/>
      <c r="B39" s="1"/>
      <c r="C39" s="13" t="e">
        <f t="shared" si="1"/>
        <v>#DIV/0!</v>
      </c>
      <c r="D39" s="1"/>
      <c r="E39" s="13" t="e">
        <f t="shared" si="2"/>
        <v>#DIV/0!</v>
      </c>
      <c r="F39" s="1"/>
      <c r="G39" s="13" t="e">
        <f t="shared" si="3"/>
        <v>#DIV/0!</v>
      </c>
      <c r="H39" s="1"/>
      <c r="I39" s="13" t="e">
        <f t="shared" si="4"/>
        <v>#DIV/0!</v>
      </c>
      <c r="J39" s="1"/>
      <c r="K39" s="13" t="e">
        <f t="shared" si="5"/>
        <v>#DIV/0!</v>
      </c>
      <c r="L39" s="1"/>
      <c r="M39" s="13" t="e">
        <f t="shared" si="6"/>
        <v>#DIV/0!</v>
      </c>
      <c r="N39" s="3">
        <f t="shared" si="0"/>
        <v>0</v>
      </c>
    </row>
    <row r="40" spans="1:14" ht="13.5" customHeight="1" x14ac:dyDescent="0.25">
      <c r="A40" s="5"/>
      <c r="B40" s="1"/>
      <c r="C40" s="13" t="e">
        <f t="shared" si="1"/>
        <v>#DIV/0!</v>
      </c>
      <c r="D40" s="1"/>
      <c r="E40" s="13" t="e">
        <f t="shared" si="2"/>
        <v>#DIV/0!</v>
      </c>
      <c r="F40" s="1"/>
      <c r="G40" s="13" t="e">
        <f t="shared" si="3"/>
        <v>#DIV/0!</v>
      </c>
      <c r="H40" s="1"/>
      <c r="I40" s="13" t="e">
        <f t="shared" si="4"/>
        <v>#DIV/0!</v>
      </c>
      <c r="J40" s="1"/>
      <c r="K40" s="13" t="e">
        <f t="shared" si="5"/>
        <v>#DIV/0!</v>
      </c>
      <c r="L40" s="1"/>
      <c r="M40" s="13" t="e">
        <f t="shared" si="6"/>
        <v>#DIV/0!</v>
      </c>
      <c r="N40" s="3">
        <f t="shared" si="0"/>
        <v>0</v>
      </c>
    </row>
    <row r="41" spans="1:14" ht="13.5" customHeight="1" x14ac:dyDescent="0.25">
      <c r="A41" s="5"/>
      <c r="B41" s="1"/>
      <c r="C41" s="13" t="e">
        <f t="shared" si="1"/>
        <v>#DIV/0!</v>
      </c>
      <c r="D41" s="1"/>
      <c r="E41" s="13" t="e">
        <f t="shared" si="2"/>
        <v>#DIV/0!</v>
      </c>
      <c r="F41" s="1"/>
      <c r="G41" s="13" t="e">
        <f t="shared" si="3"/>
        <v>#DIV/0!</v>
      </c>
      <c r="H41" s="1"/>
      <c r="I41" s="13" t="e">
        <f t="shared" si="4"/>
        <v>#DIV/0!</v>
      </c>
      <c r="J41" s="1"/>
      <c r="K41" s="13" t="e">
        <f t="shared" si="5"/>
        <v>#DIV/0!</v>
      </c>
      <c r="L41" s="1"/>
      <c r="M41" s="13" t="e">
        <f t="shared" si="6"/>
        <v>#DIV/0!</v>
      </c>
      <c r="N41" s="3">
        <f t="shared" si="0"/>
        <v>0</v>
      </c>
    </row>
    <row r="42" spans="1:14" ht="13.5" customHeight="1" x14ac:dyDescent="0.25">
      <c r="A42" s="5"/>
      <c r="B42" s="1"/>
      <c r="C42" s="13" t="e">
        <f t="shared" si="1"/>
        <v>#DIV/0!</v>
      </c>
      <c r="D42" s="1"/>
      <c r="E42" s="13" t="e">
        <f t="shared" si="2"/>
        <v>#DIV/0!</v>
      </c>
      <c r="F42" s="1"/>
      <c r="G42" s="13" t="e">
        <f t="shared" si="3"/>
        <v>#DIV/0!</v>
      </c>
      <c r="H42" s="1"/>
      <c r="I42" s="13" t="e">
        <f t="shared" si="4"/>
        <v>#DIV/0!</v>
      </c>
      <c r="J42" s="1"/>
      <c r="K42" s="13" t="e">
        <f t="shared" si="5"/>
        <v>#DIV/0!</v>
      </c>
      <c r="L42" s="1"/>
      <c r="M42" s="13" t="e">
        <f t="shared" si="6"/>
        <v>#DIV/0!</v>
      </c>
      <c r="N42" s="3">
        <f t="shared" si="0"/>
        <v>0</v>
      </c>
    </row>
    <row r="43" spans="1:14" ht="13.5" customHeight="1" x14ac:dyDescent="0.25">
      <c r="A43" s="5"/>
      <c r="B43" s="1"/>
      <c r="C43" s="13" t="e">
        <f t="shared" si="1"/>
        <v>#DIV/0!</v>
      </c>
      <c r="D43" s="1"/>
      <c r="E43" s="13" t="e">
        <f t="shared" si="2"/>
        <v>#DIV/0!</v>
      </c>
      <c r="F43" s="1"/>
      <c r="G43" s="13" t="e">
        <f t="shared" si="3"/>
        <v>#DIV/0!</v>
      </c>
      <c r="H43" s="1"/>
      <c r="I43" s="13" t="e">
        <f t="shared" si="4"/>
        <v>#DIV/0!</v>
      </c>
      <c r="J43" s="1"/>
      <c r="K43" s="13" t="e">
        <f t="shared" si="5"/>
        <v>#DIV/0!</v>
      </c>
      <c r="L43" s="1"/>
      <c r="M43" s="13" t="e">
        <f t="shared" si="6"/>
        <v>#DIV/0!</v>
      </c>
      <c r="N43" s="3">
        <f t="shared" si="0"/>
        <v>0</v>
      </c>
    </row>
    <row r="44" spans="1:14" ht="13.5" customHeight="1" x14ac:dyDescent="0.25">
      <c r="A44" s="5"/>
      <c r="B44" s="1"/>
      <c r="C44" s="13" t="e">
        <f t="shared" si="1"/>
        <v>#DIV/0!</v>
      </c>
      <c r="D44" s="1"/>
      <c r="E44" s="13" t="e">
        <f t="shared" si="2"/>
        <v>#DIV/0!</v>
      </c>
      <c r="F44" s="1"/>
      <c r="G44" s="13" t="e">
        <f t="shared" si="3"/>
        <v>#DIV/0!</v>
      </c>
      <c r="H44" s="1"/>
      <c r="I44" s="13" t="e">
        <f t="shared" si="4"/>
        <v>#DIV/0!</v>
      </c>
      <c r="J44" s="1"/>
      <c r="K44" s="13" t="e">
        <f t="shared" si="5"/>
        <v>#DIV/0!</v>
      </c>
      <c r="L44" s="1"/>
      <c r="M44" s="13" t="e">
        <f t="shared" si="6"/>
        <v>#DIV/0!</v>
      </c>
      <c r="N44" s="3">
        <f t="shared" si="0"/>
        <v>0</v>
      </c>
    </row>
    <row r="45" spans="1:14" ht="13.5" customHeight="1" x14ac:dyDescent="0.25">
      <c r="A45" s="5"/>
      <c r="B45" s="1"/>
      <c r="C45" s="13" t="e">
        <f t="shared" si="1"/>
        <v>#DIV/0!</v>
      </c>
      <c r="D45" s="1"/>
      <c r="E45" s="13" t="e">
        <f t="shared" si="2"/>
        <v>#DIV/0!</v>
      </c>
      <c r="F45" s="1"/>
      <c r="G45" s="13" t="e">
        <f t="shared" si="3"/>
        <v>#DIV/0!</v>
      </c>
      <c r="H45" s="1"/>
      <c r="I45" s="13" t="e">
        <f t="shared" si="4"/>
        <v>#DIV/0!</v>
      </c>
      <c r="J45" s="1"/>
      <c r="K45" s="13" t="e">
        <f t="shared" si="5"/>
        <v>#DIV/0!</v>
      </c>
      <c r="L45" s="1"/>
      <c r="M45" s="13" t="e">
        <f t="shared" si="6"/>
        <v>#DIV/0!</v>
      </c>
      <c r="N45" s="3">
        <f t="shared" si="0"/>
        <v>0</v>
      </c>
    </row>
    <row r="46" spans="1:14" ht="13.5" customHeight="1" x14ac:dyDescent="0.25">
      <c r="A46" s="5"/>
      <c r="B46" s="1"/>
      <c r="C46" s="13" t="e">
        <f t="shared" si="1"/>
        <v>#DIV/0!</v>
      </c>
      <c r="D46" s="1"/>
      <c r="E46" s="13" t="e">
        <f t="shared" si="2"/>
        <v>#DIV/0!</v>
      </c>
      <c r="F46" s="1"/>
      <c r="G46" s="13" t="e">
        <f t="shared" si="3"/>
        <v>#DIV/0!</v>
      </c>
      <c r="H46" s="1"/>
      <c r="I46" s="13" t="e">
        <f t="shared" si="4"/>
        <v>#DIV/0!</v>
      </c>
      <c r="J46" s="1"/>
      <c r="K46" s="13" t="e">
        <f t="shared" si="5"/>
        <v>#DIV/0!</v>
      </c>
      <c r="L46" s="1"/>
      <c r="M46" s="13" t="e">
        <f t="shared" si="6"/>
        <v>#DIV/0!</v>
      </c>
      <c r="N46" s="3">
        <f t="shared" si="0"/>
        <v>0</v>
      </c>
    </row>
    <row r="47" spans="1:14" ht="13.5" customHeight="1" x14ac:dyDescent="0.25">
      <c r="A47" s="5"/>
      <c r="B47" s="1"/>
      <c r="C47" s="13" t="e">
        <f t="shared" si="1"/>
        <v>#DIV/0!</v>
      </c>
      <c r="D47" s="1"/>
      <c r="E47" s="13" t="e">
        <f t="shared" si="2"/>
        <v>#DIV/0!</v>
      </c>
      <c r="F47" s="1"/>
      <c r="G47" s="13" t="e">
        <f t="shared" si="3"/>
        <v>#DIV/0!</v>
      </c>
      <c r="H47" s="1"/>
      <c r="I47" s="13" t="e">
        <f t="shared" si="4"/>
        <v>#DIV/0!</v>
      </c>
      <c r="J47" s="1"/>
      <c r="K47" s="13" t="e">
        <f t="shared" si="5"/>
        <v>#DIV/0!</v>
      </c>
      <c r="L47" s="1"/>
      <c r="M47" s="13" t="e">
        <f t="shared" si="6"/>
        <v>#DIV/0!</v>
      </c>
      <c r="N47" s="3">
        <f t="shared" si="0"/>
        <v>0</v>
      </c>
    </row>
    <row r="48" spans="1:14" ht="13.5" customHeight="1" x14ac:dyDescent="0.25">
      <c r="A48" s="5"/>
      <c r="B48" s="1"/>
      <c r="C48" s="13" t="e">
        <f t="shared" si="1"/>
        <v>#DIV/0!</v>
      </c>
      <c r="D48" s="1"/>
      <c r="E48" s="13" t="e">
        <f t="shared" si="2"/>
        <v>#DIV/0!</v>
      </c>
      <c r="F48" s="1"/>
      <c r="G48" s="13" t="e">
        <f t="shared" si="3"/>
        <v>#DIV/0!</v>
      </c>
      <c r="H48" s="1"/>
      <c r="I48" s="13" t="e">
        <f t="shared" si="4"/>
        <v>#DIV/0!</v>
      </c>
      <c r="J48" s="1"/>
      <c r="K48" s="13" t="e">
        <f t="shared" si="5"/>
        <v>#DIV/0!</v>
      </c>
      <c r="L48" s="1"/>
      <c r="M48" s="13" t="e">
        <f t="shared" si="6"/>
        <v>#DIV/0!</v>
      </c>
      <c r="N48" s="3">
        <f t="shared" si="0"/>
        <v>0</v>
      </c>
    </row>
    <row r="49" spans="1:14" ht="13.5" customHeight="1" x14ac:dyDescent="0.25">
      <c r="A49" s="5"/>
      <c r="B49" s="1"/>
      <c r="C49" s="13" t="e">
        <f t="shared" si="1"/>
        <v>#DIV/0!</v>
      </c>
      <c r="D49" s="1"/>
      <c r="E49" s="13" t="e">
        <f t="shared" si="2"/>
        <v>#DIV/0!</v>
      </c>
      <c r="F49" s="1"/>
      <c r="G49" s="13" t="e">
        <f t="shared" si="3"/>
        <v>#DIV/0!</v>
      </c>
      <c r="H49" s="1"/>
      <c r="I49" s="13" t="e">
        <f t="shared" si="4"/>
        <v>#DIV/0!</v>
      </c>
      <c r="J49" s="1"/>
      <c r="K49" s="13" t="e">
        <f t="shared" si="5"/>
        <v>#DIV/0!</v>
      </c>
      <c r="L49" s="1"/>
      <c r="M49" s="13" t="e">
        <f t="shared" si="6"/>
        <v>#DIV/0!</v>
      </c>
      <c r="N49" s="3">
        <f t="shared" si="0"/>
        <v>0</v>
      </c>
    </row>
    <row r="50" spans="1:14" x14ac:dyDescent="0.25">
      <c r="A50" s="5"/>
      <c r="B50" s="1"/>
      <c r="C50" s="13" t="e">
        <f t="shared" si="1"/>
        <v>#DIV/0!</v>
      </c>
      <c r="D50" s="1"/>
      <c r="E50" s="13" t="e">
        <f t="shared" si="2"/>
        <v>#DIV/0!</v>
      </c>
      <c r="F50" s="1"/>
      <c r="G50" s="13" t="e">
        <f t="shared" si="3"/>
        <v>#DIV/0!</v>
      </c>
      <c r="H50" s="1"/>
      <c r="I50" s="13" t="e">
        <f t="shared" si="4"/>
        <v>#DIV/0!</v>
      </c>
      <c r="J50" s="1"/>
      <c r="K50" s="13" t="e">
        <f t="shared" si="5"/>
        <v>#DIV/0!</v>
      </c>
      <c r="L50" s="1"/>
      <c r="M50" s="13" t="e">
        <f t="shared" si="6"/>
        <v>#DIV/0!</v>
      </c>
      <c r="N50" s="3">
        <f t="shared" si="0"/>
        <v>0</v>
      </c>
    </row>
    <row r="51" spans="1:14" x14ac:dyDescent="0.25">
      <c r="A51" s="5"/>
      <c r="B51" s="1"/>
      <c r="C51" s="13" t="e">
        <f t="shared" si="1"/>
        <v>#DIV/0!</v>
      </c>
      <c r="D51" s="1"/>
      <c r="E51" s="13" t="e">
        <f t="shared" si="2"/>
        <v>#DIV/0!</v>
      </c>
      <c r="F51" s="1"/>
      <c r="G51" s="13" t="e">
        <f t="shared" si="3"/>
        <v>#DIV/0!</v>
      </c>
      <c r="H51" s="1"/>
      <c r="I51" s="13" t="e">
        <f t="shared" si="4"/>
        <v>#DIV/0!</v>
      </c>
      <c r="J51" s="1"/>
      <c r="K51" s="13" t="e">
        <f t="shared" si="5"/>
        <v>#DIV/0!</v>
      </c>
      <c r="L51" s="1"/>
      <c r="M51" s="13" t="e">
        <f t="shared" si="6"/>
        <v>#DIV/0!</v>
      </c>
      <c r="N51" s="3">
        <f t="shared" si="0"/>
        <v>0</v>
      </c>
    </row>
    <row r="52" spans="1:14" x14ac:dyDescent="0.25">
      <c r="A52" s="5"/>
      <c r="B52" s="1"/>
      <c r="C52" s="13" t="e">
        <f t="shared" si="1"/>
        <v>#DIV/0!</v>
      </c>
      <c r="D52" s="1"/>
      <c r="E52" s="13" t="e">
        <f t="shared" si="2"/>
        <v>#DIV/0!</v>
      </c>
      <c r="F52" s="1"/>
      <c r="G52" s="13" t="e">
        <f t="shared" si="3"/>
        <v>#DIV/0!</v>
      </c>
      <c r="H52" s="1"/>
      <c r="I52" s="13" t="e">
        <f t="shared" si="4"/>
        <v>#DIV/0!</v>
      </c>
      <c r="J52" s="1"/>
      <c r="K52" s="13" t="e">
        <f t="shared" si="5"/>
        <v>#DIV/0!</v>
      </c>
      <c r="L52" s="1"/>
      <c r="M52" s="13" t="e">
        <f t="shared" si="6"/>
        <v>#DIV/0!</v>
      </c>
      <c r="N52" s="3">
        <f t="shared" si="0"/>
        <v>0</v>
      </c>
    </row>
    <row r="53" spans="1:14" ht="58.5" customHeight="1" x14ac:dyDescent="0.25">
      <c r="A53" s="5"/>
      <c r="B53" s="1"/>
      <c r="C53" s="13" t="e">
        <f t="shared" si="1"/>
        <v>#DIV/0!</v>
      </c>
      <c r="D53" s="1"/>
      <c r="E53" s="13" t="e">
        <f t="shared" si="2"/>
        <v>#DIV/0!</v>
      </c>
      <c r="F53" s="1"/>
      <c r="G53" s="13" t="e">
        <f t="shared" si="3"/>
        <v>#DIV/0!</v>
      </c>
      <c r="H53" s="1"/>
      <c r="I53" s="13" t="e">
        <f t="shared" si="4"/>
        <v>#DIV/0!</v>
      </c>
      <c r="J53" s="1"/>
      <c r="K53" s="13" t="e">
        <f t="shared" si="5"/>
        <v>#DIV/0!</v>
      </c>
      <c r="L53" s="1"/>
      <c r="M53" s="13" t="e">
        <f t="shared" si="6"/>
        <v>#DIV/0!</v>
      </c>
      <c r="N53" s="3">
        <f t="shared" si="0"/>
        <v>0</v>
      </c>
    </row>
    <row r="54" spans="1:14" ht="15.75" thickBot="1" x14ac:dyDescent="0.3">
      <c r="A54" s="7"/>
      <c r="B54" s="8"/>
      <c r="C54" s="14" t="e">
        <f t="shared" si="1"/>
        <v>#DIV/0!</v>
      </c>
      <c r="D54" s="8"/>
      <c r="E54" s="14" t="e">
        <f t="shared" si="2"/>
        <v>#DIV/0!</v>
      </c>
      <c r="F54" s="8"/>
      <c r="G54" s="14" t="e">
        <f t="shared" si="3"/>
        <v>#DIV/0!</v>
      </c>
      <c r="H54" s="8"/>
      <c r="I54" s="14" t="e">
        <f t="shared" si="4"/>
        <v>#DIV/0!</v>
      </c>
      <c r="J54" s="8"/>
      <c r="K54" s="14" t="e">
        <f t="shared" si="5"/>
        <v>#DIV/0!</v>
      </c>
      <c r="L54" s="8"/>
      <c r="M54" s="14" t="e">
        <f t="shared" si="6"/>
        <v>#DIV/0!</v>
      </c>
      <c r="N54" s="6">
        <f t="shared" si="0"/>
        <v>0</v>
      </c>
    </row>
    <row r="55" spans="1:14" ht="16.5" thickTop="1" thickBot="1" x14ac:dyDescent="0.3">
      <c r="A55" s="2" t="s">
        <v>41</v>
      </c>
      <c r="B55" s="2">
        <f>SUM(B6:B54)</f>
        <v>0</v>
      </c>
      <c r="C55" s="15">
        <f t="shared" si="1"/>
        <v>0</v>
      </c>
      <c r="D55" s="2">
        <f>SUM(D6:D54)</f>
        <v>0</v>
      </c>
      <c r="E55" s="15">
        <f t="shared" si="2"/>
        <v>0</v>
      </c>
      <c r="F55" s="2">
        <f>SUM(F6:F54)</f>
        <v>0</v>
      </c>
      <c r="G55" s="15">
        <f t="shared" si="3"/>
        <v>0</v>
      </c>
      <c r="H55" s="2">
        <f>SUM(H6:H54)</f>
        <v>0</v>
      </c>
      <c r="I55" s="15">
        <f t="shared" si="4"/>
        <v>0</v>
      </c>
      <c r="J55" s="2">
        <f>SUM(J6:J54)</f>
        <v>0</v>
      </c>
      <c r="K55" s="15">
        <f t="shared" si="5"/>
        <v>0</v>
      </c>
      <c r="L55" s="2">
        <f>SUM(L6:L54)</f>
        <v>0</v>
      </c>
      <c r="M55" s="15">
        <f t="shared" si="6"/>
        <v>0</v>
      </c>
      <c r="N55" s="4">
        <v>2243</v>
      </c>
    </row>
    <row r="56" spans="1:14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25">
      <c r="A57" s="43" t="s">
        <v>57</v>
      </c>
      <c r="B57" s="35" t="s">
        <v>52</v>
      </c>
      <c r="C57" s="36"/>
      <c r="D57" s="35" t="s">
        <v>53</v>
      </c>
      <c r="E57" s="36"/>
      <c r="F57" s="35" t="s">
        <v>54</v>
      </c>
      <c r="G57" s="36"/>
      <c r="H57" s="35" t="s">
        <v>55</v>
      </c>
      <c r="I57" s="36"/>
      <c r="J57" s="35" t="s">
        <v>45</v>
      </c>
      <c r="K57" s="36"/>
      <c r="L57" s="35" t="s">
        <v>46</v>
      </c>
      <c r="M57" s="36"/>
      <c r="N57" s="39" t="s">
        <v>0</v>
      </c>
    </row>
    <row r="58" spans="1:14" x14ac:dyDescent="0.25">
      <c r="A58" s="44"/>
      <c r="B58" s="37"/>
      <c r="C58" s="38"/>
      <c r="D58" s="37"/>
      <c r="E58" s="38"/>
      <c r="F58" s="37"/>
      <c r="G58" s="38"/>
      <c r="H58" s="37"/>
      <c r="I58" s="38"/>
      <c r="J58" s="37"/>
      <c r="K58" s="38"/>
      <c r="L58" s="37"/>
      <c r="M58" s="38"/>
      <c r="N58" s="40"/>
    </row>
    <row r="59" spans="1:14" x14ac:dyDescent="0.25">
      <c r="A59" s="5"/>
      <c r="B59" s="1"/>
      <c r="C59" s="13" t="e">
        <f t="shared" ref="C59:C67" si="7">B59/N59</f>
        <v>#DIV/0!</v>
      </c>
      <c r="D59" s="1"/>
      <c r="E59" s="13" t="e">
        <f t="shared" ref="E59:E67" si="8">D59/N59</f>
        <v>#DIV/0!</v>
      </c>
      <c r="F59" s="1"/>
      <c r="G59" s="13" t="e">
        <f t="shared" ref="G59:G67" si="9">F59/N59</f>
        <v>#DIV/0!</v>
      </c>
      <c r="H59" s="1"/>
      <c r="I59" s="13" t="e">
        <f t="shared" ref="I59:I67" si="10">H59/N59</f>
        <v>#DIV/0!</v>
      </c>
      <c r="J59" s="1"/>
      <c r="K59" s="13" t="e">
        <f t="shared" ref="K59:K67" si="11">J59/N59</f>
        <v>#DIV/0!</v>
      </c>
      <c r="L59" s="1"/>
      <c r="M59" s="13" t="e">
        <f t="shared" ref="M59:M67" si="12">L59/N59</f>
        <v>#DIV/0!</v>
      </c>
      <c r="N59" s="3">
        <f t="shared" ref="N59:N66" si="13">B59+D59+F59+H59+J59+L59</f>
        <v>0</v>
      </c>
    </row>
    <row r="60" spans="1:14" x14ac:dyDescent="0.25">
      <c r="A60" s="5"/>
      <c r="B60" s="1"/>
      <c r="C60" s="13" t="e">
        <f t="shared" si="7"/>
        <v>#DIV/0!</v>
      </c>
      <c r="D60" s="1"/>
      <c r="E60" s="13" t="e">
        <f t="shared" si="8"/>
        <v>#DIV/0!</v>
      </c>
      <c r="F60" s="1"/>
      <c r="G60" s="13" t="e">
        <f t="shared" si="9"/>
        <v>#DIV/0!</v>
      </c>
      <c r="H60" s="1"/>
      <c r="I60" s="13" t="e">
        <f t="shared" si="10"/>
        <v>#DIV/0!</v>
      </c>
      <c r="J60" s="1"/>
      <c r="K60" s="13" t="e">
        <f t="shared" si="11"/>
        <v>#DIV/0!</v>
      </c>
      <c r="L60" s="1"/>
      <c r="M60" s="13" t="e">
        <f t="shared" si="12"/>
        <v>#DIV/0!</v>
      </c>
      <c r="N60" s="3">
        <f t="shared" si="13"/>
        <v>0</v>
      </c>
    </row>
    <row r="61" spans="1:14" x14ac:dyDescent="0.25">
      <c r="A61" s="5"/>
      <c r="B61" s="1"/>
      <c r="C61" s="13" t="e">
        <f t="shared" si="7"/>
        <v>#DIV/0!</v>
      </c>
      <c r="D61" s="1"/>
      <c r="E61" s="13" t="e">
        <f t="shared" si="8"/>
        <v>#DIV/0!</v>
      </c>
      <c r="F61" s="1"/>
      <c r="G61" s="13" t="e">
        <f t="shared" si="9"/>
        <v>#DIV/0!</v>
      </c>
      <c r="H61" s="1"/>
      <c r="I61" s="13" t="e">
        <f t="shared" si="10"/>
        <v>#DIV/0!</v>
      </c>
      <c r="J61" s="1"/>
      <c r="K61" s="13" t="e">
        <f t="shared" si="11"/>
        <v>#DIV/0!</v>
      </c>
      <c r="L61" s="1"/>
      <c r="M61" s="13" t="e">
        <f t="shared" si="12"/>
        <v>#DIV/0!</v>
      </c>
      <c r="N61" s="3">
        <f t="shared" si="13"/>
        <v>0</v>
      </c>
    </row>
    <row r="62" spans="1:14" x14ac:dyDescent="0.25">
      <c r="A62" s="5"/>
      <c r="B62" s="1"/>
      <c r="C62" s="13" t="e">
        <f t="shared" si="7"/>
        <v>#DIV/0!</v>
      </c>
      <c r="D62" s="1"/>
      <c r="E62" s="13" t="e">
        <f t="shared" si="8"/>
        <v>#DIV/0!</v>
      </c>
      <c r="F62" s="1"/>
      <c r="G62" s="13" t="e">
        <f t="shared" si="9"/>
        <v>#DIV/0!</v>
      </c>
      <c r="H62" s="1"/>
      <c r="I62" s="13" t="e">
        <f t="shared" si="10"/>
        <v>#DIV/0!</v>
      </c>
      <c r="J62" s="1"/>
      <c r="K62" s="13" t="e">
        <f t="shared" si="11"/>
        <v>#DIV/0!</v>
      </c>
      <c r="L62" s="1"/>
      <c r="M62" s="13" t="e">
        <f t="shared" si="12"/>
        <v>#DIV/0!</v>
      </c>
      <c r="N62" s="3">
        <f t="shared" si="13"/>
        <v>0</v>
      </c>
    </row>
    <row r="63" spans="1:14" x14ac:dyDescent="0.25">
      <c r="A63" s="5"/>
      <c r="B63" s="1"/>
      <c r="C63" s="13" t="e">
        <f t="shared" si="7"/>
        <v>#DIV/0!</v>
      </c>
      <c r="D63" s="1"/>
      <c r="E63" s="13" t="e">
        <f t="shared" si="8"/>
        <v>#DIV/0!</v>
      </c>
      <c r="F63" s="1"/>
      <c r="G63" s="13" t="e">
        <f t="shared" si="9"/>
        <v>#DIV/0!</v>
      </c>
      <c r="H63" s="1"/>
      <c r="I63" s="13" t="e">
        <f t="shared" si="10"/>
        <v>#DIV/0!</v>
      </c>
      <c r="J63" s="1"/>
      <c r="K63" s="13" t="e">
        <f t="shared" si="11"/>
        <v>#DIV/0!</v>
      </c>
      <c r="L63" s="1"/>
      <c r="M63" s="13" t="e">
        <f t="shared" si="12"/>
        <v>#DIV/0!</v>
      </c>
      <c r="N63" s="3">
        <f t="shared" si="13"/>
        <v>0</v>
      </c>
    </row>
    <row r="64" spans="1:14" x14ac:dyDescent="0.25">
      <c r="A64" s="5"/>
      <c r="B64" s="1"/>
      <c r="C64" s="13" t="e">
        <f t="shared" si="7"/>
        <v>#DIV/0!</v>
      </c>
      <c r="D64" s="1"/>
      <c r="E64" s="13" t="e">
        <f t="shared" si="8"/>
        <v>#DIV/0!</v>
      </c>
      <c r="F64" s="1"/>
      <c r="G64" s="13" t="e">
        <f t="shared" si="9"/>
        <v>#DIV/0!</v>
      </c>
      <c r="H64" s="1"/>
      <c r="I64" s="13" t="e">
        <f t="shared" si="10"/>
        <v>#DIV/0!</v>
      </c>
      <c r="J64" s="1"/>
      <c r="K64" s="13" t="e">
        <f t="shared" si="11"/>
        <v>#DIV/0!</v>
      </c>
      <c r="L64" s="1"/>
      <c r="M64" s="13" t="e">
        <f t="shared" si="12"/>
        <v>#DIV/0!</v>
      </c>
      <c r="N64" s="3">
        <f t="shared" si="13"/>
        <v>0</v>
      </c>
    </row>
    <row r="65" spans="1:14" x14ac:dyDescent="0.25">
      <c r="A65" s="5"/>
      <c r="B65" s="1"/>
      <c r="C65" s="13" t="e">
        <f t="shared" si="7"/>
        <v>#DIV/0!</v>
      </c>
      <c r="D65" s="1"/>
      <c r="E65" s="13" t="e">
        <f t="shared" si="8"/>
        <v>#DIV/0!</v>
      </c>
      <c r="F65" s="1"/>
      <c r="G65" s="13" t="e">
        <f t="shared" si="9"/>
        <v>#DIV/0!</v>
      </c>
      <c r="H65" s="1"/>
      <c r="I65" s="13" t="e">
        <f t="shared" si="10"/>
        <v>#DIV/0!</v>
      </c>
      <c r="J65" s="1"/>
      <c r="K65" s="13" t="e">
        <f t="shared" si="11"/>
        <v>#DIV/0!</v>
      </c>
      <c r="L65" s="1"/>
      <c r="M65" s="13" t="e">
        <f t="shared" si="12"/>
        <v>#DIV/0!</v>
      </c>
      <c r="N65" s="3">
        <f t="shared" si="13"/>
        <v>0</v>
      </c>
    </row>
    <row r="66" spans="1:14" ht="15.75" thickBot="1" x14ac:dyDescent="0.3">
      <c r="A66" s="7"/>
      <c r="B66" s="8"/>
      <c r="C66" s="14" t="e">
        <f t="shared" si="7"/>
        <v>#DIV/0!</v>
      </c>
      <c r="D66" s="8"/>
      <c r="E66" s="14" t="e">
        <f t="shared" si="8"/>
        <v>#DIV/0!</v>
      </c>
      <c r="F66" s="8"/>
      <c r="G66" s="14" t="e">
        <f t="shared" si="9"/>
        <v>#DIV/0!</v>
      </c>
      <c r="H66" s="8"/>
      <c r="I66" s="14" t="e">
        <f t="shared" si="10"/>
        <v>#DIV/0!</v>
      </c>
      <c r="J66" s="8"/>
      <c r="K66" s="14" t="e">
        <f t="shared" si="11"/>
        <v>#DIV/0!</v>
      </c>
      <c r="L66" s="8"/>
      <c r="M66" s="14" t="e">
        <f t="shared" si="12"/>
        <v>#DIV/0!</v>
      </c>
      <c r="N66" s="6">
        <f t="shared" si="13"/>
        <v>0</v>
      </c>
    </row>
    <row r="67" spans="1:14" ht="16.5" thickTop="1" thickBot="1" x14ac:dyDescent="0.3">
      <c r="A67" s="2" t="s">
        <v>41</v>
      </c>
      <c r="B67" s="2">
        <f>SUM(B59:B66)</f>
        <v>0</v>
      </c>
      <c r="C67" s="15">
        <f t="shared" si="7"/>
        <v>0</v>
      </c>
      <c r="D67" s="2">
        <f>SUM(D59:D66)</f>
        <v>0</v>
      </c>
      <c r="E67" s="15">
        <f t="shared" si="8"/>
        <v>0</v>
      </c>
      <c r="F67" s="2">
        <f>SUM(F59:F66)</f>
        <v>0</v>
      </c>
      <c r="G67" s="15">
        <f t="shared" si="9"/>
        <v>0</v>
      </c>
      <c r="H67" s="2">
        <f>SUM(H59:H66)</f>
        <v>0</v>
      </c>
      <c r="I67" s="15">
        <f t="shared" si="10"/>
        <v>0</v>
      </c>
      <c r="J67" s="2">
        <f>SUM(J59:J66)</f>
        <v>0</v>
      </c>
      <c r="K67" s="15">
        <f t="shared" si="11"/>
        <v>0</v>
      </c>
      <c r="L67" s="2">
        <f>SUM(L59:L66)</f>
        <v>0</v>
      </c>
      <c r="M67" s="15">
        <f t="shared" si="12"/>
        <v>0</v>
      </c>
      <c r="N67" s="4">
        <v>2243</v>
      </c>
    </row>
    <row r="70" spans="1:14" x14ac:dyDescent="0.25">
      <c r="A70" s="12" t="s">
        <v>58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1:14" ht="15.75" thickBo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4" ht="30" customHeight="1" x14ac:dyDescent="0.25">
      <c r="A72" s="26"/>
      <c r="B72" s="41" t="s">
        <v>77</v>
      </c>
      <c r="C72" s="42"/>
      <c r="F72" s="12"/>
      <c r="G72" s="12"/>
      <c r="H72" s="12"/>
      <c r="I72" s="12"/>
      <c r="J72" s="12"/>
      <c r="K72" s="12"/>
      <c r="L72" s="12"/>
      <c r="M72" s="12"/>
    </row>
    <row r="73" spans="1:14" ht="30.75" thickBot="1" x14ac:dyDescent="0.3">
      <c r="A73" s="24" t="s">
        <v>76</v>
      </c>
      <c r="B73" s="32"/>
      <c r="C73" s="33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4" ht="15.75" thickBot="1" x14ac:dyDescent="0.3">
      <c r="A74" s="12"/>
      <c r="D74" s="21"/>
      <c r="E74" s="21"/>
      <c r="F74" s="12"/>
      <c r="G74" s="12"/>
      <c r="H74" s="12"/>
      <c r="I74" s="12"/>
      <c r="J74" s="12"/>
      <c r="K74" s="12"/>
      <c r="L74" s="12"/>
      <c r="M74" s="12"/>
    </row>
    <row r="75" spans="1:14" ht="30" customHeight="1" x14ac:dyDescent="0.25">
      <c r="A75" s="26"/>
      <c r="B75" s="41" t="s">
        <v>79</v>
      </c>
      <c r="C75" s="42"/>
      <c r="D75" s="21"/>
      <c r="E75" s="21"/>
      <c r="F75" s="12"/>
      <c r="G75" s="12"/>
      <c r="H75" s="12"/>
      <c r="I75" s="12"/>
      <c r="J75" s="12"/>
      <c r="K75" s="12"/>
      <c r="L75" s="12"/>
      <c r="M75" s="12"/>
    </row>
    <row r="76" spans="1:14" x14ac:dyDescent="0.25">
      <c r="A76" s="25" t="s">
        <v>78</v>
      </c>
      <c r="B76" s="30"/>
      <c r="C76" s="31"/>
      <c r="F76" s="12"/>
      <c r="G76" s="12"/>
      <c r="H76" s="12"/>
      <c r="I76" s="12"/>
      <c r="J76" s="12"/>
      <c r="K76" s="12"/>
      <c r="L76" s="12"/>
      <c r="M76" s="12"/>
    </row>
    <row r="77" spans="1:14" ht="45" x14ac:dyDescent="0.25">
      <c r="A77" s="25" t="s">
        <v>80</v>
      </c>
      <c r="B77" s="30"/>
      <c r="C77" s="31"/>
      <c r="F77" s="12"/>
      <c r="G77" s="12"/>
      <c r="H77" s="12"/>
      <c r="I77" s="12"/>
      <c r="J77" s="12"/>
      <c r="K77" s="12"/>
      <c r="L77" s="12"/>
      <c r="M77" s="12"/>
    </row>
    <row r="78" spans="1:14" ht="45.75" thickBot="1" x14ac:dyDescent="0.3">
      <c r="A78" s="24" t="s">
        <v>81</v>
      </c>
      <c r="B78" s="32"/>
      <c r="C78" s="33"/>
      <c r="F78" s="12"/>
      <c r="G78" s="12"/>
      <c r="H78" s="12"/>
      <c r="I78" s="12"/>
      <c r="J78" s="12"/>
      <c r="K78" s="12"/>
      <c r="L78" s="12"/>
      <c r="M78" s="12"/>
    </row>
    <row r="79" spans="1:14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4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x14ac:dyDescent="0.25">
      <c r="A81" s="34" t="s">
        <v>85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</sheetData>
  <mergeCells count="22">
    <mergeCell ref="B77:C77"/>
    <mergeCell ref="B78:C78"/>
    <mergeCell ref="A81:M81"/>
    <mergeCell ref="L57:M58"/>
    <mergeCell ref="N57:N58"/>
    <mergeCell ref="B72:C72"/>
    <mergeCell ref="B73:C73"/>
    <mergeCell ref="B75:C75"/>
    <mergeCell ref="B76:C76"/>
    <mergeCell ref="A57:A58"/>
    <mergeCell ref="B57:C58"/>
    <mergeCell ref="D57:E58"/>
    <mergeCell ref="F57:G58"/>
    <mergeCell ref="H57:I58"/>
    <mergeCell ref="J57:K58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N76"/>
  <sheetViews>
    <sheetView tabSelected="1" view="pageLayout" zoomScale="40" zoomScaleNormal="100" zoomScalePageLayoutView="40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tr">
        <f ca="1">RIGHT(CELL("filename",A1),LEN(CELL("filename",A1))-FIND("]",CELL("filename",A1)))</f>
        <v>2010-11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/>
      <c r="B6" s="1"/>
      <c r="C6" s="13" t="e">
        <f>B6/N6</f>
        <v>#DIV/0!</v>
      </c>
      <c r="D6" s="1"/>
      <c r="E6" s="13" t="e">
        <f>D6/N6</f>
        <v>#DIV/0!</v>
      </c>
      <c r="F6" s="1"/>
      <c r="G6" s="13" t="e">
        <f>F6/N6</f>
        <v>#DIV/0!</v>
      </c>
      <c r="H6" s="1"/>
      <c r="I6" s="13" t="e">
        <f>H6/N6</f>
        <v>#DIV/0!</v>
      </c>
      <c r="J6" s="1"/>
      <c r="K6" s="13" t="e">
        <f>J6/N6</f>
        <v>#DIV/0!</v>
      </c>
      <c r="L6" s="1"/>
      <c r="M6" s="13" t="e">
        <f>L6/N6</f>
        <v>#DIV/0!</v>
      </c>
      <c r="N6" s="3">
        <f t="shared" ref="N6:N54" si="0">B6+D6+F6+H6+J6+L6</f>
        <v>0</v>
      </c>
    </row>
    <row r="7" spans="1:14" ht="13.5" customHeight="1" x14ac:dyDescent="0.25">
      <c r="A7" s="5"/>
      <c r="B7" s="1"/>
      <c r="C7" s="13" t="e">
        <f>B7/N7</f>
        <v>#DIV/0!</v>
      </c>
      <c r="D7" s="1"/>
      <c r="E7" s="13" t="e">
        <f>D7/N7</f>
        <v>#DIV/0!</v>
      </c>
      <c r="F7" s="1"/>
      <c r="G7" s="13" t="e">
        <f>F7/N7</f>
        <v>#DIV/0!</v>
      </c>
      <c r="H7" s="1"/>
      <c r="I7" s="13" t="e">
        <f>H7/N7</f>
        <v>#DIV/0!</v>
      </c>
      <c r="J7" s="1"/>
      <c r="K7" s="13" t="e">
        <f>J7/N7</f>
        <v>#DIV/0!</v>
      </c>
      <c r="L7" s="1"/>
      <c r="M7" s="13" t="e">
        <f>L7/N7</f>
        <v>#DIV/0!</v>
      </c>
      <c r="N7" s="3">
        <f>B7+D7+F7+H7+J7+L7</f>
        <v>0</v>
      </c>
    </row>
    <row r="8" spans="1:14" ht="13.5" customHeight="1" x14ac:dyDescent="0.25">
      <c r="A8" s="5"/>
      <c r="B8" s="1"/>
      <c r="C8" s="13" t="e">
        <f>B8/N8</f>
        <v>#DIV/0!</v>
      </c>
      <c r="D8" s="1"/>
      <c r="E8" s="13" t="e">
        <f>D8/N8</f>
        <v>#DIV/0!</v>
      </c>
      <c r="F8" s="1"/>
      <c r="G8" s="13" t="e">
        <f>F8/N8</f>
        <v>#DIV/0!</v>
      </c>
      <c r="H8" s="1"/>
      <c r="I8" s="13" t="e">
        <f>H8/N8</f>
        <v>#DIV/0!</v>
      </c>
      <c r="J8" s="1"/>
      <c r="K8" s="13" t="e">
        <f>J8/N8</f>
        <v>#DIV/0!</v>
      </c>
      <c r="L8" s="1"/>
      <c r="M8" s="13" t="e">
        <f>L8/N8</f>
        <v>#DIV/0!</v>
      </c>
      <c r="N8" s="3">
        <f>B8+D8+F8+H8+J8+L8</f>
        <v>0</v>
      </c>
    </row>
    <row r="9" spans="1:14" ht="13.5" customHeight="1" x14ac:dyDescent="0.25">
      <c r="A9" s="5"/>
      <c r="B9" s="1"/>
      <c r="C9" s="13" t="e">
        <f t="shared" ref="C9:C55" si="1">B9/N9</f>
        <v>#DIV/0!</v>
      </c>
      <c r="D9" s="1"/>
      <c r="E9" s="13" t="e">
        <f t="shared" ref="E9:E55" si="2">D9/N9</f>
        <v>#DIV/0!</v>
      </c>
      <c r="F9" s="1"/>
      <c r="G9" s="13" t="e">
        <f t="shared" ref="G9:G55" si="3">F9/N9</f>
        <v>#DIV/0!</v>
      </c>
      <c r="H9" s="1"/>
      <c r="I9" s="13" t="e">
        <f t="shared" ref="I9:I55" si="4">H9/N9</f>
        <v>#DIV/0!</v>
      </c>
      <c r="J9" s="1"/>
      <c r="K9" s="13" t="e">
        <f t="shared" ref="K9:K55" si="5">J9/N9</f>
        <v>#DIV/0!</v>
      </c>
      <c r="L9" s="1"/>
      <c r="M9" s="13" t="e">
        <f t="shared" ref="M9:M55" si="6">L9/N9</f>
        <v>#DIV/0!</v>
      </c>
      <c r="N9" s="3">
        <f t="shared" si="0"/>
        <v>0</v>
      </c>
    </row>
    <row r="10" spans="1:14" ht="13.5" customHeight="1" x14ac:dyDescent="0.25">
      <c r="A10" s="5"/>
      <c r="B10" s="1"/>
      <c r="C10" s="13" t="e">
        <f t="shared" si="1"/>
        <v>#DIV/0!</v>
      </c>
      <c r="D10" s="1"/>
      <c r="E10" s="13" t="e">
        <f t="shared" si="2"/>
        <v>#DIV/0!</v>
      </c>
      <c r="F10" s="1"/>
      <c r="G10" s="13" t="e">
        <f t="shared" si="3"/>
        <v>#DIV/0!</v>
      </c>
      <c r="H10" s="1"/>
      <c r="I10" s="13" t="e">
        <f t="shared" si="4"/>
        <v>#DIV/0!</v>
      </c>
      <c r="J10" s="1"/>
      <c r="K10" s="13" t="e">
        <f t="shared" si="5"/>
        <v>#DIV/0!</v>
      </c>
      <c r="L10" s="1"/>
      <c r="M10" s="13" t="e">
        <f t="shared" si="6"/>
        <v>#DIV/0!</v>
      </c>
      <c r="N10" s="3">
        <f t="shared" si="0"/>
        <v>0</v>
      </c>
    </row>
    <row r="11" spans="1:14" ht="13.5" customHeight="1" x14ac:dyDescent="0.25">
      <c r="A11" s="5"/>
      <c r="B11" s="1"/>
      <c r="C11" s="13" t="e">
        <f t="shared" si="1"/>
        <v>#DIV/0!</v>
      </c>
      <c r="D11" s="1"/>
      <c r="E11" s="13" t="e">
        <f t="shared" si="2"/>
        <v>#DIV/0!</v>
      </c>
      <c r="F11" s="1"/>
      <c r="G11" s="13" t="e">
        <f t="shared" si="3"/>
        <v>#DIV/0!</v>
      </c>
      <c r="H11" s="1"/>
      <c r="I11" s="13" t="e">
        <f t="shared" si="4"/>
        <v>#DIV/0!</v>
      </c>
      <c r="J11" s="1"/>
      <c r="K11" s="13" t="e">
        <f t="shared" si="5"/>
        <v>#DIV/0!</v>
      </c>
      <c r="L11" s="1"/>
      <c r="M11" s="13" t="e">
        <f t="shared" si="6"/>
        <v>#DIV/0!</v>
      </c>
      <c r="N11" s="3">
        <f t="shared" si="0"/>
        <v>0</v>
      </c>
    </row>
    <row r="12" spans="1:14" ht="13.5" customHeight="1" x14ac:dyDescent="0.25">
      <c r="A12" s="5"/>
      <c r="B12" s="1"/>
      <c r="C12" s="13" t="e">
        <f t="shared" si="1"/>
        <v>#DIV/0!</v>
      </c>
      <c r="D12" s="1"/>
      <c r="E12" s="13" t="e">
        <f t="shared" si="2"/>
        <v>#DIV/0!</v>
      </c>
      <c r="F12" s="1"/>
      <c r="G12" s="13" t="e">
        <f t="shared" si="3"/>
        <v>#DIV/0!</v>
      </c>
      <c r="H12" s="1"/>
      <c r="I12" s="13" t="e">
        <f t="shared" si="4"/>
        <v>#DIV/0!</v>
      </c>
      <c r="J12" s="1"/>
      <c r="K12" s="13" t="e">
        <f t="shared" si="5"/>
        <v>#DIV/0!</v>
      </c>
      <c r="L12" s="1"/>
      <c r="M12" s="13" t="e">
        <f t="shared" si="6"/>
        <v>#DIV/0!</v>
      </c>
      <c r="N12" s="3">
        <f t="shared" si="0"/>
        <v>0</v>
      </c>
    </row>
    <row r="13" spans="1:14" ht="13.5" customHeight="1" x14ac:dyDescent="0.25">
      <c r="A13" s="5"/>
      <c r="B13" s="1"/>
      <c r="C13" s="13" t="e">
        <f t="shared" si="1"/>
        <v>#DIV/0!</v>
      </c>
      <c r="D13" s="1"/>
      <c r="E13" s="13" t="e">
        <f t="shared" si="2"/>
        <v>#DIV/0!</v>
      </c>
      <c r="F13" s="1"/>
      <c r="G13" s="13" t="e">
        <f t="shared" si="3"/>
        <v>#DIV/0!</v>
      </c>
      <c r="H13" s="1"/>
      <c r="I13" s="13" t="e">
        <f t="shared" si="4"/>
        <v>#DIV/0!</v>
      </c>
      <c r="J13" s="1"/>
      <c r="K13" s="13" t="e">
        <f t="shared" si="5"/>
        <v>#DIV/0!</v>
      </c>
      <c r="L13" s="1"/>
      <c r="M13" s="13" t="e">
        <f t="shared" si="6"/>
        <v>#DIV/0!</v>
      </c>
      <c r="N13" s="3">
        <f t="shared" si="0"/>
        <v>0</v>
      </c>
    </row>
    <row r="14" spans="1:14" ht="13.5" customHeight="1" x14ac:dyDescent="0.25">
      <c r="A14" s="5"/>
      <c r="B14" s="1"/>
      <c r="C14" s="13" t="e">
        <f t="shared" si="1"/>
        <v>#DIV/0!</v>
      </c>
      <c r="D14" s="1"/>
      <c r="E14" s="13" t="e">
        <f t="shared" si="2"/>
        <v>#DIV/0!</v>
      </c>
      <c r="F14" s="1"/>
      <c r="G14" s="13" t="e">
        <f t="shared" si="3"/>
        <v>#DIV/0!</v>
      </c>
      <c r="H14" s="1"/>
      <c r="I14" s="13" t="e">
        <f t="shared" si="4"/>
        <v>#DIV/0!</v>
      </c>
      <c r="J14" s="1"/>
      <c r="K14" s="13" t="e">
        <f t="shared" si="5"/>
        <v>#DIV/0!</v>
      </c>
      <c r="L14" s="1"/>
      <c r="M14" s="13" t="e">
        <f t="shared" si="6"/>
        <v>#DIV/0!</v>
      </c>
      <c r="N14" s="3">
        <f t="shared" si="0"/>
        <v>0</v>
      </c>
    </row>
    <row r="15" spans="1:14" ht="13.5" customHeight="1" x14ac:dyDescent="0.25">
      <c r="A15" s="5"/>
      <c r="B15" s="1"/>
      <c r="C15" s="13" t="e">
        <f t="shared" si="1"/>
        <v>#DIV/0!</v>
      </c>
      <c r="D15" s="1"/>
      <c r="E15" s="13" t="e">
        <f t="shared" si="2"/>
        <v>#DIV/0!</v>
      </c>
      <c r="F15" s="1"/>
      <c r="G15" s="13" t="e">
        <f t="shared" si="3"/>
        <v>#DIV/0!</v>
      </c>
      <c r="H15" s="1"/>
      <c r="I15" s="13" t="e">
        <f t="shared" si="4"/>
        <v>#DIV/0!</v>
      </c>
      <c r="J15" s="1"/>
      <c r="K15" s="13" t="e">
        <f t="shared" si="5"/>
        <v>#DIV/0!</v>
      </c>
      <c r="L15" s="1"/>
      <c r="M15" s="13" t="e">
        <f t="shared" si="6"/>
        <v>#DIV/0!</v>
      </c>
      <c r="N15" s="3">
        <f t="shared" si="0"/>
        <v>0</v>
      </c>
    </row>
    <row r="16" spans="1:14" ht="13.5" customHeight="1" x14ac:dyDescent="0.25">
      <c r="A16" s="5"/>
      <c r="B16" s="1"/>
      <c r="C16" s="13" t="e">
        <f t="shared" si="1"/>
        <v>#DIV/0!</v>
      </c>
      <c r="D16" s="1"/>
      <c r="E16" s="13" t="e">
        <f t="shared" si="2"/>
        <v>#DIV/0!</v>
      </c>
      <c r="F16" s="1"/>
      <c r="G16" s="13" t="e">
        <f t="shared" si="3"/>
        <v>#DIV/0!</v>
      </c>
      <c r="H16" s="1"/>
      <c r="I16" s="13" t="e">
        <f t="shared" si="4"/>
        <v>#DIV/0!</v>
      </c>
      <c r="J16" s="1"/>
      <c r="K16" s="13" t="e">
        <f t="shared" si="5"/>
        <v>#DIV/0!</v>
      </c>
      <c r="L16" s="1"/>
      <c r="M16" s="13" t="e">
        <f t="shared" si="6"/>
        <v>#DIV/0!</v>
      </c>
      <c r="N16" s="3">
        <f t="shared" si="0"/>
        <v>0</v>
      </c>
    </row>
    <row r="17" spans="1:14" ht="13.5" customHeight="1" x14ac:dyDescent="0.25">
      <c r="A17" s="5"/>
      <c r="B17" s="1"/>
      <c r="C17" s="13" t="e">
        <f t="shared" si="1"/>
        <v>#DIV/0!</v>
      </c>
      <c r="D17" s="1"/>
      <c r="E17" s="13" t="e">
        <f t="shared" si="2"/>
        <v>#DIV/0!</v>
      </c>
      <c r="F17" s="1"/>
      <c r="G17" s="13" t="e">
        <f t="shared" si="3"/>
        <v>#DIV/0!</v>
      </c>
      <c r="H17" s="1"/>
      <c r="I17" s="13" t="e">
        <f t="shared" si="4"/>
        <v>#DIV/0!</v>
      </c>
      <c r="J17" s="1"/>
      <c r="K17" s="13" t="e">
        <f t="shared" si="5"/>
        <v>#DIV/0!</v>
      </c>
      <c r="L17" s="1"/>
      <c r="M17" s="13" t="e">
        <f t="shared" si="6"/>
        <v>#DIV/0!</v>
      </c>
      <c r="N17" s="3">
        <f t="shared" si="0"/>
        <v>0</v>
      </c>
    </row>
    <row r="18" spans="1:14" ht="13.5" customHeight="1" x14ac:dyDescent="0.25">
      <c r="A18" s="5"/>
      <c r="B18" s="1"/>
      <c r="C18" s="13" t="e">
        <f t="shared" si="1"/>
        <v>#DIV/0!</v>
      </c>
      <c r="D18" s="1"/>
      <c r="E18" s="13" t="e">
        <f t="shared" si="2"/>
        <v>#DIV/0!</v>
      </c>
      <c r="F18" s="1"/>
      <c r="G18" s="13" t="e">
        <f t="shared" si="3"/>
        <v>#DIV/0!</v>
      </c>
      <c r="H18" s="1"/>
      <c r="I18" s="13" t="e">
        <f t="shared" si="4"/>
        <v>#DIV/0!</v>
      </c>
      <c r="J18" s="1"/>
      <c r="K18" s="13" t="e">
        <f t="shared" si="5"/>
        <v>#DIV/0!</v>
      </c>
      <c r="L18" s="1"/>
      <c r="M18" s="13" t="e">
        <f t="shared" si="6"/>
        <v>#DIV/0!</v>
      </c>
      <c r="N18" s="3">
        <f t="shared" si="0"/>
        <v>0</v>
      </c>
    </row>
    <row r="19" spans="1:14" ht="13.5" customHeight="1" x14ac:dyDescent="0.25">
      <c r="A19" s="5"/>
      <c r="B19" s="1"/>
      <c r="C19" s="13" t="e">
        <f t="shared" si="1"/>
        <v>#DIV/0!</v>
      </c>
      <c r="D19" s="1"/>
      <c r="E19" s="13" t="e">
        <f t="shared" si="2"/>
        <v>#DIV/0!</v>
      </c>
      <c r="F19" s="1"/>
      <c r="G19" s="13" t="e">
        <f t="shared" si="3"/>
        <v>#DIV/0!</v>
      </c>
      <c r="H19" s="1"/>
      <c r="I19" s="13" t="e">
        <f t="shared" si="4"/>
        <v>#DIV/0!</v>
      </c>
      <c r="J19" s="1"/>
      <c r="K19" s="13" t="e">
        <f t="shared" si="5"/>
        <v>#DIV/0!</v>
      </c>
      <c r="L19" s="1"/>
      <c r="M19" s="13" t="e">
        <f t="shared" si="6"/>
        <v>#DIV/0!</v>
      </c>
      <c r="N19" s="3">
        <f t="shared" si="0"/>
        <v>0</v>
      </c>
    </row>
    <row r="20" spans="1:14" ht="13.5" customHeight="1" x14ac:dyDescent="0.25">
      <c r="A20" s="5"/>
      <c r="B20" s="1"/>
      <c r="C20" s="13" t="e">
        <f t="shared" si="1"/>
        <v>#DIV/0!</v>
      </c>
      <c r="D20" s="1"/>
      <c r="E20" s="13" t="e">
        <f t="shared" si="2"/>
        <v>#DIV/0!</v>
      </c>
      <c r="F20" s="1"/>
      <c r="G20" s="13" t="e">
        <f t="shared" si="3"/>
        <v>#DIV/0!</v>
      </c>
      <c r="H20" s="1"/>
      <c r="I20" s="13" t="e">
        <f t="shared" si="4"/>
        <v>#DIV/0!</v>
      </c>
      <c r="J20" s="1"/>
      <c r="K20" s="13" t="e">
        <f t="shared" si="5"/>
        <v>#DIV/0!</v>
      </c>
      <c r="L20" s="1"/>
      <c r="M20" s="13" t="e">
        <f t="shared" si="6"/>
        <v>#DIV/0!</v>
      </c>
      <c r="N20" s="3">
        <f t="shared" si="0"/>
        <v>0</v>
      </c>
    </row>
    <row r="21" spans="1:14" ht="13.5" customHeight="1" x14ac:dyDescent="0.25">
      <c r="A21" s="5"/>
      <c r="B21" s="1"/>
      <c r="C21" s="13" t="e">
        <f t="shared" si="1"/>
        <v>#DIV/0!</v>
      </c>
      <c r="D21" s="1"/>
      <c r="E21" s="13" t="e">
        <f t="shared" si="2"/>
        <v>#DIV/0!</v>
      </c>
      <c r="F21" s="1"/>
      <c r="G21" s="13" t="e">
        <f t="shared" si="3"/>
        <v>#DIV/0!</v>
      </c>
      <c r="H21" s="1"/>
      <c r="I21" s="13" t="e">
        <f t="shared" si="4"/>
        <v>#DIV/0!</v>
      </c>
      <c r="J21" s="1"/>
      <c r="K21" s="13" t="e">
        <f t="shared" si="5"/>
        <v>#DIV/0!</v>
      </c>
      <c r="L21" s="1"/>
      <c r="M21" s="13" t="e">
        <f t="shared" si="6"/>
        <v>#DIV/0!</v>
      </c>
      <c r="N21" s="3">
        <f t="shared" si="0"/>
        <v>0</v>
      </c>
    </row>
    <row r="22" spans="1:14" ht="13.5" customHeight="1" x14ac:dyDescent="0.25">
      <c r="A22" s="5"/>
      <c r="B22" s="1"/>
      <c r="C22" s="13" t="e">
        <f t="shared" si="1"/>
        <v>#DIV/0!</v>
      </c>
      <c r="D22" s="1"/>
      <c r="E22" s="13" t="e">
        <f t="shared" si="2"/>
        <v>#DIV/0!</v>
      </c>
      <c r="F22" s="1"/>
      <c r="G22" s="13" t="e">
        <f t="shared" si="3"/>
        <v>#DIV/0!</v>
      </c>
      <c r="H22" s="1"/>
      <c r="I22" s="13" t="e">
        <f t="shared" si="4"/>
        <v>#DIV/0!</v>
      </c>
      <c r="J22" s="1"/>
      <c r="K22" s="13" t="e">
        <f t="shared" si="5"/>
        <v>#DIV/0!</v>
      </c>
      <c r="L22" s="1"/>
      <c r="M22" s="13" t="e">
        <f t="shared" si="6"/>
        <v>#DIV/0!</v>
      </c>
      <c r="N22" s="3">
        <f t="shared" si="0"/>
        <v>0</v>
      </c>
    </row>
    <row r="23" spans="1:14" ht="13.5" customHeight="1" x14ac:dyDescent="0.25">
      <c r="A23" s="5"/>
      <c r="B23" s="1"/>
      <c r="C23" s="13" t="e">
        <f t="shared" si="1"/>
        <v>#DIV/0!</v>
      </c>
      <c r="D23" s="1"/>
      <c r="E23" s="13" t="e">
        <f t="shared" si="2"/>
        <v>#DIV/0!</v>
      </c>
      <c r="F23" s="1"/>
      <c r="G23" s="13" t="e">
        <f t="shared" si="3"/>
        <v>#DIV/0!</v>
      </c>
      <c r="H23" s="1"/>
      <c r="I23" s="13" t="e">
        <f t="shared" si="4"/>
        <v>#DIV/0!</v>
      </c>
      <c r="J23" s="1"/>
      <c r="K23" s="13" t="e">
        <f t="shared" si="5"/>
        <v>#DIV/0!</v>
      </c>
      <c r="L23" s="1"/>
      <c r="M23" s="13" t="e">
        <f t="shared" si="6"/>
        <v>#DIV/0!</v>
      </c>
      <c r="N23" s="3">
        <f t="shared" si="0"/>
        <v>0</v>
      </c>
    </row>
    <row r="24" spans="1:14" ht="13.5" customHeight="1" x14ac:dyDescent="0.25">
      <c r="A24" s="5"/>
      <c r="B24" s="1"/>
      <c r="C24" s="13" t="e">
        <f t="shared" si="1"/>
        <v>#DIV/0!</v>
      </c>
      <c r="D24" s="1"/>
      <c r="E24" s="13" t="e">
        <f t="shared" si="2"/>
        <v>#DIV/0!</v>
      </c>
      <c r="F24" s="1"/>
      <c r="G24" s="13" t="e">
        <f t="shared" si="3"/>
        <v>#DIV/0!</v>
      </c>
      <c r="H24" s="1"/>
      <c r="I24" s="13" t="e">
        <f t="shared" si="4"/>
        <v>#DIV/0!</v>
      </c>
      <c r="J24" s="1"/>
      <c r="K24" s="13" t="e">
        <f t="shared" si="5"/>
        <v>#DIV/0!</v>
      </c>
      <c r="L24" s="1"/>
      <c r="M24" s="13" t="e">
        <f t="shared" si="6"/>
        <v>#DIV/0!</v>
      </c>
      <c r="N24" s="3">
        <f t="shared" si="0"/>
        <v>0</v>
      </c>
    </row>
    <row r="25" spans="1:14" ht="13.5" customHeight="1" x14ac:dyDescent="0.25">
      <c r="A25" s="5"/>
      <c r="B25" s="1"/>
      <c r="C25" s="13" t="e">
        <f t="shared" si="1"/>
        <v>#DIV/0!</v>
      </c>
      <c r="D25" s="1"/>
      <c r="E25" s="13" t="e">
        <f t="shared" si="2"/>
        <v>#DIV/0!</v>
      </c>
      <c r="F25" s="1"/>
      <c r="G25" s="13" t="e">
        <f t="shared" si="3"/>
        <v>#DIV/0!</v>
      </c>
      <c r="H25" s="1"/>
      <c r="I25" s="13" t="e">
        <f t="shared" si="4"/>
        <v>#DIV/0!</v>
      </c>
      <c r="J25" s="1"/>
      <c r="K25" s="13" t="e">
        <f t="shared" si="5"/>
        <v>#DIV/0!</v>
      </c>
      <c r="L25" s="1"/>
      <c r="M25" s="13" t="e">
        <f t="shared" si="6"/>
        <v>#DIV/0!</v>
      </c>
      <c r="N25" s="3">
        <f t="shared" si="0"/>
        <v>0</v>
      </c>
    </row>
    <row r="26" spans="1:14" ht="13.5" customHeight="1" x14ac:dyDescent="0.25">
      <c r="A26" s="5"/>
      <c r="B26" s="1"/>
      <c r="C26" s="13" t="e">
        <f t="shared" si="1"/>
        <v>#DIV/0!</v>
      </c>
      <c r="D26" s="1"/>
      <c r="E26" s="13" t="e">
        <f t="shared" si="2"/>
        <v>#DIV/0!</v>
      </c>
      <c r="F26" s="1"/>
      <c r="G26" s="13" t="e">
        <f t="shared" si="3"/>
        <v>#DIV/0!</v>
      </c>
      <c r="H26" s="1"/>
      <c r="I26" s="13" t="e">
        <f t="shared" si="4"/>
        <v>#DIV/0!</v>
      </c>
      <c r="J26" s="1"/>
      <c r="K26" s="13" t="e">
        <f t="shared" si="5"/>
        <v>#DIV/0!</v>
      </c>
      <c r="L26" s="1"/>
      <c r="M26" s="13" t="e">
        <f t="shared" si="6"/>
        <v>#DIV/0!</v>
      </c>
      <c r="N26" s="3">
        <f t="shared" si="0"/>
        <v>0</v>
      </c>
    </row>
    <row r="27" spans="1:14" ht="13.5" customHeight="1" x14ac:dyDescent="0.25">
      <c r="A27" s="5"/>
      <c r="B27" s="1"/>
      <c r="C27" s="13" t="e">
        <f t="shared" si="1"/>
        <v>#DIV/0!</v>
      </c>
      <c r="D27" s="1"/>
      <c r="E27" s="13" t="e">
        <f t="shared" si="2"/>
        <v>#DIV/0!</v>
      </c>
      <c r="F27" s="1"/>
      <c r="G27" s="13" t="e">
        <f t="shared" si="3"/>
        <v>#DIV/0!</v>
      </c>
      <c r="H27" s="1"/>
      <c r="I27" s="13" t="e">
        <f t="shared" si="4"/>
        <v>#DIV/0!</v>
      </c>
      <c r="J27" s="1"/>
      <c r="K27" s="13" t="e">
        <f t="shared" si="5"/>
        <v>#DIV/0!</v>
      </c>
      <c r="L27" s="1"/>
      <c r="M27" s="13" t="e">
        <f t="shared" si="6"/>
        <v>#DIV/0!</v>
      </c>
      <c r="N27" s="3">
        <f t="shared" si="0"/>
        <v>0</v>
      </c>
    </row>
    <row r="28" spans="1:14" ht="13.5" customHeight="1" x14ac:dyDescent="0.25">
      <c r="A28" s="5"/>
      <c r="B28" s="1"/>
      <c r="C28" s="13" t="e">
        <f t="shared" si="1"/>
        <v>#DIV/0!</v>
      </c>
      <c r="D28" s="1"/>
      <c r="E28" s="13" t="e">
        <f t="shared" si="2"/>
        <v>#DIV/0!</v>
      </c>
      <c r="F28" s="1"/>
      <c r="G28" s="13" t="e">
        <f t="shared" si="3"/>
        <v>#DIV/0!</v>
      </c>
      <c r="H28" s="1"/>
      <c r="I28" s="13" t="e">
        <f t="shared" si="4"/>
        <v>#DIV/0!</v>
      </c>
      <c r="J28" s="1"/>
      <c r="K28" s="13" t="e">
        <f t="shared" si="5"/>
        <v>#DIV/0!</v>
      </c>
      <c r="L28" s="1"/>
      <c r="M28" s="13" t="e">
        <f t="shared" si="6"/>
        <v>#DIV/0!</v>
      </c>
      <c r="N28" s="3">
        <f t="shared" si="0"/>
        <v>0</v>
      </c>
    </row>
    <row r="29" spans="1:14" ht="13.5" customHeight="1" x14ac:dyDescent="0.25">
      <c r="A29" s="5"/>
      <c r="B29" s="1"/>
      <c r="C29" s="13" t="e">
        <f t="shared" si="1"/>
        <v>#DIV/0!</v>
      </c>
      <c r="D29" s="1"/>
      <c r="E29" s="13" t="e">
        <f t="shared" si="2"/>
        <v>#DIV/0!</v>
      </c>
      <c r="F29" s="1"/>
      <c r="G29" s="13" t="e">
        <f t="shared" si="3"/>
        <v>#DIV/0!</v>
      </c>
      <c r="H29" s="1"/>
      <c r="I29" s="13" t="e">
        <f t="shared" si="4"/>
        <v>#DIV/0!</v>
      </c>
      <c r="J29" s="1"/>
      <c r="K29" s="13" t="e">
        <f t="shared" si="5"/>
        <v>#DIV/0!</v>
      </c>
      <c r="L29" s="1"/>
      <c r="M29" s="13" t="e">
        <f t="shared" si="6"/>
        <v>#DIV/0!</v>
      </c>
      <c r="N29" s="3">
        <f t="shared" si="0"/>
        <v>0</v>
      </c>
    </row>
    <row r="30" spans="1:14" ht="13.5" customHeight="1" x14ac:dyDescent="0.25">
      <c r="A30" s="5"/>
      <c r="B30" s="1"/>
      <c r="C30" s="13" t="e">
        <f t="shared" si="1"/>
        <v>#DIV/0!</v>
      </c>
      <c r="D30" s="1"/>
      <c r="E30" s="13" t="e">
        <f t="shared" si="2"/>
        <v>#DIV/0!</v>
      </c>
      <c r="F30" s="1"/>
      <c r="G30" s="13" t="e">
        <f t="shared" si="3"/>
        <v>#DIV/0!</v>
      </c>
      <c r="H30" s="1"/>
      <c r="I30" s="13" t="e">
        <f t="shared" si="4"/>
        <v>#DIV/0!</v>
      </c>
      <c r="J30" s="1"/>
      <c r="K30" s="13" t="e">
        <f t="shared" si="5"/>
        <v>#DIV/0!</v>
      </c>
      <c r="L30" s="1"/>
      <c r="M30" s="13" t="e">
        <f t="shared" si="6"/>
        <v>#DIV/0!</v>
      </c>
      <c r="N30" s="3">
        <f t="shared" si="0"/>
        <v>0</v>
      </c>
    </row>
    <row r="31" spans="1:14" ht="13.5" customHeight="1" x14ac:dyDescent="0.25">
      <c r="A31" s="5"/>
      <c r="B31" s="1"/>
      <c r="C31" s="13" t="e">
        <f t="shared" si="1"/>
        <v>#DIV/0!</v>
      </c>
      <c r="D31" s="1"/>
      <c r="E31" s="13" t="e">
        <f t="shared" si="2"/>
        <v>#DIV/0!</v>
      </c>
      <c r="F31" s="1"/>
      <c r="G31" s="13" t="e">
        <f t="shared" si="3"/>
        <v>#DIV/0!</v>
      </c>
      <c r="H31" s="1"/>
      <c r="I31" s="13" t="e">
        <f t="shared" si="4"/>
        <v>#DIV/0!</v>
      </c>
      <c r="J31" s="1"/>
      <c r="K31" s="13" t="e">
        <f t="shared" si="5"/>
        <v>#DIV/0!</v>
      </c>
      <c r="L31" s="1"/>
      <c r="M31" s="13" t="e">
        <f t="shared" si="6"/>
        <v>#DIV/0!</v>
      </c>
      <c r="N31" s="3">
        <f t="shared" si="0"/>
        <v>0</v>
      </c>
    </row>
    <row r="32" spans="1:14" ht="13.5" customHeight="1" x14ac:dyDescent="0.25">
      <c r="A32" s="5"/>
      <c r="B32" s="1"/>
      <c r="C32" s="13" t="e">
        <f t="shared" si="1"/>
        <v>#DIV/0!</v>
      </c>
      <c r="D32" s="1"/>
      <c r="E32" s="13" t="e">
        <f t="shared" si="2"/>
        <v>#DIV/0!</v>
      </c>
      <c r="F32" s="1"/>
      <c r="G32" s="13" t="e">
        <f t="shared" si="3"/>
        <v>#DIV/0!</v>
      </c>
      <c r="H32" s="1"/>
      <c r="I32" s="13" t="e">
        <f t="shared" si="4"/>
        <v>#DIV/0!</v>
      </c>
      <c r="J32" s="1"/>
      <c r="K32" s="13" t="e">
        <f t="shared" si="5"/>
        <v>#DIV/0!</v>
      </c>
      <c r="L32" s="1"/>
      <c r="M32" s="13" t="e">
        <f t="shared" si="6"/>
        <v>#DIV/0!</v>
      </c>
      <c r="N32" s="3">
        <f t="shared" si="0"/>
        <v>0</v>
      </c>
    </row>
    <row r="33" spans="1:14" ht="13.5" customHeight="1" x14ac:dyDescent="0.25">
      <c r="A33" s="5"/>
      <c r="B33" s="1"/>
      <c r="C33" s="13" t="e">
        <f t="shared" si="1"/>
        <v>#DIV/0!</v>
      </c>
      <c r="D33" s="1"/>
      <c r="E33" s="13" t="e">
        <f t="shared" si="2"/>
        <v>#DIV/0!</v>
      </c>
      <c r="F33" s="1"/>
      <c r="G33" s="13" t="e">
        <f t="shared" si="3"/>
        <v>#DIV/0!</v>
      </c>
      <c r="H33" s="1"/>
      <c r="I33" s="13" t="e">
        <f t="shared" si="4"/>
        <v>#DIV/0!</v>
      </c>
      <c r="J33" s="1"/>
      <c r="K33" s="13" t="e">
        <f t="shared" si="5"/>
        <v>#DIV/0!</v>
      </c>
      <c r="L33" s="1"/>
      <c r="M33" s="13" t="e">
        <f t="shared" si="6"/>
        <v>#DIV/0!</v>
      </c>
      <c r="N33" s="3">
        <f t="shared" si="0"/>
        <v>0</v>
      </c>
    </row>
    <row r="34" spans="1:14" ht="13.5" customHeight="1" x14ac:dyDescent="0.25">
      <c r="A34" s="5"/>
      <c r="B34" s="1"/>
      <c r="C34" s="13" t="e">
        <f t="shared" si="1"/>
        <v>#DIV/0!</v>
      </c>
      <c r="D34" s="1"/>
      <c r="E34" s="13" t="e">
        <f t="shared" si="2"/>
        <v>#DIV/0!</v>
      </c>
      <c r="F34" s="1"/>
      <c r="G34" s="13" t="e">
        <f t="shared" si="3"/>
        <v>#DIV/0!</v>
      </c>
      <c r="H34" s="1"/>
      <c r="I34" s="13" t="e">
        <f t="shared" si="4"/>
        <v>#DIV/0!</v>
      </c>
      <c r="J34" s="1"/>
      <c r="K34" s="13" t="e">
        <f t="shared" si="5"/>
        <v>#DIV/0!</v>
      </c>
      <c r="L34" s="1"/>
      <c r="M34" s="13" t="e">
        <f t="shared" si="6"/>
        <v>#DIV/0!</v>
      </c>
      <c r="N34" s="3">
        <f t="shared" si="0"/>
        <v>0</v>
      </c>
    </row>
    <row r="35" spans="1:14" ht="13.5" customHeight="1" x14ac:dyDescent="0.25">
      <c r="A35" s="5"/>
      <c r="B35" s="1"/>
      <c r="C35" s="13" t="e">
        <f t="shared" si="1"/>
        <v>#DIV/0!</v>
      </c>
      <c r="D35" s="1"/>
      <c r="E35" s="13" t="e">
        <f t="shared" si="2"/>
        <v>#DIV/0!</v>
      </c>
      <c r="F35" s="1"/>
      <c r="G35" s="13" t="e">
        <f t="shared" si="3"/>
        <v>#DIV/0!</v>
      </c>
      <c r="H35" s="1"/>
      <c r="I35" s="13" t="e">
        <f t="shared" si="4"/>
        <v>#DIV/0!</v>
      </c>
      <c r="J35" s="1"/>
      <c r="K35" s="13" t="e">
        <f t="shared" si="5"/>
        <v>#DIV/0!</v>
      </c>
      <c r="L35" s="1"/>
      <c r="M35" s="13" t="e">
        <f t="shared" si="6"/>
        <v>#DIV/0!</v>
      </c>
      <c r="N35" s="3">
        <f t="shared" si="0"/>
        <v>0</v>
      </c>
    </row>
    <row r="36" spans="1:14" ht="13.5" customHeight="1" x14ac:dyDescent="0.25">
      <c r="A36" s="5"/>
      <c r="B36" s="1"/>
      <c r="C36" s="13" t="e">
        <f t="shared" si="1"/>
        <v>#DIV/0!</v>
      </c>
      <c r="D36" s="1"/>
      <c r="E36" s="13" t="e">
        <f t="shared" si="2"/>
        <v>#DIV/0!</v>
      </c>
      <c r="F36" s="1"/>
      <c r="G36" s="13" t="e">
        <f t="shared" si="3"/>
        <v>#DIV/0!</v>
      </c>
      <c r="H36" s="1"/>
      <c r="I36" s="13" t="e">
        <f t="shared" si="4"/>
        <v>#DIV/0!</v>
      </c>
      <c r="J36" s="1"/>
      <c r="K36" s="13" t="e">
        <f t="shared" si="5"/>
        <v>#DIV/0!</v>
      </c>
      <c r="L36" s="1"/>
      <c r="M36" s="13" t="e">
        <f t="shared" si="6"/>
        <v>#DIV/0!</v>
      </c>
      <c r="N36" s="3">
        <f t="shared" si="0"/>
        <v>0</v>
      </c>
    </row>
    <row r="37" spans="1:14" ht="13.5" customHeight="1" x14ac:dyDescent="0.25">
      <c r="A37" s="5"/>
      <c r="B37" s="1"/>
      <c r="C37" s="13" t="e">
        <f t="shared" si="1"/>
        <v>#DIV/0!</v>
      </c>
      <c r="D37" s="1"/>
      <c r="E37" s="13" t="e">
        <f t="shared" si="2"/>
        <v>#DIV/0!</v>
      </c>
      <c r="F37" s="1"/>
      <c r="G37" s="13" t="e">
        <f t="shared" si="3"/>
        <v>#DIV/0!</v>
      </c>
      <c r="H37" s="1"/>
      <c r="I37" s="13" t="e">
        <f t="shared" si="4"/>
        <v>#DIV/0!</v>
      </c>
      <c r="J37" s="1"/>
      <c r="K37" s="13" t="e">
        <f t="shared" si="5"/>
        <v>#DIV/0!</v>
      </c>
      <c r="L37" s="1"/>
      <c r="M37" s="13" t="e">
        <f t="shared" si="6"/>
        <v>#DIV/0!</v>
      </c>
      <c r="N37" s="3">
        <f t="shared" si="0"/>
        <v>0</v>
      </c>
    </row>
    <row r="38" spans="1:14" ht="13.5" customHeight="1" x14ac:dyDescent="0.25">
      <c r="A38" s="5"/>
      <c r="B38" s="1"/>
      <c r="C38" s="13" t="e">
        <f t="shared" si="1"/>
        <v>#DIV/0!</v>
      </c>
      <c r="D38" s="1"/>
      <c r="E38" s="13" t="e">
        <f t="shared" si="2"/>
        <v>#DIV/0!</v>
      </c>
      <c r="F38" s="1"/>
      <c r="G38" s="13" t="e">
        <f t="shared" si="3"/>
        <v>#DIV/0!</v>
      </c>
      <c r="H38" s="1"/>
      <c r="I38" s="13" t="e">
        <f t="shared" si="4"/>
        <v>#DIV/0!</v>
      </c>
      <c r="J38" s="1"/>
      <c r="K38" s="13" t="e">
        <f t="shared" si="5"/>
        <v>#DIV/0!</v>
      </c>
      <c r="L38" s="1"/>
      <c r="M38" s="13" t="e">
        <f t="shared" si="6"/>
        <v>#DIV/0!</v>
      </c>
      <c r="N38" s="3">
        <f t="shared" si="0"/>
        <v>0</v>
      </c>
    </row>
    <row r="39" spans="1:14" ht="13.5" customHeight="1" x14ac:dyDescent="0.25">
      <c r="A39" s="5"/>
      <c r="B39" s="1"/>
      <c r="C39" s="13" t="e">
        <f t="shared" si="1"/>
        <v>#DIV/0!</v>
      </c>
      <c r="D39" s="1"/>
      <c r="E39" s="13" t="e">
        <f t="shared" si="2"/>
        <v>#DIV/0!</v>
      </c>
      <c r="F39" s="1"/>
      <c r="G39" s="13" t="e">
        <f t="shared" si="3"/>
        <v>#DIV/0!</v>
      </c>
      <c r="H39" s="1"/>
      <c r="I39" s="13" t="e">
        <f t="shared" si="4"/>
        <v>#DIV/0!</v>
      </c>
      <c r="J39" s="1"/>
      <c r="K39" s="13" t="e">
        <f t="shared" si="5"/>
        <v>#DIV/0!</v>
      </c>
      <c r="L39" s="1"/>
      <c r="M39" s="13" t="e">
        <f t="shared" si="6"/>
        <v>#DIV/0!</v>
      </c>
      <c r="N39" s="3">
        <f t="shared" si="0"/>
        <v>0</v>
      </c>
    </row>
    <row r="40" spans="1:14" ht="13.5" customHeight="1" x14ac:dyDescent="0.25">
      <c r="A40" s="5"/>
      <c r="B40" s="1"/>
      <c r="C40" s="13" t="e">
        <f t="shared" si="1"/>
        <v>#DIV/0!</v>
      </c>
      <c r="D40" s="1"/>
      <c r="E40" s="13" t="e">
        <f t="shared" si="2"/>
        <v>#DIV/0!</v>
      </c>
      <c r="F40" s="1"/>
      <c r="G40" s="13" t="e">
        <f t="shared" si="3"/>
        <v>#DIV/0!</v>
      </c>
      <c r="H40" s="1"/>
      <c r="I40" s="13" t="e">
        <f t="shared" si="4"/>
        <v>#DIV/0!</v>
      </c>
      <c r="J40" s="1"/>
      <c r="K40" s="13" t="e">
        <f t="shared" si="5"/>
        <v>#DIV/0!</v>
      </c>
      <c r="L40" s="1"/>
      <c r="M40" s="13" t="e">
        <f t="shared" si="6"/>
        <v>#DIV/0!</v>
      </c>
      <c r="N40" s="3">
        <f t="shared" si="0"/>
        <v>0</v>
      </c>
    </row>
    <row r="41" spans="1:14" ht="13.5" customHeight="1" x14ac:dyDescent="0.25">
      <c r="A41" s="5"/>
      <c r="B41" s="1"/>
      <c r="C41" s="13" t="e">
        <f t="shared" si="1"/>
        <v>#DIV/0!</v>
      </c>
      <c r="D41" s="1"/>
      <c r="E41" s="13" t="e">
        <f t="shared" si="2"/>
        <v>#DIV/0!</v>
      </c>
      <c r="F41" s="1"/>
      <c r="G41" s="13" t="e">
        <f t="shared" si="3"/>
        <v>#DIV/0!</v>
      </c>
      <c r="H41" s="1"/>
      <c r="I41" s="13" t="e">
        <f t="shared" si="4"/>
        <v>#DIV/0!</v>
      </c>
      <c r="J41" s="1"/>
      <c r="K41" s="13" t="e">
        <f t="shared" si="5"/>
        <v>#DIV/0!</v>
      </c>
      <c r="L41" s="1"/>
      <c r="M41" s="13" t="e">
        <f t="shared" si="6"/>
        <v>#DIV/0!</v>
      </c>
      <c r="N41" s="3">
        <f t="shared" si="0"/>
        <v>0</v>
      </c>
    </row>
    <row r="42" spans="1:14" ht="13.5" customHeight="1" x14ac:dyDescent="0.25">
      <c r="A42" s="5"/>
      <c r="B42" s="1"/>
      <c r="C42" s="13" t="e">
        <f t="shared" si="1"/>
        <v>#DIV/0!</v>
      </c>
      <c r="D42" s="1"/>
      <c r="E42" s="13" t="e">
        <f t="shared" si="2"/>
        <v>#DIV/0!</v>
      </c>
      <c r="F42" s="1"/>
      <c r="G42" s="13" t="e">
        <f t="shared" si="3"/>
        <v>#DIV/0!</v>
      </c>
      <c r="H42" s="1"/>
      <c r="I42" s="13" t="e">
        <f t="shared" si="4"/>
        <v>#DIV/0!</v>
      </c>
      <c r="J42" s="1"/>
      <c r="K42" s="13" t="e">
        <f t="shared" si="5"/>
        <v>#DIV/0!</v>
      </c>
      <c r="L42" s="1"/>
      <c r="M42" s="13" t="e">
        <f t="shared" si="6"/>
        <v>#DIV/0!</v>
      </c>
      <c r="N42" s="3">
        <f t="shared" si="0"/>
        <v>0</v>
      </c>
    </row>
    <row r="43" spans="1:14" ht="13.5" customHeight="1" x14ac:dyDescent="0.25">
      <c r="A43" s="5"/>
      <c r="B43" s="1"/>
      <c r="C43" s="13" t="e">
        <f t="shared" si="1"/>
        <v>#DIV/0!</v>
      </c>
      <c r="D43" s="1"/>
      <c r="E43" s="13" t="e">
        <f t="shared" si="2"/>
        <v>#DIV/0!</v>
      </c>
      <c r="F43" s="1"/>
      <c r="G43" s="13" t="e">
        <f t="shared" si="3"/>
        <v>#DIV/0!</v>
      </c>
      <c r="H43" s="1"/>
      <c r="I43" s="13" t="e">
        <f t="shared" si="4"/>
        <v>#DIV/0!</v>
      </c>
      <c r="J43" s="1"/>
      <c r="K43" s="13" t="e">
        <f t="shared" si="5"/>
        <v>#DIV/0!</v>
      </c>
      <c r="L43" s="1"/>
      <c r="M43" s="13" t="e">
        <f t="shared" si="6"/>
        <v>#DIV/0!</v>
      </c>
      <c r="N43" s="3">
        <f t="shared" si="0"/>
        <v>0</v>
      </c>
    </row>
    <row r="44" spans="1:14" ht="13.5" customHeight="1" x14ac:dyDescent="0.25">
      <c r="A44" s="5"/>
      <c r="B44" s="1"/>
      <c r="C44" s="13" t="e">
        <f t="shared" si="1"/>
        <v>#DIV/0!</v>
      </c>
      <c r="D44" s="1"/>
      <c r="E44" s="13" t="e">
        <f t="shared" si="2"/>
        <v>#DIV/0!</v>
      </c>
      <c r="F44" s="1"/>
      <c r="G44" s="13" t="e">
        <f t="shared" si="3"/>
        <v>#DIV/0!</v>
      </c>
      <c r="H44" s="1"/>
      <c r="I44" s="13" t="e">
        <f t="shared" si="4"/>
        <v>#DIV/0!</v>
      </c>
      <c r="J44" s="1"/>
      <c r="K44" s="13" t="e">
        <f t="shared" si="5"/>
        <v>#DIV/0!</v>
      </c>
      <c r="L44" s="1"/>
      <c r="M44" s="13" t="e">
        <f t="shared" si="6"/>
        <v>#DIV/0!</v>
      </c>
      <c r="N44" s="3">
        <f t="shared" si="0"/>
        <v>0</v>
      </c>
    </row>
    <row r="45" spans="1:14" ht="13.5" customHeight="1" x14ac:dyDescent="0.25">
      <c r="A45" s="5"/>
      <c r="B45" s="1"/>
      <c r="C45" s="13" t="e">
        <f t="shared" si="1"/>
        <v>#DIV/0!</v>
      </c>
      <c r="D45" s="1"/>
      <c r="E45" s="13" t="e">
        <f t="shared" si="2"/>
        <v>#DIV/0!</v>
      </c>
      <c r="F45" s="1"/>
      <c r="G45" s="13" t="e">
        <f t="shared" si="3"/>
        <v>#DIV/0!</v>
      </c>
      <c r="H45" s="1"/>
      <c r="I45" s="13" t="e">
        <f t="shared" si="4"/>
        <v>#DIV/0!</v>
      </c>
      <c r="J45" s="1"/>
      <c r="K45" s="13" t="e">
        <f t="shared" si="5"/>
        <v>#DIV/0!</v>
      </c>
      <c r="L45" s="1"/>
      <c r="M45" s="13" t="e">
        <f t="shared" si="6"/>
        <v>#DIV/0!</v>
      </c>
      <c r="N45" s="3">
        <f t="shared" si="0"/>
        <v>0</v>
      </c>
    </row>
    <row r="46" spans="1:14" ht="13.5" customHeight="1" x14ac:dyDescent="0.25">
      <c r="A46" s="5"/>
      <c r="B46" s="1"/>
      <c r="C46" s="13" t="e">
        <f t="shared" si="1"/>
        <v>#DIV/0!</v>
      </c>
      <c r="D46" s="1"/>
      <c r="E46" s="13" t="e">
        <f t="shared" si="2"/>
        <v>#DIV/0!</v>
      </c>
      <c r="F46" s="1"/>
      <c r="G46" s="13" t="e">
        <f t="shared" si="3"/>
        <v>#DIV/0!</v>
      </c>
      <c r="H46" s="1"/>
      <c r="I46" s="13" t="e">
        <f t="shared" si="4"/>
        <v>#DIV/0!</v>
      </c>
      <c r="J46" s="1"/>
      <c r="K46" s="13" t="e">
        <f t="shared" si="5"/>
        <v>#DIV/0!</v>
      </c>
      <c r="L46" s="1"/>
      <c r="M46" s="13" t="e">
        <f t="shared" si="6"/>
        <v>#DIV/0!</v>
      </c>
      <c r="N46" s="3">
        <f t="shared" si="0"/>
        <v>0</v>
      </c>
    </row>
    <row r="47" spans="1:14" ht="13.5" customHeight="1" x14ac:dyDescent="0.25">
      <c r="A47" s="5"/>
      <c r="B47" s="1"/>
      <c r="C47" s="13" t="e">
        <f t="shared" si="1"/>
        <v>#DIV/0!</v>
      </c>
      <c r="D47" s="1"/>
      <c r="E47" s="13" t="e">
        <f t="shared" si="2"/>
        <v>#DIV/0!</v>
      </c>
      <c r="F47" s="1"/>
      <c r="G47" s="13" t="e">
        <f t="shared" si="3"/>
        <v>#DIV/0!</v>
      </c>
      <c r="H47" s="1"/>
      <c r="I47" s="13" t="e">
        <f t="shared" si="4"/>
        <v>#DIV/0!</v>
      </c>
      <c r="J47" s="1"/>
      <c r="K47" s="13" t="e">
        <f t="shared" si="5"/>
        <v>#DIV/0!</v>
      </c>
      <c r="L47" s="1"/>
      <c r="M47" s="13" t="e">
        <f t="shared" si="6"/>
        <v>#DIV/0!</v>
      </c>
      <c r="N47" s="3">
        <f t="shared" si="0"/>
        <v>0</v>
      </c>
    </row>
    <row r="48" spans="1:14" ht="13.5" customHeight="1" x14ac:dyDescent="0.25">
      <c r="A48" s="5"/>
      <c r="B48" s="1"/>
      <c r="C48" s="13" t="e">
        <f t="shared" si="1"/>
        <v>#DIV/0!</v>
      </c>
      <c r="D48" s="1"/>
      <c r="E48" s="13" t="e">
        <f t="shared" si="2"/>
        <v>#DIV/0!</v>
      </c>
      <c r="F48" s="1"/>
      <c r="G48" s="13" t="e">
        <f t="shared" si="3"/>
        <v>#DIV/0!</v>
      </c>
      <c r="H48" s="1"/>
      <c r="I48" s="13" t="e">
        <f t="shared" si="4"/>
        <v>#DIV/0!</v>
      </c>
      <c r="J48" s="1"/>
      <c r="K48" s="13" t="e">
        <f t="shared" si="5"/>
        <v>#DIV/0!</v>
      </c>
      <c r="L48" s="1"/>
      <c r="M48" s="13" t="e">
        <f t="shared" si="6"/>
        <v>#DIV/0!</v>
      </c>
      <c r="N48" s="3">
        <f t="shared" si="0"/>
        <v>0</v>
      </c>
    </row>
    <row r="49" spans="1:14" ht="13.5" customHeight="1" x14ac:dyDescent="0.25">
      <c r="A49" s="5"/>
      <c r="B49" s="1"/>
      <c r="C49" s="13" t="e">
        <f t="shared" si="1"/>
        <v>#DIV/0!</v>
      </c>
      <c r="D49" s="1"/>
      <c r="E49" s="13" t="e">
        <f t="shared" si="2"/>
        <v>#DIV/0!</v>
      </c>
      <c r="F49" s="1"/>
      <c r="G49" s="13" t="e">
        <f t="shared" si="3"/>
        <v>#DIV/0!</v>
      </c>
      <c r="H49" s="1"/>
      <c r="I49" s="13" t="e">
        <f t="shared" si="4"/>
        <v>#DIV/0!</v>
      </c>
      <c r="J49" s="1"/>
      <c r="K49" s="13" t="e">
        <f t="shared" si="5"/>
        <v>#DIV/0!</v>
      </c>
      <c r="L49" s="1"/>
      <c r="M49" s="13" t="e">
        <f t="shared" si="6"/>
        <v>#DIV/0!</v>
      </c>
      <c r="N49" s="3">
        <f t="shared" si="0"/>
        <v>0</v>
      </c>
    </row>
    <row r="50" spans="1:14" x14ac:dyDescent="0.25">
      <c r="A50" s="5"/>
      <c r="B50" s="1"/>
      <c r="C50" s="13" t="e">
        <f t="shared" si="1"/>
        <v>#DIV/0!</v>
      </c>
      <c r="D50" s="1"/>
      <c r="E50" s="13" t="e">
        <f t="shared" si="2"/>
        <v>#DIV/0!</v>
      </c>
      <c r="F50" s="1"/>
      <c r="G50" s="13" t="e">
        <f t="shared" si="3"/>
        <v>#DIV/0!</v>
      </c>
      <c r="H50" s="1"/>
      <c r="I50" s="13" t="e">
        <f t="shared" si="4"/>
        <v>#DIV/0!</v>
      </c>
      <c r="J50" s="1"/>
      <c r="K50" s="13" t="e">
        <f t="shared" si="5"/>
        <v>#DIV/0!</v>
      </c>
      <c r="L50" s="1"/>
      <c r="M50" s="13" t="e">
        <f t="shared" si="6"/>
        <v>#DIV/0!</v>
      </c>
      <c r="N50" s="3">
        <f t="shared" si="0"/>
        <v>0</v>
      </c>
    </row>
    <row r="51" spans="1:14" x14ac:dyDescent="0.25">
      <c r="A51" s="5"/>
      <c r="B51" s="1"/>
      <c r="C51" s="13" t="e">
        <f t="shared" si="1"/>
        <v>#DIV/0!</v>
      </c>
      <c r="D51" s="1"/>
      <c r="E51" s="13" t="e">
        <f t="shared" si="2"/>
        <v>#DIV/0!</v>
      </c>
      <c r="F51" s="1"/>
      <c r="G51" s="13" t="e">
        <f t="shared" si="3"/>
        <v>#DIV/0!</v>
      </c>
      <c r="H51" s="1"/>
      <c r="I51" s="13" t="e">
        <f t="shared" si="4"/>
        <v>#DIV/0!</v>
      </c>
      <c r="J51" s="1"/>
      <c r="K51" s="13" t="e">
        <f t="shared" si="5"/>
        <v>#DIV/0!</v>
      </c>
      <c r="L51" s="1"/>
      <c r="M51" s="13" t="e">
        <f t="shared" si="6"/>
        <v>#DIV/0!</v>
      </c>
      <c r="N51" s="3">
        <f t="shared" si="0"/>
        <v>0</v>
      </c>
    </row>
    <row r="52" spans="1:14" x14ac:dyDescent="0.25">
      <c r="A52" s="5"/>
      <c r="B52" s="1"/>
      <c r="C52" s="13" t="e">
        <f t="shared" si="1"/>
        <v>#DIV/0!</v>
      </c>
      <c r="D52" s="1"/>
      <c r="E52" s="13" t="e">
        <f t="shared" si="2"/>
        <v>#DIV/0!</v>
      </c>
      <c r="F52" s="1"/>
      <c r="G52" s="13" t="e">
        <f t="shared" si="3"/>
        <v>#DIV/0!</v>
      </c>
      <c r="H52" s="1"/>
      <c r="I52" s="13" t="e">
        <f t="shared" si="4"/>
        <v>#DIV/0!</v>
      </c>
      <c r="J52" s="1"/>
      <c r="K52" s="13" t="e">
        <f t="shared" si="5"/>
        <v>#DIV/0!</v>
      </c>
      <c r="L52" s="1"/>
      <c r="M52" s="13" t="e">
        <f t="shared" si="6"/>
        <v>#DIV/0!</v>
      </c>
      <c r="N52" s="3">
        <f t="shared" si="0"/>
        <v>0</v>
      </c>
    </row>
    <row r="53" spans="1:14" ht="58.5" customHeight="1" x14ac:dyDescent="0.25">
      <c r="A53" s="5"/>
      <c r="B53" s="1"/>
      <c r="C53" s="13" t="e">
        <f t="shared" si="1"/>
        <v>#DIV/0!</v>
      </c>
      <c r="D53" s="1"/>
      <c r="E53" s="13" t="e">
        <f t="shared" si="2"/>
        <v>#DIV/0!</v>
      </c>
      <c r="F53" s="1"/>
      <c r="G53" s="13" t="e">
        <f t="shared" si="3"/>
        <v>#DIV/0!</v>
      </c>
      <c r="H53" s="1"/>
      <c r="I53" s="13" t="e">
        <f t="shared" si="4"/>
        <v>#DIV/0!</v>
      </c>
      <c r="J53" s="1"/>
      <c r="K53" s="13" t="e">
        <f t="shared" si="5"/>
        <v>#DIV/0!</v>
      </c>
      <c r="L53" s="1"/>
      <c r="M53" s="13" t="e">
        <f t="shared" si="6"/>
        <v>#DIV/0!</v>
      </c>
      <c r="N53" s="3">
        <f t="shared" si="0"/>
        <v>0</v>
      </c>
    </row>
    <row r="54" spans="1:14" ht="15.75" thickBot="1" x14ac:dyDescent="0.3">
      <c r="A54" s="7"/>
      <c r="B54" s="8"/>
      <c r="C54" s="14" t="e">
        <f t="shared" si="1"/>
        <v>#DIV/0!</v>
      </c>
      <c r="D54" s="8"/>
      <c r="E54" s="14" t="e">
        <f t="shared" si="2"/>
        <v>#DIV/0!</v>
      </c>
      <c r="F54" s="8"/>
      <c r="G54" s="14" t="e">
        <f t="shared" si="3"/>
        <v>#DIV/0!</v>
      </c>
      <c r="H54" s="8"/>
      <c r="I54" s="14" t="e">
        <f t="shared" si="4"/>
        <v>#DIV/0!</v>
      </c>
      <c r="J54" s="8"/>
      <c r="K54" s="14" t="e">
        <f t="shared" si="5"/>
        <v>#DIV/0!</v>
      </c>
      <c r="L54" s="8"/>
      <c r="M54" s="14" t="e">
        <f t="shared" si="6"/>
        <v>#DIV/0!</v>
      </c>
      <c r="N54" s="6">
        <f t="shared" si="0"/>
        <v>0</v>
      </c>
    </row>
    <row r="55" spans="1:14" ht="16.5" thickTop="1" thickBot="1" x14ac:dyDescent="0.3">
      <c r="A55" s="2" t="s">
        <v>41</v>
      </c>
      <c r="B55" s="2">
        <f>SUM(B6:B54)</f>
        <v>0</v>
      </c>
      <c r="C55" s="15">
        <f t="shared" si="1"/>
        <v>0</v>
      </c>
      <c r="D55" s="2">
        <f>SUM(D6:D54)</f>
        <v>0</v>
      </c>
      <c r="E55" s="15">
        <f t="shared" si="2"/>
        <v>0</v>
      </c>
      <c r="F55" s="2">
        <f>SUM(F6:F54)</f>
        <v>0</v>
      </c>
      <c r="G55" s="15">
        <f t="shared" si="3"/>
        <v>0</v>
      </c>
      <c r="H55" s="2">
        <f>SUM(H6:H54)</f>
        <v>0</v>
      </c>
      <c r="I55" s="15">
        <f t="shared" si="4"/>
        <v>0</v>
      </c>
      <c r="J55" s="2">
        <f>SUM(J6:J54)</f>
        <v>0</v>
      </c>
      <c r="K55" s="15">
        <f t="shared" si="5"/>
        <v>0</v>
      </c>
      <c r="L55" s="2">
        <f>SUM(L6:L54)</f>
        <v>0</v>
      </c>
      <c r="M55" s="15">
        <f t="shared" si="6"/>
        <v>0</v>
      </c>
      <c r="N55" s="4">
        <v>2243</v>
      </c>
    </row>
    <row r="56" spans="1:14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25">
      <c r="A57" s="43" t="s">
        <v>57</v>
      </c>
      <c r="B57" s="35" t="s">
        <v>52</v>
      </c>
      <c r="C57" s="36"/>
      <c r="D57" s="35" t="s">
        <v>53</v>
      </c>
      <c r="E57" s="36"/>
      <c r="F57" s="35" t="s">
        <v>54</v>
      </c>
      <c r="G57" s="36"/>
      <c r="H57" s="35" t="s">
        <v>55</v>
      </c>
      <c r="I57" s="36"/>
      <c r="J57" s="35" t="s">
        <v>45</v>
      </c>
      <c r="K57" s="36"/>
      <c r="L57" s="35" t="s">
        <v>46</v>
      </c>
      <c r="M57" s="36"/>
      <c r="N57" s="39" t="s">
        <v>0</v>
      </c>
    </row>
    <row r="58" spans="1:14" x14ac:dyDescent="0.25">
      <c r="A58" s="44"/>
      <c r="B58" s="37"/>
      <c r="C58" s="38"/>
      <c r="D58" s="37"/>
      <c r="E58" s="38"/>
      <c r="F58" s="37"/>
      <c r="G58" s="38"/>
      <c r="H58" s="37"/>
      <c r="I58" s="38"/>
      <c r="J58" s="37"/>
      <c r="K58" s="38"/>
      <c r="L58" s="37"/>
      <c r="M58" s="38"/>
      <c r="N58" s="40"/>
    </row>
    <row r="59" spans="1:14" x14ac:dyDescent="0.25">
      <c r="A59" s="5"/>
      <c r="B59" s="1"/>
      <c r="C59" s="13" t="e">
        <f t="shared" ref="C59:C67" si="7">B59/N59</f>
        <v>#DIV/0!</v>
      </c>
      <c r="D59" s="1"/>
      <c r="E59" s="13" t="e">
        <f t="shared" ref="E59:E67" si="8">D59/N59</f>
        <v>#DIV/0!</v>
      </c>
      <c r="F59" s="1"/>
      <c r="G59" s="13" t="e">
        <f t="shared" ref="G59:G67" si="9">F59/N59</f>
        <v>#DIV/0!</v>
      </c>
      <c r="H59" s="1"/>
      <c r="I59" s="13" t="e">
        <f t="shared" ref="I59:I67" si="10">H59/N59</f>
        <v>#DIV/0!</v>
      </c>
      <c r="J59" s="1"/>
      <c r="K59" s="13" t="e">
        <f t="shared" ref="K59:K67" si="11">J59/N59</f>
        <v>#DIV/0!</v>
      </c>
      <c r="L59" s="1"/>
      <c r="M59" s="13" t="e">
        <f t="shared" ref="M59:M67" si="12">L59/N59</f>
        <v>#DIV/0!</v>
      </c>
      <c r="N59" s="3">
        <f t="shared" ref="N59:N66" si="13">B59+D59+F59+H59+J59+L59</f>
        <v>0</v>
      </c>
    </row>
    <row r="60" spans="1:14" x14ac:dyDescent="0.25">
      <c r="A60" s="5"/>
      <c r="B60" s="1"/>
      <c r="C60" s="13" t="e">
        <f t="shared" si="7"/>
        <v>#DIV/0!</v>
      </c>
      <c r="D60" s="1"/>
      <c r="E60" s="13" t="e">
        <f t="shared" si="8"/>
        <v>#DIV/0!</v>
      </c>
      <c r="F60" s="1"/>
      <c r="G60" s="13" t="e">
        <f t="shared" si="9"/>
        <v>#DIV/0!</v>
      </c>
      <c r="H60" s="1"/>
      <c r="I60" s="13" t="e">
        <f t="shared" si="10"/>
        <v>#DIV/0!</v>
      </c>
      <c r="J60" s="1"/>
      <c r="K60" s="13" t="e">
        <f t="shared" si="11"/>
        <v>#DIV/0!</v>
      </c>
      <c r="L60" s="1"/>
      <c r="M60" s="13" t="e">
        <f t="shared" si="12"/>
        <v>#DIV/0!</v>
      </c>
      <c r="N60" s="3">
        <f t="shared" si="13"/>
        <v>0</v>
      </c>
    </row>
    <row r="61" spans="1:14" x14ac:dyDescent="0.25">
      <c r="A61" s="5"/>
      <c r="B61" s="1"/>
      <c r="C61" s="13" t="e">
        <f t="shared" si="7"/>
        <v>#DIV/0!</v>
      </c>
      <c r="D61" s="1"/>
      <c r="E61" s="13" t="e">
        <f t="shared" si="8"/>
        <v>#DIV/0!</v>
      </c>
      <c r="F61" s="1"/>
      <c r="G61" s="13" t="e">
        <f t="shared" si="9"/>
        <v>#DIV/0!</v>
      </c>
      <c r="H61" s="1"/>
      <c r="I61" s="13" t="e">
        <f t="shared" si="10"/>
        <v>#DIV/0!</v>
      </c>
      <c r="J61" s="1"/>
      <c r="K61" s="13" t="e">
        <f t="shared" si="11"/>
        <v>#DIV/0!</v>
      </c>
      <c r="L61" s="1"/>
      <c r="M61" s="13" t="e">
        <f t="shared" si="12"/>
        <v>#DIV/0!</v>
      </c>
      <c r="N61" s="3">
        <f t="shared" si="13"/>
        <v>0</v>
      </c>
    </row>
    <row r="62" spans="1:14" x14ac:dyDescent="0.25">
      <c r="A62" s="5"/>
      <c r="B62" s="1"/>
      <c r="C62" s="13" t="e">
        <f t="shared" si="7"/>
        <v>#DIV/0!</v>
      </c>
      <c r="D62" s="1"/>
      <c r="E62" s="13" t="e">
        <f t="shared" si="8"/>
        <v>#DIV/0!</v>
      </c>
      <c r="F62" s="1"/>
      <c r="G62" s="13" t="e">
        <f t="shared" si="9"/>
        <v>#DIV/0!</v>
      </c>
      <c r="H62" s="1"/>
      <c r="I62" s="13" t="e">
        <f t="shared" si="10"/>
        <v>#DIV/0!</v>
      </c>
      <c r="J62" s="1"/>
      <c r="K62" s="13" t="e">
        <f t="shared" si="11"/>
        <v>#DIV/0!</v>
      </c>
      <c r="L62" s="1"/>
      <c r="M62" s="13" t="e">
        <f t="shared" si="12"/>
        <v>#DIV/0!</v>
      </c>
      <c r="N62" s="3">
        <f t="shared" si="13"/>
        <v>0</v>
      </c>
    </row>
    <row r="63" spans="1:14" x14ac:dyDescent="0.25">
      <c r="A63" s="5"/>
      <c r="B63" s="1"/>
      <c r="C63" s="13" t="e">
        <f t="shared" si="7"/>
        <v>#DIV/0!</v>
      </c>
      <c r="D63" s="1"/>
      <c r="E63" s="13" t="e">
        <f t="shared" si="8"/>
        <v>#DIV/0!</v>
      </c>
      <c r="F63" s="1"/>
      <c r="G63" s="13" t="e">
        <f t="shared" si="9"/>
        <v>#DIV/0!</v>
      </c>
      <c r="H63" s="1"/>
      <c r="I63" s="13" t="e">
        <f t="shared" si="10"/>
        <v>#DIV/0!</v>
      </c>
      <c r="J63" s="1"/>
      <c r="K63" s="13" t="e">
        <f t="shared" si="11"/>
        <v>#DIV/0!</v>
      </c>
      <c r="L63" s="1"/>
      <c r="M63" s="13" t="e">
        <f t="shared" si="12"/>
        <v>#DIV/0!</v>
      </c>
      <c r="N63" s="3">
        <f t="shared" si="13"/>
        <v>0</v>
      </c>
    </row>
    <row r="64" spans="1:14" x14ac:dyDescent="0.25">
      <c r="A64" s="5"/>
      <c r="B64" s="1"/>
      <c r="C64" s="13" t="e">
        <f t="shared" si="7"/>
        <v>#DIV/0!</v>
      </c>
      <c r="D64" s="1"/>
      <c r="E64" s="13" t="e">
        <f t="shared" si="8"/>
        <v>#DIV/0!</v>
      </c>
      <c r="F64" s="1"/>
      <c r="G64" s="13" t="e">
        <f t="shared" si="9"/>
        <v>#DIV/0!</v>
      </c>
      <c r="H64" s="1"/>
      <c r="I64" s="13" t="e">
        <f t="shared" si="10"/>
        <v>#DIV/0!</v>
      </c>
      <c r="J64" s="1"/>
      <c r="K64" s="13" t="e">
        <f t="shared" si="11"/>
        <v>#DIV/0!</v>
      </c>
      <c r="L64" s="1"/>
      <c r="M64" s="13" t="e">
        <f t="shared" si="12"/>
        <v>#DIV/0!</v>
      </c>
      <c r="N64" s="3">
        <f t="shared" si="13"/>
        <v>0</v>
      </c>
    </row>
    <row r="65" spans="1:14" x14ac:dyDescent="0.25">
      <c r="A65" s="5"/>
      <c r="B65" s="1"/>
      <c r="C65" s="13" t="e">
        <f t="shared" si="7"/>
        <v>#DIV/0!</v>
      </c>
      <c r="D65" s="1"/>
      <c r="E65" s="13" t="e">
        <f t="shared" si="8"/>
        <v>#DIV/0!</v>
      </c>
      <c r="F65" s="1"/>
      <c r="G65" s="13" t="e">
        <f t="shared" si="9"/>
        <v>#DIV/0!</v>
      </c>
      <c r="H65" s="1"/>
      <c r="I65" s="13" t="e">
        <f t="shared" si="10"/>
        <v>#DIV/0!</v>
      </c>
      <c r="J65" s="1"/>
      <c r="K65" s="13" t="e">
        <f t="shared" si="11"/>
        <v>#DIV/0!</v>
      </c>
      <c r="L65" s="1"/>
      <c r="M65" s="13" t="e">
        <f t="shared" si="12"/>
        <v>#DIV/0!</v>
      </c>
      <c r="N65" s="3">
        <f t="shared" si="13"/>
        <v>0</v>
      </c>
    </row>
    <row r="66" spans="1:14" ht="15.75" thickBot="1" x14ac:dyDescent="0.3">
      <c r="A66" s="7"/>
      <c r="B66" s="8"/>
      <c r="C66" s="14" t="e">
        <f t="shared" si="7"/>
        <v>#DIV/0!</v>
      </c>
      <c r="D66" s="8"/>
      <c r="E66" s="14" t="e">
        <f t="shared" si="8"/>
        <v>#DIV/0!</v>
      </c>
      <c r="F66" s="8"/>
      <c r="G66" s="14" t="e">
        <f t="shared" si="9"/>
        <v>#DIV/0!</v>
      </c>
      <c r="H66" s="8"/>
      <c r="I66" s="14" t="e">
        <f t="shared" si="10"/>
        <v>#DIV/0!</v>
      </c>
      <c r="J66" s="8"/>
      <c r="K66" s="14" t="e">
        <f t="shared" si="11"/>
        <v>#DIV/0!</v>
      </c>
      <c r="L66" s="8"/>
      <c r="M66" s="14" t="e">
        <f t="shared" si="12"/>
        <v>#DIV/0!</v>
      </c>
      <c r="N66" s="6">
        <f t="shared" si="13"/>
        <v>0</v>
      </c>
    </row>
    <row r="67" spans="1:14" ht="16.5" thickTop="1" thickBot="1" x14ac:dyDescent="0.3">
      <c r="A67" s="2" t="s">
        <v>41</v>
      </c>
      <c r="B67" s="2">
        <f>SUM(B59:B66)</f>
        <v>0</v>
      </c>
      <c r="C67" s="15">
        <f t="shared" si="7"/>
        <v>0</v>
      </c>
      <c r="D67" s="2">
        <f>SUM(D59:D66)</f>
        <v>0</v>
      </c>
      <c r="E67" s="15">
        <f t="shared" si="8"/>
        <v>0</v>
      </c>
      <c r="F67" s="2">
        <f>SUM(F59:F66)</f>
        <v>0</v>
      </c>
      <c r="G67" s="15">
        <f t="shared" si="9"/>
        <v>0</v>
      </c>
      <c r="H67" s="2">
        <f>SUM(H59:H66)</f>
        <v>0</v>
      </c>
      <c r="I67" s="15">
        <f t="shared" si="10"/>
        <v>0</v>
      </c>
      <c r="J67" s="2">
        <f>SUM(J59:J66)</f>
        <v>0</v>
      </c>
      <c r="K67" s="15">
        <f t="shared" si="11"/>
        <v>0</v>
      </c>
      <c r="L67" s="2">
        <f>SUM(L59:L66)</f>
        <v>0</v>
      </c>
      <c r="M67" s="15">
        <f t="shared" si="12"/>
        <v>0</v>
      </c>
      <c r="N67" s="4">
        <v>2243</v>
      </c>
    </row>
    <row r="70" spans="1:14" x14ac:dyDescent="0.25">
      <c r="A70" s="12" t="s">
        <v>58</v>
      </c>
      <c r="B70" s="12"/>
      <c r="C70" s="12"/>
      <c r="D70" s="12"/>
      <c r="E70" s="12"/>
      <c r="F70" s="12"/>
      <c r="G70" s="12"/>
      <c r="H70" s="12"/>
      <c r="I70" s="12"/>
    </row>
    <row r="71" spans="1:14" ht="15.75" thickBot="1" x14ac:dyDescent="0.3">
      <c r="A71" s="12"/>
      <c r="D71" s="21"/>
      <c r="E71" s="21"/>
      <c r="F71" s="12"/>
      <c r="G71" s="12"/>
      <c r="H71" s="12"/>
      <c r="I71" s="12"/>
    </row>
    <row r="72" spans="1:14" x14ac:dyDescent="0.25">
      <c r="A72" s="26"/>
      <c r="B72" s="41" t="s">
        <v>79</v>
      </c>
      <c r="C72" s="42"/>
      <c r="D72" s="21"/>
      <c r="E72" s="21"/>
      <c r="F72" s="12"/>
      <c r="G72" s="12"/>
      <c r="H72" s="12"/>
      <c r="I72" s="12"/>
    </row>
    <row r="73" spans="1:14" ht="15.75" thickBot="1" x14ac:dyDescent="0.3">
      <c r="A73" s="24" t="s">
        <v>78</v>
      </c>
      <c r="B73" s="32" t="s">
        <v>147</v>
      </c>
      <c r="C73" s="33"/>
      <c r="F73" s="12"/>
      <c r="G73" s="12"/>
      <c r="H73" s="12"/>
      <c r="I73" s="12"/>
    </row>
    <row r="74" spans="1:14" x14ac:dyDescent="0.25">
      <c r="A74" s="12"/>
      <c r="B74" s="12"/>
      <c r="C74" s="12"/>
      <c r="D74" s="12"/>
      <c r="E74" s="12"/>
      <c r="F74" s="12"/>
      <c r="G74" s="12"/>
      <c r="H74" s="12"/>
      <c r="I74" s="12"/>
    </row>
    <row r="75" spans="1:14" x14ac:dyDescent="0.25">
      <c r="A75" s="18"/>
      <c r="B75" s="18"/>
      <c r="C75" s="18"/>
      <c r="D75" s="18"/>
      <c r="E75" s="18"/>
      <c r="F75" s="18"/>
      <c r="G75" s="18"/>
      <c r="H75" s="18"/>
      <c r="I75" s="18"/>
    </row>
    <row r="76" spans="1:14" x14ac:dyDescent="0.25">
      <c r="A76" s="34" t="s">
        <v>148</v>
      </c>
      <c r="B76" s="34"/>
      <c r="C76" s="34"/>
      <c r="D76" s="34"/>
      <c r="E76" s="34"/>
      <c r="F76" s="34"/>
      <c r="G76" s="34"/>
      <c r="H76" s="34"/>
      <c r="I76" s="34"/>
    </row>
  </sheetData>
  <mergeCells count="18">
    <mergeCell ref="B72:C72"/>
    <mergeCell ref="B73:C73"/>
    <mergeCell ref="A76:I76"/>
    <mergeCell ref="L57:M58"/>
    <mergeCell ref="N57:N58"/>
    <mergeCell ref="A57:A58"/>
    <mergeCell ref="B57:C58"/>
    <mergeCell ref="D57:E58"/>
    <mergeCell ref="F57:G58"/>
    <mergeCell ref="H57:I58"/>
    <mergeCell ref="J57:K58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76"/>
  <sheetViews>
    <sheetView tabSelected="1" view="pageLayout" zoomScale="85" zoomScaleNormal="100" zoomScalePageLayoutView="85" workbookViewId="0">
      <selection activeCell="A45" sqref="A45"/>
    </sheetView>
  </sheetViews>
  <sheetFormatPr defaultRowHeight="15" x14ac:dyDescent="0.25"/>
  <cols>
    <col min="1" max="1" width="26.85546875" style="10" customWidth="1"/>
    <col min="2" max="12" width="5.42578125" style="10" customWidth="1"/>
    <col min="13" max="16384" width="9.140625" style="10"/>
  </cols>
  <sheetData>
    <row r="1" spans="1:12" ht="23.25" x14ac:dyDescent="0.25">
      <c r="A1" s="9" t="s">
        <v>44</v>
      </c>
    </row>
    <row r="2" spans="1:12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2" ht="18" x14ac:dyDescent="0.25">
      <c r="A3" s="19" t="s">
        <v>163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2" ht="16.5" thickBot="1" x14ac:dyDescent="0.3">
      <c r="A4" s="11"/>
    </row>
    <row r="5" spans="1:12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149</v>
      </c>
      <c r="K5" s="29"/>
      <c r="L5" s="23" t="s">
        <v>0</v>
      </c>
    </row>
    <row r="6" spans="1:12" ht="13.5" customHeight="1" x14ac:dyDescent="0.25">
      <c r="A6" s="5" t="s">
        <v>5</v>
      </c>
      <c r="B6" s="1">
        <v>11</v>
      </c>
      <c r="C6" s="13">
        <f t="shared" ref="C6:C37" si="0">B6/L6</f>
        <v>0.19642857142857142</v>
      </c>
      <c r="D6" s="1">
        <v>41</v>
      </c>
      <c r="E6" s="13">
        <f t="shared" ref="E6:E37" si="1">D6/L6</f>
        <v>0.7321428571428571</v>
      </c>
      <c r="F6" s="1">
        <v>3</v>
      </c>
      <c r="G6" s="13">
        <f t="shared" ref="G6:G37" si="2">F6/L6</f>
        <v>5.3571428571428568E-2</v>
      </c>
      <c r="H6" s="1">
        <v>0</v>
      </c>
      <c r="I6" s="13">
        <f t="shared" ref="I6:I37" si="3">H6/L6</f>
        <v>0</v>
      </c>
      <c r="J6" s="1">
        <v>1</v>
      </c>
      <c r="K6" s="13">
        <f>J6/L6</f>
        <v>1.7857142857142856E-2</v>
      </c>
      <c r="L6" s="3">
        <f t="shared" ref="L6:L52" si="4">B6+D6+F6+H6+J6</f>
        <v>56</v>
      </c>
    </row>
    <row r="7" spans="1:12" ht="13.5" customHeight="1" x14ac:dyDescent="0.25">
      <c r="A7" s="5" t="s">
        <v>6</v>
      </c>
      <c r="B7" s="1">
        <v>15</v>
      </c>
      <c r="C7" s="13">
        <f t="shared" si="0"/>
        <v>0.39473684210526316</v>
      </c>
      <c r="D7" s="1">
        <v>21</v>
      </c>
      <c r="E7" s="13">
        <f t="shared" si="1"/>
        <v>0.55263157894736847</v>
      </c>
      <c r="F7" s="1">
        <v>2</v>
      </c>
      <c r="G7" s="13">
        <f t="shared" si="2"/>
        <v>5.2631578947368418E-2</v>
      </c>
      <c r="H7" s="1">
        <v>0</v>
      </c>
      <c r="I7" s="13">
        <f t="shared" si="3"/>
        <v>0</v>
      </c>
      <c r="J7" s="1">
        <v>0</v>
      </c>
      <c r="K7" s="13">
        <f>J7/L7</f>
        <v>0</v>
      </c>
      <c r="L7" s="3">
        <f t="shared" si="4"/>
        <v>38</v>
      </c>
    </row>
    <row r="8" spans="1:12" ht="13.5" customHeight="1" x14ac:dyDescent="0.25">
      <c r="A8" s="5" t="s">
        <v>93</v>
      </c>
      <c r="B8" s="1">
        <v>10</v>
      </c>
      <c r="C8" s="13">
        <f t="shared" si="0"/>
        <v>0.15625</v>
      </c>
      <c r="D8" s="1">
        <v>38</v>
      </c>
      <c r="E8" s="13">
        <f t="shared" si="1"/>
        <v>0.59375</v>
      </c>
      <c r="F8" s="1">
        <v>15</v>
      </c>
      <c r="G8" s="13">
        <f t="shared" si="2"/>
        <v>0.234375</v>
      </c>
      <c r="H8" s="1">
        <v>1</v>
      </c>
      <c r="I8" s="13">
        <f t="shared" si="3"/>
        <v>1.5625E-2</v>
      </c>
      <c r="J8" s="1">
        <v>0</v>
      </c>
      <c r="K8" s="13">
        <f>J8/L8</f>
        <v>0</v>
      </c>
      <c r="L8" s="3">
        <f t="shared" si="4"/>
        <v>64</v>
      </c>
    </row>
    <row r="9" spans="1:12" ht="13.5" customHeight="1" x14ac:dyDescent="0.25">
      <c r="A9" s="5" t="s">
        <v>142</v>
      </c>
      <c r="B9" s="1">
        <v>12</v>
      </c>
      <c r="C9" s="13">
        <f t="shared" si="0"/>
        <v>0.26666666666666666</v>
      </c>
      <c r="D9" s="1">
        <v>17</v>
      </c>
      <c r="E9" s="13">
        <f t="shared" si="1"/>
        <v>0.37777777777777777</v>
      </c>
      <c r="F9" s="1">
        <v>14</v>
      </c>
      <c r="G9" s="13">
        <f t="shared" si="2"/>
        <v>0.31111111111111112</v>
      </c>
      <c r="H9" s="1">
        <v>1</v>
      </c>
      <c r="I9" s="13">
        <f t="shared" si="3"/>
        <v>2.2222222222222223E-2</v>
      </c>
      <c r="J9" s="1">
        <v>1</v>
      </c>
      <c r="K9" s="13">
        <f t="shared" ref="K9:K55" si="5">J9/L9</f>
        <v>2.2222222222222223E-2</v>
      </c>
      <c r="L9" s="3">
        <f t="shared" si="4"/>
        <v>45</v>
      </c>
    </row>
    <row r="10" spans="1:12" ht="13.5" customHeight="1" x14ac:dyDescent="0.25">
      <c r="A10" s="5" t="s">
        <v>121</v>
      </c>
      <c r="B10" s="1">
        <v>2</v>
      </c>
      <c r="C10" s="13">
        <f t="shared" si="0"/>
        <v>6.4516129032258063E-2</v>
      </c>
      <c r="D10" s="1">
        <v>22</v>
      </c>
      <c r="E10" s="13">
        <f t="shared" si="1"/>
        <v>0.70967741935483875</v>
      </c>
      <c r="F10" s="1">
        <v>5</v>
      </c>
      <c r="G10" s="13">
        <f t="shared" si="2"/>
        <v>0.16129032258064516</v>
      </c>
      <c r="H10" s="1">
        <v>0</v>
      </c>
      <c r="I10" s="13">
        <f t="shared" si="3"/>
        <v>0</v>
      </c>
      <c r="J10" s="1">
        <v>2</v>
      </c>
      <c r="K10" s="13">
        <f t="shared" si="5"/>
        <v>6.4516129032258063E-2</v>
      </c>
      <c r="L10" s="3">
        <f t="shared" si="4"/>
        <v>31</v>
      </c>
    </row>
    <row r="11" spans="1:12" ht="13.5" customHeight="1" x14ac:dyDescent="0.25">
      <c r="A11" s="5" t="s">
        <v>70</v>
      </c>
      <c r="B11" s="1">
        <v>10</v>
      </c>
      <c r="C11" s="13">
        <f t="shared" si="0"/>
        <v>0.27027027027027029</v>
      </c>
      <c r="D11" s="1">
        <v>20</v>
      </c>
      <c r="E11" s="13">
        <f t="shared" si="1"/>
        <v>0.54054054054054057</v>
      </c>
      <c r="F11" s="1">
        <v>6</v>
      </c>
      <c r="G11" s="13">
        <f t="shared" si="2"/>
        <v>0.16216216216216217</v>
      </c>
      <c r="H11" s="1">
        <v>1</v>
      </c>
      <c r="I11" s="13">
        <f t="shared" si="3"/>
        <v>2.7027027027027029E-2</v>
      </c>
      <c r="J11" s="1">
        <v>0</v>
      </c>
      <c r="K11" s="13">
        <f t="shared" si="5"/>
        <v>0</v>
      </c>
      <c r="L11" s="3">
        <f t="shared" si="4"/>
        <v>37</v>
      </c>
    </row>
    <row r="12" spans="1:12" ht="13.5" customHeight="1" x14ac:dyDescent="0.25">
      <c r="A12" s="5" t="s">
        <v>132</v>
      </c>
      <c r="B12" s="1">
        <v>56</v>
      </c>
      <c r="C12" s="13">
        <f t="shared" si="0"/>
        <v>0.21875</v>
      </c>
      <c r="D12" s="1">
        <v>137</v>
      </c>
      <c r="E12" s="13">
        <f t="shared" si="1"/>
        <v>0.53515625</v>
      </c>
      <c r="F12" s="1">
        <v>59</v>
      </c>
      <c r="G12" s="13">
        <f t="shared" si="2"/>
        <v>0.23046875</v>
      </c>
      <c r="H12" s="1">
        <v>3</v>
      </c>
      <c r="I12" s="13">
        <f t="shared" si="3"/>
        <v>1.171875E-2</v>
      </c>
      <c r="J12" s="1">
        <v>1</v>
      </c>
      <c r="K12" s="13">
        <f t="shared" si="5"/>
        <v>3.90625E-3</v>
      </c>
      <c r="L12" s="3">
        <f t="shared" si="4"/>
        <v>256</v>
      </c>
    </row>
    <row r="13" spans="1:12" ht="13.5" customHeight="1" x14ac:dyDescent="0.25">
      <c r="A13" s="5" t="s">
        <v>71</v>
      </c>
      <c r="B13" s="1">
        <v>23</v>
      </c>
      <c r="C13" s="13">
        <f t="shared" si="0"/>
        <v>0.40350877192982454</v>
      </c>
      <c r="D13" s="1">
        <v>28</v>
      </c>
      <c r="E13" s="13">
        <f t="shared" si="1"/>
        <v>0.49122807017543857</v>
      </c>
      <c r="F13" s="1">
        <v>5</v>
      </c>
      <c r="G13" s="13">
        <f t="shared" si="2"/>
        <v>8.771929824561403E-2</v>
      </c>
      <c r="H13" s="1">
        <v>0</v>
      </c>
      <c r="I13" s="13">
        <f t="shared" si="3"/>
        <v>0</v>
      </c>
      <c r="J13" s="1">
        <v>1</v>
      </c>
      <c r="K13" s="13">
        <f t="shared" si="5"/>
        <v>1.7543859649122806E-2</v>
      </c>
      <c r="L13" s="3">
        <f t="shared" si="4"/>
        <v>57</v>
      </c>
    </row>
    <row r="14" spans="1:12" ht="13.5" customHeight="1" x14ac:dyDescent="0.25">
      <c r="A14" s="5" t="s">
        <v>10</v>
      </c>
      <c r="B14" s="1">
        <v>24</v>
      </c>
      <c r="C14" s="13">
        <f t="shared" si="0"/>
        <v>0.29268292682926828</v>
      </c>
      <c r="D14" s="1">
        <v>39</v>
      </c>
      <c r="E14" s="13">
        <f t="shared" si="1"/>
        <v>0.47560975609756095</v>
      </c>
      <c r="F14" s="1">
        <v>15</v>
      </c>
      <c r="G14" s="13">
        <f t="shared" si="2"/>
        <v>0.18292682926829268</v>
      </c>
      <c r="H14" s="1">
        <v>4</v>
      </c>
      <c r="I14" s="13">
        <f t="shared" si="3"/>
        <v>4.878048780487805E-2</v>
      </c>
      <c r="J14" s="1">
        <v>0</v>
      </c>
      <c r="K14" s="13">
        <f t="shared" si="5"/>
        <v>0</v>
      </c>
      <c r="L14" s="3">
        <f t="shared" si="4"/>
        <v>82</v>
      </c>
    </row>
    <row r="15" spans="1:12" ht="13.5" customHeight="1" x14ac:dyDescent="0.25">
      <c r="A15" s="5" t="s">
        <v>125</v>
      </c>
      <c r="B15" s="1">
        <v>2</v>
      </c>
      <c r="C15" s="13">
        <f t="shared" si="0"/>
        <v>0.13333333333333333</v>
      </c>
      <c r="D15" s="1">
        <v>13</v>
      </c>
      <c r="E15" s="13">
        <f t="shared" si="1"/>
        <v>0.8666666666666667</v>
      </c>
      <c r="F15" s="1">
        <v>0</v>
      </c>
      <c r="G15" s="13">
        <f t="shared" si="2"/>
        <v>0</v>
      </c>
      <c r="H15" s="1">
        <v>0</v>
      </c>
      <c r="I15" s="13">
        <f t="shared" si="3"/>
        <v>0</v>
      </c>
      <c r="J15" s="1">
        <v>0</v>
      </c>
      <c r="K15" s="13">
        <f t="shared" si="5"/>
        <v>0</v>
      </c>
      <c r="L15" s="3">
        <f t="shared" si="4"/>
        <v>15</v>
      </c>
    </row>
    <row r="16" spans="1:12" ht="13.5" customHeight="1" x14ac:dyDescent="0.25">
      <c r="A16" s="5" t="s">
        <v>126</v>
      </c>
      <c r="B16" s="1">
        <v>13</v>
      </c>
      <c r="C16" s="13">
        <f t="shared" si="0"/>
        <v>0.24074074074074073</v>
      </c>
      <c r="D16" s="1">
        <v>27</v>
      </c>
      <c r="E16" s="13">
        <f t="shared" si="1"/>
        <v>0.5</v>
      </c>
      <c r="F16" s="1">
        <v>10</v>
      </c>
      <c r="G16" s="13">
        <f t="shared" si="2"/>
        <v>0.18518518518518517</v>
      </c>
      <c r="H16" s="1">
        <v>4</v>
      </c>
      <c r="I16" s="13">
        <f t="shared" si="3"/>
        <v>7.407407407407407E-2</v>
      </c>
      <c r="J16" s="1">
        <v>0</v>
      </c>
      <c r="K16" s="13">
        <f t="shared" si="5"/>
        <v>0</v>
      </c>
      <c r="L16" s="3">
        <f t="shared" si="4"/>
        <v>54</v>
      </c>
    </row>
    <row r="17" spans="1:12" ht="13.5" customHeight="1" x14ac:dyDescent="0.25">
      <c r="A17" s="5" t="s">
        <v>12</v>
      </c>
      <c r="B17" s="1">
        <v>4</v>
      </c>
      <c r="C17" s="13">
        <f t="shared" si="0"/>
        <v>0.1111111111111111</v>
      </c>
      <c r="D17" s="1">
        <v>19</v>
      </c>
      <c r="E17" s="13">
        <f t="shared" si="1"/>
        <v>0.52777777777777779</v>
      </c>
      <c r="F17" s="1">
        <v>12</v>
      </c>
      <c r="G17" s="13">
        <f t="shared" si="2"/>
        <v>0.33333333333333331</v>
      </c>
      <c r="H17" s="1">
        <v>1</v>
      </c>
      <c r="I17" s="13">
        <f t="shared" si="3"/>
        <v>2.7777777777777776E-2</v>
      </c>
      <c r="J17" s="1">
        <v>0</v>
      </c>
      <c r="K17" s="13">
        <f t="shared" si="5"/>
        <v>0</v>
      </c>
      <c r="L17" s="3">
        <f t="shared" si="4"/>
        <v>36</v>
      </c>
    </row>
    <row r="18" spans="1:12" ht="13.5" customHeight="1" x14ac:dyDescent="0.25">
      <c r="A18" s="5" t="s">
        <v>13</v>
      </c>
      <c r="B18" s="1">
        <v>1</v>
      </c>
      <c r="C18" s="13">
        <f t="shared" si="0"/>
        <v>0.33333333333333331</v>
      </c>
      <c r="D18" s="1">
        <v>1</v>
      </c>
      <c r="E18" s="13">
        <f t="shared" si="1"/>
        <v>0.33333333333333331</v>
      </c>
      <c r="F18" s="1">
        <v>0</v>
      </c>
      <c r="G18" s="13">
        <f t="shared" si="2"/>
        <v>0</v>
      </c>
      <c r="H18" s="1">
        <v>0</v>
      </c>
      <c r="I18" s="13">
        <f t="shared" si="3"/>
        <v>0</v>
      </c>
      <c r="J18" s="1">
        <v>1</v>
      </c>
      <c r="K18" s="13">
        <f t="shared" si="5"/>
        <v>0.33333333333333331</v>
      </c>
      <c r="L18" s="3">
        <f t="shared" si="4"/>
        <v>3</v>
      </c>
    </row>
    <row r="19" spans="1:12" ht="13.5" customHeight="1" x14ac:dyDescent="0.25">
      <c r="A19" s="5" t="s">
        <v>127</v>
      </c>
      <c r="B19" s="1">
        <v>1</v>
      </c>
      <c r="C19" s="13">
        <f t="shared" si="0"/>
        <v>6.25E-2</v>
      </c>
      <c r="D19" s="1">
        <v>12</v>
      </c>
      <c r="E19" s="13">
        <f t="shared" si="1"/>
        <v>0.75</v>
      </c>
      <c r="F19" s="1">
        <v>3</v>
      </c>
      <c r="G19" s="13">
        <f t="shared" si="2"/>
        <v>0.1875</v>
      </c>
      <c r="H19" s="1">
        <v>0</v>
      </c>
      <c r="I19" s="13">
        <f t="shared" si="3"/>
        <v>0</v>
      </c>
      <c r="J19" s="1">
        <v>0</v>
      </c>
      <c r="K19" s="13">
        <f t="shared" si="5"/>
        <v>0</v>
      </c>
      <c r="L19" s="3">
        <f t="shared" si="4"/>
        <v>16</v>
      </c>
    </row>
    <row r="20" spans="1:12" ht="13.5" customHeight="1" x14ac:dyDescent="0.25">
      <c r="A20" s="5" t="s">
        <v>105</v>
      </c>
      <c r="B20" s="1">
        <v>9</v>
      </c>
      <c r="C20" s="13">
        <f t="shared" si="0"/>
        <v>0.25714285714285712</v>
      </c>
      <c r="D20" s="1">
        <v>23</v>
      </c>
      <c r="E20" s="13">
        <f t="shared" si="1"/>
        <v>0.65714285714285714</v>
      </c>
      <c r="F20" s="1">
        <v>3</v>
      </c>
      <c r="G20" s="13">
        <f t="shared" si="2"/>
        <v>8.5714285714285715E-2</v>
      </c>
      <c r="H20" s="1">
        <v>0</v>
      </c>
      <c r="I20" s="13">
        <f t="shared" si="3"/>
        <v>0</v>
      </c>
      <c r="J20" s="1">
        <v>0</v>
      </c>
      <c r="K20" s="13">
        <f t="shared" si="5"/>
        <v>0</v>
      </c>
      <c r="L20" s="3">
        <f t="shared" si="4"/>
        <v>35</v>
      </c>
    </row>
    <row r="21" spans="1:12" ht="13.5" customHeight="1" x14ac:dyDescent="0.25">
      <c r="A21" s="5" t="s">
        <v>14</v>
      </c>
      <c r="B21" s="1">
        <v>43</v>
      </c>
      <c r="C21" s="13">
        <f t="shared" si="0"/>
        <v>0.21717171717171718</v>
      </c>
      <c r="D21" s="1">
        <v>100</v>
      </c>
      <c r="E21" s="13">
        <f t="shared" si="1"/>
        <v>0.50505050505050508</v>
      </c>
      <c r="F21" s="1">
        <v>46</v>
      </c>
      <c r="G21" s="13">
        <f t="shared" si="2"/>
        <v>0.23232323232323232</v>
      </c>
      <c r="H21" s="1">
        <v>6</v>
      </c>
      <c r="I21" s="13">
        <f t="shared" si="3"/>
        <v>3.0303030303030304E-2</v>
      </c>
      <c r="J21" s="1">
        <v>3</v>
      </c>
      <c r="K21" s="13">
        <f t="shared" si="5"/>
        <v>1.5151515151515152E-2</v>
      </c>
      <c r="L21" s="3">
        <f t="shared" si="4"/>
        <v>198</v>
      </c>
    </row>
    <row r="22" spans="1:12" ht="13.5" customHeight="1" x14ac:dyDescent="0.25">
      <c r="A22" s="5" t="s">
        <v>15</v>
      </c>
      <c r="B22" s="1">
        <v>11</v>
      </c>
      <c r="C22" s="13">
        <f t="shared" si="0"/>
        <v>0.3235294117647059</v>
      </c>
      <c r="D22" s="1">
        <v>16</v>
      </c>
      <c r="E22" s="13">
        <f t="shared" si="1"/>
        <v>0.47058823529411764</v>
      </c>
      <c r="F22" s="1">
        <v>4</v>
      </c>
      <c r="G22" s="13">
        <f t="shared" si="2"/>
        <v>0.11764705882352941</v>
      </c>
      <c r="H22" s="1">
        <v>2</v>
      </c>
      <c r="I22" s="13">
        <f t="shared" si="3"/>
        <v>5.8823529411764705E-2</v>
      </c>
      <c r="J22" s="1">
        <v>1</v>
      </c>
      <c r="K22" s="13">
        <f t="shared" si="5"/>
        <v>2.9411764705882353E-2</v>
      </c>
      <c r="L22" s="3">
        <f t="shared" si="4"/>
        <v>34</v>
      </c>
    </row>
    <row r="23" spans="1:12" ht="13.5" customHeight="1" x14ac:dyDescent="0.25">
      <c r="A23" s="5" t="s">
        <v>16</v>
      </c>
      <c r="B23" s="1">
        <v>18</v>
      </c>
      <c r="C23" s="13">
        <f t="shared" si="0"/>
        <v>0.26865671641791045</v>
      </c>
      <c r="D23" s="1">
        <v>46</v>
      </c>
      <c r="E23" s="13">
        <f t="shared" si="1"/>
        <v>0.68656716417910446</v>
      </c>
      <c r="F23" s="1">
        <v>3</v>
      </c>
      <c r="G23" s="13">
        <f t="shared" si="2"/>
        <v>4.4776119402985072E-2</v>
      </c>
      <c r="H23" s="1">
        <v>0</v>
      </c>
      <c r="I23" s="13">
        <f t="shared" si="3"/>
        <v>0</v>
      </c>
      <c r="J23" s="1">
        <v>0</v>
      </c>
      <c r="K23" s="13">
        <f t="shared" si="5"/>
        <v>0</v>
      </c>
      <c r="L23" s="3">
        <f t="shared" si="4"/>
        <v>67</v>
      </c>
    </row>
    <row r="24" spans="1:12" ht="13.5" customHeight="1" x14ac:dyDescent="0.25">
      <c r="A24" s="5" t="s">
        <v>109</v>
      </c>
      <c r="B24" s="1">
        <v>11</v>
      </c>
      <c r="C24" s="13">
        <f t="shared" si="0"/>
        <v>0.3235294117647059</v>
      </c>
      <c r="D24" s="1">
        <v>23</v>
      </c>
      <c r="E24" s="13">
        <f t="shared" si="1"/>
        <v>0.67647058823529416</v>
      </c>
      <c r="F24" s="1">
        <v>0</v>
      </c>
      <c r="G24" s="13">
        <f t="shared" si="2"/>
        <v>0</v>
      </c>
      <c r="H24" s="1">
        <v>0</v>
      </c>
      <c r="I24" s="13">
        <f t="shared" si="3"/>
        <v>0</v>
      </c>
      <c r="J24" s="1">
        <v>0</v>
      </c>
      <c r="K24" s="13">
        <f t="shared" si="5"/>
        <v>0</v>
      </c>
      <c r="L24" s="3">
        <f t="shared" si="4"/>
        <v>34</v>
      </c>
    </row>
    <row r="25" spans="1:12" ht="13.5" customHeight="1" x14ac:dyDescent="0.25">
      <c r="A25" s="5" t="s">
        <v>17</v>
      </c>
      <c r="B25" s="1">
        <v>12</v>
      </c>
      <c r="C25" s="13">
        <f t="shared" si="0"/>
        <v>0.33333333333333331</v>
      </c>
      <c r="D25" s="1">
        <v>21</v>
      </c>
      <c r="E25" s="13">
        <f t="shared" si="1"/>
        <v>0.58333333333333337</v>
      </c>
      <c r="F25" s="1">
        <v>3</v>
      </c>
      <c r="G25" s="13">
        <f t="shared" si="2"/>
        <v>8.3333333333333329E-2</v>
      </c>
      <c r="H25" s="1">
        <v>0</v>
      </c>
      <c r="I25" s="13">
        <f t="shared" si="3"/>
        <v>0</v>
      </c>
      <c r="J25" s="1">
        <v>0</v>
      </c>
      <c r="K25" s="13">
        <f t="shared" si="5"/>
        <v>0</v>
      </c>
      <c r="L25" s="3">
        <f t="shared" si="4"/>
        <v>36</v>
      </c>
    </row>
    <row r="26" spans="1:12" ht="13.5" customHeight="1" x14ac:dyDescent="0.25">
      <c r="A26" s="5" t="s">
        <v>18</v>
      </c>
      <c r="B26" s="1">
        <v>4</v>
      </c>
      <c r="C26" s="13">
        <f t="shared" si="0"/>
        <v>0.13333333333333333</v>
      </c>
      <c r="D26" s="1">
        <v>23</v>
      </c>
      <c r="E26" s="13">
        <f t="shared" si="1"/>
        <v>0.76666666666666672</v>
      </c>
      <c r="F26" s="1">
        <v>3</v>
      </c>
      <c r="G26" s="13">
        <f t="shared" si="2"/>
        <v>0.1</v>
      </c>
      <c r="H26" s="1">
        <v>0</v>
      </c>
      <c r="I26" s="13">
        <f t="shared" si="3"/>
        <v>0</v>
      </c>
      <c r="J26" s="1">
        <v>0</v>
      </c>
      <c r="K26" s="13">
        <f t="shared" si="5"/>
        <v>0</v>
      </c>
      <c r="L26" s="3">
        <f t="shared" si="4"/>
        <v>30</v>
      </c>
    </row>
    <row r="27" spans="1:12" ht="13.5" customHeight="1" x14ac:dyDescent="0.25">
      <c r="A27" s="5" t="s">
        <v>19</v>
      </c>
      <c r="B27" s="1">
        <v>14</v>
      </c>
      <c r="C27" s="13">
        <f t="shared" si="0"/>
        <v>0.14000000000000001</v>
      </c>
      <c r="D27" s="1">
        <v>70</v>
      </c>
      <c r="E27" s="13">
        <f t="shared" si="1"/>
        <v>0.7</v>
      </c>
      <c r="F27" s="1">
        <v>15</v>
      </c>
      <c r="G27" s="13">
        <f t="shared" si="2"/>
        <v>0.15</v>
      </c>
      <c r="H27" s="1">
        <v>1</v>
      </c>
      <c r="I27" s="13">
        <f t="shared" si="3"/>
        <v>0.01</v>
      </c>
      <c r="J27" s="1">
        <v>0</v>
      </c>
      <c r="K27" s="13">
        <f t="shared" si="5"/>
        <v>0</v>
      </c>
      <c r="L27" s="3">
        <f t="shared" si="4"/>
        <v>100</v>
      </c>
    </row>
    <row r="28" spans="1:12" ht="13.5" customHeight="1" x14ac:dyDescent="0.25">
      <c r="A28" s="5" t="s">
        <v>21</v>
      </c>
      <c r="B28" s="1">
        <v>1</v>
      </c>
      <c r="C28" s="13">
        <f t="shared" si="0"/>
        <v>5.2631578947368418E-2</v>
      </c>
      <c r="D28" s="1">
        <v>10</v>
      </c>
      <c r="E28" s="13">
        <f t="shared" si="1"/>
        <v>0.52631578947368418</v>
      </c>
      <c r="F28" s="1">
        <v>7</v>
      </c>
      <c r="G28" s="13">
        <f t="shared" si="2"/>
        <v>0.36842105263157893</v>
      </c>
      <c r="H28" s="1">
        <v>1</v>
      </c>
      <c r="I28" s="13">
        <f t="shared" si="3"/>
        <v>5.2631578947368418E-2</v>
      </c>
      <c r="J28" s="1">
        <v>0</v>
      </c>
      <c r="K28" s="13">
        <f t="shared" si="5"/>
        <v>0</v>
      </c>
      <c r="L28" s="3">
        <f t="shared" si="4"/>
        <v>19</v>
      </c>
    </row>
    <row r="29" spans="1:12" ht="13.5" customHeight="1" x14ac:dyDescent="0.25">
      <c r="A29" s="5" t="s">
        <v>38</v>
      </c>
      <c r="B29" s="1">
        <v>15</v>
      </c>
      <c r="C29" s="13">
        <f t="shared" si="0"/>
        <v>0.375</v>
      </c>
      <c r="D29" s="1">
        <v>23</v>
      </c>
      <c r="E29" s="13">
        <f t="shared" si="1"/>
        <v>0.57499999999999996</v>
      </c>
      <c r="F29" s="1">
        <v>2</v>
      </c>
      <c r="G29" s="13">
        <f t="shared" si="2"/>
        <v>0.05</v>
      </c>
      <c r="H29" s="1">
        <v>0</v>
      </c>
      <c r="I29" s="13">
        <f t="shared" si="3"/>
        <v>0</v>
      </c>
      <c r="J29" s="1">
        <v>0</v>
      </c>
      <c r="K29" s="13">
        <f t="shared" si="5"/>
        <v>0</v>
      </c>
      <c r="L29" s="3">
        <f t="shared" si="4"/>
        <v>40</v>
      </c>
    </row>
    <row r="30" spans="1:12" ht="13.5" customHeight="1" x14ac:dyDescent="0.25">
      <c r="A30" s="5" t="s">
        <v>39</v>
      </c>
      <c r="B30" s="1">
        <v>2</v>
      </c>
      <c r="C30" s="13">
        <f t="shared" si="0"/>
        <v>0.2857142857142857</v>
      </c>
      <c r="D30" s="1">
        <v>3</v>
      </c>
      <c r="E30" s="13">
        <f t="shared" si="1"/>
        <v>0.42857142857142855</v>
      </c>
      <c r="F30" s="1">
        <v>2</v>
      </c>
      <c r="G30" s="13">
        <f t="shared" si="2"/>
        <v>0.2857142857142857</v>
      </c>
      <c r="H30" s="1">
        <v>0</v>
      </c>
      <c r="I30" s="13">
        <f t="shared" si="3"/>
        <v>0</v>
      </c>
      <c r="J30" s="1">
        <v>0</v>
      </c>
      <c r="K30" s="13">
        <f t="shared" si="5"/>
        <v>0</v>
      </c>
      <c r="L30" s="3">
        <f t="shared" si="4"/>
        <v>7</v>
      </c>
    </row>
    <row r="31" spans="1:12" ht="13.5" customHeight="1" x14ac:dyDescent="0.25">
      <c r="A31" s="5" t="s">
        <v>22</v>
      </c>
      <c r="B31" s="1">
        <v>34</v>
      </c>
      <c r="C31" s="13">
        <f t="shared" si="0"/>
        <v>0.31481481481481483</v>
      </c>
      <c r="D31" s="1">
        <v>69</v>
      </c>
      <c r="E31" s="13">
        <f t="shared" si="1"/>
        <v>0.63888888888888884</v>
      </c>
      <c r="F31" s="1">
        <v>5</v>
      </c>
      <c r="G31" s="13">
        <f t="shared" si="2"/>
        <v>4.6296296296296294E-2</v>
      </c>
      <c r="H31" s="1">
        <v>0</v>
      </c>
      <c r="I31" s="13">
        <f t="shared" si="3"/>
        <v>0</v>
      </c>
      <c r="J31" s="1">
        <v>0</v>
      </c>
      <c r="K31" s="13">
        <f t="shared" si="5"/>
        <v>0</v>
      </c>
      <c r="L31" s="3">
        <f t="shared" si="4"/>
        <v>108</v>
      </c>
    </row>
    <row r="32" spans="1:12" ht="13.5" customHeight="1" x14ac:dyDescent="0.25">
      <c r="A32" s="5" t="s">
        <v>40</v>
      </c>
      <c r="B32" s="1">
        <v>6</v>
      </c>
      <c r="C32" s="13">
        <f t="shared" si="0"/>
        <v>0.11320754716981132</v>
      </c>
      <c r="D32" s="1">
        <v>44</v>
      </c>
      <c r="E32" s="13">
        <f t="shared" si="1"/>
        <v>0.83018867924528306</v>
      </c>
      <c r="F32" s="1">
        <v>3</v>
      </c>
      <c r="G32" s="13">
        <f t="shared" si="2"/>
        <v>5.6603773584905662E-2</v>
      </c>
      <c r="H32" s="1">
        <v>0</v>
      </c>
      <c r="I32" s="13">
        <f t="shared" si="3"/>
        <v>0</v>
      </c>
      <c r="J32" s="1">
        <v>0</v>
      </c>
      <c r="K32" s="13">
        <f t="shared" si="5"/>
        <v>0</v>
      </c>
      <c r="L32" s="3">
        <f t="shared" si="4"/>
        <v>53</v>
      </c>
    </row>
    <row r="33" spans="1:12" ht="13.5" customHeight="1" x14ac:dyDescent="0.25">
      <c r="A33" s="5" t="s">
        <v>133</v>
      </c>
      <c r="B33" s="1">
        <v>1</v>
      </c>
      <c r="C33" s="13">
        <f t="shared" si="0"/>
        <v>0.33333333333333331</v>
      </c>
      <c r="D33" s="1">
        <v>2</v>
      </c>
      <c r="E33" s="13">
        <f t="shared" si="1"/>
        <v>0.66666666666666663</v>
      </c>
      <c r="F33" s="1">
        <v>0</v>
      </c>
      <c r="G33" s="13">
        <f t="shared" si="2"/>
        <v>0</v>
      </c>
      <c r="H33" s="1">
        <v>0</v>
      </c>
      <c r="I33" s="13">
        <f t="shared" si="3"/>
        <v>0</v>
      </c>
      <c r="J33" s="1">
        <v>0</v>
      </c>
      <c r="K33" s="13">
        <f t="shared" si="5"/>
        <v>0</v>
      </c>
      <c r="L33" s="3">
        <f t="shared" si="4"/>
        <v>3</v>
      </c>
    </row>
    <row r="34" spans="1:12" ht="13.5" customHeight="1" x14ac:dyDescent="0.25">
      <c r="A34" s="5" t="s">
        <v>134</v>
      </c>
      <c r="B34" s="1">
        <v>1</v>
      </c>
      <c r="C34" s="13">
        <f t="shared" si="0"/>
        <v>0.2</v>
      </c>
      <c r="D34" s="1">
        <v>4</v>
      </c>
      <c r="E34" s="13">
        <f t="shared" si="1"/>
        <v>0.8</v>
      </c>
      <c r="F34" s="1">
        <v>0</v>
      </c>
      <c r="G34" s="13">
        <f t="shared" si="2"/>
        <v>0</v>
      </c>
      <c r="H34" s="1">
        <v>0</v>
      </c>
      <c r="I34" s="13">
        <f t="shared" si="3"/>
        <v>0</v>
      </c>
      <c r="J34" s="1">
        <v>0</v>
      </c>
      <c r="K34" s="13">
        <f t="shared" si="5"/>
        <v>0</v>
      </c>
      <c r="L34" s="3">
        <f t="shared" si="4"/>
        <v>5</v>
      </c>
    </row>
    <row r="35" spans="1:12" ht="13.5" customHeight="1" x14ac:dyDescent="0.25">
      <c r="A35" s="5" t="s">
        <v>23</v>
      </c>
      <c r="B35" s="1">
        <v>0</v>
      </c>
      <c r="C35" s="13">
        <f t="shared" si="0"/>
        <v>0</v>
      </c>
      <c r="D35" s="1">
        <v>24</v>
      </c>
      <c r="E35" s="13">
        <f t="shared" si="1"/>
        <v>0.88888888888888884</v>
      </c>
      <c r="F35" s="1">
        <v>3</v>
      </c>
      <c r="G35" s="13">
        <f t="shared" si="2"/>
        <v>0.1111111111111111</v>
      </c>
      <c r="H35" s="1">
        <v>0</v>
      </c>
      <c r="I35" s="13">
        <f t="shared" si="3"/>
        <v>0</v>
      </c>
      <c r="J35" s="1">
        <v>0</v>
      </c>
      <c r="K35" s="13">
        <f t="shared" si="5"/>
        <v>0</v>
      </c>
      <c r="L35" s="3">
        <f t="shared" si="4"/>
        <v>27</v>
      </c>
    </row>
    <row r="36" spans="1:12" ht="13.5" customHeight="1" x14ac:dyDescent="0.25">
      <c r="A36" s="5" t="s">
        <v>1</v>
      </c>
      <c r="B36" s="1">
        <v>30</v>
      </c>
      <c r="C36" s="13">
        <f t="shared" si="0"/>
        <v>0.17751479289940827</v>
      </c>
      <c r="D36" s="1">
        <v>114</v>
      </c>
      <c r="E36" s="13">
        <f t="shared" si="1"/>
        <v>0.67455621301775148</v>
      </c>
      <c r="F36" s="1">
        <v>23</v>
      </c>
      <c r="G36" s="13">
        <f t="shared" si="2"/>
        <v>0.13609467455621302</v>
      </c>
      <c r="H36" s="1">
        <v>2</v>
      </c>
      <c r="I36" s="13">
        <f t="shared" si="3"/>
        <v>1.1834319526627219E-2</v>
      </c>
      <c r="J36" s="1">
        <v>0</v>
      </c>
      <c r="K36" s="13">
        <f t="shared" si="5"/>
        <v>0</v>
      </c>
      <c r="L36" s="3">
        <f t="shared" si="4"/>
        <v>169</v>
      </c>
    </row>
    <row r="37" spans="1:12" ht="13.5" customHeight="1" x14ac:dyDescent="0.25">
      <c r="A37" s="5" t="s">
        <v>123</v>
      </c>
      <c r="B37" s="1">
        <v>11</v>
      </c>
      <c r="C37" s="13">
        <f t="shared" si="0"/>
        <v>0.29729729729729731</v>
      </c>
      <c r="D37" s="1">
        <v>26</v>
      </c>
      <c r="E37" s="13">
        <f t="shared" si="1"/>
        <v>0.70270270270270274</v>
      </c>
      <c r="F37" s="1">
        <v>0</v>
      </c>
      <c r="G37" s="13">
        <f t="shared" si="2"/>
        <v>0</v>
      </c>
      <c r="H37" s="1">
        <v>0</v>
      </c>
      <c r="I37" s="13">
        <f t="shared" si="3"/>
        <v>0</v>
      </c>
      <c r="J37" s="1">
        <v>0</v>
      </c>
      <c r="K37" s="13">
        <f t="shared" si="5"/>
        <v>0</v>
      </c>
      <c r="L37" s="3">
        <f t="shared" si="4"/>
        <v>37</v>
      </c>
    </row>
    <row r="38" spans="1:12" ht="13.5" customHeight="1" x14ac:dyDescent="0.25">
      <c r="A38" s="5" t="s">
        <v>150</v>
      </c>
      <c r="B38" s="1">
        <v>7</v>
      </c>
      <c r="C38" s="13">
        <f t="shared" ref="C38:C55" si="6">B38/L38</f>
        <v>0.2</v>
      </c>
      <c r="D38" s="1">
        <v>19</v>
      </c>
      <c r="E38" s="13">
        <f t="shared" ref="E38:E55" si="7">D38/L38</f>
        <v>0.54285714285714282</v>
      </c>
      <c r="F38" s="1">
        <v>9</v>
      </c>
      <c r="G38" s="13">
        <f t="shared" ref="G38:G55" si="8">F38/L38</f>
        <v>0.25714285714285712</v>
      </c>
      <c r="H38" s="1">
        <v>0</v>
      </c>
      <c r="I38" s="13">
        <f t="shared" ref="I38:I55" si="9">H38/L38</f>
        <v>0</v>
      </c>
      <c r="J38" s="1">
        <v>0</v>
      </c>
      <c r="K38" s="13">
        <f t="shared" si="5"/>
        <v>0</v>
      </c>
      <c r="L38" s="3">
        <f t="shared" si="4"/>
        <v>35</v>
      </c>
    </row>
    <row r="39" spans="1:12" ht="13.5" customHeight="1" x14ac:dyDescent="0.25">
      <c r="A39" s="5" t="s">
        <v>24</v>
      </c>
      <c r="B39" s="1">
        <v>66</v>
      </c>
      <c r="C39" s="13">
        <f t="shared" si="6"/>
        <v>0.3707865168539326</v>
      </c>
      <c r="D39" s="1">
        <v>64</v>
      </c>
      <c r="E39" s="13">
        <f t="shared" si="7"/>
        <v>0.3595505617977528</v>
      </c>
      <c r="F39" s="1">
        <v>38</v>
      </c>
      <c r="G39" s="13">
        <f t="shared" si="8"/>
        <v>0.21348314606741572</v>
      </c>
      <c r="H39" s="1">
        <v>9</v>
      </c>
      <c r="I39" s="13">
        <f t="shared" si="9"/>
        <v>5.0561797752808987E-2</v>
      </c>
      <c r="J39" s="1">
        <v>1</v>
      </c>
      <c r="K39" s="13">
        <f t="shared" si="5"/>
        <v>5.6179775280898875E-3</v>
      </c>
      <c r="L39" s="3">
        <f t="shared" si="4"/>
        <v>178</v>
      </c>
    </row>
    <row r="40" spans="1:12" ht="13.5" customHeight="1" x14ac:dyDescent="0.25">
      <c r="A40" s="5" t="s">
        <v>25</v>
      </c>
      <c r="B40" s="1">
        <v>9</v>
      </c>
      <c r="C40" s="13">
        <f t="shared" si="6"/>
        <v>0.140625</v>
      </c>
      <c r="D40" s="1">
        <v>39</v>
      </c>
      <c r="E40" s="13">
        <f t="shared" si="7"/>
        <v>0.609375</v>
      </c>
      <c r="F40" s="1">
        <v>13</v>
      </c>
      <c r="G40" s="13">
        <f t="shared" si="8"/>
        <v>0.203125</v>
      </c>
      <c r="H40" s="1">
        <v>2</v>
      </c>
      <c r="I40" s="13">
        <f t="shared" si="9"/>
        <v>3.125E-2</v>
      </c>
      <c r="J40" s="1">
        <v>1</v>
      </c>
      <c r="K40" s="13">
        <f t="shared" si="5"/>
        <v>1.5625E-2</v>
      </c>
      <c r="L40" s="3">
        <f t="shared" si="4"/>
        <v>64</v>
      </c>
    </row>
    <row r="41" spans="1:12" ht="13.5" customHeight="1" x14ac:dyDescent="0.25">
      <c r="A41" s="5" t="s">
        <v>135</v>
      </c>
      <c r="B41" s="1">
        <v>65</v>
      </c>
      <c r="C41" s="13">
        <f t="shared" si="6"/>
        <v>0.27083333333333331</v>
      </c>
      <c r="D41" s="1">
        <v>161</v>
      </c>
      <c r="E41" s="13">
        <f t="shared" si="7"/>
        <v>0.67083333333333328</v>
      </c>
      <c r="F41" s="1">
        <v>14</v>
      </c>
      <c r="G41" s="13">
        <f t="shared" si="8"/>
        <v>5.8333333333333334E-2</v>
      </c>
      <c r="H41" s="1">
        <v>0</v>
      </c>
      <c r="I41" s="13">
        <f t="shared" si="9"/>
        <v>0</v>
      </c>
      <c r="J41" s="1">
        <v>0</v>
      </c>
      <c r="K41" s="13">
        <f t="shared" si="5"/>
        <v>0</v>
      </c>
      <c r="L41" s="3">
        <f t="shared" si="4"/>
        <v>240</v>
      </c>
    </row>
    <row r="42" spans="1:12" ht="13.5" customHeight="1" x14ac:dyDescent="0.25">
      <c r="A42" s="5" t="s">
        <v>74</v>
      </c>
      <c r="B42" s="1">
        <v>0</v>
      </c>
      <c r="C42" s="13">
        <f t="shared" si="6"/>
        <v>0</v>
      </c>
      <c r="D42" s="1">
        <v>2</v>
      </c>
      <c r="E42" s="13">
        <f t="shared" si="7"/>
        <v>0.5</v>
      </c>
      <c r="F42" s="1">
        <v>2</v>
      </c>
      <c r="G42" s="13">
        <f t="shared" si="8"/>
        <v>0.5</v>
      </c>
      <c r="H42" s="1">
        <v>0</v>
      </c>
      <c r="I42" s="13">
        <f t="shared" si="9"/>
        <v>0</v>
      </c>
      <c r="J42" s="1">
        <v>0</v>
      </c>
      <c r="K42" s="13">
        <f t="shared" si="5"/>
        <v>0</v>
      </c>
      <c r="L42" s="3">
        <f t="shared" si="4"/>
        <v>4</v>
      </c>
    </row>
    <row r="43" spans="1:12" ht="13.5" customHeight="1" x14ac:dyDescent="0.25">
      <c r="A43" s="5" t="s">
        <v>136</v>
      </c>
      <c r="B43" s="1">
        <v>3</v>
      </c>
      <c r="C43" s="13">
        <f t="shared" si="6"/>
        <v>0.75</v>
      </c>
      <c r="D43" s="1">
        <v>1</v>
      </c>
      <c r="E43" s="13">
        <f t="shared" si="7"/>
        <v>0.25</v>
      </c>
      <c r="F43" s="1">
        <v>0</v>
      </c>
      <c r="G43" s="13">
        <f t="shared" si="8"/>
        <v>0</v>
      </c>
      <c r="H43" s="1">
        <v>0</v>
      </c>
      <c r="I43" s="13">
        <f t="shared" si="9"/>
        <v>0</v>
      </c>
      <c r="J43" s="1">
        <v>0</v>
      </c>
      <c r="K43" s="13">
        <f t="shared" si="5"/>
        <v>0</v>
      </c>
      <c r="L43" s="3">
        <f t="shared" si="4"/>
        <v>4</v>
      </c>
    </row>
    <row r="44" spans="1:12" ht="13.5" customHeight="1" x14ac:dyDescent="0.25">
      <c r="A44" s="5" t="s">
        <v>128</v>
      </c>
      <c r="B44" s="1">
        <v>18</v>
      </c>
      <c r="C44" s="13">
        <f t="shared" si="6"/>
        <v>0.46153846153846156</v>
      </c>
      <c r="D44" s="1">
        <v>18</v>
      </c>
      <c r="E44" s="13">
        <f t="shared" si="7"/>
        <v>0.46153846153846156</v>
      </c>
      <c r="F44" s="1">
        <v>3</v>
      </c>
      <c r="G44" s="13">
        <f t="shared" si="8"/>
        <v>7.6923076923076927E-2</v>
      </c>
      <c r="H44" s="1">
        <v>0</v>
      </c>
      <c r="I44" s="13">
        <f t="shared" si="9"/>
        <v>0</v>
      </c>
      <c r="J44" s="1">
        <v>0</v>
      </c>
      <c r="K44" s="13">
        <f t="shared" si="5"/>
        <v>0</v>
      </c>
      <c r="L44" s="3">
        <f t="shared" si="4"/>
        <v>39</v>
      </c>
    </row>
    <row r="45" spans="1:12" ht="13.5" customHeight="1" x14ac:dyDescent="0.25">
      <c r="A45" s="5" t="s">
        <v>27</v>
      </c>
      <c r="B45" s="1">
        <v>13</v>
      </c>
      <c r="C45" s="13">
        <f t="shared" si="6"/>
        <v>0.30232558139534882</v>
      </c>
      <c r="D45" s="1">
        <v>27</v>
      </c>
      <c r="E45" s="13">
        <f t="shared" si="7"/>
        <v>0.62790697674418605</v>
      </c>
      <c r="F45" s="1">
        <v>3</v>
      </c>
      <c r="G45" s="13">
        <f t="shared" si="8"/>
        <v>6.9767441860465115E-2</v>
      </c>
      <c r="H45" s="1">
        <v>0</v>
      </c>
      <c r="I45" s="13">
        <f t="shared" si="9"/>
        <v>0</v>
      </c>
      <c r="J45" s="1">
        <v>0</v>
      </c>
      <c r="K45" s="13">
        <f t="shared" si="5"/>
        <v>0</v>
      </c>
      <c r="L45" s="3">
        <f t="shared" si="4"/>
        <v>43</v>
      </c>
    </row>
    <row r="46" spans="1:12" ht="13.5" customHeight="1" x14ac:dyDescent="0.25">
      <c r="A46" s="5" t="s">
        <v>29</v>
      </c>
      <c r="B46" s="1">
        <v>33</v>
      </c>
      <c r="C46" s="13">
        <f t="shared" si="6"/>
        <v>0.43421052631578949</v>
      </c>
      <c r="D46" s="1">
        <v>26</v>
      </c>
      <c r="E46" s="13">
        <f t="shared" si="7"/>
        <v>0.34210526315789475</v>
      </c>
      <c r="F46" s="1">
        <v>13</v>
      </c>
      <c r="G46" s="13">
        <f t="shared" si="8"/>
        <v>0.17105263157894737</v>
      </c>
      <c r="H46" s="1">
        <v>3</v>
      </c>
      <c r="I46" s="13">
        <f t="shared" si="9"/>
        <v>3.9473684210526314E-2</v>
      </c>
      <c r="J46" s="1">
        <v>1</v>
      </c>
      <c r="K46" s="13">
        <f t="shared" si="5"/>
        <v>1.3157894736842105E-2</v>
      </c>
      <c r="L46" s="3">
        <f t="shared" si="4"/>
        <v>76</v>
      </c>
    </row>
    <row r="47" spans="1:12" ht="13.5" customHeight="1" x14ac:dyDescent="0.25">
      <c r="A47" s="5" t="s">
        <v>137</v>
      </c>
      <c r="B47" s="1">
        <v>3</v>
      </c>
      <c r="C47" s="13">
        <f t="shared" si="6"/>
        <v>0.6</v>
      </c>
      <c r="D47" s="1">
        <v>1</v>
      </c>
      <c r="E47" s="13">
        <f t="shared" si="7"/>
        <v>0.2</v>
      </c>
      <c r="F47" s="1">
        <v>1</v>
      </c>
      <c r="G47" s="13">
        <f t="shared" si="8"/>
        <v>0.2</v>
      </c>
      <c r="H47" s="1">
        <v>0</v>
      </c>
      <c r="I47" s="13">
        <f t="shared" si="9"/>
        <v>0</v>
      </c>
      <c r="J47" s="1">
        <v>0</v>
      </c>
      <c r="K47" s="13">
        <f t="shared" si="5"/>
        <v>0</v>
      </c>
      <c r="L47" s="3">
        <f t="shared" si="4"/>
        <v>5</v>
      </c>
    </row>
    <row r="48" spans="1:12" ht="13.5" customHeight="1" x14ac:dyDescent="0.25">
      <c r="A48" s="5" t="s">
        <v>144</v>
      </c>
      <c r="B48" s="1">
        <v>65</v>
      </c>
      <c r="C48" s="13">
        <f t="shared" si="6"/>
        <v>0.34946236559139787</v>
      </c>
      <c r="D48" s="1">
        <v>114</v>
      </c>
      <c r="E48" s="13">
        <f t="shared" si="7"/>
        <v>0.61290322580645162</v>
      </c>
      <c r="F48" s="1">
        <v>7</v>
      </c>
      <c r="G48" s="13">
        <f t="shared" si="8"/>
        <v>3.7634408602150539E-2</v>
      </c>
      <c r="H48" s="1">
        <v>0</v>
      </c>
      <c r="I48" s="13">
        <f t="shared" si="9"/>
        <v>0</v>
      </c>
      <c r="J48" s="1">
        <v>0</v>
      </c>
      <c r="K48" s="13">
        <f t="shared" si="5"/>
        <v>0</v>
      </c>
      <c r="L48" s="3">
        <f t="shared" si="4"/>
        <v>186</v>
      </c>
    </row>
    <row r="49" spans="1:12" ht="13.5" customHeight="1" x14ac:dyDescent="0.25">
      <c r="A49" s="5" t="s">
        <v>32</v>
      </c>
      <c r="B49" s="1">
        <v>3</v>
      </c>
      <c r="C49" s="13">
        <f t="shared" si="6"/>
        <v>0.17647058823529413</v>
      </c>
      <c r="D49" s="1">
        <v>12</v>
      </c>
      <c r="E49" s="13">
        <f t="shared" si="7"/>
        <v>0.70588235294117652</v>
      </c>
      <c r="F49" s="1">
        <v>2</v>
      </c>
      <c r="G49" s="13">
        <f t="shared" si="8"/>
        <v>0.11764705882352941</v>
      </c>
      <c r="H49" s="1">
        <v>0</v>
      </c>
      <c r="I49" s="13">
        <f t="shared" si="9"/>
        <v>0</v>
      </c>
      <c r="J49" s="1">
        <v>0</v>
      </c>
      <c r="K49" s="13">
        <f t="shared" si="5"/>
        <v>0</v>
      </c>
      <c r="L49" s="3">
        <f t="shared" si="4"/>
        <v>17</v>
      </c>
    </row>
    <row r="50" spans="1:12" x14ac:dyDescent="0.25">
      <c r="A50" s="5" t="s">
        <v>100</v>
      </c>
      <c r="B50" s="1">
        <v>20</v>
      </c>
      <c r="C50" s="13">
        <f t="shared" si="6"/>
        <v>0.14705882352941177</v>
      </c>
      <c r="D50" s="1">
        <v>95</v>
      </c>
      <c r="E50" s="13">
        <f t="shared" si="7"/>
        <v>0.69852941176470584</v>
      </c>
      <c r="F50" s="1">
        <v>20</v>
      </c>
      <c r="G50" s="13">
        <f t="shared" si="8"/>
        <v>0.14705882352941177</v>
      </c>
      <c r="H50" s="1">
        <v>0</v>
      </c>
      <c r="I50" s="13">
        <f t="shared" si="9"/>
        <v>0</v>
      </c>
      <c r="J50" s="1">
        <v>1</v>
      </c>
      <c r="K50" s="13">
        <f t="shared" si="5"/>
        <v>7.3529411764705881E-3</v>
      </c>
      <c r="L50" s="3">
        <f t="shared" si="4"/>
        <v>136</v>
      </c>
    </row>
    <row r="51" spans="1:12" x14ac:dyDescent="0.25">
      <c r="A51" s="5" t="s">
        <v>33</v>
      </c>
      <c r="B51" s="1">
        <v>6</v>
      </c>
      <c r="C51" s="13">
        <f t="shared" si="6"/>
        <v>0.33333333333333331</v>
      </c>
      <c r="D51" s="1">
        <v>11</v>
      </c>
      <c r="E51" s="13">
        <f t="shared" si="7"/>
        <v>0.61111111111111116</v>
      </c>
      <c r="F51" s="1">
        <v>1</v>
      </c>
      <c r="G51" s="13">
        <f t="shared" si="8"/>
        <v>5.5555555555555552E-2</v>
      </c>
      <c r="H51" s="1">
        <v>0</v>
      </c>
      <c r="I51" s="13">
        <f t="shared" si="9"/>
        <v>0</v>
      </c>
      <c r="J51" s="1">
        <v>0</v>
      </c>
      <c r="K51" s="13">
        <f t="shared" si="5"/>
        <v>0</v>
      </c>
      <c r="L51" s="3">
        <f t="shared" si="4"/>
        <v>18</v>
      </c>
    </row>
    <row r="52" spans="1:12" x14ac:dyDescent="0.25">
      <c r="A52" s="5" t="s">
        <v>34</v>
      </c>
      <c r="B52" s="1">
        <v>3</v>
      </c>
      <c r="C52" s="13">
        <f t="shared" si="6"/>
        <v>0.15789473684210525</v>
      </c>
      <c r="D52" s="1">
        <v>12</v>
      </c>
      <c r="E52" s="13">
        <f t="shared" si="7"/>
        <v>0.63157894736842102</v>
      </c>
      <c r="F52" s="1">
        <v>4</v>
      </c>
      <c r="G52" s="13">
        <f t="shared" si="8"/>
        <v>0.21052631578947367</v>
      </c>
      <c r="H52" s="1">
        <v>0</v>
      </c>
      <c r="I52" s="13">
        <f t="shared" si="9"/>
        <v>0</v>
      </c>
      <c r="J52" s="1">
        <v>0</v>
      </c>
      <c r="K52" s="13">
        <f t="shared" si="5"/>
        <v>0</v>
      </c>
      <c r="L52" s="3">
        <f t="shared" si="4"/>
        <v>19</v>
      </c>
    </row>
    <row r="53" spans="1:12" x14ac:dyDescent="0.25">
      <c r="A53" s="5" t="s">
        <v>35</v>
      </c>
      <c r="B53" s="1">
        <v>19</v>
      </c>
      <c r="C53" s="13">
        <f t="shared" si="6"/>
        <v>0.24358974358974358</v>
      </c>
      <c r="D53" s="1">
        <v>36</v>
      </c>
      <c r="E53" s="13">
        <f t="shared" si="7"/>
        <v>0.46153846153846156</v>
      </c>
      <c r="F53" s="1">
        <v>22</v>
      </c>
      <c r="G53" s="13">
        <f t="shared" si="8"/>
        <v>0.28205128205128205</v>
      </c>
      <c r="H53" s="1">
        <v>0</v>
      </c>
      <c r="I53" s="13">
        <f t="shared" si="9"/>
        <v>0</v>
      </c>
      <c r="J53" s="1">
        <v>1</v>
      </c>
      <c r="K53" s="13">
        <f t="shared" si="5"/>
        <v>1.282051282051282E-2</v>
      </c>
      <c r="L53" s="3">
        <f>B53+D53+F53+H53+J53</f>
        <v>78</v>
      </c>
    </row>
    <row r="54" spans="1:12" ht="15.75" thickBot="1" x14ac:dyDescent="0.3">
      <c r="A54" s="7" t="s">
        <v>145</v>
      </c>
      <c r="B54" s="8">
        <v>6</v>
      </c>
      <c r="C54" s="14">
        <f t="shared" si="6"/>
        <v>0.8571428571428571</v>
      </c>
      <c r="D54" s="8">
        <v>1</v>
      </c>
      <c r="E54" s="14">
        <f t="shared" si="7"/>
        <v>0.14285714285714285</v>
      </c>
      <c r="F54" s="8">
        <v>0</v>
      </c>
      <c r="G54" s="14">
        <f t="shared" si="8"/>
        <v>0</v>
      </c>
      <c r="H54" s="8">
        <v>0</v>
      </c>
      <c r="I54" s="14">
        <f t="shared" si="9"/>
        <v>0</v>
      </c>
      <c r="J54" s="8">
        <v>0</v>
      </c>
      <c r="K54" s="14">
        <f t="shared" si="5"/>
        <v>0</v>
      </c>
      <c r="L54" s="6">
        <f>B54+D54+F54+H54+J54</f>
        <v>7</v>
      </c>
    </row>
    <row r="55" spans="1:12" ht="16.5" thickTop="1" thickBot="1" x14ac:dyDescent="0.3">
      <c r="A55" s="2" t="s">
        <v>41</v>
      </c>
      <c r="B55" s="2">
        <f>SUM(B6:B54)</f>
        <v>746</v>
      </c>
      <c r="C55" s="15">
        <f t="shared" si="6"/>
        <v>0.25365521931315876</v>
      </c>
      <c r="D55" s="2">
        <f>SUM(D6:D54)</f>
        <v>1715</v>
      </c>
      <c r="E55" s="15">
        <f t="shared" si="7"/>
        <v>0.58313498809928599</v>
      </c>
      <c r="F55" s="2">
        <f>SUM(F6:F54)</f>
        <v>423</v>
      </c>
      <c r="G55" s="15">
        <f t="shared" si="8"/>
        <v>0.14382862971778307</v>
      </c>
      <c r="H55" s="2">
        <f>SUM(H6:H54)</f>
        <v>41</v>
      </c>
      <c r="I55" s="15">
        <f t="shared" si="9"/>
        <v>1.3940836450187011E-2</v>
      </c>
      <c r="J55" s="2">
        <f>SUM(J6:J54)</f>
        <v>16</v>
      </c>
      <c r="K55" s="15">
        <f t="shared" si="5"/>
        <v>5.4403264195851753E-3</v>
      </c>
      <c r="L55" s="4">
        <f>SUM(L6:L54)</f>
        <v>2941</v>
      </c>
    </row>
    <row r="56" spans="1:12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5">
      <c r="A57" s="43" t="s">
        <v>57</v>
      </c>
      <c r="B57" s="35" t="s">
        <v>52</v>
      </c>
      <c r="C57" s="36"/>
      <c r="D57" s="35" t="s">
        <v>53</v>
      </c>
      <c r="E57" s="36"/>
      <c r="F57" s="35" t="s">
        <v>54</v>
      </c>
      <c r="G57" s="36"/>
      <c r="H57" s="35" t="s">
        <v>55</v>
      </c>
      <c r="I57" s="36"/>
      <c r="J57" s="35" t="s">
        <v>46</v>
      </c>
      <c r="K57" s="36"/>
      <c r="L57" s="39" t="s">
        <v>0</v>
      </c>
    </row>
    <row r="58" spans="1:12" x14ac:dyDescent="0.25">
      <c r="A58" s="44"/>
      <c r="B58" s="37"/>
      <c r="C58" s="38"/>
      <c r="D58" s="37"/>
      <c r="E58" s="38"/>
      <c r="F58" s="37"/>
      <c r="G58" s="38"/>
      <c r="H58" s="37"/>
      <c r="I58" s="38"/>
      <c r="J58" s="37"/>
      <c r="K58" s="38"/>
      <c r="L58" s="40"/>
    </row>
    <row r="59" spans="1:12" x14ac:dyDescent="0.25">
      <c r="A59" s="5" t="s">
        <v>62</v>
      </c>
      <c r="B59" s="1">
        <v>90</v>
      </c>
      <c r="C59" s="13">
        <f t="shared" ref="C59:C67" si="10">B59/L59</f>
        <v>0.23936170212765959</v>
      </c>
      <c r="D59" s="1">
        <v>249</v>
      </c>
      <c r="E59" s="13">
        <f t="shared" ref="E59:E67" si="11">D59/L59</f>
        <v>0.66223404255319152</v>
      </c>
      <c r="F59" s="1">
        <v>35</v>
      </c>
      <c r="G59" s="13">
        <f t="shared" ref="G59:G67" si="12">F59/L59</f>
        <v>9.3085106382978719E-2</v>
      </c>
      <c r="H59" s="1">
        <v>1</v>
      </c>
      <c r="I59" s="13">
        <f t="shared" ref="I59:I67" si="13">H59/L59</f>
        <v>2.6595744680851063E-3</v>
      </c>
      <c r="J59" s="1">
        <v>1</v>
      </c>
      <c r="K59" s="13">
        <f t="shared" ref="K59:K67" si="14">J59/L59</f>
        <v>2.6595744680851063E-3</v>
      </c>
      <c r="L59" s="3">
        <f t="shared" ref="L59:L66" si="15">B59+D59+F59+H59+J59</f>
        <v>376</v>
      </c>
    </row>
    <row r="60" spans="1:12" x14ac:dyDescent="0.25">
      <c r="A60" s="5" t="s">
        <v>119</v>
      </c>
      <c r="B60" s="1">
        <v>81</v>
      </c>
      <c r="C60" s="13">
        <f t="shared" si="10"/>
        <v>0.2773972602739726</v>
      </c>
      <c r="D60" s="1">
        <v>193</v>
      </c>
      <c r="E60" s="13">
        <f t="shared" si="11"/>
        <v>0.66095890410958902</v>
      </c>
      <c r="F60" s="1">
        <v>18</v>
      </c>
      <c r="G60" s="13">
        <f t="shared" si="12"/>
        <v>6.1643835616438353E-2</v>
      </c>
      <c r="H60" s="1">
        <v>0</v>
      </c>
      <c r="I60" s="13">
        <f t="shared" si="13"/>
        <v>0</v>
      </c>
      <c r="J60" s="1">
        <v>0</v>
      </c>
      <c r="K60" s="13">
        <f t="shared" si="14"/>
        <v>0</v>
      </c>
      <c r="L60" s="3">
        <f t="shared" si="15"/>
        <v>292</v>
      </c>
    </row>
    <row r="61" spans="1:12" x14ac:dyDescent="0.25">
      <c r="A61" s="5" t="s">
        <v>63</v>
      </c>
      <c r="B61" s="1">
        <v>24</v>
      </c>
      <c r="C61" s="13">
        <f t="shared" si="10"/>
        <v>0.17142857142857143</v>
      </c>
      <c r="D61" s="1">
        <v>77</v>
      </c>
      <c r="E61" s="13">
        <f t="shared" si="11"/>
        <v>0.55000000000000004</v>
      </c>
      <c r="F61" s="1">
        <v>34</v>
      </c>
      <c r="G61" s="13">
        <f t="shared" si="12"/>
        <v>0.24285714285714285</v>
      </c>
      <c r="H61" s="1">
        <v>2</v>
      </c>
      <c r="I61" s="13">
        <f t="shared" si="13"/>
        <v>1.4285714285714285E-2</v>
      </c>
      <c r="J61" s="1">
        <v>3</v>
      </c>
      <c r="K61" s="13">
        <f t="shared" si="14"/>
        <v>2.1428571428571429E-2</v>
      </c>
      <c r="L61" s="3">
        <f t="shared" si="15"/>
        <v>140</v>
      </c>
    </row>
    <row r="62" spans="1:12" x14ac:dyDescent="0.25">
      <c r="A62" s="5" t="s">
        <v>103</v>
      </c>
      <c r="B62" s="1">
        <v>77</v>
      </c>
      <c r="C62" s="13">
        <f t="shared" si="10"/>
        <v>0.23987538940809969</v>
      </c>
      <c r="D62" s="1">
        <v>170</v>
      </c>
      <c r="E62" s="13">
        <f t="shared" si="11"/>
        <v>0.52959501557632394</v>
      </c>
      <c r="F62" s="1">
        <v>61</v>
      </c>
      <c r="G62" s="13">
        <f t="shared" si="12"/>
        <v>0.19003115264797507</v>
      </c>
      <c r="H62" s="1">
        <v>10</v>
      </c>
      <c r="I62" s="13">
        <f t="shared" si="13"/>
        <v>3.1152647975077882E-2</v>
      </c>
      <c r="J62" s="1">
        <v>3</v>
      </c>
      <c r="K62" s="13">
        <f t="shared" si="14"/>
        <v>9.3457943925233638E-3</v>
      </c>
      <c r="L62" s="3">
        <f t="shared" si="15"/>
        <v>321</v>
      </c>
    </row>
    <row r="63" spans="1:12" x14ac:dyDescent="0.25">
      <c r="A63" s="5" t="s">
        <v>1</v>
      </c>
      <c r="B63" s="1">
        <v>30</v>
      </c>
      <c r="C63" s="13">
        <f t="shared" si="10"/>
        <v>0.17751479289940827</v>
      </c>
      <c r="D63" s="1">
        <v>114</v>
      </c>
      <c r="E63" s="13">
        <f t="shared" si="11"/>
        <v>0.67455621301775148</v>
      </c>
      <c r="F63" s="1">
        <v>23</v>
      </c>
      <c r="G63" s="13">
        <f t="shared" si="12"/>
        <v>0.13609467455621302</v>
      </c>
      <c r="H63" s="1">
        <v>2</v>
      </c>
      <c r="I63" s="13">
        <f t="shared" si="13"/>
        <v>1.1834319526627219E-2</v>
      </c>
      <c r="J63" s="1">
        <v>0</v>
      </c>
      <c r="K63" s="13">
        <f t="shared" si="14"/>
        <v>0</v>
      </c>
      <c r="L63" s="3">
        <f t="shared" si="15"/>
        <v>169</v>
      </c>
    </row>
    <row r="64" spans="1:12" x14ac:dyDescent="0.25">
      <c r="A64" s="5" t="s">
        <v>66</v>
      </c>
      <c r="B64" s="1">
        <v>133</v>
      </c>
      <c r="C64" s="13">
        <f t="shared" si="10"/>
        <v>0.27593360995850624</v>
      </c>
      <c r="D64" s="1">
        <v>279</v>
      </c>
      <c r="E64" s="13">
        <f t="shared" si="11"/>
        <v>0.57883817427385897</v>
      </c>
      <c r="F64" s="1">
        <v>66</v>
      </c>
      <c r="G64" s="13">
        <f t="shared" si="12"/>
        <v>0.13692946058091288</v>
      </c>
      <c r="H64" s="1">
        <v>3</v>
      </c>
      <c r="I64" s="13">
        <f t="shared" si="13"/>
        <v>6.2240663900414933E-3</v>
      </c>
      <c r="J64" s="1">
        <v>1</v>
      </c>
      <c r="K64" s="13">
        <f t="shared" si="14"/>
        <v>2.0746887966804979E-3</v>
      </c>
      <c r="L64" s="3">
        <f t="shared" si="15"/>
        <v>482</v>
      </c>
    </row>
    <row r="65" spans="1:12" x14ac:dyDescent="0.25">
      <c r="A65" s="5" t="s">
        <v>67</v>
      </c>
      <c r="B65" s="1">
        <v>175</v>
      </c>
      <c r="C65" s="13">
        <f t="shared" si="10"/>
        <v>0.3458498023715415</v>
      </c>
      <c r="D65" s="1">
        <v>217</v>
      </c>
      <c r="E65" s="13">
        <f t="shared" si="11"/>
        <v>0.42885375494071148</v>
      </c>
      <c r="F65" s="1">
        <v>95</v>
      </c>
      <c r="G65" s="13">
        <f t="shared" si="12"/>
        <v>0.18774703557312253</v>
      </c>
      <c r="H65" s="1">
        <v>16</v>
      </c>
      <c r="I65" s="13">
        <f t="shared" si="13"/>
        <v>3.1620553359683792E-2</v>
      </c>
      <c r="J65" s="1">
        <v>3</v>
      </c>
      <c r="K65" s="13">
        <f t="shared" si="14"/>
        <v>5.9288537549407111E-3</v>
      </c>
      <c r="L65" s="3">
        <f t="shared" si="15"/>
        <v>506</v>
      </c>
    </row>
    <row r="66" spans="1:12" ht="15.75" thickBot="1" x14ac:dyDescent="0.3">
      <c r="A66" s="7" t="s">
        <v>68</v>
      </c>
      <c r="B66" s="8">
        <v>136</v>
      </c>
      <c r="C66" s="14">
        <f t="shared" si="10"/>
        <v>0.20763358778625954</v>
      </c>
      <c r="D66" s="8">
        <v>416</v>
      </c>
      <c r="E66" s="14">
        <f t="shared" si="11"/>
        <v>0.63511450381679391</v>
      </c>
      <c r="F66" s="8">
        <v>91</v>
      </c>
      <c r="G66" s="14">
        <f t="shared" si="12"/>
        <v>0.13893129770992366</v>
      </c>
      <c r="H66" s="8">
        <v>7</v>
      </c>
      <c r="I66" s="14">
        <f t="shared" si="13"/>
        <v>1.0687022900763359E-2</v>
      </c>
      <c r="J66" s="8">
        <v>5</v>
      </c>
      <c r="K66" s="14">
        <f t="shared" si="14"/>
        <v>7.6335877862595417E-3</v>
      </c>
      <c r="L66" s="6">
        <f t="shared" si="15"/>
        <v>655</v>
      </c>
    </row>
    <row r="67" spans="1:12" ht="16.5" thickTop="1" thickBot="1" x14ac:dyDescent="0.3">
      <c r="A67" s="2" t="s">
        <v>41</v>
      </c>
      <c r="B67" s="2">
        <f>SUM(B59:B66)</f>
        <v>746</v>
      </c>
      <c r="C67" s="15">
        <f t="shared" si="10"/>
        <v>0.25365521931315876</v>
      </c>
      <c r="D67" s="2">
        <f>SUM(D59:D66)</f>
        <v>1715</v>
      </c>
      <c r="E67" s="15">
        <f t="shared" si="11"/>
        <v>0.58313498809928599</v>
      </c>
      <c r="F67" s="2">
        <f>SUM(F59:F66)</f>
        <v>423</v>
      </c>
      <c r="G67" s="15">
        <f t="shared" si="12"/>
        <v>0.14382862971778307</v>
      </c>
      <c r="H67" s="2">
        <f>SUM(H59:H66)</f>
        <v>41</v>
      </c>
      <c r="I67" s="15">
        <f t="shared" si="13"/>
        <v>1.3940836450187011E-2</v>
      </c>
      <c r="J67" s="2">
        <f>SUM(J59:J66)</f>
        <v>16</v>
      </c>
      <c r="K67" s="15">
        <f t="shared" si="14"/>
        <v>5.4403264195851753E-3</v>
      </c>
      <c r="L67" s="4">
        <f>SUM(L59:L66)</f>
        <v>2941</v>
      </c>
    </row>
    <row r="70" spans="1:12" x14ac:dyDescent="0.25">
      <c r="A70" s="12" t="s">
        <v>58</v>
      </c>
      <c r="B70" s="12"/>
      <c r="C70" s="12"/>
      <c r="D70" s="12"/>
      <c r="E70" s="12"/>
      <c r="F70" s="12"/>
      <c r="G70" s="12"/>
      <c r="H70" s="12"/>
      <c r="I70" s="12"/>
    </row>
    <row r="71" spans="1:12" ht="15.75" thickBot="1" x14ac:dyDescent="0.3">
      <c r="A71" s="12"/>
      <c r="D71" s="21"/>
      <c r="E71" s="21"/>
      <c r="F71" s="12"/>
      <c r="G71" s="12"/>
      <c r="H71" s="12"/>
      <c r="I71" s="12"/>
    </row>
    <row r="72" spans="1:12" x14ac:dyDescent="0.25">
      <c r="A72" s="26"/>
      <c r="B72" s="41" t="s">
        <v>79</v>
      </c>
      <c r="C72" s="42"/>
      <c r="D72" s="21"/>
      <c r="E72" s="21"/>
      <c r="F72" s="12"/>
      <c r="G72" s="12"/>
      <c r="H72" s="12"/>
      <c r="I72" s="12"/>
    </row>
    <row r="73" spans="1:12" ht="15.75" thickBot="1" x14ac:dyDescent="0.3">
      <c r="A73" s="24" t="s">
        <v>78</v>
      </c>
      <c r="B73" s="32" t="s">
        <v>147</v>
      </c>
      <c r="C73" s="33"/>
      <c r="F73" s="12"/>
      <c r="G73" s="12"/>
      <c r="H73" s="12"/>
      <c r="I73" s="12"/>
    </row>
    <row r="74" spans="1:12" x14ac:dyDescent="0.25">
      <c r="A74" s="12"/>
      <c r="B74" s="12"/>
      <c r="C74" s="12"/>
      <c r="D74" s="12"/>
      <c r="E74" s="12"/>
      <c r="F74" s="12"/>
      <c r="G74" s="12"/>
      <c r="H74" s="12"/>
      <c r="I74" s="12"/>
    </row>
    <row r="75" spans="1:12" x14ac:dyDescent="0.25">
      <c r="A75" s="18"/>
      <c r="B75" s="18"/>
      <c r="C75" s="18"/>
      <c r="D75" s="18"/>
      <c r="E75" s="18"/>
      <c r="F75" s="18"/>
      <c r="G75" s="18"/>
      <c r="H75" s="18"/>
      <c r="I75" s="18"/>
    </row>
    <row r="76" spans="1:12" x14ac:dyDescent="0.25">
      <c r="A76" s="34" t="s">
        <v>148</v>
      </c>
      <c r="B76" s="34"/>
      <c r="C76" s="34"/>
      <c r="D76" s="34"/>
      <c r="E76" s="34"/>
      <c r="F76" s="34"/>
      <c r="G76" s="34"/>
      <c r="H76" s="34"/>
      <c r="I76" s="34"/>
    </row>
  </sheetData>
  <mergeCells count="16">
    <mergeCell ref="B72:C72"/>
    <mergeCell ref="B73:C73"/>
    <mergeCell ref="A76:I76"/>
    <mergeCell ref="J57:K58"/>
    <mergeCell ref="L57:L58"/>
    <mergeCell ref="A57:A58"/>
    <mergeCell ref="B57:C58"/>
    <mergeCell ref="D57:E58"/>
    <mergeCell ref="F57:G58"/>
    <mergeCell ref="H57:I58"/>
    <mergeCell ref="A2:K2"/>
    <mergeCell ref="B5:C5"/>
    <mergeCell ref="D5:E5"/>
    <mergeCell ref="F5:G5"/>
    <mergeCell ref="H5:I5"/>
    <mergeCell ref="J5:K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77"/>
  <sheetViews>
    <sheetView tabSelected="1" view="pageLayout" zoomScale="70" zoomScaleNormal="100" zoomScalePageLayoutView="70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3" ht="23.25" x14ac:dyDescent="0.25">
      <c r="A1" s="9" t="s">
        <v>44</v>
      </c>
    </row>
    <row r="2" spans="1:13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8" x14ac:dyDescent="0.25">
      <c r="A3" s="19" t="s">
        <v>162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6.5" thickBot="1" x14ac:dyDescent="0.3">
      <c r="A4" s="11"/>
    </row>
    <row r="5" spans="1:13" ht="1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146</v>
      </c>
      <c r="K5" s="29"/>
      <c r="L5" s="23" t="s">
        <v>0</v>
      </c>
    </row>
    <row r="6" spans="1:13" x14ac:dyDescent="0.25">
      <c r="A6" s="5" t="s">
        <v>5</v>
      </c>
      <c r="B6" s="1">
        <v>15</v>
      </c>
      <c r="C6" s="13">
        <f t="shared" ref="C6:C37" si="0">B6/L6</f>
        <v>0.30612244897959184</v>
      </c>
      <c r="D6" s="1">
        <v>31</v>
      </c>
      <c r="E6" s="13">
        <f t="shared" ref="E6:E37" si="1">D6/L6</f>
        <v>0.63265306122448983</v>
      </c>
      <c r="F6" s="1">
        <v>3</v>
      </c>
      <c r="G6" s="13">
        <f t="shared" ref="G6:G37" si="2">F6/L6</f>
        <v>6.1224489795918366E-2</v>
      </c>
      <c r="H6" s="1">
        <v>0</v>
      </c>
      <c r="I6" s="13">
        <f t="shared" ref="I6:I37" si="3">H6/L6</f>
        <v>0</v>
      </c>
      <c r="J6" s="1">
        <v>0</v>
      </c>
      <c r="K6" s="13">
        <f>J6/L6</f>
        <v>0</v>
      </c>
      <c r="L6" s="3">
        <f t="shared" ref="L6:L54" si="4">B6+D6+F6+H6+J6</f>
        <v>49</v>
      </c>
    </row>
    <row r="7" spans="1:13" x14ac:dyDescent="0.25">
      <c r="A7" s="5" t="s">
        <v>6</v>
      </c>
      <c r="B7" s="1">
        <v>16</v>
      </c>
      <c r="C7" s="13">
        <f t="shared" si="0"/>
        <v>0.33333333333333331</v>
      </c>
      <c r="D7" s="1">
        <v>32</v>
      </c>
      <c r="E7" s="13">
        <f t="shared" si="1"/>
        <v>0.66666666666666663</v>
      </c>
      <c r="F7" s="1">
        <v>0</v>
      </c>
      <c r="G7" s="13">
        <f t="shared" si="2"/>
        <v>0</v>
      </c>
      <c r="H7" s="1">
        <v>0</v>
      </c>
      <c r="I7" s="13">
        <f t="shared" si="3"/>
        <v>0</v>
      </c>
      <c r="J7" s="1">
        <v>0</v>
      </c>
      <c r="K7" s="13">
        <f>J7/L7</f>
        <v>0</v>
      </c>
      <c r="L7" s="3">
        <f t="shared" si="4"/>
        <v>48</v>
      </c>
    </row>
    <row r="8" spans="1:13" x14ac:dyDescent="0.25">
      <c r="A8" s="5" t="s">
        <v>93</v>
      </c>
      <c r="B8" s="1">
        <v>11</v>
      </c>
      <c r="C8" s="13">
        <f t="shared" si="0"/>
        <v>0.16923076923076924</v>
      </c>
      <c r="D8" s="1">
        <v>33</v>
      </c>
      <c r="E8" s="13">
        <f t="shared" si="1"/>
        <v>0.50769230769230766</v>
      </c>
      <c r="F8" s="1">
        <v>19</v>
      </c>
      <c r="G8" s="13">
        <f t="shared" si="2"/>
        <v>0.29230769230769232</v>
      </c>
      <c r="H8" s="1">
        <v>2</v>
      </c>
      <c r="I8" s="13">
        <f t="shared" si="3"/>
        <v>3.0769230769230771E-2</v>
      </c>
      <c r="J8" s="1">
        <v>0</v>
      </c>
      <c r="K8" s="13">
        <f>J8/L8</f>
        <v>0</v>
      </c>
      <c r="L8" s="3">
        <f t="shared" si="4"/>
        <v>65</v>
      </c>
    </row>
    <row r="9" spans="1:13" ht="15" customHeight="1" x14ac:dyDescent="0.25">
      <c r="A9" s="5" t="s">
        <v>142</v>
      </c>
      <c r="B9" s="1">
        <v>6</v>
      </c>
      <c r="C9" s="13">
        <f t="shared" si="0"/>
        <v>0.1875</v>
      </c>
      <c r="D9" s="1">
        <v>15</v>
      </c>
      <c r="E9" s="13">
        <f t="shared" si="1"/>
        <v>0.46875</v>
      </c>
      <c r="F9" s="1">
        <v>10</v>
      </c>
      <c r="G9" s="13">
        <f t="shared" si="2"/>
        <v>0.3125</v>
      </c>
      <c r="H9" s="1">
        <v>0</v>
      </c>
      <c r="I9" s="13">
        <f t="shared" si="3"/>
        <v>0</v>
      </c>
      <c r="J9" s="1">
        <v>1</v>
      </c>
      <c r="K9" s="13">
        <f t="shared" ref="K9:K55" si="5">J9/L9</f>
        <v>3.125E-2</v>
      </c>
      <c r="L9" s="3">
        <f t="shared" si="4"/>
        <v>32</v>
      </c>
    </row>
    <row r="10" spans="1:13" ht="15.75" customHeight="1" x14ac:dyDescent="0.25">
      <c r="A10" s="5" t="s">
        <v>121</v>
      </c>
      <c r="B10" s="1">
        <v>1</v>
      </c>
      <c r="C10" s="13">
        <f t="shared" si="0"/>
        <v>4.3478260869565216E-2</v>
      </c>
      <c r="D10" s="1">
        <v>15</v>
      </c>
      <c r="E10" s="13">
        <f t="shared" si="1"/>
        <v>0.65217391304347827</v>
      </c>
      <c r="F10" s="1">
        <v>7</v>
      </c>
      <c r="G10" s="13">
        <f t="shared" si="2"/>
        <v>0.30434782608695654</v>
      </c>
      <c r="H10" s="1">
        <v>0</v>
      </c>
      <c r="I10" s="13">
        <f t="shared" si="3"/>
        <v>0</v>
      </c>
      <c r="J10" s="1">
        <v>0</v>
      </c>
      <c r="K10" s="13">
        <f t="shared" si="5"/>
        <v>0</v>
      </c>
      <c r="L10" s="3">
        <f t="shared" si="4"/>
        <v>23</v>
      </c>
    </row>
    <row r="11" spans="1:13" x14ac:dyDescent="0.25">
      <c r="A11" s="5" t="s">
        <v>70</v>
      </c>
      <c r="B11" s="1">
        <v>10</v>
      </c>
      <c r="C11" s="13">
        <f t="shared" si="0"/>
        <v>0.27027027027027029</v>
      </c>
      <c r="D11" s="1">
        <v>17</v>
      </c>
      <c r="E11" s="13">
        <f t="shared" si="1"/>
        <v>0.45945945945945948</v>
      </c>
      <c r="F11" s="1">
        <v>6</v>
      </c>
      <c r="G11" s="13">
        <f t="shared" si="2"/>
        <v>0.16216216216216217</v>
      </c>
      <c r="H11" s="1">
        <v>4</v>
      </c>
      <c r="I11" s="13">
        <f t="shared" si="3"/>
        <v>0.10810810810810811</v>
      </c>
      <c r="J11" s="1">
        <v>0</v>
      </c>
      <c r="K11" s="13">
        <f t="shared" si="5"/>
        <v>0</v>
      </c>
      <c r="L11" s="3">
        <f t="shared" si="4"/>
        <v>37</v>
      </c>
    </row>
    <row r="12" spans="1:13" x14ac:dyDescent="0.25">
      <c r="A12" s="5" t="s">
        <v>132</v>
      </c>
      <c r="B12" s="1">
        <v>47</v>
      </c>
      <c r="C12" s="13">
        <f t="shared" si="0"/>
        <v>0.188</v>
      </c>
      <c r="D12" s="1">
        <v>130</v>
      </c>
      <c r="E12" s="13">
        <f t="shared" si="1"/>
        <v>0.52</v>
      </c>
      <c r="F12" s="1">
        <v>65</v>
      </c>
      <c r="G12" s="13">
        <f t="shared" si="2"/>
        <v>0.26</v>
      </c>
      <c r="H12" s="1">
        <v>7</v>
      </c>
      <c r="I12" s="13">
        <f t="shared" si="3"/>
        <v>2.8000000000000001E-2</v>
      </c>
      <c r="J12" s="1">
        <v>1</v>
      </c>
      <c r="K12" s="13">
        <f t="shared" si="5"/>
        <v>4.0000000000000001E-3</v>
      </c>
      <c r="L12" s="3">
        <f t="shared" si="4"/>
        <v>250</v>
      </c>
    </row>
    <row r="13" spans="1:13" ht="15" customHeight="1" x14ac:dyDescent="0.25">
      <c r="A13" s="5" t="s">
        <v>71</v>
      </c>
      <c r="B13" s="1">
        <v>14</v>
      </c>
      <c r="C13" s="13">
        <f t="shared" si="0"/>
        <v>0.23728813559322035</v>
      </c>
      <c r="D13" s="1">
        <v>36</v>
      </c>
      <c r="E13" s="13">
        <f t="shared" si="1"/>
        <v>0.61016949152542377</v>
      </c>
      <c r="F13" s="1">
        <v>8</v>
      </c>
      <c r="G13" s="13">
        <f t="shared" si="2"/>
        <v>0.13559322033898305</v>
      </c>
      <c r="H13" s="1">
        <v>1</v>
      </c>
      <c r="I13" s="13">
        <f t="shared" si="3"/>
        <v>1.6949152542372881E-2</v>
      </c>
      <c r="J13" s="1">
        <v>0</v>
      </c>
      <c r="K13" s="13">
        <f t="shared" si="5"/>
        <v>0</v>
      </c>
      <c r="L13" s="3">
        <f t="shared" si="4"/>
        <v>59</v>
      </c>
    </row>
    <row r="14" spans="1:13" x14ac:dyDescent="0.25">
      <c r="A14" s="5" t="s">
        <v>10</v>
      </c>
      <c r="B14" s="1">
        <v>17</v>
      </c>
      <c r="C14" s="13">
        <f t="shared" si="0"/>
        <v>0.27419354838709675</v>
      </c>
      <c r="D14" s="1">
        <v>27</v>
      </c>
      <c r="E14" s="13">
        <f t="shared" si="1"/>
        <v>0.43548387096774194</v>
      </c>
      <c r="F14" s="1">
        <v>15</v>
      </c>
      <c r="G14" s="13">
        <f t="shared" si="2"/>
        <v>0.24193548387096775</v>
      </c>
      <c r="H14" s="1">
        <v>3</v>
      </c>
      <c r="I14" s="13">
        <f t="shared" si="3"/>
        <v>4.8387096774193547E-2</v>
      </c>
      <c r="J14" s="1">
        <v>0</v>
      </c>
      <c r="K14" s="13">
        <f t="shared" si="5"/>
        <v>0</v>
      </c>
      <c r="L14" s="3">
        <f t="shared" si="4"/>
        <v>62</v>
      </c>
    </row>
    <row r="15" spans="1:13" x14ac:dyDescent="0.25">
      <c r="A15" s="5" t="s">
        <v>125</v>
      </c>
      <c r="B15" s="1">
        <v>2</v>
      </c>
      <c r="C15" s="13">
        <f t="shared" si="0"/>
        <v>0.13333333333333333</v>
      </c>
      <c r="D15" s="1">
        <v>12</v>
      </c>
      <c r="E15" s="13">
        <f t="shared" si="1"/>
        <v>0.8</v>
      </c>
      <c r="F15" s="1">
        <v>1</v>
      </c>
      <c r="G15" s="13">
        <f t="shared" si="2"/>
        <v>6.6666666666666666E-2</v>
      </c>
      <c r="H15" s="1">
        <v>0</v>
      </c>
      <c r="I15" s="13">
        <f t="shared" si="3"/>
        <v>0</v>
      </c>
      <c r="J15" s="1">
        <v>0</v>
      </c>
      <c r="K15" s="13">
        <f t="shared" si="5"/>
        <v>0</v>
      </c>
      <c r="L15" s="3">
        <f t="shared" si="4"/>
        <v>15</v>
      </c>
    </row>
    <row r="16" spans="1:13" x14ac:dyDescent="0.25">
      <c r="A16" s="5" t="s">
        <v>126</v>
      </c>
      <c r="B16" s="1">
        <v>13</v>
      </c>
      <c r="C16" s="13">
        <f t="shared" si="0"/>
        <v>0.25</v>
      </c>
      <c r="D16" s="1">
        <v>24</v>
      </c>
      <c r="E16" s="13">
        <f t="shared" si="1"/>
        <v>0.46153846153846156</v>
      </c>
      <c r="F16" s="1">
        <v>15</v>
      </c>
      <c r="G16" s="13">
        <f t="shared" si="2"/>
        <v>0.28846153846153844</v>
      </c>
      <c r="H16" s="1">
        <v>0</v>
      </c>
      <c r="I16" s="13">
        <f t="shared" si="3"/>
        <v>0</v>
      </c>
      <c r="J16" s="1">
        <v>0</v>
      </c>
      <c r="K16" s="13">
        <f t="shared" si="5"/>
        <v>0</v>
      </c>
      <c r="L16" s="3">
        <f t="shared" si="4"/>
        <v>52</v>
      </c>
    </row>
    <row r="17" spans="1:12" x14ac:dyDescent="0.25">
      <c r="A17" s="5" t="s">
        <v>12</v>
      </c>
      <c r="B17" s="1">
        <v>11</v>
      </c>
      <c r="C17" s="13">
        <f t="shared" si="0"/>
        <v>0.30555555555555558</v>
      </c>
      <c r="D17" s="1">
        <v>15</v>
      </c>
      <c r="E17" s="13">
        <f t="shared" si="1"/>
        <v>0.41666666666666669</v>
      </c>
      <c r="F17" s="1">
        <v>10</v>
      </c>
      <c r="G17" s="13">
        <f t="shared" si="2"/>
        <v>0.27777777777777779</v>
      </c>
      <c r="H17" s="1">
        <v>0</v>
      </c>
      <c r="I17" s="13">
        <f t="shared" si="3"/>
        <v>0</v>
      </c>
      <c r="J17" s="1">
        <v>0</v>
      </c>
      <c r="K17" s="13">
        <f t="shared" si="5"/>
        <v>0</v>
      </c>
      <c r="L17" s="3">
        <f t="shared" si="4"/>
        <v>36</v>
      </c>
    </row>
    <row r="18" spans="1:12" x14ac:dyDescent="0.25">
      <c r="A18" s="5" t="s">
        <v>13</v>
      </c>
      <c r="B18" s="1">
        <v>2</v>
      </c>
      <c r="C18" s="13">
        <f t="shared" si="0"/>
        <v>0.33333333333333331</v>
      </c>
      <c r="D18" s="1">
        <v>3</v>
      </c>
      <c r="E18" s="13">
        <f t="shared" si="1"/>
        <v>0.5</v>
      </c>
      <c r="F18" s="1">
        <v>1</v>
      </c>
      <c r="G18" s="13">
        <f t="shared" si="2"/>
        <v>0.16666666666666666</v>
      </c>
      <c r="H18" s="1">
        <v>0</v>
      </c>
      <c r="I18" s="13">
        <f t="shared" si="3"/>
        <v>0</v>
      </c>
      <c r="J18" s="1">
        <v>0</v>
      </c>
      <c r="K18" s="13">
        <f t="shared" si="5"/>
        <v>0</v>
      </c>
      <c r="L18" s="3">
        <f t="shared" si="4"/>
        <v>6</v>
      </c>
    </row>
    <row r="19" spans="1:12" x14ac:dyDescent="0.25">
      <c r="A19" s="5" t="s">
        <v>127</v>
      </c>
      <c r="B19" s="1">
        <v>4</v>
      </c>
      <c r="C19" s="13">
        <f t="shared" si="0"/>
        <v>0.17391304347826086</v>
      </c>
      <c r="D19" s="1">
        <v>12</v>
      </c>
      <c r="E19" s="13">
        <f t="shared" si="1"/>
        <v>0.52173913043478259</v>
      </c>
      <c r="F19" s="1">
        <v>6</v>
      </c>
      <c r="G19" s="13">
        <f t="shared" si="2"/>
        <v>0.2608695652173913</v>
      </c>
      <c r="H19" s="1">
        <v>1</v>
      </c>
      <c r="I19" s="13">
        <f t="shared" si="3"/>
        <v>4.3478260869565216E-2</v>
      </c>
      <c r="J19" s="1">
        <v>0</v>
      </c>
      <c r="K19" s="13">
        <f t="shared" si="5"/>
        <v>0</v>
      </c>
      <c r="L19" s="3">
        <f t="shared" si="4"/>
        <v>23</v>
      </c>
    </row>
    <row r="20" spans="1:12" x14ac:dyDescent="0.25">
      <c r="A20" s="5" t="s">
        <v>105</v>
      </c>
      <c r="B20" s="1">
        <v>6</v>
      </c>
      <c r="C20" s="13">
        <f t="shared" si="0"/>
        <v>0.24</v>
      </c>
      <c r="D20" s="1">
        <v>17</v>
      </c>
      <c r="E20" s="13">
        <f t="shared" si="1"/>
        <v>0.68</v>
      </c>
      <c r="F20" s="1">
        <v>2</v>
      </c>
      <c r="G20" s="13">
        <f t="shared" si="2"/>
        <v>0.08</v>
      </c>
      <c r="H20" s="1">
        <v>0</v>
      </c>
      <c r="I20" s="13">
        <f t="shared" si="3"/>
        <v>0</v>
      </c>
      <c r="J20" s="1">
        <v>0</v>
      </c>
      <c r="K20" s="13">
        <f t="shared" si="5"/>
        <v>0</v>
      </c>
      <c r="L20" s="3">
        <f t="shared" si="4"/>
        <v>25</v>
      </c>
    </row>
    <row r="21" spans="1:12" x14ac:dyDescent="0.25">
      <c r="A21" s="5" t="s">
        <v>14</v>
      </c>
      <c r="B21" s="1">
        <v>33</v>
      </c>
      <c r="C21" s="13">
        <f t="shared" si="0"/>
        <v>0.21019108280254778</v>
      </c>
      <c r="D21" s="1">
        <v>76</v>
      </c>
      <c r="E21" s="13">
        <f t="shared" si="1"/>
        <v>0.48407643312101911</v>
      </c>
      <c r="F21" s="1">
        <v>39</v>
      </c>
      <c r="G21" s="13">
        <f t="shared" si="2"/>
        <v>0.24840764331210191</v>
      </c>
      <c r="H21" s="1">
        <v>9</v>
      </c>
      <c r="I21" s="13">
        <f t="shared" si="3"/>
        <v>5.7324840764331211E-2</v>
      </c>
      <c r="J21" s="1">
        <v>0</v>
      </c>
      <c r="K21" s="13">
        <f t="shared" si="5"/>
        <v>0</v>
      </c>
      <c r="L21" s="3">
        <f t="shared" si="4"/>
        <v>157</v>
      </c>
    </row>
    <row r="22" spans="1:12" x14ac:dyDescent="0.25">
      <c r="A22" s="5" t="s">
        <v>15</v>
      </c>
      <c r="B22" s="1">
        <v>17</v>
      </c>
      <c r="C22" s="13">
        <f t="shared" si="0"/>
        <v>0.5</v>
      </c>
      <c r="D22" s="1">
        <v>10</v>
      </c>
      <c r="E22" s="13">
        <f t="shared" si="1"/>
        <v>0.29411764705882354</v>
      </c>
      <c r="F22" s="1">
        <v>5</v>
      </c>
      <c r="G22" s="13">
        <f t="shared" si="2"/>
        <v>0.14705882352941177</v>
      </c>
      <c r="H22" s="1">
        <v>2</v>
      </c>
      <c r="I22" s="13">
        <f t="shared" si="3"/>
        <v>5.8823529411764705E-2</v>
      </c>
      <c r="J22" s="1">
        <v>0</v>
      </c>
      <c r="K22" s="13">
        <f t="shared" si="5"/>
        <v>0</v>
      </c>
      <c r="L22" s="3">
        <f t="shared" si="4"/>
        <v>34</v>
      </c>
    </row>
    <row r="23" spans="1:12" x14ac:dyDescent="0.25">
      <c r="A23" s="5" t="s">
        <v>16</v>
      </c>
      <c r="B23" s="1">
        <v>25</v>
      </c>
      <c r="C23" s="13">
        <f t="shared" si="0"/>
        <v>0.37878787878787878</v>
      </c>
      <c r="D23" s="1">
        <v>39</v>
      </c>
      <c r="E23" s="13">
        <f t="shared" si="1"/>
        <v>0.59090909090909094</v>
      </c>
      <c r="F23" s="1">
        <v>0</v>
      </c>
      <c r="G23" s="13">
        <f t="shared" si="2"/>
        <v>0</v>
      </c>
      <c r="H23" s="1">
        <v>1</v>
      </c>
      <c r="I23" s="13">
        <f t="shared" si="3"/>
        <v>1.5151515151515152E-2</v>
      </c>
      <c r="J23" s="1">
        <v>1</v>
      </c>
      <c r="K23" s="13">
        <f t="shared" si="5"/>
        <v>1.5151515151515152E-2</v>
      </c>
      <c r="L23" s="3">
        <f t="shared" si="4"/>
        <v>66</v>
      </c>
    </row>
    <row r="24" spans="1:12" x14ac:dyDescent="0.25">
      <c r="A24" s="5" t="s">
        <v>109</v>
      </c>
      <c r="B24" s="1">
        <v>12</v>
      </c>
      <c r="C24" s="13">
        <f t="shared" si="0"/>
        <v>0.42857142857142855</v>
      </c>
      <c r="D24" s="1">
        <v>14</v>
      </c>
      <c r="E24" s="13">
        <f t="shared" si="1"/>
        <v>0.5</v>
      </c>
      <c r="F24" s="1">
        <v>1</v>
      </c>
      <c r="G24" s="13">
        <f t="shared" si="2"/>
        <v>3.5714285714285712E-2</v>
      </c>
      <c r="H24" s="1">
        <v>0</v>
      </c>
      <c r="I24" s="13">
        <f t="shared" si="3"/>
        <v>0</v>
      </c>
      <c r="J24" s="1">
        <v>1</v>
      </c>
      <c r="K24" s="13">
        <f t="shared" si="5"/>
        <v>3.5714285714285712E-2</v>
      </c>
      <c r="L24" s="3">
        <f t="shared" si="4"/>
        <v>28</v>
      </c>
    </row>
    <row r="25" spans="1:12" x14ac:dyDescent="0.25">
      <c r="A25" s="5" t="s">
        <v>17</v>
      </c>
      <c r="B25" s="1">
        <v>9</v>
      </c>
      <c r="C25" s="13">
        <f t="shared" si="0"/>
        <v>0.3</v>
      </c>
      <c r="D25" s="1">
        <v>19</v>
      </c>
      <c r="E25" s="13">
        <f t="shared" si="1"/>
        <v>0.6333333333333333</v>
      </c>
      <c r="F25" s="1">
        <v>2</v>
      </c>
      <c r="G25" s="13">
        <f t="shared" si="2"/>
        <v>6.6666666666666666E-2</v>
      </c>
      <c r="H25" s="1">
        <v>0</v>
      </c>
      <c r="I25" s="13">
        <f t="shared" si="3"/>
        <v>0</v>
      </c>
      <c r="J25" s="1">
        <v>0</v>
      </c>
      <c r="K25" s="13">
        <f t="shared" si="5"/>
        <v>0</v>
      </c>
      <c r="L25" s="3">
        <f t="shared" si="4"/>
        <v>30</v>
      </c>
    </row>
    <row r="26" spans="1:12" x14ac:dyDescent="0.25">
      <c r="A26" s="5" t="s">
        <v>18</v>
      </c>
      <c r="B26" s="1">
        <v>9</v>
      </c>
      <c r="C26" s="13">
        <f t="shared" si="0"/>
        <v>0.19565217391304349</v>
      </c>
      <c r="D26" s="1">
        <v>32</v>
      </c>
      <c r="E26" s="13">
        <f t="shared" si="1"/>
        <v>0.69565217391304346</v>
      </c>
      <c r="F26" s="1">
        <v>5</v>
      </c>
      <c r="G26" s="13">
        <f t="shared" si="2"/>
        <v>0.10869565217391304</v>
      </c>
      <c r="H26" s="1">
        <v>0</v>
      </c>
      <c r="I26" s="13">
        <f t="shared" si="3"/>
        <v>0</v>
      </c>
      <c r="J26" s="1">
        <v>0</v>
      </c>
      <c r="K26" s="13">
        <f t="shared" si="5"/>
        <v>0</v>
      </c>
      <c r="L26" s="3">
        <f t="shared" si="4"/>
        <v>46</v>
      </c>
    </row>
    <row r="27" spans="1:12" x14ac:dyDescent="0.25">
      <c r="A27" s="5" t="s">
        <v>19</v>
      </c>
      <c r="B27" s="1">
        <v>20</v>
      </c>
      <c r="C27" s="13">
        <f t="shared" si="0"/>
        <v>0.1941747572815534</v>
      </c>
      <c r="D27" s="1">
        <v>58</v>
      </c>
      <c r="E27" s="13">
        <f t="shared" si="1"/>
        <v>0.56310679611650483</v>
      </c>
      <c r="F27" s="1">
        <v>23</v>
      </c>
      <c r="G27" s="13">
        <f t="shared" si="2"/>
        <v>0.22330097087378642</v>
      </c>
      <c r="H27" s="1">
        <v>0</v>
      </c>
      <c r="I27" s="13">
        <f t="shared" si="3"/>
        <v>0</v>
      </c>
      <c r="J27" s="1">
        <v>2</v>
      </c>
      <c r="K27" s="13">
        <f t="shared" si="5"/>
        <v>1.9417475728155338E-2</v>
      </c>
      <c r="L27" s="3">
        <f t="shared" si="4"/>
        <v>103</v>
      </c>
    </row>
    <row r="28" spans="1:12" x14ac:dyDescent="0.25">
      <c r="A28" s="5" t="s">
        <v>21</v>
      </c>
      <c r="B28" s="1">
        <v>4</v>
      </c>
      <c r="C28" s="13">
        <f t="shared" si="0"/>
        <v>0.11764705882352941</v>
      </c>
      <c r="D28" s="1">
        <v>21</v>
      </c>
      <c r="E28" s="13">
        <f t="shared" si="1"/>
        <v>0.61764705882352944</v>
      </c>
      <c r="F28" s="1">
        <v>8</v>
      </c>
      <c r="G28" s="13">
        <f t="shared" si="2"/>
        <v>0.23529411764705882</v>
      </c>
      <c r="H28" s="1">
        <v>1</v>
      </c>
      <c r="I28" s="13">
        <f t="shared" si="3"/>
        <v>2.9411764705882353E-2</v>
      </c>
      <c r="J28" s="1">
        <v>0</v>
      </c>
      <c r="K28" s="13">
        <f t="shared" si="5"/>
        <v>0</v>
      </c>
      <c r="L28" s="3">
        <f t="shared" si="4"/>
        <v>34</v>
      </c>
    </row>
    <row r="29" spans="1:12" x14ac:dyDescent="0.25">
      <c r="A29" s="5" t="s">
        <v>38</v>
      </c>
      <c r="B29" s="1">
        <v>10</v>
      </c>
      <c r="C29" s="13">
        <f t="shared" si="0"/>
        <v>0.20833333333333334</v>
      </c>
      <c r="D29" s="1">
        <v>28</v>
      </c>
      <c r="E29" s="13">
        <f t="shared" si="1"/>
        <v>0.58333333333333337</v>
      </c>
      <c r="F29" s="1">
        <v>10</v>
      </c>
      <c r="G29" s="13">
        <f t="shared" si="2"/>
        <v>0.20833333333333334</v>
      </c>
      <c r="H29" s="1">
        <v>0</v>
      </c>
      <c r="I29" s="13">
        <f t="shared" si="3"/>
        <v>0</v>
      </c>
      <c r="J29" s="1">
        <v>0</v>
      </c>
      <c r="K29" s="13">
        <f t="shared" si="5"/>
        <v>0</v>
      </c>
      <c r="L29" s="3">
        <f t="shared" si="4"/>
        <v>48</v>
      </c>
    </row>
    <row r="30" spans="1:12" x14ac:dyDescent="0.25">
      <c r="A30" s="5" t="s">
        <v>39</v>
      </c>
      <c r="B30" s="1">
        <v>3</v>
      </c>
      <c r="C30" s="13">
        <f t="shared" si="0"/>
        <v>0.21428571428571427</v>
      </c>
      <c r="D30" s="1">
        <v>10</v>
      </c>
      <c r="E30" s="13">
        <f t="shared" si="1"/>
        <v>0.7142857142857143</v>
      </c>
      <c r="F30" s="1">
        <v>1</v>
      </c>
      <c r="G30" s="13">
        <f t="shared" si="2"/>
        <v>7.1428571428571425E-2</v>
      </c>
      <c r="H30" s="1">
        <v>0</v>
      </c>
      <c r="I30" s="13">
        <f t="shared" si="3"/>
        <v>0</v>
      </c>
      <c r="J30" s="1">
        <v>0</v>
      </c>
      <c r="K30" s="13">
        <f t="shared" si="5"/>
        <v>0</v>
      </c>
      <c r="L30" s="3">
        <f t="shared" si="4"/>
        <v>14</v>
      </c>
    </row>
    <row r="31" spans="1:12" x14ac:dyDescent="0.25">
      <c r="A31" s="5" t="s">
        <v>22</v>
      </c>
      <c r="B31" s="1">
        <v>19</v>
      </c>
      <c r="C31" s="13">
        <f t="shared" si="0"/>
        <v>0.26027397260273971</v>
      </c>
      <c r="D31" s="1">
        <v>51</v>
      </c>
      <c r="E31" s="13">
        <f t="shared" si="1"/>
        <v>0.69863013698630139</v>
      </c>
      <c r="F31" s="1">
        <v>3</v>
      </c>
      <c r="G31" s="13">
        <f t="shared" si="2"/>
        <v>4.1095890410958902E-2</v>
      </c>
      <c r="H31" s="1">
        <v>0</v>
      </c>
      <c r="I31" s="13">
        <f t="shared" si="3"/>
        <v>0</v>
      </c>
      <c r="J31" s="1">
        <v>0</v>
      </c>
      <c r="K31" s="13">
        <f t="shared" si="5"/>
        <v>0</v>
      </c>
      <c r="L31" s="3">
        <f t="shared" si="4"/>
        <v>73</v>
      </c>
    </row>
    <row r="32" spans="1:12" x14ac:dyDescent="0.25">
      <c r="A32" s="5" t="s">
        <v>40</v>
      </c>
      <c r="B32" s="1">
        <v>4</v>
      </c>
      <c r="C32" s="13">
        <f t="shared" si="0"/>
        <v>0.125</v>
      </c>
      <c r="D32" s="1">
        <v>28</v>
      </c>
      <c r="E32" s="13">
        <f t="shared" si="1"/>
        <v>0.875</v>
      </c>
      <c r="F32" s="1">
        <v>0</v>
      </c>
      <c r="G32" s="13">
        <f t="shared" si="2"/>
        <v>0</v>
      </c>
      <c r="H32" s="1">
        <v>0</v>
      </c>
      <c r="I32" s="13">
        <f t="shared" si="3"/>
        <v>0</v>
      </c>
      <c r="J32" s="1">
        <v>0</v>
      </c>
      <c r="K32" s="13">
        <f t="shared" si="5"/>
        <v>0</v>
      </c>
      <c r="L32" s="3">
        <f t="shared" si="4"/>
        <v>32</v>
      </c>
    </row>
    <row r="33" spans="1:12" x14ac:dyDescent="0.25">
      <c r="A33" s="5" t="s">
        <v>133</v>
      </c>
      <c r="B33" s="1">
        <v>1</v>
      </c>
      <c r="C33" s="13">
        <f t="shared" si="0"/>
        <v>0.25</v>
      </c>
      <c r="D33" s="1">
        <v>3</v>
      </c>
      <c r="E33" s="13">
        <f t="shared" si="1"/>
        <v>0.75</v>
      </c>
      <c r="F33" s="1">
        <v>0</v>
      </c>
      <c r="G33" s="13">
        <f t="shared" si="2"/>
        <v>0</v>
      </c>
      <c r="H33" s="1">
        <v>0</v>
      </c>
      <c r="I33" s="13">
        <f t="shared" si="3"/>
        <v>0</v>
      </c>
      <c r="J33" s="1">
        <v>0</v>
      </c>
      <c r="K33" s="13">
        <f t="shared" si="5"/>
        <v>0</v>
      </c>
      <c r="L33" s="3">
        <f t="shared" si="4"/>
        <v>4</v>
      </c>
    </row>
    <row r="34" spans="1:12" x14ac:dyDescent="0.25">
      <c r="A34" s="5" t="s">
        <v>143</v>
      </c>
      <c r="B34" s="1">
        <v>5</v>
      </c>
      <c r="C34" s="13">
        <f t="shared" si="0"/>
        <v>0.19230769230769232</v>
      </c>
      <c r="D34" s="1">
        <v>12</v>
      </c>
      <c r="E34" s="13">
        <f t="shared" si="1"/>
        <v>0.46153846153846156</v>
      </c>
      <c r="F34" s="1">
        <v>8</v>
      </c>
      <c r="G34" s="13">
        <f t="shared" si="2"/>
        <v>0.30769230769230771</v>
      </c>
      <c r="H34" s="1">
        <v>1</v>
      </c>
      <c r="I34" s="13">
        <f t="shared" si="3"/>
        <v>3.8461538461538464E-2</v>
      </c>
      <c r="J34" s="1">
        <v>0</v>
      </c>
      <c r="K34" s="13">
        <f t="shared" si="5"/>
        <v>0</v>
      </c>
      <c r="L34" s="3">
        <f t="shared" si="4"/>
        <v>26</v>
      </c>
    </row>
    <row r="35" spans="1:12" x14ac:dyDescent="0.25">
      <c r="A35" s="5" t="s">
        <v>134</v>
      </c>
      <c r="B35" s="1">
        <v>0</v>
      </c>
      <c r="C35" s="13">
        <f t="shared" si="0"/>
        <v>0</v>
      </c>
      <c r="D35" s="1">
        <v>4</v>
      </c>
      <c r="E35" s="13">
        <f t="shared" si="1"/>
        <v>1</v>
      </c>
      <c r="F35" s="1">
        <v>0</v>
      </c>
      <c r="G35" s="13">
        <f t="shared" si="2"/>
        <v>0</v>
      </c>
      <c r="H35" s="1">
        <v>0</v>
      </c>
      <c r="I35" s="13">
        <f t="shared" si="3"/>
        <v>0</v>
      </c>
      <c r="J35" s="1">
        <v>0</v>
      </c>
      <c r="K35" s="13">
        <f t="shared" si="5"/>
        <v>0</v>
      </c>
      <c r="L35" s="3">
        <f t="shared" si="4"/>
        <v>4</v>
      </c>
    </row>
    <row r="36" spans="1:12" x14ac:dyDescent="0.25">
      <c r="A36" s="5" t="s">
        <v>23</v>
      </c>
      <c r="B36" s="1">
        <v>4</v>
      </c>
      <c r="C36" s="13">
        <f t="shared" si="0"/>
        <v>0.12903225806451613</v>
      </c>
      <c r="D36" s="1">
        <v>19</v>
      </c>
      <c r="E36" s="13">
        <f t="shared" si="1"/>
        <v>0.61290322580645162</v>
      </c>
      <c r="F36" s="1">
        <v>8</v>
      </c>
      <c r="G36" s="13">
        <f t="shared" si="2"/>
        <v>0.25806451612903225</v>
      </c>
      <c r="H36" s="1">
        <v>0</v>
      </c>
      <c r="I36" s="13">
        <f t="shared" si="3"/>
        <v>0</v>
      </c>
      <c r="J36" s="1">
        <v>0</v>
      </c>
      <c r="K36" s="13">
        <f t="shared" si="5"/>
        <v>0</v>
      </c>
      <c r="L36" s="3">
        <f t="shared" si="4"/>
        <v>31</v>
      </c>
    </row>
    <row r="37" spans="1:12" x14ac:dyDescent="0.25">
      <c r="A37" s="5" t="s">
        <v>1</v>
      </c>
      <c r="B37" s="1">
        <v>29</v>
      </c>
      <c r="C37" s="13">
        <f t="shared" si="0"/>
        <v>0.18954248366013071</v>
      </c>
      <c r="D37" s="1">
        <v>101</v>
      </c>
      <c r="E37" s="13">
        <f t="shared" si="1"/>
        <v>0.66013071895424835</v>
      </c>
      <c r="F37" s="1">
        <v>23</v>
      </c>
      <c r="G37" s="13">
        <f t="shared" si="2"/>
        <v>0.15032679738562091</v>
      </c>
      <c r="H37" s="1">
        <v>0</v>
      </c>
      <c r="I37" s="13">
        <f t="shared" si="3"/>
        <v>0</v>
      </c>
      <c r="J37" s="1">
        <v>0</v>
      </c>
      <c r="K37" s="13">
        <f t="shared" si="5"/>
        <v>0</v>
      </c>
      <c r="L37" s="3">
        <f t="shared" si="4"/>
        <v>153</v>
      </c>
    </row>
    <row r="38" spans="1:12" x14ac:dyDescent="0.25">
      <c r="A38" s="5" t="s">
        <v>123</v>
      </c>
      <c r="B38" s="1">
        <v>12</v>
      </c>
      <c r="C38" s="13">
        <f t="shared" ref="C38:C55" si="6">B38/L38</f>
        <v>0.26666666666666666</v>
      </c>
      <c r="D38" s="1">
        <v>32</v>
      </c>
      <c r="E38" s="13">
        <f t="shared" ref="E38:E55" si="7">D38/L38</f>
        <v>0.71111111111111114</v>
      </c>
      <c r="F38" s="1">
        <v>1</v>
      </c>
      <c r="G38" s="13">
        <f t="shared" ref="G38:G55" si="8">F38/L38</f>
        <v>2.2222222222222223E-2</v>
      </c>
      <c r="H38" s="1">
        <v>0</v>
      </c>
      <c r="I38" s="13">
        <f t="shared" ref="I38:I55" si="9">H38/L38</f>
        <v>0</v>
      </c>
      <c r="J38" s="1">
        <v>0</v>
      </c>
      <c r="K38" s="13">
        <f t="shared" si="5"/>
        <v>0</v>
      </c>
      <c r="L38" s="3">
        <f t="shared" si="4"/>
        <v>45</v>
      </c>
    </row>
    <row r="39" spans="1:12" x14ac:dyDescent="0.25">
      <c r="A39" s="5" t="s">
        <v>24</v>
      </c>
      <c r="B39" s="1">
        <v>63</v>
      </c>
      <c r="C39" s="13">
        <f t="shared" si="6"/>
        <v>0.3772455089820359</v>
      </c>
      <c r="D39" s="1">
        <v>61</v>
      </c>
      <c r="E39" s="13">
        <f t="shared" si="7"/>
        <v>0.3652694610778443</v>
      </c>
      <c r="F39" s="1">
        <v>37</v>
      </c>
      <c r="G39" s="13">
        <f t="shared" si="8"/>
        <v>0.22155688622754491</v>
      </c>
      <c r="H39" s="1">
        <v>5</v>
      </c>
      <c r="I39" s="13">
        <f t="shared" si="9"/>
        <v>2.9940119760479042E-2</v>
      </c>
      <c r="J39" s="1">
        <v>1</v>
      </c>
      <c r="K39" s="13">
        <f t="shared" si="5"/>
        <v>5.9880239520958087E-3</v>
      </c>
      <c r="L39" s="3">
        <f t="shared" si="4"/>
        <v>167</v>
      </c>
    </row>
    <row r="40" spans="1:12" x14ac:dyDescent="0.25">
      <c r="A40" s="5" t="s">
        <v>25</v>
      </c>
      <c r="B40" s="1">
        <v>12</v>
      </c>
      <c r="C40" s="13">
        <f t="shared" si="6"/>
        <v>0.19047619047619047</v>
      </c>
      <c r="D40" s="1">
        <v>29</v>
      </c>
      <c r="E40" s="13">
        <f t="shared" si="7"/>
        <v>0.46031746031746029</v>
      </c>
      <c r="F40" s="1">
        <v>17</v>
      </c>
      <c r="G40" s="13">
        <f t="shared" si="8"/>
        <v>0.26984126984126983</v>
      </c>
      <c r="H40" s="1">
        <v>4</v>
      </c>
      <c r="I40" s="13">
        <f t="shared" si="9"/>
        <v>6.3492063492063489E-2</v>
      </c>
      <c r="J40" s="1">
        <v>1</v>
      </c>
      <c r="K40" s="13">
        <f t="shared" si="5"/>
        <v>1.5873015873015872E-2</v>
      </c>
      <c r="L40" s="3">
        <f t="shared" si="4"/>
        <v>63</v>
      </c>
    </row>
    <row r="41" spans="1:12" x14ac:dyDescent="0.25">
      <c r="A41" s="5" t="s">
        <v>135</v>
      </c>
      <c r="B41" s="1">
        <v>76</v>
      </c>
      <c r="C41" s="13">
        <f t="shared" si="6"/>
        <v>0.296875</v>
      </c>
      <c r="D41" s="1">
        <v>170</v>
      </c>
      <c r="E41" s="13">
        <f t="shared" si="7"/>
        <v>0.6640625</v>
      </c>
      <c r="F41" s="1">
        <v>9</v>
      </c>
      <c r="G41" s="13">
        <f t="shared" si="8"/>
        <v>3.515625E-2</v>
      </c>
      <c r="H41" s="1">
        <v>1</v>
      </c>
      <c r="I41" s="13">
        <f t="shared" si="9"/>
        <v>3.90625E-3</v>
      </c>
      <c r="J41" s="1">
        <v>0</v>
      </c>
      <c r="K41" s="13">
        <f t="shared" si="5"/>
        <v>0</v>
      </c>
      <c r="L41" s="3">
        <f t="shared" si="4"/>
        <v>256</v>
      </c>
    </row>
    <row r="42" spans="1:12" x14ac:dyDescent="0.25">
      <c r="A42" s="5" t="s">
        <v>74</v>
      </c>
      <c r="B42" s="1">
        <v>6</v>
      </c>
      <c r="C42" s="13">
        <f t="shared" si="6"/>
        <v>0.54545454545454541</v>
      </c>
      <c r="D42" s="1">
        <v>2</v>
      </c>
      <c r="E42" s="13">
        <f t="shared" si="7"/>
        <v>0.18181818181818182</v>
      </c>
      <c r="F42" s="1">
        <v>3</v>
      </c>
      <c r="G42" s="13">
        <f t="shared" si="8"/>
        <v>0.27272727272727271</v>
      </c>
      <c r="H42" s="1">
        <v>0</v>
      </c>
      <c r="I42" s="13">
        <f t="shared" si="9"/>
        <v>0</v>
      </c>
      <c r="J42" s="1">
        <v>0</v>
      </c>
      <c r="K42" s="13">
        <f t="shared" si="5"/>
        <v>0</v>
      </c>
      <c r="L42" s="3">
        <f t="shared" si="4"/>
        <v>11</v>
      </c>
    </row>
    <row r="43" spans="1:12" x14ac:dyDescent="0.25">
      <c r="A43" s="5" t="s">
        <v>136</v>
      </c>
      <c r="B43" s="1">
        <v>3</v>
      </c>
      <c r="C43" s="13">
        <f t="shared" si="6"/>
        <v>0.75</v>
      </c>
      <c r="D43" s="1">
        <v>1</v>
      </c>
      <c r="E43" s="13">
        <f t="shared" si="7"/>
        <v>0.25</v>
      </c>
      <c r="F43" s="1">
        <v>0</v>
      </c>
      <c r="G43" s="13">
        <f t="shared" si="8"/>
        <v>0</v>
      </c>
      <c r="H43" s="1">
        <v>0</v>
      </c>
      <c r="I43" s="13">
        <f t="shared" si="9"/>
        <v>0</v>
      </c>
      <c r="J43" s="1">
        <v>0</v>
      </c>
      <c r="K43" s="13">
        <f t="shared" si="5"/>
        <v>0</v>
      </c>
      <c r="L43" s="3">
        <f t="shared" si="4"/>
        <v>4</v>
      </c>
    </row>
    <row r="44" spans="1:12" x14ac:dyDescent="0.25">
      <c r="A44" s="5" t="s">
        <v>128</v>
      </c>
      <c r="B44" s="1">
        <v>9</v>
      </c>
      <c r="C44" s="13">
        <f t="shared" si="6"/>
        <v>0.52941176470588236</v>
      </c>
      <c r="D44" s="1">
        <v>6</v>
      </c>
      <c r="E44" s="13">
        <f t="shared" si="7"/>
        <v>0.35294117647058826</v>
      </c>
      <c r="F44" s="1">
        <v>2</v>
      </c>
      <c r="G44" s="13">
        <f t="shared" si="8"/>
        <v>0.11764705882352941</v>
      </c>
      <c r="H44" s="1">
        <v>0</v>
      </c>
      <c r="I44" s="13">
        <f t="shared" si="9"/>
        <v>0</v>
      </c>
      <c r="J44" s="1">
        <v>0</v>
      </c>
      <c r="K44" s="13">
        <f t="shared" si="5"/>
        <v>0</v>
      </c>
      <c r="L44" s="3">
        <f t="shared" si="4"/>
        <v>17</v>
      </c>
    </row>
    <row r="45" spans="1:12" x14ac:dyDescent="0.25">
      <c r="A45" s="5" t="s">
        <v>27</v>
      </c>
      <c r="B45" s="1">
        <v>8</v>
      </c>
      <c r="C45" s="13">
        <f t="shared" si="6"/>
        <v>0.23529411764705882</v>
      </c>
      <c r="D45" s="1">
        <v>24</v>
      </c>
      <c r="E45" s="13">
        <f t="shared" si="7"/>
        <v>0.70588235294117652</v>
      </c>
      <c r="F45" s="1">
        <v>2</v>
      </c>
      <c r="G45" s="13">
        <f t="shared" si="8"/>
        <v>5.8823529411764705E-2</v>
      </c>
      <c r="H45" s="1">
        <v>0</v>
      </c>
      <c r="I45" s="13">
        <f t="shared" si="9"/>
        <v>0</v>
      </c>
      <c r="J45" s="1">
        <v>0</v>
      </c>
      <c r="K45" s="13">
        <f t="shared" si="5"/>
        <v>0</v>
      </c>
      <c r="L45" s="3">
        <f t="shared" si="4"/>
        <v>34</v>
      </c>
    </row>
    <row r="46" spans="1:12" x14ac:dyDescent="0.25">
      <c r="A46" s="5" t="s">
        <v>29</v>
      </c>
      <c r="B46" s="1">
        <v>27</v>
      </c>
      <c r="C46" s="13">
        <f t="shared" si="6"/>
        <v>0.34615384615384615</v>
      </c>
      <c r="D46" s="1">
        <v>31</v>
      </c>
      <c r="E46" s="13">
        <f t="shared" si="7"/>
        <v>0.39743589743589741</v>
      </c>
      <c r="F46" s="1">
        <v>17</v>
      </c>
      <c r="G46" s="13">
        <f t="shared" si="8"/>
        <v>0.21794871794871795</v>
      </c>
      <c r="H46" s="1">
        <v>3</v>
      </c>
      <c r="I46" s="13">
        <f t="shared" si="9"/>
        <v>3.8461538461538464E-2</v>
      </c>
      <c r="J46" s="1">
        <v>0</v>
      </c>
      <c r="K46" s="13">
        <f t="shared" si="5"/>
        <v>0</v>
      </c>
      <c r="L46" s="3">
        <f t="shared" si="4"/>
        <v>78</v>
      </c>
    </row>
    <row r="47" spans="1:12" x14ac:dyDescent="0.25">
      <c r="A47" s="5" t="s">
        <v>137</v>
      </c>
      <c r="B47" s="1">
        <v>2</v>
      </c>
      <c r="C47" s="13">
        <f t="shared" si="6"/>
        <v>0.66666666666666663</v>
      </c>
      <c r="D47" s="1">
        <v>1</v>
      </c>
      <c r="E47" s="13">
        <f t="shared" si="7"/>
        <v>0.33333333333333331</v>
      </c>
      <c r="F47" s="1">
        <v>0</v>
      </c>
      <c r="G47" s="13">
        <f t="shared" si="8"/>
        <v>0</v>
      </c>
      <c r="H47" s="1">
        <v>0</v>
      </c>
      <c r="I47" s="13">
        <f t="shared" si="9"/>
        <v>0</v>
      </c>
      <c r="J47" s="1">
        <v>0</v>
      </c>
      <c r="K47" s="13">
        <f t="shared" si="5"/>
        <v>0</v>
      </c>
      <c r="L47" s="3">
        <f t="shared" si="4"/>
        <v>3</v>
      </c>
    </row>
    <row r="48" spans="1:12" x14ac:dyDescent="0.25">
      <c r="A48" s="5" t="s">
        <v>144</v>
      </c>
      <c r="B48" s="1">
        <v>47</v>
      </c>
      <c r="C48" s="13">
        <f t="shared" si="6"/>
        <v>0.28143712574850299</v>
      </c>
      <c r="D48" s="1">
        <v>107</v>
      </c>
      <c r="E48" s="13">
        <f t="shared" si="7"/>
        <v>0.64071856287425155</v>
      </c>
      <c r="F48" s="1">
        <v>13</v>
      </c>
      <c r="G48" s="13">
        <f t="shared" si="8"/>
        <v>7.7844311377245512E-2</v>
      </c>
      <c r="H48" s="1">
        <v>0</v>
      </c>
      <c r="I48" s="13">
        <f t="shared" si="9"/>
        <v>0</v>
      </c>
      <c r="J48" s="1">
        <v>0</v>
      </c>
      <c r="K48" s="13">
        <f t="shared" si="5"/>
        <v>0</v>
      </c>
      <c r="L48" s="3">
        <f t="shared" si="4"/>
        <v>167</v>
      </c>
    </row>
    <row r="49" spans="1:12" x14ac:dyDescent="0.25">
      <c r="A49" s="5" t="s">
        <v>32</v>
      </c>
      <c r="B49" s="1">
        <v>7</v>
      </c>
      <c r="C49" s="13">
        <f t="shared" si="6"/>
        <v>0.29166666666666669</v>
      </c>
      <c r="D49" s="1">
        <v>15</v>
      </c>
      <c r="E49" s="13">
        <f t="shared" si="7"/>
        <v>0.625</v>
      </c>
      <c r="F49" s="1">
        <v>2</v>
      </c>
      <c r="G49" s="13">
        <f t="shared" si="8"/>
        <v>8.3333333333333329E-2</v>
      </c>
      <c r="H49" s="1">
        <v>0</v>
      </c>
      <c r="I49" s="13">
        <f t="shared" si="9"/>
        <v>0</v>
      </c>
      <c r="J49" s="1">
        <v>0</v>
      </c>
      <c r="K49" s="13">
        <f t="shared" si="5"/>
        <v>0</v>
      </c>
      <c r="L49" s="3">
        <f t="shared" si="4"/>
        <v>24</v>
      </c>
    </row>
    <row r="50" spans="1:12" x14ac:dyDescent="0.25">
      <c r="A50" s="5" t="s">
        <v>100</v>
      </c>
      <c r="B50" s="1">
        <v>11</v>
      </c>
      <c r="C50" s="13">
        <f t="shared" si="6"/>
        <v>9.7345132743362831E-2</v>
      </c>
      <c r="D50" s="1">
        <v>82</v>
      </c>
      <c r="E50" s="13">
        <f t="shared" si="7"/>
        <v>0.72566371681415931</v>
      </c>
      <c r="F50" s="1">
        <v>20</v>
      </c>
      <c r="G50" s="13">
        <f t="shared" si="8"/>
        <v>0.17699115044247787</v>
      </c>
      <c r="H50" s="1">
        <v>0</v>
      </c>
      <c r="I50" s="13">
        <f t="shared" si="9"/>
        <v>0</v>
      </c>
      <c r="J50" s="1">
        <v>0</v>
      </c>
      <c r="K50" s="13">
        <f t="shared" si="5"/>
        <v>0</v>
      </c>
      <c r="L50" s="3">
        <f t="shared" si="4"/>
        <v>113</v>
      </c>
    </row>
    <row r="51" spans="1:12" x14ac:dyDescent="0.25">
      <c r="A51" s="5" t="s">
        <v>33</v>
      </c>
      <c r="B51" s="1">
        <v>6</v>
      </c>
      <c r="C51" s="13">
        <f t="shared" si="6"/>
        <v>0.3</v>
      </c>
      <c r="D51" s="1">
        <v>9</v>
      </c>
      <c r="E51" s="13">
        <f t="shared" si="7"/>
        <v>0.45</v>
      </c>
      <c r="F51" s="1">
        <v>5</v>
      </c>
      <c r="G51" s="13">
        <f t="shared" si="8"/>
        <v>0.25</v>
      </c>
      <c r="H51" s="1">
        <v>0</v>
      </c>
      <c r="I51" s="13">
        <f t="shared" si="9"/>
        <v>0</v>
      </c>
      <c r="J51" s="1">
        <v>0</v>
      </c>
      <c r="K51" s="13">
        <f t="shared" si="5"/>
        <v>0</v>
      </c>
      <c r="L51" s="3">
        <f t="shared" si="4"/>
        <v>20</v>
      </c>
    </row>
    <row r="52" spans="1:12" x14ac:dyDescent="0.25">
      <c r="A52" s="5" t="s">
        <v>34</v>
      </c>
      <c r="B52" s="1">
        <v>5</v>
      </c>
      <c r="C52" s="13">
        <f t="shared" si="6"/>
        <v>0.19230769230769232</v>
      </c>
      <c r="D52" s="1">
        <v>20</v>
      </c>
      <c r="E52" s="13">
        <f t="shared" si="7"/>
        <v>0.76923076923076927</v>
      </c>
      <c r="F52" s="1">
        <v>1</v>
      </c>
      <c r="G52" s="13">
        <f t="shared" si="8"/>
        <v>3.8461538461538464E-2</v>
      </c>
      <c r="H52" s="1">
        <v>0</v>
      </c>
      <c r="I52" s="13">
        <f t="shared" si="9"/>
        <v>0</v>
      </c>
      <c r="J52" s="1">
        <v>0</v>
      </c>
      <c r="K52" s="13">
        <f t="shared" si="5"/>
        <v>0</v>
      </c>
      <c r="L52" s="3">
        <f t="shared" si="4"/>
        <v>26</v>
      </c>
    </row>
    <row r="53" spans="1:12" x14ac:dyDescent="0.25">
      <c r="A53" s="5" t="s">
        <v>35</v>
      </c>
      <c r="B53" s="1">
        <v>23</v>
      </c>
      <c r="C53" s="13">
        <f t="shared" si="6"/>
        <v>0.30666666666666664</v>
      </c>
      <c r="D53" s="1">
        <v>28</v>
      </c>
      <c r="E53" s="13">
        <f t="shared" si="7"/>
        <v>0.37333333333333335</v>
      </c>
      <c r="F53" s="1">
        <v>19</v>
      </c>
      <c r="G53" s="13">
        <f t="shared" si="8"/>
        <v>0.25333333333333335</v>
      </c>
      <c r="H53" s="1">
        <v>5</v>
      </c>
      <c r="I53" s="13">
        <f t="shared" si="9"/>
        <v>6.6666666666666666E-2</v>
      </c>
      <c r="J53" s="1">
        <v>0</v>
      </c>
      <c r="K53" s="13">
        <f t="shared" si="5"/>
        <v>0</v>
      </c>
      <c r="L53" s="3">
        <f t="shared" si="4"/>
        <v>75</v>
      </c>
    </row>
    <row r="54" spans="1:12" ht="15.75" thickBot="1" x14ac:dyDescent="0.3">
      <c r="A54" s="7" t="s">
        <v>145</v>
      </c>
      <c r="B54" s="8">
        <v>4</v>
      </c>
      <c r="C54" s="14">
        <f t="shared" si="6"/>
        <v>0.5714285714285714</v>
      </c>
      <c r="D54" s="8">
        <v>3</v>
      </c>
      <c r="E54" s="14">
        <f t="shared" si="7"/>
        <v>0.42857142857142855</v>
      </c>
      <c r="F54" s="8">
        <v>0</v>
      </c>
      <c r="G54" s="14">
        <f t="shared" si="8"/>
        <v>0</v>
      </c>
      <c r="H54" s="8">
        <v>0</v>
      </c>
      <c r="I54" s="14">
        <f t="shared" si="9"/>
        <v>0</v>
      </c>
      <c r="J54" s="8">
        <v>0</v>
      </c>
      <c r="K54" s="14">
        <f t="shared" si="5"/>
        <v>0</v>
      </c>
      <c r="L54" s="6">
        <f t="shared" si="4"/>
        <v>7</v>
      </c>
    </row>
    <row r="55" spans="1:12" ht="16.5" thickTop="1" thickBot="1" x14ac:dyDescent="0.3">
      <c r="A55" s="2" t="s">
        <v>41</v>
      </c>
      <c r="B55" s="2">
        <f>SUM(B6:B54)</f>
        <v>700</v>
      </c>
      <c r="C55" s="15">
        <f t="shared" si="6"/>
        <v>0.25225225225225223</v>
      </c>
      <c r="D55" s="2">
        <f>SUM(D6:D54)</f>
        <v>1565</v>
      </c>
      <c r="E55" s="15">
        <f t="shared" si="7"/>
        <v>0.56396396396396398</v>
      </c>
      <c r="F55" s="2">
        <f>SUM(F6:F54)</f>
        <v>452</v>
      </c>
      <c r="G55" s="15">
        <f t="shared" si="8"/>
        <v>0.16288288288288288</v>
      </c>
      <c r="H55" s="2">
        <f>SUM(H6:H54)</f>
        <v>50</v>
      </c>
      <c r="I55" s="15">
        <f t="shared" si="9"/>
        <v>1.8018018018018018E-2</v>
      </c>
      <c r="J55" s="2">
        <f>SUM(J6:J54)</f>
        <v>8</v>
      </c>
      <c r="K55" s="15">
        <f t="shared" si="5"/>
        <v>2.8828828828828829E-3</v>
      </c>
      <c r="L55" s="4">
        <f>SUM(L6:L54)</f>
        <v>2775</v>
      </c>
    </row>
    <row r="56" spans="1:12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ht="15" customHeight="1" x14ac:dyDescent="0.25">
      <c r="A57" s="43" t="s">
        <v>57</v>
      </c>
      <c r="B57" s="35" t="s">
        <v>52</v>
      </c>
      <c r="C57" s="36"/>
      <c r="D57" s="35" t="s">
        <v>53</v>
      </c>
      <c r="E57" s="36"/>
      <c r="F57" s="35" t="s">
        <v>54</v>
      </c>
      <c r="G57" s="36"/>
      <c r="H57" s="35" t="s">
        <v>55</v>
      </c>
      <c r="I57" s="36"/>
      <c r="J57" s="35" t="s">
        <v>46</v>
      </c>
      <c r="K57" s="36"/>
      <c r="L57" s="39" t="s">
        <v>0</v>
      </c>
    </row>
    <row r="58" spans="1:12" x14ac:dyDescent="0.25">
      <c r="A58" s="44"/>
      <c r="B58" s="37"/>
      <c r="C58" s="38"/>
      <c r="D58" s="37"/>
      <c r="E58" s="38"/>
      <c r="F58" s="37"/>
      <c r="G58" s="38"/>
      <c r="H58" s="37"/>
      <c r="I58" s="38"/>
      <c r="J58" s="37"/>
      <c r="K58" s="38"/>
      <c r="L58" s="40"/>
    </row>
    <row r="59" spans="1:12" x14ac:dyDescent="0.25">
      <c r="A59" s="5" t="s">
        <v>62</v>
      </c>
      <c r="B59" s="1">
        <v>100</v>
      </c>
      <c r="C59" s="13">
        <f t="shared" ref="C59:C67" si="10">B59/L59</f>
        <v>0.24449877750611246</v>
      </c>
      <c r="D59" s="1">
        <v>260</v>
      </c>
      <c r="E59" s="13">
        <f t="shared" ref="E59:E67" si="11">D59/L59</f>
        <v>0.63569682151589246</v>
      </c>
      <c r="F59" s="1">
        <v>45</v>
      </c>
      <c r="G59" s="13">
        <f t="shared" ref="G59:G67" si="12">F59/L59</f>
        <v>0.1100244498777506</v>
      </c>
      <c r="H59" s="1">
        <v>2</v>
      </c>
      <c r="I59" s="13">
        <f t="shared" ref="I59:I67" si="13">H59/L59</f>
        <v>4.8899755501222494E-3</v>
      </c>
      <c r="J59" s="1">
        <v>2</v>
      </c>
      <c r="K59" s="13">
        <f t="shared" ref="K59:K67" si="14">J59/L59</f>
        <v>4.8899755501222494E-3</v>
      </c>
      <c r="L59" s="3">
        <f t="shared" ref="L59:L64" si="15">B59+D59+F59+H59+J59</f>
        <v>409</v>
      </c>
    </row>
    <row r="60" spans="1:12" x14ac:dyDescent="0.25">
      <c r="A60" s="5" t="s">
        <v>119</v>
      </c>
      <c r="B60" s="1">
        <v>91</v>
      </c>
      <c r="C60" s="13">
        <f t="shared" si="10"/>
        <v>0.29166666666666669</v>
      </c>
      <c r="D60" s="1">
        <v>203</v>
      </c>
      <c r="E60" s="13">
        <f t="shared" si="11"/>
        <v>0.65064102564102566</v>
      </c>
      <c r="F60" s="1">
        <v>16</v>
      </c>
      <c r="G60" s="13">
        <f t="shared" si="12"/>
        <v>5.128205128205128E-2</v>
      </c>
      <c r="H60" s="1">
        <v>2</v>
      </c>
      <c r="I60" s="13">
        <f t="shared" si="13"/>
        <v>6.41025641025641E-3</v>
      </c>
      <c r="J60" s="1">
        <v>0</v>
      </c>
      <c r="K60" s="13">
        <f t="shared" si="14"/>
        <v>0</v>
      </c>
      <c r="L60" s="3">
        <f t="shared" si="15"/>
        <v>312</v>
      </c>
    </row>
    <row r="61" spans="1:12" x14ac:dyDescent="0.25">
      <c r="A61" s="5" t="s">
        <v>63</v>
      </c>
      <c r="B61" s="1">
        <v>18</v>
      </c>
      <c r="C61" s="13">
        <f t="shared" si="10"/>
        <v>0.15</v>
      </c>
      <c r="D61" s="1">
        <v>63</v>
      </c>
      <c r="E61" s="13">
        <f t="shared" si="11"/>
        <v>0.52500000000000002</v>
      </c>
      <c r="F61" s="1">
        <v>36</v>
      </c>
      <c r="G61" s="13">
        <f t="shared" si="12"/>
        <v>0.3</v>
      </c>
      <c r="H61" s="1">
        <v>2</v>
      </c>
      <c r="I61" s="13">
        <f t="shared" si="13"/>
        <v>1.6666666666666666E-2</v>
      </c>
      <c r="J61" s="1">
        <v>1</v>
      </c>
      <c r="K61" s="13">
        <f t="shared" si="14"/>
        <v>8.3333333333333332E-3</v>
      </c>
      <c r="L61" s="3">
        <f t="shared" si="15"/>
        <v>120</v>
      </c>
    </row>
    <row r="62" spans="1:12" x14ac:dyDescent="0.25">
      <c r="A62" s="5" t="s">
        <v>103</v>
      </c>
      <c r="B62" s="1">
        <v>83</v>
      </c>
      <c r="C62" s="13">
        <f t="shared" si="10"/>
        <v>0.28424657534246578</v>
      </c>
      <c r="D62" s="1">
        <v>133</v>
      </c>
      <c r="E62" s="13">
        <f t="shared" si="11"/>
        <v>0.45547945205479451</v>
      </c>
      <c r="F62" s="1">
        <v>64</v>
      </c>
      <c r="G62" s="13">
        <f t="shared" si="12"/>
        <v>0.21917808219178081</v>
      </c>
      <c r="H62" s="1">
        <v>11</v>
      </c>
      <c r="I62" s="13">
        <f t="shared" si="13"/>
        <v>3.7671232876712327E-2</v>
      </c>
      <c r="J62" s="1">
        <v>1</v>
      </c>
      <c r="K62" s="13">
        <f t="shared" si="14"/>
        <v>3.4246575342465752E-3</v>
      </c>
      <c r="L62" s="3">
        <f t="shared" si="15"/>
        <v>292</v>
      </c>
    </row>
    <row r="63" spans="1:12" x14ac:dyDescent="0.25">
      <c r="A63" s="5" t="s">
        <v>1</v>
      </c>
      <c r="B63" s="1">
        <v>29</v>
      </c>
      <c r="C63" s="13">
        <f t="shared" si="10"/>
        <v>0.18954248366013071</v>
      </c>
      <c r="D63" s="1">
        <v>101</v>
      </c>
      <c r="E63" s="13">
        <f t="shared" si="11"/>
        <v>0.66013071895424835</v>
      </c>
      <c r="F63" s="1">
        <v>23</v>
      </c>
      <c r="G63" s="13">
        <f t="shared" si="12"/>
        <v>0.15032679738562091</v>
      </c>
      <c r="H63" s="1">
        <v>0</v>
      </c>
      <c r="I63" s="13">
        <f t="shared" si="13"/>
        <v>0</v>
      </c>
      <c r="J63" s="1">
        <v>0</v>
      </c>
      <c r="K63" s="13">
        <f t="shared" si="14"/>
        <v>0</v>
      </c>
      <c r="L63" s="3">
        <f t="shared" si="15"/>
        <v>153</v>
      </c>
    </row>
    <row r="64" spans="1:12" x14ac:dyDescent="0.25">
      <c r="A64" s="5" t="s">
        <v>66</v>
      </c>
      <c r="B64" s="1">
        <v>107</v>
      </c>
      <c r="C64" s="13">
        <f t="shared" si="10"/>
        <v>0.2296137339055794</v>
      </c>
      <c r="D64" s="1">
        <v>272</v>
      </c>
      <c r="E64" s="13">
        <f t="shared" si="11"/>
        <v>0.58369098712446355</v>
      </c>
      <c r="F64" s="1">
        <v>79</v>
      </c>
      <c r="G64" s="13">
        <f t="shared" si="12"/>
        <v>0.16952789699570817</v>
      </c>
      <c r="H64" s="1">
        <v>7</v>
      </c>
      <c r="I64" s="13">
        <f t="shared" si="13"/>
        <v>1.5021459227467811E-2</v>
      </c>
      <c r="J64" s="1">
        <v>1</v>
      </c>
      <c r="K64" s="13">
        <f t="shared" si="14"/>
        <v>2.1459227467811159E-3</v>
      </c>
      <c r="L64" s="3">
        <f t="shared" si="15"/>
        <v>466</v>
      </c>
    </row>
    <row r="65" spans="1:12" x14ac:dyDescent="0.25">
      <c r="A65" s="5" t="s">
        <v>67</v>
      </c>
      <c r="B65" s="1">
        <v>156</v>
      </c>
      <c r="C65" s="13">
        <f t="shared" si="10"/>
        <v>0.33191489361702126</v>
      </c>
      <c r="D65" s="1">
        <v>191</v>
      </c>
      <c r="E65" s="13">
        <f t="shared" si="11"/>
        <v>0.40638297872340423</v>
      </c>
      <c r="F65" s="1">
        <v>105</v>
      </c>
      <c r="G65" s="13">
        <f t="shared" si="12"/>
        <v>0.22340425531914893</v>
      </c>
      <c r="H65" s="1">
        <v>17</v>
      </c>
      <c r="I65" s="13">
        <f t="shared" si="13"/>
        <v>3.6170212765957444E-2</v>
      </c>
      <c r="J65" s="1">
        <v>1</v>
      </c>
      <c r="K65" s="13">
        <f t="shared" si="14"/>
        <v>2.1276595744680851E-3</v>
      </c>
      <c r="L65" s="3">
        <f>B65+D65+F65+H65+J65</f>
        <v>470</v>
      </c>
    </row>
    <row r="66" spans="1:12" ht="15.75" thickBot="1" x14ac:dyDescent="0.3">
      <c r="A66" s="7" t="s">
        <v>68</v>
      </c>
      <c r="B66" s="8">
        <v>116</v>
      </c>
      <c r="C66" s="14">
        <f t="shared" si="10"/>
        <v>0.20976491862567812</v>
      </c>
      <c r="D66" s="8">
        <v>342</v>
      </c>
      <c r="E66" s="14">
        <f t="shared" si="11"/>
        <v>0.6184448462929476</v>
      </c>
      <c r="F66" s="8">
        <v>84</v>
      </c>
      <c r="G66" s="14">
        <f t="shared" si="12"/>
        <v>0.15189873417721519</v>
      </c>
      <c r="H66" s="8">
        <v>9</v>
      </c>
      <c r="I66" s="14">
        <f t="shared" si="13"/>
        <v>1.62748643761302E-2</v>
      </c>
      <c r="J66" s="8">
        <v>2</v>
      </c>
      <c r="K66" s="14">
        <f t="shared" si="14"/>
        <v>3.616636528028933E-3</v>
      </c>
      <c r="L66" s="6">
        <f>B66+D66+F66+H66+J66</f>
        <v>553</v>
      </c>
    </row>
    <row r="67" spans="1:12" ht="16.5" thickTop="1" thickBot="1" x14ac:dyDescent="0.3">
      <c r="A67" s="2" t="s">
        <v>41</v>
      </c>
      <c r="B67" s="2">
        <f>SUM(B59:B66)</f>
        <v>700</v>
      </c>
      <c r="C67" s="15">
        <f t="shared" si="10"/>
        <v>0.25225225225225223</v>
      </c>
      <c r="D67" s="2">
        <f>SUM(D59:D66)</f>
        <v>1565</v>
      </c>
      <c r="E67" s="15">
        <f t="shared" si="11"/>
        <v>0.56396396396396398</v>
      </c>
      <c r="F67" s="2">
        <f>SUM(F59:F66)</f>
        <v>452</v>
      </c>
      <c r="G67" s="15">
        <f t="shared" si="12"/>
        <v>0.16288288288288288</v>
      </c>
      <c r="H67" s="2">
        <f>SUM(H59:H66)</f>
        <v>50</v>
      </c>
      <c r="I67" s="15">
        <f t="shared" si="13"/>
        <v>1.8018018018018018E-2</v>
      </c>
      <c r="J67" s="2">
        <f>SUM(J59:J66)</f>
        <v>8</v>
      </c>
      <c r="K67" s="15">
        <f t="shared" si="14"/>
        <v>2.8828828828828829E-3</v>
      </c>
      <c r="L67" s="4">
        <f>SUM(L59:L66)</f>
        <v>2775</v>
      </c>
    </row>
    <row r="69" spans="1:12" ht="15.75" x14ac:dyDescent="0.25">
      <c r="A69" s="11"/>
    </row>
    <row r="71" spans="1:12" x14ac:dyDescent="0.25">
      <c r="A71" s="12" t="s">
        <v>58</v>
      </c>
      <c r="B71" s="12"/>
      <c r="C71" s="12"/>
      <c r="D71" s="12"/>
      <c r="E71" s="12"/>
      <c r="F71" s="12"/>
      <c r="G71" s="12"/>
      <c r="H71" s="12"/>
      <c r="I71" s="12"/>
    </row>
    <row r="72" spans="1:12" ht="15.75" thickBot="1" x14ac:dyDescent="0.3">
      <c r="A72" s="12"/>
      <c r="D72" s="21"/>
      <c r="E72" s="21"/>
      <c r="F72" s="12"/>
      <c r="G72" s="12"/>
      <c r="H72" s="12"/>
      <c r="I72" s="12"/>
    </row>
    <row r="73" spans="1:12" x14ac:dyDescent="0.25">
      <c r="A73" s="26"/>
      <c r="B73" s="41" t="s">
        <v>79</v>
      </c>
      <c r="C73" s="42"/>
      <c r="D73" s="21"/>
      <c r="E73" s="21"/>
      <c r="F73" s="12"/>
      <c r="G73" s="12"/>
      <c r="H73" s="12"/>
      <c r="I73" s="12"/>
    </row>
    <row r="74" spans="1:12" ht="15.75" thickBot="1" x14ac:dyDescent="0.3">
      <c r="A74" s="24" t="s">
        <v>78</v>
      </c>
      <c r="B74" s="32" t="s">
        <v>141</v>
      </c>
      <c r="C74" s="33"/>
      <c r="F74" s="12"/>
      <c r="G74" s="12"/>
      <c r="H74" s="12"/>
      <c r="I74" s="12"/>
    </row>
    <row r="75" spans="1:12" x14ac:dyDescent="0.25">
      <c r="A75" s="12"/>
      <c r="B75" s="12"/>
      <c r="C75" s="12"/>
      <c r="D75" s="12"/>
      <c r="E75" s="12"/>
      <c r="F75" s="12"/>
      <c r="G75" s="12"/>
      <c r="H75" s="12"/>
      <c r="I75" s="12"/>
    </row>
    <row r="76" spans="1:12" x14ac:dyDescent="0.25">
      <c r="A76" s="18"/>
      <c r="B76" s="18"/>
      <c r="C76" s="18"/>
      <c r="D76" s="18"/>
      <c r="E76" s="18"/>
      <c r="F76" s="18"/>
      <c r="G76" s="18"/>
      <c r="H76" s="18"/>
      <c r="I76" s="18"/>
    </row>
    <row r="77" spans="1:12" x14ac:dyDescent="0.25">
      <c r="A77" s="34" t="s">
        <v>140</v>
      </c>
      <c r="B77" s="34"/>
      <c r="C77" s="34"/>
      <c r="D77" s="34"/>
      <c r="E77" s="34"/>
      <c r="F77" s="34"/>
      <c r="G77" s="34"/>
      <c r="H77" s="34"/>
      <c r="I77" s="34"/>
    </row>
  </sheetData>
  <mergeCells count="16">
    <mergeCell ref="A2:M2"/>
    <mergeCell ref="L57:L58"/>
    <mergeCell ref="B73:C73"/>
    <mergeCell ref="B74:C74"/>
    <mergeCell ref="A77:I77"/>
    <mergeCell ref="A57:A58"/>
    <mergeCell ref="B57:C58"/>
    <mergeCell ref="D57:E58"/>
    <mergeCell ref="F57:G58"/>
    <mergeCell ref="H57:I58"/>
    <mergeCell ref="J57:K58"/>
    <mergeCell ref="B5:C5"/>
    <mergeCell ref="D5:E5"/>
    <mergeCell ref="F5:G5"/>
    <mergeCell ref="H5:I5"/>
    <mergeCell ref="J5:K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76"/>
  <sheetViews>
    <sheetView tabSelected="1" view="pageLayout" zoomScale="70" zoomScaleNormal="100" zoomScalePageLayoutView="70" workbookViewId="0">
      <selection activeCell="A45" sqref="A45"/>
    </sheetView>
  </sheetViews>
  <sheetFormatPr defaultRowHeight="15" x14ac:dyDescent="0.25"/>
  <cols>
    <col min="1" max="1" width="26.85546875" style="10" customWidth="1"/>
    <col min="2" max="12" width="5.42578125" style="10" customWidth="1"/>
    <col min="13" max="16384" width="9.140625" style="10"/>
  </cols>
  <sheetData>
    <row r="1" spans="1:12" ht="23.25" x14ac:dyDescent="0.25">
      <c r="A1" s="9" t="s">
        <v>44</v>
      </c>
    </row>
    <row r="2" spans="1:12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2" ht="18" x14ac:dyDescent="0.25">
      <c r="A3" s="19" t="s">
        <v>161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2" ht="16.5" thickBot="1" x14ac:dyDescent="0.3">
      <c r="A4" s="11"/>
    </row>
    <row r="5" spans="1:12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46</v>
      </c>
      <c r="K5" s="29"/>
      <c r="L5" s="23" t="s">
        <v>0</v>
      </c>
    </row>
    <row r="6" spans="1:12" ht="13.5" customHeight="1" x14ac:dyDescent="0.25">
      <c r="A6" s="5" t="s">
        <v>5</v>
      </c>
      <c r="B6" s="1">
        <v>14</v>
      </c>
      <c r="C6" s="13">
        <f t="shared" ref="C6:C37" si="0">B6/L6</f>
        <v>0.25</v>
      </c>
      <c r="D6" s="1">
        <v>41</v>
      </c>
      <c r="E6" s="13">
        <f t="shared" ref="E6:E37" si="1">D6/L6</f>
        <v>0.7321428571428571</v>
      </c>
      <c r="F6" s="1">
        <v>1</v>
      </c>
      <c r="G6" s="13">
        <f t="shared" ref="G6:G37" si="2">F6/L6</f>
        <v>1.7857142857142856E-2</v>
      </c>
      <c r="H6" s="1">
        <v>0</v>
      </c>
      <c r="I6" s="13">
        <f t="shared" ref="I6:I37" si="3">H6/L6</f>
        <v>0</v>
      </c>
      <c r="J6" s="1">
        <v>0</v>
      </c>
      <c r="K6" s="13">
        <f>J6/L6</f>
        <v>0</v>
      </c>
      <c r="L6" s="3">
        <f t="shared" ref="L6:L54" si="4">B6+D6+F6+H6+J6</f>
        <v>56</v>
      </c>
    </row>
    <row r="7" spans="1:12" ht="13.5" customHeight="1" x14ac:dyDescent="0.25">
      <c r="A7" s="5" t="s">
        <v>6</v>
      </c>
      <c r="B7" s="1">
        <v>17</v>
      </c>
      <c r="C7" s="13">
        <f t="shared" si="0"/>
        <v>0.33333333333333331</v>
      </c>
      <c r="D7" s="1">
        <v>32</v>
      </c>
      <c r="E7" s="13">
        <f t="shared" si="1"/>
        <v>0.62745098039215685</v>
      </c>
      <c r="F7" s="1">
        <v>2</v>
      </c>
      <c r="G7" s="13">
        <f t="shared" si="2"/>
        <v>3.9215686274509803E-2</v>
      </c>
      <c r="H7" s="1">
        <v>0</v>
      </c>
      <c r="I7" s="13">
        <f t="shared" si="3"/>
        <v>0</v>
      </c>
      <c r="J7" s="1">
        <v>0</v>
      </c>
      <c r="K7" s="13">
        <f>J7/L7</f>
        <v>0</v>
      </c>
      <c r="L7" s="3">
        <f t="shared" si="4"/>
        <v>51</v>
      </c>
    </row>
    <row r="8" spans="1:12" ht="13.5" customHeight="1" x14ac:dyDescent="0.25">
      <c r="A8" s="5" t="s">
        <v>93</v>
      </c>
      <c r="B8" s="1">
        <v>16</v>
      </c>
      <c r="C8" s="13">
        <f t="shared" si="0"/>
        <v>0.20512820512820512</v>
      </c>
      <c r="D8" s="1">
        <v>46</v>
      </c>
      <c r="E8" s="13">
        <f t="shared" si="1"/>
        <v>0.58974358974358976</v>
      </c>
      <c r="F8" s="1">
        <v>15</v>
      </c>
      <c r="G8" s="13">
        <f t="shared" si="2"/>
        <v>0.19230769230769232</v>
      </c>
      <c r="H8" s="1">
        <v>1</v>
      </c>
      <c r="I8" s="13">
        <f t="shared" si="3"/>
        <v>1.282051282051282E-2</v>
      </c>
      <c r="J8" s="1">
        <v>0</v>
      </c>
      <c r="K8" s="13">
        <f>J8/L8</f>
        <v>0</v>
      </c>
      <c r="L8" s="3">
        <f t="shared" si="4"/>
        <v>78</v>
      </c>
    </row>
    <row r="9" spans="1:12" ht="13.5" customHeight="1" x14ac:dyDescent="0.25">
      <c r="A9" s="5" t="s">
        <v>120</v>
      </c>
      <c r="B9" s="1">
        <v>2</v>
      </c>
      <c r="C9" s="13">
        <f t="shared" si="0"/>
        <v>9.0909090909090912E-2</v>
      </c>
      <c r="D9" s="1">
        <v>8</v>
      </c>
      <c r="E9" s="13">
        <f t="shared" si="1"/>
        <v>0.36363636363636365</v>
      </c>
      <c r="F9" s="1">
        <v>10</v>
      </c>
      <c r="G9" s="13">
        <f t="shared" si="2"/>
        <v>0.45454545454545453</v>
      </c>
      <c r="H9" s="1">
        <v>2</v>
      </c>
      <c r="I9" s="13">
        <f t="shared" si="3"/>
        <v>9.0909090909090912E-2</v>
      </c>
      <c r="J9" s="1">
        <v>0</v>
      </c>
      <c r="K9" s="13">
        <f t="shared" ref="K9:K55" si="5">J9/L9</f>
        <v>0</v>
      </c>
      <c r="L9" s="3">
        <f t="shared" si="4"/>
        <v>22</v>
      </c>
    </row>
    <row r="10" spans="1:12" ht="13.5" customHeight="1" x14ac:dyDescent="0.25">
      <c r="A10" s="5" t="s">
        <v>121</v>
      </c>
      <c r="B10" s="1">
        <v>4</v>
      </c>
      <c r="C10" s="13">
        <f t="shared" si="0"/>
        <v>0.16</v>
      </c>
      <c r="D10" s="1">
        <v>12</v>
      </c>
      <c r="E10" s="13">
        <f t="shared" si="1"/>
        <v>0.48</v>
      </c>
      <c r="F10" s="1">
        <v>8</v>
      </c>
      <c r="G10" s="13">
        <f t="shared" si="2"/>
        <v>0.32</v>
      </c>
      <c r="H10" s="1">
        <v>1</v>
      </c>
      <c r="I10" s="13">
        <f t="shared" si="3"/>
        <v>0.04</v>
      </c>
      <c r="J10" s="1">
        <v>0</v>
      </c>
      <c r="K10" s="13">
        <f t="shared" si="5"/>
        <v>0</v>
      </c>
      <c r="L10" s="3">
        <f t="shared" si="4"/>
        <v>25</v>
      </c>
    </row>
    <row r="11" spans="1:12" ht="13.5" customHeight="1" x14ac:dyDescent="0.25">
      <c r="A11" s="5" t="s">
        <v>70</v>
      </c>
      <c r="B11" s="1">
        <v>13</v>
      </c>
      <c r="C11" s="13">
        <f t="shared" si="0"/>
        <v>0.43333333333333335</v>
      </c>
      <c r="D11" s="1">
        <v>15</v>
      </c>
      <c r="E11" s="13">
        <f t="shared" si="1"/>
        <v>0.5</v>
      </c>
      <c r="F11" s="1">
        <v>1</v>
      </c>
      <c r="G11" s="13">
        <f t="shared" si="2"/>
        <v>3.3333333333333333E-2</v>
      </c>
      <c r="H11" s="1">
        <v>1</v>
      </c>
      <c r="I11" s="13">
        <f t="shared" si="3"/>
        <v>3.3333333333333333E-2</v>
      </c>
      <c r="J11" s="1">
        <v>0</v>
      </c>
      <c r="K11" s="13">
        <f t="shared" si="5"/>
        <v>0</v>
      </c>
      <c r="L11" s="3">
        <f t="shared" si="4"/>
        <v>30</v>
      </c>
    </row>
    <row r="12" spans="1:12" ht="13.5" customHeight="1" x14ac:dyDescent="0.25">
      <c r="A12" s="5" t="s">
        <v>132</v>
      </c>
      <c r="B12" s="1">
        <v>49</v>
      </c>
      <c r="C12" s="13">
        <f t="shared" si="0"/>
        <v>0.2</v>
      </c>
      <c r="D12" s="1">
        <v>134</v>
      </c>
      <c r="E12" s="13">
        <f t="shared" si="1"/>
        <v>0.54693877551020409</v>
      </c>
      <c r="F12" s="1">
        <v>51</v>
      </c>
      <c r="G12" s="13">
        <f t="shared" si="2"/>
        <v>0.20816326530612245</v>
      </c>
      <c r="H12" s="1">
        <v>11</v>
      </c>
      <c r="I12" s="13">
        <f t="shared" si="3"/>
        <v>4.4897959183673466E-2</v>
      </c>
      <c r="J12" s="1">
        <v>0</v>
      </c>
      <c r="K12" s="13">
        <f t="shared" si="5"/>
        <v>0</v>
      </c>
      <c r="L12" s="3">
        <f t="shared" si="4"/>
        <v>245</v>
      </c>
    </row>
    <row r="13" spans="1:12" ht="13.5" customHeight="1" x14ac:dyDescent="0.25">
      <c r="A13" s="5" t="s">
        <v>71</v>
      </c>
      <c r="B13" s="1">
        <v>4</v>
      </c>
      <c r="C13" s="13">
        <f t="shared" si="0"/>
        <v>0.1111111111111111</v>
      </c>
      <c r="D13" s="1">
        <v>19</v>
      </c>
      <c r="E13" s="13">
        <f t="shared" si="1"/>
        <v>0.52777777777777779</v>
      </c>
      <c r="F13" s="1">
        <v>11</v>
      </c>
      <c r="G13" s="13">
        <f t="shared" si="2"/>
        <v>0.30555555555555558</v>
      </c>
      <c r="H13" s="1">
        <v>2</v>
      </c>
      <c r="I13" s="13">
        <f t="shared" si="3"/>
        <v>5.5555555555555552E-2</v>
      </c>
      <c r="J13" s="1">
        <v>0</v>
      </c>
      <c r="K13" s="13">
        <f t="shared" si="5"/>
        <v>0</v>
      </c>
      <c r="L13" s="3">
        <f t="shared" si="4"/>
        <v>36</v>
      </c>
    </row>
    <row r="14" spans="1:12" ht="13.5" customHeight="1" x14ac:dyDescent="0.25">
      <c r="A14" s="5" t="s">
        <v>10</v>
      </c>
      <c r="B14" s="1">
        <v>15</v>
      </c>
      <c r="C14" s="13">
        <f t="shared" si="0"/>
        <v>0.28846153846153844</v>
      </c>
      <c r="D14" s="1">
        <v>21</v>
      </c>
      <c r="E14" s="13">
        <f t="shared" si="1"/>
        <v>0.40384615384615385</v>
      </c>
      <c r="F14" s="1">
        <v>13</v>
      </c>
      <c r="G14" s="13">
        <f t="shared" si="2"/>
        <v>0.25</v>
      </c>
      <c r="H14" s="1">
        <v>3</v>
      </c>
      <c r="I14" s="13">
        <f t="shared" si="3"/>
        <v>5.7692307692307696E-2</v>
      </c>
      <c r="J14" s="1">
        <v>0</v>
      </c>
      <c r="K14" s="13">
        <f t="shared" si="5"/>
        <v>0</v>
      </c>
      <c r="L14" s="3">
        <f t="shared" si="4"/>
        <v>52</v>
      </c>
    </row>
    <row r="15" spans="1:12" ht="13.5" customHeight="1" x14ac:dyDescent="0.25">
      <c r="A15" s="5" t="s">
        <v>125</v>
      </c>
      <c r="B15" s="1">
        <v>3</v>
      </c>
      <c r="C15" s="13">
        <f t="shared" si="0"/>
        <v>0.2</v>
      </c>
      <c r="D15" s="1">
        <v>11</v>
      </c>
      <c r="E15" s="13">
        <f t="shared" si="1"/>
        <v>0.73333333333333328</v>
      </c>
      <c r="F15" s="1">
        <v>1</v>
      </c>
      <c r="G15" s="13">
        <f t="shared" si="2"/>
        <v>6.6666666666666666E-2</v>
      </c>
      <c r="H15" s="1">
        <v>0</v>
      </c>
      <c r="I15" s="13">
        <f t="shared" si="3"/>
        <v>0</v>
      </c>
      <c r="J15" s="1">
        <v>0</v>
      </c>
      <c r="K15" s="13">
        <f t="shared" si="5"/>
        <v>0</v>
      </c>
      <c r="L15" s="3">
        <f t="shared" si="4"/>
        <v>15</v>
      </c>
    </row>
    <row r="16" spans="1:12" ht="13.5" customHeight="1" x14ac:dyDescent="0.25">
      <c r="A16" s="5" t="s">
        <v>126</v>
      </c>
      <c r="B16" s="1">
        <v>10</v>
      </c>
      <c r="C16" s="13">
        <f t="shared" si="0"/>
        <v>0.17543859649122806</v>
      </c>
      <c r="D16" s="1">
        <v>18</v>
      </c>
      <c r="E16" s="13">
        <f t="shared" si="1"/>
        <v>0.31578947368421051</v>
      </c>
      <c r="F16" s="1">
        <v>23</v>
      </c>
      <c r="G16" s="13">
        <f t="shared" si="2"/>
        <v>0.40350877192982454</v>
      </c>
      <c r="H16" s="1">
        <v>6</v>
      </c>
      <c r="I16" s="13">
        <f t="shared" si="3"/>
        <v>0.10526315789473684</v>
      </c>
      <c r="J16" s="1">
        <v>0</v>
      </c>
      <c r="K16" s="13">
        <f t="shared" si="5"/>
        <v>0</v>
      </c>
      <c r="L16" s="3">
        <f t="shared" si="4"/>
        <v>57</v>
      </c>
    </row>
    <row r="17" spans="1:12" ht="13.5" customHeight="1" x14ac:dyDescent="0.25">
      <c r="A17" s="5" t="s">
        <v>12</v>
      </c>
      <c r="B17" s="1">
        <v>7</v>
      </c>
      <c r="C17" s="13">
        <f t="shared" si="0"/>
        <v>0.2</v>
      </c>
      <c r="D17" s="1">
        <v>13</v>
      </c>
      <c r="E17" s="13">
        <f t="shared" si="1"/>
        <v>0.37142857142857144</v>
      </c>
      <c r="F17" s="1">
        <v>11</v>
      </c>
      <c r="G17" s="13">
        <f t="shared" si="2"/>
        <v>0.31428571428571428</v>
      </c>
      <c r="H17" s="1">
        <v>4</v>
      </c>
      <c r="I17" s="13">
        <f t="shared" si="3"/>
        <v>0.11428571428571428</v>
      </c>
      <c r="J17" s="1">
        <v>0</v>
      </c>
      <c r="K17" s="13">
        <f t="shared" si="5"/>
        <v>0</v>
      </c>
      <c r="L17" s="3">
        <f t="shared" si="4"/>
        <v>35</v>
      </c>
    </row>
    <row r="18" spans="1:12" ht="13.5" customHeight="1" x14ac:dyDescent="0.25">
      <c r="A18" s="5" t="s">
        <v>13</v>
      </c>
      <c r="B18" s="1">
        <v>0</v>
      </c>
      <c r="C18" s="13">
        <f t="shared" si="0"/>
        <v>0</v>
      </c>
      <c r="D18" s="1">
        <v>3</v>
      </c>
      <c r="E18" s="13">
        <f t="shared" si="1"/>
        <v>0.5</v>
      </c>
      <c r="F18" s="1">
        <v>2</v>
      </c>
      <c r="G18" s="13">
        <f t="shared" si="2"/>
        <v>0.33333333333333331</v>
      </c>
      <c r="H18" s="1">
        <v>1</v>
      </c>
      <c r="I18" s="13">
        <f t="shared" si="3"/>
        <v>0.16666666666666666</v>
      </c>
      <c r="J18" s="1">
        <v>0</v>
      </c>
      <c r="K18" s="13">
        <f t="shared" si="5"/>
        <v>0</v>
      </c>
      <c r="L18" s="3">
        <f t="shared" si="4"/>
        <v>6</v>
      </c>
    </row>
    <row r="19" spans="1:12" ht="13.5" customHeight="1" x14ac:dyDescent="0.25">
      <c r="A19" s="5" t="s">
        <v>127</v>
      </c>
      <c r="B19" s="1">
        <v>5</v>
      </c>
      <c r="C19" s="13">
        <f t="shared" si="0"/>
        <v>0.27777777777777779</v>
      </c>
      <c r="D19" s="1">
        <v>12</v>
      </c>
      <c r="E19" s="13">
        <f t="shared" si="1"/>
        <v>0.66666666666666663</v>
      </c>
      <c r="F19" s="1">
        <v>1</v>
      </c>
      <c r="G19" s="13">
        <f t="shared" si="2"/>
        <v>5.5555555555555552E-2</v>
      </c>
      <c r="H19" s="1">
        <v>0</v>
      </c>
      <c r="I19" s="13">
        <f t="shared" si="3"/>
        <v>0</v>
      </c>
      <c r="J19" s="1">
        <v>0</v>
      </c>
      <c r="K19" s="13">
        <f t="shared" si="5"/>
        <v>0</v>
      </c>
      <c r="L19" s="3">
        <f t="shared" si="4"/>
        <v>18</v>
      </c>
    </row>
    <row r="20" spans="1:12" ht="13.5" customHeight="1" x14ac:dyDescent="0.25">
      <c r="A20" s="5" t="s">
        <v>105</v>
      </c>
      <c r="B20" s="1">
        <v>8</v>
      </c>
      <c r="C20" s="13">
        <f t="shared" si="0"/>
        <v>0.2857142857142857</v>
      </c>
      <c r="D20" s="1">
        <v>13</v>
      </c>
      <c r="E20" s="13">
        <f t="shared" si="1"/>
        <v>0.4642857142857143</v>
      </c>
      <c r="F20" s="1">
        <v>6</v>
      </c>
      <c r="G20" s="13">
        <f t="shared" si="2"/>
        <v>0.21428571428571427</v>
      </c>
      <c r="H20" s="1">
        <v>1</v>
      </c>
      <c r="I20" s="13">
        <f t="shared" si="3"/>
        <v>3.5714285714285712E-2</v>
      </c>
      <c r="J20" s="1">
        <v>0</v>
      </c>
      <c r="K20" s="13">
        <f t="shared" si="5"/>
        <v>0</v>
      </c>
      <c r="L20" s="3">
        <f t="shared" si="4"/>
        <v>28</v>
      </c>
    </row>
    <row r="21" spans="1:12" ht="13.5" customHeight="1" x14ac:dyDescent="0.25">
      <c r="A21" s="5" t="s">
        <v>14</v>
      </c>
      <c r="B21" s="1">
        <v>36</v>
      </c>
      <c r="C21" s="13">
        <f t="shared" si="0"/>
        <v>0.23529411764705882</v>
      </c>
      <c r="D21" s="1">
        <v>74</v>
      </c>
      <c r="E21" s="13">
        <f t="shared" si="1"/>
        <v>0.48366013071895425</v>
      </c>
      <c r="F21" s="1">
        <v>38</v>
      </c>
      <c r="G21" s="13">
        <f t="shared" si="2"/>
        <v>0.24836601307189543</v>
      </c>
      <c r="H21" s="1">
        <v>5</v>
      </c>
      <c r="I21" s="13">
        <f t="shared" si="3"/>
        <v>3.2679738562091505E-2</v>
      </c>
      <c r="J21" s="1">
        <v>0</v>
      </c>
      <c r="K21" s="13">
        <f t="shared" si="5"/>
        <v>0</v>
      </c>
      <c r="L21" s="3">
        <f t="shared" si="4"/>
        <v>153</v>
      </c>
    </row>
    <row r="22" spans="1:12" ht="13.5" customHeight="1" x14ac:dyDescent="0.25">
      <c r="A22" s="5" t="s">
        <v>15</v>
      </c>
      <c r="B22" s="1">
        <v>14</v>
      </c>
      <c r="C22" s="13">
        <f t="shared" si="0"/>
        <v>0.45161290322580644</v>
      </c>
      <c r="D22" s="1">
        <v>11</v>
      </c>
      <c r="E22" s="13">
        <f t="shared" si="1"/>
        <v>0.35483870967741937</v>
      </c>
      <c r="F22" s="1">
        <v>6</v>
      </c>
      <c r="G22" s="13">
        <f t="shared" si="2"/>
        <v>0.19354838709677419</v>
      </c>
      <c r="H22" s="1">
        <v>0</v>
      </c>
      <c r="I22" s="13">
        <f t="shared" si="3"/>
        <v>0</v>
      </c>
      <c r="J22" s="1">
        <v>0</v>
      </c>
      <c r="K22" s="13">
        <f t="shared" si="5"/>
        <v>0</v>
      </c>
      <c r="L22" s="3">
        <f t="shared" si="4"/>
        <v>31</v>
      </c>
    </row>
    <row r="23" spans="1:12" ht="13.5" customHeight="1" x14ac:dyDescent="0.25">
      <c r="A23" s="5" t="s">
        <v>16</v>
      </c>
      <c r="B23" s="1">
        <v>19</v>
      </c>
      <c r="C23" s="13">
        <f t="shared" si="0"/>
        <v>0.24050632911392406</v>
      </c>
      <c r="D23" s="1">
        <v>58</v>
      </c>
      <c r="E23" s="13">
        <f t="shared" si="1"/>
        <v>0.73417721518987344</v>
      </c>
      <c r="F23" s="1">
        <v>2</v>
      </c>
      <c r="G23" s="13">
        <f t="shared" si="2"/>
        <v>2.5316455696202531E-2</v>
      </c>
      <c r="H23" s="1">
        <v>0</v>
      </c>
      <c r="I23" s="13">
        <f t="shared" si="3"/>
        <v>0</v>
      </c>
      <c r="J23" s="1">
        <v>0</v>
      </c>
      <c r="K23" s="13">
        <f t="shared" si="5"/>
        <v>0</v>
      </c>
      <c r="L23" s="3">
        <f t="shared" si="4"/>
        <v>79</v>
      </c>
    </row>
    <row r="24" spans="1:12" ht="13.5" customHeight="1" x14ac:dyDescent="0.25">
      <c r="A24" s="5" t="s">
        <v>109</v>
      </c>
      <c r="B24" s="1">
        <v>10</v>
      </c>
      <c r="C24" s="13">
        <f t="shared" si="0"/>
        <v>0.27027027027027029</v>
      </c>
      <c r="D24" s="1">
        <v>26</v>
      </c>
      <c r="E24" s="13">
        <f t="shared" si="1"/>
        <v>0.70270270270270274</v>
      </c>
      <c r="F24" s="1">
        <v>1</v>
      </c>
      <c r="G24" s="13">
        <f t="shared" si="2"/>
        <v>2.7027027027027029E-2</v>
      </c>
      <c r="H24" s="1">
        <v>0</v>
      </c>
      <c r="I24" s="13">
        <f t="shared" si="3"/>
        <v>0</v>
      </c>
      <c r="J24" s="1">
        <v>0</v>
      </c>
      <c r="K24" s="13">
        <f t="shared" si="5"/>
        <v>0</v>
      </c>
      <c r="L24" s="3">
        <f t="shared" si="4"/>
        <v>37</v>
      </c>
    </row>
    <row r="25" spans="1:12" ht="13.5" customHeight="1" x14ac:dyDescent="0.25">
      <c r="A25" s="5" t="s">
        <v>17</v>
      </c>
      <c r="B25" s="1">
        <v>11</v>
      </c>
      <c r="C25" s="13">
        <f t="shared" si="0"/>
        <v>0.31428571428571428</v>
      </c>
      <c r="D25" s="1">
        <v>24</v>
      </c>
      <c r="E25" s="13">
        <f t="shared" si="1"/>
        <v>0.68571428571428572</v>
      </c>
      <c r="F25" s="1">
        <v>0</v>
      </c>
      <c r="G25" s="13">
        <f t="shared" si="2"/>
        <v>0</v>
      </c>
      <c r="H25" s="1">
        <v>0</v>
      </c>
      <c r="I25" s="13">
        <f t="shared" si="3"/>
        <v>0</v>
      </c>
      <c r="J25" s="1">
        <v>0</v>
      </c>
      <c r="K25" s="13">
        <f t="shared" si="5"/>
        <v>0</v>
      </c>
      <c r="L25" s="3">
        <f t="shared" si="4"/>
        <v>35</v>
      </c>
    </row>
    <row r="26" spans="1:12" ht="13.5" customHeight="1" x14ac:dyDescent="0.25">
      <c r="A26" s="5" t="s">
        <v>18</v>
      </c>
      <c r="B26" s="1">
        <v>6</v>
      </c>
      <c r="C26" s="13">
        <f t="shared" si="0"/>
        <v>0.15789473684210525</v>
      </c>
      <c r="D26" s="1">
        <v>26</v>
      </c>
      <c r="E26" s="13">
        <f t="shared" si="1"/>
        <v>0.68421052631578949</v>
      </c>
      <c r="F26" s="1">
        <v>6</v>
      </c>
      <c r="G26" s="13">
        <f t="shared" si="2"/>
        <v>0.15789473684210525</v>
      </c>
      <c r="H26" s="1">
        <v>0</v>
      </c>
      <c r="I26" s="13">
        <f t="shared" si="3"/>
        <v>0</v>
      </c>
      <c r="J26" s="1">
        <v>0</v>
      </c>
      <c r="K26" s="13">
        <f t="shared" si="5"/>
        <v>0</v>
      </c>
      <c r="L26" s="3">
        <f t="shared" si="4"/>
        <v>38</v>
      </c>
    </row>
    <row r="27" spans="1:12" ht="13.5" customHeight="1" x14ac:dyDescent="0.25">
      <c r="A27" s="5" t="s">
        <v>19</v>
      </c>
      <c r="B27" s="1">
        <v>8</v>
      </c>
      <c r="C27" s="13">
        <f t="shared" si="0"/>
        <v>9.3023255813953487E-2</v>
      </c>
      <c r="D27" s="1">
        <v>63</v>
      </c>
      <c r="E27" s="13">
        <f t="shared" si="1"/>
        <v>0.73255813953488369</v>
      </c>
      <c r="F27" s="1">
        <v>15</v>
      </c>
      <c r="G27" s="13">
        <f t="shared" si="2"/>
        <v>0.1744186046511628</v>
      </c>
      <c r="H27" s="1">
        <v>0</v>
      </c>
      <c r="I27" s="13">
        <f t="shared" si="3"/>
        <v>0</v>
      </c>
      <c r="J27" s="1">
        <v>0</v>
      </c>
      <c r="K27" s="13">
        <f t="shared" si="5"/>
        <v>0</v>
      </c>
      <c r="L27" s="3">
        <f t="shared" si="4"/>
        <v>86</v>
      </c>
    </row>
    <row r="28" spans="1:12" ht="13.5" customHeight="1" x14ac:dyDescent="0.25">
      <c r="A28" s="5" t="s">
        <v>21</v>
      </c>
      <c r="B28" s="1">
        <v>2</v>
      </c>
      <c r="C28" s="13">
        <f t="shared" si="0"/>
        <v>7.407407407407407E-2</v>
      </c>
      <c r="D28" s="1">
        <v>18</v>
      </c>
      <c r="E28" s="13">
        <f t="shared" si="1"/>
        <v>0.66666666666666663</v>
      </c>
      <c r="F28" s="1">
        <v>7</v>
      </c>
      <c r="G28" s="13">
        <f t="shared" si="2"/>
        <v>0.25925925925925924</v>
      </c>
      <c r="H28" s="1">
        <v>0</v>
      </c>
      <c r="I28" s="13">
        <f t="shared" si="3"/>
        <v>0</v>
      </c>
      <c r="J28" s="1">
        <v>0</v>
      </c>
      <c r="K28" s="13">
        <f t="shared" si="5"/>
        <v>0</v>
      </c>
      <c r="L28" s="3">
        <f t="shared" si="4"/>
        <v>27</v>
      </c>
    </row>
    <row r="29" spans="1:12" ht="13.5" customHeight="1" x14ac:dyDescent="0.25">
      <c r="A29" s="5" t="s">
        <v>38</v>
      </c>
      <c r="B29" s="1">
        <v>13</v>
      </c>
      <c r="C29" s="13">
        <f t="shared" si="0"/>
        <v>0.29545454545454547</v>
      </c>
      <c r="D29" s="1">
        <v>22</v>
      </c>
      <c r="E29" s="13">
        <f t="shared" si="1"/>
        <v>0.5</v>
      </c>
      <c r="F29" s="1">
        <v>8</v>
      </c>
      <c r="G29" s="13">
        <f t="shared" si="2"/>
        <v>0.18181818181818182</v>
      </c>
      <c r="H29" s="1">
        <v>1</v>
      </c>
      <c r="I29" s="13">
        <f t="shared" si="3"/>
        <v>2.2727272727272728E-2</v>
      </c>
      <c r="J29" s="1">
        <v>0</v>
      </c>
      <c r="K29" s="13">
        <f t="shared" si="5"/>
        <v>0</v>
      </c>
      <c r="L29" s="3">
        <f t="shared" si="4"/>
        <v>44</v>
      </c>
    </row>
    <row r="30" spans="1:12" ht="13.5" customHeight="1" x14ac:dyDescent="0.25">
      <c r="A30" s="5" t="s">
        <v>39</v>
      </c>
      <c r="B30" s="1">
        <v>0</v>
      </c>
      <c r="C30" s="13">
        <f t="shared" si="0"/>
        <v>0</v>
      </c>
      <c r="D30" s="1">
        <v>2</v>
      </c>
      <c r="E30" s="13">
        <f t="shared" si="1"/>
        <v>1</v>
      </c>
      <c r="F30" s="1">
        <v>0</v>
      </c>
      <c r="G30" s="13">
        <f t="shared" si="2"/>
        <v>0</v>
      </c>
      <c r="H30" s="1">
        <v>0</v>
      </c>
      <c r="I30" s="13">
        <f t="shared" si="3"/>
        <v>0</v>
      </c>
      <c r="J30" s="1">
        <v>0</v>
      </c>
      <c r="K30" s="13">
        <f t="shared" si="5"/>
        <v>0</v>
      </c>
      <c r="L30" s="3">
        <f t="shared" si="4"/>
        <v>2</v>
      </c>
    </row>
    <row r="31" spans="1:12" ht="13.5" customHeight="1" x14ac:dyDescent="0.25">
      <c r="A31" s="5" t="s">
        <v>22</v>
      </c>
      <c r="B31" s="1">
        <v>27</v>
      </c>
      <c r="C31" s="13">
        <f t="shared" si="0"/>
        <v>0.36486486486486486</v>
      </c>
      <c r="D31" s="1">
        <v>46</v>
      </c>
      <c r="E31" s="13">
        <f t="shared" si="1"/>
        <v>0.6216216216216216</v>
      </c>
      <c r="F31" s="1">
        <v>1</v>
      </c>
      <c r="G31" s="13">
        <f t="shared" si="2"/>
        <v>1.3513513513513514E-2</v>
      </c>
      <c r="H31" s="1">
        <v>0</v>
      </c>
      <c r="I31" s="13">
        <f t="shared" si="3"/>
        <v>0</v>
      </c>
      <c r="J31" s="1">
        <v>0</v>
      </c>
      <c r="K31" s="13">
        <f t="shared" si="5"/>
        <v>0</v>
      </c>
      <c r="L31" s="3">
        <f t="shared" si="4"/>
        <v>74</v>
      </c>
    </row>
    <row r="32" spans="1:12" ht="13.5" customHeight="1" x14ac:dyDescent="0.25">
      <c r="A32" s="5" t="s">
        <v>40</v>
      </c>
      <c r="B32" s="1">
        <v>3</v>
      </c>
      <c r="C32" s="13">
        <f t="shared" si="0"/>
        <v>6.6666666666666666E-2</v>
      </c>
      <c r="D32" s="1">
        <v>38</v>
      </c>
      <c r="E32" s="13">
        <f t="shared" si="1"/>
        <v>0.84444444444444444</v>
      </c>
      <c r="F32" s="1">
        <v>4</v>
      </c>
      <c r="G32" s="13">
        <f t="shared" si="2"/>
        <v>8.8888888888888892E-2</v>
      </c>
      <c r="H32" s="1">
        <v>0</v>
      </c>
      <c r="I32" s="13">
        <f t="shared" si="3"/>
        <v>0</v>
      </c>
      <c r="J32" s="1">
        <v>0</v>
      </c>
      <c r="K32" s="13">
        <f t="shared" si="5"/>
        <v>0</v>
      </c>
      <c r="L32" s="3">
        <f t="shared" si="4"/>
        <v>45</v>
      </c>
    </row>
    <row r="33" spans="1:12" ht="13.5" customHeight="1" x14ac:dyDescent="0.25">
      <c r="A33" s="5" t="s">
        <v>133</v>
      </c>
      <c r="B33" s="1">
        <v>1</v>
      </c>
      <c r="C33" s="13">
        <f t="shared" si="0"/>
        <v>0.25</v>
      </c>
      <c r="D33" s="1">
        <v>3</v>
      </c>
      <c r="E33" s="13">
        <f t="shared" si="1"/>
        <v>0.75</v>
      </c>
      <c r="F33" s="1">
        <v>0</v>
      </c>
      <c r="G33" s="13">
        <f t="shared" si="2"/>
        <v>0</v>
      </c>
      <c r="H33" s="1">
        <v>0</v>
      </c>
      <c r="I33" s="13">
        <f t="shared" si="3"/>
        <v>0</v>
      </c>
      <c r="J33" s="1">
        <v>0</v>
      </c>
      <c r="K33" s="13">
        <f t="shared" si="5"/>
        <v>0</v>
      </c>
      <c r="L33" s="3">
        <f t="shared" si="4"/>
        <v>4</v>
      </c>
    </row>
    <row r="34" spans="1:12" ht="13.5" customHeight="1" x14ac:dyDescent="0.25">
      <c r="A34" s="5" t="s">
        <v>134</v>
      </c>
      <c r="B34" s="1">
        <v>2</v>
      </c>
      <c r="C34" s="13">
        <f t="shared" si="0"/>
        <v>0.33333333333333331</v>
      </c>
      <c r="D34" s="1">
        <v>4</v>
      </c>
      <c r="E34" s="13">
        <f t="shared" si="1"/>
        <v>0.66666666666666663</v>
      </c>
      <c r="F34" s="1">
        <v>0</v>
      </c>
      <c r="G34" s="13">
        <f t="shared" si="2"/>
        <v>0</v>
      </c>
      <c r="H34" s="1">
        <v>0</v>
      </c>
      <c r="I34" s="13">
        <f t="shared" si="3"/>
        <v>0</v>
      </c>
      <c r="J34" s="1">
        <v>0</v>
      </c>
      <c r="K34" s="13">
        <f t="shared" si="5"/>
        <v>0</v>
      </c>
      <c r="L34" s="3">
        <f t="shared" si="4"/>
        <v>6</v>
      </c>
    </row>
    <row r="35" spans="1:12" ht="13.5" customHeight="1" x14ac:dyDescent="0.25">
      <c r="A35" s="5" t="s">
        <v>23</v>
      </c>
      <c r="B35" s="1">
        <v>5</v>
      </c>
      <c r="C35" s="13">
        <f t="shared" si="0"/>
        <v>0.1</v>
      </c>
      <c r="D35" s="1">
        <v>28</v>
      </c>
      <c r="E35" s="13">
        <f t="shared" si="1"/>
        <v>0.56000000000000005</v>
      </c>
      <c r="F35" s="1">
        <v>15</v>
      </c>
      <c r="G35" s="13">
        <f t="shared" si="2"/>
        <v>0.3</v>
      </c>
      <c r="H35" s="1">
        <v>2</v>
      </c>
      <c r="I35" s="13">
        <f t="shared" si="3"/>
        <v>0.04</v>
      </c>
      <c r="J35" s="1">
        <v>0</v>
      </c>
      <c r="K35" s="13">
        <f t="shared" si="5"/>
        <v>0</v>
      </c>
      <c r="L35" s="3">
        <f t="shared" si="4"/>
        <v>50</v>
      </c>
    </row>
    <row r="36" spans="1:12" ht="13.5" customHeight="1" x14ac:dyDescent="0.25">
      <c r="A36" s="5" t="s">
        <v>1</v>
      </c>
      <c r="B36" s="1">
        <v>14</v>
      </c>
      <c r="C36" s="13">
        <f t="shared" si="0"/>
        <v>0.1076923076923077</v>
      </c>
      <c r="D36" s="1">
        <v>97</v>
      </c>
      <c r="E36" s="13">
        <f t="shared" si="1"/>
        <v>0.74615384615384617</v>
      </c>
      <c r="F36" s="1">
        <v>19</v>
      </c>
      <c r="G36" s="13">
        <f t="shared" si="2"/>
        <v>0.14615384615384616</v>
      </c>
      <c r="H36" s="1">
        <v>0</v>
      </c>
      <c r="I36" s="13">
        <f t="shared" si="3"/>
        <v>0</v>
      </c>
      <c r="J36" s="1">
        <v>0</v>
      </c>
      <c r="K36" s="13">
        <f t="shared" si="5"/>
        <v>0</v>
      </c>
      <c r="L36" s="3">
        <f t="shared" si="4"/>
        <v>130</v>
      </c>
    </row>
    <row r="37" spans="1:12" ht="13.5" customHeight="1" x14ac:dyDescent="0.25">
      <c r="A37" s="5" t="s">
        <v>95</v>
      </c>
      <c r="B37" s="1">
        <v>1</v>
      </c>
      <c r="C37" s="13">
        <f t="shared" si="0"/>
        <v>4.5454545454545456E-2</v>
      </c>
      <c r="D37" s="1">
        <v>12</v>
      </c>
      <c r="E37" s="13">
        <f t="shared" si="1"/>
        <v>0.54545454545454541</v>
      </c>
      <c r="F37" s="1">
        <v>8</v>
      </c>
      <c r="G37" s="13">
        <f t="shared" si="2"/>
        <v>0.36363636363636365</v>
      </c>
      <c r="H37" s="1">
        <v>1</v>
      </c>
      <c r="I37" s="13">
        <f t="shared" si="3"/>
        <v>4.5454545454545456E-2</v>
      </c>
      <c r="J37" s="1">
        <v>0</v>
      </c>
      <c r="K37" s="13">
        <f t="shared" si="5"/>
        <v>0</v>
      </c>
      <c r="L37" s="3">
        <f t="shared" si="4"/>
        <v>22</v>
      </c>
    </row>
    <row r="38" spans="1:12" ht="13.5" customHeight="1" x14ac:dyDescent="0.25">
      <c r="A38" s="5" t="s">
        <v>123</v>
      </c>
      <c r="B38" s="1">
        <v>7</v>
      </c>
      <c r="C38" s="13">
        <f t="shared" ref="C38:C55" si="6">B38/L38</f>
        <v>0.25925925925925924</v>
      </c>
      <c r="D38" s="1">
        <v>17</v>
      </c>
      <c r="E38" s="13">
        <f t="shared" ref="E38:E55" si="7">D38/L38</f>
        <v>0.62962962962962965</v>
      </c>
      <c r="F38" s="1">
        <v>3</v>
      </c>
      <c r="G38" s="13">
        <f t="shared" ref="G38:G55" si="8">F38/L38</f>
        <v>0.1111111111111111</v>
      </c>
      <c r="H38" s="1">
        <v>0</v>
      </c>
      <c r="I38" s="13">
        <f t="shared" ref="I38:I55" si="9">H38/L38</f>
        <v>0</v>
      </c>
      <c r="J38" s="1">
        <v>0</v>
      </c>
      <c r="K38" s="13">
        <f t="shared" si="5"/>
        <v>0</v>
      </c>
      <c r="L38" s="3">
        <f t="shared" si="4"/>
        <v>27</v>
      </c>
    </row>
    <row r="39" spans="1:12" ht="13.5" customHeight="1" x14ac:dyDescent="0.25">
      <c r="A39" s="5" t="s">
        <v>24</v>
      </c>
      <c r="B39" s="1">
        <v>54</v>
      </c>
      <c r="C39" s="13">
        <f t="shared" si="6"/>
        <v>0.39416058394160586</v>
      </c>
      <c r="D39" s="1">
        <v>47</v>
      </c>
      <c r="E39" s="13">
        <f t="shared" si="7"/>
        <v>0.34306569343065696</v>
      </c>
      <c r="F39" s="1">
        <v>23</v>
      </c>
      <c r="G39" s="13">
        <f t="shared" si="8"/>
        <v>0.16788321167883211</v>
      </c>
      <c r="H39" s="1">
        <v>13</v>
      </c>
      <c r="I39" s="13">
        <f t="shared" si="9"/>
        <v>9.4890510948905105E-2</v>
      </c>
      <c r="J39" s="1">
        <v>0</v>
      </c>
      <c r="K39" s="13">
        <f t="shared" si="5"/>
        <v>0</v>
      </c>
      <c r="L39" s="3">
        <f t="shared" si="4"/>
        <v>137</v>
      </c>
    </row>
    <row r="40" spans="1:12" ht="13.5" customHeight="1" x14ac:dyDescent="0.25">
      <c r="A40" s="5" t="s">
        <v>25</v>
      </c>
      <c r="B40" s="1">
        <v>11</v>
      </c>
      <c r="C40" s="13">
        <f t="shared" si="6"/>
        <v>0.17460317460317459</v>
      </c>
      <c r="D40" s="1">
        <v>24</v>
      </c>
      <c r="E40" s="13">
        <f t="shared" si="7"/>
        <v>0.38095238095238093</v>
      </c>
      <c r="F40" s="1">
        <v>20</v>
      </c>
      <c r="G40" s="13">
        <f t="shared" si="8"/>
        <v>0.31746031746031744</v>
      </c>
      <c r="H40" s="1">
        <v>8</v>
      </c>
      <c r="I40" s="13">
        <f t="shared" si="9"/>
        <v>0.12698412698412698</v>
      </c>
      <c r="J40" s="1">
        <v>0</v>
      </c>
      <c r="K40" s="13">
        <f t="shared" si="5"/>
        <v>0</v>
      </c>
      <c r="L40" s="3">
        <f t="shared" si="4"/>
        <v>63</v>
      </c>
    </row>
    <row r="41" spans="1:12" ht="13.5" customHeight="1" x14ac:dyDescent="0.25">
      <c r="A41" s="5" t="s">
        <v>135</v>
      </c>
      <c r="B41" s="1">
        <v>76</v>
      </c>
      <c r="C41" s="13">
        <f t="shared" si="6"/>
        <v>0.27636363636363637</v>
      </c>
      <c r="D41" s="1">
        <v>184</v>
      </c>
      <c r="E41" s="13">
        <f t="shared" si="7"/>
        <v>0.66909090909090907</v>
      </c>
      <c r="F41" s="1">
        <v>14</v>
      </c>
      <c r="G41" s="13">
        <f t="shared" si="8"/>
        <v>5.0909090909090911E-2</v>
      </c>
      <c r="H41" s="1">
        <v>1</v>
      </c>
      <c r="I41" s="13">
        <f t="shared" si="9"/>
        <v>3.6363636363636364E-3</v>
      </c>
      <c r="J41" s="1">
        <v>0</v>
      </c>
      <c r="K41" s="13">
        <f t="shared" si="5"/>
        <v>0</v>
      </c>
      <c r="L41" s="3">
        <f t="shared" si="4"/>
        <v>275</v>
      </c>
    </row>
    <row r="42" spans="1:12" ht="13.5" customHeight="1" x14ac:dyDescent="0.25">
      <c r="A42" s="5" t="s">
        <v>74</v>
      </c>
      <c r="B42" s="1">
        <v>2</v>
      </c>
      <c r="C42" s="13">
        <f t="shared" si="6"/>
        <v>0.33333333333333331</v>
      </c>
      <c r="D42" s="1">
        <v>2</v>
      </c>
      <c r="E42" s="13">
        <f t="shared" si="7"/>
        <v>0.33333333333333331</v>
      </c>
      <c r="F42" s="1">
        <v>2</v>
      </c>
      <c r="G42" s="13">
        <f t="shared" si="8"/>
        <v>0.33333333333333331</v>
      </c>
      <c r="H42" s="1">
        <v>0</v>
      </c>
      <c r="I42" s="13">
        <f t="shared" si="9"/>
        <v>0</v>
      </c>
      <c r="J42" s="1">
        <v>0</v>
      </c>
      <c r="K42" s="13">
        <f t="shared" si="5"/>
        <v>0</v>
      </c>
      <c r="L42" s="3">
        <f t="shared" si="4"/>
        <v>6</v>
      </c>
    </row>
    <row r="43" spans="1:12" ht="13.5" customHeight="1" x14ac:dyDescent="0.25">
      <c r="A43" s="5" t="s">
        <v>136</v>
      </c>
      <c r="B43" s="1">
        <v>1</v>
      </c>
      <c r="C43" s="13">
        <f t="shared" si="6"/>
        <v>1</v>
      </c>
      <c r="D43" s="1">
        <v>0</v>
      </c>
      <c r="E43" s="13">
        <f t="shared" si="7"/>
        <v>0</v>
      </c>
      <c r="F43" s="1">
        <v>0</v>
      </c>
      <c r="G43" s="13">
        <f t="shared" si="8"/>
        <v>0</v>
      </c>
      <c r="H43" s="1">
        <v>0</v>
      </c>
      <c r="I43" s="13">
        <f t="shared" si="9"/>
        <v>0</v>
      </c>
      <c r="J43" s="1">
        <v>0</v>
      </c>
      <c r="K43" s="13">
        <f t="shared" si="5"/>
        <v>0</v>
      </c>
      <c r="L43" s="3">
        <f t="shared" si="4"/>
        <v>1</v>
      </c>
    </row>
    <row r="44" spans="1:12" ht="13.5" customHeight="1" x14ac:dyDescent="0.25">
      <c r="A44" s="5" t="s">
        <v>128</v>
      </c>
      <c r="B44" s="1">
        <v>3</v>
      </c>
      <c r="C44" s="13">
        <f t="shared" si="6"/>
        <v>0.375</v>
      </c>
      <c r="D44" s="1">
        <v>4</v>
      </c>
      <c r="E44" s="13">
        <f t="shared" si="7"/>
        <v>0.5</v>
      </c>
      <c r="F44" s="1">
        <v>0</v>
      </c>
      <c r="G44" s="13">
        <f t="shared" si="8"/>
        <v>0</v>
      </c>
      <c r="H44" s="1">
        <v>1</v>
      </c>
      <c r="I44" s="13">
        <f t="shared" si="9"/>
        <v>0.125</v>
      </c>
      <c r="J44" s="1">
        <v>0</v>
      </c>
      <c r="K44" s="13">
        <f t="shared" si="5"/>
        <v>0</v>
      </c>
      <c r="L44" s="3">
        <f t="shared" si="4"/>
        <v>8</v>
      </c>
    </row>
    <row r="45" spans="1:12" ht="13.5" customHeight="1" x14ac:dyDescent="0.25">
      <c r="A45" s="5" t="s">
        <v>27</v>
      </c>
      <c r="B45" s="1">
        <v>6</v>
      </c>
      <c r="C45" s="13">
        <f t="shared" si="6"/>
        <v>0.16216216216216217</v>
      </c>
      <c r="D45" s="1">
        <v>27</v>
      </c>
      <c r="E45" s="13">
        <f t="shared" si="7"/>
        <v>0.72972972972972971</v>
      </c>
      <c r="F45" s="1">
        <v>4</v>
      </c>
      <c r="G45" s="13">
        <f t="shared" si="8"/>
        <v>0.10810810810810811</v>
      </c>
      <c r="H45" s="1">
        <v>0</v>
      </c>
      <c r="I45" s="13">
        <f t="shared" si="9"/>
        <v>0</v>
      </c>
      <c r="J45" s="1">
        <v>0</v>
      </c>
      <c r="K45" s="13">
        <f t="shared" si="5"/>
        <v>0</v>
      </c>
      <c r="L45" s="3">
        <f t="shared" si="4"/>
        <v>37</v>
      </c>
    </row>
    <row r="46" spans="1:12" ht="13.5" customHeight="1" x14ac:dyDescent="0.25">
      <c r="A46" s="5" t="s">
        <v>29</v>
      </c>
      <c r="B46" s="1">
        <v>29</v>
      </c>
      <c r="C46" s="13">
        <f t="shared" si="6"/>
        <v>0.40845070422535212</v>
      </c>
      <c r="D46" s="1">
        <v>26</v>
      </c>
      <c r="E46" s="13">
        <f t="shared" si="7"/>
        <v>0.36619718309859156</v>
      </c>
      <c r="F46" s="1">
        <v>11</v>
      </c>
      <c r="G46" s="13">
        <f t="shared" si="8"/>
        <v>0.15492957746478872</v>
      </c>
      <c r="H46" s="1">
        <v>5</v>
      </c>
      <c r="I46" s="13">
        <f t="shared" si="9"/>
        <v>7.0422535211267609E-2</v>
      </c>
      <c r="J46" s="1">
        <v>0</v>
      </c>
      <c r="K46" s="13">
        <f t="shared" si="5"/>
        <v>0</v>
      </c>
      <c r="L46" s="3">
        <f t="shared" si="4"/>
        <v>71</v>
      </c>
    </row>
    <row r="47" spans="1:12" ht="13.5" customHeight="1" x14ac:dyDescent="0.25">
      <c r="A47" s="5" t="s">
        <v>137</v>
      </c>
      <c r="B47" s="1">
        <v>1</v>
      </c>
      <c r="C47" s="13">
        <f t="shared" si="6"/>
        <v>1</v>
      </c>
      <c r="D47" s="1">
        <v>0</v>
      </c>
      <c r="E47" s="13">
        <f t="shared" si="7"/>
        <v>0</v>
      </c>
      <c r="F47" s="1">
        <v>0</v>
      </c>
      <c r="G47" s="13">
        <f t="shared" si="8"/>
        <v>0</v>
      </c>
      <c r="H47" s="1">
        <v>0</v>
      </c>
      <c r="I47" s="13">
        <f t="shared" si="9"/>
        <v>0</v>
      </c>
      <c r="J47" s="1">
        <v>0</v>
      </c>
      <c r="K47" s="13">
        <f t="shared" si="5"/>
        <v>0</v>
      </c>
      <c r="L47" s="3">
        <f t="shared" si="4"/>
        <v>1</v>
      </c>
    </row>
    <row r="48" spans="1:12" ht="13.5" customHeight="1" x14ac:dyDescent="0.25">
      <c r="A48" s="5" t="s">
        <v>138</v>
      </c>
      <c r="B48" s="1">
        <v>48</v>
      </c>
      <c r="C48" s="13">
        <f t="shared" si="6"/>
        <v>0.31372549019607843</v>
      </c>
      <c r="D48" s="1">
        <v>83</v>
      </c>
      <c r="E48" s="13">
        <f t="shared" si="7"/>
        <v>0.54248366013071891</v>
      </c>
      <c r="F48" s="1">
        <v>22</v>
      </c>
      <c r="G48" s="13">
        <f t="shared" si="8"/>
        <v>0.1437908496732026</v>
      </c>
      <c r="H48" s="1">
        <v>0</v>
      </c>
      <c r="I48" s="13">
        <f t="shared" si="9"/>
        <v>0</v>
      </c>
      <c r="J48" s="1">
        <v>0</v>
      </c>
      <c r="K48" s="13">
        <f t="shared" si="5"/>
        <v>0</v>
      </c>
      <c r="L48" s="3">
        <f t="shared" si="4"/>
        <v>153</v>
      </c>
    </row>
    <row r="49" spans="1:12" ht="13.5" customHeight="1" x14ac:dyDescent="0.25">
      <c r="A49" s="5" t="s">
        <v>32</v>
      </c>
      <c r="B49" s="1">
        <v>4</v>
      </c>
      <c r="C49" s="13">
        <f t="shared" si="6"/>
        <v>0.26666666666666666</v>
      </c>
      <c r="D49" s="1">
        <v>7</v>
      </c>
      <c r="E49" s="13">
        <f t="shared" si="7"/>
        <v>0.46666666666666667</v>
      </c>
      <c r="F49" s="1">
        <v>4</v>
      </c>
      <c r="G49" s="13">
        <f t="shared" si="8"/>
        <v>0.26666666666666666</v>
      </c>
      <c r="H49" s="1">
        <v>0</v>
      </c>
      <c r="I49" s="13">
        <f t="shared" si="9"/>
        <v>0</v>
      </c>
      <c r="J49" s="1">
        <v>0</v>
      </c>
      <c r="K49" s="13">
        <f t="shared" si="5"/>
        <v>0</v>
      </c>
      <c r="L49" s="3">
        <f t="shared" si="4"/>
        <v>15</v>
      </c>
    </row>
    <row r="50" spans="1:12" ht="13.5" customHeight="1" x14ac:dyDescent="0.25">
      <c r="A50" s="5" t="s">
        <v>100</v>
      </c>
      <c r="B50" s="1">
        <v>27</v>
      </c>
      <c r="C50" s="13">
        <f t="shared" si="6"/>
        <v>0.20610687022900764</v>
      </c>
      <c r="D50" s="1">
        <v>83</v>
      </c>
      <c r="E50" s="13">
        <f t="shared" si="7"/>
        <v>0.63358778625954193</v>
      </c>
      <c r="F50" s="1">
        <v>21</v>
      </c>
      <c r="G50" s="13">
        <f t="shared" si="8"/>
        <v>0.16030534351145037</v>
      </c>
      <c r="H50" s="1">
        <v>0</v>
      </c>
      <c r="I50" s="13">
        <f t="shared" si="9"/>
        <v>0</v>
      </c>
      <c r="J50" s="1">
        <v>0</v>
      </c>
      <c r="K50" s="13">
        <f t="shared" si="5"/>
        <v>0</v>
      </c>
      <c r="L50" s="3">
        <f t="shared" si="4"/>
        <v>131</v>
      </c>
    </row>
    <row r="51" spans="1:12" ht="13.5" customHeight="1" x14ac:dyDescent="0.25">
      <c r="A51" s="5" t="s">
        <v>33</v>
      </c>
      <c r="B51" s="1">
        <v>8</v>
      </c>
      <c r="C51" s="13">
        <f t="shared" si="6"/>
        <v>0.4</v>
      </c>
      <c r="D51" s="1">
        <v>7</v>
      </c>
      <c r="E51" s="13">
        <f t="shared" si="7"/>
        <v>0.35</v>
      </c>
      <c r="F51" s="1">
        <v>5</v>
      </c>
      <c r="G51" s="13">
        <f t="shared" si="8"/>
        <v>0.25</v>
      </c>
      <c r="H51" s="1">
        <v>0</v>
      </c>
      <c r="I51" s="13">
        <f t="shared" si="9"/>
        <v>0</v>
      </c>
      <c r="J51" s="1">
        <v>0</v>
      </c>
      <c r="K51" s="13">
        <f t="shared" si="5"/>
        <v>0</v>
      </c>
      <c r="L51" s="3">
        <f t="shared" si="4"/>
        <v>20</v>
      </c>
    </row>
    <row r="52" spans="1:12" ht="13.5" customHeight="1" x14ac:dyDescent="0.25">
      <c r="A52" s="5" t="s">
        <v>34</v>
      </c>
      <c r="B52" s="1">
        <v>4</v>
      </c>
      <c r="C52" s="13">
        <f t="shared" si="6"/>
        <v>0.16</v>
      </c>
      <c r="D52" s="1">
        <v>20</v>
      </c>
      <c r="E52" s="13">
        <f t="shared" si="7"/>
        <v>0.8</v>
      </c>
      <c r="F52" s="1">
        <v>1</v>
      </c>
      <c r="G52" s="13">
        <f t="shared" si="8"/>
        <v>0.04</v>
      </c>
      <c r="H52" s="1">
        <v>0</v>
      </c>
      <c r="I52" s="13">
        <f t="shared" si="9"/>
        <v>0</v>
      </c>
      <c r="J52" s="1">
        <v>0</v>
      </c>
      <c r="K52" s="13">
        <f t="shared" si="5"/>
        <v>0</v>
      </c>
      <c r="L52" s="3">
        <f t="shared" si="4"/>
        <v>25</v>
      </c>
    </row>
    <row r="53" spans="1:12" ht="13.5" customHeight="1" x14ac:dyDescent="0.25">
      <c r="A53" s="5" t="s">
        <v>35</v>
      </c>
      <c r="B53" s="1">
        <v>16</v>
      </c>
      <c r="C53" s="13">
        <f t="shared" si="6"/>
        <v>0.34042553191489361</v>
      </c>
      <c r="D53" s="1">
        <v>15</v>
      </c>
      <c r="E53" s="13">
        <f t="shared" si="7"/>
        <v>0.31914893617021278</v>
      </c>
      <c r="F53" s="1">
        <v>13</v>
      </c>
      <c r="G53" s="13">
        <f t="shared" si="8"/>
        <v>0.27659574468085107</v>
      </c>
      <c r="H53" s="1">
        <v>3</v>
      </c>
      <c r="I53" s="13">
        <f t="shared" si="9"/>
        <v>6.3829787234042548E-2</v>
      </c>
      <c r="J53" s="1">
        <v>0</v>
      </c>
      <c r="K53" s="13">
        <f t="shared" si="5"/>
        <v>0</v>
      </c>
      <c r="L53" s="3">
        <f t="shared" si="4"/>
        <v>47</v>
      </c>
    </row>
    <row r="54" spans="1:12" ht="15.75" thickBot="1" x14ac:dyDescent="0.3">
      <c r="A54" s="7" t="s">
        <v>139</v>
      </c>
      <c r="B54" s="8">
        <v>1</v>
      </c>
      <c r="C54" s="14">
        <f t="shared" si="6"/>
        <v>0.33333333333333331</v>
      </c>
      <c r="D54" s="8">
        <v>2</v>
      </c>
      <c r="E54" s="14">
        <f t="shared" si="7"/>
        <v>0.66666666666666663</v>
      </c>
      <c r="F54" s="8">
        <v>0</v>
      </c>
      <c r="G54" s="14">
        <f t="shared" si="8"/>
        <v>0</v>
      </c>
      <c r="H54" s="8">
        <v>0</v>
      </c>
      <c r="I54" s="14">
        <f t="shared" si="9"/>
        <v>0</v>
      </c>
      <c r="J54" s="8">
        <v>0</v>
      </c>
      <c r="K54" s="14">
        <f t="shared" si="5"/>
        <v>0</v>
      </c>
      <c r="L54" s="6">
        <f t="shared" si="4"/>
        <v>3</v>
      </c>
    </row>
    <row r="55" spans="1:12" ht="16.5" thickTop="1" thickBot="1" x14ac:dyDescent="0.3">
      <c r="A55" s="2" t="s">
        <v>41</v>
      </c>
      <c r="B55" s="2">
        <f>SUM(B6:B54)</f>
        <v>637</v>
      </c>
      <c r="C55" s="15">
        <f t="shared" si="6"/>
        <v>0.2415623814941221</v>
      </c>
      <c r="D55" s="2">
        <f>SUM(D6:D54)</f>
        <v>1498</v>
      </c>
      <c r="E55" s="15">
        <f t="shared" si="7"/>
        <v>0.56806977626090249</v>
      </c>
      <c r="F55" s="2">
        <f>SUM(F6:F54)</f>
        <v>429</v>
      </c>
      <c r="G55" s="15">
        <f t="shared" si="8"/>
        <v>0.1626848691695108</v>
      </c>
      <c r="H55" s="2">
        <f>SUM(H6:H54)</f>
        <v>73</v>
      </c>
      <c r="I55" s="15">
        <f t="shared" si="9"/>
        <v>2.7682973075464544E-2</v>
      </c>
      <c r="J55" s="2">
        <f>SUM(J6:J54)</f>
        <v>0</v>
      </c>
      <c r="K55" s="15">
        <f t="shared" si="5"/>
        <v>0</v>
      </c>
      <c r="L55" s="4">
        <f>SUM(L6:L54)</f>
        <v>2637</v>
      </c>
    </row>
    <row r="56" spans="1:12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5">
      <c r="A57" s="43" t="s">
        <v>57</v>
      </c>
      <c r="B57" s="35" t="s">
        <v>52</v>
      </c>
      <c r="C57" s="36"/>
      <c r="D57" s="35" t="s">
        <v>53</v>
      </c>
      <c r="E57" s="36"/>
      <c r="F57" s="35" t="s">
        <v>54</v>
      </c>
      <c r="G57" s="36"/>
      <c r="H57" s="35" t="s">
        <v>55</v>
      </c>
      <c r="I57" s="36"/>
      <c r="J57" s="35" t="s">
        <v>46</v>
      </c>
      <c r="K57" s="36"/>
      <c r="L57" s="39" t="s">
        <v>0</v>
      </c>
    </row>
    <row r="58" spans="1:12" x14ac:dyDescent="0.25">
      <c r="A58" s="44"/>
      <c r="B58" s="37"/>
      <c r="C58" s="38"/>
      <c r="D58" s="37"/>
      <c r="E58" s="38"/>
      <c r="F58" s="37"/>
      <c r="G58" s="38"/>
      <c r="H58" s="37"/>
      <c r="I58" s="38"/>
      <c r="J58" s="37"/>
      <c r="K58" s="38"/>
      <c r="L58" s="40"/>
    </row>
    <row r="59" spans="1:12" x14ac:dyDescent="0.25">
      <c r="A59" s="5" t="s">
        <v>62</v>
      </c>
      <c r="B59" s="1">
        <v>89</v>
      </c>
      <c r="C59" s="13">
        <f t="shared" ref="C59:C67" si="10">B59/L59</f>
        <v>0.20554272517321015</v>
      </c>
      <c r="D59" s="1">
        <v>281</v>
      </c>
      <c r="E59" s="13">
        <f t="shared" ref="E59:E67" si="11">D59/L59</f>
        <v>0.64896073903002305</v>
      </c>
      <c r="F59" s="1">
        <v>59</v>
      </c>
      <c r="G59" s="13">
        <f t="shared" ref="G59:G67" si="12">F59/L59</f>
        <v>0.13625866050808313</v>
      </c>
      <c r="H59" s="1">
        <v>4</v>
      </c>
      <c r="I59" s="13">
        <f t="shared" ref="I59:I67" si="13">H59/L59</f>
        <v>9.2378752886836026E-3</v>
      </c>
      <c r="J59" s="1">
        <v>0</v>
      </c>
      <c r="K59" s="13">
        <f t="shared" ref="K59:K67" si="14">J59/L59</f>
        <v>0</v>
      </c>
      <c r="L59" s="3">
        <f t="shared" ref="L59:L64" si="15">B59+D59+F59+H59+J59</f>
        <v>433</v>
      </c>
    </row>
    <row r="60" spans="1:12" x14ac:dyDescent="0.25">
      <c r="A60" s="5" t="s">
        <v>119</v>
      </c>
      <c r="B60" s="1">
        <v>89</v>
      </c>
      <c r="C60" s="13">
        <f t="shared" si="10"/>
        <v>0.27899686520376177</v>
      </c>
      <c r="D60" s="1">
        <v>213</v>
      </c>
      <c r="E60" s="13">
        <f t="shared" si="11"/>
        <v>0.66771159874608155</v>
      </c>
      <c r="F60" s="1">
        <v>16</v>
      </c>
      <c r="G60" s="13">
        <f t="shared" si="12"/>
        <v>5.0156739811912224E-2</v>
      </c>
      <c r="H60" s="1">
        <v>1</v>
      </c>
      <c r="I60" s="13">
        <f t="shared" si="13"/>
        <v>3.134796238244514E-3</v>
      </c>
      <c r="J60" s="1">
        <v>0</v>
      </c>
      <c r="K60" s="13">
        <f t="shared" si="14"/>
        <v>0</v>
      </c>
      <c r="L60" s="3">
        <f t="shared" si="15"/>
        <v>319</v>
      </c>
    </row>
    <row r="61" spans="1:12" x14ac:dyDescent="0.25">
      <c r="A61" s="5" t="s">
        <v>63</v>
      </c>
      <c r="B61" s="1">
        <v>22</v>
      </c>
      <c r="C61" s="13">
        <f t="shared" si="10"/>
        <v>0.17599999999999999</v>
      </c>
      <c r="D61" s="1">
        <v>66</v>
      </c>
      <c r="E61" s="13">
        <f t="shared" si="11"/>
        <v>0.52800000000000002</v>
      </c>
      <c r="F61" s="1">
        <v>33</v>
      </c>
      <c r="G61" s="13">
        <f t="shared" si="12"/>
        <v>0.26400000000000001</v>
      </c>
      <c r="H61" s="1">
        <v>4</v>
      </c>
      <c r="I61" s="13">
        <f t="shared" si="13"/>
        <v>3.2000000000000001E-2</v>
      </c>
      <c r="J61" s="1">
        <v>0</v>
      </c>
      <c r="K61" s="13">
        <f t="shared" si="14"/>
        <v>0</v>
      </c>
      <c r="L61" s="3">
        <f t="shared" si="15"/>
        <v>125</v>
      </c>
    </row>
    <row r="62" spans="1:12" x14ac:dyDescent="0.25">
      <c r="A62" s="5" t="s">
        <v>103</v>
      </c>
      <c r="B62" s="1">
        <v>61</v>
      </c>
      <c r="C62" s="13">
        <f t="shared" si="10"/>
        <v>0.23643410852713179</v>
      </c>
      <c r="D62" s="1">
        <v>102</v>
      </c>
      <c r="E62" s="13">
        <f t="shared" si="11"/>
        <v>0.39534883720930231</v>
      </c>
      <c r="F62" s="1">
        <v>74</v>
      </c>
      <c r="G62" s="13">
        <f t="shared" si="12"/>
        <v>0.2868217054263566</v>
      </c>
      <c r="H62" s="1">
        <v>21</v>
      </c>
      <c r="I62" s="13">
        <f t="shared" si="13"/>
        <v>8.1395348837209308E-2</v>
      </c>
      <c r="J62" s="1">
        <v>0</v>
      </c>
      <c r="K62" s="13">
        <f t="shared" si="14"/>
        <v>0</v>
      </c>
      <c r="L62" s="3">
        <f t="shared" si="15"/>
        <v>258</v>
      </c>
    </row>
    <row r="63" spans="1:12" x14ac:dyDescent="0.25">
      <c r="A63" s="5" t="s">
        <v>1</v>
      </c>
      <c r="B63" s="1">
        <v>14</v>
      </c>
      <c r="C63" s="13">
        <f t="shared" si="10"/>
        <v>0.1076923076923077</v>
      </c>
      <c r="D63" s="1">
        <v>97</v>
      </c>
      <c r="E63" s="13">
        <f t="shared" si="11"/>
        <v>0.74615384615384617</v>
      </c>
      <c r="F63" s="1">
        <v>19</v>
      </c>
      <c r="G63" s="13">
        <f t="shared" si="12"/>
        <v>0.14615384615384616</v>
      </c>
      <c r="H63" s="1">
        <v>0</v>
      </c>
      <c r="I63" s="13">
        <f t="shared" si="13"/>
        <v>0</v>
      </c>
      <c r="J63" s="1">
        <v>0</v>
      </c>
      <c r="K63" s="13">
        <f t="shared" si="14"/>
        <v>0</v>
      </c>
      <c r="L63" s="3">
        <f t="shared" si="15"/>
        <v>130</v>
      </c>
    </row>
    <row r="64" spans="1:12" x14ac:dyDescent="0.25">
      <c r="A64" s="5" t="s">
        <v>66</v>
      </c>
      <c r="B64" s="1">
        <v>105</v>
      </c>
      <c r="C64" s="13">
        <f t="shared" si="10"/>
        <v>0.24475524475524477</v>
      </c>
      <c r="D64" s="1">
        <v>237</v>
      </c>
      <c r="E64" s="13">
        <f t="shared" si="11"/>
        <v>0.55244755244755239</v>
      </c>
      <c r="F64" s="1">
        <v>76</v>
      </c>
      <c r="G64" s="13">
        <f t="shared" si="12"/>
        <v>0.17715617715617715</v>
      </c>
      <c r="H64" s="1">
        <v>11</v>
      </c>
      <c r="I64" s="13">
        <f t="shared" si="13"/>
        <v>2.564102564102564E-2</v>
      </c>
      <c r="J64" s="1">
        <v>0</v>
      </c>
      <c r="K64" s="13">
        <f t="shared" si="14"/>
        <v>0</v>
      </c>
      <c r="L64" s="3">
        <f t="shared" si="15"/>
        <v>429</v>
      </c>
    </row>
    <row r="65" spans="1:12" x14ac:dyDescent="0.25">
      <c r="A65" s="5" t="s">
        <v>67</v>
      </c>
      <c r="B65" s="1">
        <v>134</v>
      </c>
      <c r="C65" s="13">
        <f t="shared" si="10"/>
        <v>0.34805194805194806</v>
      </c>
      <c r="D65" s="1">
        <v>145</v>
      </c>
      <c r="E65" s="13">
        <f t="shared" si="11"/>
        <v>0.37662337662337664</v>
      </c>
      <c r="F65" s="1">
        <v>79</v>
      </c>
      <c r="G65" s="13">
        <f t="shared" si="12"/>
        <v>0.20519480519480521</v>
      </c>
      <c r="H65" s="1">
        <v>27</v>
      </c>
      <c r="I65" s="13">
        <f t="shared" si="13"/>
        <v>7.0129870129870125E-2</v>
      </c>
      <c r="J65" s="1">
        <v>0</v>
      </c>
      <c r="K65" s="13">
        <f t="shared" si="14"/>
        <v>0</v>
      </c>
      <c r="L65" s="3">
        <f>B65+D65+F65+H65+J65</f>
        <v>385</v>
      </c>
    </row>
    <row r="66" spans="1:12" ht="15.75" thickBot="1" x14ac:dyDescent="0.3">
      <c r="A66" s="7" t="s">
        <v>68</v>
      </c>
      <c r="B66" s="8">
        <v>123</v>
      </c>
      <c r="C66" s="14">
        <f t="shared" si="10"/>
        <v>0.22043010752688172</v>
      </c>
      <c r="D66" s="8">
        <v>357</v>
      </c>
      <c r="E66" s="14">
        <f t="shared" si="11"/>
        <v>0.63978494623655913</v>
      </c>
      <c r="F66" s="8">
        <v>73</v>
      </c>
      <c r="G66" s="14">
        <f t="shared" si="12"/>
        <v>0.13082437275985664</v>
      </c>
      <c r="H66" s="8">
        <v>5</v>
      </c>
      <c r="I66" s="14">
        <f t="shared" si="13"/>
        <v>8.9605734767025085E-3</v>
      </c>
      <c r="J66" s="8">
        <v>0</v>
      </c>
      <c r="K66" s="14">
        <f t="shared" si="14"/>
        <v>0</v>
      </c>
      <c r="L66" s="6">
        <f>B66+D66+F66+H66+J66</f>
        <v>558</v>
      </c>
    </row>
    <row r="67" spans="1:12" ht="16.5" thickTop="1" thickBot="1" x14ac:dyDescent="0.3">
      <c r="A67" s="2" t="s">
        <v>41</v>
      </c>
      <c r="B67" s="2">
        <f>SUM(B59:B66)</f>
        <v>637</v>
      </c>
      <c r="C67" s="15">
        <f t="shared" si="10"/>
        <v>0.2415623814941221</v>
      </c>
      <c r="D67" s="2">
        <f>SUM(D59:D66)</f>
        <v>1498</v>
      </c>
      <c r="E67" s="15">
        <f t="shared" si="11"/>
        <v>0.56806977626090249</v>
      </c>
      <c r="F67" s="2">
        <f>SUM(F59:F66)</f>
        <v>429</v>
      </c>
      <c r="G67" s="15">
        <f t="shared" si="12"/>
        <v>0.1626848691695108</v>
      </c>
      <c r="H67" s="2">
        <f>SUM(H59:H66)</f>
        <v>73</v>
      </c>
      <c r="I67" s="15">
        <f t="shared" si="13"/>
        <v>2.7682973075464544E-2</v>
      </c>
      <c r="J67" s="2">
        <f>SUM(J59:J66)</f>
        <v>0</v>
      </c>
      <c r="K67" s="15">
        <f t="shared" si="14"/>
        <v>0</v>
      </c>
      <c r="L67" s="4">
        <f>SUM(L59:L66)</f>
        <v>2637</v>
      </c>
    </row>
    <row r="70" spans="1:12" x14ac:dyDescent="0.25">
      <c r="A70" s="12" t="s">
        <v>58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2" ht="15.75" thickBot="1" x14ac:dyDescent="0.3">
      <c r="A71" s="12"/>
      <c r="D71" s="21"/>
      <c r="E71" s="21"/>
      <c r="F71" s="12"/>
      <c r="G71" s="12"/>
      <c r="H71" s="12"/>
      <c r="I71" s="12"/>
      <c r="J71" s="12"/>
      <c r="K71" s="12"/>
    </row>
    <row r="72" spans="1:12" x14ac:dyDescent="0.25">
      <c r="A72" s="26"/>
      <c r="B72" s="41" t="s">
        <v>79</v>
      </c>
      <c r="C72" s="42"/>
      <c r="D72" s="21"/>
      <c r="E72" s="21"/>
      <c r="F72" s="12"/>
      <c r="G72" s="12"/>
      <c r="H72" s="12"/>
      <c r="I72" s="12"/>
      <c r="J72" s="12"/>
      <c r="K72" s="12"/>
    </row>
    <row r="73" spans="1:12" ht="15.75" thickBot="1" x14ac:dyDescent="0.3">
      <c r="A73" s="24" t="s">
        <v>78</v>
      </c>
      <c r="B73" s="32" t="s">
        <v>131</v>
      </c>
      <c r="C73" s="33"/>
      <c r="F73" s="12"/>
      <c r="G73" s="12"/>
      <c r="H73" s="12"/>
      <c r="I73" s="12"/>
      <c r="J73" s="12"/>
      <c r="K73" s="12"/>
    </row>
    <row r="74" spans="1:12" ht="30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2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2"/>
      <c r="K75" s="12"/>
    </row>
    <row r="76" spans="1:12" x14ac:dyDescent="0.25">
      <c r="A76" s="34" t="s">
        <v>130</v>
      </c>
      <c r="B76" s="34"/>
      <c r="C76" s="34"/>
      <c r="D76" s="34"/>
      <c r="E76" s="34"/>
      <c r="F76" s="34"/>
      <c r="G76" s="34"/>
      <c r="H76" s="34"/>
      <c r="I76" s="34"/>
      <c r="J76" s="12"/>
      <c r="K76" s="12"/>
    </row>
  </sheetData>
  <mergeCells count="16">
    <mergeCell ref="B73:C73"/>
    <mergeCell ref="A76:I76"/>
    <mergeCell ref="J57:K58"/>
    <mergeCell ref="L57:L58"/>
    <mergeCell ref="B72:C72"/>
    <mergeCell ref="A57:A58"/>
    <mergeCell ref="B57:C58"/>
    <mergeCell ref="D57:E58"/>
    <mergeCell ref="F57:G58"/>
    <mergeCell ref="H57:I58"/>
    <mergeCell ref="A2:K2"/>
    <mergeCell ref="B5:C5"/>
    <mergeCell ref="D5:E5"/>
    <mergeCell ref="F5:G5"/>
    <mergeCell ref="H5:I5"/>
    <mergeCell ref="J5:K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1"/>
  <sheetViews>
    <sheetView tabSelected="1" view="pageLayout" zoomScale="85" zoomScaleNormal="100" zoomScalePageLayoutView="85" workbookViewId="0">
      <selection activeCell="A45" sqref="A45"/>
    </sheetView>
  </sheetViews>
  <sheetFormatPr defaultRowHeight="15" x14ac:dyDescent="0.25"/>
  <cols>
    <col min="1" max="1" width="26.85546875" style="10" customWidth="1"/>
    <col min="2" max="12" width="5.42578125" style="10" customWidth="1"/>
    <col min="13" max="16384" width="9.140625" style="10"/>
  </cols>
  <sheetData>
    <row r="1" spans="1:12" ht="23.25" x14ac:dyDescent="0.25">
      <c r="A1" s="9" t="s">
        <v>44</v>
      </c>
    </row>
    <row r="2" spans="1:12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2" ht="18" x14ac:dyDescent="0.25">
      <c r="A3" s="19" t="s">
        <v>160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2" ht="16.5" thickBot="1" x14ac:dyDescent="0.3">
      <c r="A4" s="11"/>
    </row>
    <row r="5" spans="1:12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46</v>
      </c>
      <c r="K5" s="29"/>
      <c r="L5" s="23" t="s">
        <v>0</v>
      </c>
    </row>
    <row r="6" spans="1:12" ht="13.5" customHeight="1" x14ac:dyDescent="0.25">
      <c r="A6" s="5" t="s">
        <v>4</v>
      </c>
      <c r="B6" s="1">
        <v>7</v>
      </c>
      <c r="C6" s="13">
        <f t="shared" ref="C6:C37" si="0">B6/L6</f>
        <v>0.16279069767441862</v>
      </c>
      <c r="D6" s="1">
        <v>26</v>
      </c>
      <c r="E6" s="13">
        <f t="shared" ref="E6:E37" si="1">D6/L6</f>
        <v>0.60465116279069764</v>
      </c>
      <c r="F6" s="1">
        <v>8</v>
      </c>
      <c r="G6" s="13">
        <f t="shared" ref="G6:G37" si="2">F6/L6</f>
        <v>0.18604651162790697</v>
      </c>
      <c r="H6" s="1">
        <v>2</v>
      </c>
      <c r="I6" s="13">
        <f t="shared" ref="I6:I37" si="3">H6/L6</f>
        <v>4.6511627906976744E-2</v>
      </c>
      <c r="J6" s="1">
        <v>0</v>
      </c>
      <c r="K6" s="13">
        <f>J6/L6</f>
        <v>0</v>
      </c>
      <c r="L6" s="3">
        <f>B6+D6+F6+H6+J6</f>
        <v>43</v>
      </c>
    </row>
    <row r="7" spans="1:12" ht="13.5" customHeight="1" x14ac:dyDescent="0.25">
      <c r="A7" s="5" t="s">
        <v>5</v>
      </c>
      <c r="B7" s="1">
        <v>13</v>
      </c>
      <c r="C7" s="13">
        <f t="shared" si="0"/>
        <v>0.26</v>
      </c>
      <c r="D7" s="1">
        <v>33</v>
      </c>
      <c r="E7" s="13">
        <f t="shared" si="1"/>
        <v>0.66</v>
      </c>
      <c r="F7" s="1">
        <v>4</v>
      </c>
      <c r="G7" s="13">
        <f t="shared" si="2"/>
        <v>0.08</v>
      </c>
      <c r="H7" s="1">
        <v>0</v>
      </c>
      <c r="I7" s="13">
        <f t="shared" si="3"/>
        <v>0</v>
      </c>
      <c r="J7" s="1">
        <v>0</v>
      </c>
      <c r="K7" s="13">
        <f>J7/L7</f>
        <v>0</v>
      </c>
      <c r="L7" s="3">
        <f t="shared" ref="L7:L58" si="4">B7+D7+F7+H7+J7</f>
        <v>50</v>
      </c>
    </row>
    <row r="8" spans="1:12" ht="13.5" customHeight="1" x14ac:dyDescent="0.25">
      <c r="A8" s="5" t="s">
        <v>6</v>
      </c>
      <c r="B8" s="1">
        <v>21</v>
      </c>
      <c r="C8" s="13">
        <f t="shared" si="0"/>
        <v>0.29166666666666669</v>
      </c>
      <c r="D8" s="1">
        <v>44</v>
      </c>
      <c r="E8" s="13">
        <f t="shared" si="1"/>
        <v>0.61111111111111116</v>
      </c>
      <c r="F8" s="1">
        <v>6</v>
      </c>
      <c r="G8" s="13">
        <f t="shared" si="2"/>
        <v>8.3333333333333329E-2</v>
      </c>
      <c r="H8" s="1">
        <v>1</v>
      </c>
      <c r="I8" s="13">
        <f t="shared" si="3"/>
        <v>1.3888888888888888E-2</v>
      </c>
      <c r="J8" s="1">
        <v>0</v>
      </c>
      <c r="K8" s="13">
        <f>J8/L8</f>
        <v>0</v>
      </c>
      <c r="L8" s="3">
        <f t="shared" si="4"/>
        <v>72</v>
      </c>
    </row>
    <row r="9" spans="1:12" ht="13.5" customHeight="1" x14ac:dyDescent="0.25">
      <c r="A9" s="5" t="s">
        <v>93</v>
      </c>
      <c r="B9" s="1">
        <v>8</v>
      </c>
      <c r="C9" s="13">
        <f t="shared" si="0"/>
        <v>0.1095890410958904</v>
      </c>
      <c r="D9" s="1">
        <v>39</v>
      </c>
      <c r="E9" s="13">
        <f t="shared" si="1"/>
        <v>0.53424657534246578</v>
      </c>
      <c r="F9" s="1">
        <v>22</v>
      </c>
      <c r="G9" s="13">
        <f t="shared" si="2"/>
        <v>0.30136986301369861</v>
      </c>
      <c r="H9" s="1">
        <v>4</v>
      </c>
      <c r="I9" s="13">
        <f t="shared" si="3"/>
        <v>5.4794520547945202E-2</v>
      </c>
      <c r="J9" s="1">
        <v>0</v>
      </c>
      <c r="K9" s="13">
        <f t="shared" ref="K9:K59" si="5">J9/L9</f>
        <v>0</v>
      </c>
      <c r="L9" s="3">
        <f t="shared" si="4"/>
        <v>73</v>
      </c>
    </row>
    <row r="10" spans="1:12" ht="13.5" customHeight="1" x14ac:dyDescent="0.25">
      <c r="A10" s="5" t="s">
        <v>120</v>
      </c>
      <c r="B10" s="1">
        <v>5</v>
      </c>
      <c r="C10" s="13">
        <f t="shared" si="0"/>
        <v>0.20833333333333334</v>
      </c>
      <c r="D10" s="1">
        <v>7</v>
      </c>
      <c r="E10" s="13">
        <f t="shared" si="1"/>
        <v>0.29166666666666669</v>
      </c>
      <c r="F10" s="1">
        <v>6</v>
      </c>
      <c r="G10" s="13">
        <f t="shared" si="2"/>
        <v>0.25</v>
      </c>
      <c r="H10" s="1">
        <v>6</v>
      </c>
      <c r="I10" s="13">
        <f t="shared" si="3"/>
        <v>0.25</v>
      </c>
      <c r="J10" s="1">
        <v>0</v>
      </c>
      <c r="K10" s="13">
        <f t="shared" si="5"/>
        <v>0</v>
      </c>
      <c r="L10" s="3">
        <f t="shared" si="4"/>
        <v>24</v>
      </c>
    </row>
    <row r="11" spans="1:12" ht="13.5" customHeight="1" x14ac:dyDescent="0.25">
      <c r="A11" s="5" t="s">
        <v>121</v>
      </c>
      <c r="B11" s="1">
        <v>2</v>
      </c>
      <c r="C11" s="13">
        <f t="shared" si="0"/>
        <v>6.0606060606060608E-2</v>
      </c>
      <c r="D11" s="1">
        <v>28</v>
      </c>
      <c r="E11" s="13">
        <f t="shared" si="1"/>
        <v>0.84848484848484851</v>
      </c>
      <c r="F11" s="1">
        <v>3</v>
      </c>
      <c r="G11" s="13">
        <f t="shared" si="2"/>
        <v>9.0909090909090912E-2</v>
      </c>
      <c r="H11" s="1">
        <v>0</v>
      </c>
      <c r="I11" s="13">
        <f t="shared" si="3"/>
        <v>0</v>
      </c>
      <c r="J11" s="1">
        <v>0</v>
      </c>
      <c r="K11" s="13">
        <f t="shared" si="5"/>
        <v>0</v>
      </c>
      <c r="L11" s="3">
        <f t="shared" si="4"/>
        <v>33</v>
      </c>
    </row>
    <row r="12" spans="1:12" ht="13.5" customHeight="1" x14ac:dyDescent="0.25">
      <c r="A12" s="5" t="s">
        <v>70</v>
      </c>
      <c r="B12" s="1">
        <v>4</v>
      </c>
      <c r="C12" s="13">
        <f t="shared" si="0"/>
        <v>0.2</v>
      </c>
      <c r="D12" s="1">
        <v>11</v>
      </c>
      <c r="E12" s="13">
        <f t="shared" si="1"/>
        <v>0.55000000000000004</v>
      </c>
      <c r="F12" s="1">
        <v>3</v>
      </c>
      <c r="G12" s="13">
        <f t="shared" si="2"/>
        <v>0.15</v>
      </c>
      <c r="H12" s="1">
        <v>2</v>
      </c>
      <c r="I12" s="13">
        <f t="shared" si="3"/>
        <v>0.1</v>
      </c>
      <c r="J12" s="1">
        <v>0</v>
      </c>
      <c r="K12" s="13">
        <f t="shared" si="5"/>
        <v>0</v>
      </c>
      <c r="L12" s="3">
        <f t="shared" si="4"/>
        <v>20</v>
      </c>
    </row>
    <row r="13" spans="1:12" ht="13.5" customHeight="1" x14ac:dyDescent="0.25">
      <c r="A13" s="5" t="s">
        <v>7</v>
      </c>
      <c r="B13" s="1">
        <v>8</v>
      </c>
      <c r="C13" s="13">
        <f t="shared" si="0"/>
        <v>0.13793103448275862</v>
      </c>
      <c r="D13" s="1">
        <v>34</v>
      </c>
      <c r="E13" s="13">
        <f t="shared" si="1"/>
        <v>0.58620689655172409</v>
      </c>
      <c r="F13" s="1">
        <v>11</v>
      </c>
      <c r="G13" s="13">
        <f t="shared" si="2"/>
        <v>0.18965517241379309</v>
      </c>
      <c r="H13" s="1">
        <v>5</v>
      </c>
      <c r="I13" s="13">
        <f t="shared" si="3"/>
        <v>8.6206896551724144E-2</v>
      </c>
      <c r="J13" s="1">
        <v>0</v>
      </c>
      <c r="K13" s="13">
        <f t="shared" si="5"/>
        <v>0</v>
      </c>
      <c r="L13" s="3">
        <f t="shared" si="4"/>
        <v>58</v>
      </c>
    </row>
    <row r="14" spans="1:12" ht="13.5" customHeight="1" x14ac:dyDescent="0.25">
      <c r="A14" s="5" t="s">
        <v>8</v>
      </c>
      <c r="B14" s="1">
        <v>7</v>
      </c>
      <c r="C14" s="13">
        <f t="shared" si="0"/>
        <v>9.45945945945946E-2</v>
      </c>
      <c r="D14" s="1">
        <v>44</v>
      </c>
      <c r="E14" s="13">
        <f t="shared" si="1"/>
        <v>0.59459459459459463</v>
      </c>
      <c r="F14" s="1">
        <v>20</v>
      </c>
      <c r="G14" s="13">
        <f t="shared" si="2"/>
        <v>0.27027027027027029</v>
      </c>
      <c r="H14" s="1">
        <v>3</v>
      </c>
      <c r="I14" s="13">
        <f t="shared" si="3"/>
        <v>4.0540540540540543E-2</v>
      </c>
      <c r="J14" s="1">
        <v>0</v>
      </c>
      <c r="K14" s="13">
        <f t="shared" si="5"/>
        <v>0</v>
      </c>
      <c r="L14" s="3">
        <f t="shared" si="4"/>
        <v>74</v>
      </c>
    </row>
    <row r="15" spans="1:12" ht="13.5" customHeight="1" x14ac:dyDescent="0.25">
      <c r="A15" s="5" t="s">
        <v>71</v>
      </c>
      <c r="B15" s="1">
        <v>2</v>
      </c>
      <c r="C15" s="13">
        <f t="shared" si="0"/>
        <v>7.1428571428571425E-2</v>
      </c>
      <c r="D15" s="1">
        <v>10</v>
      </c>
      <c r="E15" s="13">
        <f t="shared" si="1"/>
        <v>0.35714285714285715</v>
      </c>
      <c r="F15" s="1">
        <v>13</v>
      </c>
      <c r="G15" s="13">
        <f t="shared" si="2"/>
        <v>0.4642857142857143</v>
      </c>
      <c r="H15" s="1">
        <v>3</v>
      </c>
      <c r="I15" s="13">
        <f t="shared" si="3"/>
        <v>0.10714285714285714</v>
      </c>
      <c r="J15" s="1">
        <v>0</v>
      </c>
      <c r="K15" s="13">
        <f t="shared" si="5"/>
        <v>0</v>
      </c>
      <c r="L15" s="3">
        <f t="shared" si="4"/>
        <v>28</v>
      </c>
    </row>
    <row r="16" spans="1:12" ht="13.5" customHeight="1" x14ac:dyDescent="0.25">
      <c r="A16" s="5" t="s">
        <v>10</v>
      </c>
      <c r="B16" s="1">
        <v>26</v>
      </c>
      <c r="C16" s="13">
        <f t="shared" si="0"/>
        <v>0.3611111111111111</v>
      </c>
      <c r="D16" s="1">
        <v>19</v>
      </c>
      <c r="E16" s="13">
        <f t="shared" si="1"/>
        <v>0.2638888888888889</v>
      </c>
      <c r="F16" s="1">
        <v>15</v>
      </c>
      <c r="G16" s="13">
        <f t="shared" si="2"/>
        <v>0.20833333333333334</v>
      </c>
      <c r="H16" s="1">
        <v>12</v>
      </c>
      <c r="I16" s="13">
        <f t="shared" si="3"/>
        <v>0.16666666666666666</v>
      </c>
      <c r="J16" s="1">
        <v>0</v>
      </c>
      <c r="K16" s="13">
        <f t="shared" si="5"/>
        <v>0</v>
      </c>
      <c r="L16" s="3">
        <f t="shared" si="4"/>
        <v>72</v>
      </c>
    </row>
    <row r="17" spans="1:12" ht="13.5" customHeight="1" x14ac:dyDescent="0.25">
      <c r="A17" s="5" t="s">
        <v>125</v>
      </c>
      <c r="B17" s="1">
        <v>2</v>
      </c>
      <c r="C17" s="13">
        <f t="shared" si="0"/>
        <v>0.15384615384615385</v>
      </c>
      <c r="D17" s="1">
        <v>9</v>
      </c>
      <c r="E17" s="13">
        <f t="shared" si="1"/>
        <v>0.69230769230769229</v>
      </c>
      <c r="F17" s="1">
        <v>2</v>
      </c>
      <c r="G17" s="13">
        <f t="shared" si="2"/>
        <v>0.15384615384615385</v>
      </c>
      <c r="H17" s="1">
        <v>0</v>
      </c>
      <c r="I17" s="13">
        <f t="shared" si="3"/>
        <v>0</v>
      </c>
      <c r="J17" s="1">
        <v>0</v>
      </c>
      <c r="K17" s="13">
        <f t="shared" si="5"/>
        <v>0</v>
      </c>
      <c r="L17" s="3">
        <f t="shared" si="4"/>
        <v>13</v>
      </c>
    </row>
    <row r="18" spans="1:12" ht="13.5" customHeight="1" x14ac:dyDescent="0.25">
      <c r="A18" s="5" t="s">
        <v>126</v>
      </c>
      <c r="B18" s="1">
        <v>10</v>
      </c>
      <c r="C18" s="13">
        <f t="shared" si="0"/>
        <v>0.14285714285714285</v>
      </c>
      <c r="D18" s="1">
        <v>21</v>
      </c>
      <c r="E18" s="13">
        <f t="shared" si="1"/>
        <v>0.3</v>
      </c>
      <c r="F18" s="1">
        <v>19</v>
      </c>
      <c r="G18" s="13">
        <f t="shared" si="2"/>
        <v>0.27142857142857141</v>
      </c>
      <c r="H18" s="1">
        <v>20</v>
      </c>
      <c r="I18" s="13">
        <f t="shared" si="3"/>
        <v>0.2857142857142857</v>
      </c>
      <c r="J18" s="1">
        <v>0</v>
      </c>
      <c r="K18" s="13">
        <f t="shared" si="5"/>
        <v>0</v>
      </c>
      <c r="L18" s="3">
        <f t="shared" si="4"/>
        <v>70</v>
      </c>
    </row>
    <row r="19" spans="1:12" ht="13.5" customHeight="1" x14ac:dyDescent="0.25">
      <c r="A19" s="5" t="s">
        <v>42</v>
      </c>
      <c r="B19" s="1">
        <v>72</v>
      </c>
      <c r="C19" s="13">
        <f t="shared" si="0"/>
        <v>0.291497975708502</v>
      </c>
      <c r="D19" s="1">
        <v>162</v>
      </c>
      <c r="E19" s="13">
        <f t="shared" si="1"/>
        <v>0.65587044534412953</v>
      </c>
      <c r="F19" s="1">
        <v>13</v>
      </c>
      <c r="G19" s="13">
        <f t="shared" si="2"/>
        <v>5.2631578947368418E-2</v>
      </c>
      <c r="H19" s="1">
        <v>0</v>
      </c>
      <c r="I19" s="13">
        <f t="shared" si="3"/>
        <v>0</v>
      </c>
      <c r="J19" s="1">
        <v>0</v>
      </c>
      <c r="K19" s="13">
        <f t="shared" si="5"/>
        <v>0</v>
      </c>
      <c r="L19" s="3">
        <f t="shared" si="4"/>
        <v>247</v>
      </c>
    </row>
    <row r="20" spans="1:12" ht="13.5" customHeight="1" x14ac:dyDescent="0.25">
      <c r="A20" s="5" t="s">
        <v>12</v>
      </c>
      <c r="B20" s="1">
        <v>13</v>
      </c>
      <c r="C20" s="13">
        <f t="shared" si="0"/>
        <v>0.22033898305084745</v>
      </c>
      <c r="D20" s="1">
        <v>25</v>
      </c>
      <c r="E20" s="13">
        <f t="shared" si="1"/>
        <v>0.42372881355932202</v>
      </c>
      <c r="F20" s="1">
        <v>14</v>
      </c>
      <c r="G20" s="13">
        <f t="shared" si="2"/>
        <v>0.23728813559322035</v>
      </c>
      <c r="H20" s="1">
        <v>6</v>
      </c>
      <c r="I20" s="13">
        <f t="shared" si="3"/>
        <v>0.10169491525423729</v>
      </c>
      <c r="J20" s="1">
        <v>1</v>
      </c>
      <c r="K20" s="13">
        <f t="shared" si="5"/>
        <v>1.6949152542372881E-2</v>
      </c>
      <c r="L20" s="3">
        <f t="shared" si="4"/>
        <v>59</v>
      </c>
    </row>
    <row r="21" spans="1:12" ht="13.5" customHeight="1" x14ac:dyDescent="0.25">
      <c r="A21" s="5" t="s">
        <v>13</v>
      </c>
      <c r="B21" s="1">
        <v>1</v>
      </c>
      <c r="C21" s="13">
        <f t="shared" si="0"/>
        <v>0.14285714285714285</v>
      </c>
      <c r="D21" s="1">
        <v>1</v>
      </c>
      <c r="E21" s="13">
        <f t="shared" si="1"/>
        <v>0.14285714285714285</v>
      </c>
      <c r="F21" s="1">
        <v>4</v>
      </c>
      <c r="G21" s="13">
        <f t="shared" si="2"/>
        <v>0.5714285714285714</v>
      </c>
      <c r="H21" s="1">
        <v>1</v>
      </c>
      <c r="I21" s="13">
        <f t="shared" si="3"/>
        <v>0.14285714285714285</v>
      </c>
      <c r="J21" s="1">
        <v>0</v>
      </c>
      <c r="K21" s="13">
        <f t="shared" si="5"/>
        <v>0</v>
      </c>
      <c r="L21" s="3">
        <f t="shared" si="4"/>
        <v>7</v>
      </c>
    </row>
    <row r="22" spans="1:12" ht="13.5" customHeight="1" x14ac:dyDescent="0.25">
      <c r="A22" s="5" t="s">
        <v>127</v>
      </c>
      <c r="B22" s="1">
        <v>3</v>
      </c>
      <c r="C22" s="13">
        <f t="shared" si="0"/>
        <v>0.27272727272727271</v>
      </c>
      <c r="D22" s="1">
        <v>7</v>
      </c>
      <c r="E22" s="13">
        <f t="shared" si="1"/>
        <v>0.63636363636363635</v>
      </c>
      <c r="F22" s="1">
        <v>1</v>
      </c>
      <c r="G22" s="13">
        <f t="shared" si="2"/>
        <v>9.0909090909090912E-2</v>
      </c>
      <c r="H22" s="1">
        <v>0</v>
      </c>
      <c r="I22" s="13">
        <f t="shared" si="3"/>
        <v>0</v>
      </c>
      <c r="J22" s="1">
        <v>0</v>
      </c>
      <c r="K22" s="13">
        <f t="shared" si="5"/>
        <v>0</v>
      </c>
      <c r="L22" s="3">
        <f t="shared" si="4"/>
        <v>11</v>
      </c>
    </row>
    <row r="23" spans="1:12" ht="13.5" customHeight="1" x14ac:dyDescent="0.25">
      <c r="A23" s="5" t="s">
        <v>105</v>
      </c>
      <c r="B23" s="1">
        <v>9</v>
      </c>
      <c r="C23" s="13">
        <f t="shared" si="0"/>
        <v>0.23684210526315788</v>
      </c>
      <c r="D23" s="1">
        <v>23</v>
      </c>
      <c r="E23" s="13">
        <f t="shared" si="1"/>
        <v>0.60526315789473684</v>
      </c>
      <c r="F23" s="1">
        <v>6</v>
      </c>
      <c r="G23" s="13">
        <f t="shared" si="2"/>
        <v>0.15789473684210525</v>
      </c>
      <c r="H23" s="1">
        <v>0</v>
      </c>
      <c r="I23" s="13">
        <f t="shared" si="3"/>
        <v>0</v>
      </c>
      <c r="J23" s="1">
        <v>0</v>
      </c>
      <c r="K23" s="13">
        <f t="shared" si="5"/>
        <v>0</v>
      </c>
      <c r="L23" s="3">
        <f t="shared" si="4"/>
        <v>38</v>
      </c>
    </row>
    <row r="24" spans="1:12" ht="13.5" customHeight="1" x14ac:dyDescent="0.25">
      <c r="A24" s="5" t="s">
        <v>14</v>
      </c>
      <c r="B24" s="1">
        <v>33</v>
      </c>
      <c r="C24" s="13">
        <f t="shared" si="0"/>
        <v>0.17010309278350516</v>
      </c>
      <c r="D24" s="1">
        <v>105</v>
      </c>
      <c r="E24" s="13">
        <f t="shared" si="1"/>
        <v>0.54123711340206182</v>
      </c>
      <c r="F24" s="1">
        <v>46</v>
      </c>
      <c r="G24" s="13">
        <f t="shared" si="2"/>
        <v>0.23711340206185566</v>
      </c>
      <c r="H24" s="1">
        <v>10</v>
      </c>
      <c r="I24" s="13">
        <f t="shared" si="3"/>
        <v>5.1546391752577317E-2</v>
      </c>
      <c r="J24" s="1">
        <v>0</v>
      </c>
      <c r="K24" s="13">
        <f t="shared" si="5"/>
        <v>0</v>
      </c>
      <c r="L24" s="3">
        <f t="shared" si="4"/>
        <v>194</v>
      </c>
    </row>
    <row r="25" spans="1:12" ht="13.5" customHeight="1" x14ac:dyDescent="0.25">
      <c r="A25" s="5" t="s">
        <v>15</v>
      </c>
      <c r="B25" s="1">
        <v>23</v>
      </c>
      <c r="C25" s="13">
        <f t="shared" si="0"/>
        <v>0.4107142857142857</v>
      </c>
      <c r="D25" s="1">
        <v>12</v>
      </c>
      <c r="E25" s="13">
        <f t="shared" si="1"/>
        <v>0.21428571428571427</v>
      </c>
      <c r="F25" s="1">
        <v>16</v>
      </c>
      <c r="G25" s="13">
        <f t="shared" si="2"/>
        <v>0.2857142857142857</v>
      </c>
      <c r="H25" s="1">
        <v>5</v>
      </c>
      <c r="I25" s="13">
        <f t="shared" si="3"/>
        <v>8.9285714285714288E-2</v>
      </c>
      <c r="J25" s="1">
        <v>0</v>
      </c>
      <c r="K25" s="13">
        <f t="shared" si="5"/>
        <v>0</v>
      </c>
      <c r="L25" s="3">
        <f t="shared" si="4"/>
        <v>56</v>
      </c>
    </row>
    <row r="26" spans="1:12" ht="13.5" customHeight="1" x14ac:dyDescent="0.25">
      <c r="A26" s="5" t="s">
        <v>16</v>
      </c>
      <c r="B26" s="1">
        <v>21</v>
      </c>
      <c r="C26" s="13">
        <f t="shared" si="0"/>
        <v>0.23863636363636365</v>
      </c>
      <c r="D26" s="1">
        <v>62</v>
      </c>
      <c r="E26" s="13">
        <f t="shared" si="1"/>
        <v>0.70454545454545459</v>
      </c>
      <c r="F26" s="1">
        <v>5</v>
      </c>
      <c r="G26" s="13">
        <f t="shared" si="2"/>
        <v>5.6818181818181816E-2</v>
      </c>
      <c r="H26" s="1">
        <v>0</v>
      </c>
      <c r="I26" s="13">
        <f t="shared" si="3"/>
        <v>0</v>
      </c>
      <c r="J26" s="1">
        <v>0</v>
      </c>
      <c r="K26" s="13">
        <f t="shared" si="5"/>
        <v>0</v>
      </c>
      <c r="L26" s="3">
        <f t="shared" si="4"/>
        <v>88</v>
      </c>
    </row>
    <row r="27" spans="1:12" ht="13.5" customHeight="1" x14ac:dyDescent="0.25">
      <c r="A27" s="5" t="s">
        <v>109</v>
      </c>
      <c r="B27" s="1">
        <v>11</v>
      </c>
      <c r="C27" s="13">
        <f t="shared" si="0"/>
        <v>0.33333333333333331</v>
      </c>
      <c r="D27" s="1">
        <v>19</v>
      </c>
      <c r="E27" s="13">
        <f t="shared" si="1"/>
        <v>0.5757575757575758</v>
      </c>
      <c r="F27" s="1">
        <v>3</v>
      </c>
      <c r="G27" s="13">
        <f t="shared" si="2"/>
        <v>9.0909090909090912E-2</v>
      </c>
      <c r="H27" s="1">
        <v>0</v>
      </c>
      <c r="I27" s="13">
        <f t="shared" si="3"/>
        <v>0</v>
      </c>
      <c r="J27" s="1">
        <v>0</v>
      </c>
      <c r="K27" s="13">
        <f t="shared" si="5"/>
        <v>0</v>
      </c>
      <c r="L27" s="3">
        <f t="shared" si="4"/>
        <v>33</v>
      </c>
    </row>
    <row r="28" spans="1:12" ht="13.5" customHeight="1" x14ac:dyDescent="0.25">
      <c r="A28" s="5" t="s">
        <v>17</v>
      </c>
      <c r="B28" s="1">
        <v>8</v>
      </c>
      <c r="C28" s="13">
        <f t="shared" si="0"/>
        <v>0.25806451612903225</v>
      </c>
      <c r="D28" s="1">
        <v>19</v>
      </c>
      <c r="E28" s="13">
        <f t="shared" si="1"/>
        <v>0.61290322580645162</v>
      </c>
      <c r="F28" s="1">
        <v>4</v>
      </c>
      <c r="G28" s="13">
        <f t="shared" si="2"/>
        <v>0.12903225806451613</v>
      </c>
      <c r="H28" s="1">
        <v>0</v>
      </c>
      <c r="I28" s="13">
        <f t="shared" si="3"/>
        <v>0</v>
      </c>
      <c r="J28" s="1">
        <v>0</v>
      </c>
      <c r="K28" s="13">
        <f t="shared" si="5"/>
        <v>0</v>
      </c>
      <c r="L28" s="3">
        <f t="shared" si="4"/>
        <v>31</v>
      </c>
    </row>
    <row r="29" spans="1:12" ht="13.5" customHeight="1" x14ac:dyDescent="0.25">
      <c r="A29" s="5" t="s">
        <v>18</v>
      </c>
      <c r="B29" s="1">
        <v>7</v>
      </c>
      <c r="C29" s="13">
        <f t="shared" si="0"/>
        <v>0.1111111111111111</v>
      </c>
      <c r="D29" s="1">
        <v>46</v>
      </c>
      <c r="E29" s="13">
        <f t="shared" si="1"/>
        <v>0.73015873015873012</v>
      </c>
      <c r="F29" s="1">
        <v>9</v>
      </c>
      <c r="G29" s="13">
        <f t="shared" si="2"/>
        <v>0.14285714285714285</v>
      </c>
      <c r="H29" s="1">
        <v>1</v>
      </c>
      <c r="I29" s="13">
        <f t="shared" si="3"/>
        <v>1.5873015873015872E-2</v>
      </c>
      <c r="J29" s="1">
        <v>0</v>
      </c>
      <c r="K29" s="13">
        <f t="shared" si="5"/>
        <v>0</v>
      </c>
      <c r="L29" s="3">
        <f t="shared" si="4"/>
        <v>63</v>
      </c>
    </row>
    <row r="30" spans="1:12" ht="13.5" customHeight="1" x14ac:dyDescent="0.25">
      <c r="A30" s="5" t="s">
        <v>19</v>
      </c>
      <c r="B30" s="1">
        <v>8</v>
      </c>
      <c r="C30" s="13">
        <f t="shared" si="0"/>
        <v>7.6923076923076927E-2</v>
      </c>
      <c r="D30" s="1">
        <v>64</v>
      </c>
      <c r="E30" s="13">
        <f t="shared" si="1"/>
        <v>0.61538461538461542</v>
      </c>
      <c r="F30" s="1">
        <v>26</v>
      </c>
      <c r="G30" s="13">
        <f t="shared" si="2"/>
        <v>0.25</v>
      </c>
      <c r="H30" s="1">
        <v>6</v>
      </c>
      <c r="I30" s="13">
        <f t="shared" si="3"/>
        <v>5.7692307692307696E-2</v>
      </c>
      <c r="J30" s="1">
        <v>0</v>
      </c>
      <c r="K30" s="13">
        <f t="shared" si="5"/>
        <v>0</v>
      </c>
      <c r="L30" s="3">
        <f t="shared" si="4"/>
        <v>104</v>
      </c>
    </row>
    <row r="31" spans="1:12" ht="13.5" customHeight="1" x14ac:dyDescent="0.25">
      <c r="A31" s="5" t="s">
        <v>21</v>
      </c>
      <c r="B31" s="1">
        <v>2</v>
      </c>
      <c r="C31" s="13">
        <f t="shared" si="0"/>
        <v>7.1428571428571425E-2</v>
      </c>
      <c r="D31" s="1">
        <v>20</v>
      </c>
      <c r="E31" s="13">
        <f t="shared" si="1"/>
        <v>0.7142857142857143</v>
      </c>
      <c r="F31" s="1">
        <v>4</v>
      </c>
      <c r="G31" s="13">
        <f t="shared" si="2"/>
        <v>0.14285714285714285</v>
      </c>
      <c r="H31" s="1">
        <v>2</v>
      </c>
      <c r="I31" s="13">
        <f t="shared" si="3"/>
        <v>7.1428571428571425E-2</v>
      </c>
      <c r="J31" s="1">
        <v>0</v>
      </c>
      <c r="K31" s="13">
        <f t="shared" si="5"/>
        <v>0</v>
      </c>
      <c r="L31" s="3">
        <f t="shared" si="4"/>
        <v>28</v>
      </c>
    </row>
    <row r="32" spans="1:12" ht="13.5" customHeight="1" x14ac:dyDescent="0.25">
      <c r="A32" s="5" t="s">
        <v>38</v>
      </c>
      <c r="B32" s="1">
        <v>12</v>
      </c>
      <c r="C32" s="13">
        <f t="shared" si="0"/>
        <v>0.2608695652173913</v>
      </c>
      <c r="D32" s="1">
        <v>26</v>
      </c>
      <c r="E32" s="13">
        <f t="shared" si="1"/>
        <v>0.56521739130434778</v>
      </c>
      <c r="F32" s="1">
        <v>6</v>
      </c>
      <c r="G32" s="13">
        <f t="shared" si="2"/>
        <v>0.13043478260869565</v>
      </c>
      <c r="H32" s="1">
        <v>2</v>
      </c>
      <c r="I32" s="13">
        <f t="shared" si="3"/>
        <v>4.3478260869565216E-2</v>
      </c>
      <c r="J32" s="1">
        <v>0</v>
      </c>
      <c r="K32" s="13">
        <f t="shared" si="5"/>
        <v>0</v>
      </c>
      <c r="L32" s="3">
        <f t="shared" si="4"/>
        <v>46</v>
      </c>
    </row>
    <row r="33" spans="1:12" ht="13.5" customHeight="1" x14ac:dyDescent="0.25">
      <c r="A33" s="5" t="s">
        <v>39</v>
      </c>
      <c r="B33" s="1">
        <v>0</v>
      </c>
      <c r="C33" s="13">
        <f t="shared" si="0"/>
        <v>0</v>
      </c>
      <c r="D33" s="1">
        <v>3</v>
      </c>
      <c r="E33" s="13">
        <f t="shared" si="1"/>
        <v>0.5</v>
      </c>
      <c r="F33" s="1">
        <v>0</v>
      </c>
      <c r="G33" s="13">
        <f t="shared" si="2"/>
        <v>0</v>
      </c>
      <c r="H33" s="1">
        <v>2</v>
      </c>
      <c r="I33" s="13">
        <f t="shared" si="3"/>
        <v>0.33333333333333331</v>
      </c>
      <c r="J33" s="1">
        <v>1</v>
      </c>
      <c r="K33" s="13">
        <f t="shared" si="5"/>
        <v>0.16666666666666666</v>
      </c>
      <c r="L33" s="3">
        <f t="shared" si="4"/>
        <v>6</v>
      </c>
    </row>
    <row r="34" spans="1:12" ht="13.5" customHeight="1" x14ac:dyDescent="0.25">
      <c r="A34" s="5" t="s">
        <v>22</v>
      </c>
      <c r="B34" s="1">
        <v>30</v>
      </c>
      <c r="C34" s="13">
        <f t="shared" si="0"/>
        <v>0.34482758620689657</v>
      </c>
      <c r="D34" s="1">
        <v>53</v>
      </c>
      <c r="E34" s="13">
        <f t="shared" si="1"/>
        <v>0.60919540229885061</v>
      </c>
      <c r="F34" s="1">
        <v>4</v>
      </c>
      <c r="G34" s="13">
        <f t="shared" si="2"/>
        <v>4.5977011494252873E-2</v>
      </c>
      <c r="H34" s="1">
        <v>0</v>
      </c>
      <c r="I34" s="13">
        <f t="shared" si="3"/>
        <v>0</v>
      </c>
      <c r="J34" s="1">
        <v>0</v>
      </c>
      <c r="K34" s="13">
        <f t="shared" si="5"/>
        <v>0</v>
      </c>
      <c r="L34" s="3">
        <f t="shared" si="4"/>
        <v>87</v>
      </c>
    </row>
    <row r="35" spans="1:12" ht="13.5" customHeight="1" x14ac:dyDescent="0.25">
      <c r="A35" s="5" t="s">
        <v>40</v>
      </c>
      <c r="B35" s="1">
        <v>6</v>
      </c>
      <c r="C35" s="13">
        <f t="shared" si="0"/>
        <v>0.1276595744680851</v>
      </c>
      <c r="D35" s="1">
        <v>33</v>
      </c>
      <c r="E35" s="13">
        <f t="shared" si="1"/>
        <v>0.7021276595744681</v>
      </c>
      <c r="F35" s="1">
        <v>7</v>
      </c>
      <c r="G35" s="13">
        <f t="shared" si="2"/>
        <v>0.14893617021276595</v>
      </c>
      <c r="H35" s="1">
        <v>1</v>
      </c>
      <c r="I35" s="13">
        <f t="shared" si="3"/>
        <v>2.1276595744680851E-2</v>
      </c>
      <c r="J35" s="1">
        <v>0</v>
      </c>
      <c r="K35" s="13">
        <f t="shared" si="5"/>
        <v>0</v>
      </c>
      <c r="L35" s="3">
        <f t="shared" si="4"/>
        <v>47</v>
      </c>
    </row>
    <row r="36" spans="1:12" ht="13.5" customHeight="1" x14ac:dyDescent="0.25">
      <c r="A36" s="5" t="s">
        <v>72</v>
      </c>
      <c r="B36" s="1">
        <v>10</v>
      </c>
      <c r="C36" s="13">
        <f t="shared" si="0"/>
        <v>0.2</v>
      </c>
      <c r="D36" s="1">
        <v>31</v>
      </c>
      <c r="E36" s="13">
        <f t="shared" si="1"/>
        <v>0.62</v>
      </c>
      <c r="F36" s="1">
        <v>8</v>
      </c>
      <c r="G36" s="13">
        <f t="shared" si="2"/>
        <v>0.16</v>
      </c>
      <c r="H36" s="1">
        <v>1</v>
      </c>
      <c r="I36" s="13">
        <f t="shared" si="3"/>
        <v>0.02</v>
      </c>
      <c r="J36" s="1">
        <v>0</v>
      </c>
      <c r="K36" s="13">
        <f t="shared" si="5"/>
        <v>0</v>
      </c>
      <c r="L36" s="3">
        <f t="shared" si="4"/>
        <v>50</v>
      </c>
    </row>
    <row r="37" spans="1:12" ht="13.5" customHeight="1" x14ac:dyDescent="0.25">
      <c r="A37" s="5" t="s">
        <v>110</v>
      </c>
      <c r="B37" s="1">
        <v>11</v>
      </c>
      <c r="C37" s="13">
        <f t="shared" si="0"/>
        <v>0.28947368421052633</v>
      </c>
      <c r="D37" s="1">
        <v>21</v>
      </c>
      <c r="E37" s="13">
        <f t="shared" si="1"/>
        <v>0.55263157894736847</v>
      </c>
      <c r="F37" s="1">
        <v>6</v>
      </c>
      <c r="G37" s="13">
        <f t="shared" si="2"/>
        <v>0.15789473684210525</v>
      </c>
      <c r="H37" s="1">
        <v>0</v>
      </c>
      <c r="I37" s="13">
        <f t="shared" si="3"/>
        <v>0</v>
      </c>
      <c r="J37" s="1">
        <v>0</v>
      </c>
      <c r="K37" s="13">
        <f t="shared" si="5"/>
        <v>0</v>
      </c>
      <c r="L37" s="3">
        <f t="shared" si="4"/>
        <v>38</v>
      </c>
    </row>
    <row r="38" spans="1:12" ht="13.5" customHeight="1" x14ac:dyDescent="0.25">
      <c r="A38" s="5" t="s">
        <v>94</v>
      </c>
      <c r="B38" s="1">
        <v>4</v>
      </c>
      <c r="C38" s="13">
        <f t="shared" ref="C38:C59" si="6">B38/L38</f>
        <v>0.5714285714285714</v>
      </c>
      <c r="D38" s="1">
        <v>3</v>
      </c>
      <c r="E38" s="13">
        <f t="shared" ref="E38:E59" si="7">D38/L38</f>
        <v>0.42857142857142855</v>
      </c>
      <c r="F38" s="1">
        <v>0</v>
      </c>
      <c r="G38" s="13">
        <f t="shared" ref="G38:G59" si="8">F38/L38</f>
        <v>0</v>
      </c>
      <c r="H38" s="1">
        <v>0</v>
      </c>
      <c r="I38" s="13">
        <f t="shared" ref="I38:I59" si="9">H38/L38</f>
        <v>0</v>
      </c>
      <c r="J38" s="1">
        <v>0</v>
      </c>
      <c r="K38" s="13">
        <f t="shared" si="5"/>
        <v>0</v>
      </c>
      <c r="L38" s="3">
        <f t="shared" si="4"/>
        <v>7</v>
      </c>
    </row>
    <row r="39" spans="1:12" ht="13.5" customHeight="1" x14ac:dyDescent="0.25">
      <c r="A39" s="5" t="s">
        <v>23</v>
      </c>
      <c r="B39" s="1">
        <v>2</v>
      </c>
      <c r="C39" s="13">
        <f t="shared" si="6"/>
        <v>0.05</v>
      </c>
      <c r="D39" s="1">
        <v>27</v>
      </c>
      <c r="E39" s="13">
        <f t="shared" si="7"/>
        <v>0.67500000000000004</v>
      </c>
      <c r="F39" s="1">
        <v>11</v>
      </c>
      <c r="G39" s="13">
        <f t="shared" si="8"/>
        <v>0.27500000000000002</v>
      </c>
      <c r="H39" s="1">
        <v>0</v>
      </c>
      <c r="I39" s="13">
        <f t="shared" si="9"/>
        <v>0</v>
      </c>
      <c r="J39" s="1">
        <v>0</v>
      </c>
      <c r="K39" s="13">
        <f t="shared" si="5"/>
        <v>0</v>
      </c>
      <c r="L39" s="3">
        <f t="shared" si="4"/>
        <v>40</v>
      </c>
    </row>
    <row r="40" spans="1:12" ht="13.5" customHeight="1" x14ac:dyDescent="0.25">
      <c r="A40" s="5" t="s">
        <v>1</v>
      </c>
      <c r="B40" s="1">
        <v>21</v>
      </c>
      <c r="C40" s="13">
        <f t="shared" si="6"/>
        <v>0.15107913669064749</v>
      </c>
      <c r="D40" s="1">
        <v>98</v>
      </c>
      <c r="E40" s="13">
        <f t="shared" si="7"/>
        <v>0.70503597122302153</v>
      </c>
      <c r="F40" s="1">
        <v>19</v>
      </c>
      <c r="G40" s="13">
        <f t="shared" si="8"/>
        <v>0.1366906474820144</v>
      </c>
      <c r="H40" s="1">
        <v>1</v>
      </c>
      <c r="I40" s="13">
        <f t="shared" si="9"/>
        <v>7.1942446043165471E-3</v>
      </c>
      <c r="J40" s="1">
        <v>0</v>
      </c>
      <c r="K40" s="13">
        <f t="shared" si="5"/>
        <v>0</v>
      </c>
      <c r="L40" s="3">
        <f t="shared" si="4"/>
        <v>139</v>
      </c>
    </row>
    <row r="41" spans="1:12" ht="13.5" customHeight="1" x14ac:dyDescent="0.25">
      <c r="A41" s="5" t="s">
        <v>95</v>
      </c>
      <c r="B41" s="1">
        <v>0</v>
      </c>
      <c r="C41" s="13">
        <f t="shared" si="6"/>
        <v>0</v>
      </c>
      <c r="D41" s="1">
        <v>9</v>
      </c>
      <c r="E41" s="13">
        <f t="shared" si="7"/>
        <v>0.29032258064516131</v>
      </c>
      <c r="F41" s="1">
        <v>20</v>
      </c>
      <c r="G41" s="13">
        <f t="shared" si="8"/>
        <v>0.64516129032258063</v>
      </c>
      <c r="H41" s="1">
        <v>2</v>
      </c>
      <c r="I41" s="13">
        <f t="shared" si="9"/>
        <v>6.4516129032258063E-2</v>
      </c>
      <c r="J41" s="1">
        <v>0</v>
      </c>
      <c r="K41" s="13">
        <f t="shared" si="5"/>
        <v>0</v>
      </c>
      <c r="L41" s="3">
        <f t="shared" si="4"/>
        <v>31</v>
      </c>
    </row>
    <row r="42" spans="1:12" ht="13.5" customHeight="1" x14ac:dyDescent="0.25">
      <c r="A42" s="5" t="s">
        <v>24</v>
      </c>
      <c r="B42" s="1">
        <v>40</v>
      </c>
      <c r="C42" s="13">
        <f t="shared" si="6"/>
        <v>0.33333333333333331</v>
      </c>
      <c r="D42" s="1">
        <v>37</v>
      </c>
      <c r="E42" s="13">
        <f t="shared" si="7"/>
        <v>0.30833333333333335</v>
      </c>
      <c r="F42" s="1">
        <v>32</v>
      </c>
      <c r="G42" s="13">
        <f t="shared" si="8"/>
        <v>0.26666666666666666</v>
      </c>
      <c r="H42" s="1">
        <v>11</v>
      </c>
      <c r="I42" s="13">
        <f t="shared" si="9"/>
        <v>9.166666666666666E-2</v>
      </c>
      <c r="J42" s="1">
        <v>0</v>
      </c>
      <c r="K42" s="13">
        <f t="shared" si="5"/>
        <v>0</v>
      </c>
      <c r="L42" s="3">
        <f t="shared" si="4"/>
        <v>120</v>
      </c>
    </row>
    <row r="43" spans="1:12" ht="13.5" customHeight="1" x14ac:dyDescent="0.25">
      <c r="A43" s="5" t="s">
        <v>25</v>
      </c>
      <c r="B43" s="1">
        <v>8</v>
      </c>
      <c r="C43" s="13">
        <f t="shared" si="6"/>
        <v>0.18181818181818182</v>
      </c>
      <c r="D43" s="1">
        <v>10</v>
      </c>
      <c r="E43" s="13">
        <f t="shared" si="7"/>
        <v>0.22727272727272727</v>
      </c>
      <c r="F43" s="1">
        <v>15</v>
      </c>
      <c r="G43" s="13">
        <f t="shared" si="8"/>
        <v>0.34090909090909088</v>
      </c>
      <c r="H43" s="1">
        <v>11</v>
      </c>
      <c r="I43" s="13">
        <f t="shared" si="9"/>
        <v>0.25</v>
      </c>
      <c r="J43" s="1">
        <v>0</v>
      </c>
      <c r="K43" s="13">
        <f t="shared" si="5"/>
        <v>0</v>
      </c>
      <c r="L43" s="3">
        <f t="shared" si="4"/>
        <v>44</v>
      </c>
    </row>
    <row r="44" spans="1:12" ht="13.5" customHeight="1" x14ac:dyDescent="0.25">
      <c r="A44" s="5" t="s">
        <v>74</v>
      </c>
      <c r="B44" s="1">
        <v>1</v>
      </c>
      <c r="C44" s="13">
        <f t="shared" si="6"/>
        <v>0.5</v>
      </c>
      <c r="D44" s="1">
        <v>0</v>
      </c>
      <c r="E44" s="13">
        <f t="shared" si="7"/>
        <v>0</v>
      </c>
      <c r="F44" s="1">
        <v>1</v>
      </c>
      <c r="G44" s="13">
        <f t="shared" si="8"/>
        <v>0.5</v>
      </c>
      <c r="H44" s="1">
        <v>0</v>
      </c>
      <c r="I44" s="13">
        <f t="shared" si="9"/>
        <v>0</v>
      </c>
      <c r="J44" s="1">
        <v>0</v>
      </c>
      <c r="K44" s="13">
        <f t="shared" si="5"/>
        <v>0</v>
      </c>
      <c r="L44" s="3">
        <f t="shared" si="4"/>
        <v>2</v>
      </c>
    </row>
    <row r="45" spans="1:12" ht="13.5" customHeight="1" x14ac:dyDescent="0.25">
      <c r="A45" s="5" t="s">
        <v>96</v>
      </c>
      <c r="B45" s="1">
        <v>1</v>
      </c>
      <c r="C45" s="13">
        <f t="shared" si="6"/>
        <v>0.5</v>
      </c>
      <c r="D45" s="1">
        <v>1</v>
      </c>
      <c r="E45" s="13">
        <f t="shared" si="7"/>
        <v>0.5</v>
      </c>
      <c r="F45" s="1">
        <v>0</v>
      </c>
      <c r="G45" s="13">
        <f t="shared" si="8"/>
        <v>0</v>
      </c>
      <c r="H45" s="1">
        <v>0</v>
      </c>
      <c r="I45" s="13">
        <f t="shared" si="9"/>
        <v>0</v>
      </c>
      <c r="J45" s="1">
        <v>0</v>
      </c>
      <c r="K45" s="13">
        <f t="shared" si="5"/>
        <v>0</v>
      </c>
      <c r="L45" s="3">
        <f t="shared" si="4"/>
        <v>2</v>
      </c>
    </row>
    <row r="46" spans="1:12" ht="13.5" customHeight="1" x14ac:dyDescent="0.25">
      <c r="A46" s="5" t="s">
        <v>128</v>
      </c>
      <c r="B46" s="1">
        <v>0</v>
      </c>
      <c r="C46" s="13">
        <f t="shared" si="6"/>
        <v>0</v>
      </c>
      <c r="D46" s="1">
        <v>2</v>
      </c>
      <c r="E46" s="13">
        <f t="shared" si="7"/>
        <v>0.5</v>
      </c>
      <c r="F46" s="1">
        <v>1</v>
      </c>
      <c r="G46" s="13">
        <f t="shared" si="8"/>
        <v>0.25</v>
      </c>
      <c r="H46" s="1">
        <v>1</v>
      </c>
      <c r="I46" s="13">
        <f t="shared" si="9"/>
        <v>0.25</v>
      </c>
      <c r="J46" s="1">
        <v>0</v>
      </c>
      <c r="K46" s="13">
        <f t="shared" si="5"/>
        <v>0</v>
      </c>
      <c r="L46" s="3">
        <f t="shared" si="4"/>
        <v>4</v>
      </c>
    </row>
    <row r="47" spans="1:12" ht="13.5" customHeight="1" x14ac:dyDescent="0.25">
      <c r="A47" s="5" t="s">
        <v>116</v>
      </c>
      <c r="B47" s="1">
        <v>0</v>
      </c>
      <c r="C47" s="13">
        <f t="shared" si="6"/>
        <v>0</v>
      </c>
      <c r="D47" s="1">
        <v>5</v>
      </c>
      <c r="E47" s="13">
        <f t="shared" si="7"/>
        <v>1</v>
      </c>
      <c r="F47" s="1">
        <v>0</v>
      </c>
      <c r="G47" s="13">
        <f t="shared" si="8"/>
        <v>0</v>
      </c>
      <c r="H47" s="1">
        <v>0</v>
      </c>
      <c r="I47" s="13">
        <f t="shared" si="9"/>
        <v>0</v>
      </c>
      <c r="J47" s="1">
        <v>0</v>
      </c>
      <c r="K47" s="13">
        <f t="shared" si="5"/>
        <v>0</v>
      </c>
      <c r="L47" s="3">
        <f t="shared" si="4"/>
        <v>5</v>
      </c>
    </row>
    <row r="48" spans="1:12" ht="13.5" customHeight="1" x14ac:dyDescent="0.25">
      <c r="A48" s="5" t="s">
        <v>26</v>
      </c>
      <c r="B48" s="1">
        <v>4</v>
      </c>
      <c r="C48" s="13">
        <f t="shared" si="6"/>
        <v>0.12903225806451613</v>
      </c>
      <c r="D48" s="1">
        <v>19</v>
      </c>
      <c r="E48" s="13">
        <f t="shared" si="7"/>
        <v>0.61290322580645162</v>
      </c>
      <c r="F48" s="1">
        <v>8</v>
      </c>
      <c r="G48" s="13">
        <f t="shared" si="8"/>
        <v>0.25806451612903225</v>
      </c>
      <c r="H48" s="1">
        <v>0</v>
      </c>
      <c r="I48" s="13">
        <f t="shared" si="9"/>
        <v>0</v>
      </c>
      <c r="J48" s="1">
        <v>0</v>
      </c>
      <c r="K48" s="13">
        <f t="shared" si="5"/>
        <v>0</v>
      </c>
      <c r="L48" s="3">
        <f t="shared" si="4"/>
        <v>31</v>
      </c>
    </row>
    <row r="49" spans="1:12" ht="13.5" customHeight="1" x14ac:dyDescent="0.25">
      <c r="A49" s="5" t="s">
        <v>27</v>
      </c>
      <c r="B49" s="1">
        <v>8</v>
      </c>
      <c r="C49" s="13">
        <f t="shared" si="6"/>
        <v>0.17777777777777778</v>
      </c>
      <c r="D49" s="1">
        <v>32</v>
      </c>
      <c r="E49" s="13">
        <f t="shared" si="7"/>
        <v>0.71111111111111114</v>
      </c>
      <c r="F49" s="1">
        <v>4</v>
      </c>
      <c r="G49" s="13">
        <f t="shared" si="8"/>
        <v>8.8888888888888892E-2</v>
      </c>
      <c r="H49" s="1">
        <v>0</v>
      </c>
      <c r="I49" s="13">
        <f t="shared" si="9"/>
        <v>0</v>
      </c>
      <c r="J49" s="1">
        <v>1</v>
      </c>
      <c r="K49" s="13">
        <f t="shared" si="5"/>
        <v>2.2222222222222223E-2</v>
      </c>
      <c r="L49" s="3">
        <f t="shared" si="4"/>
        <v>45</v>
      </c>
    </row>
    <row r="50" spans="1:12" ht="13.5" customHeight="1" x14ac:dyDescent="0.25">
      <c r="A50" s="5" t="s">
        <v>28</v>
      </c>
      <c r="B50" s="1">
        <v>11</v>
      </c>
      <c r="C50" s="13">
        <f t="shared" si="6"/>
        <v>0.29729729729729731</v>
      </c>
      <c r="D50" s="1">
        <v>25</v>
      </c>
      <c r="E50" s="13">
        <f t="shared" si="7"/>
        <v>0.67567567567567566</v>
      </c>
      <c r="F50" s="1">
        <v>1</v>
      </c>
      <c r="G50" s="13">
        <f t="shared" si="8"/>
        <v>2.7027027027027029E-2</v>
      </c>
      <c r="H50" s="1">
        <v>0</v>
      </c>
      <c r="I50" s="13">
        <f t="shared" si="9"/>
        <v>0</v>
      </c>
      <c r="J50" s="1">
        <v>0</v>
      </c>
      <c r="K50" s="13">
        <f t="shared" si="5"/>
        <v>0</v>
      </c>
      <c r="L50" s="3">
        <f t="shared" si="4"/>
        <v>37</v>
      </c>
    </row>
    <row r="51" spans="1:12" ht="13.5" customHeight="1" x14ac:dyDescent="0.25">
      <c r="A51" s="5" t="s">
        <v>29</v>
      </c>
      <c r="B51" s="1">
        <v>28</v>
      </c>
      <c r="C51" s="13">
        <f t="shared" si="6"/>
        <v>0.30434782608695654</v>
      </c>
      <c r="D51" s="1">
        <v>20</v>
      </c>
      <c r="E51" s="13">
        <f t="shared" si="7"/>
        <v>0.21739130434782608</v>
      </c>
      <c r="F51" s="1">
        <v>21</v>
      </c>
      <c r="G51" s="13">
        <f t="shared" si="8"/>
        <v>0.22826086956521738</v>
      </c>
      <c r="H51" s="1">
        <v>23</v>
      </c>
      <c r="I51" s="13">
        <f t="shared" si="9"/>
        <v>0.25</v>
      </c>
      <c r="J51" s="1">
        <v>0</v>
      </c>
      <c r="K51" s="13">
        <f t="shared" si="5"/>
        <v>0</v>
      </c>
      <c r="L51" s="3">
        <f t="shared" si="4"/>
        <v>92</v>
      </c>
    </row>
    <row r="52" spans="1:12" ht="13.5" customHeight="1" x14ac:dyDescent="0.25">
      <c r="A52" s="5" t="s">
        <v>30</v>
      </c>
      <c r="B52" s="1">
        <v>4</v>
      </c>
      <c r="C52" s="13">
        <f t="shared" si="6"/>
        <v>5.7971014492753624E-2</v>
      </c>
      <c r="D52" s="1">
        <v>37</v>
      </c>
      <c r="E52" s="13">
        <f t="shared" si="7"/>
        <v>0.53623188405797106</v>
      </c>
      <c r="F52" s="1">
        <v>26</v>
      </c>
      <c r="G52" s="13">
        <f t="shared" si="8"/>
        <v>0.37681159420289856</v>
      </c>
      <c r="H52" s="1">
        <v>2</v>
      </c>
      <c r="I52" s="13">
        <f t="shared" si="9"/>
        <v>2.8985507246376812E-2</v>
      </c>
      <c r="J52" s="1">
        <v>0</v>
      </c>
      <c r="K52" s="13">
        <f t="shared" si="5"/>
        <v>0</v>
      </c>
      <c r="L52" s="3">
        <f t="shared" si="4"/>
        <v>69</v>
      </c>
    </row>
    <row r="53" spans="1:12" ht="13.5" customHeight="1" x14ac:dyDescent="0.25">
      <c r="A53" s="5" t="s">
        <v>31</v>
      </c>
      <c r="B53" s="1">
        <v>30</v>
      </c>
      <c r="C53" s="13">
        <f t="shared" si="6"/>
        <v>0.31914893617021278</v>
      </c>
      <c r="D53" s="1">
        <v>62</v>
      </c>
      <c r="E53" s="13">
        <f t="shared" si="7"/>
        <v>0.65957446808510634</v>
      </c>
      <c r="F53" s="1">
        <v>2</v>
      </c>
      <c r="G53" s="13">
        <f t="shared" si="8"/>
        <v>2.1276595744680851E-2</v>
      </c>
      <c r="H53" s="1">
        <v>0</v>
      </c>
      <c r="I53" s="13">
        <f t="shared" si="9"/>
        <v>0</v>
      </c>
      <c r="J53" s="1">
        <v>0</v>
      </c>
      <c r="K53" s="13">
        <f t="shared" si="5"/>
        <v>0</v>
      </c>
      <c r="L53" s="3">
        <f t="shared" si="4"/>
        <v>94</v>
      </c>
    </row>
    <row r="54" spans="1:12" x14ac:dyDescent="0.25">
      <c r="A54" s="5" t="s">
        <v>32</v>
      </c>
      <c r="B54" s="1">
        <v>0</v>
      </c>
      <c r="C54" s="13">
        <f t="shared" si="6"/>
        <v>0</v>
      </c>
      <c r="D54" s="1">
        <v>6</v>
      </c>
      <c r="E54" s="13">
        <f t="shared" si="7"/>
        <v>0.54545454545454541</v>
      </c>
      <c r="F54" s="1">
        <v>4</v>
      </c>
      <c r="G54" s="13">
        <f t="shared" si="8"/>
        <v>0.36363636363636365</v>
      </c>
      <c r="H54" s="1">
        <v>1</v>
      </c>
      <c r="I54" s="13">
        <f t="shared" si="9"/>
        <v>9.0909090909090912E-2</v>
      </c>
      <c r="J54" s="1">
        <v>0</v>
      </c>
      <c r="K54" s="13">
        <f t="shared" si="5"/>
        <v>0</v>
      </c>
      <c r="L54" s="3">
        <f t="shared" si="4"/>
        <v>11</v>
      </c>
    </row>
    <row r="55" spans="1:12" x14ac:dyDescent="0.25">
      <c r="A55" s="5" t="s">
        <v>100</v>
      </c>
      <c r="B55" s="1">
        <v>15</v>
      </c>
      <c r="C55" s="13">
        <f t="shared" si="6"/>
        <v>9.9337748344370855E-2</v>
      </c>
      <c r="D55" s="1">
        <v>89</v>
      </c>
      <c r="E55" s="13">
        <f t="shared" si="7"/>
        <v>0.58940397350993379</v>
      </c>
      <c r="F55" s="1">
        <v>43</v>
      </c>
      <c r="G55" s="13">
        <f t="shared" si="8"/>
        <v>0.28476821192052981</v>
      </c>
      <c r="H55" s="1">
        <v>4</v>
      </c>
      <c r="I55" s="13">
        <f t="shared" si="9"/>
        <v>2.6490066225165563E-2</v>
      </c>
      <c r="J55" s="1">
        <v>0</v>
      </c>
      <c r="K55" s="13">
        <f t="shared" si="5"/>
        <v>0</v>
      </c>
      <c r="L55" s="3">
        <f t="shared" si="4"/>
        <v>151</v>
      </c>
    </row>
    <row r="56" spans="1:12" x14ac:dyDescent="0.25">
      <c r="A56" s="5" t="s">
        <v>33</v>
      </c>
      <c r="B56" s="1">
        <v>2</v>
      </c>
      <c r="C56" s="13">
        <f t="shared" si="6"/>
        <v>0.13333333333333333</v>
      </c>
      <c r="D56" s="1">
        <v>7</v>
      </c>
      <c r="E56" s="13">
        <f t="shared" si="7"/>
        <v>0.46666666666666667</v>
      </c>
      <c r="F56" s="1">
        <v>4</v>
      </c>
      <c r="G56" s="13">
        <f t="shared" si="8"/>
        <v>0.26666666666666666</v>
      </c>
      <c r="H56" s="1">
        <v>2</v>
      </c>
      <c r="I56" s="13">
        <f t="shared" si="9"/>
        <v>0.13333333333333333</v>
      </c>
      <c r="J56" s="1">
        <v>0</v>
      </c>
      <c r="K56" s="13">
        <f t="shared" si="5"/>
        <v>0</v>
      </c>
      <c r="L56" s="3">
        <f t="shared" si="4"/>
        <v>15</v>
      </c>
    </row>
    <row r="57" spans="1:12" x14ac:dyDescent="0.25">
      <c r="A57" s="5" t="s">
        <v>34</v>
      </c>
      <c r="B57" s="1">
        <v>8</v>
      </c>
      <c r="C57" s="13">
        <f t="shared" si="6"/>
        <v>0.29629629629629628</v>
      </c>
      <c r="D57" s="1">
        <v>12</v>
      </c>
      <c r="E57" s="13">
        <f t="shared" si="7"/>
        <v>0.44444444444444442</v>
      </c>
      <c r="F57" s="1">
        <v>6</v>
      </c>
      <c r="G57" s="13">
        <f t="shared" si="8"/>
        <v>0.22222222222222221</v>
      </c>
      <c r="H57" s="1">
        <v>1</v>
      </c>
      <c r="I57" s="13">
        <f t="shared" si="9"/>
        <v>3.7037037037037035E-2</v>
      </c>
      <c r="J57" s="1">
        <v>0</v>
      </c>
      <c r="K57" s="13">
        <f t="shared" si="5"/>
        <v>0</v>
      </c>
      <c r="L57" s="3">
        <f t="shared" si="4"/>
        <v>27</v>
      </c>
    </row>
    <row r="58" spans="1:12" ht="15.75" thickBot="1" x14ac:dyDescent="0.3">
      <c r="A58" s="7" t="s">
        <v>35</v>
      </c>
      <c r="B58" s="8">
        <v>17</v>
      </c>
      <c r="C58" s="14">
        <f t="shared" si="6"/>
        <v>0.30909090909090908</v>
      </c>
      <c r="D58" s="8">
        <v>21</v>
      </c>
      <c r="E58" s="14">
        <f t="shared" si="7"/>
        <v>0.38181818181818183</v>
      </c>
      <c r="F58" s="8">
        <v>13</v>
      </c>
      <c r="G58" s="14">
        <f t="shared" si="8"/>
        <v>0.23636363636363636</v>
      </c>
      <c r="H58" s="8">
        <v>4</v>
      </c>
      <c r="I58" s="14">
        <f t="shared" si="9"/>
        <v>7.2727272727272724E-2</v>
      </c>
      <c r="J58" s="8">
        <v>0</v>
      </c>
      <c r="K58" s="14">
        <f t="shared" si="5"/>
        <v>0</v>
      </c>
      <c r="L58" s="6">
        <f t="shared" si="4"/>
        <v>55</v>
      </c>
    </row>
    <row r="59" spans="1:12" ht="16.5" thickTop="1" thickBot="1" x14ac:dyDescent="0.3">
      <c r="A59" s="2" t="s">
        <v>41</v>
      </c>
      <c r="B59" s="2">
        <f>SUM(B6:B58)</f>
        <v>599</v>
      </c>
      <c r="C59" s="15">
        <f t="shared" si="6"/>
        <v>0.20769764216366157</v>
      </c>
      <c r="D59" s="2">
        <f>SUM(D6:D58)</f>
        <v>1579</v>
      </c>
      <c r="E59" s="15">
        <f t="shared" si="7"/>
        <v>0.54750346740638001</v>
      </c>
      <c r="F59" s="2">
        <f>SUM(F6:F58)</f>
        <v>545</v>
      </c>
      <c r="G59" s="15">
        <f t="shared" si="8"/>
        <v>0.18897364771151179</v>
      </c>
      <c r="H59" s="2">
        <f>SUM(H6:H58)</f>
        <v>158</v>
      </c>
      <c r="I59" s="15">
        <f t="shared" si="9"/>
        <v>5.4785020804438284E-2</v>
      </c>
      <c r="J59" s="2">
        <f>SUM(J6:J58)</f>
        <v>3</v>
      </c>
      <c r="K59" s="15">
        <f t="shared" si="5"/>
        <v>1.0402219140083217E-3</v>
      </c>
      <c r="L59" s="4">
        <f>SUM(L6:L58)</f>
        <v>2884</v>
      </c>
    </row>
    <row r="60" spans="1:12" ht="15.75" thickBo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x14ac:dyDescent="0.25">
      <c r="A61" s="39" t="s">
        <v>57</v>
      </c>
      <c r="B61" s="35" t="s">
        <v>52</v>
      </c>
      <c r="C61" s="36"/>
      <c r="D61" s="35" t="s">
        <v>53</v>
      </c>
      <c r="E61" s="36"/>
      <c r="F61" s="35" t="s">
        <v>54</v>
      </c>
      <c r="G61" s="36"/>
      <c r="H61" s="35" t="s">
        <v>55</v>
      </c>
      <c r="I61" s="36"/>
      <c r="J61" s="35" t="s">
        <v>46</v>
      </c>
      <c r="K61" s="36"/>
      <c r="L61" s="39" t="s">
        <v>0</v>
      </c>
    </row>
    <row r="62" spans="1:12" ht="23.25" customHeight="1" x14ac:dyDescent="0.25">
      <c r="A62" s="45"/>
      <c r="B62" s="37"/>
      <c r="C62" s="38"/>
      <c r="D62" s="37"/>
      <c r="E62" s="38"/>
      <c r="F62" s="37"/>
      <c r="G62" s="38"/>
      <c r="H62" s="37"/>
      <c r="I62" s="38"/>
      <c r="J62" s="37"/>
      <c r="K62" s="38"/>
      <c r="L62" s="40"/>
    </row>
    <row r="63" spans="1:12" x14ac:dyDescent="0.25">
      <c r="A63" s="5" t="s">
        <v>62</v>
      </c>
      <c r="B63" s="1">
        <v>85</v>
      </c>
      <c r="C63" s="13">
        <f t="shared" ref="C63:C71" si="10">B63/L63</f>
        <v>0.18681318681318682</v>
      </c>
      <c r="D63" s="1">
        <v>291</v>
      </c>
      <c r="E63" s="13">
        <f t="shared" ref="E63:E71" si="11">D63/L63</f>
        <v>0.63956043956043951</v>
      </c>
      <c r="F63" s="1">
        <v>66</v>
      </c>
      <c r="G63" s="13">
        <f t="shared" ref="G63:G71" si="12">F63/L63</f>
        <v>0.14505494505494507</v>
      </c>
      <c r="H63" s="1">
        <v>11</v>
      </c>
      <c r="I63" s="13">
        <f t="shared" ref="I63:I71" si="13">H63/L63</f>
        <v>2.4175824175824177E-2</v>
      </c>
      <c r="J63" s="1">
        <v>2</v>
      </c>
      <c r="K63" s="13">
        <f t="shared" ref="K63:K71" si="14">J63/L63</f>
        <v>4.3956043956043956E-3</v>
      </c>
      <c r="L63" s="3">
        <f>B63+D63+F63+H63+J63</f>
        <v>455</v>
      </c>
    </row>
    <row r="64" spans="1:12" x14ac:dyDescent="0.25">
      <c r="A64" s="5" t="s">
        <v>119</v>
      </c>
      <c r="B64" s="1">
        <v>82</v>
      </c>
      <c r="C64" s="13">
        <f t="shared" si="10"/>
        <v>0.28771929824561404</v>
      </c>
      <c r="D64" s="1">
        <v>187</v>
      </c>
      <c r="E64" s="13">
        <f t="shared" si="11"/>
        <v>0.65614035087719302</v>
      </c>
      <c r="F64" s="1">
        <v>16</v>
      </c>
      <c r="G64" s="13">
        <f t="shared" si="12"/>
        <v>5.6140350877192984E-2</v>
      </c>
      <c r="H64" s="1">
        <v>0</v>
      </c>
      <c r="I64" s="13">
        <f t="shared" si="13"/>
        <v>0</v>
      </c>
      <c r="J64" s="1">
        <v>0</v>
      </c>
      <c r="K64" s="13">
        <f t="shared" si="14"/>
        <v>0</v>
      </c>
      <c r="L64" s="3">
        <f>B64+D64+F64+H64+J64</f>
        <v>285</v>
      </c>
    </row>
    <row r="65" spans="1:12" x14ac:dyDescent="0.25">
      <c r="A65" s="5" t="s">
        <v>63</v>
      </c>
      <c r="B65" s="1">
        <v>15</v>
      </c>
      <c r="C65" s="13">
        <f t="shared" si="10"/>
        <v>0.11538461538461539</v>
      </c>
      <c r="D65" s="1">
        <v>74</v>
      </c>
      <c r="E65" s="13">
        <f t="shared" si="11"/>
        <v>0.56923076923076921</v>
      </c>
      <c r="F65" s="1">
        <v>31</v>
      </c>
      <c r="G65" s="13">
        <f t="shared" si="12"/>
        <v>0.23846153846153847</v>
      </c>
      <c r="H65" s="1">
        <v>10</v>
      </c>
      <c r="I65" s="13">
        <f t="shared" si="13"/>
        <v>7.6923076923076927E-2</v>
      </c>
      <c r="J65" s="1">
        <v>0</v>
      </c>
      <c r="K65" s="13">
        <f t="shared" si="14"/>
        <v>0</v>
      </c>
      <c r="L65" s="3">
        <f t="shared" ref="L65:L70" si="15">B65+D65+F65+H65+J65</f>
        <v>130</v>
      </c>
    </row>
    <row r="66" spans="1:12" x14ac:dyDescent="0.25">
      <c r="A66" s="5" t="s">
        <v>103</v>
      </c>
      <c r="B66" s="1">
        <v>61</v>
      </c>
      <c r="C66" s="13">
        <f t="shared" si="10"/>
        <v>0.21863799283154123</v>
      </c>
      <c r="D66" s="1">
        <v>89</v>
      </c>
      <c r="E66" s="13">
        <f t="shared" si="11"/>
        <v>0.31899641577060933</v>
      </c>
      <c r="F66" s="1">
        <v>81</v>
      </c>
      <c r="G66" s="13">
        <f t="shared" si="12"/>
        <v>0.29032258064516131</v>
      </c>
      <c r="H66" s="1">
        <v>47</v>
      </c>
      <c r="I66" s="13">
        <f t="shared" si="13"/>
        <v>0.16845878136200718</v>
      </c>
      <c r="J66" s="1">
        <v>1</v>
      </c>
      <c r="K66" s="13">
        <f t="shared" si="14"/>
        <v>3.5842293906810036E-3</v>
      </c>
      <c r="L66" s="3">
        <f t="shared" si="15"/>
        <v>279</v>
      </c>
    </row>
    <row r="67" spans="1:12" x14ac:dyDescent="0.25">
      <c r="A67" s="5" t="s">
        <v>1</v>
      </c>
      <c r="B67" s="1">
        <v>21</v>
      </c>
      <c r="C67" s="13">
        <f t="shared" si="10"/>
        <v>0.15107913669064749</v>
      </c>
      <c r="D67" s="1">
        <v>98</v>
      </c>
      <c r="E67" s="13">
        <f t="shared" si="11"/>
        <v>0.70503597122302153</v>
      </c>
      <c r="F67" s="1">
        <v>19</v>
      </c>
      <c r="G67" s="13">
        <f t="shared" si="12"/>
        <v>0.1366906474820144</v>
      </c>
      <c r="H67" s="1">
        <v>1</v>
      </c>
      <c r="I67" s="13">
        <f t="shared" si="13"/>
        <v>7.1942446043165471E-3</v>
      </c>
      <c r="J67" s="1">
        <v>0</v>
      </c>
      <c r="K67" s="13">
        <f t="shared" si="14"/>
        <v>0</v>
      </c>
      <c r="L67" s="3">
        <f t="shared" si="15"/>
        <v>139</v>
      </c>
    </row>
    <row r="68" spans="1:12" x14ac:dyDescent="0.25">
      <c r="A68" s="5" t="s">
        <v>66</v>
      </c>
      <c r="B68" s="1">
        <v>92</v>
      </c>
      <c r="C68" s="13">
        <f t="shared" si="10"/>
        <v>0.18661257606490872</v>
      </c>
      <c r="D68" s="1">
        <v>299</v>
      </c>
      <c r="E68" s="13">
        <f t="shared" si="11"/>
        <v>0.60649087221095332</v>
      </c>
      <c r="F68" s="1">
        <v>90</v>
      </c>
      <c r="G68" s="13">
        <f t="shared" si="12"/>
        <v>0.18255578093306288</v>
      </c>
      <c r="H68" s="1">
        <v>12</v>
      </c>
      <c r="I68" s="13">
        <f t="shared" si="13"/>
        <v>2.434077079107505E-2</v>
      </c>
      <c r="J68" s="1">
        <v>0</v>
      </c>
      <c r="K68" s="13">
        <f t="shared" si="14"/>
        <v>0</v>
      </c>
      <c r="L68" s="3">
        <f t="shared" si="15"/>
        <v>493</v>
      </c>
    </row>
    <row r="69" spans="1:12" x14ac:dyDescent="0.25">
      <c r="A69" s="5" t="s">
        <v>67</v>
      </c>
      <c r="B69" s="1">
        <v>122</v>
      </c>
      <c r="C69" s="13">
        <f t="shared" si="10"/>
        <v>0.28504672897196259</v>
      </c>
      <c r="D69" s="1">
        <v>138</v>
      </c>
      <c r="E69" s="13">
        <f t="shared" si="11"/>
        <v>0.32242990654205606</v>
      </c>
      <c r="F69" s="1">
        <v>112</v>
      </c>
      <c r="G69" s="13">
        <f t="shared" si="12"/>
        <v>0.26168224299065418</v>
      </c>
      <c r="H69" s="1">
        <v>56</v>
      </c>
      <c r="I69" s="13">
        <f t="shared" si="13"/>
        <v>0.13084112149532709</v>
      </c>
      <c r="J69" s="1">
        <v>0</v>
      </c>
      <c r="K69" s="13">
        <f t="shared" si="14"/>
        <v>0</v>
      </c>
      <c r="L69" s="3">
        <f t="shared" si="15"/>
        <v>428</v>
      </c>
    </row>
    <row r="70" spans="1:12" ht="15.75" thickBot="1" x14ac:dyDescent="0.3">
      <c r="A70" s="7" t="s">
        <v>68</v>
      </c>
      <c r="B70" s="8">
        <v>121</v>
      </c>
      <c r="C70" s="14">
        <f t="shared" si="10"/>
        <v>0.17925925925925926</v>
      </c>
      <c r="D70" s="8">
        <v>403</v>
      </c>
      <c r="E70" s="14">
        <f t="shared" si="11"/>
        <v>0.59703703703703703</v>
      </c>
      <c r="F70" s="8">
        <v>130</v>
      </c>
      <c r="G70" s="14">
        <f t="shared" si="12"/>
        <v>0.19259259259259259</v>
      </c>
      <c r="H70" s="8">
        <v>21</v>
      </c>
      <c r="I70" s="14">
        <f t="shared" si="13"/>
        <v>3.111111111111111E-2</v>
      </c>
      <c r="J70" s="8">
        <v>0</v>
      </c>
      <c r="K70" s="14">
        <f t="shared" si="14"/>
        <v>0</v>
      </c>
      <c r="L70" s="6">
        <f t="shared" si="15"/>
        <v>675</v>
      </c>
    </row>
    <row r="71" spans="1:12" ht="16.5" thickTop="1" thickBot="1" x14ac:dyDescent="0.3">
      <c r="A71" s="2" t="s">
        <v>41</v>
      </c>
      <c r="B71" s="2">
        <f>SUM(B63:B70)</f>
        <v>599</v>
      </c>
      <c r="C71" s="15">
        <f t="shared" si="10"/>
        <v>0.20769764216366157</v>
      </c>
      <c r="D71" s="2">
        <f>SUM(D63:D70)</f>
        <v>1579</v>
      </c>
      <c r="E71" s="15">
        <f t="shared" si="11"/>
        <v>0.54750346740638001</v>
      </c>
      <c r="F71" s="2">
        <f>SUM(F63:F70)</f>
        <v>545</v>
      </c>
      <c r="G71" s="15">
        <f t="shared" si="12"/>
        <v>0.18897364771151179</v>
      </c>
      <c r="H71" s="2">
        <f>SUM(H63:H70)</f>
        <v>158</v>
      </c>
      <c r="I71" s="15">
        <f t="shared" si="13"/>
        <v>5.4785020804438284E-2</v>
      </c>
      <c r="J71" s="2">
        <f>SUM(J63:J70)</f>
        <v>3</v>
      </c>
      <c r="K71" s="15">
        <f t="shared" si="14"/>
        <v>1.0402219140083217E-3</v>
      </c>
      <c r="L71" s="4">
        <f>SUM(L63:L70)</f>
        <v>2884</v>
      </c>
    </row>
    <row r="74" spans="1:12" x14ac:dyDescent="0.25">
      <c r="A74" s="12" t="s">
        <v>58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2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1:12" ht="30" customHeight="1" thickBot="1" x14ac:dyDescent="0.3">
      <c r="A76" s="12"/>
      <c r="D76" s="21"/>
      <c r="E76" s="21"/>
      <c r="F76" s="12"/>
      <c r="G76" s="12"/>
      <c r="H76" s="12"/>
      <c r="I76" s="12"/>
      <c r="J76" s="12"/>
      <c r="K76" s="12"/>
    </row>
    <row r="77" spans="1:12" x14ac:dyDescent="0.25">
      <c r="A77" s="26"/>
      <c r="B77" s="41" t="s">
        <v>79</v>
      </c>
      <c r="C77" s="42"/>
      <c r="D77" s="21"/>
      <c r="E77" s="21"/>
      <c r="F77" s="12"/>
      <c r="G77" s="12"/>
      <c r="H77" s="12"/>
      <c r="I77" s="12"/>
      <c r="J77" s="12"/>
      <c r="K77" s="12"/>
    </row>
    <row r="78" spans="1:12" ht="15.75" thickBot="1" x14ac:dyDescent="0.3">
      <c r="A78" s="24" t="s">
        <v>78</v>
      </c>
      <c r="B78" s="32" t="s">
        <v>129</v>
      </c>
      <c r="C78" s="33"/>
      <c r="F78" s="12"/>
      <c r="G78" s="12"/>
      <c r="H78" s="12"/>
      <c r="I78" s="12"/>
      <c r="J78" s="12"/>
      <c r="K78" s="12"/>
    </row>
    <row r="79" spans="1:12" ht="30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1:12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 x14ac:dyDescent="0.25">
      <c r="A81" s="34" t="s">
        <v>124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</row>
  </sheetData>
  <mergeCells count="16">
    <mergeCell ref="B78:C78"/>
    <mergeCell ref="A81:K81"/>
    <mergeCell ref="J61:K62"/>
    <mergeCell ref="L61:L62"/>
    <mergeCell ref="B77:C77"/>
    <mergeCell ref="A61:A62"/>
    <mergeCell ref="B61:C62"/>
    <mergeCell ref="D61:E62"/>
    <mergeCell ref="F61:G62"/>
    <mergeCell ref="H61:I62"/>
    <mergeCell ref="A2:K2"/>
    <mergeCell ref="B5:C5"/>
    <mergeCell ref="D5:E5"/>
    <mergeCell ref="F5:G5"/>
    <mergeCell ref="H5:I5"/>
    <mergeCell ref="J5:K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N87"/>
  <sheetViews>
    <sheetView tabSelected="1" view="pageLayout" zoomScale="40" zoomScaleNormal="100" zoomScalePageLayoutView="40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">
        <v>159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 t="s">
        <v>4</v>
      </c>
      <c r="B6" s="1">
        <v>5</v>
      </c>
      <c r="C6" s="13">
        <f>B6/N6</f>
        <v>0.15151515151515152</v>
      </c>
      <c r="D6" s="1">
        <v>21</v>
      </c>
      <c r="E6" s="13">
        <f>D6/N6</f>
        <v>0.63636363636363635</v>
      </c>
      <c r="F6" s="1">
        <v>6</v>
      </c>
      <c r="G6" s="13">
        <f>F6/N6</f>
        <v>0.18181818181818182</v>
      </c>
      <c r="H6" s="1">
        <v>1</v>
      </c>
      <c r="I6" s="13">
        <f>H6/N6</f>
        <v>3.0303030303030304E-2</v>
      </c>
      <c r="J6" s="1">
        <v>0</v>
      </c>
      <c r="K6" s="13">
        <f>J6/N6</f>
        <v>0</v>
      </c>
      <c r="L6" s="1">
        <v>0</v>
      </c>
      <c r="M6" s="13">
        <f>L6/N6</f>
        <v>0</v>
      </c>
      <c r="N6" s="3">
        <f t="shared" ref="N6:N60" si="0">B6+D6+F6+H6+J6+L6</f>
        <v>33</v>
      </c>
    </row>
    <row r="7" spans="1:14" ht="13.5" customHeight="1" x14ac:dyDescent="0.25">
      <c r="A7" s="5" t="s">
        <v>5</v>
      </c>
      <c r="B7" s="1">
        <v>7</v>
      </c>
      <c r="C7" s="13">
        <f>B7/N7</f>
        <v>0.1076923076923077</v>
      </c>
      <c r="D7" s="1">
        <v>50</v>
      </c>
      <c r="E7" s="13">
        <f>D7/N7</f>
        <v>0.76923076923076927</v>
      </c>
      <c r="F7" s="1">
        <v>7</v>
      </c>
      <c r="G7" s="13">
        <f>F7/N7</f>
        <v>0.1076923076923077</v>
      </c>
      <c r="H7" s="1">
        <v>1</v>
      </c>
      <c r="I7" s="13">
        <f>H7/N7</f>
        <v>1.5384615384615385E-2</v>
      </c>
      <c r="J7" s="1">
        <v>0</v>
      </c>
      <c r="K7" s="13">
        <f>J7/N7</f>
        <v>0</v>
      </c>
      <c r="L7" s="1">
        <v>0</v>
      </c>
      <c r="M7" s="13">
        <f>L7/N7</f>
        <v>0</v>
      </c>
      <c r="N7" s="3">
        <f>B7+D7+F7+H7+J7+L7</f>
        <v>65</v>
      </c>
    </row>
    <row r="8" spans="1:14" ht="13.5" customHeight="1" x14ac:dyDescent="0.25">
      <c r="A8" s="5" t="s">
        <v>6</v>
      </c>
      <c r="B8" s="1">
        <v>27</v>
      </c>
      <c r="C8" s="13">
        <f>B8/N8</f>
        <v>0.35526315789473684</v>
      </c>
      <c r="D8" s="1">
        <v>46</v>
      </c>
      <c r="E8" s="13">
        <f>D8/N8</f>
        <v>0.60526315789473684</v>
      </c>
      <c r="F8" s="1">
        <v>3</v>
      </c>
      <c r="G8" s="13">
        <f>F8/N8</f>
        <v>3.9473684210526314E-2</v>
      </c>
      <c r="H8" s="1">
        <v>0</v>
      </c>
      <c r="I8" s="13">
        <f>H8/N8</f>
        <v>0</v>
      </c>
      <c r="J8" s="1">
        <v>0</v>
      </c>
      <c r="K8" s="13">
        <f>J8/N8</f>
        <v>0</v>
      </c>
      <c r="L8" s="1">
        <v>0</v>
      </c>
      <c r="M8" s="13">
        <f>L8/N8</f>
        <v>0</v>
      </c>
      <c r="N8" s="3">
        <f>B8+D8+F8+H8+J8+L8</f>
        <v>76</v>
      </c>
    </row>
    <row r="9" spans="1:14" ht="13.5" customHeight="1" x14ac:dyDescent="0.25">
      <c r="A9" s="5" t="s">
        <v>93</v>
      </c>
      <c r="B9" s="1">
        <v>15</v>
      </c>
      <c r="C9" s="13">
        <f t="shared" ref="C9:C61" si="1">B9/N9</f>
        <v>0.25</v>
      </c>
      <c r="D9" s="1">
        <v>30</v>
      </c>
      <c r="E9" s="13">
        <f t="shared" ref="E9:E61" si="2">D9/N9</f>
        <v>0.5</v>
      </c>
      <c r="F9" s="1">
        <v>15</v>
      </c>
      <c r="G9" s="13">
        <f t="shared" ref="G9:G61" si="3">F9/N9</f>
        <v>0.25</v>
      </c>
      <c r="H9" s="1">
        <v>0</v>
      </c>
      <c r="I9" s="13">
        <f t="shared" ref="I9:I61" si="4">H9/N9</f>
        <v>0</v>
      </c>
      <c r="J9" s="1">
        <v>0</v>
      </c>
      <c r="K9" s="13">
        <f t="shared" ref="K9:K61" si="5">J9/N9</f>
        <v>0</v>
      </c>
      <c r="L9" s="1">
        <v>0</v>
      </c>
      <c r="M9" s="13">
        <f t="shared" ref="M9:M61" si="6">L9/N9</f>
        <v>0</v>
      </c>
      <c r="N9" s="3">
        <f t="shared" si="0"/>
        <v>60</v>
      </c>
    </row>
    <row r="10" spans="1:14" ht="13.5" customHeight="1" x14ac:dyDescent="0.25">
      <c r="A10" s="5" t="s">
        <v>120</v>
      </c>
      <c r="B10" s="1">
        <v>4</v>
      </c>
      <c r="C10" s="13">
        <f t="shared" si="1"/>
        <v>0.14814814814814814</v>
      </c>
      <c r="D10" s="1">
        <v>7</v>
      </c>
      <c r="E10" s="13">
        <f t="shared" si="2"/>
        <v>0.25925925925925924</v>
      </c>
      <c r="F10" s="1">
        <v>9</v>
      </c>
      <c r="G10" s="13">
        <f t="shared" si="3"/>
        <v>0.33333333333333331</v>
      </c>
      <c r="H10" s="1">
        <v>7</v>
      </c>
      <c r="I10" s="13">
        <f t="shared" si="4"/>
        <v>0.25925925925925924</v>
      </c>
      <c r="J10" s="1">
        <v>0</v>
      </c>
      <c r="K10" s="13">
        <f t="shared" si="5"/>
        <v>0</v>
      </c>
      <c r="L10" s="1">
        <v>0</v>
      </c>
      <c r="M10" s="13">
        <f t="shared" si="6"/>
        <v>0</v>
      </c>
      <c r="N10" s="3">
        <f t="shared" si="0"/>
        <v>27</v>
      </c>
    </row>
    <row r="11" spans="1:14" ht="13.5" customHeight="1" x14ac:dyDescent="0.25">
      <c r="A11" s="5" t="s">
        <v>121</v>
      </c>
      <c r="B11" s="1">
        <v>3</v>
      </c>
      <c r="C11" s="13">
        <f t="shared" si="1"/>
        <v>0.10344827586206896</v>
      </c>
      <c r="D11" s="1">
        <v>20</v>
      </c>
      <c r="E11" s="13">
        <f t="shared" si="2"/>
        <v>0.68965517241379315</v>
      </c>
      <c r="F11" s="1">
        <v>5</v>
      </c>
      <c r="G11" s="13">
        <f t="shared" si="3"/>
        <v>0.17241379310344829</v>
      </c>
      <c r="H11" s="1">
        <v>1</v>
      </c>
      <c r="I11" s="13">
        <f t="shared" si="4"/>
        <v>3.4482758620689655E-2</v>
      </c>
      <c r="J11" s="1">
        <v>0</v>
      </c>
      <c r="K11" s="13">
        <f t="shared" si="5"/>
        <v>0</v>
      </c>
      <c r="L11" s="1">
        <v>0</v>
      </c>
      <c r="M11" s="13">
        <f t="shared" si="6"/>
        <v>0</v>
      </c>
      <c r="N11" s="3">
        <f t="shared" si="0"/>
        <v>29</v>
      </c>
    </row>
    <row r="12" spans="1:14" ht="13.5" customHeight="1" x14ac:dyDescent="0.25">
      <c r="A12" s="5" t="s">
        <v>70</v>
      </c>
      <c r="B12" s="1">
        <v>6</v>
      </c>
      <c r="C12" s="13">
        <f t="shared" si="1"/>
        <v>0.23076923076923078</v>
      </c>
      <c r="D12" s="1">
        <v>15</v>
      </c>
      <c r="E12" s="13">
        <f t="shared" si="2"/>
        <v>0.57692307692307687</v>
      </c>
      <c r="F12" s="1">
        <v>4</v>
      </c>
      <c r="G12" s="13">
        <f t="shared" si="3"/>
        <v>0.15384615384615385</v>
      </c>
      <c r="H12" s="1">
        <v>1</v>
      </c>
      <c r="I12" s="13">
        <f t="shared" si="4"/>
        <v>3.8461538461538464E-2</v>
      </c>
      <c r="J12" s="1">
        <v>0</v>
      </c>
      <c r="K12" s="13">
        <f t="shared" si="5"/>
        <v>0</v>
      </c>
      <c r="L12" s="1">
        <v>0</v>
      </c>
      <c r="M12" s="13">
        <f t="shared" si="6"/>
        <v>0</v>
      </c>
      <c r="N12" s="3">
        <f t="shared" si="0"/>
        <v>26</v>
      </c>
    </row>
    <row r="13" spans="1:14" ht="13.5" customHeight="1" x14ac:dyDescent="0.25">
      <c r="A13" s="5" t="s">
        <v>7</v>
      </c>
      <c r="B13" s="1">
        <v>10</v>
      </c>
      <c r="C13" s="13">
        <f t="shared" si="1"/>
        <v>0.18181818181818182</v>
      </c>
      <c r="D13" s="1">
        <v>22</v>
      </c>
      <c r="E13" s="13">
        <f t="shared" si="2"/>
        <v>0.4</v>
      </c>
      <c r="F13" s="1">
        <v>14</v>
      </c>
      <c r="G13" s="13">
        <f t="shared" si="3"/>
        <v>0.25454545454545452</v>
      </c>
      <c r="H13" s="1">
        <v>9</v>
      </c>
      <c r="I13" s="13">
        <f t="shared" si="4"/>
        <v>0.16363636363636364</v>
      </c>
      <c r="J13" s="1">
        <v>0</v>
      </c>
      <c r="K13" s="13">
        <f t="shared" si="5"/>
        <v>0</v>
      </c>
      <c r="L13" s="1">
        <v>0</v>
      </c>
      <c r="M13" s="13">
        <f t="shared" si="6"/>
        <v>0</v>
      </c>
      <c r="N13" s="3">
        <f t="shared" si="0"/>
        <v>55</v>
      </c>
    </row>
    <row r="14" spans="1:14" ht="13.5" customHeight="1" x14ac:dyDescent="0.25">
      <c r="A14" s="5" t="s">
        <v>8</v>
      </c>
      <c r="B14" s="1">
        <v>15</v>
      </c>
      <c r="C14" s="13">
        <f t="shared" si="1"/>
        <v>0.21126760563380281</v>
      </c>
      <c r="D14" s="1">
        <v>38</v>
      </c>
      <c r="E14" s="13">
        <f t="shared" si="2"/>
        <v>0.53521126760563376</v>
      </c>
      <c r="F14" s="1">
        <v>14</v>
      </c>
      <c r="G14" s="13">
        <f t="shared" si="3"/>
        <v>0.19718309859154928</v>
      </c>
      <c r="H14" s="1">
        <v>4</v>
      </c>
      <c r="I14" s="13">
        <f t="shared" si="4"/>
        <v>5.6338028169014086E-2</v>
      </c>
      <c r="J14" s="1">
        <v>0</v>
      </c>
      <c r="K14" s="13">
        <f t="shared" si="5"/>
        <v>0</v>
      </c>
      <c r="L14" s="1">
        <v>0</v>
      </c>
      <c r="M14" s="13">
        <f t="shared" si="6"/>
        <v>0</v>
      </c>
      <c r="N14" s="3">
        <f t="shared" si="0"/>
        <v>71</v>
      </c>
    </row>
    <row r="15" spans="1:14" ht="13.5" customHeight="1" x14ac:dyDescent="0.25">
      <c r="A15" s="5" t="s">
        <v>71</v>
      </c>
      <c r="B15" s="1">
        <v>1</v>
      </c>
      <c r="C15" s="13">
        <f t="shared" si="1"/>
        <v>3.3333333333333333E-2</v>
      </c>
      <c r="D15" s="1">
        <v>12</v>
      </c>
      <c r="E15" s="13">
        <f t="shared" si="2"/>
        <v>0.4</v>
      </c>
      <c r="F15" s="1">
        <v>13</v>
      </c>
      <c r="G15" s="13">
        <f t="shared" si="3"/>
        <v>0.43333333333333335</v>
      </c>
      <c r="H15" s="1">
        <v>3</v>
      </c>
      <c r="I15" s="13">
        <f t="shared" si="4"/>
        <v>0.1</v>
      </c>
      <c r="J15" s="1">
        <v>1</v>
      </c>
      <c r="K15" s="13">
        <f t="shared" si="5"/>
        <v>3.3333333333333333E-2</v>
      </c>
      <c r="L15" s="1">
        <v>0</v>
      </c>
      <c r="M15" s="13">
        <f t="shared" si="6"/>
        <v>0</v>
      </c>
      <c r="N15" s="3">
        <f t="shared" si="0"/>
        <v>30</v>
      </c>
    </row>
    <row r="16" spans="1:14" ht="13.5" customHeight="1" x14ac:dyDescent="0.25">
      <c r="A16" s="5" t="s">
        <v>10</v>
      </c>
      <c r="B16" s="1">
        <v>14</v>
      </c>
      <c r="C16" s="13">
        <f t="shared" si="1"/>
        <v>0.21212121212121213</v>
      </c>
      <c r="D16" s="1">
        <v>18</v>
      </c>
      <c r="E16" s="13">
        <f t="shared" si="2"/>
        <v>0.27272727272727271</v>
      </c>
      <c r="F16" s="1">
        <v>16</v>
      </c>
      <c r="G16" s="13">
        <f t="shared" si="3"/>
        <v>0.24242424242424243</v>
      </c>
      <c r="H16" s="1">
        <v>16</v>
      </c>
      <c r="I16" s="13">
        <f t="shared" si="4"/>
        <v>0.24242424242424243</v>
      </c>
      <c r="J16" s="1">
        <v>2</v>
      </c>
      <c r="K16" s="13">
        <f t="shared" si="5"/>
        <v>3.0303030303030304E-2</v>
      </c>
      <c r="L16" s="1">
        <v>0</v>
      </c>
      <c r="M16" s="13">
        <f t="shared" si="6"/>
        <v>0</v>
      </c>
      <c r="N16" s="3">
        <f t="shared" si="0"/>
        <v>66</v>
      </c>
    </row>
    <row r="17" spans="1:14" ht="13.5" customHeight="1" x14ac:dyDescent="0.25">
      <c r="A17" s="5" t="s">
        <v>104</v>
      </c>
      <c r="B17" s="1">
        <v>1</v>
      </c>
      <c r="C17" s="13">
        <f t="shared" si="1"/>
        <v>9.0909090909090912E-2</v>
      </c>
      <c r="D17" s="1">
        <v>8</v>
      </c>
      <c r="E17" s="13">
        <f t="shared" si="2"/>
        <v>0.72727272727272729</v>
      </c>
      <c r="F17" s="1">
        <v>2</v>
      </c>
      <c r="G17" s="13">
        <f t="shared" si="3"/>
        <v>0.18181818181818182</v>
      </c>
      <c r="H17" s="1">
        <v>0</v>
      </c>
      <c r="I17" s="13">
        <f t="shared" si="4"/>
        <v>0</v>
      </c>
      <c r="J17" s="1">
        <v>0</v>
      </c>
      <c r="K17" s="13">
        <f t="shared" si="5"/>
        <v>0</v>
      </c>
      <c r="L17" s="1">
        <v>0</v>
      </c>
      <c r="M17" s="13">
        <f t="shared" si="6"/>
        <v>0</v>
      </c>
      <c r="N17" s="3">
        <f t="shared" si="0"/>
        <v>11</v>
      </c>
    </row>
    <row r="18" spans="1:14" ht="13.5" customHeight="1" x14ac:dyDescent="0.25">
      <c r="A18" s="5" t="s">
        <v>11</v>
      </c>
      <c r="B18" s="1">
        <v>4</v>
      </c>
      <c r="C18" s="13">
        <f t="shared" si="1"/>
        <v>9.5238095238095233E-2</v>
      </c>
      <c r="D18" s="1">
        <v>11</v>
      </c>
      <c r="E18" s="13">
        <f t="shared" si="2"/>
        <v>0.26190476190476192</v>
      </c>
      <c r="F18" s="1">
        <v>16</v>
      </c>
      <c r="G18" s="13">
        <f t="shared" si="3"/>
        <v>0.38095238095238093</v>
      </c>
      <c r="H18" s="1">
        <v>9</v>
      </c>
      <c r="I18" s="13">
        <f t="shared" si="4"/>
        <v>0.21428571428571427</v>
      </c>
      <c r="J18" s="1">
        <v>2</v>
      </c>
      <c r="K18" s="13">
        <f t="shared" si="5"/>
        <v>4.7619047619047616E-2</v>
      </c>
      <c r="L18" s="1">
        <v>0</v>
      </c>
      <c r="M18" s="13">
        <f t="shared" si="6"/>
        <v>0</v>
      </c>
      <c r="N18" s="3">
        <f t="shared" si="0"/>
        <v>42</v>
      </c>
    </row>
    <row r="19" spans="1:14" ht="13.5" customHeight="1" x14ac:dyDescent="0.25">
      <c r="A19" s="5" t="s">
        <v>42</v>
      </c>
      <c r="B19" s="1">
        <v>67</v>
      </c>
      <c r="C19" s="13">
        <f t="shared" si="1"/>
        <v>0.26171875</v>
      </c>
      <c r="D19" s="1">
        <v>167</v>
      </c>
      <c r="E19" s="13">
        <f t="shared" si="2"/>
        <v>0.65234375</v>
      </c>
      <c r="F19" s="1">
        <v>22</v>
      </c>
      <c r="G19" s="13">
        <f t="shared" si="3"/>
        <v>8.59375E-2</v>
      </c>
      <c r="H19" s="1">
        <v>0</v>
      </c>
      <c r="I19" s="13">
        <f t="shared" si="4"/>
        <v>0</v>
      </c>
      <c r="J19" s="1">
        <v>0</v>
      </c>
      <c r="K19" s="13">
        <f t="shared" si="5"/>
        <v>0</v>
      </c>
      <c r="L19" s="1">
        <v>0</v>
      </c>
      <c r="M19" s="13">
        <f t="shared" si="6"/>
        <v>0</v>
      </c>
      <c r="N19" s="3">
        <f t="shared" si="0"/>
        <v>256</v>
      </c>
    </row>
    <row r="20" spans="1:14" ht="13.5" customHeight="1" x14ac:dyDescent="0.25">
      <c r="A20" s="5" t="s">
        <v>12</v>
      </c>
      <c r="B20" s="1">
        <v>15</v>
      </c>
      <c r="C20" s="13">
        <f t="shared" ref="C20:C21" si="7">B20/N20</f>
        <v>0.23809523809523808</v>
      </c>
      <c r="D20" s="1">
        <v>20</v>
      </c>
      <c r="E20" s="13">
        <f t="shared" ref="E20:E21" si="8">D20/N20</f>
        <v>0.31746031746031744</v>
      </c>
      <c r="F20" s="1">
        <v>21</v>
      </c>
      <c r="G20" s="13">
        <f t="shared" ref="G20:G21" si="9">F20/N20</f>
        <v>0.33333333333333331</v>
      </c>
      <c r="H20" s="1">
        <v>6</v>
      </c>
      <c r="I20" s="13">
        <f t="shared" ref="I20:I21" si="10">H20/N20</f>
        <v>9.5238095238095233E-2</v>
      </c>
      <c r="J20" s="1">
        <v>1</v>
      </c>
      <c r="K20" s="13">
        <f t="shared" ref="K20:K21" si="11">J20/N20</f>
        <v>1.5873015873015872E-2</v>
      </c>
      <c r="L20" s="1">
        <v>0</v>
      </c>
      <c r="M20" s="13">
        <f t="shared" ref="M20:M21" si="12">L20/N20</f>
        <v>0</v>
      </c>
      <c r="N20" s="3">
        <f t="shared" ref="N20:N21" si="13">B20+D20+F20+H20+J20+L20</f>
        <v>63</v>
      </c>
    </row>
    <row r="21" spans="1:14" ht="13.5" customHeight="1" x14ac:dyDescent="0.25">
      <c r="A21" s="5" t="s">
        <v>13</v>
      </c>
      <c r="B21" s="1">
        <v>0</v>
      </c>
      <c r="C21" s="13">
        <f t="shared" si="7"/>
        <v>0</v>
      </c>
      <c r="D21" s="1">
        <v>3</v>
      </c>
      <c r="E21" s="13">
        <f t="shared" si="8"/>
        <v>0.75</v>
      </c>
      <c r="F21" s="1">
        <v>1</v>
      </c>
      <c r="G21" s="13">
        <f t="shared" si="9"/>
        <v>0.25</v>
      </c>
      <c r="H21" s="1">
        <v>0</v>
      </c>
      <c r="I21" s="13">
        <f t="shared" si="10"/>
        <v>0</v>
      </c>
      <c r="J21" s="1">
        <v>0</v>
      </c>
      <c r="K21" s="13">
        <f t="shared" si="11"/>
        <v>0</v>
      </c>
      <c r="L21" s="1">
        <v>0</v>
      </c>
      <c r="M21" s="13">
        <f t="shared" si="12"/>
        <v>0</v>
      </c>
      <c r="N21" s="3">
        <f t="shared" si="13"/>
        <v>4</v>
      </c>
    </row>
    <row r="22" spans="1:14" ht="13.5" customHeight="1" x14ac:dyDescent="0.25">
      <c r="A22" s="5" t="s">
        <v>105</v>
      </c>
      <c r="B22" s="1">
        <v>11</v>
      </c>
      <c r="C22" s="13">
        <f t="shared" si="1"/>
        <v>0.22</v>
      </c>
      <c r="D22" s="1">
        <v>25</v>
      </c>
      <c r="E22" s="13">
        <f t="shared" si="2"/>
        <v>0.5</v>
      </c>
      <c r="F22" s="1">
        <v>11</v>
      </c>
      <c r="G22" s="13">
        <f t="shared" si="3"/>
        <v>0.22</v>
      </c>
      <c r="H22" s="1">
        <v>2</v>
      </c>
      <c r="I22" s="13">
        <f t="shared" si="4"/>
        <v>0.04</v>
      </c>
      <c r="J22" s="1">
        <v>1</v>
      </c>
      <c r="K22" s="13">
        <f t="shared" si="5"/>
        <v>0.02</v>
      </c>
      <c r="L22" s="1">
        <v>0</v>
      </c>
      <c r="M22" s="13">
        <f t="shared" si="6"/>
        <v>0</v>
      </c>
      <c r="N22" s="3">
        <f t="shared" si="0"/>
        <v>50</v>
      </c>
    </row>
    <row r="23" spans="1:14" ht="13.5" customHeight="1" x14ac:dyDescent="0.25">
      <c r="A23" s="5" t="s">
        <v>14</v>
      </c>
      <c r="B23" s="1">
        <v>30</v>
      </c>
      <c r="C23" s="13">
        <f t="shared" si="1"/>
        <v>0.20833333333333334</v>
      </c>
      <c r="D23" s="1">
        <v>64</v>
      </c>
      <c r="E23" s="13">
        <f t="shared" si="2"/>
        <v>0.44444444444444442</v>
      </c>
      <c r="F23" s="1">
        <v>44</v>
      </c>
      <c r="G23" s="13">
        <f t="shared" si="3"/>
        <v>0.30555555555555558</v>
      </c>
      <c r="H23" s="1">
        <v>6</v>
      </c>
      <c r="I23" s="13">
        <f t="shared" si="4"/>
        <v>4.1666666666666664E-2</v>
      </c>
      <c r="J23" s="1">
        <v>0</v>
      </c>
      <c r="K23" s="13">
        <f t="shared" si="5"/>
        <v>0</v>
      </c>
      <c r="L23" s="1">
        <v>0</v>
      </c>
      <c r="M23" s="13">
        <f t="shared" si="6"/>
        <v>0</v>
      </c>
      <c r="N23" s="3">
        <f t="shared" si="0"/>
        <v>144</v>
      </c>
    </row>
    <row r="24" spans="1:14" ht="13.5" customHeight="1" x14ac:dyDescent="0.25">
      <c r="A24" s="5" t="s">
        <v>15</v>
      </c>
      <c r="B24" s="1">
        <v>19</v>
      </c>
      <c r="C24" s="13">
        <f t="shared" si="1"/>
        <v>0.31666666666666665</v>
      </c>
      <c r="D24" s="1">
        <v>16</v>
      </c>
      <c r="E24" s="13">
        <f t="shared" si="2"/>
        <v>0.26666666666666666</v>
      </c>
      <c r="F24" s="1">
        <v>18</v>
      </c>
      <c r="G24" s="13">
        <f t="shared" si="3"/>
        <v>0.3</v>
      </c>
      <c r="H24" s="1">
        <v>6</v>
      </c>
      <c r="I24" s="13">
        <f t="shared" si="4"/>
        <v>0.1</v>
      </c>
      <c r="J24" s="1">
        <v>1</v>
      </c>
      <c r="K24" s="13">
        <f t="shared" si="5"/>
        <v>1.6666666666666666E-2</v>
      </c>
      <c r="L24" s="1">
        <v>0</v>
      </c>
      <c r="M24" s="13">
        <f t="shared" si="6"/>
        <v>0</v>
      </c>
      <c r="N24" s="3">
        <f t="shared" si="0"/>
        <v>60</v>
      </c>
    </row>
    <row r="25" spans="1:14" ht="13.5" customHeight="1" x14ac:dyDescent="0.25">
      <c r="A25" s="5" t="s">
        <v>16</v>
      </c>
      <c r="B25" s="1">
        <v>20</v>
      </c>
      <c r="C25" s="13">
        <f t="shared" si="1"/>
        <v>0.25641025641025639</v>
      </c>
      <c r="D25" s="1">
        <v>52</v>
      </c>
      <c r="E25" s="13">
        <f t="shared" si="2"/>
        <v>0.66666666666666663</v>
      </c>
      <c r="F25" s="1">
        <v>6</v>
      </c>
      <c r="G25" s="13">
        <f t="shared" si="3"/>
        <v>7.6923076923076927E-2</v>
      </c>
      <c r="H25" s="1">
        <v>0</v>
      </c>
      <c r="I25" s="13">
        <f t="shared" si="4"/>
        <v>0</v>
      </c>
      <c r="J25" s="1">
        <v>0</v>
      </c>
      <c r="K25" s="13">
        <f t="shared" si="5"/>
        <v>0</v>
      </c>
      <c r="L25" s="1">
        <v>0</v>
      </c>
      <c r="M25" s="13">
        <f t="shared" si="6"/>
        <v>0</v>
      </c>
      <c r="N25" s="3">
        <f t="shared" si="0"/>
        <v>78</v>
      </c>
    </row>
    <row r="26" spans="1:14" ht="13.5" customHeight="1" x14ac:dyDescent="0.25">
      <c r="A26" s="5" t="s">
        <v>109</v>
      </c>
      <c r="B26" s="1">
        <v>10</v>
      </c>
      <c r="C26" s="13">
        <f t="shared" si="1"/>
        <v>0.27027027027027029</v>
      </c>
      <c r="D26" s="1">
        <v>26</v>
      </c>
      <c r="E26" s="13">
        <f t="shared" si="2"/>
        <v>0.70270270270270274</v>
      </c>
      <c r="F26" s="1">
        <v>1</v>
      </c>
      <c r="G26" s="13">
        <f t="shared" si="3"/>
        <v>2.7027027027027029E-2</v>
      </c>
      <c r="H26" s="1">
        <v>0</v>
      </c>
      <c r="I26" s="13">
        <f t="shared" si="4"/>
        <v>0</v>
      </c>
      <c r="J26" s="1">
        <v>0</v>
      </c>
      <c r="K26" s="13">
        <f t="shared" si="5"/>
        <v>0</v>
      </c>
      <c r="L26" s="1">
        <v>0</v>
      </c>
      <c r="M26" s="13">
        <f t="shared" si="6"/>
        <v>0</v>
      </c>
      <c r="N26" s="3">
        <f t="shared" si="0"/>
        <v>37</v>
      </c>
    </row>
    <row r="27" spans="1:14" ht="13.5" customHeight="1" x14ac:dyDescent="0.25">
      <c r="A27" s="5" t="s">
        <v>17</v>
      </c>
      <c r="B27" s="1">
        <v>7</v>
      </c>
      <c r="C27" s="13">
        <f t="shared" si="1"/>
        <v>0.25925925925925924</v>
      </c>
      <c r="D27" s="1">
        <v>12</v>
      </c>
      <c r="E27" s="13">
        <f t="shared" si="2"/>
        <v>0.44444444444444442</v>
      </c>
      <c r="F27" s="1">
        <v>7</v>
      </c>
      <c r="G27" s="13">
        <f t="shared" si="3"/>
        <v>0.25925925925925924</v>
      </c>
      <c r="H27" s="1">
        <v>1</v>
      </c>
      <c r="I27" s="13">
        <f t="shared" si="4"/>
        <v>3.7037037037037035E-2</v>
      </c>
      <c r="J27" s="1">
        <v>0</v>
      </c>
      <c r="K27" s="13">
        <f t="shared" si="5"/>
        <v>0</v>
      </c>
      <c r="L27" s="1">
        <v>0</v>
      </c>
      <c r="M27" s="13">
        <f t="shared" si="6"/>
        <v>0</v>
      </c>
      <c r="N27" s="3">
        <f t="shared" si="0"/>
        <v>27</v>
      </c>
    </row>
    <row r="28" spans="1:14" ht="13.5" customHeight="1" x14ac:dyDescent="0.25">
      <c r="A28" s="5" t="s">
        <v>18</v>
      </c>
      <c r="B28" s="1">
        <v>10</v>
      </c>
      <c r="C28" s="13">
        <f t="shared" si="1"/>
        <v>0.2857142857142857</v>
      </c>
      <c r="D28" s="1">
        <v>19</v>
      </c>
      <c r="E28" s="13">
        <f t="shared" si="2"/>
        <v>0.54285714285714282</v>
      </c>
      <c r="F28" s="1">
        <v>5</v>
      </c>
      <c r="G28" s="13">
        <f t="shared" si="3"/>
        <v>0.14285714285714285</v>
      </c>
      <c r="H28" s="1">
        <v>1</v>
      </c>
      <c r="I28" s="13">
        <f t="shared" si="4"/>
        <v>2.8571428571428571E-2</v>
      </c>
      <c r="J28" s="1">
        <v>0</v>
      </c>
      <c r="K28" s="13">
        <f t="shared" si="5"/>
        <v>0</v>
      </c>
      <c r="L28" s="1">
        <v>0</v>
      </c>
      <c r="M28" s="13">
        <f t="shared" si="6"/>
        <v>0</v>
      </c>
      <c r="N28" s="3">
        <f t="shared" si="0"/>
        <v>35</v>
      </c>
    </row>
    <row r="29" spans="1:14" ht="13.5" customHeight="1" x14ac:dyDescent="0.25">
      <c r="A29" s="5" t="s">
        <v>19</v>
      </c>
      <c r="B29" s="1">
        <v>11</v>
      </c>
      <c r="C29" s="13">
        <f t="shared" si="1"/>
        <v>0.10280373831775701</v>
      </c>
      <c r="D29" s="1">
        <v>71</v>
      </c>
      <c r="E29" s="13">
        <f t="shared" si="2"/>
        <v>0.66355140186915884</v>
      </c>
      <c r="F29" s="1">
        <v>22</v>
      </c>
      <c r="G29" s="13">
        <f t="shared" si="3"/>
        <v>0.20560747663551401</v>
      </c>
      <c r="H29" s="1">
        <v>2</v>
      </c>
      <c r="I29" s="13">
        <f t="shared" si="4"/>
        <v>1.8691588785046728E-2</v>
      </c>
      <c r="J29" s="1">
        <v>1</v>
      </c>
      <c r="K29" s="13">
        <f t="shared" si="5"/>
        <v>9.3457943925233638E-3</v>
      </c>
      <c r="L29" s="1">
        <v>0</v>
      </c>
      <c r="M29" s="13">
        <f t="shared" si="6"/>
        <v>0</v>
      </c>
      <c r="N29" s="3">
        <f t="shared" si="0"/>
        <v>107</v>
      </c>
    </row>
    <row r="30" spans="1:14" ht="13.5" customHeight="1" x14ac:dyDescent="0.25">
      <c r="A30" s="5" t="s">
        <v>122</v>
      </c>
      <c r="B30" s="1">
        <v>0</v>
      </c>
      <c r="C30" s="13">
        <f t="shared" si="1"/>
        <v>0</v>
      </c>
      <c r="D30" s="1">
        <v>0</v>
      </c>
      <c r="E30" s="13">
        <f t="shared" si="2"/>
        <v>0</v>
      </c>
      <c r="F30" s="1">
        <v>3</v>
      </c>
      <c r="G30" s="13">
        <f t="shared" si="3"/>
        <v>1</v>
      </c>
      <c r="H30" s="1">
        <v>0</v>
      </c>
      <c r="I30" s="13">
        <f t="shared" si="4"/>
        <v>0</v>
      </c>
      <c r="J30" s="1">
        <v>0</v>
      </c>
      <c r="K30" s="13">
        <f t="shared" si="5"/>
        <v>0</v>
      </c>
      <c r="L30" s="1">
        <v>0</v>
      </c>
      <c r="M30" s="13">
        <f t="shared" si="6"/>
        <v>0</v>
      </c>
      <c r="N30" s="3">
        <f t="shared" si="0"/>
        <v>3</v>
      </c>
    </row>
    <row r="31" spans="1:14" ht="13.5" customHeight="1" x14ac:dyDescent="0.25">
      <c r="A31" s="5" t="s">
        <v>21</v>
      </c>
      <c r="B31" s="1">
        <v>6</v>
      </c>
      <c r="C31" s="13">
        <f t="shared" si="1"/>
        <v>0.15384615384615385</v>
      </c>
      <c r="D31" s="1">
        <v>21</v>
      </c>
      <c r="E31" s="13">
        <f t="shared" si="2"/>
        <v>0.53846153846153844</v>
      </c>
      <c r="F31" s="1">
        <v>10</v>
      </c>
      <c r="G31" s="13">
        <f t="shared" si="3"/>
        <v>0.25641025641025639</v>
      </c>
      <c r="H31" s="1">
        <v>2</v>
      </c>
      <c r="I31" s="13">
        <f t="shared" si="4"/>
        <v>5.128205128205128E-2</v>
      </c>
      <c r="J31" s="1">
        <v>0</v>
      </c>
      <c r="K31" s="13">
        <f t="shared" si="5"/>
        <v>0</v>
      </c>
      <c r="L31" s="1">
        <v>0</v>
      </c>
      <c r="M31" s="13">
        <f t="shared" si="6"/>
        <v>0</v>
      </c>
      <c r="N31" s="3">
        <f t="shared" si="0"/>
        <v>39</v>
      </c>
    </row>
    <row r="32" spans="1:14" ht="13.5" customHeight="1" x14ac:dyDescent="0.25">
      <c r="A32" s="5" t="s">
        <v>38</v>
      </c>
      <c r="B32" s="1">
        <v>8</v>
      </c>
      <c r="C32" s="13">
        <f t="shared" si="1"/>
        <v>0.25</v>
      </c>
      <c r="D32" s="1">
        <v>16</v>
      </c>
      <c r="E32" s="13">
        <f t="shared" si="2"/>
        <v>0.5</v>
      </c>
      <c r="F32" s="1">
        <v>7</v>
      </c>
      <c r="G32" s="13">
        <f t="shared" si="3"/>
        <v>0.21875</v>
      </c>
      <c r="H32" s="1">
        <v>1</v>
      </c>
      <c r="I32" s="13">
        <f t="shared" si="4"/>
        <v>3.125E-2</v>
      </c>
      <c r="J32" s="1">
        <v>0</v>
      </c>
      <c r="K32" s="13">
        <f t="shared" si="5"/>
        <v>0</v>
      </c>
      <c r="L32" s="1">
        <v>0</v>
      </c>
      <c r="M32" s="13">
        <f t="shared" si="6"/>
        <v>0</v>
      </c>
      <c r="N32" s="3">
        <f t="shared" si="0"/>
        <v>32</v>
      </c>
    </row>
    <row r="33" spans="1:14" ht="13.5" customHeight="1" x14ac:dyDescent="0.25">
      <c r="A33" s="5" t="s">
        <v>39</v>
      </c>
      <c r="B33" s="1">
        <v>2</v>
      </c>
      <c r="C33" s="13">
        <f t="shared" si="1"/>
        <v>0.5</v>
      </c>
      <c r="D33" s="1">
        <v>2</v>
      </c>
      <c r="E33" s="13">
        <f t="shared" si="2"/>
        <v>0.5</v>
      </c>
      <c r="F33" s="1">
        <v>0</v>
      </c>
      <c r="G33" s="13">
        <f t="shared" si="3"/>
        <v>0</v>
      </c>
      <c r="H33" s="1">
        <v>0</v>
      </c>
      <c r="I33" s="13">
        <f t="shared" si="4"/>
        <v>0</v>
      </c>
      <c r="J33" s="1">
        <v>0</v>
      </c>
      <c r="K33" s="13">
        <f t="shared" si="5"/>
        <v>0</v>
      </c>
      <c r="L33" s="1">
        <v>0</v>
      </c>
      <c r="M33" s="13">
        <f t="shared" si="6"/>
        <v>0</v>
      </c>
      <c r="N33" s="3">
        <f t="shared" si="0"/>
        <v>4</v>
      </c>
    </row>
    <row r="34" spans="1:14" ht="13.5" customHeight="1" x14ac:dyDescent="0.25">
      <c r="A34" s="5" t="s">
        <v>22</v>
      </c>
      <c r="B34" s="1">
        <v>24</v>
      </c>
      <c r="C34" s="13">
        <f t="shared" si="1"/>
        <v>0.23529411764705882</v>
      </c>
      <c r="D34" s="1">
        <v>71</v>
      </c>
      <c r="E34" s="13">
        <f t="shared" si="2"/>
        <v>0.69607843137254899</v>
      </c>
      <c r="F34" s="1">
        <v>6</v>
      </c>
      <c r="G34" s="13">
        <f t="shared" si="3"/>
        <v>5.8823529411764705E-2</v>
      </c>
      <c r="H34" s="1">
        <v>1</v>
      </c>
      <c r="I34" s="13">
        <f t="shared" si="4"/>
        <v>9.8039215686274508E-3</v>
      </c>
      <c r="J34" s="1">
        <v>0</v>
      </c>
      <c r="K34" s="13">
        <f t="shared" si="5"/>
        <v>0</v>
      </c>
      <c r="L34" s="1">
        <v>0</v>
      </c>
      <c r="M34" s="13">
        <f t="shared" si="6"/>
        <v>0</v>
      </c>
      <c r="N34" s="3">
        <f t="shared" si="0"/>
        <v>102</v>
      </c>
    </row>
    <row r="35" spans="1:14" ht="13.5" customHeight="1" x14ac:dyDescent="0.25">
      <c r="A35" s="5" t="s">
        <v>40</v>
      </c>
      <c r="B35" s="1">
        <v>6</v>
      </c>
      <c r="C35" s="13">
        <f t="shared" si="1"/>
        <v>0.11538461538461539</v>
      </c>
      <c r="D35" s="1">
        <v>41</v>
      </c>
      <c r="E35" s="13">
        <f t="shared" si="2"/>
        <v>0.78846153846153844</v>
      </c>
      <c r="F35" s="1">
        <v>5</v>
      </c>
      <c r="G35" s="13">
        <f t="shared" si="3"/>
        <v>9.6153846153846159E-2</v>
      </c>
      <c r="H35" s="1">
        <v>0</v>
      </c>
      <c r="I35" s="13">
        <f t="shared" si="4"/>
        <v>0</v>
      </c>
      <c r="J35" s="1">
        <v>0</v>
      </c>
      <c r="K35" s="13">
        <f t="shared" si="5"/>
        <v>0</v>
      </c>
      <c r="L35" s="1">
        <v>0</v>
      </c>
      <c r="M35" s="13">
        <f t="shared" si="6"/>
        <v>0</v>
      </c>
      <c r="N35" s="3">
        <f t="shared" si="0"/>
        <v>52</v>
      </c>
    </row>
    <row r="36" spans="1:14" ht="13.5" customHeight="1" x14ac:dyDescent="0.25">
      <c r="A36" s="5" t="s">
        <v>72</v>
      </c>
      <c r="B36" s="1">
        <v>5</v>
      </c>
      <c r="C36" s="13">
        <f t="shared" si="1"/>
        <v>0.1</v>
      </c>
      <c r="D36" s="1">
        <v>33</v>
      </c>
      <c r="E36" s="13">
        <f t="shared" si="2"/>
        <v>0.66</v>
      </c>
      <c r="F36" s="1">
        <v>12</v>
      </c>
      <c r="G36" s="13">
        <f t="shared" si="3"/>
        <v>0.24</v>
      </c>
      <c r="H36" s="1">
        <v>0</v>
      </c>
      <c r="I36" s="13">
        <f t="shared" si="4"/>
        <v>0</v>
      </c>
      <c r="J36" s="1">
        <v>0</v>
      </c>
      <c r="K36" s="13">
        <f t="shared" si="5"/>
        <v>0</v>
      </c>
      <c r="L36" s="1">
        <v>0</v>
      </c>
      <c r="M36" s="13">
        <f t="shared" si="6"/>
        <v>0</v>
      </c>
      <c r="N36" s="3">
        <f t="shared" si="0"/>
        <v>50</v>
      </c>
    </row>
    <row r="37" spans="1:14" ht="13.5" customHeight="1" x14ac:dyDescent="0.25">
      <c r="A37" s="5" t="s">
        <v>110</v>
      </c>
      <c r="B37" s="1">
        <v>7</v>
      </c>
      <c r="C37" s="13">
        <f t="shared" si="1"/>
        <v>0.18421052631578946</v>
      </c>
      <c r="D37" s="1">
        <v>25</v>
      </c>
      <c r="E37" s="13">
        <f t="shared" si="2"/>
        <v>0.65789473684210531</v>
      </c>
      <c r="F37" s="1">
        <v>6</v>
      </c>
      <c r="G37" s="13">
        <f t="shared" si="3"/>
        <v>0.15789473684210525</v>
      </c>
      <c r="H37" s="1">
        <v>0</v>
      </c>
      <c r="I37" s="13">
        <f t="shared" si="4"/>
        <v>0</v>
      </c>
      <c r="J37" s="1">
        <v>0</v>
      </c>
      <c r="K37" s="13">
        <f t="shared" si="5"/>
        <v>0</v>
      </c>
      <c r="L37" s="1">
        <v>0</v>
      </c>
      <c r="M37" s="13">
        <f t="shared" si="6"/>
        <v>0</v>
      </c>
      <c r="N37" s="3">
        <f t="shared" si="0"/>
        <v>38</v>
      </c>
    </row>
    <row r="38" spans="1:14" ht="13.5" customHeight="1" x14ac:dyDescent="0.25">
      <c r="A38" s="5" t="s">
        <v>94</v>
      </c>
      <c r="B38" s="1">
        <v>1</v>
      </c>
      <c r="C38" s="13">
        <f t="shared" si="1"/>
        <v>0.5</v>
      </c>
      <c r="D38" s="1">
        <v>1</v>
      </c>
      <c r="E38" s="13">
        <f t="shared" si="2"/>
        <v>0.5</v>
      </c>
      <c r="F38" s="1">
        <v>0</v>
      </c>
      <c r="G38" s="13">
        <f t="shared" si="3"/>
        <v>0</v>
      </c>
      <c r="H38" s="1">
        <v>0</v>
      </c>
      <c r="I38" s="13">
        <f t="shared" si="4"/>
        <v>0</v>
      </c>
      <c r="J38" s="1">
        <v>0</v>
      </c>
      <c r="K38" s="13">
        <f t="shared" si="5"/>
        <v>0</v>
      </c>
      <c r="L38" s="1">
        <v>0</v>
      </c>
      <c r="M38" s="13">
        <f t="shared" si="6"/>
        <v>0</v>
      </c>
      <c r="N38" s="3">
        <f t="shared" si="0"/>
        <v>2</v>
      </c>
    </row>
    <row r="39" spans="1:14" ht="13.5" customHeight="1" x14ac:dyDescent="0.25">
      <c r="A39" s="5" t="s">
        <v>23</v>
      </c>
      <c r="B39" s="1">
        <v>4</v>
      </c>
      <c r="C39" s="13">
        <f t="shared" si="1"/>
        <v>9.3023255813953487E-2</v>
      </c>
      <c r="D39" s="1">
        <v>31</v>
      </c>
      <c r="E39" s="13">
        <f t="shared" si="2"/>
        <v>0.72093023255813948</v>
      </c>
      <c r="F39" s="1">
        <v>8</v>
      </c>
      <c r="G39" s="13">
        <f t="shared" si="3"/>
        <v>0.18604651162790697</v>
      </c>
      <c r="H39" s="1">
        <v>0</v>
      </c>
      <c r="I39" s="13">
        <f t="shared" si="4"/>
        <v>0</v>
      </c>
      <c r="J39" s="1">
        <v>0</v>
      </c>
      <c r="K39" s="13">
        <f t="shared" si="5"/>
        <v>0</v>
      </c>
      <c r="L39" s="1">
        <v>0</v>
      </c>
      <c r="M39" s="13">
        <f t="shared" si="6"/>
        <v>0</v>
      </c>
      <c r="N39" s="3">
        <f t="shared" si="0"/>
        <v>43</v>
      </c>
    </row>
    <row r="40" spans="1:14" ht="13.5" customHeight="1" x14ac:dyDescent="0.25">
      <c r="A40" s="5" t="s">
        <v>1</v>
      </c>
      <c r="B40" s="1">
        <v>4</v>
      </c>
      <c r="C40" s="13">
        <f t="shared" si="1"/>
        <v>2.5000000000000001E-2</v>
      </c>
      <c r="D40" s="1">
        <v>133</v>
      </c>
      <c r="E40" s="13">
        <f t="shared" si="2"/>
        <v>0.83125000000000004</v>
      </c>
      <c r="F40" s="1">
        <v>22</v>
      </c>
      <c r="G40" s="13">
        <f t="shared" si="3"/>
        <v>0.13750000000000001</v>
      </c>
      <c r="H40" s="1">
        <v>1</v>
      </c>
      <c r="I40" s="13">
        <f t="shared" si="4"/>
        <v>6.2500000000000003E-3</v>
      </c>
      <c r="J40" s="1">
        <v>0</v>
      </c>
      <c r="K40" s="13">
        <f t="shared" si="5"/>
        <v>0</v>
      </c>
      <c r="L40" s="1">
        <v>0</v>
      </c>
      <c r="M40" s="13">
        <f t="shared" si="6"/>
        <v>0</v>
      </c>
      <c r="N40" s="3">
        <f t="shared" si="0"/>
        <v>160</v>
      </c>
    </row>
    <row r="41" spans="1:14" ht="13.5" customHeight="1" x14ac:dyDescent="0.25">
      <c r="A41" s="5" t="s">
        <v>95</v>
      </c>
      <c r="B41" s="1">
        <v>1</v>
      </c>
      <c r="C41" s="13">
        <f t="shared" si="1"/>
        <v>2.8571428571428571E-2</v>
      </c>
      <c r="D41" s="1">
        <v>17</v>
      </c>
      <c r="E41" s="13">
        <f t="shared" si="2"/>
        <v>0.48571428571428571</v>
      </c>
      <c r="F41" s="1">
        <v>15</v>
      </c>
      <c r="G41" s="13">
        <f t="shared" si="3"/>
        <v>0.42857142857142855</v>
      </c>
      <c r="H41" s="1">
        <v>2</v>
      </c>
      <c r="I41" s="13">
        <f t="shared" si="4"/>
        <v>5.7142857142857141E-2</v>
      </c>
      <c r="J41" s="1">
        <v>0</v>
      </c>
      <c r="K41" s="13">
        <f t="shared" si="5"/>
        <v>0</v>
      </c>
      <c r="L41" s="1">
        <v>0</v>
      </c>
      <c r="M41" s="13">
        <f t="shared" si="6"/>
        <v>0</v>
      </c>
      <c r="N41" s="3">
        <f t="shared" si="0"/>
        <v>35</v>
      </c>
    </row>
    <row r="42" spans="1:14" ht="13.5" customHeight="1" x14ac:dyDescent="0.25">
      <c r="A42" s="5" t="s">
        <v>123</v>
      </c>
      <c r="B42" s="1">
        <v>0</v>
      </c>
      <c r="C42" s="13">
        <f t="shared" si="1"/>
        <v>0</v>
      </c>
      <c r="D42" s="1">
        <v>1</v>
      </c>
      <c r="E42" s="13">
        <f t="shared" si="2"/>
        <v>1</v>
      </c>
      <c r="F42" s="1">
        <v>0</v>
      </c>
      <c r="G42" s="13">
        <f t="shared" si="3"/>
        <v>0</v>
      </c>
      <c r="H42" s="1">
        <v>0</v>
      </c>
      <c r="I42" s="13">
        <f t="shared" si="4"/>
        <v>0</v>
      </c>
      <c r="J42" s="1">
        <v>0</v>
      </c>
      <c r="K42" s="13">
        <f t="shared" si="5"/>
        <v>0</v>
      </c>
      <c r="L42" s="1">
        <v>0</v>
      </c>
      <c r="M42" s="13">
        <f t="shared" si="6"/>
        <v>0</v>
      </c>
      <c r="N42" s="3">
        <f t="shared" si="0"/>
        <v>1</v>
      </c>
    </row>
    <row r="43" spans="1:14" ht="13.5" customHeight="1" x14ac:dyDescent="0.25">
      <c r="A43" s="5" t="s">
        <v>24</v>
      </c>
      <c r="B43" s="1">
        <v>39</v>
      </c>
      <c r="C43" s="13">
        <f t="shared" si="1"/>
        <v>0.27272727272727271</v>
      </c>
      <c r="D43" s="1">
        <v>49</v>
      </c>
      <c r="E43" s="13">
        <f t="shared" si="2"/>
        <v>0.34265734265734266</v>
      </c>
      <c r="F43" s="1">
        <v>35</v>
      </c>
      <c r="G43" s="13">
        <f t="shared" si="3"/>
        <v>0.24475524475524477</v>
      </c>
      <c r="H43" s="1">
        <v>18</v>
      </c>
      <c r="I43" s="13">
        <f t="shared" si="4"/>
        <v>0.12587412587412589</v>
      </c>
      <c r="J43" s="1">
        <v>2</v>
      </c>
      <c r="K43" s="13">
        <f t="shared" si="5"/>
        <v>1.3986013986013986E-2</v>
      </c>
      <c r="L43" s="1">
        <v>0</v>
      </c>
      <c r="M43" s="13">
        <f t="shared" si="6"/>
        <v>0</v>
      </c>
      <c r="N43" s="3">
        <f t="shared" si="0"/>
        <v>143</v>
      </c>
    </row>
    <row r="44" spans="1:14" ht="13.5" customHeight="1" x14ac:dyDescent="0.25">
      <c r="A44" s="5" t="s">
        <v>25</v>
      </c>
      <c r="B44" s="1">
        <v>8</v>
      </c>
      <c r="C44" s="13">
        <f t="shared" si="1"/>
        <v>0.10810810810810811</v>
      </c>
      <c r="D44" s="1">
        <v>16</v>
      </c>
      <c r="E44" s="13">
        <f t="shared" si="2"/>
        <v>0.21621621621621623</v>
      </c>
      <c r="F44" s="1">
        <v>26</v>
      </c>
      <c r="G44" s="13">
        <f t="shared" si="3"/>
        <v>0.35135135135135137</v>
      </c>
      <c r="H44" s="1">
        <v>17</v>
      </c>
      <c r="I44" s="13">
        <f t="shared" si="4"/>
        <v>0.22972972972972974</v>
      </c>
      <c r="J44" s="1">
        <v>7</v>
      </c>
      <c r="K44" s="13">
        <f t="shared" si="5"/>
        <v>9.45945945945946E-2</v>
      </c>
      <c r="L44" s="1">
        <v>0</v>
      </c>
      <c r="M44" s="13">
        <f t="shared" si="6"/>
        <v>0</v>
      </c>
      <c r="N44" s="3">
        <f t="shared" si="0"/>
        <v>74</v>
      </c>
    </row>
    <row r="45" spans="1:14" ht="13.5" customHeight="1" x14ac:dyDescent="0.25">
      <c r="A45" s="5" t="s">
        <v>74</v>
      </c>
      <c r="B45" s="1">
        <v>2</v>
      </c>
      <c r="C45" s="13">
        <f t="shared" si="1"/>
        <v>0.66666666666666663</v>
      </c>
      <c r="D45" s="1">
        <v>1</v>
      </c>
      <c r="E45" s="13">
        <f t="shared" si="2"/>
        <v>0.33333333333333331</v>
      </c>
      <c r="F45" s="1">
        <v>0</v>
      </c>
      <c r="G45" s="13">
        <f t="shared" si="3"/>
        <v>0</v>
      </c>
      <c r="H45" s="1">
        <v>0</v>
      </c>
      <c r="I45" s="13">
        <f t="shared" si="4"/>
        <v>0</v>
      </c>
      <c r="J45" s="1">
        <v>0</v>
      </c>
      <c r="K45" s="13">
        <f t="shared" si="5"/>
        <v>0</v>
      </c>
      <c r="L45" s="1">
        <v>0</v>
      </c>
      <c r="M45" s="13">
        <f t="shared" si="6"/>
        <v>0</v>
      </c>
      <c r="N45" s="3">
        <f t="shared" si="0"/>
        <v>3</v>
      </c>
    </row>
    <row r="46" spans="1:14" ht="13.5" customHeight="1" x14ac:dyDescent="0.25">
      <c r="A46" s="5" t="s">
        <v>115</v>
      </c>
      <c r="B46" s="1">
        <v>0</v>
      </c>
      <c r="C46" s="13">
        <f t="shared" si="1"/>
        <v>0</v>
      </c>
      <c r="D46" s="1">
        <v>3</v>
      </c>
      <c r="E46" s="13">
        <f t="shared" si="2"/>
        <v>0.375</v>
      </c>
      <c r="F46" s="1">
        <v>3</v>
      </c>
      <c r="G46" s="13">
        <f t="shared" si="3"/>
        <v>0.375</v>
      </c>
      <c r="H46" s="1">
        <v>2</v>
      </c>
      <c r="I46" s="13">
        <f t="shared" si="4"/>
        <v>0.25</v>
      </c>
      <c r="J46" s="1">
        <v>0</v>
      </c>
      <c r="K46" s="13">
        <f t="shared" si="5"/>
        <v>0</v>
      </c>
      <c r="L46" s="1">
        <v>0</v>
      </c>
      <c r="M46" s="13">
        <f t="shared" si="6"/>
        <v>0</v>
      </c>
      <c r="N46" s="3">
        <f t="shared" si="0"/>
        <v>8</v>
      </c>
    </row>
    <row r="47" spans="1:14" ht="13.5" customHeight="1" x14ac:dyDescent="0.25">
      <c r="A47" s="5" t="s">
        <v>116</v>
      </c>
      <c r="B47" s="1">
        <v>2</v>
      </c>
      <c r="C47" s="13">
        <f t="shared" si="1"/>
        <v>0.5</v>
      </c>
      <c r="D47" s="1">
        <v>1</v>
      </c>
      <c r="E47" s="13">
        <f t="shared" si="2"/>
        <v>0.25</v>
      </c>
      <c r="F47" s="1">
        <v>1</v>
      </c>
      <c r="G47" s="13">
        <f t="shared" si="3"/>
        <v>0.25</v>
      </c>
      <c r="H47" s="1">
        <v>0</v>
      </c>
      <c r="I47" s="13">
        <f t="shared" si="4"/>
        <v>0</v>
      </c>
      <c r="J47" s="1">
        <v>0</v>
      </c>
      <c r="K47" s="13">
        <f t="shared" si="5"/>
        <v>0</v>
      </c>
      <c r="L47" s="1">
        <v>0</v>
      </c>
      <c r="M47" s="13">
        <f t="shared" si="6"/>
        <v>0</v>
      </c>
      <c r="N47" s="3">
        <f t="shared" si="0"/>
        <v>4</v>
      </c>
    </row>
    <row r="48" spans="1:14" ht="13.5" customHeight="1" x14ac:dyDescent="0.25">
      <c r="A48" s="5" t="s">
        <v>26</v>
      </c>
      <c r="B48" s="1">
        <v>6</v>
      </c>
      <c r="C48" s="13">
        <f t="shared" si="1"/>
        <v>0.1875</v>
      </c>
      <c r="D48" s="1">
        <v>18</v>
      </c>
      <c r="E48" s="13">
        <f t="shared" si="2"/>
        <v>0.5625</v>
      </c>
      <c r="F48" s="1">
        <v>8</v>
      </c>
      <c r="G48" s="13">
        <f t="shared" si="3"/>
        <v>0.25</v>
      </c>
      <c r="H48" s="1">
        <v>0</v>
      </c>
      <c r="I48" s="13">
        <f t="shared" si="4"/>
        <v>0</v>
      </c>
      <c r="J48" s="1">
        <v>0</v>
      </c>
      <c r="K48" s="13">
        <f t="shared" si="5"/>
        <v>0</v>
      </c>
      <c r="L48" s="1">
        <v>0</v>
      </c>
      <c r="M48" s="13">
        <f t="shared" si="6"/>
        <v>0</v>
      </c>
      <c r="N48" s="3">
        <f t="shared" si="0"/>
        <v>32</v>
      </c>
    </row>
    <row r="49" spans="1:14" ht="13.5" customHeight="1" x14ac:dyDescent="0.25">
      <c r="A49" s="5" t="s">
        <v>27</v>
      </c>
      <c r="B49" s="1">
        <v>7</v>
      </c>
      <c r="C49" s="13">
        <f t="shared" si="1"/>
        <v>0.15909090909090909</v>
      </c>
      <c r="D49" s="1">
        <v>34</v>
      </c>
      <c r="E49" s="13">
        <f t="shared" si="2"/>
        <v>0.77272727272727271</v>
      </c>
      <c r="F49" s="1">
        <v>3</v>
      </c>
      <c r="G49" s="13">
        <f t="shared" si="3"/>
        <v>6.8181818181818177E-2</v>
      </c>
      <c r="H49" s="1">
        <v>0</v>
      </c>
      <c r="I49" s="13">
        <f t="shared" si="4"/>
        <v>0</v>
      </c>
      <c r="J49" s="1">
        <v>0</v>
      </c>
      <c r="K49" s="13">
        <f t="shared" si="5"/>
        <v>0</v>
      </c>
      <c r="L49" s="1">
        <v>0</v>
      </c>
      <c r="M49" s="13">
        <f t="shared" si="6"/>
        <v>0</v>
      </c>
      <c r="N49" s="3">
        <f t="shared" si="0"/>
        <v>44</v>
      </c>
    </row>
    <row r="50" spans="1:14" ht="13.5" customHeight="1" x14ac:dyDescent="0.25">
      <c r="A50" s="5" t="s">
        <v>28</v>
      </c>
      <c r="B50" s="1">
        <v>10</v>
      </c>
      <c r="C50" s="13">
        <f t="shared" si="1"/>
        <v>0.32258064516129031</v>
      </c>
      <c r="D50" s="1">
        <v>15</v>
      </c>
      <c r="E50" s="13">
        <f t="shared" si="2"/>
        <v>0.4838709677419355</v>
      </c>
      <c r="F50" s="1">
        <v>6</v>
      </c>
      <c r="G50" s="13">
        <f t="shared" si="3"/>
        <v>0.19354838709677419</v>
      </c>
      <c r="H50" s="1">
        <v>0</v>
      </c>
      <c r="I50" s="13">
        <f t="shared" si="4"/>
        <v>0</v>
      </c>
      <c r="J50" s="1">
        <v>0</v>
      </c>
      <c r="K50" s="13">
        <f t="shared" si="5"/>
        <v>0</v>
      </c>
      <c r="L50" s="1">
        <v>0</v>
      </c>
      <c r="M50" s="13">
        <f t="shared" si="6"/>
        <v>0</v>
      </c>
      <c r="N50" s="3">
        <f t="shared" si="0"/>
        <v>31</v>
      </c>
    </row>
    <row r="51" spans="1:14" ht="13.5" customHeight="1" x14ac:dyDescent="0.25">
      <c r="A51" s="5" t="s">
        <v>29</v>
      </c>
      <c r="B51" s="1">
        <v>27</v>
      </c>
      <c r="C51" s="13">
        <f t="shared" si="1"/>
        <v>0.30337078651685395</v>
      </c>
      <c r="D51" s="1">
        <v>30</v>
      </c>
      <c r="E51" s="13">
        <f t="shared" si="2"/>
        <v>0.33707865168539325</v>
      </c>
      <c r="F51" s="1">
        <v>21</v>
      </c>
      <c r="G51" s="13">
        <f t="shared" si="3"/>
        <v>0.23595505617977527</v>
      </c>
      <c r="H51" s="1">
        <v>11</v>
      </c>
      <c r="I51" s="13">
        <f t="shared" si="4"/>
        <v>0.12359550561797752</v>
      </c>
      <c r="J51" s="1">
        <v>0</v>
      </c>
      <c r="K51" s="13">
        <f t="shared" si="5"/>
        <v>0</v>
      </c>
      <c r="L51" s="1">
        <v>0</v>
      </c>
      <c r="M51" s="13">
        <f t="shared" si="6"/>
        <v>0</v>
      </c>
      <c r="N51" s="3">
        <f t="shared" si="0"/>
        <v>89</v>
      </c>
    </row>
    <row r="52" spans="1:14" ht="13.5" customHeight="1" x14ac:dyDescent="0.25">
      <c r="A52" s="5" t="s">
        <v>30</v>
      </c>
      <c r="B52" s="1">
        <v>5</v>
      </c>
      <c r="C52" s="13">
        <f t="shared" si="1"/>
        <v>7.575757575757576E-2</v>
      </c>
      <c r="D52" s="1">
        <v>38</v>
      </c>
      <c r="E52" s="13">
        <f t="shared" si="2"/>
        <v>0.5757575757575758</v>
      </c>
      <c r="F52" s="1">
        <v>21</v>
      </c>
      <c r="G52" s="13">
        <f t="shared" si="3"/>
        <v>0.31818181818181818</v>
      </c>
      <c r="H52" s="1">
        <v>2</v>
      </c>
      <c r="I52" s="13">
        <f t="shared" si="4"/>
        <v>3.0303030303030304E-2</v>
      </c>
      <c r="J52" s="1">
        <v>0</v>
      </c>
      <c r="K52" s="13">
        <f t="shared" si="5"/>
        <v>0</v>
      </c>
      <c r="L52" s="1">
        <v>0</v>
      </c>
      <c r="M52" s="13">
        <f t="shared" si="6"/>
        <v>0</v>
      </c>
      <c r="N52" s="3">
        <f t="shared" si="0"/>
        <v>66</v>
      </c>
    </row>
    <row r="53" spans="1:14" ht="13.5" customHeight="1" x14ac:dyDescent="0.25">
      <c r="A53" s="5" t="s">
        <v>98</v>
      </c>
      <c r="B53" s="1">
        <v>0</v>
      </c>
      <c r="C53" s="13">
        <f t="shared" si="1"/>
        <v>0</v>
      </c>
      <c r="D53" s="1">
        <v>0</v>
      </c>
      <c r="E53" s="13">
        <f t="shared" si="2"/>
        <v>0</v>
      </c>
      <c r="F53" s="1">
        <v>2</v>
      </c>
      <c r="G53" s="13">
        <f t="shared" si="3"/>
        <v>0.33333333333333331</v>
      </c>
      <c r="H53" s="1">
        <v>4</v>
      </c>
      <c r="I53" s="13">
        <f t="shared" si="4"/>
        <v>0.66666666666666663</v>
      </c>
      <c r="J53" s="1">
        <v>0</v>
      </c>
      <c r="K53" s="13">
        <f t="shared" si="5"/>
        <v>0</v>
      </c>
      <c r="L53" s="1">
        <v>0</v>
      </c>
      <c r="M53" s="13">
        <f t="shared" si="6"/>
        <v>0</v>
      </c>
      <c r="N53" s="3">
        <f t="shared" si="0"/>
        <v>6</v>
      </c>
    </row>
    <row r="54" spans="1:14" ht="13.5" customHeight="1" x14ac:dyDescent="0.25">
      <c r="A54" s="5" t="s">
        <v>99</v>
      </c>
      <c r="B54" s="1">
        <v>0</v>
      </c>
      <c r="C54" s="13">
        <f t="shared" si="1"/>
        <v>0</v>
      </c>
      <c r="D54" s="1">
        <v>1</v>
      </c>
      <c r="E54" s="13">
        <f t="shared" si="2"/>
        <v>1</v>
      </c>
      <c r="F54" s="1">
        <v>0</v>
      </c>
      <c r="G54" s="13">
        <f t="shared" si="3"/>
        <v>0</v>
      </c>
      <c r="H54" s="1">
        <v>0</v>
      </c>
      <c r="I54" s="13">
        <f t="shared" si="4"/>
        <v>0</v>
      </c>
      <c r="J54" s="1">
        <v>0</v>
      </c>
      <c r="K54" s="13">
        <f t="shared" si="5"/>
        <v>0</v>
      </c>
      <c r="L54" s="1">
        <v>0</v>
      </c>
      <c r="M54" s="13">
        <f t="shared" si="6"/>
        <v>0</v>
      </c>
      <c r="N54" s="3">
        <f t="shared" si="0"/>
        <v>1</v>
      </c>
    </row>
    <row r="55" spans="1:14" ht="13.5" customHeight="1" x14ac:dyDescent="0.25">
      <c r="A55" s="5" t="s">
        <v>31</v>
      </c>
      <c r="B55" s="1">
        <v>32</v>
      </c>
      <c r="C55" s="13">
        <f t="shared" si="1"/>
        <v>0.31683168316831684</v>
      </c>
      <c r="D55" s="1">
        <v>60</v>
      </c>
      <c r="E55" s="13">
        <f t="shared" si="2"/>
        <v>0.59405940594059403</v>
      </c>
      <c r="F55" s="1">
        <v>9</v>
      </c>
      <c r="G55" s="13">
        <f t="shared" si="3"/>
        <v>8.9108910891089105E-2</v>
      </c>
      <c r="H55" s="1">
        <v>0</v>
      </c>
      <c r="I55" s="13">
        <f t="shared" si="4"/>
        <v>0</v>
      </c>
      <c r="J55" s="1">
        <v>0</v>
      </c>
      <c r="K55" s="13">
        <f t="shared" si="5"/>
        <v>0</v>
      </c>
      <c r="L55" s="1">
        <v>0</v>
      </c>
      <c r="M55" s="13">
        <f t="shared" si="6"/>
        <v>0</v>
      </c>
      <c r="N55" s="3">
        <f t="shared" si="0"/>
        <v>101</v>
      </c>
    </row>
    <row r="56" spans="1:14" x14ac:dyDescent="0.25">
      <c r="A56" s="5" t="s">
        <v>32</v>
      </c>
      <c r="B56" s="1">
        <v>2</v>
      </c>
      <c r="C56" s="13">
        <f t="shared" si="1"/>
        <v>0.13333333333333333</v>
      </c>
      <c r="D56" s="1">
        <v>5</v>
      </c>
      <c r="E56" s="13">
        <f t="shared" si="2"/>
        <v>0.33333333333333331</v>
      </c>
      <c r="F56" s="1">
        <v>6</v>
      </c>
      <c r="G56" s="13">
        <f t="shared" si="3"/>
        <v>0.4</v>
      </c>
      <c r="H56" s="1">
        <v>2</v>
      </c>
      <c r="I56" s="13">
        <f t="shared" si="4"/>
        <v>0.13333333333333333</v>
      </c>
      <c r="J56" s="1">
        <v>0</v>
      </c>
      <c r="K56" s="13">
        <f t="shared" si="5"/>
        <v>0</v>
      </c>
      <c r="L56" s="1">
        <v>0</v>
      </c>
      <c r="M56" s="13">
        <f t="shared" si="6"/>
        <v>0</v>
      </c>
      <c r="N56" s="3">
        <f t="shared" si="0"/>
        <v>15</v>
      </c>
    </row>
    <row r="57" spans="1:14" x14ac:dyDescent="0.25">
      <c r="A57" s="5" t="s">
        <v>100</v>
      </c>
      <c r="B57" s="1">
        <v>16</v>
      </c>
      <c r="C57" s="13">
        <f t="shared" si="1"/>
        <v>9.7560975609756101E-2</v>
      </c>
      <c r="D57" s="1">
        <v>91</v>
      </c>
      <c r="E57" s="13">
        <f t="shared" si="2"/>
        <v>0.55487804878048785</v>
      </c>
      <c r="F57" s="1">
        <v>55</v>
      </c>
      <c r="G57" s="13">
        <f t="shared" si="3"/>
        <v>0.33536585365853661</v>
      </c>
      <c r="H57" s="1">
        <v>1</v>
      </c>
      <c r="I57" s="13">
        <f t="shared" si="4"/>
        <v>6.0975609756097563E-3</v>
      </c>
      <c r="J57" s="1">
        <v>0</v>
      </c>
      <c r="K57" s="13">
        <f t="shared" si="5"/>
        <v>0</v>
      </c>
      <c r="L57" s="1">
        <v>1</v>
      </c>
      <c r="M57" s="13">
        <f t="shared" si="6"/>
        <v>6.0975609756097563E-3</v>
      </c>
      <c r="N57" s="3">
        <f t="shared" si="0"/>
        <v>164</v>
      </c>
    </row>
    <row r="58" spans="1:14" x14ac:dyDescent="0.25">
      <c r="A58" s="5" t="s">
        <v>33</v>
      </c>
      <c r="B58" s="1">
        <v>1</v>
      </c>
      <c r="C58" s="13">
        <f t="shared" si="1"/>
        <v>6.6666666666666666E-2</v>
      </c>
      <c r="D58" s="1">
        <v>11</v>
      </c>
      <c r="E58" s="13">
        <f t="shared" si="2"/>
        <v>0.73333333333333328</v>
      </c>
      <c r="F58" s="1">
        <v>2</v>
      </c>
      <c r="G58" s="13">
        <f t="shared" si="3"/>
        <v>0.13333333333333333</v>
      </c>
      <c r="H58" s="1">
        <v>0</v>
      </c>
      <c r="I58" s="13">
        <f t="shared" si="4"/>
        <v>0</v>
      </c>
      <c r="J58" s="1">
        <v>1</v>
      </c>
      <c r="K58" s="13">
        <f t="shared" si="5"/>
        <v>6.6666666666666666E-2</v>
      </c>
      <c r="L58" s="1">
        <v>0</v>
      </c>
      <c r="M58" s="13">
        <f t="shared" si="6"/>
        <v>0</v>
      </c>
      <c r="N58" s="3">
        <f t="shared" si="0"/>
        <v>15</v>
      </c>
    </row>
    <row r="59" spans="1:14" x14ac:dyDescent="0.25">
      <c r="A59" s="5" t="s">
        <v>34</v>
      </c>
      <c r="B59" s="1">
        <v>3</v>
      </c>
      <c r="C59" s="13">
        <f t="shared" si="1"/>
        <v>0.10344827586206896</v>
      </c>
      <c r="D59" s="1">
        <v>22</v>
      </c>
      <c r="E59" s="13">
        <f t="shared" si="2"/>
        <v>0.75862068965517238</v>
      </c>
      <c r="F59" s="1">
        <v>4</v>
      </c>
      <c r="G59" s="13">
        <f t="shared" si="3"/>
        <v>0.13793103448275862</v>
      </c>
      <c r="H59" s="1">
        <v>0</v>
      </c>
      <c r="I59" s="13">
        <f t="shared" si="4"/>
        <v>0</v>
      </c>
      <c r="J59" s="1">
        <v>0</v>
      </c>
      <c r="K59" s="13">
        <f t="shared" si="5"/>
        <v>0</v>
      </c>
      <c r="L59" s="1">
        <v>0</v>
      </c>
      <c r="M59" s="13">
        <f t="shared" si="6"/>
        <v>0</v>
      </c>
      <c r="N59" s="3">
        <f t="shared" si="0"/>
        <v>29</v>
      </c>
    </row>
    <row r="60" spans="1:14" ht="15.75" thickBot="1" x14ac:dyDescent="0.3">
      <c r="A60" s="7" t="s">
        <v>35</v>
      </c>
      <c r="B60" s="8">
        <v>7</v>
      </c>
      <c r="C60" s="14">
        <f t="shared" si="1"/>
        <v>9.5890410958904104E-2</v>
      </c>
      <c r="D60" s="8">
        <v>26</v>
      </c>
      <c r="E60" s="14">
        <f t="shared" si="2"/>
        <v>0.35616438356164382</v>
      </c>
      <c r="F60" s="8">
        <v>20</v>
      </c>
      <c r="G60" s="14">
        <f t="shared" si="3"/>
        <v>0.27397260273972601</v>
      </c>
      <c r="H60" s="8">
        <v>19</v>
      </c>
      <c r="I60" s="14">
        <f t="shared" si="4"/>
        <v>0.26027397260273971</v>
      </c>
      <c r="J60" s="8">
        <v>1</v>
      </c>
      <c r="K60" s="14">
        <f t="shared" si="5"/>
        <v>1.3698630136986301E-2</v>
      </c>
      <c r="L60" s="8">
        <v>0</v>
      </c>
      <c r="M60" s="14">
        <f t="shared" si="6"/>
        <v>0</v>
      </c>
      <c r="N60" s="6">
        <f t="shared" si="0"/>
        <v>73</v>
      </c>
    </row>
    <row r="61" spans="1:14" ht="16.5" thickTop="1" thickBot="1" x14ac:dyDescent="0.3">
      <c r="A61" s="2" t="s">
        <v>41</v>
      </c>
      <c r="B61" s="2">
        <f>SUM(B6:B60)</f>
        <v>547</v>
      </c>
      <c r="C61" s="15">
        <f t="shared" si="1"/>
        <v>0.18790793541738235</v>
      </c>
      <c r="D61" s="2">
        <f>SUM(D6:D60)</f>
        <v>1586</v>
      </c>
      <c r="E61" s="15">
        <f t="shared" si="2"/>
        <v>0.54482995534180689</v>
      </c>
      <c r="F61" s="2">
        <f>SUM(F6:F60)</f>
        <v>598</v>
      </c>
      <c r="G61" s="15">
        <f t="shared" si="3"/>
        <v>0.20542768807969769</v>
      </c>
      <c r="H61" s="2">
        <f>SUM(H6:H60)</f>
        <v>159</v>
      </c>
      <c r="I61" s="15">
        <f t="shared" si="4"/>
        <v>5.4620405358983166E-2</v>
      </c>
      <c r="J61" s="2">
        <f>SUM(J6:J60)</f>
        <v>20</v>
      </c>
      <c r="K61" s="15">
        <f t="shared" si="5"/>
        <v>6.8704912401236686E-3</v>
      </c>
      <c r="L61" s="2">
        <f>SUM(L6:L60)</f>
        <v>1</v>
      </c>
      <c r="M61" s="15">
        <f t="shared" si="6"/>
        <v>3.4352456200618345E-4</v>
      </c>
      <c r="N61" s="4">
        <f>SUM(N6:N60)</f>
        <v>2911</v>
      </c>
    </row>
    <row r="62" spans="1:14" ht="15.75" thickBo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1:14" x14ac:dyDescent="0.25">
      <c r="A63" s="43" t="s">
        <v>57</v>
      </c>
      <c r="B63" s="35" t="s">
        <v>52</v>
      </c>
      <c r="C63" s="36"/>
      <c r="D63" s="35" t="s">
        <v>53</v>
      </c>
      <c r="E63" s="36"/>
      <c r="F63" s="35" t="s">
        <v>54</v>
      </c>
      <c r="G63" s="36"/>
      <c r="H63" s="35" t="s">
        <v>55</v>
      </c>
      <c r="I63" s="36"/>
      <c r="J63" s="35" t="s">
        <v>45</v>
      </c>
      <c r="K63" s="36"/>
      <c r="L63" s="35" t="s">
        <v>46</v>
      </c>
      <c r="M63" s="36"/>
      <c r="N63" s="39" t="s">
        <v>0</v>
      </c>
    </row>
    <row r="64" spans="1:14" x14ac:dyDescent="0.25">
      <c r="A64" s="44"/>
      <c r="B64" s="37"/>
      <c r="C64" s="38"/>
      <c r="D64" s="37"/>
      <c r="E64" s="38"/>
      <c r="F64" s="37"/>
      <c r="G64" s="38"/>
      <c r="H64" s="37"/>
      <c r="I64" s="38"/>
      <c r="J64" s="37"/>
      <c r="K64" s="38"/>
      <c r="L64" s="37"/>
      <c r="M64" s="38"/>
      <c r="N64" s="40"/>
    </row>
    <row r="65" spans="1:14" x14ac:dyDescent="0.25">
      <c r="A65" s="5" t="s">
        <v>62</v>
      </c>
      <c r="B65" s="1">
        <v>82</v>
      </c>
      <c r="C65" s="13">
        <f t="shared" ref="C65:C73" si="14">B65/N65</f>
        <v>0.19664268585131894</v>
      </c>
      <c r="D65" s="1">
        <v>260</v>
      </c>
      <c r="E65" s="13">
        <f t="shared" ref="E65:E73" si="15">D65/N65</f>
        <v>0.6235011990407674</v>
      </c>
      <c r="F65" s="1">
        <v>68</v>
      </c>
      <c r="G65" s="13">
        <f t="shared" ref="G65:G73" si="16">F65/N65</f>
        <v>0.16306954436450841</v>
      </c>
      <c r="H65" s="1">
        <v>7</v>
      </c>
      <c r="I65" s="13">
        <f t="shared" ref="I65:I73" si="17">H65/N65</f>
        <v>1.6786570743405275E-2</v>
      </c>
      <c r="J65" s="1">
        <v>0</v>
      </c>
      <c r="K65" s="13">
        <f t="shared" ref="K65:K73" si="18">J65/N65</f>
        <v>0</v>
      </c>
      <c r="L65" s="1">
        <v>0</v>
      </c>
      <c r="M65" s="13">
        <f t="shared" ref="M65:M73" si="19">L65/N65</f>
        <v>0</v>
      </c>
      <c r="N65" s="3">
        <f t="shared" ref="N65:N72" si="20">B65+D65+F65+H65+J65+L65</f>
        <v>417</v>
      </c>
    </row>
    <row r="66" spans="1:14" x14ac:dyDescent="0.25">
      <c r="A66" s="5" t="s">
        <v>119</v>
      </c>
      <c r="B66" s="1">
        <v>70</v>
      </c>
      <c r="C66" s="13">
        <f t="shared" si="14"/>
        <v>0.25179856115107913</v>
      </c>
      <c r="D66" s="1">
        <v>177</v>
      </c>
      <c r="E66" s="13">
        <f t="shared" si="15"/>
        <v>0.63669064748201443</v>
      </c>
      <c r="F66" s="1">
        <v>27</v>
      </c>
      <c r="G66" s="13">
        <f t="shared" si="16"/>
        <v>9.7122302158273388E-2</v>
      </c>
      <c r="H66" s="1">
        <v>4</v>
      </c>
      <c r="I66" s="13">
        <f t="shared" si="17"/>
        <v>1.4388489208633094E-2</v>
      </c>
      <c r="J66" s="1">
        <v>0</v>
      </c>
      <c r="K66" s="13">
        <f t="shared" si="18"/>
        <v>0</v>
      </c>
      <c r="L66" s="1">
        <v>0</v>
      </c>
      <c r="M66" s="13">
        <f t="shared" si="19"/>
        <v>0</v>
      </c>
      <c r="N66" s="3">
        <f t="shared" si="20"/>
        <v>278</v>
      </c>
    </row>
    <row r="67" spans="1:14" x14ac:dyDescent="0.25">
      <c r="A67" s="5" t="s">
        <v>63</v>
      </c>
      <c r="B67" s="1">
        <v>22</v>
      </c>
      <c r="C67" s="13">
        <f t="shared" si="14"/>
        <v>0.18965517241379309</v>
      </c>
      <c r="D67" s="1">
        <v>57</v>
      </c>
      <c r="E67" s="13">
        <f t="shared" si="15"/>
        <v>0.49137931034482757</v>
      </c>
      <c r="F67" s="1">
        <v>29</v>
      </c>
      <c r="G67" s="13">
        <f t="shared" si="16"/>
        <v>0.25</v>
      </c>
      <c r="H67" s="1">
        <v>8</v>
      </c>
      <c r="I67" s="13">
        <f t="shared" si="17"/>
        <v>6.8965517241379309E-2</v>
      </c>
      <c r="J67" s="1">
        <v>0</v>
      </c>
      <c r="K67" s="13">
        <f t="shared" si="18"/>
        <v>0</v>
      </c>
      <c r="L67" s="1">
        <v>0</v>
      </c>
      <c r="M67" s="13">
        <f t="shared" si="19"/>
        <v>0</v>
      </c>
      <c r="N67" s="3">
        <f t="shared" si="20"/>
        <v>116</v>
      </c>
    </row>
    <row r="68" spans="1:14" x14ac:dyDescent="0.25">
      <c r="A68" s="5" t="s">
        <v>103</v>
      </c>
      <c r="B68" s="1">
        <v>55</v>
      </c>
      <c r="C68" s="13">
        <f t="shared" si="14"/>
        <v>0.18272425249169436</v>
      </c>
      <c r="D68" s="1">
        <v>91</v>
      </c>
      <c r="E68" s="13">
        <f t="shared" si="15"/>
        <v>0.30232558139534882</v>
      </c>
      <c r="F68" s="1">
        <v>101</v>
      </c>
      <c r="G68" s="13">
        <f t="shared" si="16"/>
        <v>0.33554817275747506</v>
      </c>
      <c r="H68" s="1">
        <v>42</v>
      </c>
      <c r="I68" s="13">
        <f t="shared" si="17"/>
        <v>0.13953488372093023</v>
      </c>
      <c r="J68" s="1">
        <v>12</v>
      </c>
      <c r="K68" s="13">
        <f t="shared" si="18"/>
        <v>3.9867109634551492E-2</v>
      </c>
      <c r="L68" s="1">
        <v>0</v>
      </c>
      <c r="M68" s="13">
        <f t="shared" si="19"/>
        <v>0</v>
      </c>
      <c r="N68" s="3">
        <f t="shared" si="20"/>
        <v>301</v>
      </c>
    </row>
    <row r="69" spans="1:14" x14ac:dyDescent="0.25">
      <c r="A69" s="5" t="s">
        <v>1</v>
      </c>
      <c r="B69" s="1">
        <v>4</v>
      </c>
      <c r="C69" s="13">
        <f t="shared" si="14"/>
        <v>2.5000000000000001E-2</v>
      </c>
      <c r="D69" s="1">
        <v>133</v>
      </c>
      <c r="E69" s="13">
        <f t="shared" si="15"/>
        <v>0.83125000000000004</v>
      </c>
      <c r="F69" s="1">
        <v>22</v>
      </c>
      <c r="G69" s="13">
        <f t="shared" si="16"/>
        <v>0.13750000000000001</v>
      </c>
      <c r="H69" s="1">
        <v>1</v>
      </c>
      <c r="I69" s="13">
        <f t="shared" si="17"/>
        <v>6.2500000000000003E-3</v>
      </c>
      <c r="J69" s="1">
        <v>0</v>
      </c>
      <c r="K69" s="13">
        <f t="shared" si="18"/>
        <v>0</v>
      </c>
      <c r="L69" s="1">
        <v>0</v>
      </c>
      <c r="M69" s="13">
        <f t="shared" si="19"/>
        <v>0</v>
      </c>
      <c r="N69" s="3">
        <f t="shared" si="20"/>
        <v>160</v>
      </c>
    </row>
    <row r="70" spans="1:14" x14ac:dyDescent="0.25">
      <c r="A70" s="5" t="s">
        <v>66</v>
      </c>
      <c r="B70" s="1">
        <v>96</v>
      </c>
      <c r="C70" s="13">
        <f t="shared" si="14"/>
        <v>0.20083682008368201</v>
      </c>
      <c r="D70" s="1">
        <v>271</v>
      </c>
      <c r="E70" s="13">
        <f t="shared" si="15"/>
        <v>0.56694560669456062</v>
      </c>
      <c r="F70" s="1">
        <v>95</v>
      </c>
      <c r="G70" s="13">
        <f t="shared" si="16"/>
        <v>0.19874476987447698</v>
      </c>
      <c r="H70" s="1">
        <v>16</v>
      </c>
      <c r="I70" s="13">
        <f t="shared" si="17"/>
        <v>3.3472803347280332E-2</v>
      </c>
      <c r="J70" s="1">
        <v>0</v>
      </c>
      <c r="K70" s="13">
        <f t="shared" si="18"/>
        <v>0</v>
      </c>
      <c r="L70" s="1">
        <v>0</v>
      </c>
      <c r="M70" s="13">
        <f t="shared" si="19"/>
        <v>0</v>
      </c>
      <c r="N70" s="3">
        <f t="shared" si="20"/>
        <v>478</v>
      </c>
    </row>
    <row r="71" spans="1:14" x14ac:dyDescent="0.25">
      <c r="A71" s="5" t="s">
        <v>67</v>
      </c>
      <c r="B71" s="1">
        <v>100</v>
      </c>
      <c r="C71" s="13">
        <f t="shared" si="14"/>
        <v>0.20790020790020791</v>
      </c>
      <c r="D71" s="1">
        <v>180</v>
      </c>
      <c r="E71" s="13">
        <f t="shared" si="15"/>
        <v>0.37422037422037424</v>
      </c>
      <c r="F71" s="1">
        <v>124</v>
      </c>
      <c r="G71" s="13">
        <f t="shared" si="16"/>
        <v>0.25779625779625781</v>
      </c>
      <c r="H71" s="1">
        <v>70</v>
      </c>
      <c r="I71" s="13">
        <f t="shared" si="17"/>
        <v>0.14553014553014554</v>
      </c>
      <c r="J71" s="1">
        <v>7</v>
      </c>
      <c r="K71" s="13">
        <f t="shared" si="18"/>
        <v>1.4553014553014554E-2</v>
      </c>
      <c r="L71" s="1">
        <v>0</v>
      </c>
      <c r="M71" s="13">
        <f t="shared" si="19"/>
        <v>0</v>
      </c>
      <c r="N71" s="3">
        <f t="shared" si="20"/>
        <v>481</v>
      </c>
    </row>
    <row r="72" spans="1:14" ht="15.75" thickBot="1" x14ac:dyDescent="0.3">
      <c r="A72" s="7" t="s">
        <v>68</v>
      </c>
      <c r="B72" s="8">
        <v>118</v>
      </c>
      <c r="C72" s="14">
        <f t="shared" si="14"/>
        <v>0.17352941176470588</v>
      </c>
      <c r="D72" s="8">
        <v>417</v>
      </c>
      <c r="E72" s="14">
        <f t="shared" si="15"/>
        <v>0.6132352941176471</v>
      </c>
      <c r="F72" s="8">
        <v>132</v>
      </c>
      <c r="G72" s="14">
        <f t="shared" si="16"/>
        <v>0.19411764705882353</v>
      </c>
      <c r="H72" s="8">
        <v>11</v>
      </c>
      <c r="I72" s="14">
        <f t="shared" si="17"/>
        <v>1.6176470588235296E-2</v>
      </c>
      <c r="J72" s="8">
        <v>1</v>
      </c>
      <c r="K72" s="14">
        <f t="shared" si="18"/>
        <v>1.4705882352941176E-3</v>
      </c>
      <c r="L72" s="8">
        <v>1</v>
      </c>
      <c r="M72" s="14">
        <f t="shared" si="19"/>
        <v>1.4705882352941176E-3</v>
      </c>
      <c r="N72" s="6">
        <f t="shared" si="20"/>
        <v>680</v>
      </c>
    </row>
    <row r="73" spans="1:14" ht="16.5" thickTop="1" thickBot="1" x14ac:dyDescent="0.3">
      <c r="A73" s="2" t="s">
        <v>41</v>
      </c>
      <c r="B73" s="2">
        <f>SUM(B65:B72)</f>
        <v>547</v>
      </c>
      <c r="C73" s="15">
        <f t="shared" si="14"/>
        <v>0.18790793541738235</v>
      </c>
      <c r="D73" s="2">
        <f>SUM(D65:D72)</f>
        <v>1586</v>
      </c>
      <c r="E73" s="15">
        <f t="shared" si="15"/>
        <v>0.54482995534180689</v>
      </c>
      <c r="F73" s="2">
        <f>SUM(F65:F72)</f>
        <v>598</v>
      </c>
      <c r="G73" s="15">
        <f t="shared" si="16"/>
        <v>0.20542768807969769</v>
      </c>
      <c r="H73" s="2">
        <f>SUM(H65:H72)</f>
        <v>159</v>
      </c>
      <c r="I73" s="15">
        <f t="shared" si="17"/>
        <v>5.4620405358983166E-2</v>
      </c>
      <c r="J73" s="2">
        <f>SUM(J65:J72)</f>
        <v>20</v>
      </c>
      <c r="K73" s="15">
        <f t="shared" si="18"/>
        <v>6.8704912401236686E-3</v>
      </c>
      <c r="L73" s="2">
        <f>SUM(L65:L72)</f>
        <v>1</v>
      </c>
      <c r="M73" s="15">
        <f t="shared" si="19"/>
        <v>3.4352456200618345E-4</v>
      </c>
      <c r="N73" s="4">
        <f>SUM(N65:N72)</f>
        <v>2911</v>
      </c>
    </row>
    <row r="76" spans="1:14" x14ac:dyDescent="0.25">
      <c r="A76" s="12" t="s">
        <v>58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4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4" ht="30" customHeight="1" thickBot="1" x14ac:dyDescent="0.3">
      <c r="A78" s="12"/>
      <c r="D78" s="21"/>
      <c r="E78" s="21"/>
      <c r="F78" s="12"/>
      <c r="G78" s="12"/>
      <c r="H78" s="12"/>
      <c r="I78" s="12"/>
      <c r="J78" s="12"/>
      <c r="K78" s="12"/>
      <c r="L78" s="12"/>
      <c r="M78" s="12"/>
    </row>
    <row r="79" spans="1:14" x14ac:dyDescent="0.25">
      <c r="A79" s="26"/>
      <c r="B79" s="41" t="s">
        <v>79</v>
      </c>
      <c r="C79" s="42"/>
      <c r="D79" s="21"/>
      <c r="E79" s="21"/>
      <c r="F79" s="12"/>
      <c r="G79" s="12"/>
      <c r="H79" s="12"/>
      <c r="I79" s="12"/>
      <c r="J79" s="12"/>
      <c r="K79" s="12"/>
      <c r="L79" s="12"/>
      <c r="M79" s="12"/>
    </row>
    <row r="80" spans="1:14" ht="15.75" thickBot="1" x14ac:dyDescent="0.3">
      <c r="A80" s="24" t="s">
        <v>78</v>
      </c>
      <c r="B80" s="32" t="s">
        <v>117</v>
      </c>
      <c r="C80" s="33"/>
      <c r="F80" s="12"/>
      <c r="G80" s="12"/>
      <c r="H80" s="12"/>
      <c r="I80" s="12"/>
      <c r="J80" s="12"/>
      <c r="K80" s="12"/>
      <c r="L80" s="12"/>
      <c r="M80" s="12"/>
    </row>
    <row r="81" spans="1:13" ht="30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x14ac:dyDescent="0.25">
      <c r="A83" s="34" t="s">
        <v>118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7" spans="1:13" ht="15" customHeight="1" x14ac:dyDescent="0.25"/>
  </sheetData>
  <mergeCells count="18">
    <mergeCell ref="B80:C80"/>
    <mergeCell ref="A83:M83"/>
    <mergeCell ref="L63:M64"/>
    <mergeCell ref="N63:N64"/>
    <mergeCell ref="B79:C79"/>
    <mergeCell ref="A63:A64"/>
    <mergeCell ref="B63:C64"/>
    <mergeCell ref="D63:E64"/>
    <mergeCell ref="F63:G64"/>
    <mergeCell ref="H63:I64"/>
    <mergeCell ref="J63:K64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N80"/>
  <sheetViews>
    <sheetView tabSelected="1" view="pageLayout" zoomScale="40" zoomScaleNormal="100" zoomScalePageLayoutView="40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">
        <v>158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 t="s">
        <v>4</v>
      </c>
      <c r="B6" s="1">
        <v>10</v>
      </c>
      <c r="C6" s="13">
        <f>B6/N6</f>
        <v>0.17543859649122806</v>
      </c>
      <c r="D6" s="1">
        <v>40</v>
      </c>
      <c r="E6" s="13">
        <f>D6/N6</f>
        <v>0.70175438596491224</v>
      </c>
      <c r="F6" s="1">
        <v>6</v>
      </c>
      <c r="G6" s="13">
        <f>F6/N6</f>
        <v>0.10526315789473684</v>
      </c>
      <c r="H6" s="1">
        <v>1</v>
      </c>
      <c r="I6" s="13">
        <f>H6/N6</f>
        <v>1.7543859649122806E-2</v>
      </c>
      <c r="J6" s="1">
        <v>0</v>
      </c>
      <c r="K6" s="13">
        <f>J6/N6</f>
        <v>0</v>
      </c>
      <c r="L6" s="1">
        <v>0</v>
      </c>
      <c r="M6" s="13">
        <f>L6/N6</f>
        <v>0</v>
      </c>
      <c r="N6" s="3">
        <f t="shared" ref="N6:N57" si="0">B6+D6+F6+H6+J6+L6</f>
        <v>57</v>
      </c>
    </row>
    <row r="7" spans="1:14" ht="13.5" customHeight="1" x14ac:dyDescent="0.25">
      <c r="A7" s="5" t="s">
        <v>5</v>
      </c>
      <c r="B7" s="1">
        <v>8</v>
      </c>
      <c r="C7" s="13">
        <f>B7/N7</f>
        <v>0.15094339622641509</v>
      </c>
      <c r="D7" s="1">
        <v>40</v>
      </c>
      <c r="E7" s="13">
        <f>D7/N7</f>
        <v>0.75471698113207553</v>
      </c>
      <c r="F7" s="1">
        <v>5</v>
      </c>
      <c r="G7" s="13">
        <f>F7/N7</f>
        <v>9.4339622641509441E-2</v>
      </c>
      <c r="H7" s="1">
        <v>0</v>
      </c>
      <c r="I7" s="13">
        <f>H7/N7</f>
        <v>0</v>
      </c>
      <c r="J7" s="1">
        <v>0</v>
      </c>
      <c r="K7" s="13">
        <f>J7/N7</f>
        <v>0</v>
      </c>
      <c r="L7" s="1">
        <v>0</v>
      </c>
      <c r="M7" s="13">
        <f>L7/N7</f>
        <v>0</v>
      </c>
      <c r="N7" s="3">
        <f>B7+D7+F7+H7+J7+L7</f>
        <v>53</v>
      </c>
    </row>
    <row r="8" spans="1:14" ht="13.5" customHeight="1" x14ac:dyDescent="0.25">
      <c r="A8" s="5" t="s">
        <v>6</v>
      </c>
      <c r="B8" s="1">
        <v>25</v>
      </c>
      <c r="C8" s="13">
        <f>B8/N8</f>
        <v>0.34246575342465752</v>
      </c>
      <c r="D8" s="1">
        <v>39</v>
      </c>
      <c r="E8" s="13">
        <f>D8/N8</f>
        <v>0.53424657534246578</v>
      </c>
      <c r="F8" s="1">
        <v>9</v>
      </c>
      <c r="G8" s="13">
        <f>F8/N8</f>
        <v>0.12328767123287671</v>
      </c>
      <c r="H8" s="1">
        <v>0</v>
      </c>
      <c r="I8" s="13">
        <f>H8/N8</f>
        <v>0</v>
      </c>
      <c r="J8" s="1">
        <v>0</v>
      </c>
      <c r="K8" s="13">
        <f>J8/N8</f>
        <v>0</v>
      </c>
      <c r="L8" s="1">
        <v>0</v>
      </c>
      <c r="M8" s="13">
        <f>L8/N8</f>
        <v>0</v>
      </c>
      <c r="N8" s="3">
        <f>B8+D8+F8+H8+J8+L8</f>
        <v>73</v>
      </c>
    </row>
    <row r="9" spans="1:14" ht="13.5" customHeight="1" x14ac:dyDescent="0.25">
      <c r="A9" s="5" t="s">
        <v>93</v>
      </c>
      <c r="B9" s="1">
        <v>16</v>
      </c>
      <c r="C9" s="13">
        <f t="shared" ref="C9:C58" si="1">B9/N9</f>
        <v>0.12598425196850394</v>
      </c>
      <c r="D9" s="1">
        <v>47</v>
      </c>
      <c r="E9" s="13">
        <f t="shared" ref="E9:E58" si="2">D9/N9</f>
        <v>0.37007874015748032</v>
      </c>
      <c r="F9" s="1">
        <v>52</v>
      </c>
      <c r="G9" s="13">
        <f t="shared" ref="G9:G58" si="3">F9/N9</f>
        <v>0.40944881889763779</v>
      </c>
      <c r="H9" s="1">
        <v>11</v>
      </c>
      <c r="I9" s="13">
        <f t="shared" ref="I9:I58" si="4">H9/N9</f>
        <v>8.6614173228346455E-2</v>
      </c>
      <c r="J9" s="1">
        <v>1</v>
      </c>
      <c r="K9" s="13">
        <f t="shared" ref="K9:K58" si="5">J9/N9</f>
        <v>7.874015748031496E-3</v>
      </c>
      <c r="L9" s="1">
        <v>0</v>
      </c>
      <c r="M9" s="13">
        <f t="shared" ref="M9:M58" si="6">L9/N9</f>
        <v>0</v>
      </c>
      <c r="N9" s="3">
        <f t="shared" si="0"/>
        <v>127</v>
      </c>
    </row>
    <row r="10" spans="1:14" ht="13.5" customHeight="1" x14ac:dyDescent="0.25">
      <c r="A10" s="5" t="s">
        <v>70</v>
      </c>
      <c r="B10" s="1">
        <v>6</v>
      </c>
      <c r="C10" s="13">
        <f t="shared" si="1"/>
        <v>0.1875</v>
      </c>
      <c r="D10" s="1">
        <v>16</v>
      </c>
      <c r="E10" s="13">
        <f t="shared" si="2"/>
        <v>0.5</v>
      </c>
      <c r="F10" s="1">
        <v>6</v>
      </c>
      <c r="G10" s="13">
        <f t="shared" si="3"/>
        <v>0.1875</v>
      </c>
      <c r="H10" s="1">
        <v>4</v>
      </c>
      <c r="I10" s="13">
        <f t="shared" si="4"/>
        <v>0.125</v>
      </c>
      <c r="J10" s="1">
        <v>0</v>
      </c>
      <c r="K10" s="13">
        <f t="shared" si="5"/>
        <v>0</v>
      </c>
      <c r="L10" s="1">
        <v>0</v>
      </c>
      <c r="M10" s="13">
        <f t="shared" si="6"/>
        <v>0</v>
      </c>
      <c r="N10" s="3">
        <f t="shared" si="0"/>
        <v>32</v>
      </c>
    </row>
    <row r="11" spans="1:14" ht="13.5" customHeight="1" x14ac:dyDescent="0.25">
      <c r="A11" s="5" t="s">
        <v>7</v>
      </c>
      <c r="B11" s="1">
        <v>7</v>
      </c>
      <c r="C11" s="13">
        <f t="shared" si="1"/>
        <v>0.11290322580645161</v>
      </c>
      <c r="D11" s="1">
        <v>39</v>
      </c>
      <c r="E11" s="13">
        <f t="shared" si="2"/>
        <v>0.62903225806451613</v>
      </c>
      <c r="F11" s="1">
        <v>14</v>
      </c>
      <c r="G11" s="13">
        <f t="shared" si="3"/>
        <v>0.22580645161290322</v>
      </c>
      <c r="H11" s="1">
        <v>1</v>
      </c>
      <c r="I11" s="13">
        <f t="shared" si="4"/>
        <v>1.6129032258064516E-2</v>
      </c>
      <c r="J11" s="1">
        <v>1</v>
      </c>
      <c r="K11" s="13">
        <f t="shared" si="5"/>
        <v>1.6129032258064516E-2</v>
      </c>
      <c r="L11" s="1">
        <v>0</v>
      </c>
      <c r="M11" s="13">
        <f t="shared" si="6"/>
        <v>0</v>
      </c>
      <c r="N11" s="3">
        <f t="shared" si="0"/>
        <v>62</v>
      </c>
    </row>
    <row r="12" spans="1:14" ht="13.5" customHeight="1" x14ac:dyDescent="0.25">
      <c r="A12" s="5" t="s">
        <v>8</v>
      </c>
      <c r="B12" s="1">
        <v>10</v>
      </c>
      <c r="C12" s="13">
        <f t="shared" si="1"/>
        <v>0.12987012987012986</v>
      </c>
      <c r="D12" s="1">
        <v>50</v>
      </c>
      <c r="E12" s="13">
        <f t="shared" si="2"/>
        <v>0.64935064935064934</v>
      </c>
      <c r="F12" s="1">
        <v>15</v>
      </c>
      <c r="G12" s="13">
        <f t="shared" si="3"/>
        <v>0.19480519480519481</v>
      </c>
      <c r="H12" s="1">
        <v>2</v>
      </c>
      <c r="I12" s="13">
        <f t="shared" si="4"/>
        <v>2.5974025974025976E-2</v>
      </c>
      <c r="J12" s="1">
        <v>0</v>
      </c>
      <c r="K12" s="13">
        <f t="shared" si="5"/>
        <v>0</v>
      </c>
      <c r="L12" s="1">
        <v>0</v>
      </c>
      <c r="M12" s="13">
        <f t="shared" si="6"/>
        <v>0</v>
      </c>
      <c r="N12" s="3">
        <f t="shared" si="0"/>
        <v>77</v>
      </c>
    </row>
    <row r="13" spans="1:14" ht="13.5" customHeight="1" x14ac:dyDescent="0.25">
      <c r="A13" s="5" t="s">
        <v>71</v>
      </c>
      <c r="B13" s="1">
        <v>8</v>
      </c>
      <c r="C13" s="13">
        <f t="shared" si="1"/>
        <v>0.25806451612903225</v>
      </c>
      <c r="D13" s="1">
        <v>8</v>
      </c>
      <c r="E13" s="13">
        <f t="shared" si="2"/>
        <v>0.25806451612903225</v>
      </c>
      <c r="F13" s="1">
        <v>11</v>
      </c>
      <c r="G13" s="13">
        <f t="shared" si="3"/>
        <v>0.35483870967741937</v>
      </c>
      <c r="H13" s="1">
        <v>4</v>
      </c>
      <c r="I13" s="13">
        <f t="shared" si="4"/>
        <v>0.12903225806451613</v>
      </c>
      <c r="J13" s="1">
        <v>0</v>
      </c>
      <c r="K13" s="13">
        <f t="shared" si="5"/>
        <v>0</v>
      </c>
      <c r="L13" s="1">
        <v>0</v>
      </c>
      <c r="M13" s="13">
        <f t="shared" si="6"/>
        <v>0</v>
      </c>
      <c r="N13" s="3">
        <f t="shared" si="0"/>
        <v>31</v>
      </c>
    </row>
    <row r="14" spans="1:14" ht="13.5" customHeight="1" x14ac:dyDescent="0.25">
      <c r="A14" s="5" t="s">
        <v>10</v>
      </c>
      <c r="B14" s="1">
        <v>23</v>
      </c>
      <c r="C14" s="13">
        <f t="shared" si="1"/>
        <v>0.37096774193548387</v>
      </c>
      <c r="D14" s="1">
        <v>20</v>
      </c>
      <c r="E14" s="13">
        <f t="shared" si="2"/>
        <v>0.32258064516129031</v>
      </c>
      <c r="F14" s="1">
        <v>7</v>
      </c>
      <c r="G14" s="13">
        <f t="shared" si="3"/>
        <v>0.11290322580645161</v>
      </c>
      <c r="H14" s="1">
        <v>11</v>
      </c>
      <c r="I14" s="13">
        <f t="shared" si="4"/>
        <v>0.17741935483870969</v>
      </c>
      <c r="J14" s="1">
        <v>1</v>
      </c>
      <c r="K14" s="13">
        <f t="shared" si="5"/>
        <v>1.6129032258064516E-2</v>
      </c>
      <c r="L14" s="1">
        <v>0</v>
      </c>
      <c r="M14" s="13">
        <f t="shared" si="6"/>
        <v>0</v>
      </c>
      <c r="N14" s="3">
        <f t="shared" si="0"/>
        <v>62</v>
      </c>
    </row>
    <row r="15" spans="1:14" ht="13.5" customHeight="1" x14ac:dyDescent="0.25">
      <c r="A15" s="5" t="s">
        <v>104</v>
      </c>
      <c r="B15" s="1">
        <v>2</v>
      </c>
      <c r="C15" s="13">
        <f t="shared" si="1"/>
        <v>0.18181818181818182</v>
      </c>
      <c r="D15" s="1">
        <v>9</v>
      </c>
      <c r="E15" s="13">
        <f t="shared" si="2"/>
        <v>0.81818181818181823</v>
      </c>
      <c r="F15" s="1">
        <v>0</v>
      </c>
      <c r="G15" s="13">
        <f t="shared" si="3"/>
        <v>0</v>
      </c>
      <c r="H15" s="1">
        <v>0</v>
      </c>
      <c r="I15" s="13">
        <f t="shared" si="4"/>
        <v>0</v>
      </c>
      <c r="J15" s="1">
        <v>0</v>
      </c>
      <c r="K15" s="13">
        <f t="shared" si="5"/>
        <v>0</v>
      </c>
      <c r="L15" s="1">
        <v>0</v>
      </c>
      <c r="M15" s="13">
        <f t="shared" si="6"/>
        <v>0</v>
      </c>
      <c r="N15" s="3">
        <f t="shared" si="0"/>
        <v>11</v>
      </c>
    </row>
    <row r="16" spans="1:14" ht="13.5" customHeight="1" x14ac:dyDescent="0.25">
      <c r="A16" s="5" t="s">
        <v>11</v>
      </c>
      <c r="B16" s="1">
        <v>2</v>
      </c>
      <c r="C16" s="13">
        <f t="shared" si="1"/>
        <v>6.4516129032258063E-2</v>
      </c>
      <c r="D16" s="1">
        <v>8</v>
      </c>
      <c r="E16" s="13">
        <f t="shared" si="2"/>
        <v>0.25806451612903225</v>
      </c>
      <c r="F16" s="1">
        <v>14</v>
      </c>
      <c r="G16" s="13">
        <f t="shared" si="3"/>
        <v>0.45161290322580644</v>
      </c>
      <c r="H16" s="1">
        <v>6</v>
      </c>
      <c r="I16" s="13">
        <f t="shared" si="4"/>
        <v>0.19354838709677419</v>
      </c>
      <c r="J16" s="1">
        <v>1</v>
      </c>
      <c r="K16" s="13">
        <f t="shared" si="5"/>
        <v>3.2258064516129031E-2</v>
      </c>
      <c r="L16" s="1">
        <v>0</v>
      </c>
      <c r="M16" s="13">
        <f t="shared" si="6"/>
        <v>0</v>
      </c>
      <c r="N16" s="3">
        <f t="shared" si="0"/>
        <v>31</v>
      </c>
    </row>
    <row r="17" spans="1:14" ht="13.5" customHeight="1" x14ac:dyDescent="0.25">
      <c r="A17" s="5" t="s">
        <v>42</v>
      </c>
      <c r="B17" s="1">
        <v>54</v>
      </c>
      <c r="C17" s="13">
        <f t="shared" si="1"/>
        <v>0.2109375</v>
      </c>
      <c r="D17" s="1">
        <v>179</v>
      </c>
      <c r="E17" s="13">
        <f t="shared" si="2"/>
        <v>0.69921875</v>
      </c>
      <c r="F17" s="1">
        <v>23</v>
      </c>
      <c r="G17" s="13">
        <f t="shared" si="3"/>
        <v>8.984375E-2</v>
      </c>
      <c r="H17" s="1">
        <v>0</v>
      </c>
      <c r="I17" s="13">
        <f t="shared" si="4"/>
        <v>0</v>
      </c>
      <c r="J17" s="1">
        <v>0</v>
      </c>
      <c r="K17" s="13">
        <f t="shared" si="5"/>
        <v>0</v>
      </c>
      <c r="L17" s="1">
        <v>0</v>
      </c>
      <c r="M17" s="13">
        <f t="shared" si="6"/>
        <v>0</v>
      </c>
      <c r="N17" s="3">
        <f t="shared" si="0"/>
        <v>256</v>
      </c>
    </row>
    <row r="18" spans="1:14" ht="13.5" customHeight="1" x14ac:dyDescent="0.25">
      <c r="A18" s="5" t="s">
        <v>12</v>
      </c>
      <c r="B18" s="1">
        <v>16</v>
      </c>
      <c r="C18" s="13">
        <f t="shared" si="1"/>
        <v>0.21621621621621623</v>
      </c>
      <c r="D18" s="1">
        <v>26</v>
      </c>
      <c r="E18" s="13">
        <f t="shared" si="2"/>
        <v>0.35135135135135137</v>
      </c>
      <c r="F18" s="1">
        <v>20</v>
      </c>
      <c r="G18" s="13">
        <f t="shared" si="3"/>
        <v>0.27027027027027029</v>
      </c>
      <c r="H18" s="1">
        <v>8</v>
      </c>
      <c r="I18" s="13">
        <f t="shared" si="4"/>
        <v>0.10810810810810811</v>
      </c>
      <c r="J18" s="1">
        <v>4</v>
      </c>
      <c r="K18" s="13">
        <f t="shared" si="5"/>
        <v>5.4054054054054057E-2</v>
      </c>
      <c r="L18" s="1">
        <v>0</v>
      </c>
      <c r="M18" s="13">
        <f t="shared" si="6"/>
        <v>0</v>
      </c>
      <c r="N18" s="3">
        <f t="shared" si="0"/>
        <v>74</v>
      </c>
    </row>
    <row r="19" spans="1:14" ht="13.5" customHeight="1" x14ac:dyDescent="0.25">
      <c r="A19" s="5" t="s">
        <v>13</v>
      </c>
      <c r="B19" s="1">
        <v>1</v>
      </c>
      <c r="C19" s="13">
        <f t="shared" si="1"/>
        <v>0.2</v>
      </c>
      <c r="D19" s="1">
        <v>3</v>
      </c>
      <c r="E19" s="13">
        <f t="shared" si="2"/>
        <v>0.6</v>
      </c>
      <c r="F19" s="1">
        <v>1</v>
      </c>
      <c r="G19" s="13">
        <f t="shared" si="3"/>
        <v>0.2</v>
      </c>
      <c r="H19" s="1">
        <v>0</v>
      </c>
      <c r="I19" s="13">
        <f t="shared" si="4"/>
        <v>0</v>
      </c>
      <c r="J19" s="1">
        <v>0</v>
      </c>
      <c r="K19" s="13">
        <f t="shared" si="5"/>
        <v>0</v>
      </c>
      <c r="L19" s="1">
        <v>0</v>
      </c>
      <c r="M19" s="13">
        <f t="shared" si="6"/>
        <v>0</v>
      </c>
      <c r="N19" s="3">
        <f t="shared" si="0"/>
        <v>5</v>
      </c>
    </row>
    <row r="20" spans="1:14" ht="13.5" customHeight="1" x14ac:dyDescent="0.25">
      <c r="A20" s="5" t="s">
        <v>105</v>
      </c>
      <c r="B20" s="1">
        <v>10</v>
      </c>
      <c r="C20" s="13">
        <f t="shared" si="1"/>
        <v>0.38461538461538464</v>
      </c>
      <c r="D20" s="1">
        <v>10</v>
      </c>
      <c r="E20" s="13">
        <f t="shared" si="2"/>
        <v>0.38461538461538464</v>
      </c>
      <c r="F20" s="1">
        <v>4</v>
      </c>
      <c r="G20" s="13">
        <f t="shared" si="3"/>
        <v>0.15384615384615385</v>
      </c>
      <c r="H20" s="1">
        <v>2</v>
      </c>
      <c r="I20" s="13">
        <f t="shared" si="4"/>
        <v>7.6923076923076927E-2</v>
      </c>
      <c r="J20" s="1">
        <v>0</v>
      </c>
      <c r="K20" s="13">
        <f t="shared" si="5"/>
        <v>0</v>
      </c>
      <c r="L20" s="1">
        <v>0</v>
      </c>
      <c r="M20" s="13">
        <f t="shared" si="6"/>
        <v>0</v>
      </c>
      <c r="N20" s="3">
        <f t="shared" si="0"/>
        <v>26</v>
      </c>
    </row>
    <row r="21" spans="1:14" ht="13.5" customHeight="1" x14ac:dyDescent="0.25">
      <c r="A21" s="5" t="s">
        <v>14</v>
      </c>
      <c r="B21" s="1">
        <v>33</v>
      </c>
      <c r="C21" s="13">
        <f t="shared" si="1"/>
        <v>0.20496894409937888</v>
      </c>
      <c r="D21" s="1">
        <v>83</v>
      </c>
      <c r="E21" s="13">
        <f t="shared" si="2"/>
        <v>0.51552795031055898</v>
      </c>
      <c r="F21" s="1">
        <v>35</v>
      </c>
      <c r="G21" s="13">
        <f t="shared" si="3"/>
        <v>0.21739130434782608</v>
      </c>
      <c r="H21" s="1">
        <v>9</v>
      </c>
      <c r="I21" s="13">
        <f t="shared" si="4"/>
        <v>5.5900621118012424E-2</v>
      </c>
      <c r="J21" s="1">
        <v>1</v>
      </c>
      <c r="K21" s="13">
        <f t="shared" si="5"/>
        <v>6.2111801242236021E-3</v>
      </c>
      <c r="L21" s="1">
        <v>0</v>
      </c>
      <c r="M21" s="13">
        <f t="shared" si="6"/>
        <v>0</v>
      </c>
      <c r="N21" s="3">
        <f t="shared" si="0"/>
        <v>161</v>
      </c>
    </row>
    <row r="22" spans="1:14" ht="13.5" customHeight="1" x14ac:dyDescent="0.25">
      <c r="A22" s="5" t="s">
        <v>15</v>
      </c>
      <c r="B22" s="1">
        <v>17</v>
      </c>
      <c r="C22" s="13">
        <f t="shared" si="1"/>
        <v>0.21249999999999999</v>
      </c>
      <c r="D22" s="1">
        <v>24</v>
      </c>
      <c r="E22" s="13">
        <f t="shared" si="2"/>
        <v>0.3</v>
      </c>
      <c r="F22" s="1">
        <v>27</v>
      </c>
      <c r="G22" s="13">
        <f t="shared" si="3"/>
        <v>0.33750000000000002</v>
      </c>
      <c r="H22" s="1">
        <v>12</v>
      </c>
      <c r="I22" s="13">
        <f t="shared" si="4"/>
        <v>0.15</v>
      </c>
      <c r="J22" s="1">
        <v>0</v>
      </c>
      <c r="K22" s="13">
        <f t="shared" si="5"/>
        <v>0</v>
      </c>
      <c r="L22" s="1">
        <v>0</v>
      </c>
      <c r="M22" s="13">
        <f t="shared" si="6"/>
        <v>0</v>
      </c>
      <c r="N22" s="3">
        <f t="shared" si="0"/>
        <v>80</v>
      </c>
    </row>
    <row r="23" spans="1:14" ht="13.5" customHeight="1" x14ac:dyDescent="0.25">
      <c r="A23" s="5" t="s">
        <v>16</v>
      </c>
      <c r="B23" s="1">
        <v>15</v>
      </c>
      <c r="C23" s="13">
        <f t="shared" si="1"/>
        <v>0.22058823529411764</v>
      </c>
      <c r="D23" s="1">
        <v>50</v>
      </c>
      <c r="E23" s="13">
        <f t="shared" si="2"/>
        <v>0.73529411764705888</v>
      </c>
      <c r="F23" s="1">
        <v>2</v>
      </c>
      <c r="G23" s="13">
        <f t="shared" si="3"/>
        <v>2.9411764705882353E-2</v>
      </c>
      <c r="H23" s="1">
        <v>0</v>
      </c>
      <c r="I23" s="13">
        <f t="shared" si="4"/>
        <v>0</v>
      </c>
      <c r="J23" s="1">
        <v>0</v>
      </c>
      <c r="K23" s="13">
        <f t="shared" si="5"/>
        <v>0</v>
      </c>
      <c r="L23" s="1">
        <v>1</v>
      </c>
      <c r="M23" s="13">
        <f t="shared" si="6"/>
        <v>1.4705882352941176E-2</v>
      </c>
      <c r="N23" s="3">
        <f t="shared" si="0"/>
        <v>68</v>
      </c>
    </row>
    <row r="24" spans="1:14" ht="13.5" customHeight="1" x14ac:dyDescent="0.25">
      <c r="A24" s="5" t="s">
        <v>109</v>
      </c>
      <c r="B24" s="1">
        <v>10</v>
      </c>
      <c r="C24" s="13">
        <f t="shared" si="1"/>
        <v>0.27777777777777779</v>
      </c>
      <c r="D24" s="1">
        <v>25</v>
      </c>
      <c r="E24" s="13">
        <f t="shared" si="2"/>
        <v>0.69444444444444442</v>
      </c>
      <c r="F24" s="1">
        <v>1</v>
      </c>
      <c r="G24" s="13">
        <f t="shared" si="3"/>
        <v>2.7777777777777776E-2</v>
      </c>
      <c r="H24" s="1">
        <v>0</v>
      </c>
      <c r="I24" s="13">
        <f t="shared" si="4"/>
        <v>0</v>
      </c>
      <c r="J24" s="1">
        <v>0</v>
      </c>
      <c r="K24" s="13">
        <f t="shared" si="5"/>
        <v>0</v>
      </c>
      <c r="L24" s="1">
        <v>0</v>
      </c>
      <c r="M24" s="13">
        <f t="shared" si="6"/>
        <v>0</v>
      </c>
      <c r="N24" s="3">
        <f t="shared" si="0"/>
        <v>36</v>
      </c>
    </row>
    <row r="25" spans="1:14" ht="13.5" customHeight="1" x14ac:dyDescent="0.25">
      <c r="A25" s="5" t="s">
        <v>17</v>
      </c>
      <c r="B25" s="1">
        <v>10</v>
      </c>
      <c r="C25" s="13">
        <f t="shared" si="1"/>
        <v>0.29411764705882354</v>
      </c>
      <c r="D25" s="1">
        <v>19</v>
      </c>
      <c r="E25" s="13">
        <f t="shared" si="2"/>
        <v>0.55882352941176472</v>
      </c>
      <c r="F25" s="1">
        <v>5</v>
      </c>
      <c r="G25" s="13">
        <f t="shared" si="3"/>
        <v>0.14705882352941177</v>
      </c>
      <c r="H25" s="1">
        <v>0</v>
      </c>
      <c r="I25" s="13">
        <f t="shared" si="4"/>
        <v>0</v>
      </c>
      <c r="J25" s="1">
        <v>0</v>
      </c>
      <c r="K25" s="13">
        <f t="shared" si="5"/>
        <v>0</v>
      </c>
      <c r="L25" s="1">
        <v>0</v>
      </c>
      <c r="M25" s="13">
        <f t="shared" si="6"/>
        <v>0</v>
      </c>
      <c r="N25" s="3">
        <f t="shared" si="0"/>
        <v>34</v>
      </c>
    </row>
    <row r="26" spans="1:14" ht="13.5" customHeight="1" x14ac:dyDescent="0.25">
      <c r="A26" s="5" t="s">
        <v>18</v>
      </c>
      <c r="B26" s="1">
        <v>5</v>
      </c>
      <c r="C26" s="13">
        <f t="shared" si="1"/>
        <v>0.14705882352941177</v>
      </c>
      <c r="D26" s="1">
        <v>21</v>
      </c>
      <c r="E26" s="13">
        <f t="shared" si="2"/>
        <v>0.61764705882352944</v>
      </c>
      <c r="F26" s="1">
        <v>8</v>
      </c>
      <c r="G26" s="13">
        <f t="shared" si="3"/>
        <v>0.23529411764705882</v>
      </c>
      <c r="H26" s="1">
        <v>0</v>
      </c>
      <c r="I26" s="13">
        <f t="shared" si="4"/>
        <v>0</v>
      </c>
      <c r="J26" s="1">
        <v>0</v>
      </c>
      <c r="K26" s="13">
        <f t="shared" si="5"/>
        <v>0</v>
      </c>
      <c r="L26" s="1">
        <v>0</v>
      </c>
      <c r="M26" s="13">
        <f t="shared" si="6"/>
        <v>0</v>
      </c>
      <c r="N26" s="3">
        <f t="shared" si="0"/>
        <v>34</v>
      </c>
    </row>
    <row r="27" spans="1:14" ht="13.5" customHeight="1" x14ac:dyDescent="0.25">
      <c r="A27" s="5" t="s">
        <v>19</v>
      </c>
      <c r="B27" s="1">
        <v>12</v>
      </c>
      <c r="C27" s="13">
        <f t="shared" si="1"/>
        <v>0.125</v>
      </c>
      <c r="D27" s="1">
        <v>58</v>
      </c>
      <c r="E27" s="13">
        <f t="shared" si="2"/>
        <v>0.60416666666666663</v>
      </c>
      <c r="F27" s="1">
        <v>22</v>
      </c>
      <c r="G27" s="13">
        <f t="shared" si="3"/>
        <v>0.22916666666666666</v>
      </c>
      <c r="H27" s="1">
        <v>3</v>
      </c>
      <c r="I27" s="13">
        <f t="shared" si="4"/>
        <v>3.125E-2</v>
      </c>
      <c r="J27" s="1">
        <v>1</v>
      </c>
      <c r="K27" s="13">
        <f t="shared" si="5"/>
        <v>1.0416666666666666E-2</v>
      </c>
      <c r="L27" s="1">
        <v>0</v>
      </c>
      <c r="M27" s="13">
        <f t="shared" si="6"/>
        <v>0</v>
      </c>
      <c r="N27" s="3">
        <f t="shared" si="0"/>
        <v>96</v>
      </c>
    </row>
    <row r="28" spans="1:14" ht="13.5" customHeight="1" x14ac:dyDescent="0.25">
      <c r="A28" s="5" t="s">
        <v>21</v>
      </c>
      <c r="B28" s="1">
        <v>3</v>
      </c>
      <c r="C28" s="13">
        <f t="shared" si="1"/>
        <v>0.1</v>
      </c>
      <c r="D28" s="1">
        <v>21</v>
      </c>
      <c r="E28" s="13">
        <f t="shared" si="2"/>
        <v>0.7</v>
      </c>
      <c r="F28" s="1">
        <v>6</v>
      </c>
      <c r="G28" s="13">
        <f t="shared" si="3"/>
        <v>0.2</v>
      </c>
      <c r="H28" s="1">
        <v>0</v>
      </c>
      <c r="I28" s="13">
        <f t="shared" si="4"/>
        <v>0</v>
      </c>
      <c r="J28" s="1">
        <v>0</v>
      </c>
      <c r="K28" s="13">
        <f t="shared" si="5"/>
        <v>0</v>
      </c>
      <c r="L28" s="1">
        <v>0</v>
      </c>
      <c r="M28" s="13">
        <f t="shared" si="6"/>
        <v>0</v>
      </c>
      <c r="N28" s="3">
        <f t="shared" si="0"/>
        <v>30</v>
      </c>
    </row>
    <row r="29" spans="1:14" ht="13.5" customHeight="1" x14ac:dyDescent="0.25">
      <c r="A29" s="5" t="s">
        <v>38</v>
      </c>
      <c r="B29" s="1">
        <v>7</v>
      </c>
      <c r="C29" s="13">
        <f t="shared" si="1"/>
        <v>0.25</v>
      </c>
      <c r="D29" s="1">
        <v>16</v>
      </c>
      <c r="E29" s="13">
        <f t="shared" si="2"/>
        <v>0.5714285714285714</v>
      </c>
      <c r="F29" s="1">
        <v>5</v>
      </c>
      <c r="G29" s="13">
        <f t="shared" si="3"/>
        <v>0.17857142857142858</v>
      </c>
      <c r="H29" s="1">
        <v>0</v>
      </c>
      <c r="I29" s="13">
        <f t="shared" si="4"/>
        <v>0</v>
      </c>
      <c r="J29" s="1">
        <v>0</v>
      </c>
      <c r="K29" s="13">
        <f t="shared" si="5"/>
        <v>0</v>
      </c>
      <c r="L29" s="1">
        <v>0</v>
      </c>
      <c r="M29" s="13">
        <f t="shared" si="6"/>
        <v>0</v>
      </c>
      <c r="N29" s="3">
        <f t="shared" si="0"/>
        <v>28</v>
      </c>
    </row>
    <row r="30" spans="1:14" ht="13.5" customHeight="1" x14ac:dyDescent="0.25">
      <c r="A30" s="5" t="s">
        <v>39</v>
      </c>
      <c r="B30" s="1">
        <v>2</v>
      </c>
      <c r="C30" s="13">
        <f t="shared" si="1"/>
        <v>0.33333333333333331</v>
      </c>
      <c r="D30" s="1">
        <v>3</v>
      </c>
      <c r="E30" s="13">
        <f t="shared" si="2"/>
        <v>0.5</v>
      </c>
      <c r="F30" s="1">
        <v>0</v>
      </c>
      <c r="G30" s="13">
        <f t="shared" si="3"/>
        <v>0</v>
      </c>
      <c r="H30" s="1">
        <v>1</v>
      </c>
      <c r="I30" s="13">
        <f t="shared" si="4"/>
        <v>0.16666666666666666</v>
      </c>
      <c r="J30" s="1">
        <v>0</v>
      </c>
      <c r="K30" s="13">
        <f t="shared" si="5"/>
        <v>0</v>
      </c>
      <c r="L30" s="1">
        <v>0</v>
      </c>
      <c r="M30" s="13">
        <f t="shared" si="6"/>
        <v>0</v>
      </c>
      <c r="N30" s="3">
        <f t="shared" si="0"/>
        <v>6</v>
      </c>
    </row>
    <row r="31" spans="1:14" ht="13.5" customHeight="1" x14ac:dyDescent="0.25">
      <c r="A31" s="5" t="s">
        <v>22</v>
      </c>
      <c r="B31" s="1">
        <v>26</v>
      </c>
      <c r="C31" s="13">
        <f t="shared" si="1"/>
        <v>0.27368421052631581</v>
      </c>
      <c r="D31" s="1">
        <v>65</v>
      </c>
      <c r="E31" s="13">
        <f t="shared" si="2"/>
        <v>0.68421052631578949</v>
      </c>
      <c r="F31" s="1">
        <v>4</v>
      </c>
      <c r="G31" s="13">
        <f t="shared" si="3"/>
        <v>4.2105263157894736E-2</v>
      </c>
      <c r="H31" s="1">
        <v>0</v>
      </c>
      <c r="I31" s="13">
        <f t="shared" si="4"/>
        <v>0</v>
      </c>
      <c r="J31" s="1">
        <v>0</v>
      </c>
      <c r="K31" s="13">
        <f t="shared" si="5"/>
        <v>0</v>
      </c>
      <c r="L31" s="1">
        <v>0</v>
      </c>
      <c r="M31" s="13">
        <f t="shared" si="6"/>
        <v>0</v>
      </c>
      <c r="N31" s="3">
        <f t="shared" si="0"/>
        <v>95</v>
      </c>
    </row>
    <row r="32" spans="1:14" ht="13.5" customHeight="1" x14ac:dyDescent="0.25">
      <c r="A32" s="5" t="s">
        <v>40</v>
      </c>
      <c r="B32" s="1">
        <v>7</v>
      </c>
      <c r="C32" s="13">
        <f t="shared" si="1"/>
        <v>0.14000000000000001</v>
      </c>
      <c r="D32" s="1">
        <v>33</v>
      </c>
      <c r="E32" s="13">
        <f t="shared" si="2"/>
        <v>0.66</v>
      </c>
      <c r="F32" s="1">
        <v>10</v>
      </c>
      <c r="G32" s="13">
        <f t="shared" si="3"/>
        <v>0.2</v>
      </c>
      <c r="H32" s="1">
        <v>0</v>
      </c>
      <c r="I32" s="13">
        <f t="shared" si="4"/>
        <v>0</v>
      </c>
      <c r="J32" s="1">
        <v>0</v>
      </c>
      <c r="K32" s="13">
        <f t="shared" si="5"/>
        <v>0</v>
      </c>
      <c r="L32" s="1">
        <v>0</v>
      </c>
      <c r="M32" s="13">
        <f t="shared" si="6"/>
        <v>0</v>
      </c>
      <c r="N32" s="3">
        <f t="shared" si="0"/>
        <v>50</v>
      </c>
    </row>
    <row r="33" spans="1:14" ht="13.5" customHeight="1" x14ac:dyDescent="0.25">
      <c r="A33" s="5" t="s">
        <v>72</v>
      </c>
      <c r="B33" s="1">
        <v>1</v>
      </c>
      <c r="C33" s="13">
        <f t="shared" si="1"/>
        <v>2.8571428571428571E-2</v>
      </c>
      <c r="D33" s="1">
        <v>27</v>
      </c>
      <c r="E33" s="13">
        <f t="shared" si="2"/>
        <v>0.77142857142857146</v>
      </c>
      <c r="F33" s="1">
        <v>7</v>
      </c>
      <c r="G33" s="13">
        <f t="shared" si="3"/>
        <v>0.2</v>
      </c>
      <c r="H33" s="1">
        <v>0</v>
      </c>
      <c r="I33" s="13">
        <f t="shared" si="4"/>
        <v>0</v>
      </c>
      <c r="J33" s="1">
        <v>0</v>
      </c>
      <c r="K33" s="13">
        <f t="shared" si="5"/>
        <v>0</v>
      </c>
      <c r="L33" s="1">
        <v>0</v>
      </c>
      <c r="M33" s="13">
        <f t="shared" si="6"/>
        <v>0</v>
      </c>
      <c r="N33" s="3">
        <f t="shared" si="0"/>
        <v>35</v>
      </c>
    </row>
    <row r="34" spans="1:14" ht="13.5" customHeight="1" x14ac:dyDescent="0.25">
      <c r="A34" s="5" t="s">
        <v>110</v>
      </c>
      <c r="B34" s="1">
        <v>10</v>
      </c>
      <c r="C34" s="13">
        <f t="shared" si="1"/>
        <v>0.3125</v>
      </c>
      <c r="D34" s="1">
        <v>20</v>
      </c>
      <c r="E34" s="13">
        <f t="shared" si="2"/>
        <v>0.625</v>
      </c>
      <c r="F34" s="1">
        <v>2</v>
      </c>
      <c r="G34" s="13">
        <f t="shared" si="3"/>
        <v>6.25E-2</v>
      </c>
      <c r="H34" s="1">
        <v>0</v>
      </c>
      <c r="I34" s="13">
        <f t="shared" si="4"/>
        <v>0</v>
      </c>
      <c r="J34" s="1">
        <v>0</v>
      </c>
      <c r="K34" s="13">
        <f t="shared" si="5"/>
        <v>0</v>
      </c>
      <c r="L34" s="1">
        <v>0</v>
      </c>
      <c r="M34" s="13">
        <f t="shared" si="6"/>
        <v>0</v>
      </c>
      <c r="N34" s="3">
        <f t="shared" si="0"/>
        <v>32</v>
      </c>
    </row>
    <row r="35" spans="1:14" ht="13.5" customHeight="1" x14ac:dyDescent="0.25">
      <c r="A35" s="5" t="s">
        <v>94</v>
      </c>
      <c r="B35" s="1">
        <v>2</v>
      </c>
      <c r="C35" s="13">
        <f t="shared" si="1"/>
        <v>0.4</v>
      </c>
      <c r="D35" s="1">
        <v>3</v>
      </c>
      <c r="E35" s="13">
        <f t="shared" si="2"/>
        <v>0.6</v>
      </c>
      <c r="F35" s="1">
        <v>0</v>
      </c>
      <c r="G35" s="13">
        <f t="shared" si="3"/>
        <v>0</v>
      </c>
      <c r="H35" s="1">
        <v>0</v>
      </c>
      <c r="I35" s="13">
        <f t="shared" si="4"/>
        <v>0</v>
      </c>
      <c r="J35" s="1">
        <v>0</v>
      </c>
      <c r="K35" s="13">
        <f t="shared" si="5"/>
        <v>0</v>
      </c>
      <c r="L35" s="1">
        <v>0</v>
      </c>
      <c r="M35" s="13">
        <f t="shared" si="6"/>
        <v>0</v>
      </c>
      <c r="N35" s="3">
        <f t="shared" si="0"/>
        <v>5</v>
      </c>
    </row>
    <row r="36" spans="1:14" ht="13.5" customHeight="1" x14ac:dyDescent="0.25">
      <c r="A36" s="5" t="s">
        <v>23</v>
      </c>
      <c r="B36" s="1">
        <v>6</v>
      </c>
      <c r="C36" s="13">
        <f t="shared" si="1"/>
        <v>0.10909090909090909</v>
      </c>
      <c r="D36" s="1">
        <v>37</v>
      </c>
      <c r="E36" s="13">
        <f t="shared" si="2"/>
        <v>0.67272727272727273</v>
      </c>
      <c r="F36" s="1">
        <v>10</v>
      </c>
      <c r="G36" s="13">
        <f t="shared" si="3"/>
        <v>0.18181818181818182</v>
      </c>
      <c r="H36" s="1">
        <v>2</v>
      </c>
      <c r="I36" s="13">
        <f t="shared" si="4"/>
        <v>3.6363636363636362E-2</v>
      </c>
      <c r="J36" s="1">
        <v>0</v>
      </c>
      <c r="K36" s="13">
        <f t="shared" si="5"/>
        <v>0</v>
      </c>
      <c r="L36" s="1">
        <v>0</v>
      </c>
      <c r="M36" s="13">
        <f t="shared" si="6"/>
        <v>0</v>
      </c>
      <c r="N36" s="3">
        <f t="shared" si="0"/>
        <v>55</v>
      </c>
    </row>
    <row r="37" spans="1:14" ht="13.5" customHeight="1" x14ac:dyDescent="0.25">
      <c r="A37" s="5" t="s">
        <v>1</v>
      </c>
      <c r="B37" s="1">
        <v>13</v>
      </c>
      <c r="C37" s="13">
        <f t="shared" si="1"/>
        <v>8.0745341614906832E-2</v>
      </c>
      <c r="D37" s="1">
        <v>108</v>
      </c>
      <c r="E37" s="13">
        <f t="shared" si="2"/>
        <v>0.67080745341614911</v>
      </c>
      <c r="F37" s="1">
        <v>35</v>
      </c>
      <c r="G37" s="13">
        <f t="shared" si="3"/>
        <v>0.21739130434782608</v>
      </c>
      <c r="H37" s="1">
        <v>4</v>
      </c>
      <c r="I37" s="13">
        <f t="shared" si="4"/>
        <v>2.4844720496894408E-2</v>
      </c>
      <c r="J37" s="1">
        <v>0</v>
      </c>
      <c r="K37" s="13">
        <f t="shared" si="5"/>
        <v>0</v>
      </c>
      <c r="L37" s="1">
        <v>1</v>
      </c>
      <c r="M37" s="13">
        <f t="shared" si="6"/>
        <v>6.2111801242236021E-3</v>
      </c>
      <c r="N37" s="3">
        <f t="shared" si="0"/>
        <v>161</v>
      </c>
    </row>
    <row r="38" spans="1:14" ht="13.5" customHeight="1" x14ac:dyDescent="0.25">
      <c r="A38" s="5" t="s">
        <v>95</v>
      </c>
      <c r="B38" s="1">
        <v>2</v>
      </c>
      <c r="C38" s="13">
        <f t="shared" si="1"/>
        <v>4.878048780487805E-2</v>
      </c>
      <c r="D38" s="1">
        <v>19</v>
      </c>
      <c r="E38" s="13">
        <f t="shared" si="2"/>
        <v>0.46341463414634149</v>
      </c>
      <c r="F38" s="1">
        <v>17</v>
      </c>
      <c r="G38" s="13">
        <f t="shared" si="3"/>
        <v>0.41463414634146339</v>
      </c>
      <c r="H38" s="1">
        <v>2</v>
      </c>
      <c r="I38" s="13">
        <f t="shared" si="4"/>
        <v>4.878048780487805E-2</v>
      </c>
      <c r="J38" s="1">
        <v>1</v>
      </c>
      <c r="K38" s="13">
        <f t="shared" si="5"/>
        <v>2.4390243902439025E-2</v>
      </c>
      <c r="L38" s="1">
        <v>0</v>
      </c>
      <c r="M38" s="13">
        <f t="shared" si="6"/>
        <v>0</v>
      </c>
      <c r="N38" s="3">
        <f t="shared" si="0"/>
        <v>41</v>
      </c>
    </row>
    <row r="39" spans="1:14" ht="13.5" customHeight="1" x14ac:dyDescent="0.25">
      <c r="A39" s="5" t="s">
        <v>24</v>
      </c>
      <c r="B39" s="1">
        <v>38</v>
      </c>
      <c r="C39" s="13">
        <f t="shared" si="1"/>
        <v>0.27941176470588236</v>
      </c>
      <c r="D39" s="1">
        <v>52</v>
      </c>
      <c r="E39" s="13">
        <f t="shared" si="2"/>
        <v>0.38235294117647056</v>
      </c>
      <c r="F39" s="1">
        <v>25</v>
      </c>
      <c r="G39" s="13">
        <f t="shared" si="3"/>
        <v>0.18382352941176472</v>
      </c>
      <c r="H39" s="1">
        <v>20</v>
      </c>
      <c r="I39" s="13">
        <f t="shared" si="4"/>
        <v>0.14705882352941177</v>
      </c>
      <c r="J39" s="1">
        <v>1</v>
      </c>
      <c r="K39" s="13">
        <f t="shared" si="5"/>
        <v>7.3529411764705881E-3</v>
      </c>
      <c r="L39" s="1">
        <v>0</v>
      </c>
      <c r="M39" s="13">
        <f t="shared" si="6"/>
        <v>0</v>
      </c>
      <c r="N39" s="3">
        <f t="shared" si="0"/>
        <v>136</v>
      </c>
    </row>
    <row r="40" spans="1:14" ht="13.5" customHeight="1" x14ac:dyDescent="0.25">
      <c r="A40" s="5" t="s">
        <v>25</v>
      </c>
      <c r="B40" s="1">
        <v>6</v>
      </c>
      <c r="C40" s="13">
        <f t="shared" si="1"/>
        <v>9.0909090909090912E-2</v>
      </c>
      <c r="D40" s="1">
        <v>15</v>
      </c>
      <c r="E40" s="13">
        <f t="shared" si="2"/>
        <v>0.22727272727272727</v>
      </c>
      <c r="F40" s="1">
        <v>32</v>
      </c>
      <c r="G40" s="13">
        <f t="shared" si="3"/>
        <v>0.48484848484848486</v>
      </c>
      <c r="H40" s="1">
        <v>10</v>
      </c>
      <c r="I40" s="13">
        <f t="shared" si="4"/>
        <v>0.15151515151515152</v>
      </c>
      <c r="J40" s="1">
        <v>3</v>
      </c>
      <c r="K40" s="13">
        <f t="shared" si="5"/>
        <v>4.5454545454545456E-2</v>
      </c>
      <c r="L40" s="1">
        <v>0</v>
      </c>
      <c r="M40" s="13">
        <f t="shared" si="6"/>
        <v>0</v>
      </c>
      <c r="N40" s="3">
        <f t="shared" si="0"/>
        <v>66</v>
      </c>
    </row>
    <row r="41" spans="1:14" ht="13.5" customHeight="1" x14ac:dyDescent="0.25">
      <c r="A41" s="5" t="s">
        <v>74</v>
      </c>
      <c r="B41" s="1">
        <v>4</v>
      </c>
      <c r="C41" s="13">
        <f t="shared" si="1"/>
        <v>1</v>
      </c>
      <c r="D41" s="1">
        <v>0</v>
      </c>
      <c r="E41" s="13">
        <f t="shared" si="2"/>
        <v>0</v>
      </c>
      <c r="F41" s="1">
        <v>0</v>
      </c>
      <c r="G41" s="13">
        <f t="shared" si="3"/>
        <v>0</v>
      </c>
      <c r="H41" s="1">
        <v>0</v>
      </c>
      <c r="I41" s="13">
        <f t="shared" si="4"/>
        <v>0</v>
      </c>
      <c r="J41" s="1">
        <v>0</v>
      </c>
      <c r="K41" s="13">
        <f t="shared" si="5"/>
        <v>0</v>
      </c>
      <c r="L41" s="1">
        <v>0</v>
      </c>
      <c r="M41" s="13">
        <f t="shared" si="6"/>
        <v>0</v>
      </c>
      <c r="N41" s="3">
        <f t="shared" si="0"/>
        <v>4</v>
      </c>
    </row>
    <row r="42" spans="1:14" ht="13.5" customHeight="1" x14ac:dyDescent="0.25">
      <c r="A42" s="5" t="s">
        <v>96</v>
      </c>
      <c r="B42" s="1">
        <v>0</v>
      </c>
      <c r="C42" s="13">
        <f t="shared" si="1"/>
        <v>0</v>
      </c>
      <c r="D42" s="1">
        <v>1</v>
      </c>
      <c r="E42" s="13">
        <f t="shared" si="2"/>
        <v>1</v>
      </c>
      <c r="F42" s="1">
        <v>0</v>
      </c>
      <c r="G42" s="13">
        <f t="shared" si="3"/>
        <v>0</v>
      </c>
      <c r="H42" s="1">
        <v>0</v>
      </c>
      <c r="I42" s="13">
        <f t="shared" si="4"/>
        <v>0</v>
      </c>
      <c r="J42" s="1">
        <v>0</v>
      </c>
      <c r="K42" s="13">
        <f t="shared" si="5"/>
        <v>0</v>
      </c>
      <c r="L42" s="1">
        <v>0</v>
      </c>
      <c r="M42" s="13">
        <f t="shared" si="6"/>
        <v>0</v>
      </c>
      <c r="N42" s="3">
        <f t="shared" si="0"/>
        <v>1</v>
      </c>
    </row>
    <row r="43" spans="1:14" ht="13.5" customHeight="1" x14ac:dyDescent="0.25">
      <c r="A43" s="5" t="s">
        <v>115</v>
      </c>
      <c r="B43" s="1">
        <v>2</v>
      </c>
      <c r="C43" s="13">
        <f t="shared" si="1"/>
        <v>0.16666666666666666</v>
      </c>
      <c r="D43" s="1">
        <v>2</v>
      </c>
      <c r="E43" s="13">
        <f t="shared" si="2"/>
        <v>0.16666666666666666</v>
      </c>
      <c r="F43" s="1">
        <v>5</v>
      </c>
      <c r="G43" s="13">
        <f t="shared" si="3"/>
        <v>0.41666666666666669</v>
      </c>
      <c r="H43" s="1">
        <v>3</v>
      </c>
      <c r="I43" s="13">
        <f t="shared" si="4"/>
        <v>0.25</v>
      </c>
      <c r="J43" s="1">
        <v>0</v>
      </c>
      <c r="K43" s="13">
        <f t="shared" si="5"/>
        <v>0</v>
      </c>
      <c r="L43" s="1">
        <v>0</v>
      </c>
      <c r="M43" s="13">
        <f t="shared" si="6"/>
        <v>0</v>
      </c>
      <c r="N43" s="3">
        <f t="shared" si="0"/>
        <v>12</v>
      </c>
    </row>
    <row r="44" spans="1:14" ht="13.5" customHeight="1" x14ac:dyDescent="0.25">
      <c r="A44" s="5" t="s">
        <v>116</v>
      </c>
      <c r="B44" s="1">
        <v>2</v>
      </c>
      <c r="C44" s="13">
        <f t="shared" si="1"/>
        <v>0.33333333333333331</v>
      </c>
      <c r="D44" s="1">
        <v>4</v>
      </c>
      <c r="E44" s="13">
        <f t="shared" si="2"/>
        <v>0.66666666666666663</v>
      </c>
      <c r="F44" s="1">
        <v>0</v>
      </c>
      <c r="G44" s="13">
        <f t="shared" si="3"/>
        <v>0</v>
      </c>
      <c r="H44" s="1">
        <v>0</v>
      </c>
      <c r="I44" s="13">
        <f t="shared" si="4"/>
        <v>0</v>
      </c>
      <c r="J44" s="1">
        <v>0</v>
      </c>
      <c r="K44" s="13">
        <f t="shared" si="5"/>
        <v>0</v>
      </c>
      <c r="L44" s="1">
        <v>0</v>
      </c>
      <c r="M44" s="13">
        <f t="shared" si="6"/>
        <v>0</v>
      </c>
      <c r="N44" s="3">
        <f t="shared" si="0"/>
        <v>6</v>
      </c>
    </row>
    <row r="45" spans="1:14" ht="13.5" customHeight="1" x14ac:dyDescent="0.25">
      <c r="A45" s="5" t="s">
        <v>26</v>
      </c>
      <c r="B45" s="1">
        <v>4</v>
      </c>
      <c r="C45" s="13">
        <f t="shared" si="1"/>
        <v>0.22222222222222221</v>
      </c>
      <c r="D45" s="1">
        <v>11</v>
      </c>
      <c r="E45" s="13">
        <f t="shared" si="2"/>
        <v>0.61111111111111116</v>
      </c>
      <c r="F45" s="1">
        <v>3</v>
      </c>
      <c r="G45" s="13">
        <f t="shared" si="3"/>
        <v>0.16666666666666666</v>
      </c>
      <c r="H45" s="1">
        <v>0</v>
      </c>
      <c r="I45" s="13">
        <f t="shared" si="4"/>
        <v>0</v>
      </c>
      <c r="J45" s="1">
        <v>0</v>
      </c>
      <c r="K45" s="13">
        <f t="shared" si="5"/>
        <v>0</v>
      </c>
      <c r="L45" s="1">
        <v>0</v>
      </c>
      <c r="M45" s="13">
        <f t="shared" si="6"/>
        <v>0</v>
      </c>
      <c r="N45" s="3">
        <f t="shared" si="0"/>
        <v>18</v>
      </c>
    </row>
    <row r="46" spans="1:14" ht="13.5" customHeight="1" x14ac:dyDescent="0.25">
      <c r="A46" s="5" t="s">
        <v>27</v>
      </c>
      <c r="B46" s="1">
        <v>11</v>
      </c>
      <c r="C46" s="13">
        <f t="shared" si="1"/>
        <v>0.25</v>
      </c>
      <c r="D46" s="1">
        <v>26</v>
      </c>
      <c r="E46" s="13">
        <f t="shared" si="2"/>
        <v>0.59090909090909094</v>
      </c>
      <c r="F46" s="1">
        <v>6</v>
      </c>
      <c r="G46" s="13">
        <f t="shared" si="3"/>
        <v>0.13636363636363635</v>
      </c>
      <c r="H46" s="1">
        <v>1</v>
      </c>
      <c r="I46" s="13">
        <f t="shared" si="4"/>
        <v>2.2727272727272728E-2</v>
      </c>
      <c r="J46" s="1">
        <v>0</v>
      </c>
      <c r="K46" s="13">
        <f t="shared" si="5"/>
        <v>0</v>
      </c>
      <c r="L46" s="1">
        <v>0</v>
      </c>
      <c r="M46" s="13">
        <f t="shared" si="6"/>
        <v>0</v>
      </c>
      <c r="N46" s="3">
        <f t="shared" si="0"/>
        <v>44</v>
      </c>
    </row>
    <row r="47" spans="1:14" ht="13.5" customHeight="1" x14ac:dyDescent="0.25">
      <c r="A47" s="5" t="s">
        <v>28</v>
      </c>
      <c r="B47" s="1">
        <v>5</v>
      </c>
      <c r="C47" s="13">
        <f t="shared" si="1"/>
        <v>0.27777777777777779</v>
      </c>
      <c r="D47" s="1">
        <v>9</v>
      </c>
      <c r="E47" s="13">
        <f t="shared" si="2"/>
        <v>0.5</v>
      </c>
      <c r="F47" s="1">
        <v>3</v>
      </c>
      <c r="G47" s="13">
        <f t="shared" si="3"/>
        <v>0.16666666666666666</v>
      </c>
      <c r="H47" s="1">
        <v>1</v>
      </c>
      <c r="I47" s="13">
        <f t="shared" si="4"/>
        <v>5.5555555555555552E-2</v>
      </c>
      <c r="J47" s="1">
        <v>0</v>
      </c>
      <c r="K47" s="13">
        <f t="shared" si="5"/>
        <v>0</v>
      </c>
      <c r="L47" s="1">
        <v>0</v>
      </c>
      <c r="M47" s="13">
        <f t="shared" si="6"/>
        <v>0</v>
      </c>
      <c r="N47" s="3">
        <f t="shared" si="0"/>
        <v>18</v>
      </c>
    </row>
    <row r="48" spans="1:14" ht="13.5" customHeight="1" x14ac:dyDescent="0.25">
      <c r="A48" s="5" t="s">
        <v>29</v>
      </c>
      <c r="B48" s="1">
        <v>25</v>
      </c>
      <c r="C48" s="13">
        <f t="shared" si="1"/>
        <v>0.24038461538461539</v>
      </c>
      <c r="D48" s="1">
        <v>29</v>
      </c>
      <c r="E48" s="13">
        <f t="shared" si="2"/>
        <v>0.27884615384615385</v>
      </c>
      <c r="F48" s="1">
        <v>34</v>
      </c>
      <c r="G48" s="13">
        <f t="shared" si="3"/>
        <v>0.32692307692307693</v>
      </c>
      <c r="H48" s="1">
        <v>13</v>
      </c>
      <c r="I48" s="13">
        <f t="shared" si="4"/>
        <v>0.125</v>
      </c>
      <c r="J48" s="1">
        <v>3</v>
      </c>
      <c r="K48" s="13">
        <f t="shared" si="5"/>
        <v>2.8846153846153848E-2</v>
      </c>
      <c r="L48" s="1">
        <v>0</v>
      </c>
      <c r="M48" s="13">
        <f t="shared" si="6"/>
        <v>0</v>
      </c>
      <c r="N48" s="3">
        <f t="shared" si="0"/>
        <v>104</v>
      </c>
    </row>
    <row r="49" spans="1:14" ht="13.5" customHeight="1" x14ac:dyDescent="0.25">
      <c r="A49" s="5" t="s">
        <v>30</v>
      </c>
      <c r="B49" s="1">
        <v>6</v>
      </c>
      <c r="C49" s="13">
        <f t="shared" si="1"/>
        <v>0.10344827586206896</v>
      </c>
      <c r="D49" s="1">
        <v>32</v>
      </c>
      <c r="E49" s="13">
        <f t="shared" si="2"/>
        <v>0.55172413793103448</v>
      </c>
      <c r="F49" s="1">
        <v>15</v>
      </c>
      <c r="G49" s="13">
        <f t="shared" si="3"/>
        <v>0.25862068965517243</v>
      </c>
      <c r="H49" s="1">
        <v>4</v>
      </c>
      <c r="I49" s="13">
        <f t="shared" si="4"/>
        <v>6.8965517241379309E-2</v>
      </c>
      <c r="J49" s="1">
        <v>1</v>
      </c>
      <c r="K49" s="13">
        <f t="shared" si="5"/>
        <v>1.7241379310344827E-2</v>
      </c>
      <c r="L49" s="1">
        <v>0</v>
      </c>
      <c r="M49" s="13">
        <f t="shared" si="6"/>
        <v>0</v>
      </c>
      <c r="N49" s="3">
        <f t="shared" si="0"/>
        <v>58</v>
      </c>
    </row>
    <row r="50" spans="1:14" ht="13.5" customHeight="1" x14ac:dyDescent="0.25">
      <c r="A50" s="5" t="s">
        <v>98</v>
      </c>
      <c r="B50" s="1">
        <v>0</v>
      </c>
      <c r="C50" s="13">
        <f t="shared" si="1"/>
        <v>0</v>
      </c>
      <c r="D50" s="1">
        <v>3</v>
      </c>
      <c r="E50" s="13">
        <f t="shared" si="2"/>
        <v>8.8235294117647065E-2</v>
      </c>
      <c r="F50" s="1">
        <v>21</v>
      </c>
      <c r="G50" s="13">
        <f t="shared" si="3"/>
        <v>0.61764705882352944</v>
      </c>
      <c r="H50" s="1">
        <v>10</v>
      </c>
      <c r="I50" s="13">
        <f t="shared" si="4"/>
        <v>0.29411764705882354</v>
      </c>
      <c r="J50" s="1">
        <v>0</v>
      </c>
      <c r="K50" s="13">
        <f t="shared" si="5"/>
        <v>0</v>
      </c>
      <c r="L50" s="1">
        <v>0</v>
      </c>
      <c r="M50" s="13">
        <f t="shared" si="6"/>
        <v>0</v>
      </c>
      <c r="N50" s="3">
        <f t="shared" si="0"/>
        <v>34</v>
      </c>
    </row>
    <row r="51" spans="1:14" ht="13.5" customHeight="1" x14ac:dyDescent="0.25">
      <c r="A51" s="5" t="s">
        <v>99</v>
      </c>
      <c r="B51" s="1">
        <v>0</v>
      </c>
      <c r="C51" s="13">
        <f t="shared" si="1"/>
        <v>0</v>
      </c>
      <c r="D51" s="1">
        <v>0</v>
      </c>
      <c r="E51" s="13">
        <f t="shared" si="2"/>
        <v>0</v>
      </c>
      <c r="F51" s="1">
        <v>1</v>
      </c>
      <c r="G51" s="13">
        <f t="shared" si="3"/>
        <v>1</v>
      </c>
      <c r="H51" s="1">
        <v>0</v>
      </c>
      <c r="I51" s="13">
        <f t="shared" si="4"/>
        <v>0</v>
      </c>
      <c r="J51" s="1">
        <v>0</v>
      </c>
      <c r="K51" s="13">
        <f t="shared" si="5"/>
        <v>0</v>
      </c>
      <c r="L51" s="1">
        <v>0</v>
      </c>
      <c r="M51" s="13">
        <f t="shared" si="6"/>
        <v>0</v>
      </c>
      <c r="N51" s="3">
        <f t="shared" si="0"/>
        <v>1</v>
      </c>
    </row>
    <row r="52" spans="1:14" ht="13.5" customHeight="1" x14ac:dyDescent="0.25">
      <c r="A52" s="5" t="s">
        <v>31</v>
      </c>
      <c r="B52" s="1">
        <v>19</v>
      </c>
      <c r="C52" s="13">
        <f t="shared" si="1"/>
        <v>0.19791666666666666</v>
      </c>
      <c r="D52" s="1">
        <v>70</v>
      </c>
      <c r="E52" s="13">
        <f t="shared" si="2"/>
        <v>0.72916666666666663</v>
      </c>
      <c r="F52" s="1">
        <v>5</v>
      </c>
      <c r="G52" s="13">
        <f t="shared" si="3"/>
        <v>5.2083333333333336E-2</v>
      </c>
      <c r="H52" s="1">
        <v>2</v>
      </c>
      <c r="I52" s="13">
        <f t="shared" si="4"/>
        <v>2.0833333333333332E-2</v>
      </c>
      <c r="J52" s="1">
        <v>0</v>
      </c>
      <c r="K52" s="13">
        <f t="shared" si="5"/>
        <v>0</v>
      </c>
      <c r="L52" s="1">
        <v>0</v>
      </c>
      <c r="M52" s="13">
        <f t="shared" si="6"/>
        <v>0</v>
      </c>
      <c r="N52" s="3">
        <f t="shared" si="0"/>
        <v>96</v>
      </c>
    </row>
    <row r="53" spans="1:14" x14ac:dyDescent="0.25">
      <c r="A53" s="5" t="s">
        <v>32</v>
      </c>
      <c r="B53" s="1">
        <v>0</v>
      </c>
      <c r="C53" s="13">
        <f t="shared" si="1"/>
        <v>0</v>
      </c>
      <c r="D53" s="1">
        <v>4</v>
      </c>
      <c r="E53" s="13">
        <f t="shared" si="2"/>
        <v>0.5</v>
      </c>
      <c r="F53" s="1">
        <v>4</v>
      </c>
      <c r="G53" s="13">
        <f t="shared" si="3"/>
        <v>0.5</v>
      </c>
      <c r="H53" s="1">
        <v>0</v>
      </c>
      <c r="I53" s="13">
        <f t="shared" si="4"/>
        <v>0</v>
      </c>
      <c r="J53" s="1">
        <v>0</v>
      </c>
      <c r="K53" s="13">
        <f t="shared" si="5"/>
        <v>0</v>
      </c>
      <c r="L53" s="1">
        <v>0</v>
      </c>
      <c r="M53" s="13">
        <f t="shared" si="6"/>
        <v>0</v>
      </c>
      <c r="N53" s="3">
        <f t="shared" si="0"/>
        <v>8</v>
      </c>
    </row>
    <row r="54" spans="1:14" x14ac:dyDescent="0.25">
      <c r="A54" s="5" t="s">
        <v>100</v>
      </c>
      <c r="B54" s="1">
        <v>14</v>
      </c>
      <c r="C54" s="13">
        <f t="shared" si="1"/>
        <v>9.7222222222222224E-2</v>
      </c>
      <c r="D54" s="1">
        <v>88</v>
      </c>
      <c r="E54" s="13">
        <f t="shared" si="2"/>
        <v>0.61111111111111116</v>
      </c>
      <c r="F54" s="1">
        <v>41</v>
      </c>
      <c r="G54" s="13">
        <f t="shared" si="3"/>
        <v>0.28472222222222221</v>
      </c>
      <c r="H54" s="1">
        <v>1</v>
      </c>
      <c r="I54" s="13">
        <f t="shared" si="4"/>
        <v>6.9444444444444441E-3</v>
      </c>
      <c r="J54" s="1">
        <v>0</v>
      </c>
      <c r="K54" s="13">
        <f t="shared" si="5"/>
        <v>0</v>
      </c>
      <c r="L54" s="1">
        <v>0</v>
      </c>
      <c r="M54" s="13">
        <f t="shared" si="6"/>
        <v>0</v>
      </c>
      <c r="N54" s="3">
        <f t="shared" si="0"/>
        <v>144</v>
      </c>
    </row>
    <row r="55" spans="1:14" x14ac:dyDescent="0.25">
      <c r="A55" s="5" t="s">
        <v>33</v>
      </c>
      <c r="B55" s="1">
        <v>9</v>
      </c>
      <c r="C55" s="13">
        <f t="shared" si="1"/>
        <v>0.36</v>
      </c>
      <c r="D55" s="1">
        <v>9</v>
      </c>
      <c r="E55" s="13">
        <f t="shared" si="2"/>
        <v>0.36</v>
      </c>
      <c r="F55" s="1">
        <v>6</v>
      </c>
      <c r="G55" s="13">
        <f t="shared" si="3"/>
        <v>0.24</v>
      </c>
      <c r="H55" s="1">
        <v>1</v>
      </c>
      <c r="I55" s="13">
        <f t="shared" si="4"/>
        <v>0.04</v>
      </c>
      <c r="J55" s="1">
        <v>0</v>
      </c>
      <c r="K55" s="13">
        <f t="shared" si="5"/>
        <v>0</v>
      </c>
      <c r="L55" s="1">
        <v>0</v>
      </c>
      <c r="M55" s="13">
        <f t="shared" si="6"/>
        <v>0</v>
      </c>
      <c r="N55" s="3">
        <f t="shared" si="0"/>
        <v>25</v>
      </c>
    </row>
    <row r="56" spans="1:14" x14ac:dyDescent="0.25">
      <c r="A56" s="5" t="s">
        <v>34</v>
      </c>
      <c r="B56" s="1">
        <v>4</v>
      </c>
      <c r="C56" s="13">
        <f t="shared" si="1"/>
        <v>0.18181818181818182</v>
      </c>
      <c r="D56" s="1">
        <v>12</v>
      </c>
      <c r="E56" s="13">
        <f t="shared" si="2"/>
        <v>0.54545454545454541</v>
      </c>
      <c r="F56" s="1">
        <v>3</v>
      </c>
      <c r="G56" s="13">
        <f t="shared" si="3"/>
        <v>0.13636363636363635</v>
      </c>
      <c r="H56" s="1">
        <v>3</v>
      </c>
      <c r="I56" s="13">
        <f t="shared" si="4"/>
        <v>0.13636363636363635</v>
      </c>
      <c r="J56" s="1">
        <v>0</v>
      </c>
      <c r="K56" s="13">
        <f t="shared" si="5"/>
        <v>0</v>
      </c>
      <c r="L56" s="1">
        <v>0</v>
      </c>
      <c r="M56" s="13">
        <f t="shared" si="6"/>
        <v>0</v>
      </c>
      <c r="N56" s="3">
        <f t="shared" si="0"/>
        <v>22</v>
      </c>
    </row>
    <row r="57" spans="1:14" ht="15.75" thickBot="1" x14ac:dyDescent="0.3">
      <c r="A57" s="7" t="s">
        <v>35</v>
      </c>
      <c r="B57" s="8">
        <v>13</v>
      </c>
      <c r="C57" s="14">
        <f t="shared" si="1"/>
        <v>0.24074074074074073</v>
      </c>
      <c r="D57" s="8">
        <v>16</v>
      </c>
      <c r="E57" s="14">
        <f t="shared" si="2"/>
        <v>0.29629629629629628</v>
      </c>
      <c r="F57" s="8">
        <v>14</v>
      </c>
      <c r="G57" s="14">
        <f t="shared" si="3"/>
        <v>0.25925925925925924</v>
      </c>
      <c r="H57" s="8">
        <v>9</v>
      </c>
      <c r="I57" s="14">
        <f t="shared" si="4"/>
        <v>0.16666666666666666</v>
      </c>
      <c r="J57" s="8">
        <v>2</v>
      </c>
      <c r="K57" s="14">
        <f t="shared" si="5"/>
        <v>3.7037037037037035E-2</v>
      </c>
      <c r="L57" s="8">
        <v>0</v>
      </c>
      <c r="M57" s="14">
        <f t="shared" si="6"/>
        <v>0</v>
      </c>
      <c r="N57" s="6">
        <f t="shared" si="0"/>
        <v>54</v>
      </c>
    </row>
    <row r="58" spans="1:14" ht="16.5" thickTop="1" thickBot="1" x14ac:dyDescent="0.3">
      <c r="A58" s="2" t="s">
        <v>41</v>
      </c>
      <c r="B58" s="2">
        <f>SUM(B6:B57)</f>
        <v>541</v>
      </c>
      <c r="C58" s="15">
        <f t="shared" si="1"/>
        <v>0.18817391304347825</v>
      </c>
      <c r="D58" s="2">
        <f>SUM(D6:D57)</f>
        <v>1549</v>
      </c>
      <c r="E58" s="15">
        <f t="shared" si="2"/>
        <v>0.5387826086956522</v>
      </c>
      <c r="F58" s="2">
        <f>SUM(F6:F57)</f>
        <v>601</v>
      </c>
      <c r="G58" s="15">
        <f t="shared" si="3"/>
        <v>0.20904347826086955</v>
      </c>
      <c r="H58" s="2">
        <f>SUM(H6:H57)</f>
        <v>161</v>
      </c>
      <c r="I58" s="15">
        <f t="shared" si="4"/>
        <v>5.6000000000000001E-2</v>
      </c>
      <c r="J58" s="2">
        <f>SUM(J6:J57)</f>
        <v>21</v>
      </c>
      <c r="K58" s="15">
        <f t="shared" si="5"/>
        <v>7.3043478260869567E-3</v>
      </c>
      <c r="L58" s="2">
        <f>SUM(L6:L57)</f>
        <v>2</v>
      </c>
      <c r="M58" s="15">
        <f t="shared" si="6"/>
        <v>6.9565217391304353E-4</v>
      </c>
      <c r="N58" s="4">
        <f>SUM(N6:N57)</f>
        <v>2875</v>
      </c>
    </row>
    <row r="59" spans="1:14" ht="15.75" thickBo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4" x14ac:dyDescent="0.25">
      <c r="A60" s="43" t="s">
        <v>57</v>
      </c>
      <c r="B60" s="35" t="s">
        <v>52</v>
      </c>
      <c r="C60" s="36"/>
      <c r="D60" s="35" t="s">
        <v>53</v>
      </c>
      <c r="E60" s="36"/>
      <c r="F60" s="35" t="s">
        <v>54</v>
      </c>
      <c r="G60" s="36"/>
      <c r="H60" s="35" t="s">
        <v>55</v>
      </c>
      <c r="I60" s="36"/>
      <c r="J60" s="35" t="s">
        <v>45</v>
      </c>
      <c r="K60" s="36"/>
      <c r="L60" s="35" t="s">
        <v>46</v>
      </c>
      <c r="M60" s="36"/>
      <c r="N60" s="39" t="s">
        <v>0</v>
      </c>
    </row>
    <row r="61" spans="1:14" x14ac:dyDescent="0.25">
      <c r="A61" s="44"/>
      <c r="B61" s="37"/>
      <c r="C61" s="38"/>
      <c r="D61" s="37"/>
      <c r="E61" s="38"/>
      <c r="F61" s="37"/>
      <c r="G61" s="38"/>
      <c r="H61" s="37"/>
      <c r="I61" s="38"/>
      <c r="J61" s="37"/>
      <c r="K61" s="38"/>
      <c r="L61" s="37"/>
      <c r="M61" s="38"/>
      <c r="N61" s="40"/>
    </row>
    <row r="62" spans="1:14" x14ac:dyDescent="0.25">
      <c r="A62" s="5" t="s">
        <v>62</v>
      </c>
      <c r="B62" s="1">
        <v>80</v>
      </c>
      <c r="C62" s="13">
        <f t="shared" ref="C62:C70" si="7">B62/N62</f>
        <v>0.19851116625310175</v>
      </c>
      <c r="D62" s="1">
        <v>252</v>
      </c>
      <c r="E62" s="13">
        <f t="shared" ref="E62:E70" si="8">D62/N62</f>
        <v>0.62531017369727049</v>
      </c>
      <c r="F62" s="1">
        <v>62</v>
      </c>
      <c r="G62" s="13">
        <f t="shared" ref="G62:G70" si="9">F62/N62</f>
        <v>0.15384615384615385</v>
      </c>
      <c r="H62" s="1">
        <v>8</v>
      </c>
      <c r="I62" s="13">
        <f t="shared" ref="I62:I70" si="10">H62/N62</f>
        <v>1.9851116625310174E-2</v>
      </c>
      <c r="J62" s="1">
        <v>0</v>
      </c>
      <c r="K62" s="13">
        <f t="shared" ref="K62:K70" si="11">J62/N62</f>
        <v>0</v>
      </c>
      <c r="L62" s="1">
        <v>1</v>
      </c>
      <c r="M62" s="13">
        <f t="shared" ref="M62:M70" si="12">L62/N62</f>
        <v>2.4813895781637717E-3</v>
      </c>
      <c r="N62" s="3">
        <f t="shared" ref="N62:N69" si="13">B62+D62+F62+H62+J62+L62</f>
        <v>403</v>
      </c>
    </row>
    <row r="63" spans="1:14" x14ac:dyDescent="0.25">
      <c r="A63" s="5" t="s">
        <v>63</v>
      </c>
      <c r="B63" s="1">
        <v>16</v>
      </c>
      <c r="C63" s="13">
        <f t="shared" si="7"/>
        <v>0.12598425196850394</v>
      </c>
      <c r="D63" s="1">
        <v>47</v>
      </c>
      <c r="E63" s="13">
        <f t="shared" si="8"/>
        <v>0.37007874015748032</v>
      </c>
      <c r="F63" s="1">
        <v>52</v>
      </c>
      <c r="G63" s="13">
        <f t="shared" si="9"/>
        <v>0.40944881889763779</v>
      </c>
      <c r="H63" s="1">
        <v>11</v>
      </c>
      <c r="I63" s="13">
        <f t="shared" si="10"/>
        <v>8.6614173228346455E-2</v>
      </c>
      <c r="J63" s="1">
        <v>1</v>
      </c>
      <c r="K63" s="13">
        <f t="shared" si="11"/>
        <v>7.874015748031496E-3</v>
      </c>
      <c r="L63" s="1">
        <v>0</v>
      </c>
      <c r="M63" s="13">
        <f t="shared" si="12"/>
        <v>0</v>
      </c>
      <c r="N63" s="3">
        <f t="shared" si="13"/>
        <v>127</v>
      </c>
    </row>
    <row r="64" spans="1:14" x14ac:dyDescent="0.25">
      <c r="A64" s="5" t="s">
        <v>64</v>
      </c>
      <c r="B64" s="1">
        <v>58</v>
      </c>
      <c r="C64" s="13">
        <f t="shared" si="7"/>
        <v>0.18770226537216828</v>
      </c>
      <c r="D64" s="1">
        <v>196</v>
      </c>
      <c r="E64" s="13">
        <f t="shared" si="8"/>
        <v>0.63430420711974111</v>
      </c>
      <c r="F64" s="1">
        <v>45</v>
      </c>
      <c r="G64" s="13">
        <f t="shared" si="9"/>
        <v>0.14563106796116504</v>
      </c>
      <c r="H64" s="1">
        <v>10</v>
      </c>
      <c r="I64" s="13">
        <f t="shared" si="10"/>
        <v>3.2362459546925564E-2</v>
      </c>
      <c r="J64" s="1">
        <v>0</v>
      </c>
      <c r="K64" s="13">
        <f t="shared" si="11"/>
        <v>0</v>
      </c>
      <c r="L64" s="1">
        <v>0</v>
      </c>
      <c r="M64" s="13">
        <f t="shared" si="12"/>
        <v>0</v>
      </c>
      <c r="N64" s="3">
        <f t="shared" si="13"/>
        <v>309</v>
      </c>
    </row>
    <row r="65" spans="1:14" x14ac:dyDescent="0.25">
      <c r="A65" s="5" t="s">
        <v>103</v>
      </c>
      <c r="B65" s="1">
        <v>59</v>
      </c>
      <c r="C65" s="13">
        <f t="shared" si="7"/>
        <v>0.18553459119496854</v>
      </c>
      <c r="D65" s="1">
        <v>97</v>
      </c>
      <c r="E65" s="13">
        <f t="shared" si="8"/>
        <v>0.30503144654088049</v>
      </c>
      <c r="F65" s="1">
        <v>110</v>
      </c>
      <c r="G65" s="13">
        <f t="shared" si="9"/>
        <v>0.34591194968553457</v>
      </c>
      <c r="H65" s="1">
        <v>44</v>
      </c>
      <c r="I65" s="13">
        <f t="shared" si="10"/>
        <v>0.13836477987421383</v>
      </c>
      <c r="J65" s="1">
        <v>8</v>
      </c>
      <c r="K65" s="13">
        <f t="shared" si="11"/>
        <v>2.5157232704402517E-2</v>
      </c>
      <c r="L65" s="1">
        <v>0</v>
      </c>
      <c r="M65" s="13">
        <f t="shared" si="12"/>
        <v>0</v>
      </c>
      <c r="N65" s="3">
        <f t="shared" si="13"/>
        <v>318</v>
      </c>
    </row>
    <row r="66" spans="1:14" x14ac:dyDescent="0.25">
      <c r="A66" s="5" t="s">
        <v>1</v>
      </c>
      <c r="B66" s="1">
        <v>13</v>
      </c>
      <c r="C66" s="13">
        <f t="shared" si="7"/>
        <v>8.0745341614906832E-2</v>
      </c>
      <c r="D66" s="1">
        <v>108</v>
      </c>
      <c r="E66" s="13">
        <f t="shared" si="8"/>
        <v>0.67080745341614911</v>
      </c>
      <c r="F66" s="1">
        <v>35</v>
      </c>
      <c r="G66" s="13">
        <f t="shared" si="9"/>
        <v>0.21739130434782608</v>
      </c>
      <c r="H66" s="1">
        <v>4</v>
      </c>
      <c r="I66" s="13">
        <f t="shared" si="10"/>
        <v>2.4844720496894408E-2</v>
      </c>
      <c r="J66" s="1">
        <v>0</v>
      </c>
      <c r="K66" s="13">
        <f t="shared" si="11"/>
        <v>0</v>
      </c>
      <c r="L66" s="1">
        <v>1</v>
      </c>
      <c r="M66" s="13">
        <f t="shared" si="12"/>
        <v>6.2111801242236021E-3</v>
      </c>
      <c r="N66" s="3">
        <f t="shared" si="13"/>
        <v>161</v>
      </c>
    </row>
    <row r="67" spans="1:14" x14ac:dyDescent="0.25">
      <c r="A67" s="5" t="s">
        <v>66</v>
      </c>
      <c r="B67" s="1">
        <v>74</v>
      </c>
      <c r="C67" s="13">
        <f t="shared" si="7"/>
        <v>0.16157205240174671</v>
      </c>
      <c r="D67" s="1">
        <v>301</v>
      </c>
      <c r="E67" s="13">
        <f t="shared" si="8"/>
        <v>0.65720524017467252</v>
      </c>
      <c r="F67" s="1">
        <v>70</v>
      </c>
      <c r="G67" s="13">
        <f t="shared" si="9"/>
        <v>0.15283842794759825</v>
      </c>
      <c r="H67" s="1">
        <v>11</v>
      </c>
      <c r="I67" s="13">
        <f t="shared" si="10"/>
        <v>2.4017467248908297E-2</v>
      </c>
      <c r="J67" s="1">
        <v>2</v>
      </c>
      <c r="K67" s="13">
        <f t="shared" si="11"/>
        <v>4.3668122270742356E-3</v>
      </c>
      <c r="L67" s="1">
        <v>0</v>
      </c>
      <c r="M67" s="13">
        <f t="shared" si="12"/>
        <v>0</v>
      </c>
      <c r="N67" s="3">
        <f t="shared" si="13"/>
        <v>458</v>
      </c>
    </row>
    <row r="68" spans="1:14" x14ac:dyDescent="0.25">
      <c r="A68" s="5" t="s">
        <v>67</v>
      </c>
      <c r="B68" s="1">
        <v>122</v>
      </c>
      <c r="C68" s="13">
        <f t="shared" si="7"/>
        <v>0.26521739130434785</v>
      </c>
      <c r="D68" s="1">
        <v>157</v>
      </c>
      <c r="E68" s="13">
        <f t="shared" si="8"/>
        <v>0.34130434782608693</v>
      </c>
      <c r="F68" s="1">
        <v>112</v>
      </c>
      <c r="G68" s="13">
        <f t="shared" si="9"/>
        <v>0.24347826086956523</v>
      </c>
      <c r="H68" s="1">
        <v>61</v>
      </c>
      <c r="I68" s="13">
        <f t="shared" si="10"/>
        <v>0.13260869565217392</v>
      </c>
      <c r="J68" s="1">
        <v>8</v>
      </c>
      <c r="K68" s="13">
        <f t="shared" si="11"/>
        <v>1.7391304347826087E-2</v>
      </c>
      <c r="L68" s="1">
        <v>0</v>
      </c>
      <c r="M68" s="13">
        <f t="shared" si="12"/>
        <v>0</v>
      </c>
      <c r="N68" s="3">
        <f t="shared" si="13"/>
        <v>460</v>
      </c>
    </row>
    <row r="69" spans="1:14" ht="15.75" thickBot="1" x14ac:dyDescent="0.3">
      <c r="A69" s="7" t="s">
        <v>68</v>
      </c>
      <c r="B69" s="8">
        <v>119</v>
      </c>
      <c r="C69" s="14">
        <f t="shared" si="7"/>
        <v>0.18622848200312989</v>
      </c>
      <c r="D69" s="8">
        <v>391</v>
      </c>
      <c r="E69" s="14">
        <f t="shared" si="8"/>
        <v>0.61189358372456959</v>
      </c>
      <c r="F69" s="8">
        <v>115</v>
      </c>
      <c r="G69" s="14">
        <f t="shared" si="9"/>
        <v>0.17996870109546165</v>
      </c>
      <c r="H69" s="8">
        <v>12</v>
      </c>
      <c r="I69" s="14">
        <f t="shared" si="10"/>
        <v>1.8779342723004695E-2</v>
      </c>
      <c r="J69" s="8">
        <v>2</v>
      </c>
      <c r="K69" s="14">
        <f t="shared" si="11"/>
        <v>3.1298904538341159E-3</v>
      </c>
      <c r="L69" s="8">
        <v>0</v>
      </c>
      <c r="M69" s="14">
        <f t="shared" si="12"/>
        <v>0</v>
      </c>
      <c r="N69" s="6">
        <f t="shared" si="13"/>
        <v>639</v>
      </c>
    </row>
    <row r="70" spans="1:14" ht="16.5" thickTop="1" thickBot="1" x14ac:dyDescent="0.3">
      <c r="A70" s="2" t="s">
        <v>41</v>
      </c>
      <c r="B70" s="2">
        <f>SUM(B62:B69)</f>
        <v>541</v>
      </c>
      <c r="C70" s="15">
        <f t="shared" si="7"/>
        <v>0.18817391304347825</v>
      </c>
      <c r="D70" s="2">
        <f>SUM(D62:D69)</f>
        <v>1549</v>
      </c>
      <c r="E70" s="15">
        <f t="shared" si="8"/>
        <v>0.5387826086956522</v>
      </c>
      <c r="F70" s="2">
        <f>SUM(F62:F69)</f>
        <v>601</v>
      </c>
      <c r="G70" s="15">
        <f t="shared" si="9"/>
        <v>0.20904347826086955</v>
      </c>
      <c r="H70" s="2">
        <f>SUM(H62:H69)</f>
        <v>161</v>
      </c>
      <c r="I70" s="15">
        <f t="shared" si="10"/>
        <v>5.6000000000000001E-2</v>
      </c>
      <c r="J70" s="2">
        <f>SUM(J62:J69)</f>
        <v>21</v>
      </c>
      <c r="K70" s="15">
        <f t="shared" si="11"/>
        <v>7.3043478260869567E-3</v>
      </c>
      <c r="L70" s="2">
        <f>SUM(L62:L69)</f>
        <v>2</v>
      </c>
      <c r="M70" s="15">
        <f t="shared" si="12"/>
        <v>6.9565217391304353E-4</v>
      </c>
      <c r="N70" s="4">
        <f>SUM(N62:N69)</f>
        <v>2875</v>
      </c>
    </row>
    <row r="73" spans="1:14" x14ac:dyDescent="0.25">
      <c r="A73" s="12" t="s">
        <v>58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4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4" ht="15.75" thickBot="1" x14ac:dyDescent="0.3">
      <c r="A75" s="12"/>
      <c r="D75" s="21"/>
      <c r="E75" s="21"/>
      <c r="F75" s="12"/>
      <c r="G75" s="12"/>
      <c r="H75" s="12"/>
      <c r="I75" s="12"/>
      <c r="J75" s="12"/>
      <c r="K75" s="12"/>
      <c r="L75" s="12"/>
      <c r="M75" s="12"/>
    </row>
    <row r="76" spans="1:14" ht="30" customHeight="1" x14ac:dyDescent="0.25">
      <c r="A76" s="26"/>
      <c r="B76" s="41" t="s">
        <v>79</v>
      </c>
      <c r="C76" s="42"/>
      <c r="D76" s="21"/>
      <c r="E76" s="21"/>
      <c r="F76" s="12"/>
      <c r="G76" s="12"/>
      <c r="H76" s="12"/>
      <c r="I76" s="12"/>
      <c r="J76" s="12"/>
      <c r="K76" s="12"/>
      <c r="L76" s="12"/>
      <c r="M76" s="12"/>
    </row>
    <row r="77" spans="1:14" ht="15.75" thickBot="1" x14ac:dyDescent="0.3">
      <c r="A77" s="24" t="s">
        <v>78</v>
      </c>
      <c r="B77" s="32" t="s">
        <v>113</v>
      </c>
      <c r="C77" s="33"/>
      <c r="F77" s="12"/>
      <c r="G77" s="12"/>
      <c r="H77" s="12"/>
      <c r="I77" s="12"/>
      <c r="J77" s="12"/>
      <c r="K77" s="12"/>
      <c r="L77" s="12"/>
      <c r="M77" s="12"/>
    </row>
    <row r="78" spans="1:14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4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4" x14ac:dyDescent="0.25">
      <c r="A80" s="34" t="s">
        <v>114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</sheetData>
  <mergeCells count="18">
    <mergeCell ref="A80:M80"/>
    <mergeCell ref="L60:M61"/>
    <mergeCell ref="N60:N61"/>
    <mergeCell ref="B76:C76"/>
    <mergeCell ref="B77:C77"/>
    <mergeCell ref="A60:A61"/>
    <mergeCell ref="B60:C61"/>
    <mergeCell ref="D60:E61"/>
    <mergeCell ref="F60:G61"/>
    <mergeCell ref="H60:I61"/>
    <mergeCell ref="J60:K61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79"/>
  <sheetViews>
    <sheetView tabSelected="1" view="pageLayout" zoomScale="55" zoomScaleNormal="100" zoomScalePageLayoutView="55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">
        <v>157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 t="s">
        <v>4</v>
      </c>
      <c r="B6" s="1">
        <v>9</v>
      </c>
      <c r="C6" s="13">
        <f>B6/N6</f>
        <v>0.2</v>
      </c>
      <c r="D6" s="1">
        <v>32</v>
      </c>
      <c r="E6" s="13">
        <f>D6/N6</f>
        <v>0.71111111111111114</v>
      </c>
      <c r="F6" s="1">
        <v>4</v>
      </c>
      <c r="G6" s="13">
        <f>F6/N6</f>
        <v>8.8888888888888892E-2</v>
      </c>
      <c r="H6" s="1">
        <v>0</v>
      </c>
      <c r="I6" s="13">
        <f>H6/N6</f>
        <v>0</v>
      </c>
      <c r="J6" s="1">
        <v>0</v>
      </c>
      <c r="K6" s="13">
        <f>J6/N6</f>
        <v>0</v>
      </c>
      <c r="L6" s="1">
        <v>0</v>
      </c>
      <c r="M6" s="13">
        <f>L6/N6</f>
        <v>0</v>
      </c>
      <c r="N6" s="3">
        <f t="shared" ref="N6:N56" si="0">B6+D6+F6+H6+J6+L6</f>
        <v>45</v>
      </c>
    </row>
    <row r="7" spans="1:14" ht="13.5" customHeight="1" x14ac:dyDescent="0.25">
      <c r="A7" s="5" t="s">
        <v>5</v>
      </c>
      <c r="B7" s="1">
        <v>8</v>
      </c>
      <c r="C7" s="13">
        <f>B7/N7</f>
        <v>0.14545454545454545</v>
      </c>
      <c r="D7" s="1">
        <v>37</v>
      </c>
      <c r="E7" s="13">
        <f>D7/N7</f>
        <v>0.67272727272727273</v>
      </c>
      <c r="F7" s="1">
        <v>9</v>
      </c>
      <c r="G7" s="13">
        <f>F7/N7</f>
        <v>0.16363636363636364</v>
      </c>
      <c r="H7" s="1">
        <v>1</v>
      </c>
      <c r="I7" s="13">
        <f>H7/N7</f>
        <v>1.8181818181818181E-2</v>
      </c>
      <c r="J7" s="1">
        <v>0</v>
      </c>
      <c r="K7" s="13">
        <f>J7/N7</f>
        <v>0</v>
      </c>
      <c r="L7" s="1">
        <v>0</v>
      </c>
      <c r="M7" s="13">
        <f>L7/N7</f>
        <v>0</v>
      </c>
      <c r="N7" s="3">
        <f>B7+D7+F7+H7+J7+L7</f>
        <v>55</v>
      </c>
    </row>
    <row r="8" spans="1:14" ht="13.5" customHeight="1" x14ac:dyDescent="0.25">
      <c r="A8" s="5" t="s">
        <v>6</v>
      </c>
      <c r="B8" s="1">
        <v>15</v>
      </c>
      <c r="C8" s="13">
        <f>B8/N8</f>
        <v>0.23076923076923078</v>
      </c>
      <c r="D8" s="1">
        <v>48</v>
      </c>
      <c r="E8" s="13">
        <f>D8/N8</f>
        <v>0.7384615384615385</v>
      </c>
      <c r="F8" s="1">
        <v>2</v>
      </c>
      <c r="G8" s="13">
        <f>F8/N8</f>
        <v>3.0769230769230771E-2</v>
      </c>
      <c r="H8" s="1">
        <v>0</v>
      </c>
      <c r="I8" s="13">
        <f>H8/N8</f>
        <v>0</v>
      </c>
      <c r="J8" s="1">
        <v>0</v>
      </c>
      <c r="K8" s="13">
        <f>J8/N8</f>
        <v>0</v>
      </c>
      <c r="L8" s="1">
        <v>0</v>
      </c>
      <c r="M8" s="13">
        <f>L8/N8</f>
        <v>0</v>
      </c>
      <c r="N8" s="3">
        <f>B8+D8+F8+H8+J8+L8</f>
        <v>65</v>
      </c>
    </row>
    <row r="9" spans="1:14" ht="13.5" customHeight="1" x14ac:dyDescent="0.25">
      <c r="A9" s="5" t="s">
        <v>93</v>
      </c>
      <c r="B9" s="1">
        <v>7</v>
      </c>
      <c r="C9" s="13">
        <f t="shared" ref="C9:C57" si="1">B9/N9</f>
        <v>7.5268817204301078E-2</v>
      </c>
      <c r="D9" s="1">
        <v>46</v>
      </c>
      <c r="E9" s="13">
        <f t="shared" ref="E9:E57" si="2">D9/N9</f>
        <v>0.4946236559139785</v>
      </c>
      <c r="F9" s="1">
        <v>32</v>
      </c>
      <c r="G9" s="13">
        <f t="shared" ref="G9:G57" si="3">F9/N9</f>
        <v>0.34408602150537637</v>
      </c>
      <c r="H9" s="1">
        <v>7</v>
      </c>
      <c r="I9" s="13">
        <f t="shared" ref="I9:I57" si="4">H9/N9</f>
        <v>7.5268817204301078E-2</v>
      </c>
      <c r="J9" s="1">
        <v>1</v>
      </c>
      <c r="K9" s="13">
        <f t="shared" ref="K9:K57" si="5">J9/N9</f>
        <v>1.0752688172043012E-2</v>
      </c>
      <c r="L9" s="1">
        <v>0</v>
      </c>
      <c r="M9" s="13">
        <f t="shared" ref="M9:M57" si="6">L9/N9</f>
        <v>0</v>
      </c>
      <c r="N9" s="3">
        <f t="shared" si="0"/>
        <v>93</v>
      </c>
    </row>
    <row r="10" spans="1:14" ht="13.5" customHeight="1" x14ac:dyDescent="0.25">
      <c r="A10" s="5" t="s">
        <v>70</v>
      </c>
      <c r="B10" s="1">
        <v>8</v>
      </c>
      <c r="C10" s="13">
        <f t="shared" si="1"/>
        <v>0.29629629629629628</v>
      </c>
      <c r="D10" s="1">
        <v>14</v>
      </c>
      <c r="E10" s="13">
        <f t="shared" si="2"/>
        <v>0.51851851851851849</v>
      </c>
      <c r="F10" s="1">
        <v>5</v>
      </c>
      <c r="G10" s="13">
        <f t="shared" si="3"/>
        <v>0.18518518518518517</v>
      </c>
      <c r="H10" s="1">
        <v>0</v>
      </c>
      <c r="I10" s="13">
        <f t="shared" si="4"/>
        <v>0</v>
      </c>
      <c r="J10" s="1">
        <v>0</v>
      </c>
      <c r="K10" s="13">
        <f t="shared" si="5"/>
        <v>0</v>
      </c>
      <c r="L10" s="1">
        <v>0</v>
      </c>
      <c r="M10" s="13">
        <f t="shared" si="6"/>
        <v>0</v>
      </c>
      <c r="N10" s="3">
        <f t="shared" si="0"/>
        <v>27</v>
      </c>
    </row>
    <row r="11" spans="1:14" ht="13.5" customHeight="1" x14ac:dyDescent="0.25">
      <c r="A11" s="5" t="s">
        <v>7</v>
      </c>
      <c r="B11" s="1">
        <v>13</v>
      </c>
      <c r="C11" s="13">
        <f t="shared" si="1"/>
        <v>0.24528301886792453</v>
      </c>
      <c r="D11" s="1">
        <v>17</v>
      </c>
      <c r="E11" s="13">
        <f t="shared" si="2"/>
        <v>0.32075471698113206</v>
      </c>
      <c r="F11" s="1">
        <v>19</v>
      </c>
      <c r="G11" s="13">
        <f t="shared" si="3"/>
        <v>0.35849056603773582</v>
      </c>
      <c r="H11" s="1">
        <v>2</v>
      </c>
      <c r="I11" s="13">
        <f t="shared" si="4"/>
        <v>3.7735849056603772E-2</v>
      </c>
      <c r="J11" s="1">
        <v>2</v>
      </c>
      <c r="K11" s="13">
        <f t="shared" si="5"/>
        <v>3.7735849056603772E-2</v>
      </c>
      <c r="L11" s="1">
        <v>0</v>
      </c>
      <c r="M11" s="13">
        <f t="shared" si="6"/>
        <v>0</v>
      </c>
      <c r="N11" s="3">
        <f t="shared" si="0"/>
        <v>53</v>
      </c>
    </row>
    <row r="12" spans="1:14" ht="13.5" customHeight="1" x14ac:dyDescent="0.25">
      <c r="A12" s="5" t="s">
        <v>8</v>
      </c>
      <c r="B12" s="1">
        <v>19</v>
      </c>
      <c r="C12" s="13">
        <f t="shared" si="1"/>
        <v>0.21590909090909091</v>
      </c>
      <c r="D12" s="1">
        <v>44</v>
      </c>
      <c r="E12" s="13">
        <f t="shared" si="2"/>
        <v>0.5</v>
      </c>
      <c r="F12" s="1">
        <v>23</v>
      </c>
      <c r="G12" s="13">
        <f t="shared" si="3"/>
        <v>0.26136363636363635</v>
      </c>
      <c r="H12" s="1">
        <v>2</v>
      </c>
      <c r="I12" s="13">
        <f t="shared" si="4"/>
        <v>2.2727272727272728E-2</v>
      </c>
      <c r="J12" s="1">
        <v>0</v>
      </c>
      <c r="K12" s="13">
        <f t="shared" si="5"/>
        <v>0</v>
      </c>
      <c r="L12" s="1">
        <v>0</v>
      </c>
      <c r="M12" s="13">
        <f t="shared" si="6"/>
        <v>0</v>
      </c>
      <c r="N12" s="3">
        <f t="shared" si="0"/>
        <v>88</v>
      </c>
    </row>
    <row r="13" spans="1:14" ht="13.5" customHeight="1" x14ac:dyDescent="0.25">
      <c r="A13" s="5" t="s">
        <v>71</v>
      </c>
      <c r="B13" s="1">
        <v>1</v>
      </c>
      <c r="C13" s="13">
        <f t="shared" si="1"/>
        <v>7.6923076923076927E-2</v>
      </c>
      <c r="D13" s="1">
        <v>8</v>
      </c>
      <c r="E13" s="13">
        <f t="shared" si="2"/>
        <v>0.61538461538461542</v>
      </c>
      <c r="F13" s="1">
        <v>2</v>
      </c>
      <c r="G13" s="13">
        <f t="shared" si="3"/>
        <v>0.15384615384615385</v>
      </c>
      <c r="H13" s="1">
        <v>1</v>
      </c>
      <c r="I13" s="13">
        <f t="shared" si="4"/>
        <v>7.6923076923076927E-2</v>
      </c>
      <c r="J13" s="1">
        <v>1</v>
      </c>
      <c r="K13" s="13">
        <f t="shared" si="5"/>
        <v>7.6923076923076927E-2</v>
      </c>
      <c r="L13" s="1">
        <v>0</v>
      </c>
      <c r="M13" s="13">
        <f t="shared" si="6"/>
        <v>0</v>
      </c>
      <c r="N13" s="3">
        <f t="shared" si="0"/>
        <v>13</v>
      </c>
    </row>
    <row r="14" spans="1:14" ht="13.5" customHeight="1" x14ac:dyDescent="0.25">
      <c r="A14" s="5" t="s">
        <v>10</v>
      </c>
      <c r="B14" s="1">
        <v>16</v>
      </c>
      <c r="C14" s="13">
        <f t="shared" si="1"/>
        <v>0.21621621621621623</v>
      </c>
      <c r="D14" s="1">
        <v>24</v>
      </c>
      <c r="E14" s="13">
        <f t="shared" si="2"/>
        <v>0.32432432432432434</v>
      </c>
      <c r="F14" s="1">
        <v>18</v>
      </c>
      <c r="G14" s="13">
        <f t="shared" si="3"/>
        <v>0.24324324324324326</v>
      </c>
      <c r="H14" s="1">
        <v>12</v>
      </c>
      <c r="I14" s="13">
        <f t="shared" si="4"/>
        <v>0.16216216216216217</v>
      </c>
      <c r="J14" s="1">
        <v>4</v>
      </c>
      <c r="K14" s="13">
        <f t="shared" si="5"/>
        <v>5.4054054054054057E-2</v>
      </c>
      <c r="L14" s="1">
        <v>0</v>
      </c>
      <c r="M14" s="13">
        <f t="shared" si="6"/>
        <v>0</v>
      </c>
      <c r="N14" s="3">
        <f t="shared" si="0"/>
        <v>74</v>
      </c>
    </row>
    <row r="15" spans="1:14" ht="13.5" customHeight="1" x14ac:dyDescent="0.25">
      <c r="A15" s="5" t="s">
        <v>104</v>
      </c>
      <c r="B15" s="1">
        <v>2</v>
      </c>
      <c r="C15" s="13">
        <f t="shared" si="1"/>
        <v>0.18181818181818182</v>
      </c>
      <c r="D15" s="1">
        <v>8</v>
      </c>
      <c r="E15" s="13">
        <f t="shared" si="2"/>
        <v>0.72727272727272729</v>
      </c>
      <c r="F15" s="1">
        <v>1</v>
      </c>
      <c r="G15" s="13">
        <f t="shared" si="3"/>
        <v>9.0909090909090912E-2</v>
      </c>
      <c r="H15" s="1">
        <v>0</v>
      </c>
      <c r="I15" s="13">
        <f t="shared" si="4"/>
        <v>0</v>
      </c>
      <c r="J15" s="1">
        <v>0</v>
      </c>
      <c r="K15" s="13">
        <f t="shared" si="5"/>
        <v>0</v>
      </c>
      <c r="L15" s="1">
        <v>0</v>
      </c>
      <c r="M15" s="13">
        <f t="shared" si="6"/>
        <v>0</v>
      </c>
      <c r="N15" s="3">
        <f t="shared" si="0"/>
        <v>11</v>
      </c>
    </row>
    <row r="16" spans="1:14" ht="13.5" customHeight="1" x14ac:dyDescent="0.25">
      <c r="A16" s="5" t="s">
        <v>11</v>
      </c>
      <c r="B16" s="1">
        <v>1</v>
      </c>
      <c r="C16" s="13">
        <f t="shared" si="1"/>
        <v>1.8867924528301886E-2</v>
      </c>
      <c r="D16" s="1">
        <v>11</v>
      </c>
      <c r="E16" s="13">
        <f t="shared" si="2"/>
        <v>0.20754716981132076</v>
      </c>
      <c r="F16" s="1">
        <v>22</v>
      </c>
      <c r="G16" s="13">
        <f t="shared" si="3"/>
        <v>0.41509433962264153</v>
      </c>
      <c r="H16" s="1">
        <v>18</v>
      </c>
      <c r="I16" s="13">
        <f t="shared" si="4"/>
        <v>0.33962264150943394</v>
      </c>
      <c r="J16" s="1">
        <v>1</v>
      </c>
      <c r="K16" s="13">
        <f t="shared" si="5"/>
        <v>1.8867924528301886E-2</v>
      </c>
      <c r="L16" s="1">
        <v>0</v>
      </c>
      <c r="M16" s="13">
        <f t="shared" si="6"/>
        <v>0</v>
      </c>
      <c r="N16" s="3">
        <f t="shared" si="0"/>
        <v>53</v>
      </c>
    </row>
    <row r="17" spans="1:14" ht="13.5" customHeight="1" x14ac:dyDescent="0.25">
      <c r="A17" s="5" t="s">
        <v>42</v>
      </c>
      <c r="B17" s="1">
        <v>62</v>
      </c>
      <c r="C17" s="13">
        <f t="shared" si="1"/>
        <v>0.23664122137404581</v>
      </c>
      <c r="D17" s="1">
        <v>178</v>
      </c>
      <c r="E17" s="13">
        <f t="shared" si="2"/>
        <v>0.67938931297709926</v>
      </c>
      <c r="F17" s="1">
        <v>19</v>
      </c>
      <c r="G17" s="13">
        <f t="shared" si="3"/>
        <v>7.2519083969465645E-2</v>
      </c>
      <c r="H17" s="1">
        <v>3</v>
      </c>
      <c r="I17" s="13">
        <f t="shared" si="4"/>
        <v>1.1450381679389313E-2</v>
      </c>
      <c r="J17" s="1">
        <v>0</v>
      </c>
      <c r="K17" s="13">
        <f t="shared" si="5"/>
        <v>0</v>
      </c>
      <c r="L17" s="1">
        <v>0</v>
      </c>
      <c r="M17" s="13">
        <f t="shared" si="6"/>
        <v>0</v>
      </c>
      <c r="N17" s="3">
        <f t="shared" si="0"/>
        <v>262</v>
      </c>
    </row>
    <row r="18" spans="1:14" ht="13.5" customHeight="1" x14ac:dyDescent="0.25">
      <c r="A18" s="5" t="s">
        <v>12</v>
      </c>
      <c r="B18" s="1">
        <v>10</v>
      </c>
      <c r="C18" s="13">
        <f t="shared" si="1"/>
        <v>0.15625</v>
      </c>
      <c r="D18" s="1">
        <v>34</v>
      </c>
      <c r="E18" s="13">
        <f t="shared" si="2"/>
        <v>0.53125</v>
      </c>
      <c r="F18" s="1">
        <v>17</v>
      </c>
      <c r="G18" s="13">
        <f t="shared" si="3"/>
        <v>0.265625</v>
      </c>
      <c r="H18" s="1">
        <v>3</v>
      </c>
      <c r="I18" s="13">
        <f t="shared" si="4"/>
        <v>4.6875E-2</v>
      </c>
      <c r="J18" s="1">
        <v>0</v>
      </c>
      <c r="K18" s="13">
        <f t="shared" si="5"/>
        <v>0</v>
      </c>
      <c r="L18" s="1">
        <v>0</v>
      </c>
      <c r="M18" s="13">
        <f t="shared" si="6"/>
        <v>0</v>
      </c>
      <c r="N18" s="3">
        <f t="shared" si="0"/>
        <v>64</v>
      </c>
    </row>
    <row r="19" spans="1:14" ht="13.5" customHeight="1" x14ac:dyDescent="0.25">
      <c r="A19" s="5" t="s">
        <v>13</v>
      </c>
      <c r="B19" s="1">
        <v>0</v>
      </c>
      <c r="C19" s="13">
        <f t="shared" si="1"/>
        <v>0</v>
      </c>
      <c r="D19" s="1">
        <v>3</v>
      </c>
      <c r="E19" s="13">
        <f t="shared" si="2"/>
        <v>0.75</v>
      </c>
      <c r="F19" s="1">
        <v>1</v>
      </c>
      <c r="G19" s="13">
        <f t="shared" si="3"/>
        <v>0.25</v>
      </c>
      <c r="H19" s="1">
        <v>0</v>
      </c>
      <c r="I19" s="13">
        <f t="shared" si="4"/>
        <v>0</v>
      </c>
      <c r="J19" s="1">
        <v>0</v>
      </c>
      <c r="K19" s="13">
        <f t="shared" si="5"/>
        <v>0</v>
      </c>
      <c r="L19" s="1">
        <v>0</v>
      </c>
      <c r="M19" s="13">
        <f t="shared" si="6"/>
        <v>0</v>
      </c>
      <c r="N19" s="3">
        <f t="shared" si="0"/>
        <v>4</v>
      </c>
    </row>
    <row r="20" spans="1:14" ht="13.5" customHeight="1" x14ac:dyDescent="0.25">
      <c r="A20" s="5" t="s">
        <v>105</v>
      </c>
      <c r="B20" s="1">
        <v>8</v>
      </c>
      <c r="C20" s="13">
        <f t="shared" si="1"/>
        <v>0.25</v>
      </c>
      <c r="D20" s="1">
        <v>15</v>
      </c>
      <c r="E20" s="13">
        <f t="shared" si="2"/>
        <v>0.46875</v>
      </c>
      <c r="F20" s="1">
        <v>6</v>
      </c>
      <c r="G20" s="13">
        <f t="shared" si="3"/>
        <v>0.1875</v>
      </c>
      <c r="H20" s="1">
        <v>1</v>
      </c>
      <c r="I20" s="13">
        <f t="shared" si="4"/>
        <v>3.125E-2</v>
      </c>
      <c r="J20" s="1">
        <v>2</v>
      </c>
      <c r="K20" s="13">
        <f t="shared" si="5"/>
        <v>6.25E-2</v>
      </c>
      <c r="L20" s="1">
        <v>0</v>
      </c>
      <c r="M20" s="13">
        <f t="shared" si="6"/>
        <v>0</v>
      </c>
      <c r="N20" s="3">
        <f t="shared" si="0"/>
        <v>32</v>
      </c>
    </row>
    <row r="21" spans="1:14" ht="13.5" customHeight="1" x14ac:dyDescent="0.25">
      <c r="A21" s="5" t="s">
        <v>14</v>
      </c>
      <c r="B21" s="1">
        <v>46</v>
      </c>
      <c r="C21" s="13">
        <f t="shared" si="1"/>
        <v>0.28749999999999998</v>
      </c>
      <c r="D21" s="1">
        <v>66</v>
      </c>
      <c r="E21" s="13">
        <f t="shared" si="2"/>
        <v>0.41249999999999998</v>
      </c>
      <c r="F21" s="1">
        <v>38</v>
      </c>
      <c r="G21" s="13">
        <f t="shared" si="3"/>
        <v>0.23749999999999999</v>
      </c>
      <c r="H21" s="1">
        <v>8</v>
      </c>
      <c r="I21" s="13">
        <f t="shared" si="4"/>
        <v>0.05</v>
      </c>
      <c r="J21" s="1">
        <v>2</v>
      </c>
      <c r="K21" s="13">
        <f t="shared" si="5"/>
        <v>1.2500000000000001E-2</v>
      </c>
      <c r="L21" s="1">
        <v>0</v>
      </c>
      <c r="M21" s="13">
        <f t="shared" si="6"/>
        <v>0</v>
      </c>
      <c r="N21" s="3">
        <f t="shared" si="0"/>
        <v>160</v>
      </c>
    </row>
    <row r="22" spans="1:14" ht="13.5" customHeight="1" x14ac:dyDescent="0.25">
      <c r="A22" s="5" t="s">
        <v>15</v>
      </c>
      <c r="B22" s="1">
        <v>17</v>
      </c>
      <c r="C22" s="13">
        <f t="shared" si="1"/>
        <v>0.2361111111111111</v>
      </c>
      <c r="D22" s="1">
        <v>24</v>
      </c>
      <c r="E22" s="13">
        <f t="shared" si="2"/>
        <v>0.33333333333333331</v>
      </c>
      <c r="F22" s="1">
        <v>23</v>
      </c>
      <c r="G22" s="13">
        <f t="shared" si="3"/>
        <v>0.31944444444444442</v>
      </c>
      <c r="H22" s="1">
        <v>7</v>
      </c>
      <c r="I22" s="13">
        <f t="shared" si="4"/>
        <v>9.7222222222222224E-2</v>
      </c>
      <c r="J22" s="1">
        <v>1</v>
      </c>
      <c r="K22" s="13">
        <f t="shared" si="5"/>
        <v>1.3888888888888888E-2</v>
      </c>
      <c r="L22" s="1">
        <v>0</v>
      </c>
      <c r="M22" s="13">
        <f t="shared" si="6"/>
        <v>0</v>
      </c>
      <c r="N22" s="3">
        <f t="shared" si="0"/>
        <v>72</v>
      </c>
    </row>
    <row r="23" spans="1:14" ht="13.5" customHeight="1" x14ac:dyDescent="0.25">
      <c r="A23" s="5" t="s">
        <v>16</v>
      </c>
      <c r="B23" s="1">
        <v>17</v>
      </c>
      <c r="C23" s="13">
        <f t="shared" si="1"/>
        <v>0.20481927710843373</v>
      </c>
      <c r="D23" s="1">
        <v>61</v>
      </c>
      <c r="E23" s="13">
        <f t="shared" si="2"/>
        <v>0.73493975903614461</v>
      </c>
      <c r="F23" s="1">
        <v>4</v>
      </c>
      <c r="G23" s="13">
        <f t="shared" si="3"/>
        <v>4.8192771084337352E-2</v>
      </c>
      <c r="H23" s="1">
        <v>1</v>
      </c>
      <c r="I23" s="13">
        <f t="shared" si="4"/>
        <v>1.2048192771084338E-2</v>
      </c>
      <c r="J23" s="1">
        <v>0</v>
      </c>
      <c r="K23" s="13">
        <f t="shared" si="5"/>
        <v>0</v>
      </c>
      <c r="L23" s="1">
        <v>0</v>
      </c>
      <c r="M23" s="13">
        <f t="shared" si="6"/>
        <v>0</v>
      </c>
      <c r="N23" s="3">
        <f t="shared" si="0"/>
        <v>83</v>
      </c>
    </row>
    <row r="24" spans="1:14" ht="13.5" customHeight="1" x14ac:dyDescent="0.25">
      <c r="A24" s="5" t="s">
        <v>109</v>
      </c>
      <c r="B24" s="1">
        <v>10</v>
      </c>
      <c r="C24" s="13">
        <f t="shared" si="1"/>
        <v>0.24390243902439024</v>
      </c>
      <c r="D24" s="1">
        <v>29</v>
      </c>
      <c r="E24" s="13">
        <f t="shared" si="2"/>
        <v>0.70731707317073167</v>
      </c>
      <c r="F24" s="1">
        <v>2</v>
      </c>
      <c r="G24" s="13">
        <f t="shared" si="3"/>
        <v>4.878048780487805E-2</v>
      </c>
      <c r="H24" s="1">
        <v>0</v>
      </c>
      <c r="I24" s="13">
        <f t="shared" si="4"/>
        <v>0</v>
      </c>
      <c r="J24" s="1">
        <v>0</v>
      </c>
      <c r="K24" s="13">
        <f t="shared" si="5"/>
        <v>0</v>
      </c>
      <c r="L24" s="1">
        <v>0</v>
      </c>
      <c r="M24" s="13">
        <f t="shared" si="6"/>
        <v>0</v>
      </c>
      <c r="N24" s="3">
        <f t="shared" si="0"/>
        <v>41</v>
      </c>
    </row>
    <row r="25" spans="1:14" ht="13.5" customHeight="1" x14ac:dyDescent="0.25">
      <c r="A25" s="5" t="s">
        <v>17</v>
      </c>
      <c r="B25" s="1">
        <v>8</v>
      </c>
      <c r="C25" s="13">
        <f t="shared" si="1"/>
        <v>0.26666666666666666</v>
      </c>
      <c r="D25" s="1">
        <v>17</v>
      </c>
      <c r="E25" s="13">
        <f t="shared" si="2"/>
        <v>0.56666666666666665</v>
      </c>
      <c r="F25" s="1">
        <v>5</v>
      </c>
      <c r="G25" s="13">
        <f t="shared" si="3"/>
        <v>0.16666666666666666</v>
      </c>
      <c r="H25" s="1">
        <v>0</v>
      </c>
      <c r="I25" s="13">
        <f t="shared" si="4"/>
        <v>0</v>
      </c>
      <c r="J25" s="1">
        <v>0</v>
      </c>
      <c r="K25" s="13">
        <f t="shared" si="5"/>
        <v>0</v>
      </c>
      <c r="L25" s="1">
        <v>0</v>
      </c>
      <c r="M25" s="13">
        <f t="shared" si="6"/>
        <v>0</v>
      </c>
      <c r="N25" s="3">
        <f t="shared" si="0"/>
        <v>30</v>
      </c>
    </row>
    <row r="26" spans="1:14" ht="13.5" customHeight="1" x14ac:dyDescent="0.25">
      <c r="A26" s="5" t="s">
        <v>18</v>
      </c>
      <c r="B26" s="1">
        <v>5</v>
      </c>
      <c r="C26" s="13">
        <f t="shared" si="1"/>
        <v>0.10638297872340426</v>
      </c>
      <c r="D26" s="1">
        <v>29</v>
      </c>
      <c r="E26" s="13">
        <f t="shared" si="2"/>
        <v>0.61702127659574468</v>
      </c>
      <c r="F26" s="1">
        <v>13</v>
      </c>
      <c r="G26" s="13">
        <f t="shared" si="3"/>
        <v>0.27659574468085107</v>
      </c>
      <c r="H26" s="1">
        <v>0</v>
      </c>
      <c r="I26" s="13">
        <f t="shared" si="4"/>
        <v>0</v>
      </c>
      <c r="J26" s="1">
        <v>0</v>
      </c>
      <c r="K26" s="13">
        <f t="shared" si="5"/>
        <v>0</v>
      </c>
      <c r="L26" s="1">
        <v>0</v>
      </c>
      <c r="M26" s="13">
        <f t="shared" si="6"/>
        <v>0</v>
      </c>
      <c r="N26" s="3">
        <f t="shared" si="0"/>
        <v>47</v>
      </c>
    </row>
    <row r="27" spans="1:14" ht="13.5" customHeight="1" x14ac:dyDescent="0.25">
      <c r="A27" s="5" t="s">
        <v>19</v>
      </c>
      <c r="B27" s="1">
        <v>12</v>
      </c>
      <c r="C27" s="13">
        <f t="shared" si="1"/>
        <v>0.10526315789473684</v>
      </c>
      <c r="D27" s="1">
        <v>63</v>
      </c>
      <c r="E27" s="13">
        <f t="shared" si="2"/>
        <v>0.55263157894736847</v>
      </c>
      <c r="F27" s="1">
        <v>34</v>
      </c>
      <c r="G27" s="13">
        <f t="shared" si="3"/>
        <v>0.2982456140350877</v>
      </c>
      <c r="H27" s="1">
        <v>5</v>
      </c>
      <c r="I27" s="13">
        <f t="shared" si="4"/>
        <v>4.3859649122807015E-2</v>
      </c>
      <c r="J27" s="1">
        <v>0</v>
      </c>
      <c r="K27" s="13">
        <f t="shared" si="5"/>
        <v>0</v>
      </c>
      <c r="L27" s="1">
        <v>0</v>
      </c>
      <c r="M27" s="13">
        <f t="shared" si="6"/>
        <v>0</v>
      </c>
      <c r="N27" s="3">
        <f t="shared" si="0"/>
        <v>114</v>
      </c>
    </row>
    <row r="28" spans="1:14" ht="13.5" customHeight="1" x14ac:dyDescent="0.25">
      <c r="A28" s="5" t="s">
        <v>21</v>
      </c>
      <c r="B28" s="1">
        <v>2</v>
      </c>
      <c r="C28" s="13">
        <f t="shared" si="1"/>
        <v>9.0909090909090912E-2</v>
      </c>
      <c r="D28" s="1">
        <v>17</v>
      </c>
      <c r="E28" s="13">
        <f t="shared" si="2"/>
        <v>0.77272727272727271</v>
      </c>
      <c r="F28" s="1">
        <v>3</v>
      </c>
      <c r="G28" s="13">
        <f t="shared" si="3"/>
        <v>0.13636363636363635</v>
      </c>
      <c r="H28" s="1">
        <v>0</v>
      </c>
      <c r="I28" s="13">
        <f t="shared" si="4"/>
        <v>0</v>
      </c>
      <c r="J28" s="1">
        <v>0</v>
      </c>
      <c r="K28" s="13">
        <f t="shared" si="5"/>
        <v>0</v>
      </c>
      <c r="L28" s="1">
        <v>0</v>
      </c>
      <c r="M28" s="13">
        <f t="shared" si="6"/>
        <v>0</v>
      </c>
      <c r="N28" s="3">
        <f t="shared" si="0"/>
        <v>22</v>
      </c>
    </row>
    <row r="29" spans="1:14" ht="13.5" customHeight="1" x14ac:dyDescent="0.25">
      <c r="A29" s="5" t="s">
        <v>38</v>
      </c>
      <c r="B29" s="1">
        <v>8</v>
      </c>
      <c r="C29" s="13">
        <f t="shared" si="1"/>
        <v>0.27586206896551724</v>
      </c>
      <c r="D29" s="1">
        <v>10</v>
      </c>
      <c r="E29" s="13">
        <f t="shared" si="2"/>
        <v>0.34482758620689657</v>
      </c>
      <c r="F29" s="1">
        <v>11</v>
      </c>
      <c r="G29" s="13">
        <f t="shared" si="3"/>
        <v>0.37931034482758619</v>
      </c>
      <c r="H29" s="1">
        <v>0</v>
      </c>
      <c r="I29" s="13">
        <f t="shared" si="4"/>
        <v>0</v>
      </c>
      <c r="J29" s="1">
        <v>0</v>
      </c>
      <c r="K29" s="13">
        <f t="shared" si="5"/>
        <v>0</v>
      </c>
      <c r="L29" s="1">
        <v>0</v>
      </c>
      <c r="M29" s="13">
        <f t="shared" si="6"/>
        <v>0</v>
      </c>
      <c r="N29" s="3">
        <f t="shared" si="0"/>
        <v>29</v>
      </c>
    </row>
    <row r="30" spans="1:14" ht="13.5" customHeight="1" x14ac:dyDescent="0.25">
      <c r="A30" s="5" t="s">
        <v>39</v>
      </c>
      <c r="B30" s="1">
        <v>1</v>
      </c>
      <c r="C30" s="13">
        <f t="shared" si="1"/>
        <v>0.2</v>
      </c>
      <c r="D30" s="1">
        <v>3</v>
      </c>
      <c r="E30" s="13">
        <f t="shared" si="2"/>
        <v>0.6</v>
      </c>
      <c r="F30" s="1">
        <v>1</v>
      </c>
      <c r="G30" s="13">
        <f t="shared" si="3"/>
        <v>0.2</v>
      </c>
      <c r="H30" s="1">
        <v>0</v>
      </c>
      <c r="I30" s="13">
        <f t="shared" si="4"/>
        <v>0</v>
      </c>
      <c r="J30" s="1">
        <v>0</v>
      </c>
      <c r="K30" s="13">
        <f t="shared" si="5"/>
        <v>0</v>
      </c>
      <c r="L30" s="1">
        <v>0</v>
      </c>
      <c r="M30" s="13">
        <f t="shared" si="6"/>
        <v>0</v>
      </c>
      <c r="N30" s="3">
        <f t="shared" si="0"/>
        <v>5</v>
      </c>
    </row>
    <row r="31" spans="1:14" ht="13.5" customHeight="1" x14ac:dyDescent="0.25">
      <c r="A31" s="5" t="s">
        <v>22</v>
      </c>
      <c r="B31" s="1">
        <v>25</v>
      </c>
      <c r="C31" s="13">
        <f t="shared" si="1"/>
        <v>0.24509803921568626</v>
      </c>
      <c r="D31" s="1">
        <v>69</v>
      </c>
      <c r="E31" s="13">
        <f t="shared" si="2"/>
        <v>0.67647058823529416</v>
      </c>
      <c r="F31" s="1">
        <v>8</v>
      </c>
      <c r="G31" s="13">
        <f t="shared" si="3"/>
        <v>7.8431372549019607E-2</v>
      </c>
      <c r="H31" s="1">
        <v>0</v>
      </c>
      <c r="I31" s="13">
        <f t="shared" si="4"/>
        <v>0</v>
      </c>
      <c r="J31" s="1">
        <v>0</v>
      </c>
      <c r="K31" s="13">
        <f t="shared" si="5"/>
        <v>0</v>
      </c>
      <c r="L31" s="1">
        <v>0</v>
      </c>
      <c r="M31" s="13">
        <f t="shared" si="6"/>
        <v>0</v>
      </c>
      <c r="N31" s="3">
        <f t="shared" si="0"/>
        <v>102</v>
      </c>
    </row>
    <row r="32" spans="1:14" ht="13.5" customHeight="1" x14ac:dyDescent="0.25">
      <c r="A32" s="5" t="s">
        <v>40</v>
      </c>
      <c r="B32" s="1">
        <v>5</v>
      </c>
      <c r="C32" s="13">
        <f t="shared" si="1"/>
        <v>0.10869565217391304</v>
      </c>
      <c r="D32" s="1">
        <v>38</v>
      </c>
      <c r="E32" s="13">
        <f t="shared" si="2"/>
        <v>0.82608695652173914</v>
      </c>
      <c r="F32" s="1">
        <v>3</v>
      </c>
      <c r="G32" s="13">
        <f t="shared" si="3"/>
        <v>6.5217391304347824E-2</v>
      </c>
      <c r="H32" s="1">
        <v>0</v>
      </c>
      <c r="I32" s="13">
        <f t="shared" si="4"/>
        <v>0</v>
      </c>
      <c r="J32" s="1">
        <v>0</v>
      </c>
      <c r="K32" s="13">
        <f t="shared" si="5"/>
        <v>0</v>
      </c>
      <c r="L32" s="1">
        <v>0</v>
      </c>
      <c r="M32" s="13">
        <f t="shared" si="6"/>
        <v>0</v>
      </c>
      <c r="N32" s="3">
        <f t="shared" si="0"/>
        <v>46</v>
      </c>
    </row>
    <row r="33" spans="1:14" ht="13.5" customHeight="1" x14ac:dyDescent="0.25">
      <c r="A33" s="5" t="s">
        <v>72</v>
      </c>
      <c r="B33" s="1">
        <v>7</v>
      </c>
      <c r="C33" s="13">
        <f t="shared" si="1"/>
        <v>0.14583333333333334</v>
      </c>
      <c r="D33" s="1">
        <v>35</v>
      </c>
      <c r="E33" s="13">
        <f t="shared" si="2"/>
        <v>0.72916666666666663</v>
      </c>
      <c r="F33" s="1">
        <v>6</v>
      </c>
      <c r="G33" s="13">
        <f t="shared" si="3"/>
        <v>0.125</v>
      </c>
      <c r="H33" s="1">
        <v>0</v>
      </c>
      <c r="I33" s="13">
        <f t="shared" si="4"/>
        <v>0</v>
      </c>
      <c r="J33" s="1">
        <v>0</v>
      </c>
      <c r="K33" s="13">
        <f t="shared" si="5"/>
        <v>0</v>
      </c>
      <c r="L33" s="1">
        <v>0</v>
      </c>
      <c r="M33" s="13">
        <f t="shared" si="6"/>
        <v>0</v>
      </c>
      <c r="N33" s="3">
        <f t="shared" si="0"/>
        <v>48</v>
      </c>
    </row>
    <row r="34" spans="1:14" ht="13.5" customHeight="1" x14ac:dyDescent="0.25">
      <c r="A34" s="5" t="s">
        <v>110</v>
      </c>
      <c r="B34" s="1">
        <v>9</v>
      </c>
      <c r="C34" s="13">
        <f t="shared" si="1"/>
        <v>0.27272727272727271</v>
      </c>
      <c r="D34" s="1">
        <v>21</v>
      </c>
      <c r="E34" s="13">
        <f t="shared" si="2"/>
        <v>0.63636363636363635</v>
      </c>
      <c r="F34" s="1">
        <v>3</v>
      </c>
      <c r="G34" s="13">
        <f t="shared" si="3"/>
        <v>9.0909090909090912E-2</v>
      </c>
      <c r="H34" s="1">
        <v>0</v>
      </c>
      <c r="I34" s="13">
        <f t="shared" si="4"/>
        <v>0</v>
      </c>
      <c r="J34" s="1">
        <v>0</v>
      </c>
      <c r="K34" s="13">
        <f t="shared" si="5"/>
        <v>0</v>
      </c>
      <c r="L34" s="1">
        <v>0</v>
      </c>
      <c r="M34" s="13">
        <f t="shared" si="6"/>
        <v>0</v>
      </c>
      <c r="N34" s="3">
        <f t="shared" si="0"/>
        <v>33</v>
      </c>
    </row>
    <row r="35" spans="1:14" ht="13.5" customHeight="1" x14ac:dyDescent="0.25">
      <c r="A35" s="5" t="s">
        <v>94</v>
      </c>
      <c r="B35" s="1">
        <v>1</v>
      </c>
      <c r="C35" s="13">
        <f t="shared" si="1"/>
        <v>0.1111111111111111</v>
      </c>
      <c r="D35" s="1">
        <v>7</v>
      </c>
      <c r="E35" s="13">
        <f t="shared" si="2"/>
        <v>0.77777777777777779</v>
      </c>
      <c r="F35" s="1">
        <v>0</v>
      </c>
      <c r="G35" s="13">
        <f t="shared" si="3"/>
        <v>0</v>
      </c>
      <c r="H35" s="1">
        <v>0</v>
      </c>
      <c r="I35" s="13">
        <f t="shared" si="4"/>
        <v>0</v>
      </c>
      <c r="J35" s="1">
        <v>1</v>
      </c>
      <c r="K35" s="13">
        <f t="shared" si="5"/>
        <v>0.1111111111111111</v>
      </c>
      <c r="L35" s="1">
        <v>0</v>
      </c>
      <c r="M35" s="13">
        <f t="shared" si="6"/>
        <v>0</v>
      </c>
      <c r="N35" s="3">
        <f t="shared" si="0"/>
        <v>9</v>
      </c>
    </row>
    <row r="36" spans="1:14" ht="13.5" customHeight="1" x14ac:dyDescent="0.25">
      <c r="A36" s="5" t="s">
        <v>23</v>
      </c>
      <c r="B36" s="1">
        <v>10</v>
      </c>
      <c r="C36" s="13">
        <f t="shared" si="1"/>
        <v>0.19607843137254902</v>
      </c>
      <c r="D36" s="1">
        <v>32</v>
      </c>
      <c r="E36" s="13">
        <f t="shared" si="2"/>
        <v>0.62745098039215685</v>
      </c>
      <c r="F36" s="1">
        <v>7</v>
      </c>
      <c r="G36" s="13">
        <f t="shared" si="3"/>
        <v>0.13725490196078433</v>
      </c>
      <c r="H36" s="1">
        <v>1</v>
      </c>
      <c r="I36" s="13">
        <f t="shared" si="4"/>
        <v>1.9607843137254902E-2</v>
      </c>
      <c r="J36" s="1">
        <v>0</v>
      </c>
      <c r="K36" s="13">
        <f t="shared" si="5"/>
        <v>0</v>
      </c>
      <c r="L36" s="1">
        <v>1</v>
      </c>
      <c r="M36" s="13">
        <f t="shared" si="6"/>
        <v>1.9607843137254902E-2</v>
      </c>
      <c r="N36" s="3">
        <f t="shared" si="0"/>
        <v>51</v>
      </c>
    </row>
    <row r="37" spans="1:14" ht="13.5" customHeight="1" x14ac:dyDescent="0.25">
      <c r="A37" s="5" t="s">
        <v>1</v>
      </c>
      <c r="B37" s="1">
        <v>15</v>
      </c>
      <c r="C37" s="13">
        <f t="shared" si="1"/>
        <v>9.6153846153846159E-2</v>
      </c>
      <c r="D37" s="1">
        <v>100</v>
      </c>
      <c r="E37" s="13">
        <f t="shared" si="2"/>
        <v>0.64102564102564108</v>
      </c>
      <c r="F37" s="1">
        <v>40</v>
      </c>
      <c r="G37" s="13">
        <f t="shared" si="3"/>
        <v>0.25641025641025639</v>
      </c>
      <c r="H37" s="1">
        <v>0</v>
      </c>
      <c r="I37" s="13">
        <f t="shared" si="4"/>
        <v>0</v>
      </c>
      <c r="J37" s="1">
        <v>1</v>
      </c>
      <c r="K37" s="13">
        <f t="shared" si="5"/>
        <v>6.41025641025641E-3</v>
      </c>
      <c r="L37" s="1">
        <v>0</v>
      </c>
      <c r="M37" s="13">
        <f t="shared" si="6"/>
        <v>0</v>
      </c>
      <c r="N37" s="3">
        <f t="shared" si="0"/>
        <v>156</v>
      </c>
    </row>
    <row r="38" spans="1:14" ht="13.5" customHeight="1" x14ac:dyDescent="0.25">
      <c r="A38" s="5" t="s">
        <v>95</v>
      </c>
      <c r="B38" s="1">
        <v>7</v>
      </c>
      <c r="C38" s="13">
        <f t="shared" si="1"/>
        <v>0.16279069767441862</v>
      </c>
      <c r="D38" s="1">
        <v>25</v>
      </c>
      <c r="E38" s="13">
        <f t="shared" si="2"/>
        <v>0.58139534883720934</v>
      </c>
      <c r="F38" s="1">
        <v>6</v>
      </c>
      <c r="G38" s="13">
        <f t="shared" si="3"/>
        <v>0.13953488372093023</v>
      </c>
      <c r="H38" s="1">
        <v>5</v>
      </c>
      <c r="I38" s="13">
        <f t="shared" si="4"/>
        <v>0.11627906976744186</v>
      </c>
      <c r="J38" s="1">
        <v>0</v>
      </c>
      <c r="K38" s="13">
        <f t="shared" si="5"/>
        <v>0</v>
      </c>
      <c r="L38" s="1">
        <v>0</v>
      </c>
      <c r="M38" s="13">
        <f t="shared" si="6"/>
        <v>0</v>
      </c>
      <c r="N38" s="3">
        <f t="shared" si="0"/>
        <v>43</v>
      </c>
    </row>
    <row r="39" spans="1:14" ht="13.5" customHeight="1" x14ac:dyDescent="0.25">
      <c r="A39" s="5" t="s">
        <v>24</v>
      </c>
      <c r="B39" s="1">
        <v>34</v>
      </c>
      <c r="C39" s="13">
        <f t="shared" si="1"/>
        <v>0.36170212765957449</v>
      </c>
      <c r="D39" s="1">
        <v>30</v>
      </c>
      <c r="E39" s="13">
        <f t="shared" si="2"/>
        <v>0.31914893617021278</v>
      </c>
      <c r="F39" s="1">
        <v>17</v>
      </c>
      <c r="G39" s="13">
        <f t="shared" si="3"/>
        <v>0.18085106382978725</v>
      </c>
      <c r="H39" s="1">
        <v>13</v>
      </c>
      <c r="I39" s="13">
        <f t="shared" si="4"/>
        <v>0.13829787234042554</v>
      </c>
      <c r="J39" s="1">
        <v>0</v>
      </c>
      <c r="K39" s="13">
        <f t="shared" si="5"/>
        <v>0</v>
      </c>
      <c r="L39" s="1">
        <v>0</v>
      </c>
      <c r="M39" s="13">
        <f t="shared" si="6"/>
        <v>0</v>
      </c>
      <c r="N39" s="3">
        <f t="shared" si="0"/>
        <v>94</v>
      </c>
    </row>
    <row r="40" spans="1:14" ht="13.5" customHeight="1" x14ac:dyDescent="0.25">
      <c r="A40" s="5" t="s">
        <v>25</v>
      </c>
      <c r="B40" s="1">
        <v>5</v>
      </c>
      <c r="C40" s="13">
        <f t="shared" si="1"/>
        <v>8.9285714285714288E-2</v>
      </c>
      <c r="D40" s="1">
        <v>12</v>
      </c>
      <c r="E40" s="13">
        <f t="shared" si="2"/>
        <v>0.21428571428571427</v>
      </c>
      <c r="F40" s="1">
        <v>25</v>
      </c>
      <c r="G40" s="13">
        <f t="shared" si="3"/>
        <v>0.44642857142857145</v>
      </c>
      <c r="H40" s="1">
        <v>12</v>
      </c>
      <c r="I40" s="13">
        <f t="shared" si="4"/>
        <v>0.21428571428571427</v>
      </c>
      <c r="J40" s="1">
        <v>2</v>
      </c>
      <c r="K40" s="13">
        <f t="shared" si="5"/>
        <v>3.5714285714285712E-2</v>
      </c>
      <c r="L40" s="1">
        <v>0</v>
      </c>
      <c r="M40" s="13">
        <f t="shared" si="6"/>
        <v>0</v>
      </c>
      <c r="N40" s="3">
        <f t="shared" si="0"/>
        <v>56</v>
      </c>
    </row>
    <row r="41" spans="1:14" ht="13.5" customHeight="1" x14ac:dyDescent="0.25">
      <c r="A41" s="5" t="s">
        <v>74</v>
      </c>
      <c r="B41" s="1">
        <v>1</v>
      </c>
      <c r="C41" s="13">
        <f t="shared" si="1"/>
        <v>1</v>
      </c>
      <c r="D41" s="1">
        <v>0</v>
      </c>
      <c r="E41" s="13">
        <f t="shared" si="2"/>
        <v>0</v>
      </c>
      <c r="F41" s="1">
        <v>0</v>
      </c>
      <c r="G41" s="13">
        <f t="shared" si="3"/>
        <v>0</v>
      </c>
      <c r="H41" s="1">
        <v>0</v>
      </c>
      <c r="I41" s="13">
        <f t="shared" si="4"/>
        <v>0</v>
      </c>
      <c r="J41" s="1">
        <v>0</v>
      </c>
      <c r="K41" s="13">
        <f t="shared" si="5"/>
        <v>0</v>
      </c>
      <c r="L41" s="1">
        <v>0</v>
      </c>
      <c r="M41" s="13">
        <f t="shared" si="6"/>
        <v>0</v>
      </c>
      <c r="N41" s="3">
        <f t="shared" si="0"/>
        <v>1</v>
      </c>
    </row>
    <row r="42" spans="1:14" ht="13.5" customHeight="1" x14ac:dyDescent="0.25">
      <c r="A42" s="5" t="s">
        <v>97</v>
      </c>
      <c r="B42" s="1">
        <v>1</v>
      </c>
      <c r="C42" s="13">
        <f t="shared" si="1"/>
        <v>1</v>
      </c>
      <c r="D42" s="1">
        <v>0</v>
      </c>
      <c r="E42" s="13">
        <f t="shared" si="2"/>
        <v>0</v>
      </c>
      <c r="F42" s="1">
        <v>0</v>
      </c>
      <c r="G42" s="13">
        <f t="shared" si="3"/>
        <v>0</v>
      </c>
      <c r="H42" s="1">
        <v>0</v>
      </c>
      <c r="I42" s="13">
        <f t="shared" si="4"/>
        <v>0</v>
      </c>
      <c r="J42" s="1">
        <v>0</v>
      </c>
      <c r="K42" s="13">
        <f t="shared" si="5"/>
        <v>0</v>
      </c>
      <c r="L42" s="1">
        <v>0</v>
      </c>
      <c r="M42" s="13">
        <f t="shared" si="6"/>
        <v>0</v>
      </c>
      <c r="N42" s="3">
        <f t="shared" si="0"/>
        <v>1</v>
      </c>
    </row>
    <row r="43" spans="1:14" ht="13.5" customHeight="1" x14ac:dyDescent="0.25">
      <c r="A43" s="5" t="s">
        <v>26</v>
      </c>
      <c r="B43" s="1">
        <v>2</v>
      </c>
      <c r="C43" s="13">
        <f t="shared" si="1"/>
        <v>9.0909090909090912E-2</v>
      </c>
      <c r="D43" s="1">
        <v>14</v>
      </c>
      <c r="E43" s="13">
        <f t="shared" si="2"/>
        <v>0.63636363636363635</v>
      </c>
      <c r="F43" s="1">
        <v>5</v>
      </c>
      <c r="G43" s="13">
        <f t="shared" si="3"/>
        <v>0.22727272727272727</v>
      </c>
      <c r="H43" s="1">
        <v>1</v>
      </c>
      <c r="I43" s="13">
        <f t="shared" si="4"/>
        <v>4.5454545454545456E-2</v>
      </c>
      <c r="J43" s="1">
        <v>0</v>
      </c>
      <c r="K43" s="13">
        <f t="shared" si="5"/>
        <v>0</v>
      </c>
      <c r="L43" s="1">
        <v>0</v>
      </c>
      <c r="M43" s="13">
        <f t="shared" si="6"/>
        <v>0</v>
      </c>
      <c r="N43" s="3">
        <f t="shared" si="0"/>
        <v>22</v>
      </c>
    </row>
    <row r="44" spans="1:14" ht="13.5" customHeight="1" x14ac:dyDescent="0.25">
      <c r="A44" s="5" t="s">
        <v>27</v>
      </c>
      <c r="B44" s="1">
        <v>9</v>
      </c>
      <c r="C44" s="13">
        <f t="shared" si="1"/>
        <v>0.20454545454545456</v>
      </c>
      <c r="D44" s="1">
        <v>29</v>
      </c>
      <c r="E44" s="13">
        <f t="shared" si="2"/>
        <v>0.65909090909090906</v>
      </c>
      <c r="F44" s="1">
        <v>6</v>
      </c>
      <c r="G44" s="13">
        <f t="shared" si="3"/>
        <v>0.13636363636363635</v>
      </c>
      <c r="H44" s="1">
        <v>0</v>
      </c>
      <c r="I44" s="13">
        <f t="shared" si="4"/>
        <v>0</v>
      </c>
      <c r="J44" s="1">
        <v>0</v>
      </c>
      <c r="K44" s="13">
        <f t="shared" si="5"/>
        <v>0</v>
      </c>
      <c r="L44" s="1">
        <v>0</v>
      </c>
      <c r="M44" s="13">
        <f t="shared" si="6"/>
        <v>0</v>
      </c>
      <c r="N44" s="3">
        <f t="shared" si="0"/>
        <v>44</v>
      </c>
    </row>
    <row r="45" spans="1:14" ht="13.5" customHeight="1" x14ac:dyDescent="0.25">
      <c r="A45" s="5" t="s">
        <v>28</v>
      </c>
      <c r="B45" s="1">
        <v>7</v>
      </c>
      <c r="C45" s="13">
        <f t="shared" si="1"/>
        <v>0.25</v>
      </c>
      <c r="D45" s="1">
        <v>14</v>
      </c>
      <c r="E45" s="13">
        <f t="shared" si="2"/>
        <v>0.5</v>
      </c>
      <c r="F45" s="1">
        <v>7</v>
      </c>
      <c r="G45" s="13">
        <f t="shared" si="3"/>
        <v>0.25</v>
      </c>
      <c r="H45" s="1">
        <v>0</v>
      </c>
      <c r="I45" s="13">
        <f t="shared" si="4"/>
        <v>0</v>
      </c>
      <c r="J45" s="1">
        <v>0</v>
      </c>
      <c r="K45" s="13">
        <f t="shared" si="5"/>
        <v>0</v>
      </c>
      <c r="L45" s="1">
        <v>0</v>
      </c>
      <c r="M45" s="13">
        <f t="shared" si="6"/>
        <v>0</v>
      </c>
      <c r="N45" s="3">
        <f t="shared" si="0"/>
        <v>28</v>
      </c>
    </row>
    <row r="46" spans="1:14" ht="13.5" customHeight="1" x14ac:dyDescent="0.25">
      <c r="A46" s="5" t="s">
        <v>106</v>
      </c>
      <c r="B46" s="1">
        <v>3</v>
      </c>
      <c r="C46" s="13">
        <f t="shared" si="1"/>
        <v>0.1875</v>
      </c>
      <c r="D46" s="1">
        <v>8</v>
      </c>
      <c r="E46" s="13">
        <f t="shared" si="2"/>
        <v>0.5</v>
      </c>
      <c r="F46" s="1">
        <v>4</v>
      </c>
      <c r="G46" s="13">
        <f t="shared" si="3"/>
        <v>0.25</v>
      </c>
      <c r="H46" s="1">
        <v>1</v>
      </c>
      <c r="I46" s="13">
        <f t="shared" si="4"/>
        <v>6.25E-2</v>
      </c>
      <c r="J46" s="1">
        <v>0</v>
      </c>
      <c r="K46" s="13">
        <f t="shared" si="5"/>
        <v>0</v>
      </c>
      <c r="L46" s="1">
        <v>0</v>
      </c>
      <c r="M46" s="13">
        <f t="shared" si="6"/>
        <v>0</v>
      </c>
      <c r="N46" s="3">
        <f t="shared" si="0"/>
        <v>16</v>
      </c>
    </row>
    <row r="47" spans="1:14" ht="13.5" customHeight="1" x14ac:dyDescent="0.25">
      <c r="A47" s="5" t="s">
        <v>29</v>
      </c>
      <c r="B47" s="1">
        <v>19</v>
      </c>
      <c r="C47" s="13">
        <f t="shared" si="1"/>
        <v>0.24358974358974358</v>
      </c>
      <c r="D47" s="1">
        <v>21</v>
      </c>
      <c r="E47" s="13">
        <f t="shared" si="2"/>
        <v>0.26923076923076922</v>
      </c>
      <c r="F47" s="1">
        <v>20</v>
      </c>
      <c r="G47" s="13">
        <f t="shared" si="3"/>
        <v>0.25641025641025639</v>
      </c>
      <c r="H47" s="1">
        <v>14</v>
      </c>
      <c r="I47" s="13">
        <f t="shared" si="4"/>
        <v>0.17948717948717949</v>
      </c>
      <c r="J47" s="1">
        <v>4</v>
      </c>
      <c r="K47" s="13">
        <f t="shared" si="5"/>
        <v>5.128205128205128E-2</v>
      </c>
      <c r="L47" s="1">
        <v>0</v>
      </c>
      <c r="M47" s="13">
        <f t="shared" si="6"/>
        <v>0</v>
      </c>
      <c r="N47" s="3">
        <f t="shared" si="0"/>
        <v>78</v>
      </c>
    </row>
    <row r="48" spans="1:14" ht="13.5" customHeight="1" x14ac:dyDescent="0.25">
      <c r="A48" s="5" t="s">
        <v>30</v>
      </c>
      <c r="B48" s="1">
        <v>1</v>
      </c>
      <c r="C48" s="13">
        <f t="shared" si="1"/>
        <v>3.2258064516129031E-2</v>
      </c>
      <c r="D48" s="1">
        <v>21</v>
      </c>
      <c r="E48" s="13">
        <f t="shared" si="2"/>
        <v>0.67741935483870963</v>
      </c>
      <c r="F48" s="1">
        <v>5</v>
      </c>
      <c r="G48" s="13">
        <f t="shared" si="3"/>
        <v>0.16129032258064516</v>
      </c>
      <c r="H48" s="1">
        <v>3</v>
      </c>
      <c r="I48" s="13">
        <f t="shared" si="4"/>
        <v>9.6774193548387094E-2</v>
      </c>
      <c r="J48" s="1">
        <v>0</v>
      </c>
      <c r="K48" s="13">
        <f t="shared" si="5"/>
        <v>0</v>
      </c>
      <c r="L48" s="1">
        <v>1</v>
      </c>
      <c r="M48" s="13">
        <f t="shared" si="6"/>
        <v>3.2258064516129031E-2</v>
      </c>
      <c r="N48" s="3">
        <f t="shared" si="0"/>
        <v>31</v>
      </c>
    </row>
    <row r="49" spans="1:14" ht="13.5" customHeight="1" x14ac:dyDescent="0.25">
      <c r="A49" s="5" t="s">
        <v>98</v>
      </c>
      <c r="B49" s="1">
        <v>3</v>
      </c>
      <c r="C49" s="13">
        <f t="shared" si="1"/>
        <v>0.17647058823529413</v>
      </c>
      <c r="D49" s="1">
        <v>4</v>
      </c>
      <c r="E49" s="13">
        <f t="shared" si="2"/>
        <v>0.23529411764705882</v>
      </c>
      <c r="F49" s="1">
        <v>8</v>
      </c>
      <c r="G49" s="13">
        <f t="shared" si="3"/>
        <v>0.47058823529411764</v>
      </c>
      <c r="H49" s="1">
        <v>2</v>
      </c>
      <c r="I49" s="13">
        <f t="shared" si="4"/>
        <v>0.11764705882352941</v>
      </c>
      <c r="J49" s="1">
        <v>0</v>
      </c>
      <c r="K49" s="13">
        <f t="shared" si="5"/>
        <v>0</v>
      </c>
      <c r="L49" s="1">
        <v>0</v>
      </c>
      <c r="M49" s="13">
        <f t="shared" si="6"/>
        <v>0</v>
      </c>
      <c r="N49" s="3">
        <f t="shared" si="0"/>
        <v>17</v>
      </c>
    </row>
    <row r="50" spans="1:14" ht="13.5" customHeight="1" x14ac:dyDescent="0.25">
      <c r="A50" s="5" t="s">
        <v>31</v>
      </c>
      <c r="B50" s="1">
        <v>24</v>
      </c>
      <c r="C50" s="13">
        <f t="shared" si="1"/>
        <v>0.25806451612903225</v>
      </c>
      <c r="D50" s="1">
        <v>63</v>
      </c>
      <c r="E50" s="13">
        <f t="shared" si="2"/>
        <v>0.67741935483870963</v>
      </c>
      <c r="F50" s="1">
        <v>4</v>
      </c>
      <c r="G50" s="13">
        <f t="shared" si="3"/>
        <v>4.3010752688172046E-2</v>
      </c>
      <c r="H50" s="1">
        <v>2</v>
      </c>
      <c r="I50" s="13">
        <f t="shared" si="4"/>
        <v>2.1505376344086023E-2</v>
      </c>
      <c r="J50" s="1">
        <v>0</v>
      </c>
      <c r="K50" s="13">
        <f t="shared" si="5"/>
        <v>0</v>
      </c>
      <c r="L50" s="1">
        <v>0</v>
      </c>
      <c r="M50" s="13">
        <f t="shared" si="6"/>
        <v>0</v>
      </c>
      <c r="N50" s="3">
        <f t="shared" si="0"/>
        <v>93</v>
      </c>
    </row>
    <row r="51" spans="1:14" ht="13.5" customHeight="1" x14ac:dyDescent="0.25">
      <c r="A51" s="5" t="s">
        <v>32</v>
      </c>
      <c r="B51" s="1">
        <v>2</v>
      </c>
      <c r="C51" s="13">
        <f t="shared" si="1"/>
        <v>0.2</v>
      </c>
      <c r="D51" s="1">
        <v>2</v>
      </c>
      <c r="E51" s="13">
        <f t="shared" si="2"/>
        <v>0.2</v>
      </c>
      <c r="F51" s="1">
        <v>6</v>
      </c>
      <c r="G51" s="13">
        <f t="shared" si="3"/>
        <v>0.6</v>
      </c>
      <c r="H51" s="1">
        <v>0</v>
      </c>
      <c r="I51" s="13">
        <f t="shared" si="4"/>
        <v>0</v>
      </c>
      <c r="J51" s="1">
        <v>0</v>
      </c>
      <c r="K51" s="13">
        <f t="shared" si="5"/>
        <v>0</v>
      </c>
      <c r="L51" s="1">
        <v>0</v>
      </c>
      <c r="M51" s="13">
        <f t="shared" si="6"/>
        <v>0</v>
      </c>
      <c r="N51" s="3">
        <f t="shared" si="0"/>
        <v>10</v>
      </c>
    </row>
    <row r="52" spans="1:14" x14ac:dyDescent="0.25">
      <c r="A52" s="5" t="s">
        <v>100</v>
      </c>
      <c r="B52" s="1">
        <v>18</v>
      </c>
      <c r="C52" s="13">
        <f t="shared" si="1"/>
        <v>0.11612903225806452</v>
      </c>
      <c r="D52" s="1">
        <v>93</v>
      </c>
      <c r="E52" s="13">
        <f t="shared" si="2"/>
        <v>0.6</v>
      </c>
      <c r="F52" s="1">
        <v>40</v>
      </c>
      <c r="G52" s="13">
        <f t="shared" si="3"/>
        <v>0.25806451612903225</v>
      </c>
      <c r="H52" s="1">
        <v>3</v>
      </c>
      <c r="I52" s="13">
        <f t="shared" si="4"/>
        <v>1.935483870967742E-2</v>
      </c>
      <c r="J52" s="1">
        <v>1</v>
      </c>
      <c r="K52" s="13">
        <f t="shared" si="5"/>
        <v>6.4516129032258064E-3</v>
      </c>
      <c r="L52" s="1">
        <v>0</v>
      </c>
      <c r="M52" s="13">
        <f t="shared" si="6"/>
        <v>0</v>
      </c>
      <c r="N52" s="3">
        <f t="shared" si="0"/>
        <v>155</v>
      </c>
    </row>
    <row r="53" spans="1:14" x14ac:dyDescent="0.25">
      <c r="A53" s="5" t="s">
        <v>33</v>
      </c>
      <c r="B53" s="1">
        <v>8</v>
      </c>
      <c r="C53" s="13">
        <f t="shared" si="1"/>
        <v>0.2857142857142857</v>
      </c>
      <c r="D53" s="1">
        <v>10</v>
      </c>
      <c r="E53" s="13">
        <f t="shared" si="2"/>
        <v>0.35714285714285715</v>
      </c>
      <c r="F53" s="1">
        <v>8</v>
      </c>
      <c r="G53" s="13">
        <f t="shared" si="3"/>
        <v>0.2857142857142857</v>
      </c>
      <c r="H53" s="1">
        <v>2</v>
      </c>
      <c r="I53" s="13">
        <f t="shared" si="4"/>
        <v>7.1428571428571425E-2</v>
      </c>
      <c r="J53" s="1">
        <v>0</v>
      </c>
      <c r="K53" s="13">
        <f t="shared" si="5"/>
        <v>0</v>
      </c>
      <c r="L53" s="1">
        <v>0</v>
      </c>
      <c r="M53" s="13">
        <f t="shared" si="6"/>
        <v>0</v>
      </c>
      <c r="N53" s="3">
        <f t="shared" si="0"/>
        <v>28</v>
      </c>
    </row>
    <row r="54" spans="1:14" x14ac:dyDescent="0.25">
      <c r="A54" s="5" t="s">
        <v>34</v>
      </c>
      <c r="B54" s="1">
        <v>3</v>
      </c>
      <c r="C54" s="13">
        <f t="shared" si="1"/>
        <v>0.17647058823529413</v>
      </c>
      <c r="D54" s="1">
        <v>12</v>
      </c>
      <c r="E54" s="13">
        <f t="shared" si="2"/>
        <v>0.70588235294117652</v>
      </c>
      <c r="F54" s="1">
        <v>2</v>
      </c>
      <c r="G54" s="13">
        <f t="shared" si="3"/>
        <v>0.11764705882352941</v>
      </c>
      <c r="H54" s="1">
        <v>0</v>
      </c>
      <c r="I54" s="13">
        <f t="shared" si="4"/>
        <v>0</v>
      </c>
      <c r="J54" s="1">
        <v>0</v>
      </c>
      <c r="K54" s="13">
        <f t="shared" si="5"/>
        <v>0</v>
      </c>
      <c r="L54" s="1">
        <v>0</v>
      </c>
      <c r="M54" s="13">
        <f t="shared" si="6"/>
        <v>0</v>
      </c>
      <c r="N54" s="3">
        <f t="shared" si="0"/>
        <v>17</v>
      </c>
    </row>
    <row r="55" spans="1:14" x14ac:dyDescent="0.25">
      <c r="A55" s="5" t="s">
        <v>35</v>
      </c>
      <c r="B55" s="1">
        <v>15</v>
      </c>
      <c r="C55" s="13">
        <f t="shared" si="1"/>
        <v>0.26315789473684209</v>
      </c>
      <c r="D55" s="1">
        <v>16</v>
      </c>
      <c r="E55" s="13">
        <f t="shared" si="2"/>
        <v>0.2807017543859649</v>
      </c>
      <c r="F55" s="1">
        <v>16</v>
      </c>
      <c r="G55" s="13">
        <f t="shared" si="3"/>
        <v>0.2807017543859649</v>
      </c>
      <c r="H55" s="1">
        <v>10</v>
      </c>
      <c r="I55" s="13">
        <f t="shared" si="4"/>
        <v>0.17543859649122806</v>
      </c>
      <c r="J55" s="1">
        <v>0</v>
      </c>
      <c r="K55" s="13">
        <f t="shared" si="5"/>
        <v>0</v>
      </c>
      <c r="L55" s="1">
        <v>0</v>
      </c>
      <c r="M55" s="13">
        <f t="shared" si="6"/>
        <v>0</v>
      </c>
      <c r="N55" s="3">
        <f t="shared" si="0"/>
        <v>57</v>
      </c>
    </row>
    <row r="56" spans="1:14" ht="15.75" thickBot="1" x14ac:dyDescent="0.3">
      <c r="A56" s="7" t="s">
        <v>49</v>
      </c>
      <c r="B56" s="8">
        <v>1</v>
      </c>
      <c r="C56" s="14">
        <f t="shared" si="1"/>
        <v>1</v>
      </c>
      <c r="D56" s="8">
        <v>0</v>
      </c>
      <c r="E56" s="14">
        <f t="shared" si="2"/>
        <v>0</v>
      </c>
      <c r="F56" s="8">
        <v>0</v>
      </c>
      <c r="G56" s="14">
        <f t="shared" si="3"/>
        <v>0</v>
      </c>
      <c r="H56" s="8">
        <v>0</v>
      </c>
      <c r="I56" s="14">
        <f t="shared" si="4"/>
        <v>0</v>
      </c>
      <c r="J56" s="8">
        <v>0</v>
      </c>
      <c r="K56" s="14">
        <f t="shared" si="5"/>
        <v>0</v>
      </c>
      <c r="L56" s="8">
        <v>0</v>
      </c>
      <c r="M56" s="14">
        <f t="shared" si="6"/>
        <v>0</v>
      </c>
      <c r="N56" s="6">
        <f t="shared" si="0"/>
        <v>1</v>
      </c>
    </row>
    <row r="57" spans="1:14" ht="16.5" thickTop="1" thickBot="1" x14ac:dyDescent="0.3">
      <c r="A57" s="2" t="s">
        <v>41</v>
      </c>
      <c r="B57" s="2">
        <f>SUM(B6:B56)</f>
        <v>540</v>
      </c>
      <c r="C57" s="15">
        <f t="shared" si="1"/>
        <v>0.19431450161928751</v>
      </c>
      <c r="D57" s="2">
        <f>SUM(D6:D56)</f>
        <v>1514</v>
      </c>
      <c r="E57" s="15">
        <f t="shared" si="2"/>
        <v>0.54480028787333579</v>
      </c>
      <c r="F57" s="2">
        <f>SUM(F6:F56)</f>
        <v>560</v>
      </c>
      <c r="G57" s="15">
        <f t="shared" si="3"/>
        <v>0.20151133501259447</v>
      </c>
      <c r="H57" s="2">
        <f>SUM(H6:H56)</f>
        <v>140</v>
      </c>
      <c r="I57" s="15">
        <f t="shared" si="4"/>
        <v>5.0377833753148617E-2</v>
      </c>
      <c r="J57" s="2">
        <f>SUM(J6:J56)</f>
        <v>23</v>
      </c>
      <c r="K57" s="15">
        <f t="shared" si="5"/>
        <v>8.2763584023029871E-3</v>
      </c>
      <c r="L57" s="2">
        <f>SUM(L6:L56)</f>
        <v>2</v>
      </c>
      <c r="M57" s="15">
        <f t="shared" si="6"/>
        <v>7.1968333933069444E-4</v>
      </c>
      <c r="N57" s="4">
        <f>SUM(N6:N56)</f>
        <v>2779</v>
      </c>
    </row>
    <row r="58" spans="1:14" ht="15.75" thickBo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 x14ac:dyDescent="0.25">
      <c r="A59" s="43" t="s">
        <v>57</v>
      </c>
      <c r="B59" s="35" t="s">
        <v>52</v>
      </c>
      <c r="C59" s="36"/>
      <c r="D59" s="35" t="s">
        <v>53</v>
      </c>
      <c r="E59" s="36"/>
      <c r="F59" s="35" t="s">
        <v>54</v>
      </c>
      <c r="G59" s="36"/>
      <c r="H59" s="35" t="s">
        <v>55</v>
      </c>
      <c r="I59" s="36"/>
      <c r="J59" s="35" t="s">
        <v>45</v>
      </c>
      <c r="K59" s="36"/>
      <c r="L59" s="35" t="s">
        <v>46</v>
      </c>
      <c r="M59" s="36"/>
      <c r="N59" s="39" t="s">
        <v>0</v>
      </c>
    </row>
    <row r="60" spans="1:14" ht="45" customHeight="1" x14ac:dyDescent="0.25">
      <c r="A60" s="44"/>
      <c r="B60" s="37"/>
      <c r="C60" s="38"/>
      <c r="D60" s="37"/>
      <c r="E60" s="38"/>
      <c r="F60" s="37"/>
      <c r="G60" s="38"/>
      <c r="H60" s="37"/>
      <c r="I60" s="38"/>
      <c r="J60" s="37"/>
      <c r="K60" s="38"/>
      <c r="L60" s="37"/>
      <c r="M60" s="38"/>
      <c r="N60" s="40"/>
    </row>
    <row r="61" spans="1:14" x14ac:dyDescent="0.25">
      <c r="A61" s="5" t="s">
        <v>62</v>
      </c>
      <c r="B61" s="1">
        <v>83</v>
      </c>
      <c r="C61" s="13">
        <f t="shared" ref="C61:C69" si="7">B61/N61</f>
        <v>0.2</v>
      </c>
      <c r="D61" s="1">
        <v>261</v>
      </c>
      <c r="E61" s="13">
        <f t="shared" ref="E61:E69" si="8">D61/N61</f>
        <v>0.62891566265060239</v>
      </c>
      <c r="F61" s="1">
        <v>68</v>
      </c>
      <c r="G61" s="13">
        <f t="shared" ref="G61:G69" si="9">F61/N61</f>
        <v>0.16385542168674699</v>
      </c>
      <c r="H61" s="1">
        <v>2</v>
      </c>
      <c r="I61" s="13">
        <f t="shared" ref="I61:I69" si="10">H61/N61</f>
        <v>4.8192771084337354E-3</v>
      </c>
      <c r="J61" s="1">
        <v>0</v>
      </c>
      <c r="K61" s="13">
        <f t="shared" ref="K61:K69" si="11">J61/N61</f>
        <v>0</v>
      </c>
      <c r="L61" s="1">
        <v>1</v>
      </c>
      <c r="M61" s="13">
        <f t="shared" ref="M61:M69" si="12">L61/N61</f>
        <v>2.4096385542168677E-3</v>
      </c>
      <c r="N61" s="3">
        <f t="shared" ref="N61:N68" si="13">B61+D61+F61+H61+J61+L61</f>
        <v>415</v>
      </c>
    </row>
    <row r="62" spans="1:14" x14ac:dyDescent="0.25">
      <c r="A62" s="5" t="s">
        <v>63</v>
      </c>
      <c r="B62" s="1">
        <v>7</v>
      </c>
      <c r="C62" s="13">
        <f t="shared" si="7"/>
        <v>7.5268817204301078E-2</v>
      </c>
      <c r="D62" s="1">
        <v>46</v>
      </c>
      <c r="E62" s="13">
        <f t="shared" si="8"/>
        <v>0.4946236559139785</v>
      </c>
      <c r="F62" s="1">
        <v>32</v>
      </c>
      <c r="G62" s="13">
        <f t="shared" si="9"/>
        <v>0.34408602150537637</v>
      </c>
      <c r="H62" s="1">
        <v>7</v>
      </c>
      <c r="I62" s="13">
        <f t="shared" si="10"/>
        <v>7.5268817204301078E-2</v>
      </c>
      <c r="J62" s="1">
        <v>1</v>
      </c>
      <c r="K62" s="13">
        <f t="shared" si="11"/>
        <v>1.0752688172043012E-2</v>
      </c>
      <c r="L62" s="1">
        <v>0</v>
      </c>
      <c r="M62" s="13">
        <f t="shared" si="12"/>
        <v>0</v>
      </c>
      <c r="N62" s="3">
        <f t="shared" si="13"/>
        <v>93</v>
      </c>
    </row>
    <row r="63" spans="1:14" x14ac:dyDescent="0.25">
      <c r="A63" s="5" t="s">
        <v>64</v>
      </c>
      <c r="B63" s="1">
        <v>69</v>
      </c>
      <c r="C63" s="13">
        <f t="shared" si="7"/>
        <v>0.2363013698630137</v>
      </c>
      <c r="D63" s="1">
        <v>190</v>
      </c>
      <c r="E63" s="13">
        <f t="shared" si="8"/>
        <v>0.65068493150684936</v>
      </c>
      <c r="F63" s="1">
        <v>28</v>
      </c>
      <c r="G63" s="13">
        <f t="shared" si="9"/>
        <v>9.5890410958904104E-2</v>
      </c>
      <c r="H63" s="1">
        <v>5</v>
      </c>
      <c r="I63" s="13">
        <f t="shared" si="10"/>
        <v>1.7123287671232876E-2</v>
      </c>
      <c r="J63" s="1">
        <v>0</v>
      </c>
      <c r="K63" s="13">
        <f t="shared" si="11"/>
        <v>0</v>
      </c>
      <c r="L63" s="1">
        <v>0</v>
      </c>
      <c r="M63" s="13">
        <f t="shared" si="12"/>
        <v>0</v>
      </c>
      <c r="N63" s="3">
        <f t="shared" si="13"/>
        <v>292</v>
      </c>
    </row>
    <row r="64" spans="1:14" x14ac:dyDescent="0.25">
      <c r="A64" s="5" t="s">
        <v>103</v>
      </c>
      <c r="B64" s="1">
        <v>43</v>
      </c>
      <c r="C64" s="13">
        <f t="shared" si="7"/>
        <v>0.15034965034965034</v>
      </c>
      <c r="D64" s="1">
        <v>103</v>
      </c>
      <c r="E64" s="13">
        <f t="shared" si="8"/>
        <v>0.36013986013986016</v>
      </c>
      <c r="F64" s="1">
        <v>94</v>
      </c>
      <c r="G64" s="13">
        <f t="shared" si="9"/>
        <v>0.32867132867132864</v>
      </c>
      <c r="H64" s="1">
        <v>41</v>
      </c>
      <c r="I64" s="13">
        <f t="shared" si="10"/>
        <v>0.14335664335664336</v>
      </c>
      <c r="J64" s="1">
        <v>5</v>
      </c>
      <c r="K64" s="13">
        <f t="shared" si="11"/>
        <v>1.7482517482517484E-2</v>
      </c>
      <c r="L64" s="1">
        <v>0</v>
      </c>
      <c r="M64" s="13">
        <f t="shared" si="12"/>
        <v>0</v>
      </c>
      <c r="N64" s="3">
        <f t="shared" si="13"/>
        <v>286</v>
      </c>
    </row>
    <row r="65" spans="1:14" x14ac:dyDescent="0.25">
      <c r="A65" s="5" t="s">
        <v>1</v>
      </c>
      <c r="B65" s="1">
        <v>15</v>
      </c>
      <c r="C65" s="13">
        <f t="shared" si="7"/>
        <v>9.6153846153846159E-2</v>
      </c>
      <c r="D65" s="1">
        <v>100</v>
      </c>
      <c r="E65" s="13">
        <f t="shared" si="8"/>
        <v>0.64102564102564108</v>
      </c>
      <c r="F65" s="1">
        <v>40</v>
      </c>
      <c r="G65" s="13">
        <f t="shared" si="9"/>
        <v>0.25641025641025639</v>
      </c>
      <c r="H65" s="1">
        <v>0</v>
      </c>
      <c r="I65" s="13">
        <f t="shared" si="10"/>
        <v>0</v>
      </c>
      <c r="J65" s="1">
        <v>1</v>
      </c>
      <c r="K65" s="13">
        <f t="shared" si="11"/>
        <v>6.41025641025641E-3</v>
      </c>
      <c r="L65" s="1">
        <v>0</v>
      </c>
      <c r="M65" s="13">
        <f t="shared" si="12"/>
        <v>0</v>
      </c>
      <c r="N65" s="3">
        <f t="shared" si="13"/>
        <v>156</v>
      </c>
    </row>
    <row r="66" spans="1:14" x14ac:dyDescent="0.25">
      <c r="A66" s="5" t="s">
        <v>66</v>
      </c>
      <c r="B66" s="1">
        <v>92</v>
      </c>
      <c r="C66" s="13">
        <f t="shared" si="7"/>
        <v>0.20444444444444446</v>
      </c>
      <c r="D66" s="1">
        <v>268</v>
      </c>
      <c r="E66" s="13">
        <f t="shared" si="8"/>
        <v>0.5955555555555555</v>
      </c>
      <c r="F66" s="1">
        <v>76</v>
      </c>
      <c r="G66" s="13">
        <f t="shared" si="9"/>
        <v>0.16888888888888889</v>
      </c>
      <c r="H66" s="1">
        <v>10</v>
      </c>
      <c r="I66" s="13">
        <f t="shared" si="10"/>
        <v>2.2222222222222223E-2</v>
      </c>
      <c r="J66" s="1">
        <v>3</v>
      </c>
      <c r="K66" s="13">
        <f t="shared" si="11"/>
        <v>6.6666666666666671E-3</v>
      </c>
      <c r="L66" s="1">
        <v>1</v>
      </c>
      <c r="M66" s="13">
        <f t="shared" si="12"/>
        <v>2.2222222222222222E-3</v>
      </c>
      <c r="N66" s="3">
        <f t="shared" si="13"/>
        <v>450</v>
      </c>
    </row>
    <row r="67" spans="1:14" x14ac:dyDescent="0.25">
      <c r="A67" s="5" t="s">
        <v>67</v>
      </c>
      <c r="B67" s="1">
        <v>110</v>
      </c>
      <c r="C67" s="13">
        <f t="shared" si="7"/>
        <v>0.26066350710900477</v>
      </c>
      <c r="D67" s="1">
        <v>149</v>
      </c>
      <c r="E67" s="13">
        <f t="shared" si="8"/>
        <v>0.35308056872037913</v>
      </c>
      <c r="F67" s="1">
        <v>95</v>
      </c>
      <c r="G67" s="13">
        <f t="shared" si="9"/>
        <v>0.22511848341232227</v>
      </c>
      <c r="H67" s="1">
        <v>58</v>
      </c>
      <c r="I67" s="13">
        <f t="shared" si="10"/>
        <v>0.13744075829383887</v>
      </c>
      <c r="J67" s="1">
        <v>10</v>
      </c>
      <c r="K67" s="13">
        <f t="shared" si="11"/>
        <v>2.3696682464454975E-2</v>
      </c>
      <c r="L67" s="1">
        <v>0</v>
      </c>
      <c r="M67" s="13">
        <f t="shared" si="12"/>
        <v>0</v>
      </c>
      <c r="N67" s="3">
        <f t="shared" si="13"/>
        <v>422</v>
      </c>
    </row>
    <row r="68" spans="1:14" ht="15.75" thickBot="1" x14ac:dyDescent="0.3">
      <c r="A68" s="7" t="s">
        <v>68</v>
      </c>
      <c r="B68" s="8">
        <v>121</v>
      </c>
      <c r="C68" s="14">
        <f t="shared" si="7"/>
        <v>0.18195488721804512</v>
      </c>
      <c r="D68" s="8">
        <v>397</v>
      </c>
      <c r="E68" s="14">
        <f t="shared" si="8"/>
        <v>0.59699248120300752</v>
      </c>
      <c r="F68" s="8">
        <v>127</v>
      </c>
      <c r="G68" s="14">
        <f t="shared" si="9"/>
        <v>0.19097744360902255</v>
      </c>
      <c r="H68" s="8">
        <v>17</v>
      </c>
      <c r="I68" s="14">
        <f t="shared" si="10"/>
        <v>2.5563909774436091E-2</v>
      </c>
      <c r="J68" s="8">
        <v>3</v>
      </c>
      <c r="K68" s="14">
        <f t="shared" si="11"/>
        <v>4.5112781954887221E-3</v>
      </c>
      <c r="L68" s="8">
        <v>0</v>
      </c>
      <c r="M68" s="14">
        <f t="shared" si="12"/>
        <v>0</v>
      </c>
      <c r="N68" s="6">
        <f t="shared" si="13"/>
        <v>665</v>
      </c>
    </row>
    <row r="69" spans="1:14" ht="16.5" thickTop="1" thickBot="1" x14ac:dyDescent="0.3">
      <c r="A69" s="2" t="s">
        <v>41</v>
      </c>
      <c r="B69" s="2">
        <f>SUM(B61:B68)</f>
        <v>540</v>
      </c>
      <c r="C69" s="15">
        <f t="shared" si="7"/>
        <v>0.19431450161928751</v>
      </c>
      <c r="D69" s="2">
        <f>SUM(D61:D68)</f>
        <v>1514</v>
      </c>
      <c r="E69" s="15">
        <f t="shared" si="8"/>
        <v>0.54480028787333579</v>
      </c>
      <c r="F69" s="2">
        <f>SUM(F61:F68)</f>
        <v>560</v>
      </c>
      <c r="G69" s="15">
        <f t="shared" si="9"/>
        <v>0.20151133501259447</v>
      </c>
      <c r="H69" s="2">
        <f>SUM(H61:H68)</f>
        <v>140</v>
      </c>
      <c r="I69" s="15">
        <f t="shared" si="10"/>
        <v>5.0377833753148617E-2</v>
      </c>
      <c r="J69" s="2">
        <f>SUM(J61:J68)</f>
        <v>23</v>
      </c>
      <c r="K69" s="15">
        <f t="shared" si="11"/>
        <v>8.2763584023029871E-3</v>
      </c>
      <c r="L69" s="2">
        <f>SUM(L61:L68)</f>
        <v>2</v>
      </c>
      <c r="M69" s="15">
        <f t="shared" si="12"/>
        <v>7.1968333933069444E-4</v>
      </c>
      <c r="N69" s="2">
        <f>SUM(N61:N68)</f>
        <v>2779</v>
      </c>
    </row>
    <row r="72" spans="1:14" x14ac:dyDescent="0.25">
      <c r="A72" s="12" t="s">
        <v>58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4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4" ht="15.75" thickBot="1" x14ac:dyDescent="0.3">
      <c r="A74" s="12"/>
      <c r="D74" s="21"/>
      <c r="E74" s="21"/>
      <c r="F74" s="12"/>
      <c r="G74" s="12"/>
      <c r="H74" s="12"/>
      <c r="I74" s="12"/>
      <c r="J74" s="12"/>
      <c r="K74" s="12"/>
      <c r="L74" s="12"/>
      <c r="M74" s="12"/>
    </row>
    <row r="75" spans="1:14" ht="30" customHeight="1" x14ac:dyDescent="0.25">
      <c r="A75" s="26"/>
      <c r="B75" s="41" t="s">
        <v>79</v>
      </c>
      <c r="C75" s="42"/>
      <c r="D75" s="21"/>
      <c r="E75" s="21"/>
      <c r="F75" s="12"/>
      <c r="G75" s="12"/>
      <c r="H75" s="12"/>
      <c r="I75" s="12"/>
      <c r="J75" s="12"/>
      <c r="K75" s="12"/>
      <c r="L75" s="12"/>
      <c r="M75" s="12"/>
    </row>
    <row r="76" spans="1:14" ht="15.75" thickBot="1" x14ac:dyDescent="0.3">
      <c r="A76" s="24" t="s">
        <v>78</v>
      </c>
      <c r="B76" s="32" t="s">
        <v>111</v>
      </c>
      <c r="C76" s="33"/>
      <c r="F76" s="12"/>
      <c r="G76" s="12"/>
      <c r="H76" s="12"/>
      <c r="I76" s="12"/>
      <c r="J76" s="12"/>
      <c r="K76" s="12"/>
      <c r="L76" s="12"/>
      <c r="M76" s="12"/>
    </row>
    <row r="77" spans="1:14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4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4" x14ac:dyDescent="0.25">
      <c r="A79" s="34" t="s">
        <v>112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</sheetData>
  <mergeCells count="18">
    <mergeCell ref="A79:M79"/>
    <mergeCell ref="L59:M60"/>
    <mergeCell ref="N59:N60"/>
    <mergeCell ref="B75:C75"/>
    <mergeCell ref="B76:C76"/>
    <mergeCell ref="A59:A60"/>
    <mergeCell ref="B59:C60"/>
    <mergeCell ref="D59:E60"/>
    <mergeCell ref="F59:G60"/>
    <mergeCell ref="H59:I60"/>
    <mergeCell ref="J59:K60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N82"/>
  <sheetViews>
    <sheetView tabSelected="1" view="pageLayout" zoomScale="85" zoomScaleNormal="100" zoomScalePageLayoutView="85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">
        <v>156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 t="s">
        <v>4</v>
      </c>
      <c r="B6" s="1">
        <v>8</v>
      </c>
      <c r="C6" s="13">
        <f>B6/N6</f>
        <v>0.21621621621621623</v>
      </c>
      <c r="D6" s="1">
        <v>17</v>
      </c>
      <c r="E6" s="13">
        <f>D6/N6</f>
        <v>0.45945945945945948</v>
      </c>
      <c r="F6" s="1">
        <v>10</v>
      </c>
      <c r="G6" s="13">
        <f>F6/N6</f>
        <v>0.27027027027027029</v>
      </c>
      <c r="H6" s="1">
        <v>0</v>
      </c>
      <c r="I6" s="13">
        <f>H6/N6</f>
        <v>0</v>
      </c>
      <c r="J6" s="1">
        <v>2</v>
      </c>
      <c r="K6" s="13">
        <f>J6/N6</f>
        <v>5.4054054054054057E-2</v>
      </c>
      <c r="L6" s="1">
        <v>0</v>
      </c>
      <c r="M6" s="13">
        <f>L6/N6</f>
        <v>0</v>
      </c>
      <c r="N6" s="3">
        <f t="shared" ref="N6:N59" si="0">B6+D6+F6+H6+J6+L6</f>
        <v>37</v>
      </c>
    </row>
    <row r="7" spans="1:14" ht="13.5" customHeight="1" x14ac:dyDescent="0.25">
      <c r="A7" s="5" t="s">
        <v>5</v>
      </c>
      <c r="B7" s="1">
        <v>6</v>
      </c>
      <c r="C7" s="13">
        <f>B7/N7</f>
        <v>0.10714285714285714</v>
      </c>
      <c r="D7" s="1">
        <v>45</v>
      </c>
      <c r="E7" s="13">
        <f>D7/N7</f>
        <v>0.8035714285714286</v>
      </c>
      <c r="F7" s="1">
        <v>3</v>
      </c>
      <c r="G7" s="13">
        <f>F7/N7</f>
        <v>5.3571428571428568E-2</v>
      </c>
      <c r="H7" s="1">
        <v>2</v>
      </c>
      <c r="I7" s="13">
        <f>H7/N7</f>
        <v>3.5714285714285712E-2</v>
      </c>
      <c r="J7" s="1">
        <v>0</v>
      </c>
      <c r="K7" s="13">
        <f>J7/N7</f>
        <v>0</v>
      </c>
      <c r="L7" s="1">
        <v>0</v>
      </c>
      <c r="M7" s="13">
        <f>L7/N7</f>
        <v>0</v>
      </c>
      <c r="N7" s="3">
        <f>B7+D7+F7+H7+J7+L7</f>
        <v>56</v>
      </c>
    </row>
    <row r="8" spans="1:14" ht="13.5" customHeight="1" x14ac:dyDescent="0.25">
      <c r="A8" s="5" t="s">
        <v>6</v>
      </c>
      <c r="B8" s="1">
        <v>22</v>
      </c>
      <c r="C8" s="13">
        <f>B8/N8</f>
        <v>0.24719101123595505</v>
      </c>
      <c r="D8" s="1">
        <v>57</v>
      </c>
      <c r="E8" s="13">
        <f>D8/N8</f>
        <v>0.6404494382022472</v>
      </c>
      <c r="F8" s="1">
        <v>8</v>
      </c>
      <c r="G8" s="13">
        <f>F8/N8</f>
        <v>8.98876404494382E-2</v>
      </c>
      <c r="H8" s="1">
        <v>2</v>
      </c>
      <c r="I8" s="13">
        <f>H8/N8</f>
        <v>2.247191011235955E-2</v>
      </c>
      <c r="J8" s="1">
        <v>0</v>
      </c>
      <c r="K8" s="13">
        <f>J8/N8</f>
        <v>0</v>
      </c>
      <c r="L8" s="1">
        <v>0</v>
      </c>
      <c r="M8" s="13">
        <f>L8/N8</f>
        <v>0</v>
      </c>
      <c r="N8" s="3">
        <f>B8+D8+F8+H8+J8+L8</f>
        <v>89</v>
      </c>
    </row>
    <row r="9" spans="1:14" ht="13.5" customHeight="1" x14ac:dyDescent="0.25">
      <c r="A9" s="5" t="s">
        <v>93</v>
      </c>
      <c r="B9" s="1">
        <v>9</v>
      </c>
      <c r="C9" s="13">
        <f t="shared" ref="C9:C60" si="1">B9/N9</f>
        <v>9.7826086956521743E-2</v>
      </c>
      <c r="D9" s="1">
        <v>45</v>
      </c>
      <c r="E9" s="13">
        <f t="shared" ref="E9:E60" si="2">D9/N9</f>
        <v>0.4891304347826087</v>
      </c>
      <c r="F9" s="1">
        <v>30</v>
      </c>
      <c r="G9" s="13">
        <f t="shared" ref="G9:G60" si="3">F9/N9</f>
        <v>0.32608695652173914</v>
      </c>
      <c r="H9" s="1">
        <v>3</v>
      </c>
      <c r="I9" s="13">
        <f t="shared" ref="I9:I60" si="4">H9/N9</f>
        <v>3.2608695652173912E-2</v>
      </c>
      <c r="J9" s="1">
        <v>5</v>
      </c>
      <c r="K9" s="13">
        <f t="shared" ref="K9:K60" si="5">J9/N9</f>
        <v>5.434782608695652E-2</v>
      </c>
      <c r="L9" s="1">
        <v>0</v>
      </c>
      <c r="M9" s="13">
        <f t="shared" ref="M9:M60" si="6">L9/N9</f>
        <v>0</v>
      </c>
      <c r="N9" s="3">
        <f t="shared" si="0"/>
        <v>92</v>
      </c>
    </row>
    <row r="10" spans="1:14" ht="13.5" customHeight="1" x14ac:dyDescent="0.25">
      <c r="A10" s="5" t="s">
        <v>70</v>
      </c>
      <c r="B10" s="1">
        <v>4</v>
      </c>
      <c r="C10" s="13">
        <f t="shared" si="1"/>
        <v>0.12903225806451613</v>
      </c>
      <c r="D10" s="1">
        <v>14</v>
      </c>
      <c r="E10" s="13">
        <f t="shared" si="2"/>
        <v>0.45161290322580644</v>
      </c>
      <c r="F10" s="1">
        <v>11</v>
      </c>
      <c r="G10" s="13">
        <f t="shared" si="3"/>
        <v>0.35483870967741937</v>
      </c>
      <c r="H10" s="1">
        <v>1</v>
      </c>
      <c r="I10" s="13">
        <f t="shared" si="4"/>
        <v>3.2258064516129031E-2</v>
      </c>
      <c r="J10" s="1">
        <v>1</v>
      </c>
      <c r="K10" s="13">
        <f t="shared" si="5"/>
        <v>3.2258064516129031E-2</v>
      </c>
      <c r="L10" s="1">
        <v>0</v>
      </c>
      <c r="M10" s="13">
        <f t="shared" si="6"/>
        <v>0</v>
      </c>
      <c r="N10" s="3">
        <f t="shared" si="0"/>
        <v>31</v>
      </c>
    </row>
    <row r="11" spans="1:14" ht="13.5" customHeight="1" x14ac:dyDescent="0.25">
      <c r="A11" s="5" t="s">
        <v>7</v>
      </c>
      <c r="B11" s="1">
        <v>9</v>
      </c>
      <c r="C11" s="13">
        <f t="shared" si="1"/>
        <v>0.18367346938775511</v>
      </c>
      <c r="D11" s="1">
        <v>20</v>
      </c>
      <c r="E11" s="13">
        <f t="shared" si="2"/>
        <v>0.40816326530612246</v>
      </c>
      <c r="F11" s="1">
        <v>16</v>
      </c>
      <c r="G11" s="13">
        <f t="shared" si="3"/>
        <v>0.32653061224489793</v>
      </c>
      <c r="H11" s="1">
        <v>4</v>
      </c>
      <c r="I11" s="13">
        <f t="shared" si="4"/>
        <v>8.1632653061224483E-2</v>
      </c>
      <c r="J11" s="1">
        <v>0</v>
      </c>
      <c r="K11" s="13">
        <f t="shared" si="5"/>
        <v>0</v>
      </c>
      <c r="L11" s="1">
        <v>0</v>
      </c>
      <c r="M11" s="13">
        <f t="shared" si="6"/>
        <v>0</v>
      </c>
      <c r="N11" s="3">
        <f t="shared" si="0"/>
        <v>49</v>
      </c>
    </row>
    <row r="12" spans="1:14" ht="13.5" customHeight="1" x14ac:dyDescent="0.25">
      <c r="A12" s="5" t="s">
        <v>8</v>
      </c>
      <c r="B12" s="1">
        <v>17</v>
      </c>
      <c r="C12" s="13">
        <f t="shared" si="1"/>
        <v>0.17708333333333334</v>
      </c>
      <c r="D12" s="1">
        <v>54</v>
      </c>
      <c r="E12" s="13">
        <f t="shared" si="2"/>
        <v>0.5625</v>
      </c>
      <c r="F12" s="1">
        <v>25</v>
      </c>
      <c r="G12" s="13">
        <f t="shared" si="3"/>
        <v>0.26041666666666669</v>
      </c>
      <c r="H12" s="1">
        <v>0</v>
      </c>
      <c r="I12" s="13">
        <f t="shared" si="4"/>
        <v>0</v>
      </c>
      <c r="J12" s="1">
        <v>0</v>
      </c>
      <c r="K12" s="13">
        <f t="shared" si="5"/>
        <v>0</v>
      </c>
      <c r="L12" s="1">
        <v>0</v>
      </c>
      <c r="M12" s="13">
        <f t="shared" si="6"/>
        <v>0</v>
      </c>
      <c r="N12" s="3">
        <f t="shared" si="0"/>
        <v>96</v>
      </c>
    </row>
    <row r="13" spans="1:14" ht="13.5" customHeight="1" x14ac:dyDescent="0.25">
      <c r="A13" s="5" t="s">
        <v>71</v>
      </c>
      <c r="B13" s="1">
        <v>9</v>
      </c>
      <c r="C13" s="13">
        <f t="shared" si="1"/>
        <v>0.19148936170212766</v>
      </c>
      <c r="D13" s="1">
        <v>16</v>
      </c>
      <c r="E13" s="13">
        <f t="shared" si="2"/>
        <v>0.34042553191489361</v>
      </c>
      <c r="F13" s="1">
        <v>19</v>
      </c>
      <c r="G13" s="13">
        <f t="shared" si="3"/>
        <v>0.40425531914893614</v>
      </c>
      <c r="H13" s="1">
        <v>3</v>
      </c>
      <c r="I13" s="13">
        <f t="shared" si="4"/>
        <v>6.3829787234042548E-2</v>
      </c>
      <c r="J13" s="1">
        <v>0</v>
      </c>
      <c r="K13" s="13">
        <f t="shared" si="5"/>
        <v>0</v>
      </c>
      <c r="L13" s="1">
        <v>0</v>
      </c>
      <c r="M13" s="13">
        <f t="shared" si="6"/>
        <v>0</v>
      </c>
      <c r="N13" s="3">
        <f t="shared" si="0"/>
        <v>47</v>
      </c>
    </row>
    <row r="14" spans="1:14" ht="13.5" customHeight="1" x14ac:dyDescent="0.25">
      <c r="A14" s="5" t="s">
        <v>10</v>
      </c>
      <c r="B14" s="1">
        <v>15</v>
      </c>
      <c r="C14" s="13">
        <f t="shared" si="1"/>
        <v>0.24193548387096775</v>
      </c>
      <c r="D14" s="1">
        <v>27</v>
      </c>
      <c r="E14" s="13">
        <f t="shared" si="2"/>
        <v>0.43548387096774194</v>
      </c>
      <c r="F14" s="1">
        <v>12</v>
      </c>
      <c r="G14" s="13">
        <f t="shared" si="3"/>
        <v>0.19354838709677419</v>
      </c>
      <c r="H14" s="1">
        <v>8</v>
      </c>
      <c r="I14" s="13">
        <f t="shared" si="4"/>
        <v>0.12903225806451613</v>
      </c>
      <c r="J14" s="1">
        <v>0</v>
      </c>
      <c r="K14" s="13">
        <f t="shared" si="5"/>
        <v>0</v>
      </c>
      <c r="L14" s="1">
        <v>0</v>
      </c>
      <c r="M14" s="13">
        <f t="shared" si="6"/>
        <v>0</v>
      </c>
      <c r="N14" s="3">
        <f t="shared" si="0"/>
        <v>62</v>
      </c>
    </row>
    <row r="15" spans="1:14" ht="13.5" customHeight="1" x14ac:dyDescent="0.25">
      <c r="A15" s="5" t="s">
        <v>104</v>
      </c>
      <c r="B15" s="1">
        <v>1</v>
      </c>
      <c r="C15" s="13">
        <f t="shared" si="1"/>
        <v>0.14285714285714285</v>
      </c>
      <c r="D15" s="1">
        <v>6</v>
      </c>
      <c r="E15" s="13">
        <f t="shared" si="2"/>
        <v>0.8571428571428571</v>
      </c>
      <c r="F15" s="1">
        <v>0</v>
      </c>
      <c r="G15" s="13">
        <f t="shared" si="3"/>
        <v>0</v>
      </c>
      <c r="H15" s="1">
        <v>0</v>
      </c>
      <c r="I15" s="13">
        <f t="shared" si="4"/>
        <v>0</v>
      </c>
      <c r="J15" s="1">
        <v>0</v>
      </c>
      <c r="K15" s="13">
        <f t="shared" si="5"/>
        <v>0</v>
      </c>
      <c r="L15" s="1">
        <v>0</v>
      </c>
      <c r="M15" s="13">
        <f t="shared" si="6"/>
        <v>0</v>
      </c>
      <c r="N15" s="3">
        <f t="shared" si="0"/>
        <v>7</v>
      </c>
    </row>
    <row r="16" spans="1:14" ht="13.5" customHeight="1" x14ac:dyDescent="0.25">
      <c r="A16" s="5" t="s">
        <v>11</v>
      </c>
      <c r="B16" s="1">
        <v>5</v>
      </c>
      <c r="C16" s="13">
        <f t="shared" si="1"/>
        <v>0.1111111111111111</v>
      </c>
      <c r="D16" s="1">
        <v>18</v>
      </c>
      <c r="E16" s="13">
        <f t="shared" si="2"/>
        <v>0.4</v>
      </c>
      <c r="F16" s="1">
        <v>13</v>
      </c>
      <c r="G16" s="13">
        <f t="shared" si="3"/>
        <v>0.28888888888888886</v>
      </c>
      <c r="H16" s="1">
        <v>9</v>
      </c>
      <c r="I16" s="13">
        <f t="shared" si="4"/>
        <v>0.2</v>
      </c>
      <c r="J16" s="1">
        <v>0</v>
      </c>
      <c r="K16" s="13">
        <f t="shared" si="5"/>
        <v>0</v>
      </c>
      <c r="L16" s="1">
        <v>0</v>
      </c>
      <c r="M16" s="13">
        <f t="shared" si="6"/>
        <v>0</v>
      </c>
      <c r="N16" s="3">
        <f t="shared" si="0"/>
        <v>45</v>
      </c>
    </row>
    <row r="17" spans="1:14" ht="13.5" customHeight="1" x14ac:dyDescent="0.25">
      <c r="A17" s="5" t="s">
        <v>42</v>
      </c>
      <c r="B17" s="1">
        <v>68</v>
      </c>
      <c r="C17" s="13">
        <f t="shared" si="1"/>
        <v>0.27309236947791166</v>
      </c>
      <c r="D17" s="1">
        <v>160</v>
      </c>
      <c r="E17" s="13">
        <f t="shared" si="2"/>
        <v>0.64257028112449799</v>
      </c>
      <c r="F17" s="1">
        <v>19</v>
      </c>
      <c r="G17" s="13">
        <f t="shared" si="3"/>
        <v>7.6305220883534142E-2</v>
      </c>
      <c r="H17" s="1">
        <v>1</v>
      </c>
      <c r="I17" s="13">
        <f t="shared" si="4"/>
        <v>4.0160642570281121E-3</v>
      </c>
      <c r="J17" s="1">
        <v>1</v>
      </c>
      <c r="K17" s="13">
        <f t="shared" si="5"/>
        <v>4.0160642570281121E-3</v>
      </c>
      <c r="L17" s="1">
        <v>0</v>
      </c>
      <c r="M17" s="13">
        <f t="shared" si="6"/>
        <v>0</v>
      </c>
      <c r="N17" s="3">
        <f t="shared" si="0"/>
        <v>249</v>
      </c>
    </row>
    <row r="18" spans="1:14" ht="13.5" customHeight="1" x14ac:dyDescent="0.25">
      <c r="A18" s="5" t="s">
        <v>12</v>
      </c>
      <c r="B18" s="1">
        <v>13</v>
      </c>
      <c r="C18" s="13">
        <f t="shared" si="1"/>
        <v>0.30952380952380953</v>
      </c>
      <c r="D18" s="1">
        <v>12</v>
      </c>
      <c r="E18" s="13">
        <f t="shared" si="2"/>
        <v>0.2857142857142857</v>
      </c>
      <c r="F18" s="1">
        <v>11</v>
      </c>
      <c r="G18" s="13">
        <f t="shared" si="3"/>
        <v>0.26190476190476192</v>
      </c>
      <c r="H18" s="1">
        <v>6</v>
      </c>
      <c r="I18" s="13">
        <f t="shared" si="4"/>
        <v>0.14285714285714285</v>
      </c>
      <c r="J18" s="1">
        <v>0</v>
      </c>
      <c r="K18" s="13">
        <f t="shared" si="5"/>
        <v>0</v>
      </c>
      <c r="L18" s="1">
        <v>0</v>
      </c>
      <c r="M18" s="13">
        <f t="shared" si="6"/>
        <v>0</v>
      </c>
      <c r="N18" s="3">
        <f t="shared" si="0"/>
        <v>42</v>
      </c>
    </row>
    <row r="19" spans="1:14" ht="13.5" customHeight="1" x14ac:dyDescent="0.25">
      <c r="A19" s="5" t="s">
        <v>13</v>
      </c>
      <c r="B19" s="1">
        <v>1</v>
      </c>
      <c r="C19" s="13">
        <f t="shared" si="1"/>
        <v>0.2</v>
      </c>
      <c r="D19" s="1">
        <v>2</v>
      </c>
      <c r="E19" s="13">
        <f t="shared" si="2"/>
        <v>0.4</v>
      </c>
      <c r="F19" s="1">
        <v>2</v>
      </c>
      <c r="G19" s="13">
        <f t="shared" si="3"/>
        <v>0.4</v>
      </c>
      <c r="H19" s="1">
        <v>0</v>
      </c>
      <c r="I19" s="13">
        <f t="shared" si="4"/>
        <v>0</v>
      </c>
      <c r="J19" s="1">
        <v>0</v>
      </c>
      <c r="K19" s="13">
        <f t="shared" si="5"/>
        <v>0</v>
      </c>
      <c r="L19" s="1">
        <v>0</v>
      </c>
      <c r="M19" s="13">
        <f t="shared" si="6"/>
        <v>0</v>
      </c>
      <c r="N19" s="3">
        <f t="shared" si="0"/>
        <v>5</v>
      </c>
    </row>
    <row r="20" spans="1:14" ht="13.5" customHeight="1" x14ac:dyDescent="0.25">
      <c r="A20" s="5" t="s">
        <v>105</v>
      </c>
      <c r="B20" s="1">
        <v>7</v>
      </c>
      <c r="C20" s="13">
        <f t="shared" si="1"/>
        <v>0.21212121212121213</v>
      </c>
      <c r="D20" s="1">
        <v>20</v>
      </c>
      <c r="E20" s="13">
        <f t="shared" si="2"/>
        <v>0.60606060606060608</v>
      </c>
      <c r="F20" s="1">
        <v>5</v>
      </c>
      <c r="G20" s="13">
        <f t="shared" si="3"/>
        <v>0.15151515151515152</v>
      </c>
      <c r="H20" s="1">
        <v>1</v>
      </c>
      <c r="I20" s="13">
        <f t="shared" si="4"/>
        <v>3.0303030303030304E-2</v>
      </c>
      <c r="J20" s="1">
        <v>0</v>
      </c>
      <c r="K20" s="13">
        <f t="shared" si="5"/>
        <v>0</v>
      </c>
      <c r="L20" s="1">
        <v>0</v>
      </c>
      <c r="M20" s="13">
        <f t="shared" si="6"/>
        <v>0</v>
      </c>
      <c r="N20" s="3">
        <f t="shared" si="0"/>
        <v>33</v>
      </c>
    </row>
    <row r="21" spans="1:14" ht="13.5" customHeight="1" x14ac:dyDescent="0.25">
      <c r="A21" s="5" t="s">
        <v>14</v>
      </c>
      <c r="B21" s="1">
        <v>19</v>
      </c>
      <c r="C21" s="13">
        <f t="shared" si="1"/>
        <v>0.16814159292035399</v>
      </c>
      <c r="D21" s="1">
        <v>54</v>
      </c>
      <c r="E21" s="13">
        <f t="shared" si="2"/>
        <v>0.47787610619469029</v>
      </c>
      <c r="F21" s="1">
        <v>35</v>
      </c>
      <c r="G21" s="13">
        <f t="shared" si="3"/>
        <v>0.30973451327433627</v>
      </c>
      <c r="H21" s="1">
        <v>4</v>
      </c>
      <c r="I21" s="13">
        <f t="shared" si="4"/>
        <v>3.5398230088495575E-2</v>
      </c>
      <c r="J21" s="1">
        <v>0</v>
      </c>
      <c r="K21" s="13">
        <f t="shared" si="5"/>
        <v>0</v>
      </c>
      <c r="L21" s="1">
        <v>1</v>
      </c>
      <c r="M21" s="13">
        <f t="shared" si="6"/>
        <v>8.8495575221238937E-3</v>
      </c>
      <c r="N21" s="3">
        <f t="shared" si="0"/>
        <v>113</v>
      </c>
    </row>
    <row r="22" spans="1:14" ht="13.5" customHeight="1" x14ac:dyDescent="0.25">
      <c r="A22" s="5" t="s">
        <v>15</v>
      </c>
      <c r="B22" s="1">
        <v>10</v>
      </c>
      <c r="C22" s="13">
        <f t="shared" si="1"/>
        <v>0.16129032258064516</v>
      </c>
      <c r="D22" s="1">
        <v>15</v>
      </c>
      <c r="E22" s="13">
        <f t="shared" si="2"/>
        <v>0.24193548387096775</v>
      </c>
      <c r="F22" s="1">
        <v>22</v>
      </c>
      <c r="G22" s="13">
        <f t="shared" si="3"/>
        <v>0.35483870967741937</v>
      </c>
      <c r="H22" s="1">
        <v>11</v>
      </c>
      <c r="I22" s="13">
        <f t="shared" si="4"/>
        <v>0.17741935483870969</v>
      </c>
      <c r="J22" s="1">
        <v>4</v>
      </c>
      <c r="K22" s="13">
        <f t="shared" si="5"/>
        <v>6.4516129032258063E-2</v>
      </c>
      <c r="L22" s="1">
        <v>0</v>
      </c>
      <c r="M22" s="13">
        <f t="shared" si="6"/>
        <v>0</v>
      </c>
      <c r="N22" s="3">
        <f t="shared" si="0"/>
        <v>62</v>
      </c>
    </row>
    <row r="23" spans="1:14" ht="13.5" customHeight="1" x14ac:dyDescent="0.25">
      <c r="A23" s="5" t="s">
        <v>16</v>
      </c>
      <c r="B23" s="1">
        <v>17</v>
      </c>
      <c r="C23" s="13">
        <f t="shared" si="1"/>
        <v>0.21249999999999999</v>
      </c>
      <c r="D23" s="1">
        <v>60</v>
      </c>
      <c r="E23" s="13">
        <f t="shared" si="2"/>
        <v>0.75</v>
      </c>
      <c r="F23" s="1">
        <v>3</v>
      </c>
      <c r="G23" s="13">
        <f t="shared" si="3"/>
        <v>3.7499999999999999E-2</v>
      </c>
      <c r="H23" s="1">
        <v>0</v>
      </c>
      <c r="I23" s="13">
        <f t="shared" si="4"/>
        <v>0</v>
      </c>
      <c r="J23" s="1">
        <v>0</v>
      </c>
      <c r="K23" s="13">
        <f t="shared" si="5"/>
        <v>0</v>
      </c>
      <c r="L23" s="1">
        <v>0</v>
      </c>
      <c r="M23" s="13">
        <f t="shared" si="6"/>
        <v>0</v>
      </c>
      <c r="N23" s="3">
        <f t="shared" si="0"/>
        <v>80</v>
      </c>
    </row>
    <row r="24" spans="1:14" ht="13.5" customHeight="1" x14ac:dyDescent="0.25">
      <c r="A24" s="5" t="s">
        <v>109</v>
      </c>
      <c r="B24" s="1">
        <v>13</v>
      </c>
      <c r="C24" s="13">
        <f t="shared" si="1"/>
        <v>0.39393939393939392</v>
      </c>
      <c r="D24" s="1">
        <v>19</v>
      </c>
      <c r="E24" s="13">
        <f t="shared" si="2"/>
        <v>0.5757575757575758</v>
      </c>
      <c r="F24" s="1">
        <v>1</v>
      </c>
      <c r="G24" s="13">
        <f t="shared" si="3"/>
        <v>3.0303030303030304E-2</v>
      </c>
      <c r="H24" s="1">
        <v>0</v>
      </c>
      <c r="I24" s="13">
        <f t="shared" si="4"/>
        <v>0</v>
      </c>
      <c r="J24" s="1">
        <v>0</v>
      </c>
      <c r="K24" s="13">
        <f t="shared" si="5"/>
        <v>0</v>
      </c>
      <c r="L24" s="1">
        <v>0</v>
      </c>
      <c r="M24" s="13">
        <f t="shared" si="6"/>
        <v>0</v>
      </c>
      <c r="N24" s="3">
        <f t="shared" si="0"/>
        <v>33</v>
      </c>
    </row>
    <row r="25" spans="1:14" ht="13.5" customHeight="1" x14ac:dyDescent="0.25">
      <c r="A25" s="5" t="s">
        <v>17</v>
      </c>
      <c r="B25" s="1">
        <v>3</v>
      </c>
      <c r="C25" s="13">
        <f t="shared" si="1"/>
        <v>8.8235294117647065E-2</v>
      </c>
      <c r="D25" s="1">
        <v>26</v>
      </c>
      <c r="E25" s="13">
        <f t="shared" si="2"/>
        <v>0.76470588235294112</v>
      </c>
      <c r="F25" s="1">
        <v>5</v>
      </c>
      <c r="G25" s="13">
        <f t="shared" si="3"/>
        <v>0.14705882352941177</v>
      </c>
      <c r="H25" s="1">
        <v>0</v>
      </c>
      <c r="I25" s="13">
        <f t="shared" si="4"/>
        <v>0</v>
      </c>
      <c r="J25" s="1">
        <v>0</v>
      </c>
      <c r="K25" s="13">
        <f t="shared" si="5"/>
        <v>0</v>
      </c>
      <c r="L25" s="1">
        <v>0</v>
      </c>
      <c r="M25" s="13">
        <f t="shared" si="6"/>
        <v>0</v>
      </c>
      <c r="N25" s="3">
        <f t="shared" si="0"/>
        <v>34</v>
      </c>
    </row>
    <row r="26" spans="1:14" ht="13.5" customHeight="1" x14ac:dyDescent="0.25">
      <c r="A26" s="5" t="s">
        <v>18</v>
      </c>
      <c r="B26" s="1">
        <v>6</v>
      </c>
      <c r="C26" s="13">
        <f t="shared" ref="C26:C31" si="7">B26/N26</f>
        <v>0.1111111111111111</v>
      </c>
      <c r="D26" s="1">
        <v>41</v>
      </c>
      <c r="E26" s="13">
        <f t="shared" ref="E26:E31" si="8">D26/N26</f>
        <v>0.7592592592592593</v>
      </c>
      <c r="F26" s="1">
        <v>7</v>
      </c>
      <c r="G26" s="13">
        <f t="shared" ref="G26:G31" si="9">F26/N26</f>
        <v>0.12962962962962962</v>
      </c>
      <c r="H26" s="1">
        <v>0</v>
      </c>
      <c r="I26" s="13">
        <f t="shared" ref="I26:I31" si="10">H26/N26</f>
        <v>0</v>
      </c>
      <c r="J26" s="1">
        <v>0</v>
      </c>
      <c r="K26" s="13">
        <f t="shared" ref="K26:K31" si="11">J26/N26</f>
        <v>0</v>
      </c>
      <c r="L26" s="1">
        <v>0</v>
      </c>
      <c r="M26" s="13">
        <f t="shared" ref="M26:M31" si="12">L26/N26</f>
        <v>0</v>
      </c>
      <c r="N26" s="3">
        <f t="shared" ref="N26:N31" si="13">B26+D26+F26+H26+J26+L26</f>
        <v>54</v>
      </c>
    </row>
    <row r="27" spans="1:14" ht="13.5" customHeight="1" x14ac:dyDescent="0.25">
      <c r="A27" s="5" t="s">
        <v>19</v>
      </c>
      <c r="B27" s="1">
        <v>12</v>
      </c>
      <c r="C27" s="13">
        <f t="shared" si="7"/>
        <v>0.13043478260869565</v>
      </c>
      <c r="D27" s="1">
        <v>55</v>
      </c>
      <c r="E27" s="13">
        <f t="shared" si="8"/>
        <v>0.59782608695652173</v>
      </c>
      <c r="F27" s="1">
        <v>24</v>
      </c>
      <c r="G27" s="13">
        <f t="shared" si="9"/>
        <v>0.2608695652173913</v>
      </c>
      <c r="H27" s="1">
        <v>0</v>
      </c>
      <c r="I27" s="13">
        <f t="shared" si="10"/>
        <v>0</v>
      </c>
      <c r="J27" s="1">
        <v>1</v>
      </c>
      <c r="K27" s="13">
        <f t="shared" si="11"/>
        <v>1.0869565217391304E-2</v>
      </c>
      <c r="L27" s="1">
        <v>0</v>
      </c>
      <c r="M27" s="13">
        <f t="shared" si="12"/>
        <v>0</v>
      </c>
      <c r="N27" s="3">
        <f t="shared" si="13"/>
        <v>92</v>
      </c>
    </row>
    <row r="28" spans="1:14" ht="13.5" customHeight="1" x14ac:dyDescent="0.25">
      <c r="A28" s="5" t="s">
        <v>21</v>
      </c>
      <c r="B28" s="1">
        <v>4</v>
      </c>
      <c r="C28" s="13">
        <f t="shared" si="7"/>
        <v>0.15384615384615385</v>
      </c>
      <c r="D28" s="1">
        <v>14</v>
      </c>
      <c r="E28" s="13">
        <f t="shared" si="8"/>
        <v>0.53846153846153844</v>
      </c>
      <c r="F28" s="1">
        <v>8</v>
      </c>
      <c r="G28" s="13">
        <f t="shared" si="9"/>
        <v>0.30769230769230771</v>
      </c>
      <c r="H28" s="1">
        <v>0</v>
      </c>
      <c r="I28" s="13">
        <f t="shared" si="10"/>
        <v>0</v>
      </c>
      <c r="J28" s="1">
        <v>0</v>
      </c>
      <c r="K28" s="13">
        <f t="shared" si="11"/>
        <v>0</v>
      </c>
      <c r="L28" s="1">
        <v>0</v>
      </c>
      <c r="M28" s="13">
        <f t="shared" si="12"/>
        <v>0</v>
      </c>
      <c r="N28" s="3">
        <f t="shared" si="13"/>
        <v>26</v>
      </c>
    </row>
    <row r="29" spans="1:14" ht="13.5" customHeight="1" x14ac:dyDescent="0.25">
      <c r="A29" s="5" t="s">
        <v>38</v>
      </c>
      <c r="B29" s="1">
        <v>3</v>
      </c>
      <c r="C29" s="13">
        <f t="shared" si="7"/>
        <v>0.11538461538461539</v>
      </c>
      <c r="D29" s="1">
        <v>20</v>
      </c>
      <c r="E29" s="13">
        <f t="shared" si="8"/>
        <v>0.76923076923076927</v>
      </c>
      <c r="F29" s="1">
        <v>3</v>
      </c>
      <c r="G29" s="13">
        <f t="shared" si="9"/>
        <v>0.11538461538461539</v>
      </c>
      <c r="H29" s="1">
        <v>0</v>
      </c>
      <c r="I29" s="13">
        <f t="shared" si="10"/>
        <v>0</v>
      </c>
      <c r="J29" s="1">
        <v>0</v>
      </c>
      <c r="K29" s="13">
        <f t="shared" si="11"/>
        <v>0</v>
      </c>
      <c r="L29" s="1">
        <v>0</v>
      </c>
      <c r="M29" s="13">
        <f t="shared" si="12"/>
        <v>0</v>
      </c>
      <c r="N29" s="3">
        <f t="shared" si="13"/>
        <v>26</v>
      </c>
    </row>
    <row r="30" spans="1:14" ht="13.5" customHeight="1" x14ac:dyDescent="0.25">
      <c r="A30" s="5" t="s">
        <v>39</v>
      </c>
      <c r="B30" s="1">
        <v>1</v>
      </c>
      <c r="C30" s="13">
        <f t="shared" si="7"/>
        <v>0.16666666666666666</v>
      </c>
      <c r="D30" s="1">
        <v>5</v>
      </c>
      <c r="E30" s="13">
        <f t="shared" si="8"/>
        <v>0.83333333333333337</v>
      </c>
      <c r="F30" s="1">
        <v>0</v>
      </c>
      <c r="G30" s="13">
        <f t="shared" si="9"/>
        <v>0</v>
      </c>
      <c r="H30" s="1">
        <v>0</v>
      </c>
      <c r="I30" s="13">
        <f t="shared" si="10"/>
        <v>0</v>
      </c>
      <c r="J30" s="1">
        <v>0</v>
      </c>
      <c r="K30" s="13">
        <f t="shared" si="11"/>
        <v>0</v>
      </c>
      <c r="L30" s="1">
        <v>0</v>
      </c>
      <c r="M30" s="13">
        <f t="shared" si="12"/>
        <v>0</v>
      </c>
      <c r="N30" s="3">
        <f t="shared" si="13"/>
        <v>6</v>
      </c>
    </row>
    <row r="31" spans="1:14" ht="13.5" customHeight="1" x14ac:dyDescent="0.25">
      <c r="A31" s="5" t="s">
        <v>22</v>
      </c>
      <c r="B31" s="1">
        <v>18</v>
      </c>
      <c r="C31" s="13">
        <f t="shared" si="7"/>
        <v>0.19565217391304349</v>
      </c>
      <c r="D31" s="1">
        <v>68</v>
      </c>
      <c r="E31" s="13">
        <f t="shared" si="8"/>
        <v>0.73913043478260865</v>
      </c>
      <c r="F31" s="1">
        <v>5</v>
      </c>
      <c r="G31" s="13">
        <f t="shared" si="9"/>
        <v>5.434782608695652E-2</v>
      </c>
      <c r="H31" s="1">
        <v>1</v>
      </c>
      <c r="I31" s="13">
        <f t="shared" si="10"/>
        <v>1.0869565217391304E-2</v>
      </c>
      <c r="J31" s="1">
        <v>0</v>
      </c>
      <c r="K31" s="13">
        <f t="shared" si="11"/>
        <v>0</v>
      </c>
      <c r="L31" s="1">
        <v>0</v>
      </c>
      <c r="M31" s="13">
        <f t="shared" si="12"/>
        <v>0</v>
      </c>
      <c r="N31" s="3">
        <f t="shared" si="13"/>
        <v>92</v>
      </c>
    </row>
    <row r="32" spans="1:14" ht="13.5" customHeight="1" x14ac:dyDescent="0.25">
      <c r="A32" s="5" t="s">
        <v>40</v>
      </c>
      <c r="B32" s="1">
        <v>4</v>
      </c>
      <c r="C32" s="13">
        <f t="shared" si="1"/>
        <v>8.8888888888888892E-2</v>
      </c>
      <c r="D32" s="1">
        <v>37</v>
      </c>
      <c r="E32" s="13">
        <f t="shared" si="2"/>
        <v>0.82222222222222219</v>
      </c>
      <c r="F32" s="1">
        <v>4</v>
      </c>
      <c r="G32" s="13">
        <f t="shared" si="3"/>
        <v>8.8888888888888892E-2</v>
      </c>
      <c r="H32" s="1">
        <v>0</v>
      </c>
      <c r="I32" s="13">
        <f t="shared" si="4"/>
        <v>0</v>
      </c>
      <c r="J32" s="1">
        <v>0</v>
      </c>
      <c r="K32" s="13">
        <f t="shared" si="5"/>
        <v>0</v>
      </c>
      <c r="L32" s="1">
        <v>0</v>
      </c>
      <c r="M32" s="13">
        <f t="shared" si="6"/>
        <v>0</v>
      </c>
      <c r="N32" s="3">
        <f t="shared" si="0"/>
        <v>45</v>
      </c>
    </row>
    <row r="33" spans="1:14" ht="13.5" customHeight="1" x14ac:dyDescent="0.25">
      <c r="A33" s="5" t="s">
        <v>72</v>
      </c>
      <c r="B33" s="1">
        <v>3</v>
      </c>
      <c r="C33" s="13">
        <f t="shared" si="1"/>
        <v>5.3571428571428568E-2</v>
      </c>
      <c r="D33" s="1">
        <v>38</v>
      </c>
      <c r="E33" s="13">
        <f t="shared" si="2"/>
        <v>0.6785714285714286</v>
      </c>
      <c r="F33" s="1">
        <v>15</v>
      </c>
      <c r="G33" s="13">
        <f t="shared" si="3"/>
        <v>0.26785714285714285</v>
      </c>
      <c r="H33" s="1">
        <v>0</v>
      </c>
      <c r="I33" s="13">
        <f t="shared" si="4"/>
        <v>0</v>
      </c>
      <c r="J33" s="1">
        <v>0</v>
      </c>
      <c r="K33" s="13">
        <f t="shared" si="5"/>
        <v>0</v>
      </c>
      <c r="L33" s="1">
        <v>0</v>
      </c>
      <c r="M33" s="13">
        <f t="shared" si="6"/>
        <v>0</v>
      </c>
      <c r="N33" s="3">
        <f t="shared" si="0"/>
        <v>56</v>
      </c>
    </row>
    <row r="34" spans="1:14" ht="13.5" customHeight="1" x14ac:dyDescent="0.25">
      <c r="A34" s="5" t="s">
        <v>110</v>
      </c>
      <c r="B34" s="1">
        <v>13</v>
      </c>
      <c r="C34" s="13">
        <f t="shared" si="1"/>
        <v>0.3611111111111111</v>
      </c>
      <c r="D34" s="1">
        <v>22</v>
      </c>
      <c r="E34" s="13">
        <f t="shared" si="2"/>
        <v>0.61111111111111116</v>
      </c>
      <c r="F34" s="1">
        <v>1</v>
      </c>
      <c r="G34" s="13">
        <f t="shared" si="3"/>
        <v>2.7777777777777776E-2</v>
      </c>
      <c r="H34" s="1">
        <v>0</v>
      </c>
      <c r="I34" s="13">
        <f t="shared" si="4"/>
        <v>0</v>
      </c>
      <c r="J34" s="1">
        <v>0</v>
      </c>
      <c r="K34" s="13">
        <f t="shared" si="5"/>
        <v>0</v>
      </c>
      <c r="L34" s="1">
        <v>0</v>
      </c>
      <c r="M34" s="13">
        <f t="shared" si="6"/>
        <v>0</v>
      </c>
      <c r="N34" s="3">
        <f t="shared" si="0"/>
        <v>36</v>
      </c>
    </row>
    <row r="35" spans="1:14" ht="13.5" customHeight="1" x14ac:dyDescent="0.25">
      <c r="A35" s="5" t="s">
        <v>94</v>
      </c>
      <c r="B35" s="1">
        <v>0</v>
      </c>
      <c r="C35" s="13">
        <f t="shared" si="1"/>
        <v>0</v>
      </c>
      <c r="D35" s="1">
        <v>6</v>
      </c>
      <c r="E35" s="13">
        <f t="shared" si="2"/>
        <v>0.75</v>
      </c>
      <c r="F35" s="1">
        <v>2</v>
      </c>
      <c r="G35" s="13">
        <f t="shared" si="3"/>
        <v>0.25</v>
      </c>
      <c r="H35" s="1">
        <v>0</v>
      </c>
      <c r="I35" s="13">
        <f t="shared" si="4"/>
        <v>0</v>
      </c>
      <c r="J35" s="1">
        <v>0</v>
      </c>
      <c r="K35" s="13">
        <f t="shared" si="5"/>
        <v>0</v>
      </c>
      <c r="L35" s="1">
        <v>0</v>
      </c>
      <c r="M35" s="13">
        <f t="shared" si="6"/>
        <v>0</v>
      </c>
      <c r="N35" s="3">
        <f t="shared" si="0"/>
        <v>8</v>
      </c>
    </row>
    <row r="36" spans="1:14" ht="13.5" customHeight="1" x14ac:dyDescent="0.25">
      <c r="A36" s="5" t="s">
        <v>23</v>
      </c>
      <c r="B36" s="1">
        <v>7</v>
      </c>
      <c r="C36" s="13">
        <f t="shared" si="1"/>
        <v>0.12727272727272726</v>
      </c>
      <c r="D36" s="1">
        <v>32</v>
      </c>
      <c r="E36" s="13">
        <f t="shared" si="2"/>
        <v>0.58181818181818179</v>
      </c>
      <c r="F36" s="1">
        <v>15</v>
      </c>
      <c r="G36" s="13">
        <f t="shared" si="3"/>
        <v>0.27272727272727271</v>
      </c>
      <c r="H36" s="1">
        <v>1</v>
      </c>
      <c r="I36" s="13">
        <f t="shared" si="4"/>
        <v>1.8181818181818181E-2</v>
      </c>
      <c r="J36" s="1">
        <v>0</v>
      </c>
      <c r="K36" s="13">
        <f t="shared" si="5"/>
        <v>0</v>
      </c>
      <c r="L36" s="1">
        <v>0</v>
      </c>
      <c r="M36" s="13">
        <f t="shared" si="6"/>
        <v>0</v>
      </c>
      <c r="N36" s="3">
        <f t="shared" si="0"/>
        <v>55</v>
      </c>
    </row>
    <row r="37" spans="1:14" ht="13.5" customHeight="1" x14ac:dyDescent="0.25">
      <c r="A37" s="5" t="s">
        <v>1</v>
      </c>
      <c r="B37" s="1">
        <v>5</v>
      </c>
      <c r="C37" s="13">
        <f t="shared" si="1"/>
        <v>3.937007874015748E-2</v>
      </c>
      <c r="D37" s="1">
        <v>86</v>
      </c>
      <c r="E37" s="13">
        <f t="shared" si="2"/>
        <v>0.67716535433070868</v>
      </c>
      <c r="F37" s="1">
        <v>36</v>
      </c>
      <c r="G37" s="13">
        <f t="shared" si="3"/>
        <v>0.28346456692913385</v>
      </c>
      <c r="H37" s="1">
        <v>0</v>
      </c>
      <c r="I37" s="13">
        <f t="shared" si="4"/>
        <v>0</v>
      </c>
      <c r="J37" s="1">
        <v>0</v>
      </c>
      <c r="K37" s="13">
        <f t="shared" si="5"/>
        <v>0</v>
      </c>
      <c r="L37" s="1">
        <v>0</v>
      </c>
      <c r="M37" s="13">
        <f t="shared" si="6"/>
        <v>0</v>
      </c>
      <c r="N37" s="3">
        <f t="shared" si="0"/>
        <v>127</v>
      </c>
    </row>
    <row r="38" spans="1:14" ht="13.5" customHeight="1" x14ac:dyDescent="0.25">
      <c r="A38" s="5" t="s">
        <v>95</v>
      </c>
      <c r="B38" s="1">
        <v>2</v>
      </c>
      <c r="C38" s="13">
        <f t="shared" si="1"/>
        <v>5.7142857142857141E-2</v>
      </c>
      <c r="D38" s="1">
        <v>18</v>
      </c>
      <c r="E38" s="13">
        <f t="shared" si="2"/>
        <v>0.51428571428571423</v>
      </c>
      <c r="F38" s="1">
        <v>13</v>
      </c>
      <c r="G38" s="13">
        <f t="shared" si="3"/>
        <v>0.37142857142857144</v>
      </c>
      <c r="H38" s="1">
        <v>2</v>
      </c>
      <c r="I38" s="13">
        <f t="shared" si="4"/>
        <v>5.7142857142857141E-2</v>
      </c>
      <c r="J38" s="1">
        <v>0</v>
      </c>
      <c r="K38" s="13">
        <f t="shared" si="5"/>
        <v>0</v>
      </c>
      <c r="L38" s="1">
        <v>0</v>
      </c>
      <c r="M38" s="13">
        <f t="shared" si="6"/>
        <v>0</v>
      </c>
      <c r="N38" s="3">
        <f t="shared" si="0"/>
        <v>35</v>
      </c>
    </row>
    <row r="39" spans="1:14" ht="13.5" customHeight="1" x14ac:dyDescent="0.25">
      <c r="A39" s="5" t="s">
        <v>24</v>
      </c>
      <c r="B39" s="1">
        <v>38</v>
      </c>
      <c r="C39" s="13">
        <f t="shared" si="1"/>
        <v>0.37254901960784315</v>
      </c>
      <c r="D39" s="1">
        <v>26</v>
      </c>
      <c r="E39" s="13">
        <f t="shared" si="2"/>
        <v>0.25490196078431371</v>
      </c>
      <c r="F39" s="1">
        <v>18</v>
      </c>
      <c r="G39" s="13">
        <f t="shared" si="3"/>
        <v>0.17647058823529413</v>
      </c>
      <c r="H39" s="1">
        <v>16</v>
      </c>
      <c r="I39" s="13">
        <f t="shared" si="4"/>
        <v>0.15686274509803921</v>
      </c>
      <c r="J39" s="1">
        <v>4</v>
      </c>
      <c r="K39" s="13">
        <f t="shared" si="5"/>
        <v>3.9215686274509803E-2</v>
      </c>
      <c r="L39" s="1">
        <v>0</v>
      </c>
      <c r="M39" s="13">
        <f t="shared" si="6"/>
        <v>0</v>
      </c>
      <c r="N39" s="3">
        <f t="shared" si="0"/>
        <v>102</v>
      </c>
    </row>
    <row r="40" spans="1:14" ht="13.5" customHeight="1" x14ac:dyDescent="0.25">
      <c r="A40" s="5" t="s">
        <v>25</v>
      </c>
      <c r="B40" s="1">
        <v>7</v>
      </c>
      <c r="C40" s="13">
        <f t="shared" si="1"/>
        <v>0.15909090909090909</v>
      </c>
      <c r="D40" s="1">
        <v>19</v>
      </c>
      <c r="E40" s="13">
        <f t="shared" si="2"/>
        <v>0.43181818181818182</v>
      </c>
      <c r="F40" s="1">
        <v>11</v>
      </c>
      <c r="G40" s="13">
        <f t="shared" si="3"/>
        <v>0.25</v>
      </c>
      <c r="H40" s="1">
        <v>6</v>
      </c>
      <c r="I40" s="13">
        <f t="shared" si="4"/>
        <v>0.13636363636363635</v>
      </c>
      <c r="J40" s="1">
        <v>1</v>
      </c>
      <c r="K40" s="13">
        <f t="shared" si="5"/>
        <v>2.2727272727272728E-2</v>
      </c>
      <c r="L40" s="1">
        <v>0</v>
      </c>
      <c r="M40" s="13">
        <f t="shared" si="6"/>
        <v>0</v>
      </c>
      <c r="N40" s="3">
        <f t="shared" si="0"/>
        <v>44</v>
      </c>
    </row>
    <row r="41" spans="1:14" ht="13.5" customHeight="1" x14ac:dyDescent="0.25">
      <c r="A41" s="5" t="s">
        <v>74</v>
      </c>
      <c r="B41" s="1">
        <v>1</v>
      </c>
      <c r="C41" s="13">
        <f t="shared" si="1"/>
        <v>0.25</v>
      </c>
      <c r="D41" s="1">
        <v>3</v>
      </c>
      <c r="E41" s="13">
        <f t="shared" si="2"/>
        <v>0.75</v>
      </c>
      <c r="F41" s="1">
        <v>0</v>
      </c>
      <c r="G41" s="13">
        <f t="shared" si="3"/>
        <v>0</v>
      </c>
      <c r="H41" s="1">
        <v>0</v>
      </c>
      <c r="I41" s="13">
        <f t="shared" si="4"/>
        <v>0</v>
      </c>
      <c r="J41" s="1">
        <v>0</v>
      </c>
      <c r="K41" s="13">
        <f t="shared" si="5"/>
        <v>0</v>
      </c>
      <c r="L41" s="1">
        <v>0</v>
      </c>
      <c r="M41" s="13">
        <f t="shared" si="6"/>
        <v>0</v>
      </c>
      <c r="N41" s="3">
        <f t="shared" si="0"/>
        <v>4</v>
      </c>
    </row>
    <row r="42" spans="1:14" ht="13.5" customHeight="1" x14ac:dyDescent="0.25">
      <c r="A42" s="5" t="s">
        <v>96</v>
      </c>
      <c r="B42" s="1">
        <v>1</v>
      </c>
      <c r="C42" s="13">
        <f t="shared" si="1"/>
        <v>1</v>
      </c>
      <c r="D42" s="1">
        <v>0</v>
      </c>
      <c r="E42" s="13">
        <f t="shared" si="2"/>
        <v>0</v>
      </c>
      <c r="F42" s="1">
        <v>0</v>
      </c>
      <c r="G42" s="13">
        <f t="shared" si="3"/>
        <v>0</v>
      </c>
      <c r="H42" s="1">
        <v>0</v>
      </c>
      <c r="I42" s="13">
        <f t="shared" si="4"/>
        <v>0</v>
      </c>
      <c r="J42" s="1">
        <v>0</v>
      </c>
      <c r="K42" s="13">
        <f t="shared" si="5"/>
        <v>0</v>
      </c>
      <c r="L42" s="1">
        <v>0</v>
      </c>
      <c r="M42" s="13">
        <f t="shared" si="6"/>
        <v>0</v>
      </c>
      <c r="N42" s="3">
        <f t="shared" si="0"/>
        <v>1</v>
      </c>
    </row>
    <row r="43" spans="1:14" ht="13.5" customHeight="1" x14ac:dyDescent="0.25">
      <c r="A43" s="5" t="s">
        <v>97</v>
      </c>
      <c r="B43" s="1">
        <v>0</v>
      </c>
      <c r="C43" s="13">
        <f t="shared" si="1"/>
        <v>0</v>
      </c>
      <c r="D43" s="1">
        <v>5</v>
      </c>
      <c r="E43" s="13">
        <f t="shared" si="2"/>
        <v>1</v>
      </c>
      <c r="F43" s="1">
        <v>0</v>
      </c>
      <c r="G43" s="13">
        <f t="shared" si="3"/>
        <v>0</v>
      </c>
      <c r="H43" s="1">
        <v>0</v>
      </c>
      <c r="I43" s="13">
        <f t="shared" si="4"/>
        <v>0</v>
      </c>
      <c r="J43" s="1">
        <v>0</v>
      </c>
      <c r="K43" s="13">
        <f t="shared" si="5"/>
        <v>0</v>
      </c>
      <c r="L43" s="1">
        <v>0</v>
      </c>
      <c r="M43" s="13">
        <f t="shared" si="6"/>
        <v>0</v>
      </c>
      <c r="N43" s="3">
        <f t="shared" si="0"/>
        <v>5</v>
      </c>
    </row>
    <row r="44" spans="1:14" ht="13.5" customHeight="1" x14ac:dyDescent="0.25">
      <c r="A44" s="5" t="s">
        <v>26</v>
      </c>
      <c r="B44" s="1">
        <v>2</v>
      </c>
      <c r="C44" s="13">
        <f t="shared" si="1"/>
        <v>6.6666666666666666E-2</v>
      </c>
      <c r="D44" s="1">
        <v>17</v>
      </c>
      <c r="E44" s="13">
        <f t="shared" si="2"/>
        <v>0.56666666666666665</v>
      </c>
      <c r="F44" s="1">
        <v>9</v>
      </c>
      <c r="G44" s="13">
        <f t="shared" si="3"/>
        <v>0.3</v>
      </c>
      <c r="H44" s="1">
        <v>2</v>
      </c>
      <c r="I44" s="13">
        <f t="shared" si="4"/>
        <v>6.6666666666666666E-2</v>
      </c>
      <c r="J44" s="1">
        <v>0</v>
      </c>
      <c r="K44" s="13">
        <f t="shared" si="5"/>
        <v>0</v>
      </c>
      <c r="L44" s="1">
        <v>0</v>
      </c>
      <c r="M44" s="13">
        <f t="shared" si="6"/>
        <v>0</v>
      </c>
      <c r="N44" s="3">
        <f t="shared" si="0"/>
        <v>30</v>
      </c>
    </row>
    <row r="45" spans="1:14" ht="13.5" customHeight="1" x14ac:dyDescent="0.25">
      <c r="A45" s="5" t="s">
        <v>27</v>
      </c>
      <c r="B45" s="1">
        <v>14</v>
      </c>
      <c r="C45" s="13">
        <f t="shared" si="1"/>
        <v>0.25</v>
      </c>
      <c r="D45" s="1">
        <v>35</v>
      </c>
      <c r="E45" s="13">
        <f t="shared" si="2"/>
        <v>0.625</v>
      </c>
      <c r="F45" s="1">
        <v>6</v>
      </c>
      <c r="G45" s="13">
        <f t="shared" si="3"/>
        <v>0.10714285714285714</v>
      </c>
      <c r="H45" s="1">
        <v>1</v>
      </c>
      <c r="I45" s="13">
        <f t="shared" si="4"/>
        <v>1.7857142857142856E-2</v>
      </c>
      <c r="J45" s="1">
        <v>0</v>
      </c>
      <c r="K45" s="13">
        <f t="shared" si="5"/>
        <v>0</v>
      </c>
      <c r="L45" s="1">
        <v>0</v>
      </c>
      <c r="M45" s="13">
        <f t="shared" si="6"/>
        <v>0</v>
      </c>
      <c r="N45" s="3">
        <f t="shared" si="0"/>
        <v>56</v>
      </c>
    </row>
    <row r="46" spans="1:14" ht="13.5" customHeight="1" x14ac:dyDescent="0.25">
      <c r="A46" s="5" t="s">
        <v>28</v>
      </c>
      <c r="B46" s="1">
        <v>10</v>
      </c>
      <c r="C46" s="13">
        <f t="shared" si="1"/>
        <v>0.29411764705882354</v>
      </c>
      <c r="D46" s="1">
        <v>17</v>
      </c>
      <c r="E46" s="13">
        <f t="shared" si="2"/>
        <v>0.5</v>
      </c>
      <c r="F46" s="1">
        <v>7</v>
      </c>
      <c r="G46" s="13">
        <f t="shared" si="3"/>
        <v>0.20588235294117646</v>
      </c>
      <c r="H46" s="1">
        <v>0</v>
      </c>
      <c r="I46" s="13">
        <f t="shared" si="4"/>
        <v>0</v>
      </c>
      <c r="J46" s="1">
        <v>0</v>
      </c>
      <c r="K46" s="13">
        <f t="shared" si="5"/>
        <v>0</v>
      </c>
      <c r="L46" s="1">
        <v>0</v>
      </c>
      <c r="M46" s="13">
        <f t="shared" si="6"/>
        <v>0</v>
      </c>
      <c r="N46" s="3">
        <f t="shared" si="0"/>
        <v>34</v>
      </c>
    </row>
    <row r="47" spans="1:14" ht="13.5" customHeight="1" x14ac:dyDescent="0.25">
      <c r="A47" s="5" t="s">
        <v>106</v>
      </c>
      <c r="B47" s="1">
        <v>2</v>
      </c>
      <c r="C47" s="13">
        <f t="shared" si="1"/>
        <v>0.125</v>
      </c>
      <c r="D47" s="1">
        <v>8</v>
      </c>
      <c r="E47" s="13">
        <f t="shared" si="2"/>
        <v>0.5</v>
      </c>
      <c r="F47" s="1">
        <v>4</v>
      </c>
      <c r="G47" s="13">
        <f t="shared" si="3"/>
        <v>0.25</v>
      </c>
      <c r="H47" s="1">
        <v>2</v>
      </c>
      <c r="I47" s="13">
        <f t="shared" si="4"/>
        <v>0.125</v>
      </c>
      <c r="J47" s="1">
        <v>0</v>
      </c>
      <c r="K47" s="13">
        <f t="shared" si="5"/>
        <v>0</v>
      </c>
      <c r="L47" s="1">
        <v>0</v>
      </c>
      <c r="M47" s="13">
        <f t="shared" si="6"/>
        <v>0</v>
      </c>
      <c r="N47" s="3">
        <f t="shared" si="0"/>
        <v>16</v>
      </c>
    </row>
    <row r="48" spans="1:14" ht="13.5" customHeight="1" x14ac:dyDescent="0.25">
      <c r="A48" s="5" t="s">
        <v>29</v>
      </c>
      <c r="B48" s="1">
        <v>35</v>
      </c>
      <c r="C48" s="13">
        <f t="shared" si="1"/>
        <v>0.36842105263157893</v>
      </c>
      <c r="D48" s="1">
        <v>29</v>
      </c>
      <c r="E48" s="13">
        <f t="shared" si="2"/>
        <v>0.30526315789473685</v>
      </c>
      <c r="F48" s="1">
        <v>17</v>
      </c>
      <c r="G48" s="13">
        <f t="shared" si="3"/>
        <v>0.17894736842105263</v>
      </c>
      <c r="H48" s="1">
        <v>14</v>
      </c>
      <c r="I48" s="13">
        <f t="shared" si="4"/>
        <v>0.14736842105263157</v>
      </c>
      <c r="J48" s="1">
        <v>0</v>
      </c>
      <c r="K48" s="13">
        <f t="shared" si="5"/>
        <v>0</v>
      </c>
      <c r="L48" s="1">
        <v>0</v>
      </c>
      <c r="M48" s="13">
        <f t="shared" si="6"/>
        <v>0</v>
      </c>
      <c r="N48" s="3">
        <f t="shared" si="0"/>
        <v>95</v>
      </c>
    </row>
    <row r="49" spans="1:14" ht="13.5" customHeight="1" x14ac:dyDescent="0.25">
      <c r="A49" s="5" t="s">
        <v>30</v>
      </c>
      <c r="B49" s="1">
        <v>1</v>
      </c>
      <c r="C49" s="13">
        <f t="shared" si="1"/>
        <v>3.125E-2</v>
      </c>
      <c r="D49" s="1">
        <v>20</v>
      </c>
      <c r="E49" s="13">
        <f t="shared" si="2"/>
        <v>0.625</v>
      </c>
      <c r="F49" s="1">
        <v>8</v>
      </c>
      <c r="G49" s="13">
        <f t="shared" si="3"/>
        <v>0.25</v>
      </c>
      <c r="H49" s="1">
        <v>3</v>
      </c>
      <c r="I49" s="13">
        <f t="shared" si="4"/>
        <v>9.375E-2</v>
      </c>
      <c r="J49" s="1">
        <v>0</v>
      </c>
      <c r="K49" s="13">
        <f t="shared" si="5"/>
        <v>0</v>
      </c>
      <c r="L49" s="1">
        <v>0</v>
      </c>
      <c r="M49" s="13">
        <f t="shared" si="6"/>
        <v>0</v>
      </c>
      <c r="N49" s="3">
        <f t="shared" si="0"/>
        <v>32</v>
      </c>
    </row>
    <row r="50" spans="1:14" ht="13.5" customHeight="1" x14ac:dyDescent="0.25">
      <c r="A50" s="5" t="s">
        <v>98</v>
      </c>
      <c r="B50" s="1">
        <v>3</v>
      </c>
      <c r="C50" s="13">
        <f t="shared" si="1"/>
        <v>0.125</v>
      </c>
      <c r="D50" s="1">
        <v>6</v>
      </c>
      <c r="E50" s="13">
        <f t="shared" si="2"/>
        <v>0.25</v>
      </c>
      <c r="F50" s="1">
        <v>10</v>
      </c>
      <c r="G50" s="13">
        <f t="shared" si="3"/>
        <v>0.41666666666666669</v>
      </c>
      <c r="H50" s="1">
        <v>5</v>
      </c>
      <c r="I50" s="13">
        <f t="shared" si="4"/>
        <v>0.20833333333333334</v>
      </c>
      <c r="J50" s="1">
        <v>0</v>
      </c>
      <c r="K50" s="13">
        <f t="shared" si="5"/>
        <v>0</v>
      </c>
      <c r="L50" s="1">
        <v>0</v>
      </c>
      <c r="M50" s="13">
        <f t="shared" si="6"/>
        <v>0</v>
      </c>
      <c r="N50" s="3">
        <f t="shared" si="0"/>
        <v>24</v>
      </c>
    </row>
    <row r="51" spans="1:14" ht="13.5" customHeight="1" x14ac:dyDescent="0.25">
      <c r="A51" s="5" t="s">
        <v>99</v>
      </c>
      <c r="B51" s="1">
        <v>1</v>
      </c>
      <c r="C51" s="13">
        <f t="shared" si="1"/>
        <v>0.25</v>
      </c>
      <c r="D51" s="1">
        <v>2</v>
      </c>
      <c r="E51" s="13">
        <f t="shared" si="2"/>
        <v>0.5</v>
      </c>
      <c r="F51" s="1">
        <v>1</v>
      </c>
      <c r="G51" s="13">
        <f t="shared" si="3"/>
        <v>0.25</v>
      </c>
      <c r="H51" s="1">
        <v>0</v>
      </c>
      <c r="I51" s="13">
        <f t="shared" si="4"/>
        <v>0</v>
      </c>
      <c r="J51" s="1">
        <v>0</v>
      </c>
      <c r="K51" s="13">
        <f t="shared" si="5"/>
        <v>0</v>
      </c>
      <c r="L51" s="1">
        <v>0</v>
      </c>
      <c r="M51" s="13">
        <f t="shared" si="6"/>
        <v>0</v>
      </c>
      <c r="N51" s="3">
        <f t="shared" si="0"/>
        <v>4</v>
      </c>
    </row>
    <row r="52" spans="1:14" ht="13.5" customHeight="1" x14ac:dyDescent="0.25">
      <c r="A52" s="5" t="s">
        <v>31</v>
      </c>
      <c r="B52" s="1">
        <v>18</v>
      </c>
      <c r="C52" s="13">
        <f t="shared" si="1"/>
        <v>0.18367346938775511</v>
      </c>
      <c r="D52" s="1">
        <v>73</v>
      </c>
      <c r="E52" s="13">
        <f t="shared" si="2"/>
        <v>0.74489795918367352</v>
      </c>
      <c r="F52" s="1">
        <v>5</v>
      </c>
      <c r="G52" s="13">
        <f t="shared" si="3"/>
        <v>5.1020408163265307E-2</v>
      </c>
      <c r="H52" s="1">
        <v>2</v>
      </c>
      <c r="I52" s="13">
        <f t="shared" si="4"/>
        <v>2.0408163265306121E-2</v>
      </c>
      <c r="J52" s="1">
        <v>0</v>
      </c>
      <c r="K52" s="13">
        <f t="shared" si="5"/>
        <v>0</v>
      </c>
      <c r="L52" s="1">
        <v>0</v>
      </c>
      <c r="M52" s="13">
        <f t="shared" si="6"/>
        <v>0</v>
      </c>
      <c r="N52" s="3">
        <f t="shared" si="0"/>
        <v>98</v>
      </c>
    </row>
    <row r="53" spans="1:14" ht="13.5" customHeight="1" x14ac:dyDescent="0.25">
      <c r="A53" s="5" t="s">
        <v>32</v>
      </c>
      <c r="B53" s="1">
        <v>0</v>
      </c>
      <c r="C53" s="13">
        <f t="shared" si="1"/>
        <v>0</v>
      </c>
      <c r="D53" s="1">
        <v>2</v>
      </c>
      <c r="E53" s="13">
        <f t="shared" si="2"/>
        <v>0.33333333333333331</v>
      </c>
      <c r="F53" s="1">
        <v>2</v>
      </c>
      <c r="G53" s="13">
        <f t="shared" si="3"/>
        <v>0.33333333333333331</v>
      </c>
      <c r="H53" s="1">
        <v>2</v>
      </c>
      <c r="I53" s="13">
        <f t="shared" si="4"/>
        <v>0.33333333333333331</v>
      </c>
      <c r="J53" s="1">
        <v>0</v>
      </c>
      <c r="K53" s="13">
        <f t="shared" si="5"/>
        <v>0</v>
      </c>
      <c r="L53" s="1">
        <v>0</v>
      </c>
      <c r="M53" s="13">
        <f t="shared" si="6"/>
        <v>0</v>
      </c>
      <c r="N53" s="3">
        <f t="shared" si="0"/>
        <v>6</v>
      </c>
    </row>
    <row r="54" spans="1:14" ht="13.5" customHeight="1" x14ac:dyDescent="0.25">
      <c r="A54" s="5" t="s">
        <v>100</v>
      </c>
      <c r="B54" s="1">
        <v>16</v>
      </c>
      <c r="C54" s="13">
        <f t="shared" si="1"/>
        <v>8.8888888888888892E-2</v>
      </c>
      <c r="D54" s="1">
        <v>110</v>
      </c>
      <c r="E54" s="13">
        <f t="shared" si="2"/>
        <v>0.61111111111111116</v>
      </c>
      <c r="F54" s="1">
        <v>48</v>
      </c>
      <c r="G54" s="13">
        <f t="shared" si="3"/>
        <v>0.26666666666666666</v>
      </c>
      <c r="H54" s="1">
        <v>5</v>
      </c>
      <c r="I54" s="13">
        <f t="shared" si="4"/>
        <v>2.7777777777777776E-2</v>
      </c>
      <c r="J54" s="1">
        <v>1</v>
      </c>
      <c r="K54" s="13">
        <f t="shared" si="5"/>
        <v>5.5555555555555558E-3</v>
      </c>
      <c r="L54" s="1">
        <v>0</v>
      </c>
      <c r="M54" s="13">
        <f t="shared" si="6"/>
        <v>0</v>
      </c>
      <c r="N54" s="3">
        <f t="shared" si="0"/>
        <v>180</v>
      </c>
    </row>
    <row r="55" spans="1:14" x14ac:dyDescent="0.25">
      <c r="A55" s="5" t="s">
        <v>33</v>
      </c>
      <c r="B55" s="1">
        <v>3</v>
      </c>
      <c r="C55" s="13">
        <f t="shared" si="1"/>
        <v>0.2</v>
      </c>
      <c r="D55" s="1">
        <v>7</v>
      </c>
      <c r="E55" s="13">
        <f t="shared" si="2"/>
        <v>0.46666666666666667</v>
      </c>
      <c r="F55" s="1">
        <v>4</v>
      </c>
      <c r="G55" s="13">
        <f t="shared" si="3"/>
        <v>0.26666666666666666</v>
      </c>
      <c r="H55" s="1">
        <v>1</v>
      </c>
      <c r="I55" s="13">
        <f t="shared" si="4"/>
        <v>6.6666666666666666E-2</v>
      </c>
      <c r="J55" s="1">
        <v>0</v>
      </c>
      <c r="K55" s="13">
        <f t="shared" si="5"/>
        <v>0</v>
      </c>
      <c r="L55" s="1">
        <v>0</v>
      </c>
      <c r="M55" s="13">
        <f t="shared" si="6"/>
        <v>0</v>
      </c>
      <c r="N55" s="3">
        <f t="shared" si="0"/>
        <v>15</v>
      </c>
    </row>
    <row r="56" spans="1:14" x14ac:dyDescent="0.25">
      <c r="A56" s="5" t="s">
        <v>34</v>
      </c>
      <c r="B56" s="1">
        <v>2</v>
      </c>
      <c r="C56" s="13">
        <f t="shared" si="1"/>
        <v>0.125</v>
      </c>
      <c r="D56" s="1">
        <v>11</v>
      </c>
      <c r="E56" s="13">
        <f t="shared" si="2"/>
        <v>0.6875</v>
      </c>
      <c r="F56" s="1">
        <v>3</v>
      </c>
      <c r="G56" s="13">
        <f t="shared" si="3"/>
        <v>0.1875</v>
      </c>
      <c r="H56" s="1">
        <v>0</v>
      </c>
      <c r="I56" s="13">
        <f t="shared" si="4"/>
        <v>0</v>
      </c>
      <c r="J56" s="1">
        <v>0</v>
      </c>
      <c r="K56" s="13">
        <f t="shared" si="5"/>
        <v>0</v>
      </c>
      <c r="L56" s="1">
        <v>0</v>
      </c>
      <c r="M56" s="13">
        <f t="shared" si="6"/>
        <v>0</v>
      </c>
      <c r="N56" s="3">
        <f t="shared" si="0"/>
        <v>16</v>
      </c>
    </row>
    <row r="57" spans="1:14" x14ac:dyDescent="0.25">
      <c r="A57" s="5" t="s">
        <v>35</v>
      </c>
      <c r="B57" s="1">
        <v>12</v>
      </c>
      <c r="C57" s="13">
        <f t="shared" si="1"/>
        <v>0.21052631578947367</v>
      </c>
      <c r="D57" s="1">
        <v>15</v>
      </c>
      <c r="E57" s="13">
        <f t="shared" si="2"/>
        <v>0.26315789473684209</v>
      </c>
      <c r="F57" s="1">
        <v>22</v>
      </c>
      <c r="G57" s="13">
        <f t="shared" si="3"/>
        <v>0.38596491228070173</v>
      </c>
      <c r="H57" s="1">
        <v>6</v>
      </c>
      <c r="I57" s="13">
        <f t="shared" si="4"/>
        <v>0.10526315789473684</v>
      </c>
      <c r="J57" s="1">
        <v>2</v>
      </c>
      <c r="K57" s="13">
        <f t="shared" si="5"/>
        <v>3.5087719298245612E-2</v>
      </c>
      <c r="L57" s="1">
        <v>0</v>
      </c>
      <c r="M57" s="13">
        <f t="shared" si="6"/>
        <v>0</v>
      </c>
      <c r="N57" s="3">
        <f t="shared" si="0"/>
        <v>57</v>
      </c>
    </row>
    <row r="58" spans="1:14" x14ac:dyDescent="0.25">
      <c r="A58" s="5" t="s">
        <v>49</v>
      </c>
      <c r="B58" s="1">
        <v>1</v>
      </c>
      <c r="C58" s="13">
        <f t="shared" si="1"/>
        <v>0.5</v>
      </c>
      <c r="D58" s="1">
        <v>1</v>
      </c>
      <c r="E58" s="13">
        <f t="shared" si="2"/>
        <v>0.5</v>
      </c>
      <c r="F58" s="1">
        <v>0</v>
      </c>
      <c r="G58" s="13">
        <f t="shared" si="3"/>
        <v>0</v>
      </c>
      <c r="H58" s="1">
        <v>0</v>
      </c>
      <c r="I58" s="13">
        <f t="shared" si="4"/>
        <v>0</v>
      </c>
      <c r="J58" s="1">
        <v>0</v>
      </c>
      <c r="K58" s="13">
        <f t="shared" si="5"/>
        <v>0</v>
      </c>
      <c r="L58" s="1">
        <v>0</v>
      </c>
      <c r="M58" s="13">
        <f t="shared" si="6"/>
        <v>0</v>
      </c>
      <c r="N58" s="3">
        <f t="shared" si="0"/>
        <v>2</v>
      </c>
    </row>
    <row r="59" spans="1:14" ht="15.75" thickBot="1" x14ac:dyDescent="0.3">
      <c r="A59" s="7" t="s">
        <v>36</v>
      </c>
      <c r="B59" s="8">
        <v>0</v>
      </c>
      <c r="C59" s="14">
        <f t="shared" si="1"/>
        <v>0</v>
      </c>
      <c r="D59" s="8">
        <v>0</v>
      </c>
      <c r="E59" s="14">
        <f t="shared" si="2"/>
        <v>0</v>
      </c>
      <c r="F59" s="8">
        <v>0</v>
      </c>
      <c r="G59" s="14">
        <f t="shared" si="3"/>
        <v>0</v>
      </c>
      <c r="H59" s="8">
        <v>0</v>
      </c>
      <c r="I59" s="14">
        <f t="shared" si="4"/>
        <v>0</v>
      </c>
      <c r="J59" s="8">
        <v>1</v>
      </c>
      <c r="K59" s="14">
        <f t="shared" si="5"/>
        <v>1</v>
      </c>
      <c r="L59" s="8">
        <v>0</v>
      </c>
      <c r="M59" s="14">
        <f t="shared" si="6"/>
        <v>0</v>
      </c>
      <c r="N59" s="6">
        <f t="shared" si="0"/>
        <v>1</v>
      </c>
    </row>
    <row r="60" spans="1:14" ht="16.5" thickTop="1" thickBot="1" x14ac:dyDescent="0.3">
      <c r="A60" s="2" t="s">
        <v>41</v>
      </c>
      <c r="B60" s="2">
        <f>SUM(B6:B59)</f>
        <v>501</v>
      </c>
      <c r="C60" s="15">
        <f t="shared" si="1"/>
        <v>0.18271334792122537</v>
      </c>
      <c r="D60" s="2">
        <f>SUM(D6:D59)</f>
        <v>1535</v>
      </c>
      <c r="E60" s="15">
        <f t="shared" si="2"/>
        <v>0.55981035740335516</v>
      </c>
      <c r="F60" s="2">
        <f>SUM(F6:F59)</f>
        <v>558</v>
      </c>
      <c r="G60" s="15">
        <f t="shared" si="3"/>
        <v>0.20350109409190373</v>
      </c>
      <c r="H60" s="2">
        <f>SUM(H6:H59)</f>
        <v>124</v>
      </c>
      <c r="I60" s="15">
        <f t="shared" si="4"/>
        <v>4.5222465353756382E-2</v>
      </c>
      <c r="J60" s="2">
        <f>SUM(J6:J59)</f>
        <v>23</v>
      </c>
      <c r="K60" s="15">
        <f t="shared" si="5"/>
        <v>8.3880379285193284E-3</v>
      </c>
      <c r="L60" s="2">
        <f>SUM(L6:L59)</f>
        <v>1</v>
      </c>
      <c r="M60" s="15">
        <f t="shared" si="6"/>
        <v>3.6469730123997083E-4</v>
      </c>
      <c r="N60" s="4">
        <f>SUM(N6:N59)</f>
        <v>2742</v>
      </c>
    </row>
    <row r="61" spans="1:14" ht="15.75" thickBo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1:14" x14ac:dyDescent="0.25">
      <c r="A62" s="43" t="s">
        <v>57</v>
      </c>
      <c r="B62" s="35" t="s">
        <v>52</v>
      </c>
      <c r="C62" s="36"/>
      <c r="D62" s="35" t="s">
        <v>53</v>
      </c>
      <c r="E62" s="36"/>
      <c r="F62" s="35" t="s">
        <v>54</v>
      </c>
      <c r="G62" s="36"/>
      <c r="H62" s="35" t="s">
        <v>55</v>
      </c>
      <c r="I62" s="36"/>
      <c r="J62" s="35" t="s">
        <v>45</v>
      </c>
      <c r="K62" s="36"/>
      <c r="L62" s="35" t="s">
        <v>46</v>
      </c>
      <c r="M62" s="36"/>
      <c r="N62" s="39" t="s">
        <v>0</v>
      </c>
    </row>
    <row r="63" spans="1:14" x14ac:dyDescent="0.25">
      <c r="A63" s="44"/>
      <c r="B63" s="37"/>
      <c r="C63" s="38"/>
      <c r="D63" s="37"/>
      <c r="E63" s="38"/>
      <c r="F63" s="37"/>
      <c r="G63" s="38"/>
      <c r="H63" s="37"/>
      <c r="I63" s="38"/>
      <c r="J63" s="37"/>
      <c r="K63" s="38"/>
      <c r="L63" s="37"/>
      <c r="M63" s="38"/>
      <c r="N63" s="40"/>
    </row>
    <row r="64" spans="1:14" x14ac:dyDescent="0.25">
      <c r="A64" s="5" t="s">
        <v>62</v>
      </c>
      <c r="B64" s="1">
        <v>87</v>
      </c>
      <c r="C64" s="13">
        <f t="shared" ref="C64:C72" si="14">B64/N64</f>
        <v>0.18995633187772926</v>
      </c>
      <c r="D64" s="1">
        <v>303</v>
      </c>
      <c r="E64" s="13">
        <f t="shared" ref="E64:E72" si="15">D64/N64</f>
        <v>0.66157205240174677</v>
      </c>
      <c r="F64" s="1">
        <v>64</v>
      </c>
      <c r="G64" s="13">
        <f t="shared" ref="G64:G72" si="16">F64/N64</f>
        <v>0.13973799126637554</v>
      </c>
      <c r="H64" s="1">
        <v>4</v>
      </c>
      <c r="I64" s="13">
        <f t="shared" ref="I64:I72" si="17">H64/N64</f>
        <v>8.7336244541484712E-3</v>
      </c>
      <c r="J64" s="1">
        <v>0</v>
      </c>
      <c r="K64" s="13">
        <f t="shared" ref="K64:K72" si="18">J64/N64</f>
        <v>0</v>
      </c>
      <c r="L64" s="1">
        <v>0</v>
      </c>
      <c r="M64" s="13">
        <f t="shared" ref="M64:M72" si="19">L64/N64</f>
        <v>0</v>
      </c>
      <c r="N64" s="3">
        <f t="shared" ref="N64:N71" si="20">B64+D64+F64+H64+J64+L64</f>
        <v>458</v>
      </c>
    </row>
    <row r="65" spans="1:14" x14ac:dyDescent="0.25">
      <c r="A65" s="5" t="s">
        <v>63</v>
      </c>
      <c r="B65" s="1">
        <v>9</v>
      </c>
      <c r="C65" s="13">
        <f t="shared" si="14"/>
        <v>9.7826086956521743E-2</v>
      </c>
      <c r="D65" s="1">
        <v>45</v>
      </c>
      <c r="E65" s="13">
        <f t="shared" si="15"/>
        <v>0.4891304347826087</v>
      </c>
      <c r="F65" s="1">
        <v>30</v>
      </c>
      <c r="G65" s="13">
        <f t="shared" si="16"/>
        <v>0.32608695652173914</v>
      </c>
      <c r="H65" s="1">
        <v>3</v>
      </c>
      <c r="I65" s="13">
        <f t="shared" si="17"/>
        <v>3.2608695652173912E-2</v>
      </c>
      <c r="J65" s="1">
        <v>5</v>
      </c>
      <c r="K65" s="13">
        <f t="shared" si="18"/>
        <v>5.434782608695652E-2</v>
      </c>
      <c r="L65" s="1">
        <v>0</v>
      </c>
      <c r="M65" s="13">
        <f t="shared" si="19"/>
        <v>0</v>
      </c>
      <c r="N65" s="3">
        <f t="shared" si="20"/>
        <v>92</v>
      </c>
    </row>
    <row r="66" spans="1:14" x14ac:dyDescent="0.25">
      <c r="A66" s="5" t="s">
        <v>64</v>
      </c>
      <c r="B66" s="1">
        <v>75</v>
      </c>
      <c r="C66" s="13">
        <f t="shared" si="14"/>
        <v>0.25684931506849318</v>
      </c>
      <c r="D66" s="1">
        <v>180</v>
      </c>
      <c r="E66" s="13">
        <f t="shared" si="15"/>
        <v>0.61643835616438358</v>
      </c>
      <c r="F66" s="1">
        <v>30</v>
      </c>
      <c r="G66" s="13">
        <f t="shared" si="16"/>
        <v>0.10273972602739725</v>
      </c>
      <c r="H66" s="1">
        <v>6</v>
      </c>
      <c r="I66" s="13">
        <f t="shared" si="17"/>
        <v>2.0547945205479451E-2</v>
      </c>
      <c r="J66" s="1">
        <v>1</v>
      </c>
      <c r="K66" s="13">
        <f t="shared" si="18"/>
        <v>3.4246575342465752E-3</v>
      </c>
      <c r="L66" s="1">
        <v>0</v>
      </c>
      <c r="M66" s="13">
        <f t="shared" si="19"/>
        <v>0</v>
      </c>
      <c r="N66" s="3">
        <f t="shared" si="20"/>
        <v>292</v>
      </c>
    </row>
    <row r="67" spans="1:14" x14ac:dyDescent="0.25">
      <c r="A67" s="5" t="s">
        <v>103</v>
      </c>
      <c r="B67" s="1">
        <v>49</v>
      </c>
      <c r="C67" s="13">
        <f t="shared" si="14"/>
        <v>0.17818181818181819</v>
      </c>
      <c r="D67" s="1">
        <v>97</v>
      </c>
      <c r="E67" s="13">
        <f t="shared" si="15"/>
        <v>0.35272727272727272</v>
      </c>
      <c r="F67" s="1">
        <v>87</v>
      </c>
      <c r="G67" s="13">
        <f t="shared" si="16"/>
        <v>0.31636363636363635</v>
      </c>
      <c r="H67" s="1">
        <v>36</v>
      </c>
      <c r="I67" s="13">
        <f t="shared" si="17"/>
        <v>0.13090909090909092</v>
      </c>
      <c r="J67" s="1">
        <v>6</v>
      </c>
      <c r="K67" s="13">
        <f t="shared" si="18"/>
        <v>2.181818181818182E-2</v>
      </c>
      <c r="L67" s="1">
        <v>0</v>
      </c>
      <c r="M67" s="13">
        <f t="shared" si="19"/>
        <v>0</v>
      </c>
      <c r="N67" s="3">
        <f t="shared" si="20"/>
        <v>275</v>
      </c>
    </row>
    <row r="68" spans="1:14" x14ac:dyDescent="0.25">
      <c r="A68" s="5" t="s">
        <v>1</v>
      </c>
      <c r="B68" s="1">
        <v>5</v>
      </c>
      <c r="C68" s="13">
        <f t="shared" si="14"/>
        <v>3.937007874015748E-2</v>
      </c>
      <c r="D68" s="1">
        <v>86</v>
      </c>
      <c r="E68" s="13">
        <f t="shared" si="15"/>
        <v>0.67716535433070868</v>
      </c>
      <c r="F68" s="1">
        <v>36</v>
      </c>
      <c r="G68" s="13">
        <f t="shared" si="16"/>
        <v>0.28346456692913385</v>
      </c>
      <c r="H68" s="1">
        <v>0</v>
      </c>
      <c r="I68" s="13">
        <f t="shared" si="17"/>
        <v>0</v>
      </c>
      <c r="J68" s="1">
        <v>0</v>
      </c>
      <c r="K68" s="13">
        <f t="shared" si="18"/>
        <v>0</v>
      </c>
      <c r="L68" s="1">
        <v>0</v>
      </c>
      <c r="M68" s="13">
        <f t="shared" si="19"/>
        <v>0</v>
      </c>
      <c r="N68" s="3">
        <f t="shared" si="20"/>
        <v>127</v>
      </c>
    </row>
    <row r="69" spans="1:14" x14ac:dyDescent="0.25">
      <c r="A69" s="5" t="s">
        <v>66</v>
      </c>
      <c r="B69" s="1">
        <v>71</v>
      </c>
      <c r="C69" s="13">
        <f t="shared" si="14"/>
        <v>0.15955056179775282</v>
      </c>
      <c r="D69" s="1">
        <v>268</v>
      </c>
      <c r="E69" s="13">
        <f t="shared" si="15"/>
        <v>0.60224719101123592</v>
      </c>
      <c r="F69" s="1">
        <v>92</v>
      </c>
      <c r="G69" s="13">
        <f t="shared" si="16"/>
        <v>0.20674157303370785</v>
      </c>
      <c r="H69" s="1">
        <v>11</v>
      </c>
      <c r="I69" s="13">
        <f t="shared" si="17"/>
        <v>2.4719101123595506E-2</v>
      </c>
      <c r="J69" s="1">
        <v>3</v>
      </c>
      <c r="K69" s="13">
        <f t="shared" si="18"/>
        <v>6.7415730337078653E-3</v>
      </c>
      <c r="L69" s="1">
        <v>0</v>
      </c>
      <c r="M69" s="13">
        <f t="shared" si="19"/>
        <v>0</v>
      </c>
      <c r="N69" s="3">
        <f t="shared" si="20"/>
        <v>445</v>
      </c>
    </row>
    <row r="70" spans="1:14" x14ac:dyDescent="0.25">
      <c r="A70" s="5" t="s">
        <v>67</v>
      </c>
      <c r="B70" s="1">
        <v>114</v>
      </c>
      <c r="C70" s="13">
        <f t="shared" si="14"/>
        <v>0.27469879518072288</v>
      </c>
      <c r="D70" s="1">
        <v>150</v>
      </c>
      <c r="E70" s="13">
        <f t="shared" si="15"/>
        <v>0.36144578313253012</v>
      </c>
      <c r="F70" s="1">
        <v>95</v>
      </c>
      <c r="G70" s="13">
        <f t="shared" si="16"/>
        <v>0.2289156626506024</v>
      </c>
      <c r="H70" s="1">
        <v>50</v>
      </c>
      <c r="I70" s="13">
        <f t="shared" si="17"/>
        <v>0.12048192771084337</v>
      </c>
      <c r="J70" s="1">
        <v>6</v>
      </c>
      <c r="K70" s="13">
        <f t="shared" si="18"/>
        <v>1.4457831325301205E-2</v>
      </c>
      <c r="L70" s="1">
        <v>0</v>
      </c>
      <c r="M70" s="13">
        <f t="shared" si="19"/>
        <v>0</v>
      </c>
      <c r="N70" s="3">
        <f t="shared" si="20"/>
        <v>415</v>
      </c>
    </row>
    <row r="71" spans="1:14" ht="15.75" thickBot="1" x14ac:dyDescent="0.3">
      <c r="A71" s="7" t="s">
        <v>68</v>
      </c>
      <c r="B71" s="8">
        <v>91</v>
      </c>
      <c r="C71" s="14">
        <f t="shared" si="14"/>
        <v>0.14263322884012539</v>
      </c>
      <c r="D71" s="8">
        <v>406</v>
      </c>
      <c r="E71" s="14">
        <f t="shared" si="15"/>
        <v>0.63636363636363635</v>
      </c>
      <c r="F71" s="8">
        <v>124</v>
      </c>
      <c r="G71" s="14">
        <f t="shared" si="16"/>
        <v>0.19435736677115986</v>
      </c>
      <c r="H71" s="8">
        <v>14</v>
      </c>
      <c r="I71" s="14">
        <f t="shared" si="17"/>
        <v>2.1943573667711599E-2</v>
      </c>
      <c r="J71" s="8">
        <v>2</v>
      </c>
      <c r="K71" s="14">
        <f t="shared" si="18"/>
        <v>3.134796238244514E-3</v>
      </c>
      <c r="L71" s="8">
        <v>1</v>
      </c>
      <c r="M71" s="14">
        <f t="shared" si="19"/>
        <v>1.567398119122257E-3</v>
      </c>
      <c r="N71" s="6">
        <f t="shared" si="20"/>
        <v>638</v>
      </c>
    </row>
    <row r="72" spans="1:14" ht="16.5" thickTop="1" thickBot="1" x14ac:dyDescent="0.3">
      <c r="A72" s="2" t="s">
        <v>41</v>
      </c>
      <c r="B72" s="2">
        <f>SUM(B64:B71)</f>
        <v>501</v>
      </c>
      <c r="C72" s="15">
        <f t="shared" si="14"/>
        <v>0.18271334792122537</v>
      </c>
      <c r="D72" s="2">
        <f>SUM(D64:D71)</f>
        <v>1535</v>
      </c>
      <c r="E72" s="15">
        <f t="shared" si="15"/>
        <v>0.55981035740335516</v>
      </c>
      <c r="F72" s="2">
        <f>SUM(F64:F71)</f>
        <v>558</v>
      </c>
      <c r="G72" s="15">
        <f t="shared" si="16"/>
        <v>0.20350109409190373</v>
      </c>
      <c r="H72" s="2">
        <f>SUM(H64:H71)</f>
        <v>124</v>
      </c>
      <c r="I72" s="15">
        <f t="shared" si="17"/>
        <v>4.5222465353756382E-2</v>
      </c>
      <c r="J72" s="2">
        <f>SUM(J64:J71)</f>
        <v>23</v>
      </c>
      <c r="K72" s="15">
        <f t="shared" si="18"/>
        <v>8.3880379285193284E-3</v>
      </c>
      <c r="L72" s="2">
        <f>SUM(L64:L71)</f>
        <v>1</v>
      </c>
      <c r="M72" s="15">
        <f t="shared" si="19"/>
        <v>3.6469730123997083E-4</v>
      </c>
      <c r="N72" s="4">
        <f>SUM(N64:N71)</f>
        <v>2742</v>
      </c>
    </row>
    <row r="75" spans="1:14" x14ac:dyDescent="0.25">
      <c r="A75" s="12" t="s">
        <v>58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4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4" ht="15.75" thickBot="1" x14ac:dyDescent="0.3">
      <c r="A77" s="12"/>
      <c r="D77" s="21"/>
      <c r="E77" s="21"/>
      <c r="F77" s="12"/>
      <c r="G77" s="12"/>
      <c r="H77" s="12"/>
      <c r="I77" s="12"/>
      <c r="J77" s="12"/>
      <c r="K77" s="12"/>
      <c r="L77" s="12"/>
      <c r="M77" s="12"/>
    </row>
    <row r="78" spans="1:14" ht="30" customHeight="1" x14ac:dyDescent="0.25">
      <c r="A78" s="26"/>
      <c r="B78" s="41" t="s">
        <v>79</v>
      </c>
      <c r="C78" s="42"/>
      <c r="D78" s="21"/>
      <c r="E78" s="21"/>
      <c r="F78" s="12"/>
      <c r="G78" s="12"/>
      <c r="H78" s="12"/>
      <c r="I78" s="12"/>
      <c r="J78" s="12"/>
      <c r="K78" s="12"/>
      <c r="L78" s="12"/>
      <c r="M78" s="12"/>
    </row>
    <row r="79" spans="1:14" ht="15.75" thickBot="1" x14ac:dyDescent="0.3">
      <c r="A79" s="24" t="s">
        <v>78</v>
      </c>
      <c r="B79" s="32" t="s">
        <v>107</v>
      </c>
      <c r="C79" s="33"/>
      <c r="F79" s="12"/>
      <c r="G79" s="12"/>
      <c r="H79" s="12"/>
      <c r="I79" s="12"/>
      <c r="J79" s="12"/>
      <c r="K79" s="12"/>
      <c r="L79" s="12"/>
      <c r="M79" s="12"/>
    </row>
    <row r="80" spans="1:14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x14ac:dyDescent="0.25">
      <c r="A82" s="34" t="s">
        <v>108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</row>
  </sheetData>
  <mergeCells count="18">
    <mergeCell ref="A82:M82"/>
    <mergeCell ref="L62:M63"/>
    <mergeCell ref="N62:N63"/>
    <mergeCell ref="B78:C78"/>
    <mergeCell ref="B79:C79"/>
    <mergeCell ref="A62:A63"/>
    <mergeCell ref="B62:C63"/>
    <mergeCell ref="D62:E63"/>
    <mergeCell ref="F62:G63"/>
    <mergeCell ref="H62:I63"/>
    <mergeCell ref="J62:K63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N81"/>
  <sheetViews>
    <sheetView tabSelected="1" view="pageLayout" zoomScale="85" zoomScaleNormal="100" zoomScalePageLayoutView="85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">
        <v>155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 t="s">
        <v>4</v>
      </c>
      <c r="B6" s="1">
        <v>23</v>
      </c>
      <c r="C6" s="13">
        <f>B6/N6</f>
        <v>0.21495327102803738</v>
      </c>
      <c r="D6" s="1">
        <v>78</v>
      </c>
      <c r="E6" s="13">
        <f>D6/N6</f>
        <v>0.7289719626168224</v>
      </c>
      <c r="F6" s="1">
        <v>6</v>
      </c>
      <c r="G6" s="13">
        <f>F6/N6</f>
        <v>5.6074766355140186E-2</v>
      </c>
      <c r="H6" s="1">
        <v>0</v>
      </c>
      <c r="I6" s="13">
        <f>H6/N6</f>
        <v>0</v>
      </c>
      <c r="J6" s="1">
        <v>0</v>
      </c>
      <c r="K6" s="13">
        <f>J6/N6</f>
        <v>0</v>
      </c>
      <c r="L6" s="1">
        <v>0</v>
      </c>
      <c r="M6" s="13">
        <f>L6/N6</f>
        <v>0</v>
      </c>
      <c r="N6" s="3">
        <f t="shared" ref="N6:N58" si="0">B6+D6+F6+H6+J6+L6</f>
        <v>107</v>
      </c>
    </row>
    <row r="7" spans="1:14" ht="13.5" customHeight="1" x14ac:dyDescent="0.25">
      <c r="A7" s="5" t="s">
        <v>5</v>
      </c>
      <c r="B7" s="1">
        <v>4</v>
      </c>
      <c r="C7" s="13">
        <f>B7/N7</f>
        <v>7.5471698113207544E-2</v>
      </c>
      <c r="D7" s="1">
        <v>44</v>
      </c>
      <c r="E7" s="13">
        <f>D7/N7</f>
        <v>0.83018867924528306</v>
      </c>
      <c r="F7" s="1">
        <v>5</v>
      </c>
      <c r="G7" s="13">
        <f>F7/N7</f>
        <v>9.4339622641509441E-2</v>
      </c>
      <c r="H7" s="1">
        <v>0</v>
      </c>
      <c r="I7" s="13">
        <f>H7/N7</f>
        <v>0</v>
      </c>
      <c r="J7" s="1">
        <v>0</v>
      </c>
      <c r="K7" s="13">
        <f>J7/N7</f>
        <v>0</v>
      </c>
      <c r="L7" s="1">
        <v>0</v>
      </c>
      <c r="M7" s="13">
        <f>L7/N7</f>
        <v>0</v>
      </c>
      <c r="N7" s="3">
        <f>B7+D7+F7+H7+J7+L7</f>
        <v>53</v>
      </c>
    </row>
    <row r="8" spans="1:14" ht="13.5" customHeight="1" x14ac:dyDescent="0.25">
      <c r="A8" s="5" t="s">
        <v>6</v>
      </c>
      <c r="B8" s="1">
        <v>18</v>
      </c>
      <c r="C8" s="13">
        <f>B8/N8</f>
        <v>0.24</v>
      </c>
      <c r="D8" s="1">
        <v>52</v>
      </c>
      <c r="E8" s="13">
        <f>D8/N8</f>
        <v>0.69333333333333336</v>
      </c>
      <c r="F8" s="1">
        <v>5</v>
      </c>
      <c r="G8" s="13">
        <f>F8/N8</f>
        <v>6.6666666666666666E-2</v>
      </c>
      <c r="H8" s="1">
        <v>0</v>
      </c>
      <c r="I8" s="13">
        <f>H8/N8</f>
        <v>0</v>
      </c>
      <c r="J8" s="1">
        <v>0</v>
      </c>
      <c r="K8" s="13">
        <f>J8/N8</f>
        <v>0</v>
      </c>
      <c r="L8" s="1">
        <v>0</v>
      </c>
      <c r="M8" s="13">
        <f>L8/N8</f>
        <v>0</v>
      </c>
      <c r="N8" s="3">
        <f>B8+D8+F8+H8+J8+L8</f>
        <v>75</v>
      </c>
    </row>
    <row r="9" spans="1:14" ht="13.5" customHeight="1" x14ac:dyDescent="0.25">
      <c r="A9" s="5" t="s">
        <v>93</v>
      </c>
      <c r="B9" s="1">
        <v>3</v>
      </c>
      <c r="C9" s="13">
        <f t="shared" ref="C9:C59" si="1">B9/N9</f>
        <v>3.3707865168539325E-2</v>
      </c>
      <c r="D9" s="1">
        <v>37</v>
      </c>
      <c r="E9" s="13">
        <f t="shared" ref="E9:E59" si="2">D9/N9</f>
        <v>0.4157303370786517</v>
      </c>
      <c r="F9" s="1">
        <v>39</v>
      </c>
      <c r="G9" s="13">
        <f t="shared" ref="G9:G59" si="3">F9/N9</f>
        <v>0.43820224719101125</v>
      </c>
      <c r="H9" s="1">
        <v>7</v>
      </c>
      <c r="I9" s="13">
        <f t="shared" ref="I9:I59" si="4">H9/N9</f>
        <v>7.8651685393258425E-2</v>
      </c>
      <c r="J9" s="1">
        <v>3</v>
      </c>
      <c r="K9" s="13">
        <f t="shared" ref="K9:K59" si="5">J9/N9</f>
        <v>3.3707865168539325E-2</v>
      </c>
      <c r="L9" s="1">
        <v>0</v>
      </c>
      <c r="M9" s="13">
        <f t="shared" ref="M9:M59" si="6">L9/N9</f>
        <v>0</v>
      </c>
      <c r="N9" s="3">
        <f t="shared" si="0"/>
        <v>89</v>
      </c>
    </row>
    <row r="10" spans="1:14" ht="13.5" customHeight="1" x14ac:dyDescent="0.25">
      <c r="A10" s="5" t="s">
        <v>70</v>
      </c>
      <c r="B10" s="1">
        <v>9</v>
      </c>
      <c r="C10" s="13">
        <f t="shared" si="1"/>
        <v>0.24324324324324326</v>
      </c>
      <c r="D10" s="1">
        <v>21</v>
      </c>
      <c r="E10" s="13">
        <f t="shared" si="2"/>
        <v>0.56756756756756754</v>
      </c>
      <c r="F10" s="1">
        <v>6</v>
      </c>
      <c r="G10" s="13">
        <f t="shared" si="3"/>
        <v>0.16216216216216217</v>
      </c>
      <c r="H10" s="1">
        <v>0</v>
      </c>
      <c r="I10" s="13">
        <f t="shared" si="4"/>
        <v>0</v>
      </c>
      <c r="J10" s="1">
        <v>1</v>
      </c>
      <c r="K10" s="13">
        <f t="shared" si="5"/>
        <v>2.7027027027027029E-2</v>
      </c>
      <c r="L10" s="1">
        <v>0</v>
      </c>
      <c r="M10" s="13">
        <f t="shared" si="6"/>
        <v>0</v>
      </c>
      <c r="N10" s="3">
        <f t="shared" si="0"/>
        <v>37</v>
      </c>
    </row>
    <row r="11" spans="1:14" ht="13.5" customHeight="1" x14ac:dyDescent="0.25">
      <c r="A11" s="5" t="s">
        <v>7</v>
      </c>
      <c r="B11" s="1">
        <v>15</v>
      </c>
      <c r="C11" s="13">
        <f t="shared" si="1"/>
        <v>0.25423728813559321</v>
      </c>
      <c r="D11" s="1">
        <v>34</v>
      </c>
      <c r="E11" s="13">
        <f t="shared" si="2"/>
        <v>0.57627118644067798</v>
      </c>
      <c r="F11" s="1">
        <v>10</v>
      </c>
      <c r="G11" s="13">
        <f t="shared" si="3"/>
        <v>0.16949152542372881</v>
      </c>
      <c r="H11" s="1">
        <v>0</v>
      </c>
      <c r="I11" s="13">
        <f t="shared" si="4"/>
        <v>0</v>
      </c>
      <c r="J11" s="1">
        <v>0</v>
      </c>
      <c r="K11" s="13">
        <f t="shared" si="5"/>
        <v>0</v>
      </c>
      <c r="L11" s="1">
        <v>0</v>
      </c>
      <c r="M11" s="13">
        <f t="shared" si="6"/>
        <v>0</v>
      </c>
      <c r="N11" s="3">
        <f t="shared" si="0"/>
        <v>59</v>
      </c>
    </row>
    <row r="12" spans="1:14" ht="13.5" customHeight="1" x14ac:dyDescent="0.25">
      <c r="A12" s="5" t="s">
        <v>8</v>
      </c>
      <c r="B12" s="1">
        <v>12</v>
      </c>
      <c r="C12" s="13">
        <f t="shared" si="1"/>
        <v>0.13953488372093023</v>
      </c>
      <c r="D12" s="1">
        <v>54</v>
      </c>
      <c r="E12" s="13">
        <f t="shared" si="2"/>
        <v>0.62790697674418605</v>
      </c>
      <c r="F12" s="1">
        <v>17</v>
      </c>
      <c r="G12" s="13">
        <f t="shared" si="3"/>
        <v>0.19767441860465115</v>
      </c>
      <c r="H12" s="1">
        <v>2</v>
      </c>
      <c r="I12" s="13">
        <f t="shared" si="4"/>
        <v>2.3255813953488372E-2</v>
      </c>
      <c r="J12" s="1">
        <v>1</v>
      </c>
      <c r="K12" s="13">
        <f t="shared" si="5"/>
        <v>1.1627906976744186E-2</v>
      </c>
      <c r="L12" s="1">
        <v>0</v>
      </c>
      <c r="M12" s="13">
        <f t="shared" si="6"/>
        <v>0</v>
      </c>
      <c r="N12" s="3">
        <f t="shared" si="0"/>
        <v>86</v>
      </c>
    </row>
    <row r="13" spans="1:14" ht="13.5" customHeight="1" x14ac:dyDescent="0.25">
      <c r="A13" s="5" t="s">
        <v>71</v>
      </c>
      <c r="B13" s="1">
        <v>6</v>
      </c>
      <c r="C13" s="13">
        <f t="shared" si="1"/>
        <v>0.20689655172413793</v>
      </c>
      <c r="D13" s="1">
        <v>12</v>
      </c>
      <c r="E13" s="13">
        <f t="shared" si="2"/>
        <v>0.41379310344827586</v>
      </c>
      <c r="F13" s="1">
        <v>8</v>
      </c>
      <c r="G13" s="13">
        <f t="shared" si="3"/>
        <v>0.27586206896551724</v>
      </c>
      <c r="H13" s="1">
        <v>3</v>
      </c>
      <c r="I13" s="13">
        <f t="shared" si="4"/>
        <v>0.10344827586206896</v>
      </c>
      <c r="J13" s="1">
        <v>0</v>
      </c>
      <c r="K13" s="13">
        <f t="shared" si="5"/>
        <v>0</v>
      </c>
      <c r="L13" s="1">
        <v>0</v>
      </c>
      <c r="M13" s="13">
        <f t="shared" si="6"/>
        <v>0</v>
      </c>
      <c r="N13" s="3">
        <f t="shared" si="0"/>
        <v>29</v>
      </c>
    </row>
    <row r="14" spans="1:14" ht="13.5" customHeight="1" x14ac:dyDescent="0.25">
      <c r="A14" s="5" t="s">
        <v>10</v>
      </c>
      <c r="B14" s="1">
        <v>13</v>
      </c>
      <c r="C14" s="13">
        <f t="shared" si="1"/>
        <v>0.19696969696969696</v>
      </c>
      <c r="D14" s="1">
        <v>19</v>
      </c>
      <c r="E14" s="13">
        <f t="shared" si="2"/>
        <v>0.2878787878787879</v>
      </c>
      <c r="F14" s="1">
        <v>16</v>
      </c>
      <c r="G14" s="13">
        <f t="shared" si="3"/>
        <v>0.24242424242424243</v>
      </c>
      <c r="H14" s="1">
        <v>16</v>
      </c>
      <c r="I14" s="13">
        <f t="shared" si="4"/>
        <v>0.24242424242424243</v>
      </c>
      <c r="J14" s="1">
        <v>2</v>
      </c>
      <c r="K14" s="13">
        <f t="shared" si="5"/>
        <v>3.0303030303030304E-2</v>
      </c>
      <c r="L14" s="1">
        <v>0</v>
      </c>
      <c r="M14" s="13">
        <f t="shared" si="6"/>
        <v>0</v>
      </c>
      <c r="N14" s="3">
        <f t="shared" si="0"/>
        <v>66</v>
      </c>
    </row>
    <row r="15" spans="1:14" ht="13.5" customHeight="1" x14ac:dyDescent="0.25">
      <c r="A15" s="5" t="s">
        <v>104</v>
      </c>
      <c r="B15" s="1">
        <v>4</v>
      </c>
      <c r="C15" s="13">
        <f t="shared" si="1"/>
        <v>0.23529411764705882</v>
      </c>
      <c r="D15" s="1">
        <v>11</v>
      </c>
      <c r="E15" s="13">
        <f t="shared" si="2"/>
        <v>0.6470588235294118</v>
      </c>
      <c r="F15" s="1">
        <v>2</v>
      </c>
      <c r="G15" s="13">
        <f t="shared" si="3"/>
        <v>0.11764705882352941</v>
      </c>
      <c r="H15" s="1">
        <v>0</v>
      </c>
      <c r="I15" s="13">
        <f t="shared" si="4"/>
        <v>0</v>
      </c>
      <c r="J15" s="1">
        <v>0</v>
      </c>
      <c r="K15" s="13">
        <f t="shared" si="5"/>
        <v>0</v>
      </c>
      <c r="L15" s="1">
        <v>0</v>
      </c>
      <c r="M15" s="13">
        <f t="shared" si="6"/>
        <v>0</v>
      </c>
      <c r="N15" s="3">
        <f t="shared" si="0"/>
        <v>17</v>
      </c>
    </row>
    <row r="16" spans="1:14" ht="13.5" customHeight="1" x14ac:dyDescent="0.25">
      <c r="A16" s="5" t="s">
        <v>11</v>
      </c>
      <c r="B16" s="1">
        <v>4</v>
      </c>
      <c r="C16" s="13">
        <f t="shared" si="1"/>
        <v>8.1632653061224483E-2</v>
      </c>
      <c r="D16" s="1">
        <v>15</v>
      </c>
      <c r="E16" s="13">
        <f t="shared" si="2"/>
        <v>0.30612244897959184</v>
      </c>
      <c r="F16" s="1">
        <v>21</v>
      </c>
      <c r="G16" s="13">
        <f t="shared" si="3"/>
        <v>0.42857142857142855</v>
      </c>
      <c r="H16" s="1">
        <v>9</v>
      </c>
      <c r="I16" s="13">
        <f t="shared" si="4"/>
        <v>0.18367346938775511</v>
      </c>
      <c r="J16" s="1">
        <v>0</v>
      </c>
      <c r="K16" s="13">
        <f t="shared" si="5"/>
        <v>0</v>
      </c>
      <c r="L16" s="1">
        <v>0</v>
      </c>
      <c r="M16" s="13">
        <f t="shared" si="6"/>
        <v>0</v>
      </c>
      <c r="N16" s="3">
        <f t="shared" si="0"/>
        <v>49</v>
      </c>
    </row>
    <row r="17" spans="1:14" ht="13.5" customHeight="1" x14ac:dyDescent="0.25">
      <c r="A17" s="5" t="s">
        <v>42</v>
      </c>
      <c r="B17" s="1">
        <v>0</v>
      </c>
      <c r="C17" s="13">
        <f t="shared" si="1"/>
        <v>0</v>
      </c>
      <c r="D17" s="1">
        <v>1</v>
      </c>
      <c r="E17" s="13">
        <f t="shared" si="2"/>
        <v>1</v>
      </c>
      <c r="F17" s="1">
        <v>0</v>
      </c>
      <c r="G17" s="13">
        <f t="shared" si="3"/>
        <v>0</v>
      </c>
      <c r="H17" s="1">
        <v>0</v>
      </c>
      <c r="I17" s="13">
        <f t="shared" si="4"/>
        <v>0</v>
      </c>
      <c r="J17" s="1">
        <v>0</v>
      </c>
      <c r="K17" s="13">
        <f t="shared" si="5"/>
        <v>0</v>
      </c>
      <c r="L17" s="1">
        <v>0</v>
      </c>
      <c r="M17" s="13">
        <f t="shared" si="6"/>
        <v>0</v>
      </c>
      <c r="N17" s="3">
        <f t="shared" si="0"/>
        <v>1</v>
      </c>
    </row>
    <row r="18" spans="1:14" ht="13.5" customHeight="1" x14ac:dyDescent="0.25">
      <c r="A18" s="5" t="s">
        <v>12</v>
      </c>
      <c r="B18" s="1">
        <v>10</v>
      </c>
      <c r="C18" s="13">
        <f t="shared" si="1"/>
        <v>0.22222222222222221</v>
      </c>
      <c r="D18" s="1">
        <v>15</v>
      </c>
      <c r="E18" s="13">
        <f t="shared" si="2"/>
        <v>0.33333333333333331</v>
      </c>
      <c r="F18" s="1">
        <v>16</v>
      </c>
      <c r="G18" s="13">
        <f t="shared" si="3"/>
        <v>0.35555555555555557</v>
      </c>
      <c r="H18" s="1">
        <v>3</v>
      </c>
      <c r="I18" s="13">
        <f t="shared" si="4"/>
        <v>6.6666666666666666E-2</v>
      </c>
      <c r="J18" s="1">
        <v>1</v>
      </c>
      <c r="K18" s="13">
        <f t="shared" si="5"/>
        <v>2.2222222222222223E-2</v>
      </c>
      <c r="L18" s="1">
        <v>0</v>
      </c>
      <c r="M18" s="13">
        <f t="shared" si="6"/>
        <v>0</v>
      </c>
      <c r="N18" s="3">
        <f t="shared" si="0"/>
        <v>45</v>
      </c>
    </row>
    <row r="19" spans="1:14" ht="13.5" customHeight="1" x14ac:dyDescent="0.25">
      <c r="A19" s="5" t="s">
        <v>13</v>
      </c>
      <c r="B19" s="1">
        <v>1</v>
      </c>
      <c r="C19" s="13">
        <f t="shared" si="1"/>
        <v>0.14285714285714285</v>
      </c>
      <c r="D19" s="1">
        <v>4</v>
      </c>
      <c r="E19" s="13">
        <f t="shared" si="2"/>
        <v>0.5714285714285714</v>
      </c>
      <c r="F19" s="1">
        <v>2</v>
      </c>
      <c r="G19" s="13">
        <f t="shared" si="3"/>
        <v>0.2857142857142857</v>
      </c>
      <c r="H19" s="1">
        <v>0</v>
      </c>
      <c r="I19" s="13">
        <f t="shared" si="4"/>
        <v>0</v>
      </c>
      <c r="J19" s="1">
        <v>0</v>
      </c>
      <c r="K19" s="13">
        <f t="shared" si="5"/>
        <v>0</v>
      </c>
      <c r="L19" s="1">
        <v>0</v>
      </c>
      <c r="M19" s="13">
        <f t="shared" si="6"/>
        <v>0</v>
      </c>
      <c r="N19" s="3">
        <f t="shared" si="0"/>
        <v>7</v>
      </c>
    </row>
    <row r="20" spans="1:14" ht="13.5" customHeight="1" x14ac:dyDescent="0.25">
      <c r="A20" s="5" t="s">
        <v>105</v>
      </c>
      <c r="B20" s="1">
        <v>8</v>
      </c>
      <c r="C20" s="13">
        <f t="shared" si="1"/>
        <v>0.14035087719298245</v>
      </c>
      <c r="D20" s="1">
        <v>31</v>
      </c>
      <c r="E20" s="13">
        <f t="shared" si="2"/>
        <v>0.54385964912280704</v>
      </c>
      <c r="F20" s="1">
        <v>18</v>
      </c>
      <c r="G20" s="13">
        <f t="shared" si="3"/>
        <v>0.31578947368421051</v>
      </c>
      <c r="H20" s="1">
        <v>0</v>
      </c>
      <c r="I20" s="13">
        <f t="shared" si="4"/>
        <v>0</v>
      </c>
      <c r="J20" s="1">
        <v>0</v>
      </c>
      <c r="K20" s="13">
        <f t="shared" si="5"/>
        <v>0</v>
      </c>
      <c r="L20" s="1">
        <v>0</v>
      </c>
      <c r="M20" s="13">
        <f t="shared" si="6"/>
        <v>0</v>
      </c>
      <c r="N20" s="3">
        <f t="shared" si="0"/>
        <v>57</v>
      </c>
    </row>
    <row r="21" spans="1:14" ht="13.5" customHeight="1" x14ac:dyDescent="0.25">
      <c r="A21" s="5" t="s">
        <v>14</v>
      </c>
      <c r="B21" s="1">
        <v>18</v>
      </c>
      <c r="C21" s="13">
        <f t="shared" si="1"/>
        <v>0.20224719101123595</v>
      </c>
      <c r="D21" s="1">
        <v>41</v>
      </c>
      <c r="E21" s="13">
        <f t="shared" si="2"/>
        <v>0.4606741573033708</v>
      </c>
      <c r="F21" s="1">
        <v>25</v>
      </c>
      <c r="G21" s="13">
        <f t="shared" si="3"/>
        <v>0.2808988764044944</v>
      </c>
      <c r="H21" s="1">
        <v>4</v>
      </c>
      <c r="I21" s="13">
        <f t="shared" si="4"/>
        <v>4.49438202247191E-2</v>
      </c>
      <c r="J21" s="1">
        <v>1</v>
      </c>
      <c r="K21" s="13">
        <f t="shared" si="5"/>
        <v>1.1235955056179775E-2</v>
      </c>
      <c r="L21" s="1">
        <v>0</v>
      </c>
      <c r="M21" s="13">
        <f t="shared" si="6"/>
        <v>0</v>
      </c>
      <c r="N21" s="3">
        <f t="shared" si="0"/>
        <v>89</v>
      </c>
    </row>
    <row r="22" spans="1:14" ht="13.5" customHeight="1" x14ac:dyDescent="0.25">
      <c r="A22" s="5" t="s">
        <v>15</v>
      </c>
      <c r="B22" s="1">
        <v>6</v>
      </c>
      <c r="C22" s="13">
        <f t="shared" si="1"/>
        <v>0.12</v>
      </c>
      <c r="D22" s="1">
        <v>12</v>
      </c>
      <c r="E22" s="13">
        <f t="shared" si="2"/>
        <v>0.24</v>
      </c>
      <c r="F22" s="1">
        <v>21</v>
      </c>
      <c r="G22" s="13">
        <f t="shared" si="3"/>
        <v>0.42</v>
      </c>
      <c r="H22" s="1">
        <v>8</v>
      </c>
      <c r="I22" s="13">
        <f t="shared" si="4"/>
        <v>0.16</v>
      </c>
      <c r="J22" s="1">
        <v>2</v>
      </c>
      <c r="K22" s="13">
        <f t="shared" si="5"/>
        <v>0.04</v>
      </c>
      <c r="L22" s="1">
        <v>1</v>
      </c>
      <c r="M22" s="13">
        <f t="shared" si="6"/>
        <v>0.02</v>
      </c>
      <c r="N22" s="3">
        <f t="shared" si="0"/>
        <v>50</v>
      </c>
    </row>
    <row r="23" spans="1:14" ht="13.5" customHeight="1" x14ac:dyDescent="0.25">
      <c r="A23" s="5" t="s">
        <v>16</v>
      </c>
      <c r="B23" s="1">
        <v>14</v>
      </c>
      <c r="C23" s="13">
        <f t="shared" si="1"/>
        <v>0.20895522388059701</v>
      </c>
      <c r="D23" s="1">
        <v>47</v>
      </c>
      <c r="E23" s="13">
        <f t="shared" si="2"/>
        <v>0.70149253731343286</v>
      </c>
      <c r="F23" s="1">
        <v>6</v>
      </c>
      <c r="G23" s="13">
        <f t="shared" si="3"/>
        <v>8.9552238805970144E-2</v>
      </c>
      <c r="H23" s="1">
        <v>0</v>
      </c>
      <c r="I23" s="13">
        <f t="shared" si="4"/>
        <v>0</v>
      </c>
      <c r="J23" s="1">
        <v>0</v>
      </c>
      <c r="K23" s="13">
        <f t="shared" si="5"/>
        <v>0</v>
      </c>
      <c r="L23" s="1">
        <v>0</v>
      </c>
      <c r="M23" s="13">
        <f t="shared" si="6"/>
        <v>0</v>
      </c>
      <c r="N23" s="3">
        <f t="shared" si="0"/>
        <v>67</v>
      </c>
    </row>
    <row r="24" spans="1:14" ht="13.5" customHeight="1" x14ac:dyDescent="0.25">
      <c r="A24" s="5" t="s">
        <v>17</v>
      </c>
      <c r="B24" s="1">
        <v>10</v>
      </c>
      <c r="C24" s="13">
        <f t="shared" si="1"/>
        <v>0.30303030303030304</v>
      </c>
      <c r="D24" s="1">
        <v>17</v>
      </c>
      <c r="E24" s="13">
        <f t="shared" si="2"/>
        <v>0.51515151515151514</v>
      </c>
      <c r="F24" s="1">
        <v>6</v>
      </c>
      <c r="G24" s="13">
        <f t="shared" si="3"/>
        <v>0.18181818181818182</v>
      </c>
      <c r="H24" s="1">
        <v>0</v>
      </c>
      <c r="I24" s="13">
        <f t="shared" si="4"/>
        <v>0</v>
      </c>
      <c r="J24" s="1">
        <v>0</v>
      </c>
      <c r="K24" s="13">
        <f t="shared" si="5"/>
        <v>0</v>
      </c>
      <c r="L24" s="1">
        <v>0</v>
      </c>
      <c r="M24" s="13">
        <f t="shared" si="6"/>
        <v>0</v>
      </c>
      <c r="N24" s="3">
        <f t="shared" si="0"/>
        <v>33</v>
      </c>
    </row>
    <row r="25" spans="1:14" ht="13.5" customHeight="1" x14ac:dyDescent="0.25">
      <c r="A25" s="5" t="s">
        <v>18</v>
      </c>
      <c r="B25" s="1">
        <v>5</v>
      </c>
      <c r="C25" s="13">
        <f t="shared" si="1"/>
        <v>0.1</v>
      </c>
      <c r="D25" s="1">
        <v>29</v>
      </c>
      <c r="E25" s="13">
        <f t="shared" si="2"/>
        <v>0.57999999999999996</v>
      </c>
      <c r="F25" s="1">
        <v>15</v>
      </c>
      <c r="G25" s="13">
        <f t="shared" si="3"/>
        <v>0.3</v>
      </c>
      <c r="H25" s="1">
        <v>1</v>
      </c>
      <c r="I25" s="13">
        <f t="shared" si="4"/>
        <v>0.02</v>
      </c>
      <c r="J25" s="1">
        <v>0</v>
      </c>
      <c r="K25" s="13">
        <f t="shared" si="5"/>
        <v>0</v>
      </c>
      <c r="L25" s="1">
        <v>0</v>
      </c>
      <c r="M25" s="13">
        <f t="shared" si="6"/>
        <v>0</v>
      </c>
      <c r="N25" s="3">
        <f t="shared" si="0"/>
        <v>50</v>
      </c>
    </row>
    <row r="26" spans="1:14" ht="13.5" customHeight="1" x14ac:dyDescent="0.25">
      <c r="A26" s="5" t="s">
        <v>19</v>
      </c>
      <c r="B26" s="1">
        <v>10</v>
      </c>
      <c r="C26" s="13">
        <f t="shared" si="1"/>
        <v>0.14925373134328357</v>
      </c>
      <c r="D26" s="1">
        <v>43</v>
      </c>
      <c r="E26" s="13">
        <f t="shared" si="2"/>
        <v>0.64179104477611937</v>
      </c>
      <c r="F26" s="1">
        <v>13</v>
      </c>
      <c r="G26" s="13">
        <f t="shared" si="3"/>
        <v>0.19402985074626866</v>
      </c>
      <c r="H26" s="1">
        <v>1</v>
      </c>
      <c r="I26" s="13">
        <f t="shared" si="4"/>
        <v>1.4925373134328358E-2</v>
      </c>
      <c r="J26" s="1">
        <v>0</v>
      </c>
      <c r="K26" s="13">
        <f t="shared" si="5"/>
        <v>0</v>
      </c>
      <c r="L26" s="1">
        <v>0</v>
      </c>
      <c r="M26" s="13">
        <f t="shared" si="6"/>
        <v>0</v>
      </c>
      <c r="N26" s="3">
        <f t="shared" si="0"/>
        <v>67</v>
      </c>
    </row>
    <row r="27" spans="1:14" ht="13.5" customHeight="1" x14ac:dyDescent="0.25">
      <c r="A27" s="5" t="s">
        <v>21</v>
      </c>
      <c r="B27" s="1">
        <v>4</v>
      </c>
      <c r="C27" s="13">
        <f t="shared" si="1"/>
        <v>0.18181818181818182</v>
      </c>
      <c r="D27" s="1">
        <v>10</v>
      </c>
      <c r="E27" s="13">
        <f t="shared" si="2"/>
        <v>0.45454545454545453</v>
      </c>
      <c r="F27" s="1">
        <v>7</v>
      </c>
      <c r="G27" s="13">
        <f t="shared" si="3"/>
        <v>0.31818181818181818</v>
      </c>
      <c r="H27" s="1">
        <v>1</v>
      </c>
      <c r="I27" s="13">
        <f t="shared" si="4"/>
        <v>4.5454545454545456E-2</v>
      </c>
      <c r="J27" s="1">
        <v>0</v>
      </c>
      <c r="K27" s="13">
        <f t="shared" si="5"/>
        <v>0</v>
      </c>
      <c r="L27" s="1">
        <v>0</v>
      </c>
      <c r="M27" s="13">
        <f t="shared" si="6"/>
        <v>0</v>
      </c>
      <c r="N27" s="3">
        <f t="shared" si="0"/>
        <v>22</v>
      </c>
    </row>
    <row r="28" spans="1:14" ht="13.5" customHeight="1" x14ac:dyDescent="0.25">
      <c r="A28" s="5" t="s">
        <v>38</v>
      </c>
      <c r="B28" s="1">
        <v>6</v>
      </c>
      <c r="C28" s="13">
        <f t="shared" si="1"/>
        <v>0.2</v>
      </c>
      <c r="D28" s="1">
        <v>15</v>
      </c>
      <c r="E28" s="13">
        <f t="shared" si="2"/>
        <v>0.5</v>
      </c>
      <c r="F28" s="1">
        <v>6</v>
      </c>
      <c r="G28" s="13">
        <f t="shared" si="3"/>
        <v>0.2</v>
      </c>
      <c r="H28" s="1">
        <v>3</v>
      </c>
      <c r="I28" s="13">
        <f t="shared" si="4"/>
        <v>0.1</v>
      </c>
      <c r="J28" s="1">
        <v>0</v>
      </c>
      <c r="K28" s="13">
        <f t="shared" si="5"/>
        <v>0</v>
      </c>
      <c r="L28" s="1">
        <v>0</v>
      </c>
      <c r="M28" s="13">
        <f t="shared" si="6"/>
        <v>0</v>
      </c>
      <c r="N28" s="3">
        <f t="shared" si="0"/>
        <v>30</v>
      </c>
    </row>
    <row r="29" spans="1:14" ht="13.5" customHeight="1" x14ac:dyDescent="0.25">
      <c r="A29" s="5" t="s">
        <v>39</v>
      </c>
      <c r="B29" s="1">
        <v>2</v>
      </c>
      <c r="C29" s="13">
        <f t="shared" si="1"/>
        <v>0.22222222222222221</v>
      </c>
      <c r="D29" s="1">
        <v>6</v>
      </c>
      <c r="E29" s="13">
        <f t="shared" si="2"/>
        <v>0.66666666666666663</v>
      </c>
      <c r="F29" s="1">
        <v>0</v>
      </c>
      <c r="G29" s="13">
        <f t="shared" si="3"/>
        <v>0</v>
      </c>
      <c r="H29" s="1">
        <v>1</v>
      </c>
      <c r="I29" s="13">
        <f t="shared" si="4"/>
        <v>0.1111111111111111</v>
      </c>
      <c r="J29" s="1">
        <v>0</v>
      </c>
      <c r="K29" s="13">
        <f t="shared" si="5"/>
        <v>0</v>
      </c>
      <c r="L29" s="1">
        <v>0</v>
      </c>
      <c r="M29" s="13">
        <f t="shared" si="6"/>
        <v>0</v>
      </c>
      <c r="N29" s="3">
        <f t="shared" si="0"/>
        <v>9</v>
      </c>
    </row>
    <row r="30" spans="1:14" ht="13.5" customHeight="1" x14ac:dyDescent="0.25">
      <c r="A30" s="5" t="s">
        <v>22</v>
      </c>
      <c r="B30" s="1">
        <v>15</v>
      </c>
      <c r="C30" s="13">
        <f t="shared" si="1"/>
        <v>0.18518518518518517</v>
      </c>
      <c r="D30" s="1">
        <v>63</v>
      </c>
      <c r="E30" s="13">
        <f t="shared" si="2"/>
        <v>0.77777777777777779</v>
      </c>
      <c r="F30" s="1">
        <v>3</v>
      </c>
      <c r="G30" s="13">
        <f t="shared" si="3"/>
        <v>3.7037037037037035E-2</v>
      </c>
      <c r="H30" s="1">
        <v>0</v>
      </c>
      <c r="I30" s="13">
        <f t="shared" si="4"/>
        <v>0</v>
      </c>
      <c r="J30" s="1">
        <v>0</v>
      </c>
      <c r="K30" s="13">
        <f t="shared" si="5"/>
        <v>0</v>
      </c>
      <c r="L30" s="1">
        <v>0</v>
      </c>
      <c r="M30" s="13">
        <f t="shared" si="6"/>
        <v>0</v>
      </c>
      <c r="N30" s="3">
        <f t="shared" si="0"/>
        <v>81</v>
      </c>
    </row>
    <row r="31" spans="1:14" ht="13.5" customHeight="1" x14ac:dyDescent="0.25">
      <c r="A31" s="5" t="s">
        <v>40</v>
      </c>
      <c r="B31" s="1">
        <v>5</v>
      </c>
      <c r="C31" s="13">
        <f t="shared" si="1"/>
        <v>0.14285714285714285</v>
      </c>
      <c r="D31" s="1">
        <v>25</v>
      </c>
      <c r="E31" s="13">
        <f t="shared" si="2"/>
        <v>0.7142857142857143</v>
      </c>
      <c r="F31" s="1">
        <v>5</v>
      </c>
      <c r="G31" s="13">
        <f t="shared" si="3"/>
        <v>0.14285714285714285</v>
      </c>
      <c r="H31" s="1">
        <v>0</v>
      </c>
      <c r="I31" s="13">
        <f t="shared" si="4"/>
        <v>0</v>
      </c>
      <c r="J31" s="1">
        <v>0</v>
      </c>
      <c r="K31" s="13">
        <f t="shared" si="5"/>
        <v>0</v>
      </c>
      <c r="L31" s="1">
        <v>0</v>
      </c>
      <c r="M31" s="13">
        <f t="shared" si="6"/>
        <v>0</v>
      </c>
      <c r="N31" s="3">
        <f t="shared" si="0"/>
        <v>35</v>
      </c>
    </row>
    <row r="32" spans="1:14" ht="13.5" customHeight="1" x14ac:dyDescent="0.25">
      <c r="A32" s="5" t="s">
        <v>72</v>
      </c>
      <c r="B32" s="1">
        <v>4</v>
      </c>
      <c r="C32" s="13">
        <f t="shared" si="1"/>
        <v>7.8431372549019607E-2</v>
      </c>
      <c r="D32" s="1">
        <v>36</v>
      </c>
      <c r="E32" s="13">
        <f t="shared" si="2"/>
        <v>0.70588235294117652</v>
      </c>
      <c r="F32" s="1">
        <v>11</v>
      </c>
      <c r="G32" s="13">
        <f t="shared" si="3"/>
        <v>0.21568627450980393</v>
      </c>
      <c r="H32" s="1">
        <v>0</v>
      </c>
      <c r="I32" s="13">
        <f t="shared" si="4"/>
        <v>0</v>
      </c>
      <c r="J32" s="1">
        <v>0</v>
      </c>
      <c r="K32" s="13">
        <f t="shared" si="5"/>
        <v>0</v>
      </c>
      <c r="L32" s="1">
        <v>0</v>
      </c>
      <c r="M32" s="13">
        <f t="shared" si="6"/>
        <v>0</v>
      </c>
      <c r="N32" s="3">
        <f t="shared" si="0"/>
        <v>51</v>
      </c>
    </row>
    <row r="33" spans="1:14" ht="13.5" customHeight="1" x14ac:dyDescent="0.25">
      <c r="A33" s="5" t="s">
        <v>94</v>
      </c>
      <c r="B33" s="1">
        <v>6</v>
      </c>
      <c r="C33" s="13">
        <f t="shared" si="1"/>
        <v>0.31578947368421051</v>
      </c>
      <c r="D33" s="1">
        <v>10</v>
      </c>
      <c r="E33" s="13">
        <f t="shared" si="2"/>
        <v>0.52631578947368418</v>
      </c>
      <c r="F33" s="1">
        <v>3</v>
      </c>
      <c r="G33" s="13">
        <f t="shared" si="3"/>
        <v>0.15789473684210525</v>
      </c>
      <c r="H33" s="1">
        <v>0</v>
      </c>
      <c r="I33" s="13">
        <f t="shared" si="4"/>
        <v>0</v>
      </c>
      <c r="J33" s="1">
        <v>0</v>
      </c>
      <c r="K33" s="13">
        <f t="shared" si="5"/>
        <v>0</v>
      </c>
      <c r="L33" s="1">
        <v>0</v>
      </c>
      <c r="M33" s="13">
        <f t="shared" si="6"/>
        <v>0</v>
      </c>
      <c r="N33" s="3">
        <f t="shared" si="0"/>
        <v>19</v>
      </c>
    </row>
    <row r="34" spans="1:14" ht="13.5" customHeight="1" x14ac:dyDescent="0.25">
      <c r="A34" s="5" t="s">
        <v>23</v>
      </c>
      <c r="B34" s="1">
        <v>6</v>
      </c>
      <c r="C34" s="13">
        <f t="shared" si="1"/>
        <v>8.9552238805970144E-2</v>
      </c>
      <c r="D34" s="1">
        <v>44</v>
      </c>
      <c r="E34" s="13">
        <f t="shared" si="2"/>
        <v>0.65671641791044777</v>
      </c>
      <c r="F34" s="1">
        <v>14</v>
      </c>
      <c r="G34" s="13">
        <f t="shared" si="3"/>
        <v>0.20895522388059701</v>
      </c>
      <c r="H34" s="1">
        <v>2</v>
      </c>
      <c r="I34" s="13">
        <f t="shared" si="4"/>
        <v>2.9850746268656716E-2</v>
      </c>
      <c r="J34" s="1">
        <v>1</v>
      </c>
      <c r="K34" s="13">
        <f t="shared" si="5"/>
        <v>1.4925373134328358E-2</v>
      </c>
      <c r="L34" s="1">
        <v>0</v>
      </c>
      <c r="M34" s="13">
        <f t="shared" si="6"/>
        <v>0</v>
      </c>
      <c r="N34" s="3">
        <f t="shared" si="0"/>
        <v>67</v>
      </c>
    </row>
    <row r="35" spans="1:14" ht="13.5" customHeight="1" x14ac:dyDescent="0.25">
      <c r="A35" s="5" t="s">
        <v>1</v>
      </c>
      <c r="B35" s="1">
        <v>13</v>
      </c>
      <c r="C35" s="13">
        <f t="shared" si="1"/>
        <v>0.11607142857142858</v>
      </c>
      <c r="D35" s="1">
        <v>76</v>
      </c>
      <c r="E35" s="13">
        <f t="shared" si="2"/>
        <v>0.6785714285714286</v>
      </c>
      <c r="F35" s="1">
        <v>21</v>
      </c>
      <c r="G35" s="13">
        <f t="shared" si="3"/>
        <v>0.1875</v>
      </c>
      <c r="H35" s="1">
        <v>2</v>
      </c>
      <c r="I35" s="13">
        <f t="shared" si="4"/>
        <v>1.7857142857142856E-2</v>
      </c>
      <c r="J35" s="1">
        <v>0</v>
      </c>
      <c r="K35" s="13">
        <f t="shared" si="5"/>
        <v>0</v>
      </c>
      <c r="L35" s="1">
        <v>0</v>
      </c>
      <c r="M35" s="13">
        <f t="shared" si="6"/>
        <v>0</v>
      </c>
      <c r="N35" s="3">
        <f t="shared" si="0"/>
        <v>112</v>
      </c>
    </row>
    <row r="36" spans="1:14" ht="13.5" customHeight="1" x14ac:dyDescent="0.25">
      <c r="A36" s="5" t="s">
        <v>95</v>
      </c>
      <c r="B36" s="1">
        <v>7</v>
      </c>
      <c r="C36" s="13">
        <f t="shared" si="1"/>
        <v>0.2413793103448276</v>
      </c>
      <c r="D36" s="1">
        <v>15</v>
      </c>
      <c r="E36" s="13">
        <f t="shared" si="2"/>
        <v>0.51724137931034486</v>
      </c>
      <c r="F36" s="1">
        <v>7</v>
      </c>
      <c r="G36" s="13">
        <f t="shared" si="3"/>
        <v>0.2413793103448276</v>
      </c>
      <c r="H36" s="1">
        <v>0</v>
      </c>
      <c r="I36" s="13">
        <f t="shared" si="4"/>
        <v>0</v>
      </c>
      <c r="J36" s="1">
        <v>0</v>
      </c>
      <c r="K36" s="13">
        <f t="shared" si="5"/>
        <v>0</v>
      </c>
      <c r="L36" s="1">
        <v>0</v>
      </c>
      <c r="M36" s="13">
        <f t="shared" si="6"/>
        <v>0</v>
      </c>
      <c r="N36" s="3">
        <f t="shared" si="0"/>
        <v>29</v>
      </c>
    </row>
    <row r="37" spans="1:14" ht="13.5" customHeight="1" x14ac:dyDescent="0.25">
      <c r="A37" s="5" t="s">
        <v>24</v>
      </c>
      <c r="B37" s="1">
        <v>25</v>
      </c>
      <c r="C37" s="13">
        <f t="shared" si="1"/>
        <v>0.26881720430107525</v>
      </c>
      <c r="D37" s="1">
        <v>26</v>
      </c>
      <c r="E37" s="13">
        <f t="shared" si="2"/>
        <v>0.27956989247311825</v>
      </c>
      <c r="F37" s="1">
        <v>29</v>
      </c>
      <c r="G37" s="13">
        <f t="shared" si="3"/>
        <v>0.31182795698924731</v>
      </c>
      <c r="H37" s="1">
        <v>13</v>
      </c>
      <c r="I37" s="13">
        <f t="shared" si="4"/>
        <v>0.13978494623655913</v>
      </c>
      <c r="J37" s="1">
        <v>0</v>
      </c>
      <c r="K37" s="13">
        <f t="shared" si="5"/>
        <v>0</v>
      </c>
      <c r="L37" s="1">
        <v>0</v>
      </c>
      <c r="M37" s="13">
        <f t="shared" si="6"/>
        <v>0</v>
      </c>
      <c r="N37" s="3">
        <f t="shared" si="0"/>
        <v>93</v>
      </c>
    </row>
    <row r="38" spans="1:14" ht="13.5" customHeight="1" x14ac:dyDescent="0.25">
      <c r="A38" s="5" t="s">
        <v>25</v>
      </c>
      <c r="B38" s="1">
        <v>3</v>
      </c>
      <c r="C38" s="13">
        <f t="shared" si="1"/>
        <v>5.0847457627118647E-2</v>
      </c>
      <c r="D38" s="1">
        <v>20</v>
      </c>
      <c r="E38" s="13">
        <f t="shared" si="2"/>
        <v>0.33898305084745761</v>
      </c>
      <c r="F38" s="1">
        <v>23</v>
      </c>
      <c r="G38" s="13">
        <f t="shared" si="3"/>
        <v>0.38983050847457629</v>
      </c>
      <c r="H38" s="1">
        <v>9</v>
      </c>
      <c r="I38" s="13">
        <f t="shared" si="4"/>
        <v>0.15254237288135594</v>
      </c>
      <c r="J38" s="1">
        <v>4</v>
      </c>
      <c r="K38" s="13">
        <f t="shared" si="5"/>
        <v>6.7796610169491525E-2</v>
      </c>
      <c r="L38" s="1">
        <v>0</v>
      </c>
      <c r="M38" s="13">
        <f t="shared" si="6"/>
        <v>0</v>
      </c>
      <c r="N38" s="3">
        <f t="shared" si="0"/>
        <v>59</v>
      </c>
    </row>
    <row r="39" spans="1:14" ht="13.5" customHeight="1" x14ac:dyDescent="0.25">
      <c r="A39" s="5" t="s">
        <v>74</v>
      </c>
      <c r="B39" s="1">
        <v>6</v>
      </c>
      <c r="C39" s="13">
        <f t="shared" si="1"/>
        <v>0.54545454545454541</v>
      </c>
      <c r="D39" s="1">
        <v>3</v>
      </c>
      <c r="E39" s="13">
        <f t="shared" si="2"/>
        <v>0.27272727272727271</v>
      </c>
      <c r="F39" s="1">
        <v>2</v>
      </c>
      <c r="G39" s="13">
        <f t="shared" si="3"/>
        <v>0.18181818181818182</v>
      </c>
      <c r="H39" s="1">
        <v>0</v>
      </c>
      <c r="I39" s="13">
        <f t="shared" si="4"/>
        <v>0</v>
      </c>
      <c r="J39" s="1">
        <v>0</v>
      </c>
      <c r="K39" s="13">
        <f t="shared" si="5"/>
        <v>0</v>
      </c>
      <c r="L39" s="1">
        <v>0</v>
      </c>
      <c r="M39" s="13">
        <f t="shared" si="6"/>
        <v>0</v>
      </c>
      <c r="N39" s="3">
        <f t="shared" si="0"/>
        <v>11</v>
      </c>
    </row>
    <row r="40" spans="1:14" ht="13.5" customHeight="1" x14ac:dyDescent="0.25">
      <c r="A40" s="5" t="s">
        <v>96</v>
      </c>
      <c r="B40" s="1">
        <v>0</v>
      </c>
      <c r="C40" s="13">
        <f t="shared" si="1"/>
        <v>0</v>
      </c>
      <c r="D40" s="1">
        <v>5</v>
      </c>
      <c r="E40" s="13">
        <f t="shared" si="2"/>
        <v>0.83333333333333337</v>
      </c>
      <c r="F40" s="1">
        <v>1</v>
      </c>
      <c r="G40" s="13">
        <f t="shared" si="3"/>
        <v>0.16666666666666666</v>
      </c>
      <c r="H40" s="1">
        <v>0</v>
      </c>
      <c r="I40" s="13">
        <f t="shared" si="4"/>
        <v>0</v>
      </c>
      <c r="J40" s="1">
        <v>0</v>
      </c>
      <c r="K40" s="13">
        <f t="shared" si="5"/>
        <v>0</v>
      </c>
      <c r="L40" s="1">
        <v>0</v>
      </c>
      <c r="M40" s="13">
        <f t="shared" si="6"/>
        <v>0</v>
      </c>
      <c r="N40" s="3">
        <f t="shared" si="0"/>
        <v>6</v>
      </c>
    </row>
    <row r="41" spans="1:14" ht="13.5" customHeight="1" x14ac:dyDescent="0.25">
      <c r="A41" s="5" t="s">
        <v>47</v>
      </c>
      <c r="B41" s="1">
        <v>12</v>
      </c>
      <c r="C41" s="13">
        <f t="shared" si="1"/>
        <v>0.31578947368421051</v>
      </c>
      <c r="D41" s="1">
        <v>25</v>
      </c>
      <c r="E41" s="13">
        <f t="shared" si="2"/>
        <v>0.65789473684210531</v>
      </c>
      <c r="F41" s="1">
        <v>1</v>
      </c>
      <c r="G41" s="13">
        <f t="shared" si="3"/>
        <v>2.6315789473684209E-2</v>
      </c>
      <c r="H41" s="1">
        <v>0</v>
      </c>
      <c r="I41" s="13">
        <f t="shared" si="4"/>
        <v>0</v>
      </c>
      <c r="J41" s="1">
        <v>0</v>
      </c>
      <c r="K41" s="13">
        <f t="shared" si="5"/>
        <v>0</v>
      </c>
      <c r="L41" s="1">
        <v>0</v>
      </c>
      <c r="M41" s="13">
        <f t="shared" si="6"/>
        <v>0</v>
      </c>
      <c r="N41" s="3">
        <f t="shared" si="0"/>
        <v>38</v>
      </c>
    </row>
    <row r="42" spans="1:14" ht="13.5" customHeight="1" x14ac:dyDescent="0.25">
      <c r="A42" s="5" t="s">
        <v>97</v>
      </c>
      <c r="B42" s="1">
        <v>5</v>
      </c>
      <c r="C42" s="13">
        <f t="shared" si="1"/>
        <v>0.25</v>
      </c>
      <c r="D42" s="1">
        <v>13</v>
      </c>
      <c r="E42" s="13">
        <f t="shared" si="2"/>
        <v>0.65</v>
      </c>
      <c r="F42" s="1">
        <v>2</v>
      </c>
      <c r="G42" s="13">
        <f t="shared" si="3"/>
        <v>0.1</v>
      </c>
      <c r="H42" s="1">
        <v>0</v>
      </c>
      <c r="I42" s="13">
        <f t="shared" si="4"/>
        <v>0</v>
      </c>
      <c r="J42" s="1">
        <v>0</v>
      </c>
      <c r="K42" s="13">
        <f t="shared" si="5"/>
        <v>0</v>
      </c>
      <c r="L42" s="1">
        <v>0</v>
      </c>
      <c r="M42" s="13">
        <f t="shared" si="6"/>
        <v>0</v>
      </c>
      <c r="N42" s="3">
        <f t="shared" si="0"/>
        <v>20</v>
      </c>
    </row>
    <row r="43" spans="1:14" ht="13.5" customHeight="1" x14ac:dyDescent="0.25">
      <c r="A43" s="5" t="s">
        <v>26</v>
      </c>
      <c r="B43" s="1">
        <v>12</v>
      </c>
      <c r="C43" s="13">
        <f t="shared" si="1"/>
        <v>0.18181818181818182</v>
      </c>
      <c r="D43" s="1">
        <v>44</v>
      </c>
      <c r="E43" s="13">
        <f t="shared" si="2"/>
        <v>0.66666666666666663</v>
      </c>
      <c r="F43" s="1">
        <v>9</v>
      </c>
      <c r="G43" s="13">
        <f t="shared" si="3"/>
        <v>0.13636363636363635</v>
      </c>
      <c r="H43" s="1">
        <v>1</v>
      </c>
      <c r="I43" s="13">
        <f t="shared" si="4"/>
        <v>1.5151515151515152E-2</v>
      </c>
      <c r="J43" s="1">
        <v>0</v>
      </c>
      <c r="K43" s="13">
        <f t="shared" si="5"/>
        <v>0</v>
      </c>
      <c r="L43" s="1">
        <v>0</v>
      </c>
      <c r="M43" s="13">
        <f t="shared" si="6"/>
        <v>0</v>
      </c>
      <c r="N43" s="3">
        <f t="shared" si="0"/>
        <v>66</v>
      </c>
    </row>
    <row r="44" spans="1:14" ht="13.5" customHeight="1" x14ac:dyDescent="0.25">
      <c r="A44" s="5" t="s">
        <v>27</v>
      </c>
      <c r="B44" s="1">
        <v>9</v>
      </c>
      <c r="C44" s="13">
        <f t="shared" si="1"/>
        <v>0.21428571428571427</v>
      </c>
      <c r="D44" s="1">
        <v>26</v>
      </c>
      <c r="E44" s="13">
        <f t="shared" si="2"/>
        <v>0.61904761904761907</v>
      </c>
      <c r="F44" s="1">
        <v>7</v>
      </c>
      <c r="G44" s="13">
        <f t="shared" si="3"/>
        <v>0.16666666666666666</v>
      </c>
      <c r="H44" s="1">
        <v>0</v>
      </c>
      <c r="I44" s="13">
        <f t="shared" si="4"/>
        <v>0</v>
      </c>
      <c r="J44" s="1">
        <v>0</v>
      </c>
      <c r="K44" s="13">
        <f t="shared" si="5"/>
        <v>0</v>
      </c>
      <c r="L44" s="1">
        <v>0</v>
      </c>
      <c r="M44" s="13">
        <f t="shared" si="6"/>
        <v>0</v>
      </c>
      <c r="N44" s="3">
        <f t="shared" si="0"/>
        <v>42</v>
      </c>
    </row>
    <row r="45" spans="1:14" ht="13.5" customHeight="1" x14ac:dyDescent="0.25">
      <c r="A45" s="5" t="s">
        <v>28</v>
      </c>
      <c r="B45" s="1">
        <v>10</v>
      </c>
      <c r="C45" s="13">
        <f t="shared" si="1"/>
        <v>0.47619047619047616</v>
      </c>
      <c r="D45" s="1">
        <v>7</v>
      </c>
      <c r="E45" s="13">
        <f t="shared" si="2"/>
        <v>0.33333333333333331</v>
      </c>
      <c r="F45" s="1">
        <v>3</v>
      </c>
      <c r="G45" s="13">
        <f t="shared" si="3"/>
        <v>0.14285714285714285</v>
      </c>
      <c r="H45" s="1">
        <v>1</v>
      </c>
      <c r="I45" s="13">
        <f t="shared" si="4"/>
        <v>4.7619047619047616E-2</v>
      </c>
      <c r="J45" s="1">
        <v>0</v>
      </c>
      <c r="K45" s="13">
        <f t="shared" si="5"/>
        <v>0</v>
      </c>
      <c r="L45" s="1">
        <v>0</v>
      </c>
      <c r="M45" s="13">
        <f t="shared" si="6"/>
        <v>0</v>
      </c>
      <c r="N45" s="3">
        <f t="shared" si="0"/>
        <v>21</v>
      </c>
    </row>
    <row r="46" spans="1:14" ht="13.5" customHeight="1" x14ac:dyDescent="0.25">
      <c r="A46" s="5" t="s">
        <v>106</v>
      </c>
      <c r="B46" s="1">
        <v>3</v>
      </c>
      <c r="C46" s="13">
        <f t="shared" si="1"/>
        <v>0.15789473684210525</v>
      </c>
      <c r="D46" s="1">
        <v>9</v>
      </c>
      <c r="E46" s="13">
        <f t="shared" si="2"/>
        <v>0.47368421052631576</v>
      </c>
      <c r="F46" s="1">
        <v>3</v>
      </c>
      <c r="G46" s="13">
        <f t="shared" si="3"/>
        <v>0.15789473684210525</v>
      </c>
      <c r="H46" s="1">
        <v>4</v>
      </c>
      <c r="I46" s="13">
        <f t="shared" si="4"/>
        <v>0.21052631578947367</v>
      </c>
      <c r="J46" s="1">
        <v>0</v>
      </c>
      <c r="K46" s="13">
        <f t="shared" si="5"/>
        <v>0</v>
      </c>
      <c r="L46" s="1">
        <v>0</v>
      </c>
      <c r="M46" s="13">
        <f t="shared" si="6"/>
        <v>0</v>
      </c>
      <c r="N46" s="3">
        <f t="shared" si="0"/>
        <v>19</v>
      </c>
    </row>
    <row r="47" spans="1:14" ht="13.5" customHeight="1" x14ac:dyDescent="0.25">
      <c r="A47" s="5" t="s">
        <v>29</v>
      </c>
      <c r="B47" s="1">
        <v>42</v>
      </c>
      <c r="C47" s="13">
        <f t="shared" si="1"/>
        <v>0.3888888888888889</v>
      </c>
      <c r="D47" s="1">
        <v>34</v>
      </c>
      <c r="E47" s="13">
        <f t="shared" si="2"/>
        <v>0.31481481481481483</v>
      </c>
      <c r="F47" s="1">
        <v>24</v>
      </c>
      <c r="G47" s="13">
        <f t="shared" si="3"/>
        <v>0.22222222222222221</v>
      </c>
      <c r="H47" s="1">
        <v>6</v>
      </c>
      <c r="I47" s="13">
        <f t="shared" si="4"/>
        <v>5.5555555555555552E-2</v>
      </c>
      <c r="J47" s="1">
        <v>0</v>
      </c>
      <c r="K47" s="13">
        <f t="shared" si="5"/>
        <v>0</v>
      </c>
      <c r="L47" s="1">
        <v>2</v>
      </c>
      <c r="M47" s="13">
        <f t="shared" si="6"/>
        <v>1.8518518518518517E-2</v>
      </c>
      <c r="N47" s="3">
        <f t="shared" si="0"/>
        <v>108</v>
      </c>
    </row>
    <row r="48" spans="1:14" ht="13.5" customHeight="1" x14ac:dyDescent="0.25">
      <c r="A48" s="5" t="s">
        <v>30</v>
      </c>
      <c r="B48" s="1">
        <v>7</v>
      </c>
      <c r="C48" s="13">
        <f t="shared" si="1"/>
        <v>0.16666666666666666</v>
      </c>
      <c r="D48" s="1">
        <v>30</v>
      </c>
      <c r="E48" s="13">
        <f t="shared" si="2"/>
        <v>0.7142857142857143</v>
      </c>
      <c r="F48" s="1">
        <v>4</v>
      </c>
      <c r="G48" s="13">
        <f t="shared" si="3"/>
        <v>9.5238095238095233E-2</v>
      </c>
      <c r="H48" s="1">
        <v>1</v>
      </c>
      <c r="I48" s="13">
        <f t="shared" si="4"/>
        <v>2.3809523809523808E-2</v>
      </c>
      <c r="J48" s="1">
        <v>0</v>
      </c>
      <c r="K48" s="13">
        <f t="shared" si="5"/>
        <v>0</v>
      </c>
      <c r="L48" s="1">
        <v>0</v>
      </c>
      <c r="M48" s="13">
        <f t="shared" si="6"/>
        <v>0</v>
      </c>
      <c r="N48" s="3">
        <f t="shared" si="0"/>
        <v>42</v>
      </c>
    </row>
    <row r="49" spans="1:14" ht="13.5" customHeight="1" x14ac:dyDescent="0.25">
      <c r="A49" s="5" t="s">
        <v>98</v>
      </c>
      <c r="B49" s="1">
        <v>1</v>
      </c>
      <c r="C49" s="13">
        <f t="shared" si="1"/>
        <v>6.6666666666666666E-2</v>
      </c>
      <c r="D49" s="1">
        <v>4</v>
      </c>
      <c r="E49" s="13">
        <f t="shared" si="2"/>
        <v>0.26666666666666666</v>
      </c>
      <c r="F49" s="1">
        <v>7</v>
      </c>
      <c r="G49" s="13">
        <f t="shared" si="3"/>
        <v>0.46666666666666667</v>
      </c>
      <c r="H49" s="1">
        <v>3</v>
      </c>
      <c r="I49" s="13">
        <f t="shared" si="4"/>
        <v>0.2</v>
      </c>
      <c r="J49" s="1">
        <v>0</v>
      </c>
      <c r="K49" s="13">
        <f t="shared" si="5"/>
        <v>0</v>
      </c>
      <c r="L49" s="1">
        <v>0</v>
      </c>
      <c r="M49" s="13">
        <f t="shared" si="6"/>
        <v>0</v>
      </c>
      <c r="N49" s="3">
        <f t="shared" si="0"/>
        <v>15</v>
      </c>
    </row>
    <row r="50" spans="1:14" ht="13.5" customHeight="1" x14ac:dyDescent="0.25">
      <c r="A50" s="5" t="s">
        <v>99</v>
      </c>
      <c r="B50" s="1">
        <v>2</v>
      </c>
      <c r="C50" s="13">
        <f t="shared" si="1"/>
        <v>0.2857142857142857</v>
      </c>
      <c r="D50" s="1">
        <v>5</v>
      </c>
      <c r="E50" s="13">
        <f t="shared" si="2"/>
        <v>0.7142857142857143</v>
      </c>
      <c r="F50" s="1">
        <v>0</v>
      </c>
      <c r="G50" s="13">
        <f t="shared" si="3"/>
        <v>0</v>
      </c>
      <c r="H50" s="1">
        <v>0</v>
      </c>
      <c r="I50" s="13">
        <f t="shared" si="4"/>
        <v>0</v>
      </c>
      <c r="J50" s="1">
        <v>0</v>
      </c>
      <c r="K50" s="13">
        <f t="shared" si="5"/>
        <v>0</v>
      </c>
      <c r="L50" s="1">
        <v>0</v>
      </c>
      <c r="M50" s="13">
        <f t="shared" si="6"/>
        <v>0</v>
      </c>
      <c r="N50" s="3">
        <f t="shared" si="0"/>
        <v>7</v>
      </c>
    </row>
    <row r="51" spans="1:14" ht="13.5" customHeight="1" x14ac:dyDescent="0.25">
      <c r="A51" s="5" t="s">
        <v>31</v>
      </c>
      <c r="B51" s="1">
        <v>23</v>
      </c>
      <c r="C51" s="13">
        <f t="shared" si="1"/>
        <v>0.22772277227722773</v>
      </c>
      <c r="D51" s="1">
        <v>70</v>
      </c>
      <c r="E51" s="13">
        <f t="shared" si="2"/>
        <v>0.69306930693069302</v>
      </c>
      <c r="F51" s="1">
        <v>7</v>
      </c>
      <c r="G51" s="13">
        <f t="shared" si="3"/>
        <v>6.9306930693069313E-2</v>
      </c>
      <c r="H51" s="1">
        <v>1</v>
      </c>
      <c r="I51" s="13">
        <f t="shared" si="4"/>
        <v>9.9009900990099011E-3</v>
      </c>
      <c r="J51" s="1">
        <v>0</v>
      </c>
      <c r="K51" s="13">
        <f t="shared" si="5"/>
        <v>0</v>
      </c>
      <c r="L51" s="1">
        <v>0</v>
      </c>
      <c r="M51" s="13">
        <f t="shared" si="6"/>
        <v>0</v>
      </c>
      <c r="N51" s="3">
        <f t="shared" si="0"/>
        <v>101</v>
      </c>
    </row>
    <row r="52" spans="1:14" ht="13.5" customHeight="1" x14ac:dyDescent="0.25">
      <c r="A52" s="5" t="s">
        <v>100</v>
      </c>
      <c r="B52" s="1">
        <v>7</v>
      </c>
      <c r="C52" s="13">
        <f t="shared" si="1"/>
        <v>7.3684210526315783E-2</v>
      </c>
      <c r="D52" s="1">
        <v>62</v>
      </c>
      <c r="E52" s="13">
        <f t="shared" si="2"/>
        <v>0.65263157894736845</v>
      </c>
      <c r="F52" s="1">
        <v>23</v>
      </c>
      <c r="G52" s="13">
        <f t="shared" si="3"/>
        <v>0.24210526315789474</v>
      </c>
      <c r="H52" s="1">
        <v>3</v>
      </c>
      <c r="I52" s="13">
        <f t="shared" si="4"/>
        <v>3.1578947368421054E-2</v>
      </c>
      <c r="J52" s="1">
        <v>0</v>
      </c>
      <c r="K52" s="13">
        <f t="shared" si="5"/>
        <v>0</v>
      </c>
      <c r="L52" s="1">
        <v>0</v>
      </c>
      <c r="M52" s="13">
        <f t="shared" si="6"/>
        <v>0</v>
      </c>
      <c r="N52" s="3">
        <f t="shared" si="0"/>
        <v>95</v>
      </c>
    </row>
    <row r="53" spans="1:14" ht="13.5" customHeight="1" x14ac:dyDescent="0.25">
      <c r="A53" s="5" t="s">
        <v>32</v>
      </c>
      <c r="B53" s="1">
        <v>1</v>
      </c>
      <c r="C53" s="13">
        <f t="shared" si="1"/>
        <v>4.7619047619047616E-2</v>
      </c>
      <c r="D53" s="1">
        <v>9</v>
      </c>
      <c r="E53" s="13">
        <f t="shared" si="2"/>
        <v>0.42857142857142855</v>
      </c>
      <c r="F53" s="1">
        <v>7</v>
      </c>
      <c r="G53" s="13">
        <f t="shared" si="3"/>
        <v>0.33333333333333331</v>
      </c>
      <c r="H53" s="1">
        <v>4</v>
      </c>
      <c r="I53" s="13">
        <f t="shared" si="4"/>
        <v>0.19047619047619047</v>
      </c>
      <c r="J53" s="1">
        <v>0</v>
      </c>
      <c r="K53" s="13">
        <f t="shared" si="5"/>
        <v>0</v>
      </c>
      <c r="L53" s="1">
        <v>0</v>
      </c>
      <c r="M53" s="13">
        <f t="shared" si="6"/>
        <v>0</v>
      </c>
      <c r="N53" s="3">
        <f t="shared" si="0"/>
        <v>21</v>
      </c>
    </row>
    <row r="54" spans="1:14" x14ac:dyDescent="0.25">
      <c r="A54" s="5" t="s">
        <v>33</v>
      </c>
      <c r="B54" s="1">
        <v>0</v>
      </c>
      <c r="C54" s="13">
        <f t="shared" si="1"/>
        <v>0</v>
      </c>
      <c r="D54" s="1">
        <v>7</v>
      </c>
      <c r="E54" s="13">
        <f t="shared" si="2"/>
        <v>0.46666666666666667</v>
      </c>
      <c r="F54" s="1">
        <v>5</v>
      </c>
      <c r="G54" s="13">
        <f t="shared" si="3"/>
        <v>0.33333333333333331</v>
      </c>
      <c r="H54" s="1">
        <v>3</v>
      </c>
      <c r="I54" s="13">
        <f t="shared" si="4"/>
        <v>0.2</v>
      </c>
      <c r="J54" s="1">
        <v>0</v>
      </c>
      <c r="K54" s="13">
        <f t="shared" si="5"/>
        <v>0</v>
      </c>
      <c r="L54" s="1">
        <v>0</v>
      </c>
      <c r="M54" s="13">
        <f t="shared" si="6"/>
        <v>0</v>
      </c>
      <c r="N54" s="3">
        <f t="shared" si="0"/>
        <v>15</v>
      </c>
    </row>
    <row r="55" spans="1:14" x14ac:dyDescent="0.25">
      <c r="A55" s="5" t="s">
        <v>34</v>
      </c>
      <c r="B55" s="1">
        <v>0</v>
      </c>
      <c r="C55" s="13">
        <f t="shared" si="1"/>
        <v>0</v>
      </c>
      <c r="D55" s="1">
        <v>8</v>
      </c>
      <c r="E55" s="13">
        <f t="shared" si="2"/>
        <v>1</v>
      </c>
      <c r="F55" s="1">
        <v>0</v>
      </c>
      <c r="G55" s="13">
        <f t="shared" si="3"/>
        <v>0</v>
      </c>
      <c r="H55" s="1">
        <v>0</v>
      </c>
      <c r="I55" s="13">
        <f t="shared" si="4"/>
        <v>0</v>
      </c>
      <c r="J55" s="1">
        <v>0</v>
      </c>
      <c r="K55" s="13">
        <f t="shared" si="5"/>
        <v>0</v>
      </c>
      <c r="L55" s="1">
        <v>0</v>
      </c>
      <c r="M55" s="13">
        <f t="shared" si="6"/>
        <v>0</v>
      </c>
      <c r="N55" s="3">
        <f t="shared" si="0"/>
        <v>8</v>
      </c>
    </row>
    <row r="56" spans="1:14" x14ac:dyDescent="0.25">
      <c r="A56" s="5" t="s">
        <v>35</v>
      </c>
      <c r="B56" s="1">
        <v>10</v>
      </c>
      <c r="C56" s="13">
        <f t="shared" si="1"/>
        <v>0.23255813953488372</v>
      </c>
      <c r="D56" s="1">
        <v>16</v>
      </c>
      <c r="E56" s="13">
        <f t="shared" si="2"/>
        <v>0.37209302325581395</v>
      </c>
      <c r="F56" s="1">
        <v>11</v>
      </c>
      <c r="G56" s="13">
        <f t="shared" si="3"/>
        <v>0.2558139534883721</v>
      </c>
      <c r="H56" s="1">
        <v>5</v>
      </c>
      <c r="I56" s="13">
        <f t="shared" si="4"/>
        <v>0.11627906976744186</v>
      </c>
      <c r="J56" s="1">
        <v>1</v>
      </c>
      <c r="K56" s="13">
        <f t="shared" si="5"/>
        <v>2.3255813953488372E-2</v>
      </c>
      <c r="L56" s="1">
        <v>0</v>
      </c>
      <c r="M56" s="13">
        <f t="shared" si="6"/>
        <v>0</v>
      </c>
      <c r="N56" s="3">
        <f t="shared" si="0"/>
        <v>43</v>
      </c>
    </row>
    <row r="57" spans="1:14" x14ac:dyDescent="0.25">
      <c r="A57" s="5" t="s">
        <v>49</v>
      </c>
      <c r="B57" s="1">
        <v>4</v>
      </c>
      <c r="C57" s="13">
        <f t="shared" si="1"/>
        <v>0.30769230769230771</v>
      </c>
      <c r="D57" s="1">
        <v>9</v>
      </c>
      <c r="E57" s="13">
        <f t="shared" si="2"/>
        <v>0.69230769230769229</v>
      </c>
      <c r="F57" s="1">
        <v>0</v>
      </c>
      <c r="G57" s="13">
        <f t="shared" si="3"/>
        <v>0</v>
      </c>
      <c r="H57" s="1">
        <v>0</v>
      </c>
      <c r="I57" s="13">
        <f t="shared" si="4"/>
        <v>0</v>
      </c>
      <c r="J57" s="1">
        <v>0</v>
      </c>
      <c r="K57" s="13">
        <f t="shared" si="5"/>
        <v>0</v>
      </c>
      <c r="L57" s="1">
        <v>0</v>
      </c>
      <c r="M57" s="13">
        <f t="shared" si="6"/>
        <v>0</v>
      </c>
      <c r="N57" s="3">
        <f t="shared" si="0"/>
        <v>13</v>
      </c>
    </row>
    <row r="58" spans="1:14" ht="15.75" thickBot="1" x14ac:dyDescent="0.3">
      <c r="A58" s="7" t="s">
        <v>36</v>
      </c>
      <c r="B58" s="8">
        <v>0</v>
      </c>
      <c r="C58" s="14">
        <f t="shared" si="1"/>
        <v>0</v>
      </c>
      <c r="D58" s="8">
        <v>0</v>
      </c>
      <c r="E58" s="14">
        <f t="shared" si="2"/>
        <v>0</v>
      </c>
      <c r="F58" s="8">
        <v>2</v>
      </c>
      <c r="G58" s="14">
        <f t="shared" si="3"/>
        <v>1</v>
      </c>
      <c r="H58" s="8">
        <v>0</v>
      </c>
      <c r="I58" s="14">
        <f t="shared" si="4"/>
        <v>0</v>
      </c>
      <c r="J58" s="8">
        <v>0</v>
      </c>
      <c r="K58" s="14">
        <f t="shared" si="5"/>
        <v>0</v>
      </c>
      <c r="L58" s="8">
        <v>0</v>
      </c>
      <c r="M58" s="14">
        <f t="shared" si="6"/>
        <v>0</v>
      </c>
      <c r="N58" s="6">
        <f t="shared" si="0"/>
        <v>2</v>
      </c>
    </row>
    <row r="59" spans="1:14" ht="16.5" thickTop="1" thickBot="1" x14ac:dyDescent="0.3">
      <c r="A59" s="2" t="s">
        <v>41</v>
      </c>
      <c r="B59" s="2">
        <f>SUM(B6:B58)</f>
        <v>443</v>
      </c>
      <c r="C59" s="15">
        <f t="shared" si="1"/>
        <v>0.18207973695026716</v>
      </c>
      <c r="D59" s="2">
        <f>SUM(D6:D58)</f>
        <v>1349</v>
      </c>
      <c r="E59" s="15">
        <f t="shared" si="2"/>
        <v>0.55445951500205504</v>
      </c>
      <c r="F59" s="2">
        <f>SUM(F6:F58)</f>
        <v>504</v>
      </c>
      <c r="G59" s="15">
        <f t="shared" si="3"/>
        <v>0.20715166461159062</v>
      </c>
      <c r="H59" s="2">
        <f>SUM(H6:H58)</f>
        <v>117</v>
      </c>
      <c r="I59" s="15">
        <f t="shared" si="4"/>
        <v>4.8088779284833537E-2</v>
      </c>
      <c r="J59" s="2">
        <f>SUM(J6:J58)</f>
        <v>17</v>
      </c>
      <c r="K59" s="15">
        <f t="shared" si="5"/>
        <v>6.9872585285655573E-3</v>
      </c>
      <c r="L59" s="2">
        <f>SUM(L6:L58)</f>
        <v>3</v>
      </c>
      <c r="M59" s="15">
        <f t="shared" si="6"/>
        <v>1.2330456226880395E-3</v>
      </c>
      <c r="N59" s="4">
        <f>SUM(N6:N58)</f>
        <v>2433</v>
      </c>
    </row>
    <row r="60" spans="1:14" ht="15.75" thickBo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1:14" x14ac:dyDescent="0.25">
      <c r="A61" s="43" t="s">
        <v>57</v>
      </c>
      <c r="B61" s="35" t="s">
        <v>52</v>
      </c>
      <c r="C61" s="36"/>
      <c r="D61" s="35" t="s">
        <v>53</v>
      </c>
      <c r="E61" s="36"/>
      <c r="F61" s="35" t="s">
        <v>54</v>
      </c>
      <c r="G61" s="36"/>
      <c r="H61" s="35" t="s">
        <v>55</v>
      </c>
      <c r="I61" s="36"/>
      <c r="J61" s="35" t="s">
        <v>45</v>
      </c>
      <c r="K61" s="36"/>
      <c r="L61" s="35" t="s">
        <v>46</v>
      </c>
      <c r="M61" s="36"/>
      <c r="N61" s="39" t="s">
        <v>0</v>
      </c>
    </row>
    <row r="62" spans="1:14" x14ac:dyDescent="0.25">
      <c r="A62" s="44"/>
      <c r="B62" s="37"/>
      <c r="C62" s="38"/>
      <c r="D62" s="37"/>
      <c r="E62" s="38"/>
      <c r="F62" s="37"/>
      <c r="G62" s="38"/>
      <c r="H62" s="37"/>
      <c r="I62" s="38"/>
      <c r="J62" s="37"/>
      <c r="K62" s="38"/>
      <c r="L62" s="37"/>
      <c r="M62" s="38"/>
      <c r="N62" s="40"/>
    </row>
    <row r="63" spans="1:14" x14ac:dyDescent="0.25">
      <c r="A63" s="5" t="s">
        <v>62</v>
      </c>
      <c r="B63" s="1">
        <v>84</v>
      </c>
      <c r="C63" s="13">
        <f t="shared" ref="C63:C71" si="7">B63/N63</f>
        <v>0.18666666666666668</v>
      </c>
      <c r="D63" s="1">
        <v>270</v>
      </c>
      <c r="E63" s="13">
        <f t="shared" ref="E63:E71" si="8">D63/N63</f>
        <v>0.6</v>
      </c>
      <c r="F63" s="1">
        <v>82</v>
      </c>
      <c r="G63" s="13">
        <f t="shared" ref="G63:G71" si="9">F63/N63</f>
        <v>0.18222222222222223</v>
      </c>
      <c r="H63" s="1">
        <v>13</v>
      </c>
      <c r="I63" s="13">
        <f t="shared" ref="I63:I71" si="10">H63/N63</f>
        <v>2.8888888888888888E-2</v>
      </c>
      <c r="J63" s="1">
        <v>1</v>
      </c>
      <c r="K63" s="13">
        <f t="shared" ref="K63:K71" si="11">J63/N63</f>
        <v>2.2222222222222222E-3</v>
      </c>
      <c r="L63" s="1">
        <v>0</v>
      </c>
      <c r="M63" s="13">
        <f t="shared" ref="M63:M71" si="12">L63/N63</f>
        <v>0</v>
      </c>
      <c r="N63" s="3">
        <f t="shared" ref="N63:N70" si="13">B63+D63+F63+H63+J63+L63</f>
        <v>450</v>
      </c>
    </row>
    <row r="64" spans="1:14" x14ac:dyDescent="0.25">
      <c r="A64" s="5" t="s">
        <v>63</v>
      </c>
      <c r="B64" s="1">
        <v>3</v>
      </c>
      <c r="C64" s="13">
        <f t="shared" si="7"/>
        <v>3.3707865168539325E-2</v>
      </c>
      <c r="D64" s="1">
        <v>37</v>
      </c>
      <c r="E64" s="13">
        <f t="shared" si="8"/>
        <v>0.4157303370786517</v>
      </c>
      <c r="F64" s="1">
        <v>39</v>
      </c>
      <c r="G64" s="13">
        <f t="shared" si="9"/>
        <v>0.43820224719101125</v>
      </c>
      <c r="H64" s="1">
        <v>7</v>
      </c>
      <c r="I64" s="13">
        <f t="shared" si="10"/>
        <v>7.8651685393258425E-2</v>
      </c>
      <c r="J64" s="1">
        <v>3</v>
      </c>
      <c r="K64" s="13">
        <f t="shared" si="11"/>
        <v>3.3707865168539325E-2</v>
      </c>
      <c r="L64" s="1">
        <v>0</v>
      </c>
      <c r="M64" s="13">
        <f t="shared" si="12"/>
        <v>0</v>
      </c>
      <c r="N64" s="3">
        <f t="shared" si="13"/>
        <v>89</v>
      </c>
    </row>
    <row r="65" spans="1:14" x14ac:dyDescent="0.25">
      <c r="A65" s="5" t="s">
        <v>64</v>
      </c>
      <c r="B65" s="1">
        <v>7</v>
      </c>
      <c r="C65" s="13">
        <f t="shared" si="7"/>
        <v>0.15217391304347827</v>
      </c>
      <c r="D65" s="1">
        <v>26</v>
      </c>
      <c r="E65" s="13">
        <f t="shared" si="8"/>
        <v>0.56521739130434778</v>
      </c>
      <c r="F65" s="1">
        <v>10</v>
      </c>
      <c r="G65" s="13">
        <f t="shared" si="9"/>
        <v>0.21739130434782608</v>
      </c>
      <c r="H65" s="1">
        <v>3</v>
      </c>
      <c r="I65" s="13">
        <f t="shared" si="10"/>
        <v>6.5217391304347824E-2</v>
      </c>
      <c r="J65" s="1">
        <v>0</v>
      </c>
      <c r="K65" s="13">
        <f t="shared" si="11"/>
        <v>0</v>
      </c>
      <c r="L65" s="1">
        <v>0</v>
      </c>
      <c r="M65" s="13">
        <f t="shared" si="12"/>
        <v>0</v>
      </c>
      <c r="N65" s="3">
        <f t="shared" si="13"/>
        <v>46</v>
      </c>
    </row>
    <row r="66" spans="1:14" x14ac:dyDescent="0.25">
      <c r="A66" s="5" t="s">
        <v>103</v>
      </c>
      <c r="B66" s="1">
        <v>44</v>
      </c>
      <c r="C66" s="13">
        <f t="shared" si="7"/>
        <v>0.15714285714285714</v>
      </c>
      <c r="D66" s="1">
        <v>98</v>
      </c>
      <c r="E66" s="13">
        <f t="shared" si="8"/>
        <v>0.35</v>
      </c>
      <c r="F66" s="1">
        <v>97</v>
      </c>
      <c r="G66" s="13">
        <f t="shared" si="9"/>
        <v>0.34642857142857142</v>
      </c>
      <c r="H66" s="1">
        <v>32</v>
      </c>
      <c r="I66" s="13">
        <f t="shared" si="10"/>
        <v>0.11428571428571428</v>
      </c>
      <c r="J66" s="1">
        <v>8</v>
      </c>
      <c r="K66" s="13">
        <f t="shared" si="11"/>
        <v>2.8571428571428571E-2</v>
      </c>
      <c r="L66" s="1">
        <v>1</v>
      </c>
      <c r="M66" s="13">
        <f t="shared" si="12"/>
        <v>3.5714285714285713E-3</v>
      </c>
      <c r="N66" s="3">
        <f t="shared" si="13"/>
        <v>280</v>
      </c>
    </row>
    <row r="67" spans="1:14" x14ac:dyDescent="0.25">
      <c r="A67" s="5" t="s">
        <v>1</v>
      </c>
      <c r="B67" s="1">
        <v>13</v>
      </c>
      <c r="C67" s="13">
        <f t="shared" si="7"/>
        <v>0.11607142857142858</v>
      </c>
      <c r="D67" s="1">
        <v>76</v>
      </c>
      <c r="E67" s="13">
        <f t="shared" si="8"/>
        <v>0.6785714285714286</v>
      </c>
      <c r="F67" s="1">
        <v>21</v>
      </c>
      <c r="G67" s="13">
        <f t="shared" si="9"/>
        <v>0.1875</v>
      </c>
      <c r="H67" s="1">
        <v>2</v>
      </c>
      <c r="I67" s="13">
        <f t="shared" si="10"/>
        <v>1.7857142857142856E-2</v>
      </c>
      <c r="J67" s="1">
        <v>0</v>
      </c>
      <c r="K67" s="13">
        <f t="shared" si="11"/>
        <v>0</v>
      </c>
      <c r="L67" s="1">
        <v>0</v>
      </c>
      <c r="M67" s="13">
        <f t="shared" si="12"/>
        <v>0</v>
      </c>
      <c r="N67" s="3">
        <f t="shared" si="13"/>
        <v>112</v>
      </c>
    </row>
    <row r="68" spans="1:14" x14ac:dyDescent="0.25">
      <c r="A68" s="5" t="s">
        <v>66</v>
      </c>
      <c r="B68" s="1">
        <v>112</v>
      </c>
      <c r="C68" s="13">
        <f t="shared" si="7"/>
        <v>0.19718309859154928</v>
      </c>
      <c r="D68" s="1">
        <v>379</v>
      </c>
      <c r="E68" s="13">
        <f t="shared" si="8"/>
        <v>0.66725352112676062</v>
      </c>
      <c r="F68" s="1">
        <v>71</v>
      </c>
      <c r="G68" s="13">
        <f t="shared" si="9"/>
        <v>0.125</v>
      </c>
      <c r="H68" s="1">
        <v>5</v>
      </c>
      <c r="I68" s="13">
        <f t="shared" si="10"/>
        <v>8.8028169014084511E-3</v>
      </c>
      <c r="J68" s="1">
        <v>1</v>
      </c>
      <c r="K68" s="13">
        <f t="shared" si="11"/>
        <v>1.7605633802816902E-3</v>
      </c>
      <c r="L68" s="1">
        <v>0</v>
      </c>
      <c r="M68" s="13">
        <f t="shared" si="12"/>
        <v>0</v>
      </c>
      <c r="N68" s="3">
        <f t="shared" si="13"/>
        <v>568</v>
      </c>
    </row>
    <row r="69" spans="1:14" x14ac:dyDescent="0.25">
      <c r="A69" s="5" t="s">
        <v>67</v>
      </c>
      <c r="B69" s="1">
        <v>108</v>
      </c>
      <c r="C69" s="13">
        <f t="shared" si="7"/>
        <v>0.25116279069767444</v>
      </c>
      <c r="D69" s="1">
        <v>157</v>
      </c>
      <c r="E69" s="13">
        <f t="shared" si="8"/>
        <v>0.36511627906976746</v>
      </c>
      <c r="F69" s="1">
        <v>113</v>
      </c>
      <c r="G69" s="13">
        <f t="shared" si="9"/>
        <v>0.26279069767441859</v>
      </c>
      <c r="H69" s="1">
        <v>47</v>
      </c>
      <c r="I69" s="13">
        <f t="shared" si="10"/>
        <v>0.10930232558139535</v>
      </c>
      <c r="J69" s="1">
        <v>3</v>
      </c>
      <c r="K69" s="13">
        <f t="shared" si="11"/>
        <v>6.9767441860465115E-3</v>
      </c>
      <c r="L69" s="1">
        <v>2</v>
      </c>
      <c r="M69" s="13">
        <f t="shared" si="12"/>
        <v>4.6511627906976744E-3</v>
      </c>
      <c r="N69" s="3">
        <f t="shared" si="13"/>
        <v>430</v>
      </c>
    </row>
    <row r="70" spans="1:14" ht="15.75" thickBot="1" x14ac:dyDescent="0.3">
      <c r="A70" s="7" t="s">
        <v>68</v>
      </c>
      <c r="B70" s="8">
        <v>72</v>
      </c>
      <c r="C70" s="14">
        <f t="shared" si="7"/>
        <v>0.15720524017467249</v>
      </c>
      <c r="D70" s="8">
        <v>306</v>
      </c>
      <c r="E70" s="14">
        <f t="shared" si="8"/>
        <v>0.66812227074235808</v>
      </c>
      <c r="F70" s="8">
        <v>71</v>
      </c>
      <c r="G70" s="14">
        <f t="shared" si="9"/>
        <v>0.15502183406113537</v>
      </c>
      <c r="H70" s="8">
        <v>8</v>
      </c>
      <c r="I70" s="14">
        <f t="shared" si="10"/>
        <v>1.7467248908296942E-2</v>
      </c>
      <c r="J70" s="8">
        <v>1</v>
      </c>
      <c r="K70" s="14">
        <f t="shared" si="11"/>
        <v>2.1834061135371178E-3</v>
      </c>
      <c r="L70" s="8">
        <v>0</v>
      </c>
      <c r="M70" s="14">
        <f t="shared" si="12"/>
        <v>0</v>
      </c>
      <c r="N70" s="6">
        <f t="shared" si="13"/>
        <v>458</v>
      </c>
    </row>
    <row r="71" spans="1:14" ht="16.5" thickTop="1" thickBot="1" x14ac:dyDescent="0.3">
      <c r="A71" s="2" t="s">
        <v>41</v>
      </c>
      <c r="B71" s="2">
        <f>SUM(B63:B70)</f>
        <v>443</v>
      </c>
      <c r="C71" s="15">
        <f t="shared" si="7"/>
        <v>0.18207973695026716</v>
      </c>
      <c r="D71" s="2">
        <f>SUM(D63:D70)</f>
        <v>1349</v>
      </c>
      <c r="E71" s="15">
        <f t="shared" si="8"/>
        <v>0.55445951500205504</v>
      </c>
      <c r="F71" s="2">
        <f>SUM(F63:F70)</f>
        <v>504</v>
      </c>
      <c r="G71" s="15">
        <f t="shared" si="9"/>
        <v>0.20715166461159062</v>
      </c>
      <c r="H71" s="2">
        <f>SUM(H63:H70)</f>
        <v>117</v>
      </c>
      <c r="I71" s="15">
        <f t="shared" si="10"/>
        <v>4.8088779284833537E-2</v>
      </c>
      <c r="J71" s="2">
        <f>SUM(J63:J70)</f>
        <v>17</v>
      </c>
      <c r="K71" s="15">
        <f t="shared" si="11"/>
        <v>6.9872585285655573E-3</v>
      </c>
      <c r="L71" s="2">
        <f>SUM(L63:L70)</f>
        <v>3</v>
      </c>
      <c r="M71" s="15">
        <f t="shared" si="12"/>
        <v>1.2330456226880395E-3</v>
      </c>
      <c r="N71" s="4">
        <f>SUM(N63:N70)</f>
        <v>2433</v>
      </c>
    </row>
    <row r="74" spans="1:14" x14ac:dyDescent="0.25">
      <c r="A74" s="12" t="s">
        <v>58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4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4" ht="15.75" thickBot="1" x14ac:dyDescent="0.3">
      <c r="A76" s="12"/>
      <c r="D76" s="21"/>
      <c r="E76" s="21"/>
      <c r="F76" s="12"/>
      <c r="G76" s="12"/>
      <c r="H76" s="12"/>
      <c r="I76" s="12"/>
      <c r="J76" s="12"/>
      <c r="K76" s="12"/>
      <c r="L76" s="12"/>
      <c r="M76" s="12"/>
    </row>
    <row r="77" spans="1:14" ht="30" customHeight="1" x14ac:dyDescent="0.25">
      <c r="A77" s="26"/>
      <c r="B77" s="41" t="s">
        <v>79</v>
      </c>
      <c r="C77" s="42"/>
      <c r="D77" s="21"/>
      <c r="E77" s="21"/>
      <c r="F77" s="12"/>
      <c r="G77" s="12"/>
      <c r="H77" s="12"/>
      <c r="I77" s="12"/>
      <c r="J77" s="12"/>
      <c r="K77" s="12"/>
      <c r="L77" s="12"/>
      <c r="M77" s="12"/>
    </row>
    <row r="78" spans="1:14" ht="15.75" thickBot="1" x14ac:dyDescent="0.3">
      <c r="A78" s="24" t="s">
        <v>78</v>
      </c>
      <c r="B78" s="32" t="s">
        <v>101</v>
      </c>
      <c r="C78" s="33"/>
      <c r="F78" s="12"/>
      <c r="G78" s="12"/>
      <c r="H78" s="12"/>
      <c r="I78" s="12"/>
      <c r="J78" s="12"/>
      <c r="K78" s="12"/>
      <c r="L78" s="12"/>
      <c r="M78" s="12"/>
    </row>
    <row r="79" spans="1:14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4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x14ac:dyDescent="0.25">
      <c r="A81" s="34" t="s">
        <v>102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</sheetData>
  <mergeCells count="18">
    <mergeCell ref="A81:M81"/>
    <mergeCell ref="L61:M62"/>
    <mergeCell ref="N61:N62"/>
    <mergeCell ref="B77:C77"/>
    <mergeCell ref="B78:C78"/>
    <mergeCell ref="A61:A62"/>
    <mergeCell ref="B61:C62"/>
    <mergeCell ref="D61:E62"/>
    <mergeCell ref="F61:G62"/>
    <mergeCell ref="H61:I62"/>
    <mergeCell ref="J61:K62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  <ignoredErrors>
    <ignoredError sqref="G71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75"/>
  <sheetViews>
    <sheetView tabSelected="1" view="pageLayout" zoomScale="70" zoomScaleNormal="100" zoomScalePageLayoutView="70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">
        <v>153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 t="s">
        <v>4</v>
      </c>
      <c r="B6" s="1">
        <v>25</v>
      </c>
      <c r="C6" s="13">
        <f>B6/N6</f>
        <v>0.21008403361344538</v>
      </c>
      <c r="D6" s="1">
        <v>82</v>
      </c>
      <c r="E6" s="13">
        <f>D6/N6</f>
        <v>0.68907563025210083</v>
      </c>
      <c r="F6" s="1">
        <v>12</v>
      </c>
      <c r="G6" s="13">
        <f>F6/N6</f>
        <v>0.10084033613445378</v>
      </c>
      <c r="H6" s="1">
        <v>0</v>
      </c>
      <c r="I6" s="13">
        <f>H6/N6</f>
        <v>0</v>
      </c>
      <c r="J6" s="1">
        <v>0</v>
      </c>
      <c r="K6" s="13">
        <f>J6/N6</f>
        <v>0</v>
      </c>
      <c r="L6" s="1">
        <v>0</v>
      </c>
      <c r="M6" s="13">
        <f>L6/N6</f>
        <v>0</v>
      </c>
      <c r="N6" s="3">
        <f t="shared" ref="N6:N54" si="0">B6+D6+F6+H6+J6+L6</f>
        <v>119</v>
      </c>
    </row>
    <row r="7" spans="1:14" ht="13.5" customHeight="1" x14ac:dyDescent="0.25">
      <c r="A7" s="5" t="s">
        <v>5</v>
      </c>
      <c r="B7" s="1">
        <v>6</v>
      </c>
      <c r="C7" s="13">
        <f>B7/N7</f>
        <v>0.10714285714285714</v>
      </c>
      <c r="D7" s="1">
        <v>47</v>
      </c>
      <c r="E7" s="13">
        <f>D7/N7</f>
        <v>0.8392857142857143</v>
      </c>
      <c r="F7" s="1">
        <v>3</v>
      </c>
      <c r="G7" s="13">
        <f>F7/N7</f>
        <v>5.3571428571428568E-2</v>
      </c>
      <c r="H7" s="1">
        <v>0</v>
      </c>
      <c r="I7" s="13">
        <f>H7/N7</f>
        <v>0</v>
      </c>
      <c r="J7" s="1">
        <v>0</v>
      </c>
      <c r="K7" s="13">
        <f>J7/N7</f>
        <v>0</v>
      </c>
      <c r="L7" s="1">
        <v>0</v>
      </c>
      <c r="M7" s="13">
        <f>L7/N7</f>
        <v>0</v>
      </c>
      <c r="N7" s="3">
        <f>B7+D7+F7+H7+J7+L7</f>
        <v>56</v>
      </c>
    </row>
    <row r="8" spans="1:14" ht="13.5" customHeight="1" x14ac:dyDescent="0.25">
      <c r="A8" s="5" t="s">
        <v>6</v>
      </c>
      <c r="B8" s="1">
        <v>12</v>
      </c>
      <c r="C8" s="13">
        <f>B8/N8</f>
        <v>0.16901408450704225</v>
      </c>
      <c r="D8" s="1">
        <v>54</v>
      </c>
      <c r="E8" s="13">
        <f>D8/N8</f>
        <v>0.76056338028169013</v>
      </c>
      <c r="F8" s="1">
        <v>5</v>
      </c>
      <c r="G8" s="13">
        <f>F8/N8</f>
        <v>7.0422535211267609E-2</v>
      </c>
      <c r="H8" s="1">
        <v>0</v>
      </c>
      <c r="I8" s="13">
        <f>H8/N8</f>
        <v>0</v>
      </c>
      <c r="J8" s="1">
        <v>0</v>
      </c>
      <c r="K8" s="13">
        <f>J8/N8</f>
        <v>0</v>
      </c>
      <c r="L8" s="1">
        <v>0</v>
      </c>
      <c r="M8" s="13">
        <f>L8/N8</f>
        <v>0</v>
      </c>
      <c r="N8" s="3">
        <f>B8+D8+F8+H8+J8+L8</f>
        <v>71</v>
      </c>
    </row>
    <row r="9" spans="1:14" ht="13.5" customHeight="1" x14ac:dyDescent="0.25">
      <c r="A9" s="5" t="s">
        <v>93</v>
      </c>
      <c r="B9" s="1">
        <v>9</v>
      </c>
      <c r="C9" s="13">
        <f t="shared" ref="C9:C55" si="1">B9/N9</f>
        <v>9.8901098901098897E-2</v>
      </c>
      <c r="D9" s="1">
        <v>49</v>
      </c>
      <c r="E9" s="13">
        <f t="shared" ref="E9:E55" si="2">D9/N9</f>
        <v>0.53846153846153844</v>
      </c>
      <c r="F9" s="1">
        <v>26</v>
      </c>
      <c r="G9" s="13">
        <f t="shared" ref="G9:G55" si="3">F9/N9</f>
        <v>0.2857142857142857</v>
      </c>
      <c r="H9" s="1">
        <v>6</v>
      </c>
      <c r="I9" s="13">
        <f t="shared" ref="I9:I55" si="4">H9/N9</f>
        <v>6.5934065934065936E-2</v>
      </c>
      <c r="J9" s="1">
        <v>1</v>
      </c>
      <c r="K9" s="13">
        <f t="shared" ref="K9:K55" si="5">J9/N9</f>
        <v>1.098901098901099E-2</v>
      </c>
      <c r="L9" s="1">
        <v>0</v>
      </c>
      <c r="M9" s="13">
        <f t="shared" ref="M9:M55" si="6">L9/N9</f>
        <v>0</v>
      </c>
      <c r="N9" s="3">
        <f t="shared" si="0"/>
        <v>91</v>
      </c>
    </row>
    <row r="10" spans="1:14" ht="13.5" customHeight="1" x14ac:dyDescent="0.25">
      <c r="A10" s="5" t="s">
        <v>70</v>
      </c>
      <c r="B10" s="1">
        <v>2</v>
      </c>
      <c r="C10" s="13">
        <f t="shared" si="1"/>
        <v>0.11764705882352941</v>
      </c>
      <c r="D10" s="1">
        <v>9</v>
      </c>
      <c r="E10" s="13">
        <f t="shared" si="2"/>
        <v>0.52941176470588236</v>
      </c>
      <c r="F10" s="1">
        <v>4</v>
      </c>
      <c r="G10" s="13">
        <f t="shared" si="3"/>
        <v>0.23529411764705882</v>
      </c>
      <c r="H10" s="1">
        <v>2</v>
      </c>
      <c r="I10" s="13">
        <f t="shared" si="4"/>
        <v>0.11764705882352941</v>
      </c>
      <c r="J10" s="1">
        <v>0</v>
      </c>
      <c r="K10" s="13">
        <f t="shared" si="5"/>
        <v>0</v>
      </c>
      <c r="L10" s="1">
        <v>0</v>
      </c>
      <c r="M10" s="13">
        <f t="shared" si="6"/>
        <v>0</v>
      </c>
      <c r="N10" s="3">
        <f t="shared" si="0"/>
        <v>17</v>
      </c>
    </row>
    <row r="11" spans="1:14" ht="13.5" customHeight="1" x14ac:dyDescent="0.25">
      <c r="A11" s="5" t="s">
        <v>7</v>
      </c>
      <c r="B11" s="1">
        <v>13</v>
      </c>
      <c r="C11" s="13">
        <f t="shared" si="1"/>
        <v>0.20967741935483872</v>
      </c>
      <c r="D11" s="1">
        <v>38</v>
      </c>
      <c r="E11" s="13">
        <f t="shared" si="2"/>
        <v>0.61290322580645162</v>
      </c>
      <c r="F11" s="1">
        <v>10</v>
      </c>
      <c r="G11" s="13">
        <f t="shared" si="3"/>
        <v>0.16129032258064516</v>
      </c>
      <c r="H11" s="1">
        <v>1</v>
      </c>
      <c r="I11" s="13">
        <f t="shared" si="4"/>
        <v>1.6129032258064516E-2</v>
      </c>
      <c r="J11" s="1">
        <v>0</v>
      </c>
      <c r="K11" s="13">
        <f t="shared" si="5"/>
        <v>0</v>
      </c>
      <c r="L11" s="1">
        <v>0</v>
      </c>
      <c r="M11" s="13">
        <f t="shared" si="6"/>
        <v>0</v>
      </c>
      <c r="N11" s="3">
        <f t="shared" si="0"/>
        <v>62</v>
      </c>
    </row>
    <row r="12" spans="1:14" ht="13.5" customHeight="1" x14ac:dyDescent="0.25">
      <c r="A12" s="5" t="s">
        <v>8</v>
      </c>
      <c r="B12" s="1">
        <v>19</v>
      </c>
      <c r="C12" s="13">
        <f t="shared" si="1"/>
        <v>0.22093023255813954</v>
      </c>
      <c r="D12" s="1">
        <v>50</v>
      </c>
      <c r="E12" s="13">
        <f t="shared" si="2"/>
        <v>0.58139534883720934</v>
      </c>
      <c r="F12" s="1">
        <v>17</v>
      </c>
      <c r="G12" s="13">
        <f t="shared" si="3"/>
        <v>0.19767441860465115</v>
      </c>
      <c r="H12" s="1">
        <v>0</v>
      </c>
      <c r="I12" s="13">
        <f t="shared" si="4"/>
        <v>0</v>
      </c>
      <c r="J12" s="1">
        <v>0</v>
      </c>
      <c r="K12" s="13">
        <f t="shared" si="5"/>
        <v>0</v>
      </c>
      <c r="L12" s="1">
        <v>0</v>
      </c>
      <c r="M12" s="13">
        <f t="shared" si="6"/>
        <v>0</v>
      </c>
      <c r="N12" s="3">
        <f t="shared" si="0"/>
        <v>86</v>
      </c>
    </row>
    <row r="13" spans="1:14" ht="13.5" customHeight="1" x14ac:dyDescent="0.25">
      <c r="A13" s="5" t="s">
        <v>71</v>
      </c>
      <c r="B13" s="1">
        <v>7</v>
      </c>
      <c r="C13" s="13">
        <f t="shared" si="1"/>
        <v>0.14893617021276595</v>
      </c>
      <c r="D13" s="1">
        <v>18</v>
      </c>
      <c r="E13" s="13">
        <f t="shared" si="2"/>
        <v>0.38297872340425532</v>
      </c>
      <c r="F13" s="1">
        <v>15</v>
      </c>
      <c r="G13" s="13">
        <f t="shared" si="3"/>
        <v>0.31914893617021278</v>
      </c>
      <c r="H13" s="1">
        <v>7</v>
      </c>
      <c r="I13" s="13">
        <f t="shared" si="4"/>
        <v>0.14893617021276595</v>
      </c>
      <c r="J13" s="1">
        <v>0</v>
      </c>
      <c r="K13" s="13">
        <f t="shared" si="5"/>
        <v>0</v>
      </c>
      <c r="L13" s="1">
        <v>0</v>
      </c>
      <c r="M13" s="13">
        <f t="shared" si="6"/>
        <v>0</v>
      </c>
      <c r="N13" s="3">
        <f t="shared" si="0"/>
        <v>47</v>
      </c>
    </row>
    <row r="14" spans="1:14" ht="13.5" customHeight="1" x14ac:dyDescent="0.25">
      <c r="A14" s="5" t="s">
        <v>10</v>
      </c>
      <c r="B14" s="1">
        <v>17</v>
      </c>
      <c r="C14" s="13">
        <f t="shared" si="1"/>
        <v>0.32692307692307693</v>
      </c>
      <c r="D14" s="1">
        <v>15</v>
      </c>
      <c r="E14" s="13">
        <f t="shared" si="2"/>
        <v>0.28846153846153844</v>
      </c>
      <c r="F14" s="1">
        <v>15</v>
      </c>
      <c r="G14" s="13">
        <f t="shared" si="3"/>
        <v>0.28846153846153844</v>
      </c>
      <c r="H14" s="1">
        <v>5</v>
      </c>
      <c r="I14" s="13">
        <f t="shared" si="4"/>
        <v>9.6153846153846159E-2</v>
      </c>
      <c r="J14" s="1">
        <v>0</v>
      </c>
      <c r="K14" s="13">
        <f t="shared" si="5"/>
        <v>0</v>
      </c>
      <c r="L14" s="1">
        <v>0</v>
      </c>
      <c r="M14" s="13">
        <f t="shared" si="6"/>
        <v>0</v>
      </c>
      <c r="N14" s="3">
        <f t="shared" si="0"/>
        <v>52</v>
      </c>
    </row>
    <row r="15" spans="1:14" ht="13.5" customHeight="1" x14ac:dyDescent="0.25">
      <c r="A15" s="5" t="s">
        <v>11</v>
      </c>
      <c r="B15" s="1">
        <v>6</v>
      </c>
      <c r="C15" s="13">
        <f t="shared" si="1"/>
        <v>0.10526315789473684</v>
      </c>
      <c r="D15" s="1">
        <v>18</v>
      </c>
      <c r="E15" s="13">
        <f t="shared" si="2"/>
        <v>0.31578947368421051</v>
      </c>
      <c r="F15" s="1">
        <v>27</v>
      </c>
      <c r="G15" s="13">
        <f t="shared" si="3"/>
        <v>0.47368421052631576</v>
      </c>
      <c r="H15" s="1">
        <v>5</v>
      </c>
      <c r="I15" s="13">
        <f t="shared" si="4"/>
        <v>8.771929824561403E-2</v>
      </c>
      <c r="J15" s="1">
        <v>1</v>
      </c>
      <c r="K15" s="13">
        <f t="shared" si="5"/>
        <v>1.7543859649122806E-2</v>
      </c>
      <c r="L15" s="1">
        <v>0</v>
      </c>
      <c r="M15" s="13">
        <f t="shared" si="6"/>
        <v>0</v>
      </c>
      <c r="N15" s="3">
        <f t="shared" si="0"/>
        <v>57</v>
      </c>
    </row>
    <row r="16" spans="1:14" ht="13.5" customHeight="1" x14ac:dyDescent="0.25">
      <c r="A16" s="5" t="s">
        <v>12</v>
      </c>
      <c r="B16" s="1">
        <v>9</v>
      </c>
      <c r="C16" s="13">
        <f t="shared" si="1"/>
        <v>0.22500000000000001</v>
      </c>
      <c r="D16" s="1">
        <v>21</v>
      </c>
      <c r="E16" s="13">
        <f t="shared" si="2"/>
        <v>0.52500000000000002</v>
      </c>
      <c r="F16" s="1">
        <v>10</v>
      </c>
      <c r="G16" s="13">
        <f t="shared" si="3"/>
        <v>0.25</v>
      </c>
      <c r="H16" s="1">
        <v>0</v>
      </c>
      <c r="I16" s="13">
        <f t="shared" si="4"/>
        <v>0</v>
      </c>
      <c r="J16" s="1">
        <v>0</v>
      </c>
      <c r="K16" s="13">
        <f t="shared" si="5"/>
        <v>0</v>
      </c>
      <c r="L16" s="1">
        <v>0</v>
      </c>
      <c r="M16" s="13">
        <f t="shared" si="6"/>
        <v>0</v>
      </c>
      <c r="N16" s="3">
        <f t="shared" si="0"/>
        <v>40</v>
      </c>
    </row>
    <row r="17" spans="1:14" ht="13.5" customHeight="1" x14ac:dyDescent="0.25">
      <c r="A17" s="5" t="s">
        <v>13</v>
      </c>
      <c r="B17" s="1">
        <v>1</v>
      </c>
      <c r="C17" s="13">
        <f t="shared" si="1"/>
        <v>0.125</v>
      </c>
      <c r="D17" s="1">
        <v>2</v>
      </c>
      <c r="E17" s="13">
        <f t="shared" si="2"/>
        <v>0.25</v>
      </c>
      <c r="F17" s="1">
        <v>4</v>
      </c>
      <c r="G17" s="13">
        <f t="shared" si="3"/>
        <v>0.5</v>
      </c>
      <c r="H17" s="1">
        <v>1</v>
      </c>
      <c r="I17" s="13">
        <f t="shared" si="4"/>
        <v>0.125</v>
      </c>
      <c r="J17" s="1">
        <v>0</v>
      </c>
      <c r="K17" s="13">
        <f t="shared" si="5"/>
        <v>0</v>
      </c>
      <c r="L17" s="1">
        <v>0</v>
      </c>
      <c r="M17" s="13">
        <f t="shared" si="6"/>
        <v>0</v>
      </c>
      <c r="N17" s="3">
        <f t="shared" si="0"/>
        <v>8</v>
      </c>
    </row>
    <row r="18" spans="1:14" ht="13.5" customHeight="1" x14ac:dyDescent="0.25">
      <c r="A18" s="5" t="s">
        <v>14</v>
      </c>
      <c r="B18" s="1">
        <v>14</v>
      </c>
      <c r="C18" s="13">
        <f t="shared" si="1"/>
        <v>0.12612612612612611</v>
      </c>
      <c r="D18" s="1">
        <v>46</v>
      </c>
      <c r="E18" s="13">
        <f t="shared" si="2"/>
        <v>0.4144144144144144</v>
      </c>
      <c r="F18" s="1">
        <v>42</v>
      </c>
      <c r="G18" s="13">
        <f t="shared" si="3"/>
        <v>0.3783783783783784</v>
      </c>
      <c r="H18" s="1">
        <v>8</v>
      </c>
      <c r="I18" s="13">
        <f t="shared" si="4"/>
        <v>7.2072072072072071E-2</v>
      </c>
      <c r="J18" s="1">
        <v>1</v>
      </c>
      <c r="K18" s="13">
        <f t="shared" si="5"/>
        <v>9.0090090090090089E-3</v>
      </c>
      <c r="L18" s="1">
        <v>0</v>
      </c>
      <c r="M18" s="13">
        <f t="shared" si="6"/>
        <v>0</v>
      </c>
      <c r="N18" s="3">
        <f t="shared" si="0"/>
        <v>111</v>
      </c>
    </row>
    <row r="19" spans="1:14" ht="13.5" customHeight="1" x14ac:dyDescent="0.25">
      <c r="A19" s="5" t="s">
        <v>15</v>
      </c>
      <c r="B19" s="1">
        <v>8</v>
      </c>
      <c r="C19" s="13">
        <f t="shared" si="1"/>
        <v>0.17777777777777778</v>
      </c>
      <c r="D19" s="1">
        <v>17</v>
      </c>
      <c r="E19" s="13">
        <f t="shared" si="2"/>
        <v>0.37777777777777777</v>
      </c>
      <c r="F19" s="1">
        <v>13</v>
      </c>
      <c r="G19" s="13">
        <f t="shared" si="3"/>
        <v>0.28888888888888886</v>
      </c>
      <c r="H19" s="1">
        <v>7</v>
      </c>
      <c r="I19" s="13">
        <f t="shared" si="4"/>
        <v>0.15555555555555556</v>
      </c>
      <c r="J19" s="1">
        <v>0</v>
      </c>
      <c r="K19" s="13">
        <f t="shared" si="5"/>
        <v>0</v>
      </c>
      <c r="L19" s="1">
        <v>0</v>
      </c>
      <c r="M19" s="13">
        <f t="shared" si="6"/>
        <v>0</v>
      </c>
      <c r="N19" s="3">
        <f t="shared" si="0"/>
        <v>45</v>
      </c>
    </row>
    <row r="20" spans="1:14" ht="13.5" customHeight="1" x14ac:dyDescent="0.25">
      <c r="A20" s="5" t="s">
        <v>16</v>
      </c>
      <c r="B20" s="1">
        <v>14</v>
      </c>
      <c r="C20" s="13">
        <f t="shared" si="1"/>
        <v>0.14432989690721648</v>
      </c>
      <c r="D20" s="1">
        <v>74</v>
      </c>
      <c r="E20" s="13">
        <f t="shared" si="2"/>
        <v>0.76288659793814428</v>
      </c>
      <c r="F20" s="1">
        <v>8</v>
      </c>
      <c r="G20" s="13">
        <f t="shared" si="3"/>
        <v>8.247422680412371E-2</v>
      </c>
      <c r="H20" s="1">
        <v>1</v>
      </c>
      <c r="I20" s="13">
        <f t="shared" si="4"/>
        <v>1.0309278350515464E-2</v>
      </c>
      <c r="J20" s="1">
        <v>0</v>
      </c>
      <c r="K20" s="13">
        <f t="shared" si="5"/>
        <v>0</v>
      </c>
      <c r="L20" s="1">
        <v>0</v>
      </c>
      <c r="M20" s="13">
        <f t="shared" si="6"/>
        <v>0</v>
      </c>
      <c r="N20" s="3">
        <f t="shared" si="0"/>
        <v>97</v>
      </c>
    </row>
    <row r="21" spans="1:14" ht="13.5" customHeight="1" x14ac:dyDescent="0.25">
      <c r="A21" s="5" t="s">
        <v>17</v>
      </c>
      <c r="B21" s="1">
        <v>5</v>
      </c>
      <c r="C21" s="13">
        <f t="shared" si="1"/>
        <v>0.2</v>
      </c>
      <c r="D21" s="1">
        <v>10</v>
      </c>
      <c r="E21" s="13">
        <f t="shared" si="2"/>
        <v>0.4</v>
      </c>
      <c r="F21" s="1">
        <v>10</v>
      </c>
      <c r="G21" s="13">
        <f t="shared" si="3"/>
        <v>0.4</v>
      </c>
      <c r="H21" s="1">
        <v>0</v>
      </c>
      <c r="I21" s="13">
        <f t="shared" si="4"/>
        <v>0</v>
      </c>
      <c r="J21" s="1">
        <v>0</v>
      </c>
      <c r="K21" s="13">
        <f t="shared" si="5"/>
        <v>0</v>
      </c>
      <c r="L21" s="1">
        <v>0</v>
      </c>
      <c r="M21" s="13">
        <f t="shared" si="6"/>
        <v>0</v>
      </c>
      <c r="N21" s="3">
        <f t="shared" si="0"/>
        <v>25</v>
      </c>
    </row>
    <row r="22" spans="1:14" ht="13.5" customHeight="1" x14ac:dyDescent="0.25">
      <c r="A22" s="5" t="s">
        <v>18</v>
      </c>
      <c r="B22" s="1">
        <v>12</v>
      </c>
      <c r="C22" s="13">
        <f t="shared" si="1"/>
        <v>0.19047619047619047</v>
      </c>
      <c r="D22" s="1">
        <v>41</v>
      </c>
      <c r="E22" s="13">
        <f t="shared" si="2"/>
        <v>0.65079365079365081</v>
      </c>
      <c r="F22" s="1">
        <v>10</v>
      </c>
      <c r="G22" s="13">
        <f t="shared" si="3"/>
        <v>0.15873015873015872</v>
      </c>
      <c r="H22" s="1">
        <v>0</v>
      </c>
      <c r="I22" s="13">
        <f t="shared" si="4"/>
        <v>0</v>
      </c>
      <c r="J22" s="1">
        <v>0</v>
      </c>
      <c r="K22" s="13">
        <f t="shared" si="5"/>
        <v>0</v>
      </c>
      <c r="L22" s="1">
        <v>0</v>
      </c>
      <c r="M22" s="13">
        <f t="shared" si="6"/>
        <v>0</v>
      </c>
      <c r="N22" s="3">
        <f t="shared" si="0"/>
        <v>63</v>
      </c>
    </row>
    <row r="23" spans="1:14" ht="13.5" customHeight="1" x14ac:dyDescent="0.25">
      <c r="A23" s="5" t="s">
        <v>19</v>
      </c>
      <c r="B23" s="1">
        <v>6</v>
      </c>
      <c r="C23" s="13">
        <f t="shared" si="1"/>
        <v>0.06</v>
      </c>
      <c r="D23" s="1">
        <v>67</v>
      </c>
      <c r="E23" s="13">
        <f t="shared" si="2"/>
        <v>0.67</v>
      </c>
      <c r="F23" s="1">
        <v>26</v>
      </c>
      <c r="G23" s="13">
        <f t="shared" si="3"/>
        <v>0.26</v>
      </c>
      <c r="H23" s="1">
        <v>1</v>
      </c>
      <c r="I23" s="13">
        <f t="shared" si="4"/>
        <v>0.01</v>
      </c>
      <c r="J23" s="1">
        <v>0</v>
      </c>
      <c r="K23" s="13">
        <f t="shared" si="5"/>
        <v>0</v>
      </c>
      <c r="L23" s="1">
        <v>0</v>
      </c>
      <c r="M23" s="13">
        <f t="shared" si="6"/>
        <v>0</v>
      </c>
      <c r="N23" s="3">
        <f t="shared" si="0"/>
        <v>100</v>
      </c>
    </row>
    <row r="24" spans="1:14" ht="13.5" customHeight="1" x14ac:dyDescent="0.25">
      <c r="A24" s="5" t="s">
        <v>20</v>
      </c>
      <c r="B24" s="1">
        <v>11</v>
      </c>
      <c r="C24" s="13">
        <f t="shared" si="1"/>
        <v>0.17460317460317459</v>
      </c>
      <c r="D24" s="1">
        <v>31</v>
      </c>
      <c r="E24" s="13">
        <f t="shared" si="2"/>
        <v>0.49206349206349204</v>
      </c>
      <c r="F24" s="1">
        <v>19</v>
      </c>
      <c r="G24" s="13">
        <f t="shared" si="3"/>
        <v>0.30158730158730157</v>
      </c>
      <c r="H24" s="1">
        <v>2</v>
      </c>
      <c r="I24" s="13">
        <f t="shared" si="4"/>
        <v>3.1746031746031744E-2</v>
      </c>
      <c r="J24" s="1">
        <v>0</v>
      </c>
      <c r="K24" s="13">
        <f t="shared" si="5"/>
        <v>0</v>
      </c>
      <c r="L24" s="1">
        <v>0</v>
      </c>
      <c r="M24" s="13">
        <f t="shared" si="6"/>
        <v>0</v>
      </c>
      <c r="N24" s="3">
        <f t="shared" si="0"/>
        <v>63</v>
      </c>
    </row>
    <row r="25" spans="1:14" ht="13.5" customHeight="1" x14ac:dyDescent="0.25">
      <c r="A25" s="5" t="s">
        <v>21</v>
      </c>
      <c r="B25" s="1">
        <v>3</v>
      </c>
      <c r="C25" s="13">
        <f t="shared" si="1"/>
        <v>0.14285714285714285</v>
      </c>
      <c r="D25" s="1">
        <v>13</v>
      </c>
      <c r="E25" s="13">
        <f t="shared" si="2"/>
        <v>0.61904761904761907</v>
      </c>
      <c r="F25" s="1">
        <v>5</v>
      </c>
      <c r="G25" s="13">
        <f t="shared" si="3"/>
        <v>0.23809523809523808</v>
      </c>
      <c r="H25" s="1">
        <v>0</v>
      </c>
      <c r="I25" s="13">
        <f t="shared" si="4"/>
        <v>0</v>
      </c>
      <c r="J25" s="1">
        <v>0</v>
      </c>
      <c r="K25" s="13">
        <f t="shared" si="5"/>
        <v>0</v>
      </c>
      <c r="L25" s="1">
        <v>0</v>
      </c>
      <c r="M25" s="13">
        <f t="shared" si="6"/>
        <v>0</v>
      </c>
      <c r="N25" s="3">
        <f t="shared" si="0"/>
        <v>21</v>
      </c>
    </row>
    <row r="26" spans="1:14" ht="13.5" customHeight="1" x14ac:dyDescent="0.25">
      <c r="A26" s="5" t="s">
        <v>38</v>
      </c>
      <c r="B26" s="1">
        <v>6</v>
      </c>
      <c r="C26" s="13">
        <f t="shared" si="1"/>
        <v>0.24</v>
      </c>
      <c r="D26" s="1">
        <v>13</v>
      </c>
      <c r="E26" s="13">
        <f t="shared" si="2"/>
        <v>0.52</v>
      </c>
      <c r="F26" s="1">
        <v>6</v>
      </c>
      <c r="G26" s="13">
        <f t="shared" si="3"/>
        <v>0.24</v>
      </c>
      <c r="H26" s="1">
        <v>0</v>
      </c>
      <c r="I26" s="13">
        <f t="shared" si="4"/>
        <v>0</v>
      </c>
      <c r="J26" s="1">
        <v>0</v>
      </c>
      <c r="K26" s="13">
        <f t="shared" si="5"/>
        <v>0</v>
      </c>
      <c r="L26" s="1">
        <v>0</v>
      </c>
      <c r="M26" s="13">
        <f t="shared" si="6"/>
        <v>0</v>
      </c>
      <c r="N26" s="3">
        <f t="shared" si="0"/>
        <v>25</v>
      </c>
    </row>
    <row r="27" spans="1:14" ht="13.5" customHeight="1" x14ac:dyDescent="0.25">
      <c r="A27" s="5" t="s">
        <v>39</v>
      </c>
      <c r="B27" s="1">
        <v>2</v>
      </c>
      <c r="C27" s="13">
        <f t="shared" si="1"/>
        <v>0.16666666666666666</v>
      </c>
      <c r="D27" s="1">
        <v>9</v>
      </c>
      <c r="E27" s="13">
        <f t="shared" si="2"/>
        <v>0.75</v>
      </c>
      <c r="F27" s="1">
        <v>1</v>
      </c>
      <c r="G27" s="13">
        <f t="shared" si="3"/>
        <v>8.3333333333333329E-2</v>
      </c>
      <c r="H27" s="1">
        <v>0</v>
      </c>
      <c r="I27" s="13">
        <f t="shared" si="4"/>
        <v>0</v>
      </c>
      <c r="J27" s="1">
        <v>0</v>
      </c>
      <c r="K27" s="13">
        <f t="shared" si="5"/>
        <v>0</v>
      </c>
      <c r="L27" s="1">
        <v>0</v>
      </c>
      <c r="M27" s="13">
        <f t="shared" si="6"/>
        <v>0</v>
      </c>
      <c r="N27" s="3">
        <f t="shared" si="0"/>
        <v>12</v>
      </c>
    </row>
    <row r="28" spans="1:14" ht="13.5" customHeight="1" x14ac:dyDescent="0.25">
      <c r="A28" s="5" t="s">
        <v>22</v>
      </c>
      <c r="B28" s="1">
        <v>19</v>
      </c>
      <c r="C28" s="13">
        <f t="shared" si="1"/>
        <v>0.17757009345794392</v>
      </c>
      <c r="D28" s="1">
        <v>78</v>
      </c>
      <c r="E28" s="13">
        <f t="shared" si="2"/>
        <v>0.7289719626168224</v>
      </c>
      <c r="F28" s="1">
        <v>9</v>
      </c>
      <c r="G28" s="13">
        <f t="shared" si="3"/>
        <v>8.4112149532710276E-2</v>
      </c>
      <c r="H28" s="1">
        <v>1</v>
      </c>
      <c r="I28" s="13">
        <f t="shared" si="4"/>
        <v>9.3457943925233638E-3</v>
      </c>
      <c r="J28" s="1">
        <v>0</v>
      </c>
      <c r="K28" s="13">
        <f t="shared" si="5"/>
        <v>0</v>
      </c>
      <c r="L28" s="1">
        <v>0</v>
      </c>
      <c r="M28" s="13">
        <f t="shared" si="6"/>
        <v>0</v>
      </c>
      <c r="N28" s="3">
        <f t="shared" si="0"/>
        <v>107</v>
      </c>
    </row>
    <row r="29" spans="1:14" ht="13.5" customHeight="1" x14ac:dyDescent="0.25">
      <c r="A29" s="5" t="s">
        <v>40</v>
      </c>
      <c r="B29" s="1">
        <v>6</v>
      </c>
      <c r="C29" s="13">
        <f t="shared" si="1"/>
        <v>0.1276595744680851</v>
      </c>
      <c r="D29" s="1">
        <v>34</v>
      </c>
      <c r="E29" s="13">
        <f t="shared" si="2"/>
        <v>0.72340425531914898</v>
      </c>
      <c r="F29" s="1">
        <v>7</v>
      </c>
      <c r="G29" s="13">
        <f t="shared" si="3"/>
        <v>0.14893617021276595</v>
      </c>
      <c r="H29" s="1">
        <v>0</v>
      </c>
      <c r="I29" s="13">
        <f t="shared" si="4"/>
        <v>0</v>
      </c>
      <c r="J29" s="1">
        <v>0</v>
      </c>
      <c r="K29" s="13">
        <f t="shared" si="5"/>
        <v>0</v>
      </c>
      <c r="L29" s="1">
        <v>0</v>
      </c>
      <c r="M29" s="13">
        <f t="shared" si="6"/>
        <v>0</v>
      </c>
      <c r="N29" s="3">
        <f t="shared" si="0"/>
        <v>47</v>
      </c>
    </row>
    <row r="30" spans="1:14" ht="13.5" customHeight="1" x14ac:dyDescent="0.25">
      <c r="A30" s="5" t="s">
        <v>72</v>
      </c>
      <c r="B30" s="1">
        <v>7</v>
      </c>
      <c r="C30" s="13">
        <f t="shared" si="1"/>
        <v>0.1206896551724138</v>
      </c>
      <c r="D30" s="1">
        <v>35</v>
      </c>
      <c r="E30" s="13">
        <f t="shared" si="2"/>
        <v>0.60344827586206895</v>
      </c>
      <c r="F30" s="1">
        <v>15</v>
      </c>
      <c r="G30" s="13">
        <f t="shared" si="3"/>
        <v>0.25862068965517243</v>
      </c>
      <c r="H30" s="1">
        <v>1</v>
      </c>
      <c r="I30" s="13">
        <f t="shared" si="4"/>
        <v>1.7241379310344827E-2</v>
      </c>
      <c r="J30" s="1">
        <v>0</v>
      </c>
      <c r="K30" s="13">
        <f t="shared" si="5"/>
        <v>0</v>
      </c>
      <c r="L30" s="1">
        <v>0</v>
      </c>
      <c r="M30" s="13">
        <f t="shared" si="6"/>
        <v>0</v>
      </c>
      <c r="N30" s="3">
        <f t="shared" si="0"/>
        <v>58</v>
      </c>
    </row>
    <row r="31" spans="1:14" ht="13.5" customHeight="1" x14ac:dyDescent="0.25">
      <c r="A31" s="5" t="s">
        <v>94</v>
      </c>
      <c r="B31" s="1">
        <v>6</v>
      </c>
      <c r="C31" s="13">
        <f t="shared" si="1"/>
        <v>0.14634146341463414</v>
      </c>
      <c r="D31" s="1">
        <v>29</v>
      </c>
      <c r="E31" s="13">
        <f t="shared" si="2"/>
        <v>0.70731707317073167</v>
      </c>
      <c r="F31" s="1">
        <v>6</v>
      </c>
      <c r="G31" s="13">
        <f t="shared" si="3"/>
        <v>0.14634146341463414</v>
      </c>
      <c r="H31" s="1">
        <v>0</v>
      </c>
      <c r="I31" s="13">
        <f t="shared" si="4"/>
        <v>0</v>
      </c>
      <c r="J31" s="1">
        <v>0</v>
      </c>
      <c r="K31" s="13">
        <f t="shared" si="5"/>
        <v>0</v>
      </c>
      <c r="L31" s="1">
        <v>0</v>
      </c>
      <c r="M31" s="13">
        <f t="shared" si="6"/>
        <v>0</v>
      </c>
      <c r="N31" s="3">
        <f t="shared" si="0"/>
        <v>41</v>
      </c>
    </row>
    <row r="32" spans="1:14" ht="13.5" customHeight="1" x14ac:dyDescent="0.25">
      <c r="A32" s="5" t="s">
        <v>23</v>
      </c>
      <c r="B32" s="1">
        <v>3</v>
      </c>
      <c r="C32" s="13">
        <f t="shared" si="1"/>
        <v>4.8387096774193547E-2</v>
      </c>
      <c r="D32" s="1">
        <v>40</v>
      </c>
      <c r="E32" s="13">
        <f t="shared" si="2"/>
        <v>0.64516129032258063</v>
      </c>
      <c r="F32" s="1">
        <v>18</v>
      </c>
      <c r="G32" s="13">
        <f t="shared" si="3"/>
        <v>0.29032258064516131</v>
      </c>
      <c r="H32" s="1">
        <v>1</v>
      </c>
      <c r="I32" s="13">
        <f t="shared" si="4"/>
        <v>1.6129032258064516E-2</v>
      </c>
      <c r="J32" s="1">
        <v>0</v>
      </c>
      <c r="K32" s="13">
        <f t="shared" si="5"/>
        <v>0</v>
      </c>
      <c r="L32" s="1">
        <v>0</v>
      </c>
      <c r="M32" s="13">
        <f t="shared" si="6"/>
        <v>0</v>
      </c>
      <c r="N32" s="3">
        <f t="shared" si="0"/>
        <v>62</v>
      </c>
    </row>
    <row r="33" spans="1:14" ht="13.5" customHeight="1" x14ac:dyDescent="0.25">
      <c r="A33" s="5" t="s">
        <v>1</v>
      </c>
      <c r="B33" s="1">
        <v>9</v>
      </c>
      <c r="C33" s="13">
        <f t="shared" si="1"/>
        <v>7.03125E-2</v>
      </c>
      <c r="D33" s="1">
        <v>75</v>
      </c>
      <c r="E33" s="13">
        <f t="shared" si="2"/>
        <v>0.5859375</v>
      </c>
      <c r="F33" s="1">
        <v>42</v>
      </c>
      <c r="G33" s="13">
        <f t="shared" si="3"/>
        <v>0.328125</v>
      </c>
      <c r="H33" s="1">
        <v>1</v>
      </c>
      <c r="I33" s="13">
        <f t="shared" si="4"/>
        <v>7.8125E-3</v>
      </c>
      <c r="J33" s="1">
        <v>1</v>
      </c>
      <c r="K33" s="13">
        <f t="shared" si="5"/>
        <v>7.8125E-3</v>
      </c>
      <c r="L33" s="1">
        <v>0</v>
      </c>
      <c r="M33" s="13">
        <f t="shared" si="6"/>
        <v>0</v>
      </c>
      <c r="N33" s="3">
        <f t="shared" si="0"/>
        <v>128</v>
      </c>
    </row>
    <row r="34" spans="1:14" ht="13.5" customHeight="1" x14ac:dyDescent="0.25">
      <c r="A34" s="5" t="s">
        <v>95</v>
      </c>
      <c r="B34" s="1">
        <v>4</v>
      </c>
      <c r="C34" s="13">
        <f t="shared" si="1"/>
        <v>0.10256410256410256</v>
      </c>
      <c r="D34" s="1">
        <v>16</v>
      </c>
      <c r="E34" s="13">
        <f t="shared" si="2"/>
        <v>0.41025641025641024</v>
      </c>
      <c r="F34" s="1">
        <v>12</v>
      </c>
      <c r="G34" s="13">
        <f t="shared" si="3"/>
        <v>0.30769230769230771</v>
      </c>
      <c r="H34" s="1">
        <v>6</v>
      </c>
      <c r="I34" s="13">
        <f t="shared" si="4"/>
        <v>0.15384615384615385</v>
      </c>
      <c r="J34" s="1">
        <v>1</v>
      </c>
      <c r="K34" s="13">
        <f t="shared" si="5"/>
        <v>2.564102564102564E-2</v>
      </c>
      <c r="L34" s="1">
        <v>0</v>
      </c>
      <c r="M34" s="13">
        <f t="shared" si="6"/>
        <v>0</v>
      </c>
      <c r="N34" s="3">
        <f t="shared" si="0"/>
        <v>39</v>
      </c>
    </row>
    <row r="35" spans="1:14" ht="13.5" customHeight="1" x14ac:dyDescent="0.25">
      <c r="A35" s="5" t="s">
        <v>24</v>
      </c>
      <c r="B35" s="1">
        <v>39</v>
      </c>
      <c r="C35" s="13">
        <f t="shared" si="1"/>
        <v>0.34513274336283184</v>
      </c>
      <c r="D35" s="1">
        <v>41</v>
      </c>
      <c r="E35" s="13">
        <f t="shared" si="2"/>
        <v>0.36283185840707965</v>
      </c>
      <c r="F35" s="1">
        <v>19</v>
      </c>
      <c r="G35" s="13">
        <f t="shared" si="3"/>
        <v>0.16814159292035399</v>
      </c>
      <c r="H35" s="1">
        <v>14</v>
      </c>
      <c r="I35" s="13">
        <f t="shared" si="4"/>
        <v>0.12389380530973451</v>
      </c>
      <c r="J35" s="1">
        <v>0</v>
      </c>
      <c r="K35" s="13">
        <f t="shared" si="5"/>
        <v>0</v>
      </c>
      <c r="L35" s="1">
        <v>0</v>
      </c>
      <c r="M35" s="13">
        <f t="shared" si="6"/>
        <v>0</v>
      </c>
      <c r="N35" s="3">
        <f t="shared" si="0"/>
        <v>113</v>
      </c>
    </row>
    <row r="36" spans="1:14" ht="13.5" customHeight="1" x14ac:dyDescent="0.25">
      <c r="A36" s="5" t="s">
        <v>25</v>
      </c>
      <c r="B36" s="1">
        <v>10</v>
      </c>
      <c r="C36" s="13">
        <f t="shared" si="1"/>
        <v>0.15873015873015872</v>
      </c>
      <c r="D36" s="1">
        <v>19</v>
      </c>
      <c r="E36" s="13">
        <f t="shared" si="2"/>
        <v>0.30158730158730157</v>
      </c>
      <c r="F36" s="1">
        <v>27</v>
      </c>
      <c r="G36" s="13">
        <f t="shared" si="3"/>
        <v>0.42857142857142855</v>
      </c>
      <c r="H36" s="1">
        <v>6</v>
      </c>
      <c r="I36" s="13">
        <f t="shared" si="4"/>
        <v>9.5238095238095233E-2</v>
      </c>
      <c r="J36" s="1">
        <v>1</v>
      </c>
      <c r="K36" s="13">
        <f t="shared" si="5"/>
        <v>1.5873015873015872E-2</v>
      </c>
      <c r="L36" s="1">
        <v>0</v>
      </c>
      <c r="M36" s="13">
        <f t="shared" si="6"/>
        <v>0</v>
      </c>
      <c r="N36" s="3">
        <f t="shared" si="0"/>
        <v>63</v>
      </c>
    </row>
    <row r="37" spans="1:14" ht="13.5" customHeight="1" x14ac:dyDescent="0.25">
      <c r="A37" s="5" t="s">
        <v>74</v>
      </c>
      <c r="B37" s="1">
        <v>5</v>
      </c>
      <c r="C37" s="13">
        <f t="shared" si="1"/>
        <v>0.625</v>
      </c>
      <c r="D37" s="1">
        <v>3</v>
      </c>
      <c r="E37" s="13">
        <f t="shared" si="2"/>
        <v>0.375</v>
      </c>
      <c r="F37" s="1">
        <v>0</v>
      </c>
      <c r="G37" s="13">
        <f t="shared" si="3"/>
        <v>0</v>
      </c>
      <c r="H37" s="1">
        <v>0</v>
      </c>
      <c r="I37" s="13">
        <f t="shared" si="4"/>
        <v>0</v>
      </c>
      <c r="J37" s="1">
        <v>0</v>
      </c>
      <c r="K37" s="13">
        <f t="shared" si="5"/>
        <v>0</v>
      </c>
      <c r="L37" s="1">
        <v>0</v>
      </c>
      <c r="M37" s="13">
        <f t="shared" si="6"/>
        <v>0</v>
      </c>
      <c r="N37" s="3">
        <f t="shared" si="0"/>
        <v>8</v>
      </c>
    </row>
    <row r="38" spans="1:14" ht="13.5" customHeight="1" x14ac:dyDescent="0.25">
      <c r="A38" s="5" t="s">
        <v>96</v>
      </c>
      <c r="B38" s="1">
        <v>1</v>
      </c>
      <c r="C38" s="13">
        <f t="shared" si="1"/>
        <v>0.125</v>
      </c>
      <c r="D38" s="1">
        <v>6</v>
      </c>
      <c r="E38" s="13">
        <f t="shared" si="2"/>
        <v>0.75</v>
      </c>
      <c r="F38" s="1">
        <v>1</v>
      </c>
      <c r="G38" s="13">
        <f t="shared" si="3"/>
        <v>0.125</v>
      </c>
      <c r="H38" s="1">
        <v>0</v>
      </c>
      <c r="I38" s="13">
        <f t="shared" si="4"/>
        <v>0</v>
      </c>
      <c r="J38" s="1">
        <v>0</v>
      </c>
      <c r="K38" s="13">
        <f t="shared" si="5"/>
        <v>0</v>
      </c>
      <c r="L38" s="1">
        <v>0</v>
      </c>
      <c r="M38" s="13">
        <f t="shared" si="6"/>
        <v>0</v>
      </c>
      <c r="N38" s="3">
        <f t="shared" si="0"/>
        <v>8</v>
      </c>
    </row>
    <row r="39" spans="1:14" ht="13.5" customHeight="1" x14ac:dyDescent="0.25">
      <c r="A39" s="5" t="s">
        <v>47</v>
      </c>
      <c r="B39" s="1">
        <v>11</v>
      </c>
      <c r="C39" s="13">
        <f t="shared" si="1"/>
        <v>0.3235294117647059</v>
      </c>
      <c r="D39" s="1">
        <v>22</v>
      </c>
      <c r="E39" s="13">
        <f t="shared" si="2"/>
        <v>0.6470588235294118</v>
      </c>
      <c r="F39" s="1">
        <v>1</v>
      </c>
      <c r="G39" s="13">
        <f t="shared" si="3"/>
        <v>2.9411764705882353E-2</v>
      </c>
      <c r="H39" s="1">
        <v>0</v>
      </c>
      <c r="I39" s="13">
        <f t="shared" si="4"/>
        <v>0</v>
      </c>
      <c r="J39" s="1">
        <v>0</v>
      </c>
      <c r="K39" s="13">
        <f t="shared" si="5"/>
        <v>0</v>
      </c>
      <c r="L39" s="1">
        <v>0</v>
      </c>
      <c r="M39" s="13">
        <f t="shared" si="6"/>
        <v>0</v>
      </c>
      <c r="N39" s="3">
        <f t="shared" si="0"/>
        <v>34</v>
      </c>
    </row>
    <row r="40" spans="1:14" ht="13.5" customHeight="1" x14ac:dyDescent="0.25">
      <c r="A40" s="5" t="s">
        <v>97</v>
      </c>
      <c r="B40" s="1">
        <v>2</v>
      </c>
      <c r="C40" s="13">
        <f t="shared" si="1"/>
        <v>0.10526315789473684</v>
      </c>
      <c r="D40" s="1">
        <v>17</v>
      </c>
      <c r="E40" s="13">
        <f t="shared" si="2"/>
        <v>0.89473684210526316</v>
      </c>
      <c r="F40" s="1">
        <v>0</v>
      </c>
      <c r="G40" s="13">
        <f t="shared" si="3"/>
        <v>0</v>
      </c>
      <c r="H40" s="1">
        <v>0</v>
      </c>
      <c r="I40" s="13">
        <f t="shared" si="4"/>
        <v>0</v>
      </c>
      <c r="J40" s="1">
        <v>0</v>
      </c>
      <c r="K40" s="13">
        <f t="shared" si="5"/>
        <v>0</v>
      </c>
      <c r="L40" s="1">
        <v>0</v>
      </c>
      <c r="M40" s="13">
        <f t="shared" si="6"/>
        <v>0</v>
      </c>
      <c r="N40" s="3">
        <f t="shared" si="0"/>
        <v>19</v>
      </c>
    </row>
    <row r="41" spans="1:14" ht="13.5" customHeight="1" x14ac:dyDescent="0.25">
      <c r="A41" s="5" t="s">
        <v>26</v>
      </c>
      <c r="B41" s="1">
        <v>14</v>
      </c>
      <c r="C41" s="13">
        <f t="shared" si="1"/>
        <v>0.20588235294117646</v>
      </c>
      <c r="D41" s="1">
        <v>42</v>
      </c>
      <c r="E41" s="13">
        <f t="shared" si="2"/>
        <v>0.61764705882352944</v>
      </c>
      <c r="F41" s="1">
        <v>8</v>
      </c>
      <c r="G41" s="13">
        <f t="shared" si="3"/>
        <v>0.11764705882352941</v>
      </c>
      <c r="H41" s="1">
        <v>4</v>
      </c>
      <c r="I41" s="13">
        <f t="shared" si="4"/>
        <v>5.8823529411764705E-2</v>
      </c>
      <c r="J41" s="1">
        <v>0</v>
      </c>
      <c r="K41" s="13">
        <f t="shared" si="5"/>
        <v>0</v>
      </c>
      <c r="L41" s="1">
        <v>0</v>
      </c>
      <c r="M41" s="13">
        <f t="shared" si="6"/>
        <v>0</v>
      </c>
      <c r="N41" s="3">
        <f t="shared" si="0"/>
        <v>68</v>
      </c>
    </row>
    <row r="42" spans="1:14" ht="13.5" customHeight="1" x14ac:dyDescent="0.25">
      <c r="A42" s="5" t="s">
        <v>27</v>
      </c>
      <c r="B42" s="1">
        <v>7</v>
      </c>
      <c r="C42" s="13">
        <f t="shared" si="1"/>
        <v>0.17073170731707318</v>
      </c>
      <c r="D42" s="1">
        <v>23</v>
      </c>
      <c r="E42" s="13">
        <f t="shared" si="2"/>
        <v>0.56097560975609762</v>
      </c>
      <c r="F42" s="1">
        <v>9</v>
      </c>
      <c r="G42" s="13">
        <f t="shared" si="3"/>
        <v>0.21951219512195122</v>
      </c>
      <c r="H42" s="1">
        <v>1</v>
      </c>
      <c r="I42" s="13">
        <f t="shared" si="4"/>
        <v>2.4390243902439025E-2</v>
      </c>
      <c r="J42" s="1">
        <v>0</v>
      </c>
      <c r="K42" s="13">
        <f t="shared" si="5"/>
        <v>0</v>
      </c>
      <c r="L42" s="1">
        <v>1</v>
      </c>
      <c r="M42" s="13">
        <f t="shared" si="6"/>
        <v>2.4390243902439025E-2</v>
      </c>
      <c r="N42" s="3">
        <f t="shared" si="0"/>
        <v>41</v>
      </c>
    </row>
    <row r="43" spans="1:14" ht="13.5" customHeight="1" x14ac:dyDescent="0.25">
      <c r="A43" s="5" t="s">
        <v>28</v>
      </c>
      <c r="B43" s="1">
        <v>2</v>
      </c>
      <c r="C43" s="13">
        <f t="shared" si="1"/>
        <v>0.11764705882352941</v>
      </c>
      <c r="D43" s="1">
        <v>11</v>
      </c>
      <c r="E43" s="13">
        <f t="shared" si="2"/>
        <v>0.6470588235294118</v>
      </c>
      <c r="F43" s="1">
        <v>4</v>
      </c>
      <c r="G43" s="13">
        <f t="shared" si="3"/>
        <v>0.23529411764705882</v>
      </c>
      <c r="H43" s="1">
        <v>0</v>
      </c>
      <c r="I43" s="13">
        <f t="shared" si="4"/>
        <v>0</v>
      </c>
      <c r="J43" s="1">
        <v>0</v>
      </c>
      <c r="K43" s="13">
        <f t="shared" si="5"/>
        <v>0</v>
      </c>
      <c r="L43" s="1">
        <v>0</v>
      </c>
      <c r="M43" s="13">
        <f t="shared" si="6"/>
        <v>0</v>
      </c>
      <c r="N43" s="3">
        <f t="shared" si="0"/>
        <v>17</v>
      </c>
    </row>
    <row r="44" spans="1:14" ht="13.5" customHeight="1" x14ac:dyDescent="0.25">
      <c r="A44" s="5" t="s">
        <v>29</v>
      </c>
      <c r="B44" s="1">
        <v>42</v>
      </c>
      <c r="C44" s="13">
        <f t="shared" si="1"/>
        <v>0.34710743801652894</v>
      </c>
      <c r="D44" s="1">
        <v>46</v>
      </c>
      <c r="E44" s="13">
        <f t="shared" si="2"/>
        <v>0.38016528925619836</v>
      </c>
      <c r="F44" s="1">
        <v>23</v>
      </c>
      <c r="G44" s="13">
        <f t="shared" si="3"/>
        <v>0.19008264462809918</v>
      </c>
      <c r="H44" s="1">
        <v>9</v>
      </c>
      <c r="I44" s="13">
        <f t="shared" si="4"/>
        <v>7.43801652892562E-2</v>
      </c>
      <c r="J44" s="1">
        <v>1</v>
      </c>
      <c r="K44" s="13">
        <f t="shared" si="5"/>
        <v>8.2644628099173556E-3</v>
      </c>
      <c r="L44" s="1">
        <v>0</v>
      </c>
      <c r="M44" s="13">
        <f t="shared" si="6"/>
        <v>0</v>
      </c>
      <c r="N44" s="3">
        <f t="shared" si="0"/>
        <v>121</v>
      </c>
    </row>
    <row r="45" spans="1:14" ht="13.5" customHeight="1" x14ac:dyDescent="0.25">
      <c r="A45" s="5" t="s">
        <v>30</v>
      </c>
      <c r="B45" s="1">
        <v>4</v>
      </c>
      <c r="C45" s="13">
        <f t="shared" si="1"/>
        <v>9.0909090909090912E-2</v>
      </c>
      <c r="D45" s="1">
        <v>38</v>
      </c>
      <c r="E45" s="13">
        <f t="shared" si="2"/>
        <v>0.86363636363636365</v>
      </c>
      <c r="F45" s="1">
        <v>2</v>
      </c>
      <c r="G45" s="13">
        <f t="shared" si="3"/>
        <v>4.5454545454545456E-2</v>
      </c>
      <c r="H45" s="1">
        <v>0</v>
      </c>
      <c r="I45" s="13">
        <f t="shared" si="4"/>
        <v>0</v>
      </c>
      <c r="J45" s="1">
        <v>0</v>
      </c>
      <c r="K45" s="13">
        <f t="shared" si="5"/>
        <v>0</v>
      </c>
      <c r="L45" s="1">
        <v>0</v>
      </c>
      <c r="M45" s="13">
        <f t="shared" si="6"/>
        <v>0</v>
      </c>
      <c r="N45" s="3">
        <f t="shared" si="0"/>
        <v>44</v>
      </c>
    </row>
    <row r="46" spans="1:14" ht="13.5" customHeight="1" x14ac:dyDescent="0.25">
      <c r="A46" s="5" t="s">
        <v>98</v>
      </c>
      <c r="B46" s="1">
        <v>0</v>
      </c>
      <c r="C46" s="13">
        <f t="shared" si="1"/>
        <v>0</v>
      </c>
      <c r="D46" s="1">
        <v>3</v>
      </c>
      <c r="E46" s="13">
        <f t="shared" si="2"/>
        <v>0.2</v>
      </c>
      <c r="F46" s="1">
        <v>7</v>
      </c>
      <c r="G46" s="13">
        <f t="shared" si="3"/>
        <v>0.46666666666666667</v>
      </c>
      <c r="H46" s="1">
        <v>4</v>
      </c>
      <c r="I46" s="13">
        <f t="shared" si="4"/>
        <v>0.26666666666666666</v>
      </c>
      <c r="J46" s="1">
        <v>1</v>
      </c>
      <c r="K46" s="13">
        <f t="shared" si="5"/>
        <v>6.6666666666666666E-2</v>
      </c>
      <c r="L46" s="1">
        <v>0</v>
      </c>
      <c r="M46" s="13">
        <f t="shared" si="6"/>
        <v>0</v>
      </c>
      <c r="N46" s="3">
        <f t="shared" si="0"/>
        <v>15</v>
      </c>
    </row>
    <row r="47" spans="1:14" ht="13.5" customHeight="1" x14ac:dyDescent="0.25">
      <c r="A47" s="5" t="s">
        <v>99</v>
      </c>
      <c r="B47" s="1">
        <v>2</v>
      </c>
      <c r="C47" s="13">
        <f t="shared" si="1"/>
        <v>0.22222222222222221</v>
      </c>
      <c r="D47" s="1">
        <v>6</v>
      </c>
      <c r="E47" s="13">
        <f t="shared" si="2"/>
        <v>0.66666666666666663</v>
      </c>
      <c r="F47" s="1">
        <v>0</v>
      </c>
      <c r="G47" s="13">
        <f t="shared" si="3"/>
        <v>0</v>
      </c>
      <c r="H47" s="1">
        <v>1</v>
      </c>
      <c r="I47" s="13">
        <f t="shared" si="4"/>
        <v>0.1111111111111111</v>
      </c>
      <c r="J47" s="1">
        <v>0</v>
      </c>
      <c r="K47" s="13">
        <f t="shared" si="5"/>
        <v>0</v>
      </c>
      <c r="L47" s="1">
        <v>0</v>
      </c>
      <c r="M47" s="13">
        <f t="shared" si="6"/>
        <v>0</v>
      </c>
      <c r="N47" s="3">
        <f t="shared" si="0"/>
        <v>9</v>
      </c>
    </row>
    <row r="48" spans="1:14" ht="13.5" customHeight="1" x14ac:dyDescent="0.25">
      <c r="A48" s="5" t="s">
        <v>31</v>
      </c>
      <c r="B48" s="1">
        <v>21</v>
      </c>
      <c r="C48" s="13">
        <f t="shared" si="1"/>
        <v>0.20588235294117646</v>
      </c>
      <c r="D48" s="1">
        <v>70</v>
      </c>
      <c r="E48" s="13">
        <f t="shared" si="2"/>
        <v>0.68627450980392157</v>
      </c>
      <c r="F48" s="1">
        <v>11</v>
      </c>
      <c r="G48" s="13">
        <f t="shared" si="3"/>
        <v>0.10784313725490197</v>
      </c>
      <c r="H48" s="1">
        <v>0</v>
      </c>
      <c r="I48" s="13">
        <f t="shared" si="4"/>
        <v>0</v>
      </c>
      <c r="J48" s="1">
        <v>0</v>
      </c>
      <c r="K48" s="13">
        <f t="shared" si="5"/>
        <v>0</v>
      </c>
      <c r="L48" s="1">
        <v>0</v>
      </c>
      <c r="M48" s="13">
        <f t="shared" si="6"/>
        <v>0</v>
      </c>
      <c r="N48" s="3">
        <f t="shared" si="0"/>
        <v>102</v>
      </c>
    </row>
    <row r="49" spans="1:14" ht="13.5" customHeight="1" x14ac:dyDescent="0.25">
      <c r="A49" s="5" t="s">
        <v>100</v>
      </c>
      <c r="B49" s="1">
        <v>10</v>
      </c>
      <c r="C49" s="13">
        <f t="shared" si="1"/>
        <v>0.12345679012345678</v>
      </c>
      <c r="D49" s="1">
        <v>47</v>
      </c>
      <c r="E49" s="13">
        <f t="shared" si="2"/>
        <v>0.58024691358024694</v>
      </c>
      <c r="F49" s="1">
        <v>22</v>
      </c>
      <c r="G49" s="13">
        <f t="shared" si="3"/>
        <v>0.27160493827160492</v>
      </c>
      <c r="H49" s="1">
        <v>2</v>
      </c>
      <c r="I49" s="13">
        <f t="shared" si="4"/>
        <v>2.4691358024691357E-2</v>
      </c>
      <c r="J49" s="1">
        <v>0</v>
      </c>
      <c r="K49" s="13">
        <f t="shared" si="5"/>
        <v>0</v>
      </c>
      <c r="L49" s="1">
        <v>0</v>
      </c>
      <c r="M49" s="13">
        <f t="shared" si="6"/>
        <v>0</v>
      </c>
      <c r="N49" s="3">
        <f t="shared" si="0"/>
        <v>81</v>
      </c>
    </row>
    <row r="50" spans="1:14" x14ac:dyDescent="0.25">
      <c r="A50" s="5" t="s">
        <v>32</v>
      </c>
      <c r="B50" s="1">
        <v>0</v>
      </c>
      <c r="C50" s="13">
        <f t="shared" si="1"/>
        <v>0</v>
      </c>
      <c r="D50" s="1">
        <v>6</v>
      </c>
      <c r="E50" s="13">
        <f t="shared" si="2"/>
        <v>0.31578947368421051</v>
      </c>
      <c r="F50" s="1">
        <v>11</v>
      </c>
      <c r="G50" s="13">
        <f t="shared" si="3"/>
        <v>0.57894736842105265</v>
      </c>
      <c r="H50" s="1">
        <v>2</v>
      </c>
      <c r="I50" s="13">
        <f t="shared" si="4"/>
        <v>0.10526315789473684</v>
      </c>
      <c r="J50" s="1">
        <v>0</v>
      </c>
      <c r="K50" s="13">
        <f t="shared" si="5"/>
        <v>0</v>
      </c>
      <c r="L50" s="1">
        <v>0</v>
      </c>
      <c r="M50" s="13">
        <f t="shared" si="6"/>
        <v>0</v>
      </c>
      <c r="N50" s="3">
        <f t="shared" si="0"/>
        <v>19</v>
      </c>
    </row>
    <row r="51" spans="1:14" x14ac:dyDescent="0.25">
      <c r="A51" s="5" t="s">
        <v>33</v>
      </c>
      <c r="B51" s="1">
        <v>1</v>
      </c>
      <c r="C51" s="13">
        <f t="shared" si="1"/>
        <v>6.25E-2</v>
      </c>
      <c r="D51" s="1">
        <v>10</v>
      </c>
      <c r="E51" s="13">
        <f t="shared" si="2"/>
        <v>0.625</v>
      </c>
      <c r="F51" s="1">
        <v>5</v>
      </c>
      <c r="G51" s="13">
        <f t="shared" si="3"/>
        <v>0.3125</v>
      </c>
      <c r="H51" s="1">
        <v>0</v>
      </c>
      <c r="I51" s="13">
        <f t="shared" si="4"/>
        <v>0</v>
      </c>
      <c r="J51" s="1">
        <v>0</v>
      </c>
      <c r="K51" s="13">
        <f t="shared" si="5"/>
        <v>0</v>
      </c>
      <c r="L51" s="1">
        <v>0</v>
      </c>
      <c r="M51" s="13">
        <f t="shared" si="6"/>
        <v>0</v>
      </c>
      <c r="N51" s="3">
        <f t="shared" si="0"/>
        <v>16</v>
      </c>
    </row>
    <row r="52" spans="1:14" x14ac:dyDescent="0.25">
      <c r="A52" s="5" t="s">
        <v>34</v>
      </c>
      <c r="B52" s="1">
        <v>5</v>
      </c>
      <c r="C52" s="13">
        <f t="shared" si="1"/>
        <v>0.20833333333333334</v>
      </c>
      <c r="D52" s="1">
        <v>15</v>
      </c>
      <c r="E52" s="13">
        <f t="shared" si="2"/>
        <v>0.625</v>
      </c>
      <c r="F52" s="1">
        <v>4</v>
      </c>
      <c r="G52" s="13">
        <f t="shared" si="3"/>
        <v>0.16666666666666666</v>
      </c>
      <c r="H52" s="1">
        <v>0</v>
      </c>
      <c r="I52" s="13">
        <f t="shared" si="4"/>
        <v>0</v>
      </c>
      <c r="J52" s="1">
        <v>0</v>
      </c>
      <c r="K52" s="13">
        <f t="shared" si="5"/>
        <v>0</v>
      </c>
      <c r="L52" s="1">
        <v>0</v>
      </c>
      <c r="M52" s="13">
        <f t="shared" si="6"/>
        <v>0</v>
      </c>
      <c r="N52" s="3">
        <f t="shared" si="0"/>
        <v>24</v>
      </c>
    </row>
    <row r="53" spans="1:14" ht="58.5" customHeight="1" x14ac:dyDescent="0.25">
      <c r="A53" s="5" t="s">
        <v>35</v>
      </c>
      <c r="B53" s="1">
        <v>4</v>
      </c>
      <c r="C53" s="13">
        <f t="shared" si="1"/>
        <v>8.6956521739130432E-2</v>
      </c>
      <c r="D53" s="1">
        <v>16</v>
      </c>
      <c r="E53" s="13">
        <f t="shared" si="2"/>
        <v>0.34782608695652173</v>
      </c>
      <c r="F53" s="1">
        <v>13</v>
      </c>
      <c r="G53" s="13">
        <f t="shared" si="3"/>
        <v>0.28260869565217389</v>
      </c>
      <c r="H53" s="1">
        <v>11</v>
      </c>
      <c r="I53" s="13">
        <f t="shared" si="4"/>
        <v>0.2391304347826087</v>
      </c>
      <c r="J53" s="1">
        <v>2</v>
      </c>
      <c r="K53" s="13">
        <f t="shared" si="5"/>
        <v>4.3478260869565216E-2</v>
      </c>
      <c r="L53" s="1">
        <v>0</v>
      </c>
      <c r="M53" s="13">
        <f t="shared" si="6"/>
        <v>0</v>
      </c>
      <c r="N53" s="3">
        <f t="shared" si="0"/>
        <v>46</v>
      </c>
    </row>
    <row r="54" spans="1:14" ht="15.75" thickBot="1" x14ac:dyDescent="0.3">
      <c r="A54" s="7" t="s">
        <v>49</v>
      </c>
      <c r="B54" s="8">
        <v>7</v>
      </c>
      <c r="C54" s="14">
        <f t="shared" si="1"/>
        <v>0.53846153846153844</v>
      </c>
      <c r="D54" s="8">
        <v>4</v>
      </c>
      <c r="E54" s="14">
        <f t="shared" si="2"/>
        <v>0.30769230769230771</v>
      </c>
      <c r="F54" s="8">
        <v>2</v>
      </c>
      <c r="G54" s="14">
        <f t="shared" si="3"/>
        <v>0.15384615384615385</v>
      </c>
      <c r="H54" s="8">
        <v>0</v>
      </c>
      <c r="I54" s="14">
        <f t="shared" si="4"/>
        <v>0</v>
      </c>
      <c r="J54" s="8">
        <v>0</v>
      </c>
      <c r="K54" s="14">
        <f t="shared" si="5"/>
        <v>0</v>
      </c>
      <c r="L54" s="8">
        <v>0</v>
      </c>
      <c r="M54" s="14">
        <f t="shared" si="6"/>
        <v>0</v>
      </c>
      <c r="N54" s="6">
        <f t="shared" si="0"/>
        <v>13</v>
      </c>
    </row>
    <row r="55" spans="1:14" ht="16.5" thickTop="1" thickBot="1" x14ac:dyDescent="0.3">
      <c r="A55" s="2" t="s">
        <v>41</v>
      </c>
      <c r="B55" s="2">
        <f>SUM(B6:B54)</f>
        <v>448</v>
      </c>
      <c r="C55" s="15">
        <f t="shared" si="1"/>
        <v>0.17158176943699732</v>
      </c>
      <c r="D55" s="2">
        <f>SUM(D6:D54)</f>
        <v>1476</v>
      </c>
      <c r="E55" s="15">
        <f t="shared" si="2"/>
        <v>0.56530065109153582</v>
      </c>
      <c r="F55" s="2">
        <f>SUM(F6:F54)</f>
        <v>566</v>
      </c>
      <c r="G55" s="15">
        <f t="shared" si="3"/>
        <v>0.21677518192263501</v>
      </c>
      <c r="H55" s="2">
        <f>SUM(H6:H54)</f>
        <v>110</v>
      </c>
      <c r="I55" s="15">
        <f t="shared" si="4"/>
        <v>4.2129452317119877E-2</v>
      </c>
      <c r="J55" s="2">
        <f>SUM(J6:J54)</f>
        <v>10</v>
      </c>
      <c r="K55" s="15">
        <f t="shared" si="5"/>
        <v>3.8299502106472617E-3</v>
      </c>
      <c r="L55" s="2">
        <f>SUM(L6:L54)</f>
        <v>1</v>
      </c>
      <c r="M55" s="15">
        <f t="shared" si="6"/>
        <v>3.8299502106472615E-4</v>
      </c>
      <c r="N55" s="4">
        <f>SUM(N6:N54)</f>
        <v>2611</v>
      </c>
    </row>
    <row r="56" spans="1:14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25">
      <c r="A57" s="43" t="s">
        <v>57</v>
      </c>
      <c r="B57" s="35" t="s">
        <v>52</v>
      </c>
      <c r="C57" s="36"/>
      <c r="D57" s="35" t="s">
        <v>53</v>
      </c>
      <c r="E57" s="36"/>
      <c r="F57" s="35" t="s">
        <v>54</v>
      </c>
      <c r="G57" s="36"/>
      <c r="H57" s="35" t="s">
        <v>55</v>
      </c>
      <c r="I57" s="36"/>
      <c r="J57" s="35" t="s">
        <v>45</v>
      </c>
      <c r="K57" s="36"/>
      <c r="L57" s="35" t="s">
        <v>46</v>
      </c>
      <c r="M57" s="36"/>
      <c r="N57" s="39" t="s">
        <v>0</v>
      </c>
    </row>
    <row r="58" spans="1:14" x14ac:dyDescent="0.25">
      <c r="A58" s="44"/>
      <c r="B58" s="37"/>
      <c r="C58" s="38"/>
      <c r="D58" s="37"/>
      <c r="E58" s="38"/>
      <c r="F58" s="37"/>
      <c r="G58" s="38"/>
      <c r="H58" s="37"/>
      <c r="I58" s="38"/>
      <c r="J58" s="37"/>
      <c r="K58" s="38"/>
      <c r="L58" s="37"/>
      <c r="M58" s="38"/>
      <c r="N58" s="40"/>
    </row>
    <row r="59" spans="1:14" x14ac:dyDescent="0.25">
      <c r="A59" s="5" t="s">
        <v>62</v>
      </c>
      <c r="B59" s="1">
        <v>79</v>
      </c>
      <c r="C59" s="13">
        <f t="shared" ref="C59:C67" si="7">B59/N59</f>
        <v>0.16458333333333333</v>
      </c>
      <c r="D59" s="1">
        <v>296</v>
      </c>
      <c r="E59" s="13">
        <f t="shared" ref="E59:E67" si="8">D59/N59</f>
        <v>0.6166666666666667</v>
      </c>
      <c r="F59" s="1">
        <v>97</v>
      </c>
      <c r="G59" s="13">
        <f t="shared" ref="G59:G67" si="9">F59/N59</f>
        <v>0.20208333333333334</v>
      </c>
      <c r="H59" s="1">
        <v>7</v>
      </c>
      <c r="I59" s="13">
        <f t="shared" ref="I59:I67" si="10">H59/N59</f>
        <v>1.4583333333333334E-2</v>
      </c>
      <c r="J59" s="1">
        <v>0</v>
      </c>
      <c r="K59" s="13">
        <f t="shared" ref="K59:K67" si="11">J59/N59</f>
        <v>0</v>
      </c>
      <c r="L59" s="1">
        <v>1</v>
      </c>
      <c r="M59" s="13">
        <f t="shared" ref="M59:M67" si="12">L59/N59</f>
        <v>2.0833333333333333E-3</v>
      </c>
      <c r="N59" s="3">
        <f t="shared" ref="N59:N66" si="13">B59+D59+F59+H59+J59+L59</f>
        <v>480</v>
      </c>
    </row>
    <row r="60" spans="1:14" x14ac:dyDescent="0.25">
      <c r="A60" s="5" t="s">
        <v>63</v>
      </c>
      <c r="B60" s="1">
        <v>9</v>
      </c>
      <c r="C60" s="13">
        <f t="shared" si="7"/>
        <v>9.8901098901098897E-2</v>
      </c>
      <c r="D60" s="1">
        <v>49</v>
      </c>
      <c r="E60" s="13">
        <f t="shared" si="8"/>
        <v>0.53846153846153844</v>
      </c>
      <c r="F60" s="1">
        <v>26</v>
      </c>
      <c r="G60" s="13">
        <f t="shared" si="9"/>
        <v>0.2857142857142857</v>
      </c>
      <c r="H60" s="1">
        <v>6</v>
      </c>
      <c r="I60" s="13">
        <f t="shared" si="10"/>
        <v>6.5934065934065936E-2</v>
      </c>
      <c r="J60" s="1">
        <v>1</v>
      </c>
      <c r="K60" s="13">
        <f t="shared" si="11"/>
        <v>1.098901098901099E-2</v>
      </c>
      <c r="L60" s="1">
        <v>0</v>
      </c>
      <c r="M60" s="13">
        <f t="shared" si="12"/>
        <v>0</v>
      </c>
      <c r="N60" s="3">
        <f t="shared" si="13"/>
        <v>91</v>
      </c>
    </row>
    <row r="61" spans="1:14" x14ac:dyDescent="0.25">
      <c r="A61" s="5" t="s">
        <v>64</v>
      </c>
      <c r="B61" s="1">
        <v>3</v>
      </c>
      <c r="C61" s="13">
        <f t="shared" si="7"/>
        <v>9.375E-2</v>
      </c>
      <c r="D61" s="1">
        <v>15</v>
      </c>
      <c r="E61" s="13">
        <f t="shared" si="8"/>
        <v>0.46875</v>
      </c>
      <c r="F61" s="1">
        <v>8</v>
      </c>
      <c r="G61" s="13">
        <f t="shared" si="9"/>
        <v>0.25</v>
      </c>
      <c r="H61" s="1">
        <v>5</v>
      </c>
      <c r="I61" s="13">
        <f t="shared" si="10"/>
        <v>0.15625</v>
      </c>
      <c r="J61" s="1">
        <v>1</v>
      </c>
      <c r="K61" s="13">
        <f t="shared" si="11"/>
        <v>3.125E-2</v>
      </c>
      <c r="L61" s="1">
        <v>0</v>
      </c>
      <c r="M61" s="13">
        <f t="shared" si="12"/>
        <v>0</v>
      </c>
      <c r="N61" s="3">
        <f t="shared" si="13"/>
        <v>32</v>
      </c>
    </row>
    <row r="62" spans="1:14" x14ac:dyDescent="0.25">
      <c r="A62" s="5" t="s">
        <v>65</v>
      </c>
      <c r="B62" s="1">
        <v>33</v>
      </c>
      <c r="C62" s="13">
        <f t="shared" si="7"/>
        <v>0.14410480349344978</v>
      </c>
      <c r="D62" s="1">
        <v>81</v>
      </c>
      <c r="E62" s="13">
        <f t="shared" si="8"/>
        <v>0.35371179039301309</v>
      </c>
      <c r="F62" s="1">
        <v>86</v>
      </c>
      <c r="G62" s="13">
        <f t="shared" si="9"/>
        <v>0.37554585152838427</v>
      </c>
      <c r="H62" s="1">
        <v>27</v>
      </c>
      <c r="I62" s="13">
        <f t="shared" si="10"/>
        <v>0.11790393013100436</v>
      </c>
      <c r="J62" s="1">
        <v>2</v>
      </c>
      <c r="K62" s="13">
        <f t="shared" si="11"/>
        <v>8.7336244541484712E-3</v>
      </c>
      <c r="L62" s="1">
        <v>0</v>
      </c>
      <c r="M62" s="13">
        <f t="shared" si="12"/>
        <v>0</v>
      </c>
      <c r="N62" s="3">
        <f t="shared" si="13"/>
        <v>229</v>
      </c>
    </row>
    <row r="63" spans="1:14" x14ac:dyDescent="0.25">
      <c r="A63" s="5" t="s">
        <v>1</v>
      </c>
      <c r="B63" s="1">
        <v>9</v>
      </c>
      <c r="C63" s="13">
        <f t="shared" si="7"/>
        <v>7.03125E-2</v>
      </c>
      <c r="D63" s="1">
        <v>75</v>
      </c>
      <c r="E63" s="13">
        <f t="shared" si="8"/>
        <v>0.5859375</v>
      </c>
      <c r="F63" s="1">
        <v>42</v>
      </c>
      <c r="G63" s="13">
        <f t="shared" si="9"/>
        <v>0.328125</v>
      </c>
      <c r="H63" s="1">
        <v>1</v>
      </c>
      <c r="I63" s="13">
        <f t="shared" si="10"/>
        <v>7.8125E-3</v>
      </c>
      <c r="J63" s="1">
        <v>1</v>
      </c>
      <c r="K63" s="13">
        <f t="shared" si="11"/>
        <v>7.8125E-3</v>
      </c>
      <c r="L63" s="1">
        <v>0</v>
      </c>
      <c r="M63" s="13">
        <f t="shared" si="12"/>
        <v>0</v>
      </c>
      <c r="N63" s="3">
        <f t="shared" si="13"/>
        <v>128</v>
      </c>
    </row>
    <row r="64" spans="1:14" x14ac:dyDescent="0.25">
      <c r="A64" s="5" t="s">
        <v>66</v>
      </c>
      <c r="B64" s="1">
        <v>118</v>
      </c>
      <c r="C64" s="13">
        <f t="shared" si="7"/>
        <v>0.19249592169657423</v>
      </c>
      <c r="D64" s="1">
        <v>405</v>
      </c>
      <c r="E64" s="13">
        <f t="shared" si="8"/>
        <v>0.66068515497553015</v>
      </c>
      <c r="F64" s="1">
        <v>84</v>
      </c>
      <c r="G64" s="13">
        <f t="shared" si="9"/>
        <v>0.13703099510603589</v>
      </c>
      <c r="H64" s="1">
        <v>6</v>
      </c>
      <c r="I64" s="13">
        <f t="shared" si="10"/>
        <v>9.7879282218597055E-3</v>
      </c>
      <c r="J64" s="1">
        <v>0</v>
      </c>
      <c r="K64" s="13">
        <f t="shared" si="11"/>
        <v>0</v>
      </c>
      <c r="L64" s="1">
        <v>0</v>
      </c>
      <c r="M64" s="13">
        <f t="shared" si="12"/>
        <v>0</v>
      </c>
      <c r="N64" s="3">
        <f t="shared" si="13"/>
        <v>613</v>
      </c>
    </row>
    <row r="65" spans="1:14" x14ac:dyDescent="0.25">
      <c r="A65" s="5" t="s">
        <v>67</v>
      </c>
      <c r="B65" s="1">
        <v>132</v>
      </c>
      <c r="C65" s="13">
        <f t="shared" si="7"/>
        <v>0.26506024096385544</v>
      </c>
      <c r="D65" s="1">
        <v>199</v>
      </c>
      <c r="E65" s="13">
        <f t="shared" si="8"/>
        <v>0.39959839357429716</v>
      </c>
      <c r="F65" s="1">
        <v>116</v>
      </c>
      <c r="G65" s="13">
        <f t="shared" si="9"/>
        <v>0.23293172690763053</v>
      </c>
      <c r="H65" s="1">
        <v>47</v>
      </c>
      <c r="I65" s="13">
        <f t="shared" si="10"/>
        <v>9.4377510040160636E-2</v>
      </c>
      <c r="J65" s="1">
        <v>4</v>
      </c>
      <c r="K65" s="13">
        <f t="shared" si="11"/>
        <v>8.0321285140562242E-3</v>
      </c>
      <c r="L65" s="1">
        <v>0</v>
      </c>
      <c r="M65" s="13">
        <f t="shared" si="12"/>
        <v>0</v>
      </c>
      <c r="N65" s="3">
        <f t="shared" si="13"/>
        <v>498</v>
      </c>
    </row>
    <row r="66" spans="1:14" ht="15.75" thickBot="1" x14ac:dyDescent="0.3">
      <c r="A66" s="7" t="s">
        <v>68</v>
      </c>
      <c r="B66" s="8">
        <v>65</v>
      </c>
      <c r="C66" s="14">
        <f t="shared" si="7"/>
        <v>0.12037037037037036</v>
      </c>
      <c r="D66" s="8">
        <v>356</v>
      </c>
      <c r="E66" s="14">
        <f t="shared" si="8"/>
        <v>0.65925925925925921</v>
      </c>
      <c r="F66" s="8">
        <v>107</v>
      </c>
      <c r="G66" s="14">
        <f t="shared" si="9"/>
        <v>0.19814814814814816</v>
      </c>
      <c r="H66" s="8">
        <v>11</v>
      </c>
      <c r="I66" s="14">
        <f t="shared" si="10"/>
        <v>2.0370370370370372E-2</v>
      </c>
      <c r="J66" s="8">
        <v>1</v>
      </c>
      <c r="K66" s="14">
        <f t="shared" si="11"/>
        <v>1.8518518518518519E-3</v>
      </c>
      <c r="L66" s="8">
        <v>0</v>
      </c>
      <c r="M66" s="14">
        <f t="shared" si="12"/>
        <v>0</v>
      </c>
      <c r="N66" s="6">
        <f t="shared" si="13"/>
        <v>540</v>
      </c>
    </row>
    <row r="67" spans="1:14" ht="16.5" thickTop="1" thickBot="1" x14ac:dyDescent="0.3">
      <c r="A67" s="2" t="s">
        <v>41</v>
      </c>
      <c r="B67" s="2">
        <f>SUM(B59:B66)</f>
        <v>448</v>
      </c>
      <c r="C67" s="15">
        <f t="shared" si="7"/>
        <v>0.17158176943699732</v>
      </c>
      <c r="D67" s="2">
        <f>SUM(D59:D66)</f>
        <v>1476</v>
      </c>
      <c r="E67" s="15">
        <f t="shared" si="8"/>
        <v>0.56530065109153582</v>
      </c>
      <c r="F67" s="2">
        <f>SUM(F59:F66)</f>
        <v>566</v>
      </c>
      <c r="G67" s="15">
        <f t="shared" si="9"/>
        <v>0.21677518192263501</v>
      </c>
      <c r="H67" s="2">
        <f>SUM(H59:H66)</f>
        <v>110</v>
      </c>
      <c r="I67" s="15">
        <f t="shared" si="10"/>
        <v>4.2129452317119877E-2</v>
      </c>
      <c r="J67" s="2">
        <f>SUM(J59:J66)</f>
        <v>10</v>
      </c>
      <c r="K67" s="15">
        <f t="shared" si="11"/>
        <v>3.8299502106472617E-3</v>
      </c>
      <c r="L67" s="2">
        <f>SUM(L59:L66)</f>
        <v>1</v>
      </c>
      <c r="M67" s="15">
        <f t="shared" si="12"/>
        <v>3.8299502106472615E-4</v>
      </c>
      <c r="N67" s="4">
        <f>SUM(N59:N66)</f>
        <v>2611</v>
      </c>
    </row>
    <row r="70" spans="1:14" ht="15.75" thickBot="1" x14ac:dyDescent="0.3">
      <c r="A70" s="12"/>
      <c r="D70" s="21"/>
      <c r="E70" s="21"/>
      <c r="F70" s="12"/>
      <c r="G70" s="12"/>
      <c r="H70" s="12"/>
      <c r="I70" s="12"/>
      <c r="J70" s="12"/>
      <c r="K70" s="12"/>
      <c r="L70" s="12"/>
      <c r="M70" s="12"/>
    </row>
    <row r="71" spans="1:14" ht="30" customHeight="1" x14ac:dyDescent="0.25">
      <c r="A71" s="26"/>
      <c r="B71" s="41" t="s">
        <v>79</v>
      </c>
      <c r="C71" s="42"/>
      <c r="D71" s="21"/>
      <c r="E71" s="21"/>
      <c r="F71" s="12"/>
      <c r="G71" s="12"/>
      <c r="H71" s="12"/>
      <c r="I71" s="12"/>
      <c r="J71" s="12"/>
      <c r="K71" s="12"/>
      <c r="L71" s="12"/>
      <c r="M71" s="12"/>
    </row>
    <row r="72" spans="1:14" ht="15.75" thickBot="1" x14ac:dyDescent="0.3">
      <c r="A72" s="24" t="s">
        <v>78</v>
      </c>
      <c r="B72" s="32" t="s">
        <v>91</v>
      </c>
      <c r="C72" s="33"/>
      <c r="F72" s="12"/>
      <c r="G72" s="12"/>
      <c r="H72" s="12"/>
      <c r="I72" s="12"/>
      <c r="J72" s="12"/>
      <c r="K72" s="12"/>
      <c r="L72" s="12"/>
      <c r="M72" s="12"/>
    </row>
    <row r="73" spans="1:14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4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4" x14ac:dyDescent="0.25">
      <c r="A75" s="34" t="s">
        <v>92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</sheetData>
  <mergeCells count="18">
    <mergeCell ref="B72:C72"/>
    <mergeCell ref="A75:M75"/>
    <mergeCell ref="L57:M58"/>
    <mergeCell ref="N57:N58"/>
    <mergeCell ref="B71:C71"/>
    <mergeCell ref="A57:A58"/>
    <mergeCell ref="B57:C58"/>
    <mergeCell ref="D57:E58"/>
    <mergeCell ref="F57:G58"/>
    <mergeCell ref="H57:I58"/>
    <mergeCell ref="J57:K58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0000"/>
  </sheetPr>
  <dimension ref="A1:N78"/>
  <sheetViews>
    <sheetView tabSelected="1" view="pageLayout" zoomScale="70" zoomScaleNormal="100" zoomScalePageLayoutView="70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">
        <v>154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/>
      <c r="B6" s="1"/>
      <c r="C6" s="13" t="e">
        <f>B6/N6</f>
        <v>#DIV/0!</v>
      </c>
      <c r="D6" s="1"/>
      <c r="E6" s="13" t="e">
        <f>D6/N6</f>
        <v>#DIV/0!</v>
      </c>
      <c r="F6" s="1"/>
      <c r="G6" s="13" t="e">
        <f>F6/N6</f>
        <v>#DIV/0!</v>
      </c>
      <c r="H6" s="1"/>
      <c r="I6" s="13" t="e">
        <f>H6/N6</f>
        <v>#DIV/0!</v>
      </c>
      <c r="J6" s="1"/>
      <c r="K6" s="13" t="e">
        <f>J6/N6</f>
        <v>#DIV/0!</v>
      </c>
      <c r="L6" s="1"/>
      <c r="M6" s="13" t="e">
        <f>L6/N6</f>
        <v>#DIV/0!</v>
      </c>
      <c r="N6" s="3">
        <f t="shared" ref="N6:N54" si="0">B6+D6+F6+H6+J6+L6</f>
        <v>0</v>
      </c>
    </row>
    <row r="7" spans="1:14" ht="13.5" customHeight="1" x14ac:dyDescent="0.25">
      <c r="A7" s="5"/>
      <c r="B7" s="1"/>
      <c r="C7" s="13" t="e">
        <f>B7/N7</f>
        <v>#DIV/0!</v>
      </c>
      <c r="D7" s="1"/>
      <c r="E7" s="13" t="e">
        <f>D7/N7</f>
        <v>#DIV/0!</v>
      </c>
      <c r="F7" s="1"/>
      <c r="G7" s="13" t="e">
        <f>F7/N7</f>
        <v>#DIV/0!</v>
      </c>
      <c r="H7" s="1"/>
      <c r="I7" s="13" t="e">
        <f>H7/N7</f>
        <v>#DIV/0!</v>
      </c>
      <c r="J7" s="1"/>
      <c r="K7" s="13" t="e">
        <f>J7/N7</f>
        <v>#DIV/0!</v>
      </c>
      <c r="L7" s="1"/>
      <c r="M7" s="13" t="e">
        <f>L7/N7</f>
        <v>#DIV/0!</v>
      </c>
      <c r="N7" s="3">
        <f>B7+D7+F7+H7+J7+L7</f>
        <v>0</v>
      </c>
    </row>
    <row r="8" spans="1:14" ht="13.5" customHeight="1" x14ac:dyDescent="0.25">
      <c r="A8" s="5"/>
      <c r="B8" s="1"/>
      <c r="C8" s="13" t="e">
        <f>B8/N8</f>
        <v>#DIV/0!</v>
      </c>
      <c r="D8" s="1"/>
      <c r="E8" s="13" t="e">
        <f>D8/N8</f>
        <v>#DIV/0!</v>
      </c>
      <c r="F8" s="1"/>
      <c r="G8" s="13" t="e">
        <f>F8/N8</f>
        <v>#DIV/0!</v>
      </c>
      <c r="H8" s="1"/>
      <c r="I8" s="13" t="e">
        <f>H8/N8</f>
        <v>#DIV/0!</v>
      </c>
      <c r="J8" s="1"/>
      <c r="K8" s="13" t="e">
        <f>J8/N8</f>
        <v>#DIV/0!</v>
      </c>
      <c r="L8" s="1"/>
      <c r="M8" s="13" t="e">
        <f>L8/N8</f>
        <v>#DIV/0!</v>
      </c>
      <c r="N8" s="3">
        <f>B8+D8+F8+H8+J8+L8</f>
        <v>0</v>
      </c>
    </row>
    <row r="9" spans="1:14" ht="13.5" customHeight="1" x14ac:dyDescent="0.25">
      <c r="A9" s="5"/>
      <c r="B9" s="1"/>
      <c r="C9" s="13" t="e">
        <f t="shared" ref="C9:C55" si="1">B9/N9</f>
        <v>#DIV/0!</v>
      </c>
      <c r="D9" s="1"/>
      <c r="E9" s="13" t="e">
        <f t="shared" ref="E9:E55" si="2">D9/N9</f>
        <v>#DIV/0!</v>
      </c>
      <c r="F9" s="1"/>
      <c r="G9" s="13" t="e">
        <f t="shared" ref="G9:G55" si="3">F9/N9</f>
        <v>#DIV/0!</v>
      </c>
      <c r="H9" s="1"/>
      <c r="I9" s="13" t="e">
        <f t="shared" ref="I9:I55" si="4">H9/N9</f>
        <v>#DIV/0!</v>
      </c>
      <c r="J9" s="1"/>
      <c r="K9" s="13" t="e">
        <f t="shared" ref="K9:K55" si="5">J9/N9</f>
        <v>#DIV/0!</v>
      </c>
      <c r="L9" s="1"/>
      <c r="M9" s="13" t="e">
        <f t="shared" ref="M9:M55" si="6">L9/N9</f>
        <v>#DIV/0!</v>
      </c>
      <c r="N9" s="3">
        <f t="shared" si="0"/>
        <v>0</v>
      </c>
    </row>
    <row r="10" spans="1:14" ht="13.5" customHeight="1" x14ac:dyDescent="0.25">
      <c r="A10" s="5"/>
      <c r="B10" s="1"/>
      <c r="C10" s="13" t="e">
        <f t="shared" si="1"/>
        <v>#DIV/0!</v>
      </c>
      <c r="D10" s="1"/>
      <c r="E10" s="13" t="e">
        <f t="shared" si="2"/>
        <v>#DIV/0!</v>
      </c>
      <c r="F10" s="1"/>
      <c r="G10" s="13" t="e">
        <f t="shared" si="3"/>
        <v>#DIV/0!</v>
      </c>
      <c r="H10" s="1"/>
      <c r="I10" s="13" t="e">
        <f t="shared" si="4"/>
        <v>#DIV/0!</v>
      </c>
      <c r="J10" s="1"/>
      <c r="K10" s="13" t="e">
        <f t="shared" si="5"/>
        <v>#DIV/0!</v>
      </c>
      <c r="L10" s="1"/>
      <c r="M10" s="13" t="e">
        <f t="shared" si="6"/>
        <v>#DIV/0!</v>
      </c>
      <c r="N10" s="3">
        <f t="shared" si="0"/>
        <v>0</v>
      </c>
    </row>
    <row r="11" spans="1:14" ht="13.5" customHeight="1" x14ac:dyDescent="0.25">
      <c r="A11" s="5"/>
      <c r="B11" s="1"/>
      <c r="C11" s="13" t="e">
        <f t="shared" si="1"/>
        <v>#DIV/0!</v>
      </c>
      <c r="D11" s="1"/>
      <c r="E11" s="13" t="e">
        <f t="shared" si="2"/>
        <v>#DIV/0!</v>
      </c>
      <c r="F11" s="1"/>
      <c r="G11" s="13" t="e">
        <f t="shared" si="3"/>
        <v>#DIV/0!</v>
      </c>
      <c r="H11" s="1"/>
      <c r="I11" s="13" t="e">
        <f t="shared" si="4"/>
        <v>#DIV/0!</v>
      </c>
      <c r="J11" s="1"/>
      <c r="K11" s="13" t="e">
        <f t="shared" si="5"/>
        <v>#DIV/0!</v>
      </c>
      <c r="L11" s="1"/>
      <c r="M11" s="13" t="e">
        <f t="shared" si="6"/>
        <v>#DIV/0!</v>
      </c>
      <c r="N11" s="3">
        <f t="shared" si="0"/>
        <v>0</v>
      </c>
    </row>
    <row r="12" spans="1:14" ht="13.5" customHeight="1" x14ac:dyDescent="0.25">
      <c r="A12" s="5"/>
      <c r="B12" s="1"/>
      <c r="C12" s="13" t="e">
        <f t="shared" si="1"/>
        <v>#DIV/0!</v>
      </c>
      <c r="D12" s="1"/>
      <c r="E12" s="13" t="e">
        <f t="shared" si="2"/>
        <v>#DIV/0!</v>
      </c>
      <c r="F12" s="1"/>
      <c r="G12" s="13" t="e">
        <f t="shared" si="3"/>
        <v>#DIV/0!</v>
      </c>
      <c r="H12" s="1"/>
      <c r="I12" s="13" t="e">
        <f t="shared" si="4"/>
        <v>#DIV/0!</v>
      </c>
      <c r="J12" s="1"/>
      <c r="K12" s="13" t="e">
        <f t="shared" si="5"/>
        <v>#DIV/0!</v>
      </c>
      <c r="L12" s="1"/>
      <c r="M12" s="13" t="e">
        <f t="shared" si="6"/>
        <v>#DIV/0!</v>
      </c>
      <c r="N12" s="3">
        <f t="shared" si="0"/>
        <v>0</v>
      </c>
    </row>
    <row r="13" spans="1:14" ht="13.5" customHeight="1" x14ac:dyDescent="0.25">
      <c r="A13" s="5"/>
      <c r="B13" s="1"/>
      <c r="C13" s="13" t="e">
        <f t="shared" si="1"/>
        <v>#DIV/0!</v>
      </c>
      <c r="D13" s="1"/>
      <c r="E13" s="13" t="e">
        <f t="shared" si="2"/>
        <v>#DIV/0!</v>
      </c>
      <c r="F13" s="1"/>
      <c r="G13" s="13" t="e">
        <f t="shared" si="3"/>
        <v>#DIV/0!</v>
      </c>
      <c r="H13" s="1"/>
      <c r="I13" s="13" t="e">
        <f t="shared" si="4"/>
        <v>#DIV/0!</v>
      </c>
      <c r="J13" s="1"/>
      <c r="K13" s="13" t="e">
        <f t="shared" si="5"/>
        <v>#DIV/0!</v>
      </c>
      <c r="L13" s="1"/>
      <c r="M13" s="13" t="e">
        <f t="shared" si="6"/>
        <v>#DIV/0!</v>
      </c>
      <c r="N13" s="3">
        <f t="shared" si="0"/>
        <v>0</v>
      </c>
    </row>
    <row r="14" spans="1:14" ht="13.5" customHeight="1" x14ac:dyDescent="0.25">
      <c r="A14" s="5"/>
      <c r="B14" s="1"/>
      <c r="C14" s="13" t="e">
        <f t="shared" si="1"/>
        <v>#DIV/0!</v>
      </c>
      <c r="D14" s="1"/>
      <c r="E14" s="13" t="e">
        <f t="shared" si="2"/>
        <v>#DIV/0!</v>
      </c>
      <c r="F14" s="1"/>
      <c r="G14" s="13" t="e">
        <f t="shared" si="3"/>
        <v>#DIV/0!</v>
      </c>
      <c r="H14" s="1"/>
      <c r="I14" s="13" t="e">
        <f t="shared" si="4"/>
        <v>#DIV/0!</v>
      </c>
      <c r="J14" s="1"/>
      <c r="K14" s="13" t="e">
        <f t="shared" si="5"/>
        <v>#DIV/0!</v>
      </c>
      <c r="L14" s="1"/>
      <c r="M14" s="13" t="e">
        <f t="shared" si="6"/>
        <v>#DIV/0!</v>
      </c>
      <c r="N14" s="3">
        <f t="shared" si="0"/>
        <v>0</v>
      </c>
    </row>
    <row r="15" spans="1:14" ht="13.5" customHeight="1" x14ac:dyDescent="0.25">
      <c r="A15" s="5"/>
      <c r="B15" s="1"/>
      <c r="C15" s="13" t="e">
        <f t="shared" si="1"/>
        <v>#DIV/0!</v>
      </c>
      <c r="D15" s="1"/>
      <c r="E15" s="13" t="e">
        <f t="shared" si="2"/>
        <v>#DIV/0!</v>
      </c>
      <c r="F15" s="1"/>
      <c r="G15" s="13" t="e">
        <f t="shared" si="3"/>
        <v>#DIV/0!</v>
      </c>
      <c r="H15" s="1"/>
      <c r="I15" s="13" t="e">
        <f t="shared" si="4"/>
        <v>#DIV/0!</v>
      </c>
      <c r="J15" s="1"/>
      <c r="K15" s="13" t="e">
        <f t="shared" si="5"/>
        <v>#DIV/0!</v>
      </c>
      <c r="L15" s="1"/>
      <c r="M15" s="13" t="e">
        <f t="shared" si="6"/>
        <v>#DIV/0!</v>
      </c>
      <c r="N15" s="3">
        <f t="shared" si="0"/>
        <v>0</v>
      </c>
    </row>
    <row r="16" spans="1:14" ht="13.5" customHeight="1" x14ac:dyDescent="0.25">
      <c r="A16" s="5"/>
      <c r="B16" s="1"/>
      <c r="C16" s="13" t="e">
        <f t="shared" si="1"/>
        <v>#DIV/0!</v>
      </c>
      <c r="D16" s="1"/>
      <c r="E16" s="13" t="e">
        <f t="shared" si="2"/>
        <v>#DIV/0!</v>
      </c>
      <c r="F16" s="1"/>
      <c r="G16" s="13" t="e">
        <f t="shared" si="3"/>
        <v>#DIV/0!</v>
      </c>
      <c r="H16" s="1"/>
      <c r="I16" s="13" t="e">
        <f t="shared" si="4"/>
        <v>#DIV/0!</v>
      </c>
      <c r="J16" s="1"/>
      <c r="K16" s="13" t="e">
        <f t="shared" si="5"/>
        <v>#DIV/0!</v>
      </c>
      <c r="L16" s="1"/>
      <c r="M16" s="13" t="e">
        <f t="shared" si="6"/>
        <v>#DIV/0!</v>
      </c>
      <c r="N16" s="3">
        <f t="shared" si="0"/>
        <v>0</v>
      </c>
    </row>
    <row r="17" spans="1:14" ht="13.5" customHeight="1" x14ac:dyDescent="0.25">
      <c r="A17" s="5"/>
      <c r="B17" s="1"/>
      <c r="C17" s="13" t="e">
        <f t="shared" si="1"/>
        <v>#DIV/0!</v>
      </c>
      <c r="D17" s="1"/>
      <c r="E17" s="13" t="e">
        <f t="shared" si="2"/>
        <v>#DIV/0!</v>
      </c>
      <c r="F17" s="1"/>
      <c r="G17" s="13" t="e">
        <f t="shared" si="3"/>
        <v>#DIV/0!</v>
      </c>
      <c r="H17" s="1"/>
      <c r="I17" s="13" t="e">
        <f t="shared" si="4"/>
        <v>#DIV/0!</v>
      </c>
      <c r="J17" s="1"/>
      <c r="K17" s="13" t="e">
        <f t="shared" si="5"/>
        <v>#DIV/0!</v>
      </c>
      <c r="L17" s="1"/>
      <c r="M17" s="13" t="e">
        <f t="shared" si="6"/>
        <v>#DIV/0!</v>
      </c>
      <c r="N17" s="3">
        <f t="shared" si="0"/>
        <v>0</v>
      </c>
    </row>
    <row r="18" spans="1:14" ht="13.5" customHeight="1" x14ac:dyDescent="0.25">
      <c r="A18" s="5"/>
      <c r="B18" s="1"/>
      <c r="C18" s="13" t="e">
        <f t="shared" si="1"/>
        <v>#DIV/0!</v>
      </c>
      <c r="D18" s="1"/>
      <c r="E18" s="13" t="e">
        <f t="shared" si="2"/>
        <v>#DIV/0!</v>
      </c>
      <c r="F18" s="1"/>
      <c r="G18" s="13" t="e">
        <f t="shared" si="3"/>
        <v>#DIV/0!</v>
      </c>
      <c r="H18" s="1"/>
      <c r="I18" s="13" t="e">
        <f t="shared" si="4"/>
        <v>#DIV/0!</v>
      </c>
      <c r="J18" s="1"/>
      <c r="K18" s="13" t="e">
        <f t="shared" si="5"/>
        <v>#DIV/0!</v>
      </c>
      <c r="L18" s="1"/>
      <c r="M18" s="13" t="e">
        <f t="shared" si="6"/>
        <v>#DIV/0!</v>
      </c>
      <c r="N18" s="3">
        <f t="shared" si="0"/>
        <v>0</v>
      </c>
    </row>
    <row r="19" spans="1:14" ht="13.5" customHeight="1" x14ac:dyDescent="0.25">
      <c r="A19" s="5"/>
      <c r="B19" s="1"/>
      <c r="C19" s="13" t="e">
        <f t="shared" si="1"/>
        <v>#DIV/0!</v>
      </c>
      <c r="D19" s="1"/>
      <c r="E19" s="13" t="e">
        <f t="shared" si="2"/>
        <v>#DIV/0!</v>
      </c>
      <c r="F19" s="1"/>
      <c r="G19" s="13" t="e">
        <f t="shared" si="3"/>
        <v>#DIV/0!</v>
      </c>
      <c r="H19" s="1"/>
      <c r="I19" s="13" t="e">
        <f t="shared" si="4"/>
        <v>#DIV/0!</v>
      </c>
      <c r="J19" s="1"/>
      <c r="K19" s="13" t="e">
        <f t="shared" si="5"/>
        <v>#DIV/0!</v>
      </c>
      <c r="L19" s="1"/>
      <c r="M19" s="13" t="e">
        <f t="shared" si="6"/>
        <v>#DIV/0!</v>
      </c>
      <c r="N19" s="3">
        <f t="shared" si="0"/>
        <v>0</v>
      </c>
    </row>
    <row r="20" spans="1:14" ht="13.5" customHeight="1" x14ac:dyDescent="0.25">
      <c r="A20" s="5"/>
      <c r="B20" s="1"/>
      <c r="C20" s="13" t="e">
        <f t="shared" si="1"/>
        <v>#DIV/0!</v>
      </c>
      <c r="D20" s="1"/>
      <c r="E20" s="13" t="e">
        <f t="shared" si="2"/>
        <v>#DIV/0!</v>
      </c>
      <c r="F20" s="1"/>
      <c r="G20" s="13" t="e">
        <f t="shared" si="3"/>
        <v>#DIV/0!</v>
      </c>
      <c r="H20" s="1"/>
      <c r="I20" s="13" t="e">
        <f t="shared" si="4"/>
        <v>#DIV/0!</v>
      </c>
      <c r="J20" s="1"/>
      <c r="K20" s="13" t="e">
        <f t="shared" si="5"/>
        <v>#DIV/0!</v>
      </c>
      <c r="L20" s="1"/>
      <c r="M20" s="13" t="e">
        <f t="shared" si="6"/>
        <v>#DIV/0!</v>
      </c>
      <c r="N20" s="3">
        <f t="shared" si="0"/>
        <v>0</v>
      </c>
    </row>
    <row r="21" spans="1:14" ht="13.5" customHeight="1" x14ac:dyDescent="0.25">
      <c r="A21" s="5"/>
      <c r="B21" s="1"/>
      <c r="C21" s="13" t="e">
        <f t="shared" si="1"/>
        <v>#DIV/0!</v>
      </c>
      <c r="D21" s="1"/>
      <c r="E21" s="13" t="e">
        <f t="shared" si="2"/>
        <v>#DIV/0!</v>
      </c>
      <c r="F21" s="1"/>
      <c r="G21" s="13" t="e">
        <f t="shared" si="3"/>
        <v>#DIV/0!</v>
      </c>
      <c r="H21" s="1"/>
      <c r="I21" s="13" t="e">
        <f t="shared" si="4"/>
        <v>#DIV/0!</v>
      </c>
      <c r="J21" s="1"/>
      <c r="K21" s="13" t="e">
        <f t="shared" si="5"/>
        <v>#DIV/0!</v>
      </c>
      <c r="L21" s="1"/>
      <c r="M21" s="13" t="e">
        <f t="shared" si="6"/>
        <v>#DIV/0!</v>
      </c>
      <c r="N21" s="3">
        <f t="shared" si="0"/>
        <v>0</v>
      </c>
    </row>
    <row r="22" spans="1:14" ht="13.5" customHeight="1" x14ac:dyDescent="0.25">
      <c r="A22" s="5"/>
      <c r="B22" s="1"/>
      <c r="C22" s="13" t="e">
        <f t="shared" si="1"/>
        <v>#DIV/0!</v>
      </c>
      <c r="D22" s="1"/>
      <c r="E22" s="13" t="e">
        <f t="shared" si="2"/>
        <v>#DIV/0!</v>
      </c>
      <c r="F22" s="1"/>
      <c r="G22" s="13" t="e">
        <f t="shared" si="3"/>
        <v>#DIV/0!</v>
      </c>
      <c r="H22" s="1"/>
      <c r="I22" s="13" t="e">
        <f t="shared" si="4"/>
        <v>#DIV/0!</v>
      </c>
      <c r="J22" s="1"/>
      <c r="K22" s="13" t="e">
        <f t="shared" si="5"/>
        <v>#DIV/0!</v>
      </c>
      <c r="L22" s="1"/>
      <c r="M22" s="13" t="e">
        <f t="shared" si="6"/>
        <v>#DIV/0!</v>
      </c>
      <c r="N22" s="3">
        <f t="shared" si="0"/>
        <v>0</v>
      </c>
    </row>
    <row r="23" spans="1:14" ht="13.5" customHeight="1" x14ac:dyDescent="0.25">
      <c r="A23" s="5"/>
      <c r="B23" s="1"/>
      <c r="C23" s="13" t="e">
        <f t="shared" si="1"/>
        <v>#DIV/0!</v>
      </c>
      <c r="D23" s="1"/>
      <c r="E23" s="13" t="e">
        <f t="shared" si="2"/>
        <v>#DIV/0!</v>
      </c>
      <c r="F23" s="1"/>
      <c r="G23" s="13" t="e">
        <f t="shared" si="3"/>
        <v>#DIV/0!</v>
      </c>
      <c r="H23" s="1"/>
      <c r="I23" s="13" t="e">
        <f t="shared" si="4"/>
        <v>#DIV/0!</v>
      </c>
      <c r="J23" s="1"/>
      <c r="K23" s="13" t="e">
        <f t="shared" si="5"/>
        <v>#DIV/0!</v>
      </c>
      <c r="L23" s="1"/>
      <c r="M23" s="13" t="e">
        <f t="shared" si="6"/>
        <v>#DIV/0!</v>
      </c>
      <c r="N23" s="3">
        <f t="shared" si="0"/>
        <v>0</v>
      </c>
    </row>
    <row r="24" spans="1:14" ht="13.5" customHeight="1" x14ac:dyDescent="0.25">
      <c r="A24" s="5"/>
      <c r="B24" s="1"/>
      <c r="C24" s="13" t="e">
        <f t="shared" si="1"/>
        <v>#DIV/0!</v>
      </c>
      <c r="D24" s="1"/>
      <c r="E24" s="13" t="e">
        <f t="shared" si="2"/>
        <v>#DIV/0!</v>
      </c>
      <c r="F24" s="1"/>
      <c r="G24" s="13" t="e">
        <f t="shared" si="3"/>
        <v>#DIV/0!</v>
      </c>
      <c r="H24" s="1"/>
      <c r="I24" s="13" t="e">
        <f t="shared" si="4"/>
        <v>#DIV/0!</v>
      </c>
      <c r="J24" s="1"/>
      <c r="K24" s="13" t="e">
        <f t="shared" si="5"/>
        <v>#DIV/0!</v>
      </c>
      <c r="L24" s="1"/>
      <c r="M24" s="13" t="e">
        <f t="shared" si="6"/>
        <v>#DIV/0!</v>
      </c>
      <c r="N24" s="3">
        <f t="shared" si="0"/>
        <v>0</v>
      </c>
    </row>
    <row r="25" spans="1:14" ht="13.5" customHeight="1" x14ac:dyDescent="0.25">
      <c r="A25" s="5"/>
      <c r="B25" s="1"/>
      <c r="C25" s="13" t="e">
        <f t="shared" si="1"/>
        <v>#DIV/0!</v>
      </c>
      <c r="D25" s="1"/>
      <c r="E25" s="13" t="e">
        <f t="shared" si="2"/>
        <v>#DIV/0!</v>
      </c>
      <c r="F25" s="1"/>
      <c r="G25" s="13" t="e">
        <f t="shared" si="3"/>
        <v>#DIV/0!</v>
      </c>
      <c r="H25" s="1"/>
      <c r="I25" s="13" t="e">
        <f t="shared" si="4"/>
        <v>#DIV/0!</v>
      </c>
      <c r="J25" s="1"/>
      <c r="K25" s="13" t="e">
        <f t="shared" si="5"/>
        <v>#DIV/0!</v>
      </c>
      <c r="L25" s="1"/>
      <c r="M25" s="13" t="e">
        <f t="shared" si="6"/>
        <v>#DIV/0!</v>
      </c>
      <c r="N25" s="3">
        <f t="shared" si="0"/>
        <v>0</v>
      </c>
    </row>
    <row r="26" spans="1:14" ht="13.5" customHeight="1" x14ac:dyDescent="0.25">
      <c r="A26" s="5"/>
      <c r="B26" s="1"/>
      <c r="C26" s="13" t="e">
        <f t="shared" si="1"/>
        <v>#DIV/0!</v>
      </c>
      <c r="D26" s="1"/>
      <c r="E26" s="13" t="e">
        <f t="shared" si="2"/>
        <v>#DIV/0!</v>
      </c>
      <c r="F26" s="1"/>
      <c r="G26" s="13" t="e">
        <f t="shared" si="3"/>
        <v>#DIV/0!</v>
      </c>
      <c r="H26" s="1"/>
      <c r="I26" s="13" t="e">
        <f t="shared" si="4"/>
        <v>#DIV/0!</v>
      </c>
      <c r="J26" s="1"/>
      <c r="K26" s="13" t="e">
        <f t="shared" si="5"/>
        <v>#DIV/0!</v>
      </c>
      <c r="L26" s="1"/>
      <c r="M26" s="13" t="e">
        <f t="shared" si="6"/>
        <v>#DIV/0!</v>
      </c>
      <c r="N26" s="3">
        <f t="shared" si="0"/>
        <v>0</v>
      </c>
    </row>
    <row r="27" spans="1:14" ht="13.5" customHeight="1" x14ac:dyDescent="0.25">
      <c r="A27" s="5"/>
      <c r="B27" s="1"/>
      <c r="C27" s="13" t="e">
        <f t="shared" si="1"/>
        <v>#DIV/0!</v>
      </c>
      <c r="D27" s="1"/>
      <c r="E27" s="13" t="e">
        <f t="shared" si="2"/>
        <v>#DIV/0!</v>
      </c>
      <c r="F27" s="1"/>
      <c r="G27" s="13" t="e">
        <f t="shared" si="3"/>
        <v>#DIV/0!</v>
      </c>
      <c r="H27" s="1"/>
      <c r="I27" s="13" t="e">
        <f t="shared" si="4"/>
        <v>#DIV/0!</v>
      </c>
      <c r="J27" s="1"/>
      <c r="K27" s="13" t="e">
        <f t="shared" si="5"/>
        <v>#DIV/0!</v>
      </c>
      <c r="L27" s="1"/>
      <c r="M27" s="13" t="e">
        <f t="shared" si="6"/>
        <v>#DIV/0!</v>
      </c>
      <c r="N27" s="3">
        <f t="shared" si="0"/>
        <v>0</v>
      </c>
    </row>
    <row r="28" spans="1:14" ht="13.5" customHeight="1" x14ac:dyDescent="0.25">
      <c r="A28" s="5"/>
      <c r="B28" s="1"/>
      <c r="C28" s="13" t="e">
        <f t="shared" si="1"/>
        <v>#DIV/0!</v>
      </c>
      <c r="D28" s="1"/>
      <c r="E28" s="13" t="e">
        <f t="shared" si="2"/>
        <v>#DIV/0!</v>
      </c>
      <c r="F28" s="1"/>
      <c r="G28" s="13" t="e">
        <f t="shared" si="3"/>
        <v>#DIV/0!</v>
      </c>
      <c r="H28" s="1"/>
      <c r="I28" s="13" t="e">
        <f t="shared" si="4"/>
        <v>#DIV/0!</v>
      </c>
      <c r="J28" s="1"/>
      <c r="K28" s="13" t="e">
        <f t="shared" si="5"/>
        <v>#DIV/0!</v>
      </c>
      <c r="L28" s="1"/>
      <c r="M28" s="13" t="e">
        <f t="shared" si="6"/>
        <v>#DIV/0!</v>
      </c>
      <c r="N28" s="3">
        <f t="shared" si="0"/>
        <v>0</v>
      </c>
    </row>
    <row r="29" spans="1:14" ht="13.5" customHeight="1" x14ac:dyDescent="0.25">
      <c r="A29" s="5"/>
      <c r="B29" s="1"/>
      <c r="C29" s="13" t="e">
        <f t="shared" si="1"/>
        <v>#DIV/0!</v>
      </c>
      <c r="D29" s="1"/>
      <c r="E29" s="13" t="e">
        <f t="shared" si="2"/>
        <v>#DIV/0!</v>
      </c>
      <c r="F29" s="1"/>
      <c r="G29" s="13" t="e">
        <f t="shared" si="3"/>
        <v>#DIV/0!</v>
      </c>
      <c r="H29" s="1"/>
      <c r="I29" s="13" t="e">
        <f t="shared" si="4"/>
        <v>#DIV/0!</v>
      </c>
      <c r="J29" s="1"/>
      <c r="K29" s="13" t="e">
        <f t="shared" si="5"/>
        <v>#DIV/0!</v>
      </c>
      <c r="L29" s="1"/>
      <c r="M29" s="13" t="e">
        <f t="shared" si="6"/>
        <v>#DIV/0!</v>
      </c>
      <c r="N29" s="3">
        <f t="shared" si="0"/>
        <v>0</v>
      </c>
    </row>
    <row r="30" spans="1:14" ht="13.5" customHeight="1" x14ac:dyDescent="0.25">
      <c r="A30" s="5"/>
      <c r="B30" s="1"/>
      <c r="C30" s="13" t="e">
        <f t="shared" si="1"/>
        <v>#DIV/0!</v>
      </c>
      <c r="D30" s="1"/>
      <c r="E30" s="13" t="e">
        <f t="shared" si="2"/>
        <v>#DIV/0!</v>
      </c>
      <c r="F30" s="1"/>
      <c r="G30" s="13" t="e">
        <f t="shared" si="3"/>
        <v>#DIV/0!</v>
      </c>
      <c r="H30" s="1"/>
      <c r="I30" s="13" t="e">
        <f t="shared" si="4"/>
        <v>#DIV/0!</v>
      </c>
      <c r="J30" s="1"/>
      <c r="K30" s="13" t="e">
        <f t="shared" si="5"/>
        <v>#DIV/0!</v>
      </c>
      <c r="L30" s="1"/>
      <c r="M30" s="13" t="e">
        <f t="shared" si="6"/>
        <v>#DIV/0!</v>
      </c>
      <c r="N30" s="3">
        <f t="shared" si="0"/>
        <v>0</v>
      </c>
    </row>
    <row r="31" spans="1:14" ht="13.5" customHeight="1" x14ac:dyDescent="0.25">
      <c r="A31" s="5"/>
      <c r="B31" s="1"/>
      <c r="C31" s="13" t="e">
        <f t="shared" si="1"/>
        <v>#DIV/0!</v>
      </c>
      <c r="D31" s="1"/>
      <c r="E31" s="13" t="e">
        <f t="shared" si="2"/>
        <v>#DIV/0!</v>
      </c>
      <c r="F31" s="1"/>
      <c r="G31" s="13" t="e">
        <f t="shared" si="3"/>
        <v>#DIV/0!</v>
      </c>
      <c r="H31" s="1"/>
      <c r="I31" s="13" t="e">
        <f t="shared" si="4"/>
        <v>#DIV/0!</v>
      </c>
      <c r="J31" s="1"/>
      <c r="K31" s="13" t="e">
        <f t="shared" si="5"/>
        <v>#DIV/0!</v>
      </c>
      <c r="L31" s="1"/>
      <c r="M31" s="13" t="e">
        <f t="shared" si="6"/>
        <v>#DIV/0!</v>
      </c>
      <c r="N31" s="3">
        <f t="shared" si="0"/>
        <v>0</v>
      </c>
    </row>
    <row r="32" spans="1:14" ht="13.5" customHeight="1" x14ac:dyDescent="0.25">
      <c r="A32" s="5"/>
      <c r="B32" s="1"/>
      <c r="C32" s="13" t="e">
        <f t="shared" si="1"/>
        <v>#DIV/0!</v>
      </c>
      <c r="D32" s="1"/>
      <c r="E32" s="13" t="e">
        <f t="shared" si="2"/>
        <v>#DIV/0!</v>
      </c>
      <c r="F32" s="1"/>
      <c r="G32" s="13" t="e">
        <f t="shared" si="3"/>
        <v>#DIV/0!</v>
      </c>
      <c r="H32" s="1"/>
      <c r="I32" s="13" t="e">
        <f t="shared" si="4"/>
        <v>#DIV/0!</v>
      </c>
      <c r="J32" s="1"/>
      <c r="K32" s="13" t="e">
        <f t="shared" si="5"/>
        <v>#DIV/0!</v>
      </c>
      <c r="L32" s="1"/>
      <c r="M32" s="13" t="e">
        <f t="shared" si="6"/>
        <v>#DIV/0!</v>
      </c>
      <c r="N32" s="3">
        <f t="shared" si="0"/>
        <v>0</v>
      </c>
    </row>
    <row r="33" spans="1:14" ht="13.5" customHeight="1" x14ac:dyDescent="0.25">
      <c r="A33" s="5"/>
      <c r="B33" s="1"/>
      <c r="C33" s="13" t="e">
        <f t="shared" si="1"/>
        <v>#DIV/0!</v>
      </c>
      <c r="D33" s="1"/>
      <c r="E33" s="13" t="e">
        <f t="shared" si="2"/>
        <v>#DIV/0!</v>
      </c>
      <c r="F33" s="1"/>
      <c r="G33" s="13" t="e">
        <f t="shared" si="3"/>
        <v>#DIV/0!</v>
      </c>
      <c r="H33" s="1"/>
      <c r="I33" s="13" t="e">
        <f t="shared" si="4"/>
        <v>#DIV/0!</v>
      </c>
      <c r="J33" s="1"/>
      <c r="K33" s="13" t="e">
        <f t="shared" si="5"/>
        <v>#DIV/0!</v>
      </c>
      <c r="L33" s="1"/>
      <c r="M33" s="13" t="e">
        <f t="shared" si="6"/>
        <v>#DIV/0!</v>
      </c>
      <c r="N33" s="3">
        <f t="shared" si="0"/>
        <v>0</v>
      </c>
    </row>
    <row r="34" spans="1:14" ht="13.5" customHeight="1" x14ac:dyDescent="0.25">
      <c r="A34" s="5"/>
      <c r="B34" s="1"/>
      <c r="C34" s="13" t="e">
        <f t="shared" si="1"/>
        <v>#DIV/0!</v>
      </c>
      <c r="D34" s="1"/>
      <c r="E34" s="13" t="e">
        <f t="shared" si="2"/>
        <v>#DIV/0!</v>
      </c>
      <c r="F34" s="1"/>
      <c r="G34" s="13" t="e">
        <f t="shared" si="3"/>
        <v>#DIV/0!</v>
      </c>
      <c r="H34" s="1"/>
      <c r="I34" s="13" t="e">
        <f t="shared" si="4"/>
        <v>#DIV/0!</v>
      </c>
      <c r="J34" s="1"/>
      <c r="K34" s="13" t="e">
        <f t="shared" si="5"/>
        <v>#DIV/0!</v>
      </c>
      <c r="L34" s="1"/>
      <c r="M34" s="13" t="e">
        <f t="shared" si="6"/>
        <v>#DIV/0!</v>
      </c>
      <c r="N34" s="3">
        <f t="shared" si="0"/>
        <v>0</v>
      </c>
    </row>
    <row r="35" spans="1:14" ht="13.5" customHeight="1" x14ac:dyDescent="0.25">
      <c r="A35" s="5"/>
      <c r="B35" s="1"/>
      <c r="C35" s="13" t="e">
        <f t="shared" si="1"/>
        <v>#DIV/0!</v>
      </c>
      <c r="D35" s="1"/>
      <c r="E35" s="13" t="e">
        <f t="shared" si="2"/>
        <v>#DIV/0!</v>
      </c>
      <c r="F35" s="1"/>
      <c r="G35" s="13" t="e">
        <f t="shared" si="3"/>
        <v>#DIV/0!</v>
      </c>
      <c r="H35" s="1"/>
      <c r="I35" s="13" t="e">
        <f t="shared" si="4"/>
        <v>#DIV/0!</v>
      </c>
      <c r="J35" s="1"/>
      <c r="K35" s="13" t="e">
        <f t="shared" si="5"/>
        <v>#DIV/0!</v>
      </c>
      <c r="L35" s="1"/>
      <c r="M35" s="13" t="e">
        <f t="shared" si="6"/>
        <v>#DIV/0!</v>
      </c>
      <c r="N35" s="3">
        <f t="shared" si="0"/>
        <v>0</v>
      </c>
    </row>
    <row r="36" spans="1:14" ht="13.5" customHeight="1" x14ac:dyDescent="0.25">
      <c r="A36" s="5"/>
      <c r="B36" s="1"/>
      <c r="C36" s="13" t="e">
        <f t="shared" si="1"/>
        <v>#DIV/0!</v>
      </c>
      <c r="D36" s="1"/>
      <c r="E36" s="13" t="e">
        <f t="shared" si="2"/>
        <v>#DIV/0!</v>
      </c>
      <c r="F36" s="1"/>
      <c r="G36" s="13" t="e">
        <f t="shared" si="3"/>
        <v>#DIV/0!</v>
      </c>
      <c r="H36" s="1"/>
      <c r="I36" s="13" t="e">
        <f t="shared" si="4"/>
        <v>#DIV/0!</v>
      </c>
      <c r="J36" s="1"/>
      <c r="K36" s="13" t="e">
        <f t="shared" si="5"/>
        <v>#DIV/0!</v>
      </c>
      <c r="L36" s="1"/>
      <c r="M36" s="13" t="e">
        <f t="shared" si="6"/>
        <v>#DIV/0!</v>
      </c>
      <c r="N36" s="3">
        <f t="shared" si="0"/>
        <v>0</v>
      </c>
    </row>
    <row r="37" spans="1:14" ht="13.5" customHeight="1" x14ac:dyDescent="0.25">
      <c r="A37" s="5"/>
      <c r="B37" s="1"/>
      <c r="C37" s="13" t="e">
        <f t="shared" si="1"/>
        <v>#DIV/0!</v>
      </c>
      <c r="D37" s="1"/>
      <c r="E37" s="13" t="e">
        <f t="shared" si="2"/>
        <v>#DIV/0!</v>
      </c>
      <c r="F37" s="1"/>
      <c r="G37" s="13" t="e">
        <f t="shared" si="3"/>
        <v>#DIV/0!</v>
      </c>
      <c r="H37" s="1"/>
      <c r="I37" s="13" t="e">
        <f t="shared" si="4"/>
        <v>#DIV/0!</v>
      </c>
      <c r="J37" s="1"/>
      <c r="K37" s="13" t="e">
        <f t="shared" si="5"/>
        <v>#DIV/0!</v>
      </c>
      <c r="L37" s="1"/>
      <c r="M37" s="13" t="e">
        <f t="shared" si="6"/>
        <v>#DIV/0!</v>
      </c>
      <c r="N37" s="3">
        <f t="shared" si="0"/>
        <v>0</v>
      </c>
    </row>
    <row r="38" spans="1:14" ht="13.5" customHeight="1" x14ac:dyDescent="0.25">
      <c r="A38" s="5"/>
      <c r="B38" s="1"/>
      <c r="C38" s="13" t="e">
        <f t="shared" si="1"/>
        <v>#DIV/0!</v>
      </c>
      <c r="D38" s="1"/>
      <c r="E38" s="13" t="e">
        <f t="shared" si="2"/>
        <v>#DIV/0!</v>
      </c>
      <c r="F38" s="1"/>
      <c r="G38" s="13" t="e">
        <f t="shared" si="3"/>
        <v>#DIV/0!</v>
      </c>
      <c r="H38" s="1"/>
      <c r="I38" s="13" t="e">
        <f t="shared" si="4"/>
        <v>#DIV/0!</v>
      </c>
      <c r="J38" s="1"/>
      <c r="K38" s="13" t="e">
        <f t="shared" si="5"/>
        <v>#DIV/0!</v>
      </c>
      <c r="L38" s="1"/>
      <c r="M38" s="13" t="e">
        <f t="shared" si="6"/>
        <v>#DIV/0!</v>
      </c>
      <c r="N38" s="3">
        <f t="shared" si="0"/>
        <v>0</v>
      </c>
    </row>
    <row r="39" spans="1:14" ht="13.5" customHeight="1" x14ac:dyDescent="0.25">
      <c r="A39" s="5"/>
      <c r="B39" s="1"/>
      <c r="C39" s="13" t="e">
        <f t="shared" si="1"/>
        <v>#DIV/0!</v>
      </c>
      <c r="D39" s="1"/>
      <c r="E39" s="13" t="e">
        <f t="shared" si="2"/>
        <v>#DIV/0!</v>
      </c>
      <c r="F39" s="1"/>
      <c r="G39" s="13" t="e">
        <f t="shared" si="3"/>
        <v>#DIV/0!</v>
      </c>
      <c r="H39" s="1"/>
      <c r="I39" s="13" t="e">
        <f t="shared" si="4"/>
        <v>#DIV/0!</v>
      </c>
      <c r="J39" s="1"/>
      <c r="K39" s="13" t="e">
        <f t="shared" si="5"/>
        <v>#DIV/0!</v>
      </c>
      <c r="L39" s="1"/>
      <c r="M39" s="13" t="e">
        <f t="shared" si="6"/>
        <v>#DIV/0!</v>
      </c>
      <c r="N39" s="3">
        <f t="shared" si="0"/>
        <v>0</v>
      </c>
    </row>
    <row r="40" spans="1:14" ht="13.5" customHeight="1" x14ac:dyDescent="0.25">
      <c r="A40" s="5"/>
      <c r="B40" s="1"/>
      <c r="C40" s="13" t="e">
        <f t="shared" si="1"/>
        <v>#DIV/0!</v>
      </c>
      <c r="D40" s="1"/>
      <c r="E40" s="13" t="e">
        <f t="shared" si="2"/>
        <v>#DIV/0!</v>
      </c>
      <c r="F40" s="1"/>
      <c r="G40" s="13" t="e">
        <f t="shared" si="3"/>
        <v>#DIV/0!</v>
      </c>
      <c r="H40" s="1"/>
      <c r="I40" s="13" t="e">
        <f t="shared" si="4"/>
        <v>#DIV/0!</v>
      </c>
      <c r="J40" s="1"/>
      <c r="K40" s="13" t="e">
        <f t="shared" si="5"/>
        <v>#DIV/0!</v>
      </c>
      <c r="L40" s="1"/>
      <c r="M40" s="13" t="e">
        <f t="shared" si="6"/>
        <v>#DIV/0!</v>
      </c>
      <c r="N40" s="3">
        <f t="shared" si="0"/>
        <v>0</v>
      </c>
    </row>
    <row r="41" spans="1:14" ht="13.5" customHeight="1" x14ac:dyDescent="0.25">
      <c r="A41" s="5"/>
      <c r="B41" s="1"/>
      <c r="C41" s="13" t="e">
        <f t="shared" si="1"/>
        <v>#DIV/0!</v>
      </c>
      <c r="D41" s="1"/>
      <c r="E41" s="13" t="e">
        <f t="shared" si="2"/>
        <v>#DIV/0!</v>
      </c>
      <c r="F41" s="1"/>
      <c r="G41" s="13" t="e">
        <f t="shared" si="3"/>
        <v>#DIV/0!</v>
      </c>
      <c r="H41" s="1"/>
      <c r="I41" s="13" t="e">
        <f t="shared" si="4"/>
        <v>#DIV/0!</v>
      </c>
      <c r="J41" s="1"/>
      <c r="K41" s="13" t="e">
        <f t="shared" si="5"/>
        <v>#DIV/0!</v>
      </c>
      <c r="L41" s="1"/>
      <c r="M41" s="13" t="e">
        <f t="shared" si="6"/>
        <v>#DIV/0!</v>
      </c>
      <c r="N41" s="3">
        <f t="shared" si="0"/>
        <v>0</v>
      </c>
    </row>
    <row r="42" spans="1:14" ht="13.5" customHeight="1" x14ac:dyDescent="0.25">
      <c r="A42" s="5"/>
      <c r="B42" s="1"/>
      <c r="C42" s="13" t="e">
        <f t="shared" si="1"/>
        <v>#DIV/0!</v>
      </c>
      <c r="D42" s="1"/>
      <c r="E42" s="13" t="e">
        <f t="shared" si="2"/>
        <v>#DIV/0!</v>
      </c>
      <c r="F42" s="1"/>
      <c r="G42" s="13" t="e">
        <f t="shared" si="3"/>
        <v>#DIV/0!</v>
      </c>
      <c r="H42" s="1"/>
      <c r="I42" s="13" t="e">
        <f t="shared" si="4"/>
        <v>#DIV/0!</v>
      </c>
      <c r="J42" s="1"/>
      <c r="K42" s="13" t="e">
        <f t="shared" si="5"/>
        <v>#DIV/0!</v>
      </c>
      <c r="L42" s="1"/>
      <c r="M42" s="13" t="e">
        <f t="shared" si="6"/>
        <v>#DIV/0!</v>
      </c>
      <c r="N42" s="3">
        <f t="shared" si="0"/>
        <v>0</v>
      </c>
    </row>
    <row r="43" spans="1:14" ht="13.5" customHeight="1" x14ac:dyDescent="0.25">
      <c r="A43" s="5"/>
      <c r="B43" s="1"/>
      <c r="C43" s="13" t="e">
        <f t="shared" si="1"/>
        <v>#DIV/0!</v>
      </c>
      <c r="D43" s="1"/>
      <c r="E43" s="13" t="e">
        <f t="shared" si="2"/>
        <v>#DIV/0!</v>
      </c>
      <c r="F43" s="1"/>
      <c r="G43" s="13" t="e">
        <f t="shared" si="3"/>
        <v>#DIV/0!</v>
      </c>
      <c r="H43" s="1"/>
      <c r="I43" s="13" t="e">
        <f t="shared" si="4"/>
        <v>#DIV/0!</v>
      </c>
      <c r="J43" s="1"/>
      <c r="K43" s="13" t="e">
        <f t="shared" si="5"/>
        <v>#DIV/0!</v>
      </c>
      <c r="L43" s="1"/>
      <c r="M43" s="13" t="e">
        <f t="shared" si="6"/>
        <v>#DIV/0!</v>
      </c>
      <c r="N43" s="3">
        <f t="shared" si="0"/>
        <v>0</v>
      </c>
    </row>
    <row r="44" spans="1:14" ht="13.5" customHeight="1" x14ac:dyDescent="0.25">
      <c r="A44" s="5"/>
      <c r="B44" s="1"/>
      <c r="C44" s="13" t="e">
        <f t="shared" si="1"/>
        <v>#DIV/0!</v>
      </c>
      <c r="D44" s="1"/>
      <c r="E44" s="13" t="e">
        <f t="shared" si="2"/>
        <v>#DIV/0!</v>
      </c>
      <c r="F44" s="1"/>
      <c r="G44" s="13" t="e">
        <f t="shared" si="3"/>
        <v>#DIV/0!</v>
      </c>
      <c r="H44" s="1"/>
      <c r="I44" s="13" t="e">
        <f t="shared" si="4"/>
        <v>#DIV/0!</v>
      </c>
      <c r="J44" s="1"/>
      <c r="K44" s="13" t="e">
        <f t="shared" si="5"/>
        <v>#DIV/0!</v>
      </c>
      <c r="L44" s="1"/>
      <c r="M44" s="13" t="e">
        <f t="shared" si="6"/>
        <v>#DIV/0!</v>
      </c>
      <c r="N44" s="3">
        <f t="shared" si="0"/>
        <v>0</v>
      </c>
    </row>
    <row r="45" spans="1:14" ht="13.5" customHeight="1" x14ac:dyDescent="0.25">
      <c r="A45" s="5"/>
      <c r="B45" s="1"/>
      <c r="C45" s="13" t="e">
        <f t="shared" si="1"/>
        <v>#DIV/0!</v>
      </c>
      <c r="D45" s="1"/>
      <c r="E45" s="13" t="e">
        <f t="shared" si="2"/>
        <v>#DIV/0!</v>
      </c>
      <c r="F45" s="1"/>
      <c r="G45" s="13" t="e">
        <f t="shared" si="3"/>
        <v>#DIV/0!</v>
      </c>
      <c r="H45" s="1"/>
      <c r="I45" s="13" t="e">
        <f t="shared" si="4"/>
        <v>#DIV/0!</v>
      </c>
      <c r="J45" s="1"/>
      <c r="K45" s="13" t="e">
        <f t="shared" si="5"/>
        <v>#DIV/0!</v>
      </c>
      <c r="L45" s="1"/>
      <c r="M45" s="13" t="e">
        <f t="shared" si="6"/>
        <v>#DIV/0!</v>
      </c>
      <c r="N45" s="3">
        <f t="shared" si="0"/>
        <v>0</v>
      </c>
    </row>
    <row r="46" spans="1:14" ht="13.5" customHeight="1" x14ac:dyDescent="0.25">
      <c r="A46" s="5"/>
      <c r="B46" s="1"/>
      <c r="C46" s="13" t="e">
        <f t="shared" si="1"/>
        <v>#DIV/0!</v>
      </c>
      <c r="D46" s="1"/>
      <c r="E46" s="13" t="e">
        <f t="shared" si="2"/>
        <v>#DIV/0!</v>
      </c>
      <c r="F46" s="1"/>
      <c r="G46" s="13" t="e">
        <f t="shared" si="3"/>
        <v>#DIV/0!</v>
      </c>
      <c r="H46" s="1"/>
      <c r="I46" s="13" t="e">
        <f t="shared" si="4"/>
        <v>#DIV/0!</v>
      </c>
      <c r="J46" s="1"/>
      <c r="K46" s="13" t="e">
        <f t="shared" si="5"/>
        <v>#DIV/0!</v>
      </c>
      <c r="L46" s="1"/>
      <c r="M46" s="13" t="e">
        <f t="shared" si="6"/>
        <v>#DIV/0!</v>
      </c>
      <c r="N46" s="3">
        <f t="shared" si="0"/>
        <v>0</v>
      </c>
    </row>
    <row r="47" spans="1:14" ht="13.5" customHeight="1" x14ac:dyDescent="0.25">
      <c r="A47" s="5"/>
      <c r="B47" s="1"/>
      <c r="C47" s="13" t="e">
        <f t="shared" si="1"/>
        <v>#DIV/0!</v>
      </c>
      <c r="D47" s="1"/>
      <c r="E47" s="13" t="e">
        <f t="shared" si="2"/>
        <v>#DIV/0!</v>
      </c>
      <c r="F47" s="1"/>
      <c r="G47" s="13" t="e">
        <f t="shared" si="3"/>
        <v>#DIV/0!</v>
      </c>
      <c r="H47" s="1"/>
      <c r="I47" s="13" t="e">
        <f t="shared" si="4"/>
        <v>#DIV/0!</v>
      </c>
      <c r="J47" s="1"/>
      <c r="K47" s="13" t="e">
        <f t="shared" si="5"/>
        <v>#DIV/0!</v>
      </c>
      <c r="L47" s="1"/>
      <c r="M47" s="13" t="e">
        <f t="shared" si="6"/>
        <v>#DIV/0!</v>
      </c>
      <c r="N47" s="3">
        <f t="shared" si="0"/>
        <v>0</v>
      </c>
    </row>
    <row r="48" spans="1:14" ht="13.5" customHeight="1" x14ac:dyDescent="0.25">
      <c r="A48" s="5"/>
      <c r="B48" s="1"/>
      <c r="C48" s="13" t="e">
        <f t="shared" si="1"/>
        <v>#DIV/0!</v>
      </c>
      <c r="D48" s="1"/>
      <c r="E48" s="13" t="e">
        <f t="shared" si="2"/>
        <v>#DIV/0!</v>
      </c>
      <c r="F48" s="1"/>
      <c r="G48" s="13" t="e">
        <f t="shared" si="3"/>
        <v>#DIV/0!</v>
      </c>
      <c r="H48" s="1"/>
      <c r="I48" s="13" t="e">
        <f t="shared" si="4"/>
        <v>#DIV/0!</v>
      </c>
      <c r="J48" s="1"/>
      <c r="K48" s="13" t="e">
        <f t="shared" si="5"/>
        <v>#DIV/0!</v>
      </c>
      <c r="L48" s="1"/>
      <c r="M48" s="13" t="e">
        <f t="shared" si="6"/>
        <v>#DIV/0!</v>
      </c>
      <c r="N48" s="3">
        <f t="shared" si="0"/>
        <v>0</v>
      </c>
    </row>
    <row r="49" spans="1:14" ht="13.5" customHeight="1" x14ac:dyDescent="0.25">
      <c r="A49" s="5"/>
      <c r="B49" s="1"/>
      <c r="C49" s="13" t="e">
        <f t="shared" si="1"/>
        <v>#DIV/0!</v>
      </c>
      <c r="D49" s="1"/>
      <c r="E49" s="13" t="e">
        <f t="shared" si="2"/>
        <v>#DIV/0!</v>
      </c>
      <c r="F49" s="1"/>
      <c r="G49" s="13" t="e">
        <f t="shared" si="3"/>
        <v>#DIV/0!</v>
      </c>
      <c r="H49" s="1"/>
      <c r="I49" s="13" t="e">
        <f t="shared" si="4"/>
        <v>#DIV/0!</v>
      </c>
      <c r="J49" s="1"/>
      <c r="K49" s="13" t="e">
        <f t="shared" si="5"/>
        <v>#DIV/0!</v>
      </c>
      <c r="L49" s="1"/>
      <c r="M49" s="13" t="e">
        <f t="shared" si="6"/>
        <v>#DIV/0!</v>
      </c>
      <c r="N49" s="3">
        <f t="shared" si="0"/>
        <v>0</v>
      </c>
    </row>
    <row r="50" spans="1:14" x14ac:dyDescent="0.25">
      <c r="A50" s="5"/>
      <c r="B50" s="1"/>
      <c r="C50" s="13" t="e">
        <f t="shared" si="1"/>
        <v>#DIV/0!</v>
      </c>
      <c r="D50" s="1"/>
      <c r="E50" s="13" t="e">
        <f t="shared" si="2"/>
        <v>#DIV/0!</v>
      </c>
      <c r="F50" s="1"/>
      <c r="G50" s="13" t="e">
        <f t="shared" si="3"/>
        <v>#DIV/0!</v>
      </c>
      <c r="H50" s="1"/>
      <c r="I50" s="13" t="e">
        <f t="shared" si="4"/>
        <v>#DIV/0!</v>
      </c>
      <c r="J50" s="1"/>
      <c r="K50" s="13" t="e">
        <f t="shared" si="5"/>
        <v>#DIV/0!</v>
      </c>
      <c r="L50" s="1"/>
      <c r="M50" s="13" t="e">
        <f t="shared" si="6"/>
        <v>#DIV/0!</v>
      </c>
      <c r="N50" s="3">
        <f t="shared" si="0"/>
        <v>0</v>
      </c>
    </row>
    <row r="51" spans="1:14" x14ac:dyDescent="0.25">
      <c r="A51" s="5"/>
      <c r="B51" s="1"/>
      <c r="C51" s="13" t="e">
        <f t="shared" si="1"/>
        <v>#DIV/0!</v>
      </c>
      <c r="D51" s="1"/>
      <c r="E51" s="13" t="e">
        <f t="shared" si="2"/>
        <v>#DIV/0!</v>
      </c>
      <c r="F51" s="1"/>
      <c r="G51" s="13" t="e">
        <f t="shared" si="3"/>
        <v>#DIV/0!</v>
      </c>
      <c r="H51" s="1"/>
      <c r="I51" s="13" t="e">
        <f t="shared" si="4"/>
        <v>#DIV/0!</v>
      </c>
      <c r="J51" s="1"/>
      <c r="K51" s="13" t="e">
        <f t="shared" si="5"/>
        <v>#DIV/0!</v>
      </c>
      <c r="L51" s="1"/>
      <c r="M51" s="13" t="e">
        <f t="shared" si="6"/>
        <v>#DIV/0!</v>
      </c>
      <c r="N51" s="3">
        <f t="shared" si="0"/>
        <v>0</v>
      </c>
    </row>
    <row r="52" spans="1:14" x14ac:dyDescent="0.25">
      <c r="A52" s="5"/>
      <c r="B52" s="1"/>
      <c r="C52" s="13" t="e">
        <f t="shared" si="1"/>
        <v>#DIV/0!</v>
      </c>
      <c r="D52" s="1"/>
      <c r="E52" s="13" t="e">
        <f t="shared" si="2"/>
        <v>#DIV/0!</v>
      </c>
      <c r="F52" s="1"/>
      <c r="G52" s="13" t="e">
        <f t="shared" si="3"/>
        <v>#DIV/0!</v>
      </c>
      <c r="H52" s="1"/>
      <c r="I52" s="13" t="e">
        <f t="shared" si="4"/>
        <v>#DIV/0!</v>
      </c>
      <c r="J52" s="1"/>
      <c r="K52" s="13" t="e">
        <f t="shared" si="5"/>
        <v>#DIV/0!</v>
      </c>
      <c r="L52" s="1"/>
      <c r="M52" s="13" t="e">
        <f t="shared" si="6"/>
        <v>#DIV/0!</v>
      </c>
      <c r="N52" s="3">
        <f t="shared" si="0"/>
        <v>0</v>
      </c>
    </row>
    <row r="53" spans="1:14" ht="58.5" customHeight="1" x14ac:dyDescent="0.25">
      <c r="A53" s="5"/>
      <c r="B53" s="1"/>
      <c r="C53" s="13" t="e">
        <f t="shared" si="1"/>
        <v>#DIV/0!</v>
      </c>
      <c r="D53" s="1"/>
      <c r="E53" s="13" t="e">
        <f t="shared" si="2"/>
        <v>#DIV/0!</v>
      </c>
      <c r="F53" s="1"/>
      <c r="G53" s="13" t="e">
        <f t="shared" si="3"/>
        <v>#DIV/0!</v>
      </c>
      <c r="H53" s="1"/>
      <c r="I53" s="13" t="e">
        <f t="shared" si="4"/>
        <v>#DIV/0!</v>
      </c>
      <c r="J53" s="1"/>
      <c r="K53" s="13" t="e">
        <f t="shared" si="5"/>
        <v>#DIV/0!</v>
      </c>
      <c r="L53" s="1"/>
      <c r="M53" s="13" t="e">
        <f t="shared" si="6"/>
        <v>#DIV/0!</v>
      </c>
      <c r="N53" s="3">
        <f t="shared" si="0"/>
        <v>0</v>
      </c>
    </row>
    <row r="54" spans="1:14" ht="15.75" thickBot="1" x14ac:dyDescent="0.3">
      <c r="A54" s="7"/>
      <c r="B54" s="8"/>
      <c r="C54" s="14" t="e">
        <f t="shared" si="1"/>
        <v>#DIV/0!</v>
      </c>
      <c r="D54" s="8"/>
      <c r="E54" s="14" t="e">
        <f t="shared" si="2"/>
        <v>#DIV/0!</v>
      </c>
      <c r="F54" s="8"/>
      <c r="G54" s="14" t="e">
        <f t="shared" si="3"/>
        <v>#DIV/0!</v>
      </c>
      <c r="H54" s="8"/>
      <c r="I54" s="14" t="e">
        <f t="shared" si="4"/>
        <v>#DIV/0!</v>
      </c>
      <c r="J54" s="8"/>
      <c r="K54" s="14" t="e">
        <f t="shared" si="5"/>
        <v>#DIV/0!</v>
      </c>
      <c r="L54" s="8"/>
      <c r="M54" s="14" t="e">
        <f t="shared" si="6"/>
        <v>#DIV/0!</v>
      </c>
      <c r="N54" s="6">
        <f t="shared" si="0"/>
        <v>0</v>
      </c>
    </row>
    <row r="55" spans="1:14" ht="16.5" thickTop="1" thickBot="1" x14ac:dyDescent="0.3">
      <c r="A55" s="2" t="s">
        <v>41</v>
      </c>
      <c r="B55" s="2">
        <f>SUM(B6:B54)</f>
        <v>0</v>
      </c>
      <c r="C55" s="15" t="e">
        <f t="shared" si="1"/>
        <v>#DIV/0!</v>
      </c>
      <c r="D55" s="2">
        <f>SUM(D6:D54)</f>
        <v>0</v>
      </c>
      <c r="E55" s="15" t="e">
        <f t="shared" si="2"/>
        <v>#DIV/0!</v>
      </c>
      <c r="F55" s="2">
        <f>SUM(F6:F54)</f>
        <v>0</v>
      </c>
      <c r="G55" s="15" t="e">
        <f t="shared" si="3"/>
        <v>#DIV/0!</v>
      </c>
      <c r="H55" s="2">
        <f>SUM(H6:H54)</f>
        <v>0</v>
      </c>
      <c r="I55" s="15" t="e">
        <f t="shared" si="4"/>
        <v>#DIV/0!</v>
      </c>
      <c r="J55" s="2">
        <f>SUM(J6:J54)</f>
        <v>0</v>
      </c>
      <c r="K55" s="15" t="e">
        <f t="shared" si="5"/>
        <v>#DIV/0!</v>
      </c>
      <c r="L55" s="2">
        <f>SUM(L6:L54)</f>
        <v>0</v>
      </c>
      <c r="M55" s="15" t="e">
        <f t="shared" si="6"/>
        <v>#DIV/0!</v>
      </c>
      <c r="N55" s="4">
        <f>SUM(N6:N54)</f>
        <v>0</v>
      </c>
    </row>
    <row r="56" spans="1:14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25">
      <c r="A57" s="43" t="s">
        <v>57</v>
      </c>
      <c r="B57" s="35" t="s">
        <v>52</v>
      </c>
      <c r="C57" s="36"/>
      <c r="D57" s="35" t="s">
        <v>53</v>
      </c>
      <c r="E57" s="36"/>
      <c r="F57" s="35" t="s">
        <v>54</v>
      </c>
      <c r="G57" s="36"/>
      <c r="H57" s="35" t="s">
        <v>55</v>
      </c>
      <c r="I57" s="36"/>
      <c r="J57" s="35" t="s">
        <v>45</v>
      </c>
      <c r="K57" s="36"/>
      <c r="L57" s="35" t="s">
        <v>46</v>
      </c>
      <c r="M57" s="36"/>
      <c r="N57" s="39" t="s">
        <v>0</v>
      </c>
    </row>
    <row r="58" spans="1:14" x14ac:dyDescent="0.25">
      <c r="A58" s="44"/>
      <c r="B58" s="37"/>
      <c r="C58" s="38"/>
      <c r="D58" s="37"/>
      <c r="E58" s="38"/>
      <c r="F58" s="37"/>
      <c r="G58" s="38"/>
      <c r="H58" s="37"/>
      <c r="I58" s="38"/>
      <c r="J58" s="37"/>
      <c r="K58" s="38"/>
      <c r="L58" s="37"/>
      <c r="M58" s="38"/>
      <c r="N58" s="40"/>
    </row>
    <row r="59" spans="1:14" x14ac:dyDescent="0.25">
      <c r="A59" s="5" t="s">
        <v>62</v>
      </c>
      <c r="B59" s="1">
        <v>71</v>
      </c>
      <c r="C59" s="13">
        <f t="shared" ref="C59:C67" si="7">B59/N59</f>
        <v>0.15673289183222958</v>
      </c>
      <c r="D59" s="1">
        <v>275</v>
      </c>
      <c r="E59" s="13">
        <f t="shared" ref="E59:E67" si="8">D59/N59</f>
        <v>0.60706401766004414</v>
      </c>
      <c r="F59" s="1">
        <v>99</v>
      </c>
      <c r="G59" s="13">
        <f t="shared" ref="G59:G67" si="9">F59/N59</f>
        <v>0.2185430463576159</v>
      </c>
      <c r="H59" s="1">
        <v>7</v>
      </c>
      <c r="I59" s="13">
        <f t="shared" ref="I59:I67" si="10">H59/N59</f>
        <v>1.5452538631346579E-2</v>
      </c>
      <c r="J59" s="1">
        <v>0</v>
      </c>
      <c r="K59" s="13">
        <f t="shared" ref="K59:K67" si="11">J59/N59</f>
        <v>0</v>
      </c>
      <c r="L59" s="1">
        <v>1</v>
      </c>
      <c r="M59" s="13">
        <f t="shared" ref="M59:M67" si="12">L59/N59</f>
        <v>2.2075055187637969E-3</v>
      </c>
      <c r="N59" s="3">
        <f t="shared" ref="N59:N66" si="13">B59+D59+F59+H59+J59+L59</f>
        <v>453</v>
      </c>
    </row>
    <row r="60" spans="1:14" x14ac:dyDescent="0.25">
      <c r="A60" s="5" t="s">
        <v>63</v>
      </c>
      <c r="B60" s="1">
        <v>11</v>
      </c>
      <c r="C60" s="13">
        <f t="shared" si="7"/>
        <v>0.14102564102564102</v>
      </c>
      <c r="D60" s="1">
        <v>33</v>
      </c>
      <c r="E60" s="13">
        <f t="shared" si="8"/>
        <v>0.42307692307692307</v>
      </c>
      <c r="F60" s="1">
        <v>27</v>
      </c>
      <c r="G60" s="13">
        <f t="shared" si="9"/>
        <v>0.34615384615384615</v>
      </c>
      <c r="H60" s="1">
        <v>6</v>
      </c>
      <c r="I60" s="13">
        <f t="shared" si="10"/>
        <v>7.6923076923076927E-2</v>
      </c>
      <c r="J60" s="1">
        <v>1</v>
      </c>
      <c r="K60" s="13">
        <f t="shared" si="11"/>
        <v>1.282051282051282E-2</v>
      </c>
      <c r="L60" s="1">
        <v>0</v>
      </c>
      <c r="M60" s="13">
        <f t="shared" si="12"/>
        <v>0</v>
      </c>
      <c r="N60" s="3">
        <f t="shared" si="13"/>
        <v>78</v>
      </c>
    </row>
    <row r="61" spans="1:14" x14ac:dyDescent="0.25">
      <c r="A61" s="5" t="s">
        <v>64</v>
      </c>
      <c r="B61" s="1">
        <v>9</v>
      </c>
      <c r="C61" s="13">
        <f t="shared" si="7"/>
        <v>0.20930232558139536</v>
      </c>
      <c r="D61" s="1">
        <v>25</v>
      </c>
      <c r="E61" s="13">
        <f t="shared" si="8"/>
        <v>0.58139534883720934</v>
      </c>
      <c r="F61" s="1">
        <v>9</v>
      </c>
      <c r="G61" s="13">
        <f t="shared" si="9"/>
        <v>0.20930232558139536</v>
      </c>
      <c r="H61" s="1">
        <v>0</v>
      </c>
      <c r="I61" s="13">
        <f t="shared" si="10"/>
        <v>0</v>
      </c>
      <c r="J61" s="1">
        <v>0</v>
      </c>
      <c r="K61" s="13">
        <f t="shared" si="11"/>
        <v>0</v>
      </c>
      <c r="L61" s="1">
        <v>0</v>
      </c>
      <c r="M61" s="13">
        <f t="shared" si="12"/>
        <v>0</v>
      </c>
      <c r="N61" s="3">
        <f t="shared" si="13"/>
        <v>43</v>
      </c>
    </row>
    <row r="62" spans="1:14" x14ac:dyDescent="0.25">
      <c r="A62" s="5" t="s">
        <v>65</v>
      </c>
      <c r="B62" s="1">
        <v>26</v>
      </c>
      <c r="C62" s="13">
        <f t="shared" si="7"/>
        <v>0.13333333333333333</v>
      </c>
      <c r="D62" s="1">
        <v>69</v>
      </c>
      <c r="E62" s="13">
        <f t="shared" si="8"/>
        <v>0.35384615384615387</v>
      </c>
      <c r="F62" s="1">
        <v>73</v>
      </c>
      <c r="G62" s="13">
        <f t="shared" si="9"/>
        <v>0.37435897435897436</v>
      </c>
      <c r="H62" s="1">
        <v>26</v>
      </c>
      <c r="I62" s="13">
        <f t="shared" si="10"/>
        <v>0.13333333333333333</v>
      </c>
      <c r="J62" s="1">
        <v>1</v>
      </c>
      <c r="K62" s="13">
        <f t="shared" si="11"/>
        <v>5.1282051282051282E-3</v>
      </c>
      <c r="L62" s="1">
        <v>0</v>
      </c>
      <c r="M62" s="13">
        <f t="shared" si="12"/>
        <v>0</v>
      </c>
      <c r="N62" s="3">
        <f t="shared" si="13"/>
        <v>195</v>
      </c>
    </row>
    <row r="63" spans="1:14" x14ac:dyDescent="0.25">
      <c r="A63" s="5" t="s">
        <v>1</v>
      </c>
      <c r="B63" s="1">
        <v>8</v>
      </c>
      <c r="C63" s="13">
        <f t="shared" si="7"/>
        <v>4.6783625730994149E-2</v>
      </c>
      <c r="D63" s="1">
        <v>101</v>
      </c>
      <c r="E63" s="13">
        <f t="shared" si="8"/>
        <v>0.59064327485380119</v>
      </c>
      <c r="F63" s="1">
        <v>60</v>
      </c>
      <c r="G63" s="13">
        <f t="shared" si="9"/>
        <v>0.35087719298245612</v>
      </c>
      <c r="H63" s="1">
        <v>2</v>
      </c>
      <c r="I63" s="13">
        <f t="shared" si="10"/>
        <v>1.1695906432748537E-2</v>
      </c>
      <c r="J63" s="1">
        <v>0</v>
      </c>
      <c r="K63" s="13">
        <f t="shared" si="11"/>
        <v>0</v>
      </c>
      <c r="L63" s="1">
        <v>0</v>
      </c>
      <c r="M63" s="13">
        <f t="shared" si="12"/>
        <v>0</v>
      </c>
      <c r="N63" s="3">
        <f t="shared" si="13"/>
        <v>171</v>
      </c>
    </row>
    <row r="64" spans="1:14" x14ac:dyDescent="0.25">
      <c r="A64" s="5" t="s">
        <v>66</v>
      </c>
      <c r="B64" s="1">
        <v>122</v>
      </c>
      <c r="C64" s="13">
        <f t="shared" si="7"/>
        <v>0.19805194805194806</v>
      </c>
      <c r="D64" s="1">
        <v>392</v>
      </c>
      <c r="E64" s="13">
        <f t="shared" si="8"/>
        <v>0.63636363636363635</v>
      </c>
      <c r="F64" s="1">
        <v>91</v>
      </c>
      <c r="G64" s="13">
        <f t="shared" si="9"/>
        <v>0.14772727272727273</v>
      </c>
      <c r="H64" s="1">
        <v>10</v>
      </c>
      <c r="I64" s="13">
        <f t="shared" si="10"/>
        <v>1.6233766233766232E-2</v>
      </c>
      <c r="J64" s="1">
        <v>1</v>
      </c>
      <c r="K64" s="13">
        <f t="shared" si="11"/>
        <v>1.6233766233766235E-3</v>
      </c>
      <c r="L64" s="1">
        <v>0</v>
      </c>
      <c r="M64" s="13">
        <f t="shared" si="12"/>
        <v>0</v>
      </c>
      <c r="N64" s="3">
        <f t="shared" si="13"/>
        <v>616</v>
      </c>
    </row>
    <row r="65" spans="1:14" x14ac:dyDescent="0.25">
      <c r="A65" s="5" t="s">
        <v>67</v>
      </c>
      <c r="B65" s="1">
        <v>103</v>
      </c>
      <c r="C65" s="13">
        <f t="shared" si="7"/>
        <v>0.25432098765432098</v>
      </c>
      <c r="D65" s="1">
        <v>128</v>
      </c>
      <c r="E65" s="13">
        <f t="shared" si="8"/>
        <v>0.31604938271604938</v>
      </c>
      <c r="F65" s="1">
        <v>110</v>
      </c>
      <c r="G65" s="13">
        <f t="shared" si="9"/>
        <v>0.27160493827160492</v>
      </c>
      <c r="H65" s="1">
        <v>58</v>
      </c>
      <c r="I65" s="13">
        <f t="shared" si="10"/>
        <v>0.14320987654320988</v>
      </c>
      <c r="J65" s="1">
        <v>5</v>
      </c>
      <c r="K65" s="13">
        <f t="shared" si="11"/>
        <v>1.2345679012345678E-2</v>
      </c>
      <c r="L65" s="1">
        <v>1</v>
      </c>
      <c r="M65" s="13">
        <f t="shared" si="12"/>
        <v>2.4691358024691358E-3</v>
      </c>
      <c r="N65" s="3">
        <f t="shared" si="13"/>
        <v>405</v>
      </c>
    </row>
    <row r="66" spans="1:14" ht="15.75" thickBot="1" x14ac:dyDescent="0.3">
      <c r="A66" s="7" t="s">
        <v>68</v>
      </c>
      <c r="B66" s="8">
        <v>58</v>
      </c>
      <c r="C66" s="14">
        <f t="shared" si="7"/>
        <v>0.11462450592885376</v>
      </c>
      <c r="D66" s="8">
        <v>320</v>
      </c>
      <c r="E66" s="14">
        <f t="shared" si="8"/>
        <v>0.6324110671936759</v>
      </c>
      <c r="F66" s="8">
        <v>108</v>
      </c>
      <c r="G66" s="14">
        <f t="shared" si="9"/>
        <v>0.2134387351778656</v>
      </c>
      <c r="H66" s="8">
        <v>17</v>
      </c>
      <c r="I66" s="14">
        <f t="shared" si="10"/>
        <v>3.3596837944664032E-2</v>
      </c>
      <c r="J66" s="8">
        <v>3</v>
      </c>
      <c r="K66" s="14">
        <f t="shared" si="11"/>
        <v>5.9288537549407111E-3</v>
      </c>
      <c r="L66" s="8">
        <v>0</v>
      </c>
      <c r="M66" s="14">
        <f t="shared" si="12"/>
        <v>0</v>
      </c>
      <c r="N66" s="6">
        <f t="shared" si="13"/>
        <v>506</v>
      </c>
    </row>
    <row r="67" spans="1:14" ht="16.5" thickTop="1" thickBot="1" x14ac:dyDescent="0.3">
      <c r="A67" s="2" t="s">
        <v>41</v>
      </c>
      <c r="B67" s="2">
        <f>SUM(B59:B66)</f>
        <v>408</v>
      </c>
      <c r="C67" s="15">
        <f t="shared" si="7"/>
        <v>0.16538305634373734</v>
      </c>
      <c r="D67" s="2">
        <f>SUM(D59:D66)</f>
        <v>1343</v>
      </c>
      <c r="E67" s="15">
        <f t="shared" si="8"/>
        <v>0.5443858937981354</v>
      </c>
      <c r="F67" s="2">
        <f>SUM(F59:F66)</f>
        <v>577</v>
      </c>
      <c r="G67" s="15">
        <f t="shared" si="9"/>
        <v>0.2338873125253344</v>
      </c>
      <c r="H67" s="2">
        <f>SUM(H59:H66)</f>
        <v>126</v>
      </c>
      <c r="I67" s="15">
        <f t="shared" si="10"/>
        <v>5.1074179164977702E-2</v>
      </c>
      <c r="J67" s="2">
        <f>SUM(J59:J66)</f>
        <v>11</v>
      </c>
      <c r="K67" s="15">
        <f t="shared" si="11"/>
        <v>4.4588569112282124E-3</v>
      </c>
      <c r="L67" s="2">
        <f>SUM(L59:L66)</f>
        <v>2</v>
      </c>
      <c r="M67" s="15">
        <f t="shared" si="12"/>
        <v>8.107012565869477E-4</v>
      </c>
      <c r="N67" s="4">
        <f>SUM(N59:N66)</f>
        <v>2467</v>
      </c>
    </row>
    <row r="69" spans="1:14" ht="15.75" thickBot="1" x14ac:dyDescent="0.3"/>
    <row r="70" spans="1:14" ht="30" customHeight="1" x14ac:dyDescent="0.25">
      <c r="A70" s="26"/>
      <c r="B70" s="41" t="s">
        <v>77</v>
      </c>
      <c r="C70" s="42"/>
      <c r="F70" s="12"/>
      <c r="G70" s="12"/>
      <c r="H70" s="12"/>
      <c r="I70" s="12"/>
      <c r="J70" s="12"/>
      <c r="K70" s="12"/>
      <c r="L70" s="12"/>
      <c r="M70" s="12"/>
    </row>
    <row r="71" spans="1:14" ht="30.75" thickBot="1" x14ac:dyDescent="0.3">
      <c r="A71" s="24" t="s">
        <v>76</v>
      </c>
      <c r="B71" s="32">
        <v>308</v>
      </c>
      <c r="C71" s="33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4" ht="15.75" thickBot="1" x14ac:dyDescent="0.3">
      <c r="A72" s="12"/>
      <c r="D72" s="21"/>
      <c r="E72" s="21"/>
      <c r="F72" s="12"/>
      <c r="G72" s="12"/>
      <c r="H72" s="12"/>
      <c r="I72" s="12"/>
      <c r="J72" s="12"/>
      <c r="K72" s="12"/>
      <c r="L72" s="12"/>
      <c r="M72" s="12"/>
    </row>
    <row r="73" spans="1:14" ht="30" customHeight="1" x14ac:dyDescent="0.25">
      <c r="A73" s="26"/>
      <c r="B73" s="41" t="s">
        <v>79</v>
      </c>
      <c r="C73" s="42"/>
      <c r="D73" s="21"/>
      <c r="E73" s="21"/>
      <c r="F73" s="12"/>
      <c r="G73" s="12"/>
      <c r="H73" s="12"/>
      <c r="I73" s="12"/>
      <c r="J73" s="12"/>
      <c r="K73" s="12"/>
      <c r="L73" s="12"/>
      <c r="M73" s="12"/>
    </row>
    <row r="74" spans="1:14" x14ac:dyDescent="0.25">
      <c r="A74" s="25" t="s">
        <v>78</v>
      </c>
      <c r="B74" s="30" t="s">
        <v>89</v>
      </c>
      <c r="C74" s="31"/>
      <c r="F74" s="12"/>
      <c r="G74" s="12"/>
      <c r="H74" s="12"/>
      <c r="I74" s="12"/>
      <c r="J74" s="12"/>
      <c r="K74" s="12"/>
      <c r="L74" s="12"/>
      <c r="M74" s="12"/>
    </row>
    <row r="75" spans="1:14" ht="45.75" thickBot="1" x14ac:dyDescent="0.3">
      <c r="A75" s="24" t="s">
        <v>81</v>
      </c>
      <c r="B75" s="32">
        <v>6</v>
      </c>
      <c r="C75" s="33"/>
      <c r="F75" s="12"/>
      <c r="G75" s="12"/>
      <c r="H75" s="12"/>
      <c r="I75" s="12"/>
      <c r="J75" s="12"/>
      <c r="K75" s="12"/>
      <c r="L75" s="12"/>
      <c r="M75" s="12"/>
    </row>
    <row r="76" spans="1:14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4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4" x14ac:dyDescent="0.25">
      <c r="A78" s="34" t="s">
        <v>90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</row>
  </sheetData>
  <mergeCells count="21">
    <mergeCell ref="B75:C75"/>
    <mergeCell ref="A78:M78"/>
    <mergeCell ref="L57:M58"/>
    <mergeCell ref="N57:N58"/>
    <mergeCell ref="B70:C70"/>
    <mergeCell ref="B71:C71"/>
    <mergeCell ref="B73:C73"/>
    <mergeCell ref="B74:C74"/>
    <mergeCell ref="A57:A58"/>
    <mergeCell ref="B57:C58"/>
    <mergeCell ref="D57:E58"/>
    <mergeCell ref="F57:G58"/>
    <mergeCell ref="H57:I58"/>
    <mergeCell ref="J57:K58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N79"/>
  <sheetViews>
    <sheetView tabSelected="1" view="pageLayout" zoomScale="85" zoomScaleNormal="100" zoomScalePageLayoutView="85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">
        <v>152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 t="s">
        <v>4</v>
      </c>
      <c r="B6" s="1">
        <v>16</v>
      </c>
      <c r="C6" s="13">
        <f>B6/N6</f>
        <v>0.18604651162790697</v>
      </c>
      <c r="D6" s="1">
        <v>61</v>
      </c>
      <c r="E6" s="13">
        <f>D6/N6</f>
        <v>0.70930232558139539</v>
      </c>
      <c r="F6" s="1">
        <v>7</v>
      </c>
      <c r="G6" s="13">
        <f>F6/N6</f>
        <v>8.1395348837209308E-2</v>
      </c>
      <c r="H6" s="1">
        <v>1</v>
      </c>
      <c r="I6" s="13">
        <f>H6/N6</f>
        <v>1.1627906976744186E-2</v>
      </c>
      <c r="J6" s="1">
        <v>1</v>
      </c>
      <c r="K6" s="13">
        <f>J6/N6</f>
        <v>1.1627906976744186E-2</v>
      </c>
      <c r="L6" s="1">
        <v>0</v>
      </c>
      <c r="M6" s="13">
        <f>L6/N6</f>
        <v>0</v>
      </c>
      <c r="N6" s="3">
        <f t="shared" ref="N6:N54" si="0">B6+D6+F6+H6+J6+L6</f>
        <v>86</v>
      </c>
    </row>
    <row r="7" spans="1:14" ht="13.5" customHeight="1" x14ac:dyDescent="0.25">
      <c r="A7" s="5" t="s">
        <v>5</v>
      </c>
      <c r="B7" s="1">
        <v>8</v>
      </c>
      <c r="C7" s="13">
        <f>B7/N7</f>
        <v>0.12903225806451613</v>
      </c>
      <c r="D7" s="1">
        <v>43</v>
      </c>
      <c r="E7" s="13">
        <f>D7/N7</f>
        <v>0.69354838709677424</v>
      </c>
      <c r="F7" s="1">
        <v>10</v>
      </c>
      <c r="G7" s="13">
        <f>F7/N7</f>
        <v>0.16129032258064516</v>
      </c>
      <c r="H7" s="1">
        <v>1</v>
      </c>
      <c r="I7" s="13">
        <f>H7/N7</f>
        <v>1.6129032258064516E-2</v>
      </c>
      <c r="J7" s="1">
        <v>0</v>
      </c>
      <c r="K7" s="13">
        <f>J7/N7</f>
        <v>0</v>
      </c>
      <c r="L7" s="1">
        <v>0</v>
      </c>
      <c r="M7" s="13">
        <f>L7/N7</f>
        <v>0</v>
      </c>
      <c r="N7" s="3">
        <f>B7+D7+F7+H7+J7+L7</f>
        <v>62</v>
      </c>
    </row>
    <row r="8" spans="1:14" ht="13.5" customHeight="1" x14ac:dyDescent="0.25">
      <c r="A8" s="5" t="s">
        <v>6</v>
      </c>
      <c r="B8" s="1">
        <v>13</v>
      </c>
      <c r="C8" s="13">
        <f>B8/N8</f>
        <v>0.15662650602409639</v>
      </c>
      <c r="D8" s="1">
        <v>60</v>
      </c>
      <c r="E8" s="13">
        <f>D8/N8</f>
        <v>0.72289156626506024</v>
      </c>
      <c r="F8" s="1">
        <v>9</v>
      </c>
      <c r="G8" s="13">
        <f>F8/N8</f>
        <v>0.10843373493975904</v>
      </c>
      <c r="H8" s="1">
        <v>1</v>
      </c>
      <c r="I8" s="13">
        <f>H8/N8</f>
        <v>1.2048192771084338E-2</v>
      </c>
      <c r="J8" s="1">
        <v>0</v>
      </c>
      <c r="K8" s="13">
        <f>J8/N8</f>
        <v>0</v>
      </c>
      <c r="L8" s="1">
        <v>0</v>
      </c>
      <c r="M8" s="13">
        <f>L8/N8</f>
        <v>0</v>
      </c>
      <c r="N8" s="3">
        <f>B8+D8+F8+H8+J8+L8</f>
        <v>83</v>
      </c>
    </row>
    <row r="9" spans="1:14" ht="13.5" customHeight="1" x14ac:dyDescent="0.25">
      <c r="A9" s="5" t="s">
        <v>43</v>
      </c>
      <c r="B9" s="1">
        <v>13</v>
      </c>
      <c r="C9" s="13">
        <f t="shared" ref="C9:C55" si="1">B9/N9</f>
        <v>0.13131313131313133</v>
      </c>
      <c r="D9" s="1">
        <v>51</v>
      </c>
      <c r="E9" s="13">
        <f t="shared" ref="E9:E55" si="2">D9/N9</f>
        <v>0.51515151515151514</v>
      </c>
      <c r="F9" s="1">
        <v>30</v>
      </c>
      <c r="G9" s="13">
        <f t="shared" ref="G9:G55" si="3">F9/N9</f>
        <v>0.30303030303030304</v>
      </c>
      <c r="H9" s="1">
        <v>4</v>
      </c>
      <c r="I9" s="13">
        <f t="shared" ref="I9:I55" si="4">H9/N9</f>
        <v>4.0404040404040407E-2</v>
      </c>
      <c r="J9" s="1">
        <v>1</v>
      </c>
      <c r="K9" s="13">
        <f t="shared" ref="K9:K55" si="5">J9/N9</f>
        <v>1.0101010101010102E-2</v>
      </c>
      <c r="L9" s="1">
        <v>0</v>
      </c>
      <c r="M9" s="13">
        <f t="shared" ref="M9:M55" si="6">L9/N9</f>
        <v>0</v>
      </c>
      <c r="N9" s="3">
        <f t="shared" si="0"/>
        <v>99</v>
      </c>
    </row>
    <row r="10" spans="1:14" ht="13.5" customHeight="1" x14ac:dyDescent="0.25">
      <c r="A10" s="5" t="s">
        <v>70</v>
      </c>
      <c r="B10" s="1">
        <v>0</v>
      </c>
      <c r="C10" s="13">
        <f t="shared" si="1"/>
        <v>0</v>
      </c>
      <c r="D10" s="1">
        <v>2</v>
      </c>
      <c r="E10" s="13">
        <f t="shared" si="2"/>
        <v>0.4</v>
      </c>
      <c r="F10" s="1">
        <v>3</v>
      </c>
      <c r="G10" s="13">
        <f t="shared" si="3"/>
        <v>0.6</v>
      </c>
      <c r="H10" s="1">
        <v>0</v>
      </c>
      <c r="I10" s="13">
        <f t="shared" si="4"/>
        <v>0</v>
      </c>
      <c r="J10" s="1">
        <v>0</v>
      </c>
      <c r="K10" s="13">
        <f t="shared" si="5"/>
        <v>0</v>
      </c>
      <c r="L10" s="1">
        <v>0</v>
      </c>
      <c r="M10" s="13">
        <f t="shared" si="6"/>
        <v>0</v>
      </c>
      <c r="N10" s="3">
        <f t="shared" si="0"/>
        <v>5</v>
      </c>
    </row>
    <row r="11" spans="1:14" ht="13.5" customHeight="1" x14ac:dyDescent="0.25">
      <c r="A11" s="5" t="s">
        <v>7</v>
      </c>
      <c r="B11" s="1">
        <v>10</v>
      </c>
      <c r="C11" s="13">
        <f t="shared" si="1"/>
        <v>0.20833333333333334</v>
      </c>
      <c r="D11" s="1">
        <v>23</v>
      </c>
      <c r="E11" s="13">
        <f t="shared" si="2"/>
        <v>0.47916666666666669</v>
      </c>
      <c r="F11" s="1">
        <v>11</v>
      </c>
      <c r="G11" s="13">
        <f t="shared" si="3"/>
        <v>0.22916666666666666</v>
      </c>
      <c r="H11" s="1">
        <v>4</v>
      </c>
      <c r="I11" s="13">
        <f t="shared" si="4"/>
        <v>8.3333333333333329E-2</v>
      </c>
      <c r="J11" s="1">
        <v>0</v>
      </c>
      <c r="K11" s="13">
        <f t="shared" si="5"/>
        <v>0</v>
      </c>
      <c r="L11" s="1">
        <v>0</v>
      </c>
      <c r="M11" s="13">
        <f t="shared" si="6"/>
        <v>0</v>
      </c>
      <c r="N11" s="3">
        <f t="shared" si="0"/>
        <v>48</v>
      </c>
    </row>
    <row r="12" spans="1:14" ht="13.5" customHeight="1" x14ac:dyDescent="0.25">
      <c r="A12" s="5" t="s">
        <v>8</v>
      </c>
      <c r="B12" s="1">
        <v>10</v>
      </c>
      <c r="C12" s="13">
        <f t="shared" si="1"/>
        <v>0.12820512820512819</v>
      </c>
      <c r="D12" s="1">
        <v>47</v>
      </c>
      <c r="E12" s="13">
        <f t="shared" si="2"/>
        <v>0.60256410256410253</v>
      </c>
      <c r="F12" s="1">
        <v>20</v>
      </c>
      <c r="G12" s="13">
        <f t="shared" si="3"/>
        <v>0.25641025641025639</v>
      </c>
      <c r="H12" s="1">
        <v>0</v>
      </c>
      <c r="I12" s="13">
        <f t="shared" si="4"/>
        <v>0</v>
      </c>
      <c r="J12" s="1">
        <v>1</v>
      </c>
      <c r="K12" s="13">
        <f t="shared" si="5"/>
        <v>1.282051282051282E-2</v>
      </c>
      <c r="L12" s="1">
        <v>0</v>
      </c>
      <c r="M12" s="13">
        <f t="shared" si="6"/>
        <v>0</v>
      </c>
      <c r="N12" s="3">
        <f t="shared" si="0"/>
        <v>78</v>
      </c>
    </row>
    <row r="13" spans="1:14" ht="13.5" customHeight="1" x14ac:dyDescent="0.25">
      <c r="A13" s="5" t="s">
        <v>71</v>
      </c>
      <c r="B13" s="1">
        <v>7</v>
      </c>
      <c r="C13" s="13">
        <f t="shared" si="1"/>
        <v>0.16279069767441862</v>
      </c>
      <c r="D13" s="1">
        <v>13</v>
      </c>
      <c r="E13" s="13">
        <f t="shared" si="2"/>
        <v>0.30232558139534882</v>
      </c>
      <c r="F13" s="1">
        <v>12</v>
      </c>
      <c r="G13" s="13">
        <f t="shared" si="3"/>
        <v>0.27906976744186046</v>
      </c>
      <c r="H13" s="1">
        <v>7</v>
      </c>
      <c r="I13" s="13">
        <f t="shared" si="4"/>
        <v>0.16279069767441862</v>
      </c>
      <c r="J13" s="1">
        <v>4</v>
      </c>
      <c r="K13" s="13">
        <f t="shared" si="5"/>
        <v>9.3023255813953487E-2</v>
      </c>
      <c r="L13" s="1">
        <v>0</v>
      </c>
      <c r="M13" s="13">
        <f t="shared" si="6"/>
        <v>0</v>
      </c>
      <c r="N13" s="3">
        <f t="shared" si="0"/>
        <v>43</v>
      </c>
    </row>
    <row r="14" spans="1:14" ht="13.5" customHeight="1" x14ac:dyDescent="0.25">
      <c r="A14" s="5" t="s">
        <v>10</v>
      </c>
      <c r="B14" s="1">
        <v>16</v>
      </c>
      <c r="C14" s="13">
        <f t="shared" si="1"/>
        <v>0.25396825396825395</v>
      </c>
      <c r="D14" s="1">
        <v>25</v>
      </c>
      <c r="E14" s="13">
        <f t="shared" si="2"/>
        <v>0.3968253968253968</v>
      </c>
      <c r="F14" s="1">
        <v>17</v>
      </c>
      <c r="G14" s="13">
        <f t="shared" si="3"/>
        <v>0.26984126984126983</v>
      </c>
      <c r="H14" s="1">
        <v>3</v>
      </c>
      <c r="I14" s="13">
        <f t="shared" si="4"/>
        <v>4.7619047619047616E-2</v>
      </c>
      <c r="J14" s="1">
        <v>2</v>
      </c>
      <c r="K14" s="13">
        <f t="shared" si="5"/>
        <v>3.1746031746031744E-2</v>
      </c>
      <c r="L14" s="1">
        <v>0</v>
      </c>
      <c r="M14" s="13">
        <f t="shared" si="6"/>
        <v>0</v>
      </c>
      <c r="N14" s="3">
        <f t="shared" si="0"/>
        <v>63</v>
      </c>
    </row>
    <row r="15" spans="1:14" ht="13.5" customHeight="1" x14ac:dyDescent="0.25">
      <c r="A15" s="5" t="s">
        <v>11</v>
      </c>
      <c r="B15" s="1">
        <v>5</v>
      </c>
      <c r="C15" s="13">
        <f t="shared" si="1"/>
        <v>7.6923076923076927E-2</v>
      </c>
      <c r="D15" s="1">
        <v>24</v>
      </c>
      <c r="E15" s="13">
        <f t="shared" si="2"/>
        <v>0.36923076923076925</v>
      </c>
      <c r="F15" s="1">
        <v>22</v>
      </c>
      <c r="G15" s="13">
        <f t="shared" si="3"/>
        <v>0.33846153846153848</v>
      </c>
      <c r="H15" s="1">
        <v>13</v>
      </c>
      <c r="I15" s="13">
        <f t="shared" si="4"/>
        <v>0.2</v>
      </c>
      <c r="J15" s="1">
        <v>1</v>
      </c>
      <c r="K15" s="13">
        <f t="shared" si="5"/>
        <v>1.5384615384615385E-2</v>
      </c>
      <c r="L15" s="1">
        <v>0</v>
      </c>
      <c r="M15" s="13">
        <f t="shared" si="6"/>
        <v>0</v>
      </c>
      <c r="N15" s="3">
        <f t="shared" si="0"/>
        <v>65</v>
      </c>
    </row>
    <row r="16" spans="1:14" ht="13.5" customHeight="1" x14ac:dyDescent="0.25">
      <c r="A16" s="5" t="s">
        <v>42</v>
      </c>
      <c r="B16" s="1">
        <v>22</v>
      </c>
      <c r="C16" s="13">
        <f t="shared" si="1"/>
        <v>0.21359223300970873</v>
      </c>
      <c r="D16" s="1">
        <v>75</v>
      </c>
      <c r="E16" s="13">
        <f t="shared" si="2"/>
        <v>0.72815533980582525</v>
      </c>
      <c r="F16" s="1">
        <v>6</v>
      </c>
      <c r="G16" s="13">
        <f t="shared" si="3"/>
        <v>5.8252427184466021E-2</v>
      </c>
      <c r="H16" s="1">
        <v>0</v>
      </c>
      <c r="I16" s="13">
        <f t="shared" si="4"/>
        <v>0</v>
      </c>
      <c r="J16" s="1">
        <v>0</v>
      </c>
      <c r="K16" s="13">
        <f t="shared" si="5"/>
        <v>0</v>
      </c>
      <c r="L16" s="1">
        <v>0</v>
      </c>
      <c r="M16" s="13">
        <f t="shared" si="6"/>
        <v>0</v>
      </c>
      <c r="N16" s="3">
        <f t="shared" si="0"/>
        <v>103</v>
      </c>
    </row>
    <row r="17" spans="1:14" ht="13.5" customHeight="1" x14ac:dyDescent="0.25">
      <c r="A17" s="5" t="s">
        <v>12</v>
      </c>
      <c r="B17" s="1">
        <v>10</v>
      </c>
      <c r="C17" s="13">
        <f t="shared" si="1"/>
        <v>0.16949152542372881</v>
      </c>
      <c r="D17" s="1">
        <v>28</v>
      </c>
      <c r="E17" s="13">
        <f t="shared" si="2"/>
        <v>0.47457627118644069</v>
      </c>
      <c r="F17" s="1">
        <v>15</v>
      </c>
      <c r="G17" s="13">
        <f t="shared" si="3"/>
        <v>0.25423728813559321</v>
      </c>
      <c r="H17" s="1">
        <v>6</v>
      </c>
      <c r="I17" s="13">
        <f t="shared" si="4"/>
        <v>0.10169491525423729</v>
      </c>
      <c r="J17" s="1">
        <v>0</v>
      </c>
      <c r="K17" s="13">
        <f t="shared" si="5"/>
        <v>0</v>
      </c>
      <c r="L17" s="1">
        <v>0</v>
      </c>
      <c r="M17" s="13">
        <f t="shared" si="6"/>
        <v>0</v>
      </c>
      <c r="N17" s="3">
        <f t="shared" si="0"/>
        <v>59</v>
      </c>
    </row>
    <row r="18" spans="1:14" ht="13.5" customHeight="1" x14ac:dyDescent="0.25">
      <c r="A18" s="5" t="s">
        <v>13</v>
      </c>
      <c r="B18" s="1">
        <v>0</v>
      </c>
      <c r="C18" s="13">
        <f t="shared" si="1"/>
        <v>0</v>
      </c>
      <c r="D18" s="1">
        <v>1</v>
      </c>
      <c r="E18" s="13">
        <f t="shared" si="2"/>
        <v>0.5</v>
      </c>
      <c r="F18" s="1">
        <v>1</v>
      </c>
      <c r="G18" s="13">
        <f t="shared" si="3"/>
        <v>0.5</v>
      </c>
      <c r="H18" s="1">
        <v>0</v>
      </c>
      <c r="I18" s="13">
        <f t="shared" si="4"/>
        <v>0</v>
      </c>
      <c r="J18" s="1">
        <v>0</v>
      </c>
      <c r="K18" s="13">
        <f t="shared" si="5"/>
        <v>0</v>
      </c>
      <c r="L18" s="1">
        <v>0</v>
      </c>
      <c r="M18" s="13">
        <f t="shared" si="6"/>
        <v>0</v>
      </c>
      <c r="N18" s="3">
        <f t="shared" si="0"/>
        <v>2</v>
      </c>
    </row>
    <row r="19" spans="1:14" ht="13.5" customHeight="1" x14ac:dyDescent="0.25">
      <c r="A19" s="5" t="s">
        <v>14</v>
      </c>
      <c r="B19" s="1">
        <v>19</v>
      </c>
      <c r="C19" s="13">
        <f t="shared" si="1"/>
        <v>0.14285714285714285</v>
      </c>
      <c r="D19" s="1">
        <v>74</v>
      </c>
      <c r="E19" s="13">
        <f t="shared" si="2"/>
        <v>0.55639097744360899</v>
      </c>
      <c r="F19" s="1">
        <v>29</v>
      </c>
      <c r="G19" s="13">
        <f t="shared" si="3"/>
        <v>0.21804511278195488</v>
      </c>
      <c r="H19" s="1">
        <v>10</v>
      </c>
      <c r="I19" s="13">
        <f t="shared" si="4"/>
        <v>7.5187969924812026E-2</v>
      </c>
      <c r="J19" s="1">
        <v>1</v>
      </c>
      <c r="K19" s="13">
        <f t="shared" si="5"/>
        <v>7.5187969924812026E-3</v>
      </c>
      <c r="L19" s="1">
        <v>0</v>
      </c>
      <c r="M19" s="13">
        <f t="shared" si="6"/>
        <v>0</v>
      </c>
      <c r="N19" s="3">
        <f t="shared" si="0"/>
        <v>133</v>
      </c>
    </row>
    <row r="20" spans="1:14" ht="13.5" customHeight="1" x14ac:dyDescent="0.25">
      <c r="A20" s="5" t="s">
        <v>15</v>
      </c>
      <c r="B20" s="1">
        <v>21</v>
      </c>
      <c r="C20" s="13">
        <f t="shared" si="1"/>
        <v>0.328125</v>
      </c>
      <c r="D20" s="1">
        <v>12</v>
      </c>
      <c r="E20" s="13">
        <f t="shared" si="2"/>
        <v>0.1875</v>
      </c>
      <c r="F20" s="1">
        <v>17</v>
      </c>
      <c r="G20" s="13">
        <f t="shared" si="3"/>
        <v>0.265625</v>
      </c>
      <c r="H20" s="1">
        <v>11</v>
      </c>
      <c r="I20" s="13">
        <f t="shared" si="4"/>
        <v>0.171875</v>
      </c>
      <c r="J20" s="1">
        <v>3</v>
      </c>
      <c r="K20" s="13">
        <f t="shared" si="5"/>
        <v>4.6875E-2</v>
      </c>
      <c r="L20" s="1">
        <v>0</v>
      </c>
      <c r="M20" s="13">
        <f t="shared" si="6"/>
        <v>0</v>
      </c>
      <c r="N20" s="3">
        <f t="shared" si="0"/>
        <v>64</v>
      </c>
    </row>
    <row r="21" spans="1:14" ht="13.5" customHeight="1" x14ac:dyDescent="0.25">
      <c r="A21" s="5" t="s">
        <v>16</v>
      </c>
      <c r="B21" s="1">
        <v>11</v>
      </c>
      <c r="C21" s="13">
        <f t="shared" si="1"/>
        <v>0.13750000000000001</v>
      </c>
      <c r="D21" s="1">
        <v>61</v>
      </c>
      <c r="E21" s="13">
        <f t="shared" si="2"/>
        <v>0.76249999999999996</v>
      </c>
      <c r="F21" s="1">
        <v>8</v>
      </c>
      <c r="G21" s="13">
        <f t="shared" si="3"/>
        <v>0.1</v>
      </c>
      <c r="H21" s="1">
        <v>0</v>
      </c>
      <c r="I21" s="13">
        <f t="shared" si="4"/>
        <v>0</v>
      </c>
      <c r="J21" s="1">
        <v>0</v>
      </c>
      <c r="K21" s="13">
        <f t="shared" si="5"/>
        <v>0</v>
      </c>
      <c r="L21" s="1">
        <v>0</v>
      </c>
      <c r="M21" s="13">
        <f t="shared" si="6"/>
        <v>0</v>
      </c>
      <c r="N21" s="3">
        <f t="shared" si="0"/>
        <v>80</v>
      </c>
    </row>
    <row r="22" spans="1:14" ht="13.5" customHeight="1" x14ac:dyDescent="0.25">
      <c r="A22" s="5" t="s">
        <v>17</v>
      </c>
      <c r="B22" s="1">
        <v>7</v>
      </c>
      <c r="C22" s="13">
        <f t="shared" si="1"/>
        <v>0.20588235294117646</v>
      </c>
      <c r="D22" s="1">
        <v>21</v>
      </c>
      <c r="E22" s="13">
        <f t="shared" si="2"/>
        <v>0.61764705882352944</v>
      </c>
      <c r="F22" s="1">
        <v>6</v>
      </c>
      <c r="G22" s="13">
        <f t="shared" si="3"/>
        <v>0.17647058823529413</v>
      </c>
      <c r="H22" s="1">
        <v>0</v>
      </c>
      <c r="I22" s="13">
        <f t="shared" si="4"/>
        <v>0</v>
      </c>
      <c r="J22" s="1">
        <v>0</v>
      </c>
      <c r="K22" s="13">
        <f t="shared" si="5"/>
        <v>0</v>
      </c>
      <c r="L22" s="1">
        <v>0</v>
      </c>
      <c r="M22" s="13">
        <f t="shared" si="6"/>
        <v>0</v>
      </c>
      <c r="N22" s="3">
        <f t="shared" si="0"/>
        <v>34</v>
      </c>
    </row>
    <row r="23" spans="1:14" ht="13.5" customHeight="1" x14ac:dyDescent="0.25">
      <c r="A23" s="5" t="s">
        <v>18</v>
      </c>
      <c r="B23" s="1">
        <v>6</v>
      </c>
      <c r="C23" s="13">
        <f t="shared" si="1"/>
        <v>0.12</v>
      </c>
      <c r="D23" s="1">
        <v>30</v>
      </c>
      <c r="E23" s="13">
        <f t="shared" si="2"/>
        <v>0.6</v>
      </c>
      <c r="F23" s="1">
        <v>14</v>
      </c>
      <c r="G23" s="13">
        <f t="shared" si="3"/>
        <v>0.28000000000000003</v>
      </c>
      <c r="H23" s="1">
        <v>0</v>
      </c>
      <c r="I23" s="13">
        <f t="shared" si="4"/>
        <v>0</v>
      </c>
      <c r="J23" s="1">
        <v>0</v>
      </c>
      <c r="K23" s="13">
        <f t="shared" si="5"/>
        <v>0</v>
      </c>
      <c r="L23" s="1">
        <v>0</v>
      </c>
      <c r="M23" s="13">
        <f t="shared" si="6"/>
        <v>0</v>
      </c>
      <c r="N23" s="3">
        <f t="shared" si="0"/>
        <v>50</v>
      </c>
    </row>
    <row r="24" spans="1:14" ht="13.5" customHeight="1" x14ac:dyDescent="0.25">
      <c r="A24" s="5" t="s">
        <v>19</v>
      </c>
      <c r="B24" s="1">
        <v>7</v>
      </c>
      <c r="C24" s="13">
        <f t="shared" si="1"/>
        <v>8.7499999999999994E-2</v>
      </c>
      <c r="D24" s="1">
        <v>44</v>
      </c>
      <c r="E24" s="13">
        <f t="shared" si="2"/>
        <v>0.55000000000000004</v>
      </c>
      <c r="F24" s="1">
        <v>29</v>
      </c>
      <c r="G24" s="13">
        <f t="shared" si="3"/>
        <v>0.36249999999999999</v>
      </c>
      <c r="H24" s="1">
        <v>0</v>
      </c>
      <c r="I24" s="13">
        <f t="shared" si="4"/>
        <v>0</v>
      </c>
      <c r="J24" s="1">
        <v>0</v>
      </c>
      <c r="K24" s="13">
        <f t="shared" si="5"/>
        <v>0</v>
      </c>
      <c r="L24" s="1">
        <v>0</v>
      </c>
      <c r="M24" s="13">
        <f t="shared" si="6"/>
        <v>0</v>
      </c>
      <c r="N24" s="3">
        <f t="shared" si="0"/>
        <v>80</v>
      </c>
    </row>
    <row r="25" spans="1:14" ht="13.5" customHeight="1" x14ac:dyDescent="0.25">
      <c r="A25" s="5" t="s">
        <v>20</v>
      </c>
      <c r="B25" s="1">
        <v>1</v>
      </c>
      <c r="C25" s="13">
        <f t="shared" si="1"/>
        <v>5.5555555555555552E-2</v>
      </c>
      <c r="D25" s="1">
        <v>7</v>
      </c>
      <c r="E25" s="13">
        <f t="shared" si="2"/>
        <v>0.3888888888888889</v>
      </c>
      <c r="F25" s="1">
        <v>6</v>
      </c>
      <c r="G25" s="13">
        <f t="shared" si="3"/>
        <v>0.33333333333333331</v>
      </c>
      <c r="H25" s="1">
        <v>4</v>
      </c>
      <c r="I25" s="13">
        <f t="shared" si="4"/>
        <v>0.22222222222222221</v>
      </c>
      <c r="J25" s="1">
        <v>0</v>
      </c>
      <c r="K25" s="13">
        <f t="shared" si="5"/>
        <v>0</v>
      </c>
      <c r="L25" s="1">
        <v>0</v>
      </c>
      <c r="M25" s="13">
        <f t="shared" si="6"/>
        <v>0</v>
      </c>
      <c r="N25" s="3">
        <f t="shared" si="0"/>
        <v>18</v>
      </c>
    </row>
    <row r="26" spans="1:14" ht="13.5" customHeight="1" x14ac:dyDescent="0.25">
      <c r="A26" s="5" t="s">
        <v>21</v>
      </c>
      <c r="B26" s="1">
        <v>2</v>
      </c>
      <c r="C26" s="13">
        <f t="shared" si="1"/>
        <v>9.5238095238095233E-2</v>
      </c>
      <c r="D26" s="1">
        <v>14</v>
      </c>
      <c r="E26" s="13">
        <f t="shared" si="2"/>
        <v>0.66666666666666663</v>
      </c>
      <c r="F26" s="1">
        <v>5</v>
      </c>
      <c r="G26" s="13">
        <f t="shared" si="3"/>
        <v>0.23809523809523808</v>
      </c>
      <c r="H26" s="1">
        <v>0</v>
      </c>
      <c r="I26" s="13">
        <f t="shared" si="4"/>
        <v>0</v>
      </c>
      <c r="J26" s="1">
        <v>0</v>
      </c>
      <c r="K26" s="13">
        <f t="shared" si="5"/>
        <v>0</v>
      </c>
      <c r="L26" s="1">
        <v>0</v>
      </c>
      <c r="M26" s="13">
        <f t="shared" si="6"/>
        <v>0</v>
      </c>
      <c r="N26" s="3">
        <f t="shared" si="0"/>
        <v>21</v>
      </c>
    </row>
    <row r="27" spans="1:14" ht="13.5" customHeight="1" x14ac:dyDescent="0.25">
      <c r="A27" s="5" t="s">
        <v>38</v>
      </c>
      <c r="B27" s="1">
        <v>7</v>
      </c>
      <c r="C27" s="13">
        <f t="shared" si="1"/>
        <v>0.25</v>
      </c>
      <c r="D27" s="1">
        <v>10</v>
      </c>
      <c r="E27" s="13">
        <f t="shared" si="2"/>
        <v>0.35714285714285715</v>
      </c>
      <c r="F27" s="1">
        <v>10</v>
      </c>
      <c r="G27" s="13">
        <f t="shared" si="3"/>
        <v>0.35714285714285715</v>
      </c>
      <c r="H27" s="1">
        <v>1</v>
      </c>
      <c r="I27" s="13">
        <f t="shared" si="4"/>
        <v>3.5714285714285712E-2</v>
      </c>
      <c r="J27" s="1">
        <v>0</v>
      </c>
      <c r="K27" s="13">
        <f t="shared" si="5"/>
        <v>0</v>
      </c>
      <c r="L27" s="1">
        <v>0</v>
      </c>
      <c r="M27" s="13">
        <f t="shared" si="6"/>
        <v>0</v>
      </c>
      <c r="N27" s="3">
        <f t="shared" si="0"/>
        <v>28</v>
      </c>
    </row>
    <row r="28" spans="1:14" ht="13.5" customHeight="1" x14ac:dyDescent="0.25">
      <c r="A28" s="5" t="s">
        <v>39</v>
      </c>
      <c r="B28" s="1">
        <v>4</v>
      </c>
      <c r="C28" s="13">
        <f t="shared" si="1"/>
        <v>0.30769230769230771</v>
      </c>
      <c r="D28" s="1">
        <v>8</v>
      </c>
      <c r="E28" s="13">
        <f t="shared" si="2"/>
        <v>0.61538461538461542</v>
      </c>
      <c r="F28" s="1">
        <v>0</v>
      </c>
      <c r="G28" s="13">
        <f t="shared" si="3"/>
        <v>0</v>
      </c>
      <c r="H28" s="1">
        <v>1</v>
      </c>
      <c r="I28" s="13">
        <f t="shared" si="4"/>
        <v>7.6923076923076927E-2</v>
      </c>
      <c r="J28" s="1">
        <v>0</v>
      </c>
      <c r="K28" s="13">
        <f t="shared" si="5"/>
        <v>0</v>
      </c>
      <c r="L28" s="1">
        <v>0</v>
      </c>
      <c r="M28" s="13">
        <f t="shared" si="6"/>
        <v>0</v>
      </c>
      <c r="N28" s="3">
        <f t="shared" si="0"/>
        <v>13</v>
      </c>
    </row>
    <row r="29" spans="1:14" ht="13.5" customHeight="1" x14ac:dyDescent="0.25">
      <c r="A29" s="5" t="s">
        <v>22</v>
      </c>
      <c r="B29" s="1">
        <v>6</v>
      </c>
      <c r="C29" s="13">
        <f t="shared" si="1"/>
        <v>7.0588235294117646E-2</v>
      </c>
      <c r="D29" s="1">
        <v>69</v>
      </c>
      <c r="E29" s="13">
        <f t="shared" si="2"/>
        <v>0.81176470588235294</v>
      </c>
      <c r="F29" s="1">
        <v>10</v>
      </c>
      <c r="G29" s="13">
        <f t="shared" si="3"/>
        <v>0.11764705882352941</v>
      </c>
      <c r="H29" s="1">
        <v>0</v>
      </c>
      <c r="I29" s="13">
        <f t="shared" si="4"/>
        <v>0</v>
      </c>
      <c r="J29" s="1">
        <v>0</v>
      </c>
      <c r="K29" s="13">
        <f t="shared" si="5"/>
        <v>0</v>
      </c>
      <c r="L29" s="1">
        <v>0</v>
      </c>
      <c r="M29" s="13">
        <f t="shared" si="6"/>
        <v>0</v>
      </c>
      <c r="N29" s="3">
        <f t="shared" si="0"/>
        <v>85</v>
      </c>
    </row>
    <row r="30" spans="1:14" ht="13.5" customHeight="1" x14ac:dyDescent="0.25">
      <c r="A30" s="5" t="s">
        <v>40</v>
      </c>
      <c r="B30" s="1">
        <v>5</v>
      </c>
      <c r="C30" s="13">
        <f t="shared" si="1"/>
        <v>0.12820512820512819</v>
      </c>
      <c r="D30" s="1">
        <v>30</v>
      </c>
      <c r="E30" s="13">
        <f t="shared" si="2"/>
        <v>0.76923076923076927</v>
      </c>
      <c r="F30" s="1">
        <v>4</v>
      </c>
      <c r="G30" s="13">
        <f t="shared" si="3"/>
        <v>0.10256410256410256</v>
      </c>
      <c r="H30" s="1">
        <v>0</v>
      </c>
      <c r="I30" s="13">
        <f t="shared" si="4"/>
        <v>0</v>
      </c>
      <c r="J30" s="1">
        <v>0</v>
      </c>
      <c r="K30" s="13">
        <f t="shared" si="5"/>
        <v>0</v>
      </c>
      <c r="L30" s="1">
        <v>0</v>
      </c>
      <c r="M30" s="13">
        <f t="shared" si="6"/>
        <v>0</v>
      </c>
      <c r="N30" s="3">
        <f t="shared" si="0"/>
        <v>39</v>
      </c>
    </row>
    <row r="31" spans="1:14" ht="13.5" customHeight="1" x14ac:dyDescent="0.25">
      <c r="A31" s="5" t="s">
        <v>72</v>
      </c>
      <c r="B31" s="1">
        <v>1</v>
      </c>
      <c r="C31" s="13">
        <f t="shared" si="1"/>
        <v>2.8571428571428571E-2</v>
      </c>
      <c r="D31" s="1">
        <v>17</v>
      </c>
      <c r="E31" s="13">
        <f t="shared" si="2"/>
        <v>0.48571428571428571</v>
      </c>
      <c r="F31" s="1">
        <v>15</v>
      </c>
      <c r="G31" s="13">
        <f t="shared" si="3"/>
        <v>0.42857142857142855</v>
      </c>
      <c r="H31" s="1">
        <v>2</v>
      </c>
      <c r="I31" s="13">
        <f t="shared" si="4"/>
        <v>5.7142857142857141E-2</v>
      </c>
      <c r="J31" s="1">
        <v>0</v>
      </c>
      <c r="K31" s="13">
        <f t="shared" si="5"/>
        <v>0</v>
      </c>
      <c r="L31" s="1">
        <v>0</v>
      </c>
      <c r="M31" s="13">
        <f t="shared" si="6"/>
        <v>0</v>
      </c>
      <c r="N31" s="3">
        <f t="shared" si="0"/>
        <v>35</v>
      </c>
    </row>
    <row r="32" spans="1:14" ht="13.5" customHeight="1" x14ac:dyDescent="0.25">
      <c r="A32" s="5" t="s">
        <v>37</v>
      </c>
      <c r="B32" s="1">
        <v>2</v>
      </c>
      <c r="C32" s="13">
        <f t="shared" si="1"/>
        <v>0.1</v>
      </c>
      <c r="D32" s="1">
        <v>16</v>
      </c>
      <c r="E32" s="13">
        <f t="shared" si="2"/>
        <v>0.8</v>
      </c>
      <c r="F32" s="1">
        <v>2</v>
      </c>
      <c r="G32" s="13">
        <f t="shared" si="3"/>
        <v>0.1</v>
      </c>
      <c r="H32" s="1">
        <v>0</v>
      </c>
      <c r="I32" s="13">
        <f t="shared" si="4"/>
        <v>0</v>
      </c>
      <c r="J32" s="1">
        <v>0</v>
      </c>
      <c r="K32" s="13">
        <f t="shared" si="5"/>
        <v>0</v>
      </c>
      <c r="L32" s="1">
        <v>0</v>
      </c>
      <c r="M32" s="13">
        <f t="shared" si="6"/>
        <v>0</v>
      </c>
      <c r="N32" s="3">
        <f t="shared" si="0"/>
        <v>20</v>
      </c>
    </row>
    <row r="33" spans="1:14" ht="13.5" customHeight="1" x14ac:dyDescent="0.25">
      <c r="A33" s="5" t="s">
        <v>23</v>
      </c>
      <c r="B33" s="1">
        <v>5</v>
      </c>
      <c r="C33" s="13">
        <f t="shared" si="1"/>
        <v>9.4339622641509441E-2</v>
      </c>
      <c r="D33" s="1">
        <v>26</v>
      </c>
      <c r="E33" s="13">
        <f t="shared" si="2"/>
        <v>0.49056603773584906</v>
      </c>
      <c r="F33" s="1">
        <v>22</v>
      </c>
      <c r="G33" s="13">
        <f t="shared" si="3"/>
        <v>0.41509433962264153</v>
      </c>
      <c r="H33" s="1">
        <v>0</v>
      </c>
      <c r="I33" s="13">
        <f t="shared" si="4"/>
        <v>0</v>
      </c>
      <c r="J33" s="1">
        <v>0</v>
      </c>
      <c r="K33" s="13">
        <f t="shared" si="5"/>
        <v>0</v>
      </c>
      <c r="L33" s="1">
        <v>0</v>
      </c>
      <c r="M33" s="13">
        <f t="shared" si="6"/>
        <v>0</v>
      </c>
      <c r="N33" s="3">
        <f t="shared" si="0"/>
        <v>53</v>
      </c>
    </row>
    <row r="34" spans="1:14" ht="13.5" customHeight="1" x14ac:dyDescent="0.25">
      <c r="A34" s="5" t="s">
        <v>1</v>
      </c>
      <c r="B34" s="1">
        <v>8</v>
      </c>
      <c r="C34" s="13">
        <f t="shared" si="1"/>
        <v>5.8394160583941604E-2</v>
      </c>
      <c r="D34" s="1">
        <v>81</v>
      </c>
      <c r="E34" s="13">
        <f t="shared" si="2"/>
        <v>0.59124087591240881</v>
      </c>
      <c r="F34" s="1">
        <v>47</v>
      </c>
      <c r="G34" s="13">
        <f t="shared" si="3"/>
        <v>0.34306569343065696</v>
      </c>
      <c r="H34" s="1">
        <v>1</v>
      </c>
      <c r="I34" s="13">
        <f t="shared" si="4"/>
        <v>7.2992700729927005E-3</v>
      </c>
      <c r="J34" s="1">
        <v>0</v>
      </c>
      <c r="K34" s="13">
        <f t="shared" si="5"/>
        <v>0</v>
      </c>
      <c r="L34" s="1">
        <v>0</v>
      </c>
      <c r="M34" s="13">
        <f t="shared" si="6"/>
        <v>0</v>
      </c>
      <c r="N34" s="3">
        <f t="shared" si="0"/>
        <v>137</v>
      </c>
    </row>
    <row r="35" spans="1:14" ht="13.5" customHeight="1" x14ac:dyDescent="0.25">
      <c r="A35" s="5" t="s">
        <v>73</v>
      </c>
      <c r="B35" s="1">
        <v>1</v>
      </c>
      <c r="C35" s="13">
        <f t="shared" si="1"/>
        <v>3.2258064516129031E-2</v>
      </c>
      <c r="D35" s="1">
        <v>13</v>
      </c>
      <c r="E35" s="13">
        <f t="shared" si="2"/>
        <v>0.41935483870967744</v>
      </c>
      <c r="F35" s="1">
        <v>12</v>
      </c>
      <c r="G35" s="13">
        <f t="shared" si="3"/>
        <v>0.38709677419354838</v>
      </c>
      <c r="H35" s="1">
        <v>4</v>
      </c>
      <c r="I35" s="13">
        <f t="shared" si="4"/>
        <v>0.12903225806451613</v>
      </c>
      <c r="J35" s="1">
        <v>1</v>
      </c>
      <c r="K35" s="13">
        <f t="shared" si="5"/>
        <v>3.2258064516129031E-2</v>
      </c>
      <c r="L35" s="1">
        <v>0</v>
      </c>
      <c r="M35" s="13">
        <f t="shared" si="6"/>
        <v>0</v>
      </c>
      <c r="N35" s="3">
        <f t="shared" si="0"/>
        <v>31</v>
      </c>
    </row>
    <row r="36" spans="1:14" ht="13.5" customHeight="1" x14ac:dyDescent="0.25">
      <c r="A36" s="5" t="s">
        <v>24</v>
      </c>
      <c r="B36" s="1">
        <v>28</v>
      </c>
      <c r="C36" s="13">
        <f t="shared" si="1"/>
        <v>0.26415094339622641</v>
      </c>
      <c r="D36" s="1">
        <v>30</v>
      </c>
      <c r="E36" s="13">
        <f t="shared" si="2"/>
        <v>0.28301886792452829</v>
      </c>
      <c r="F36" s="1">
        <v>33</v>
      </c>
      <c r="G36" s="13">
        <f t="shared" si="3"/>
        <v>0.31132075471698112</v>
      </c>
      <c r="H36" s="1">
        <v>10</v>
      </c>
      <c r="I36" s="13">
        <f t="shared" si="4"/>
        <v>9.4339622641509441E-2</v>
      </c>
      <c r="J36" s="1">
        <v>5</v>
      </c>
      <c r="K36" s="13">
        <f t="shared" si="5"/>
        <v>4.716981132075472E-2</v>
      </c>
      <c r="L36" s="1">
        <v>0</v>
      </c>
      <c r="M36" s="13">
        <f t="shared" si="6"/>
        <v>0</v>
      </c>
      <c r="N36" s="3">
        <f t="shared" si="0"/>
        <v>106</v>
      </c>
    </row>
    <row r="37" spans="1:14" ht="13.5" customHeight="1" x14ac:dyDescent="0.25">
      <c r="A37" s="5" t="s">
        <v>25</v>
      </c>
      <c r="B37" s="1">
        <v>7</v>
      </c>
      <c r="C37" s="13">
        <f t="shared" si="1"/>
        <v>8.9743589743589744E-2</v>
      </c>
      <c r="D37" s="1">
        <v>22</v>
      </c>
      <c r="E37" s="13">
        <f t="shared" si="2"/>
        <v>0.28205128205128205</v>
      </c>
      <c r="F37" s="1">
        <v>31</v>
      </c>
      <c r="G37" s="13">
        <f t="shared" si="3"/>
        <v>0.39743589743589741</v>
      </c>
      <c r="H37" s="1">
        <v>9</v>
      </c>
      <c r="I37" s="13">
        <f t="shared" si="4"/>
        <v>0.11538461538461539</v>
      </c>
      <c r="J37" s="1">
        <v>9</v>
      </c>
      <c r="K37" s="13">
        <f t="shared" si="5"/>
        <v>0.11538461538461539</v>
      </c>
      <c r="L37" s="1">
        <v>0</v>
      </c>
      <c r="M37" s="13">
        <f t="shared" si="6"/>
        <v>0</v>
      </c>
      <c r="N37" s="3">
        <f t="shared" si="0"/>
        <v>78</v>
      </c>
    </row>
    <row r="38" spans="1:14" ht="13.5" customHeight="1" x14ac:dyDescent="0.25">
      <c r="A38" s="5" t="s">
        <v>74</v>
      </c>
      <c r="B38" s="1">
        <v>0</v>
      </c>
      <c r="C38" s="13">
        <f t="shared" si="1"/>
        <v>0</v>
      </c>
      <c r="D38" s="1">
        <v>1</v>
      </c>
      <c r="E38" s="13">
        <f t="shared" si="2"/>
        <v>1</v>
      </c>
      <c r="F38" s="1">
        <v>0</v>
      </c>
      <c r="G38" s="13">
        <f t="shared" si="3"/>
        <v>0</v>
      </c>
      <c r="H38" s="1">
        <v>0</v>
      </c>
      <c r="I38" s="13">
        <f t="shared" si="4"/>
        <v>0</v>
      </c>
      <c r="J38" s="1">
        <v>0</v>
      </c>
      <c r="K38" s="13">
        <f t="shared" si="5"/>
        <v>0</v>
      </c>
      <c r="L38" s="1">
        <v>0</v>
      </c>
      <c r="M38" s="13">
        <f t="shared" si="6"/>
        <v>0</v>
      </c>
      <c r="N38" s="3">
        <f t="shared" si="0"/>
        <v>1</v>
      </c>
    </row>
    <row r="39" spans="1:14" ht="13.5" customHeight="1" x14ac:dyDescent="0.25">
      <c r="A39" s="5" t="s">
        <v>47</v>
      </c>
      <c r="B39" s="1">
        <v>11</v>
      </c>
      <c r="C39" s="13">
        <f t="shared" si="1"/>
        <v>0.28947368421052633</v>
      </c>
      <c r="D39" s="1">
        <v>23</v>
      </c>
      <c r="E39" s="13">
        <f t="shared" si="2"/>
        <v>0.60526315789473684</v>
      </c>
      <c r="F39" s="1">
        <v>4</v>
      </c>
      <c r="G39" s="13">
        <f t="shared" si="3"/>
        <v>0.10526315789473684</v>
      </c>
      <c r="H39" s="1">
        <v>0</v>
      </c>
      <c r="I39" s="13">
        <f t="shared" si="4"/>
        <v>0</v>
      </c>
      <c r="J39" s="1">
        <v>0</v>
      </c>
      <c r="K39" s="13">
        <f t="shared" si="5"/>
        <v>0</v>
      </c>
      <c r="L39" s="1">
        <v>0</v>
      </c>
      <c r="M39" s="13">
        <f t="shared" si="6"/>
        <v>0</v>
      </c>
      <c r="N39" s="3">
        <f t="shared" si="0"/>
        <v>38</v>
      </c>
    </row>
    <row r="40" spans="1:14" ht="13.5" customHeight="1" x14ac:dyDescent="0.25">
      <c r="A40" s="5" t="s">
        <v>48</v>
      </c>
      <c r="B40" s="1">
        <v>1</v>
      </c>
      <c r="C40" s="13">
        <f t="shared" si="1"/>
        <v>0.25</v>
      </c>
      <c r="D40" s="1">
        <v>3</v>
      </c>
      <c r="E40" s="13">
        <f t="shared" si="2"/>
        <v>0.75</v>
      </c>
      <c r="F40" s="1">
        <v>0</v>
      </c>
      <c r="G40" s="13">
        <f t="shared" si="3"/>
        <v>0</v>
      </c>
      <c r="H40" s="1">
        <v>0</v>
      </c>
      <c r="I40" s="13">
        <f t="shared" si="4"/>
        <v>0</v>
      </c>
      <c r="J40" s="1">
        <v>0</v>
      </c>
      <c r="K40" s="13">
        <f t="shared" si="5"/>
        <v>0</v>
      </c>
      <c r="L40" s="1">
        <v>0</v>
      </c>
      <c r="M40" s="13">
        <f t="shared" si="6"/>
        <v>0</v>
      </c>
      <c r="N40" s="3">
        <f t="shared" si="0"/>
        <v>4</v>
      </c>
    </row>
    <row r="41" spans="1:14" ht="13.5" customHeight="1" x14ac:dyDescent="0.25">
      <c r="A41" s="5" t="s">
        <v>26</v>
      </c>
      <c r="B41" s="1">
        <v>2</v>
      </c>
      <c r="C41" s="13">
        <f t="shared" si="1"/>
        <v>4.4444444444444446E-2</v>
      </c>
      <c r="D41" s="1">
        <v>36</v>
      </c>
      <c r="E41" s="13">
        <f t="shared" si="2"/>
        <v>0.8</v>
      </c>
      <c r="F41" s="1">
        <v>6</v>
      </c>
      <c r="G41" s="13">
        <f t="shared" si="3"/>
        <v>0.13333333333333333</v>
      </c>
      <c r="H41" s="1">
        <v>1</v>
      </c>
      <c r="I41" s="13">
        <f t="shared" si="4"/>
        <v>2.2222222222222223E-2</v>
      </c>
      <c r="J41" s="1">
        <v>0</v>
      </c>
      <c r="K41" s="13">
        <f t="shared" si="5"/>
        <v>0</v>
      </c>
      <c r="L41" s="1">
        <v>0</v>
      </c>
      <c r="M41" s="13">
        <f t="shared" si="6"/>
        <v>0</v>
      </c>
      <c r="N41" s="3">
        <f t="shared" si="0"/>
        <v>45</v>
      </c>
    </row>
    <row r="42" spans="1:14" ht="13.5" customHeight="1" x14ac:dyDescent="0.25">
      <c r="A42" s="5" t="s">
        <v>27</v>
      </c>
      <c r="B42" s="1">
        <v>6</v>
      </c>
      <c r="C42" s="13">
        <f t="shared" si="1"/>
        <v>0.13636363636363635</v>
      </c>
      <c r="D42" s="1">
        <v>25</v>
      </c>
      <c r="E42" s="13">
        <f t="shared" si="2"/>
        <v>0.56818181818181823</v>
      </c>
      <c r="F42" s="1">
        <v>10</v>
      </c>
      <c r="G42" s="13">
        <f t="shared" si="3"/>
        <v>0.22727272727272727</v>
      </c>
      <c r="H42" s="1">
        <v>2</v>
      </c>
      <c r="I42" s="13">
        <f t="shared" si="4"/>
        <v>4.5454545454545456E-2</v>
      </c>
      <c r="J42" s="1">
        <v>0</v>
      </c>
      <c r="K42" s="13">
        <f t="shared" si="5"/>
        <v>0</v>
      </c>
      <c r="L42" s="1">
        <v>1</v>
      </c>
      <c r="M42" s="13">
        <f t="shared" si="6"/>
        <v>2.2727272727272728E-2</v>
      </c>
      <c r="N42" s="3">
        <f t="shared" si="0"/>
        <v>44</v>
      </c>
    </row>
    <row r="43" spans="1:14" ht="13.5" customHeight="1" x14ac:dyDescent="0.25">
      <c r="A43" s="5" t="s">
        <v>28</v>
      </c>
      <c r="B43" s="1">
        <v>6</v>
      </c>
      <c r="C43" s="13">
        <f t="shared" si="1"/>
        <v>0.3</v>
      </c>
      <c r="D43" s="1">
        <v>12</v>
      </c>
      <c r="E43" s="13">
        <f t="shared" si="2"/>
        <v>0.6</v>
      </c>
      <c r="F43" s="1">
        <v>2</v>
      </c>
      <c r="G43" s="13">
        <f t="shared" si="3"/>
        <v>0.1</v>
      </c>
      <c r="H43" s="1">
        <v>0</v>
      </c>
      <c r="I43" s="13">
        <f t="shared" si="4"/>
        <v>0</v>
      </c>
      <c r="J43" s="1">
        <v>0</v>
      </c>
      <c r="K43" s="13">
        <f t="shared" si="5"/>
        <v>0</v>
      </c>
      <c r="L43" s="1">
        <v>0</v>
      </c>
      <c r="M43" s="13">
        <f t="shared" si="6"/>
        <v>0</v>
      </c>
      <c r="N43" s="3">
        <f t="shared" si="0"/>
        <v>20</v>
      </c>
    </row>
    <row r="44" spans="1:14" ht="13.5" customHeight="1" x14ac:dyDescent="0.25">
      <c r="A44" s="5" t="s">
        <v>29</v>
      </c>
      <c r="B44" s="1">
        <v>33</v>
      </c>
      <c r="C44" s="13">
        <f t="shared" si="1"/>
        <v>0.31132075471698112</v>
      </c>
      <c r="D44" s="1">
        <v>27</v>
      </c>
      <c r="E44" s="13">
        <f t="shared" si="2"/>
        <v>0.25471698113207547</v>
      </c>
      <c r="F44" s="1">
        <v>27</v>
      </c>
      <c r="G44" s="13">
        <f t="shared" si="3"/>
        <v>0.25471698113207547</v>
      </c>
      <c r="H44" s="1">
        <v>18</v>
      </c>
      <c r="I44" s="13">
        <f t="shared" si="4"/>
        <v>0.16981132075471697</v>
      </c>
      <c r="J44" s="1">
        <v>1</v>
      </c>
      <c r="K44" s="13">
        <f t="shared" si="5"/>
        <v>9.433962264150943E-3</v>
      </c>
      <c r="L44" s="1">
        <v>0</v>
      </c>
      <c r="M44" s="13">
        <f t="shared" si="6"/>
        <v>0</v>
      </c>
      <c r="N44" s="3">
        <f t="shared" si="0"/>
        <v>106</v>
      </c>
    </row>
    <row r="45" spans="1:14" ht="13.5" customHeight="1" x14ac:dyDescent="0.25">
      <c r="A45" s="5" t="s">
        <v>30</v>
      </c>
      <c r="B45" s="1">
        <v>0</v>
      </c>
      <c r="C45" s="13">
        <f t="shared" si="1"/>
        <v>0</v>
      </c>
      <c r="D45" s="1">
        <v>19</v>
      </c>
      <c r="E45" s="13">
        <f t="shared" si="2"/>
        <v>0.76</v>
      </c>
      <c r="F45" s="1">
        <v>6</v>
      </c>
      <c r="G45" s="13">
        <f t="shared" si="3"/>
        <v>0.24</v>
      </c>
      <c r="H45" s="1">
        <v>0</v>
      </c>
      <c r="I45" s="13">
        <f t="shared" si="4"/>
        <v>0</v>
      </c>
      <c r="J45" s="1">
        <v>0</v>
      </c>
      <c r="K45" s="13">
        <f t="shared" si="5"/>
        <v>0</v>
      </c>
      <c r="L45" s="1">
        <v>0</v>
      </c>
      <c r="M45" s="13">
        <f t="shared" si="6"/>
        <v>0</v>
      </c>
      <c r="N45" s="3">
        <f t="shared" si="0"/>
        <v>25</v>
      </c>
    </row>
    <row r="46" spans="1:14" ht="13.5" customHeight="1" x14ac:dyDescent="0.25">
      <c r="A46" s="5" t="s">
        <v>75</v>
      </c>
      <c r="B46" s="1">
        <v>3</v>
      </c>
      <c r="C46" s="13">
        <f t="shared" si="1"/>
        <v>0.14285714285714285</v>
      </c>
      <c r="D46" s="1">
        <v>5</v>
      </c>
      <c r="E46" s="13">
        <f t="shared" si="2"/>
        <v>0.23809523809523808</v>
      </c>
      <c r="F46" s="1">
        <v>10</v>
      </c>
      <c r="G46" s="13">
        <f t="shared" si="3"/>
        <v>0.47619047619047616</v>
      </c>
      <c r="H46" s="1">
        <v>3</v>
      </c>
      <c r="I46" s="13">
        <f t="shared" si="4"/>
        <v>0.14285714285714285</v>
      </c>
      <c r="J46" s="1">
        <v>0</v>
      </c>
      <c r="K46" s="13">
        <f t="shared" si="5"/>
        <v>0</v>
      </c>
      <c r="L46" s="1">
        <v>0</v>
      </c>
      <c r="M46" s="13">
        <f t="shared" si="6"/>
        <v>0</v>
      </c>
      <c r="N46" s="3">
        <f t="shared" si="0"/>
        <v>21</v>
      </c>
    </row>
    <row r="47" spans="1:14" ht="13.5" customHeight="1" x14ac:dyDescent="0.25">
      <c r="A47" s="5" t="s">
        <v>31</v>
      </c>
      <c r="B47" s="1">
        <v>14</v>
      </c>
      <c r="C47" s="13">
        <f t="shared" si="1"/>
        <v>0.15217391304347827</v>
      </c>
      <c r="D47" s="1">
        <v>70</v>
      </c>
      <c r="E47" s="13">
        <f t="shared" si="2"/>
        <v>0.76086956521739135</v>
      </c>
      <c r="F47" s="1">
        <v>6</v>
      </c>
      <c r="G47" s="13">
        <f t="shared" si="3"/>
        <v>6.5217391304347824E-2</v>
      </c>
      <c r="H47" s="1">
        <v>2</v>
      </c>
      <c r="I47" s="13">
        <f t="shared" si="4"/>
        <v>2.1739130434782608E-2</v>
      </c>
      <c r="J47" s="1">
        <v>0</v>
      </c>
      <c r="K47" s="13">
        <f t="shared" si="5"/>
        <v>0</v>
      </c>
      <c r="L47" s="1">
        <v>0</v>
      </c>
      <c r="M47" s="13">
        <f t="shared" si="6"/>
        <v>0</v>
      </c>
      <c r="N47" s="3">
        <f t="shared" si="0"/>
        <v>92</v>
      </c>
    </row>
    <row r="48" spans="1:14" ht="13.5" customHeight="1" x14ac:dyDescent="0.25">
      <c r="A48" s="5" t="s">
        <v>32</v>
      </c>
      <c r="B48" s="1">
        <v>2</v>
      </c>
      <c r="C48" s="13">
        <f t="shared" si="1"/>
        <v>9.0909090909090912E-2</v>
      </c>
      <c r="D48" s="1">
        <v>11</v>
      </c>
      <c r="E48" s="13">
        <f t="shared" si="2"/>
        <v>0.5</v>
      </c>
      <c r="F48" s="1">
        <v>8</v>
      </c>
      <c r="G48" s="13">
        <f t="shared" si="3"/>
        <v>0.36363636363636365</v>
      </c>
      <c r="H48" s="1">
        <v>1</v>
      </c>
      <c r="I48" s="13">
        <f t="shared" si="4"/>
        <v>4.5454545454545456E-2</v>
      </c>
      <c r="J48" s="1">
        <v>0</v>
      </c>
      <c r="K48" s="13">
        <f t="shared" si="5"/>
        <v>0</v>
      </c>
      <c r="L48" s="1">
        <v>0</v>
      </c>
      <c r="M48" s="13">
        <f t="shared" si="6"/>
        <v>0</v>
      </c>
      <c r="N48" s="3">
        <f t="shared" si="0"/>
        <v>22</v>
      </c>
    </row>
    <row r="49" spans="1:14" ht="13.5" customHeight="1" x14ac:dyDescent="0.25">
      <c r="A49" s="5" t="s">
        <v>33</v>
      </c>
      <c r="B49" s="1">
        <v>0</v>
      </c>
      <c r="C49" s="13">
        <f t="shared" si="1"/>
        <v>0</v>
      </c>
      <c r="D49" s="1">
        <v>10</v>
      </c>
      <c r="E49" s="13">
        <f t="shared" si="2"/>
        <v>0.5</v>
      </c>
      <c r="F49" s="1">
        <v>9</v>
      </c>
      <c r="G49" s="13">
        <f t="shared" si="3"/>
        <v>0.45</v>
      </c>
      <c r="H49" s="1">
        <v>0</v>
      </c>
      <c r="I49" s="13">
        <f t="shared" si="4"/>
        <v>0</v>
      </c>
      <c r="J49" s="1">
        <v>1</v>
      </c>
      <c r="K49" s="13">
        <f t="shared" si="5"/>
        <v>0.05</v>
      </c>
      <c r="L49" s="1">
        <v>0</v>
      </c>
      <c r="M49" s="13">
        <f t="shared" si="6"/>
        <v>0</v>
      </c>
      <c r="N49" s="3">
        <f t="shared" si="0"/>
        <v>20</v>
      </c>
    </row>
    <row r="50" spans="1:14" x14ac:dyDescent="0.25">
      <c r="A50" s="5" t="s">
        <v>34</v>
      </c>
      <c r="B50" s="1">
        <v>0</v>
      </c>
      <c r="C50" s="13">
        <f t="shared" si="1"/>
        <v>0</v>
      </c>
      <c r="D50" s="1">
        <v>13</v>
      </c>
      <c r="E50" s="13">
        <f t="shared" si="2"/>
        <v>0.76470588235294112</v>
      </c>
      <c r="F50" s="1">
        <v>4</v>
      </c>
      <c r="G50" s="13">
        <f t="shared" si="3"/>
        <v>0.23529411764705882</v>
      </c>
      <c r="H50" s="1">
        <v>0</v>
      </c>
      <c r="I50" s="13">
        <f t="shared" si="4"/>
        <v>0</v>
      </c>
      <c r="J50" s="1">
        <v>0</v>
      </c>
      <c r="K50" s="13">
        <f t="shared" si="5"/>
        <v>0</v>
      </c>
      <c r="L50" s="1">
        <v>0</v>
      </c>
      <c r="M50" s="13">
        <f t="shared" si="6"/>
        <v>0</v>
      </c>
      <c r="N50" s="3">
        <f t="shared" si="0"/>
        <v>17</v>
      </c>
    </row>
    <row r="51" spans="1:14" x14ac:dyDescent="0.25">
      <c r="A51" s="5" t="s">
        <v>35</v>
      </c>
      <c r="B51" s="1">
        <v>4</v>
      </c>
      <c r="C51" s="13">
        <f t="shared" si="1"/>
        <v>0.14814814814814814</v>
      </c>
      <c r="D51" s="1">
        <v>11</v>
      </c>
      <c r="E51" s="13">
        <f t="shared" si="2"/>
        <v>0.40740740740740738</v>
      </c>
      <c r="F51" s="1">
        <v>10</v>
      </c>
      <c r="G51" s="13">
        <f t="shared" si="3"/>
        <v>0.37037037037037035</v>
      </c>
      <c r="H51" s="1">
        <v>2</v>
      </c>
      <c r="I51" s="13">
        <f t="shared" si="4"/>
        <v>7.407407407407407E-2</v>
      </c>
      <c r="J51" s="1">
        <v>0</v>
      </c>
      <c r="K51" s="13">
        <f t="shared" si="5"/>
        <v>0</v>
      </c>
      <c r="L51" s="1">
        <v>0</v>
      </c>
      <c r="M51" s="13">
        <f t="shared" si="6"/>
        <v>0</v>
      </c>
      <c r="N51" s="3">
        <f t="shared" si="0"/>
        <v>27</v>
      </c>
    </row>
    <row r="52" spans="1:14" x14ac:dyDescent="0.25">
      <c r="A52" s="5" t="s">
        <v>49</v>
      </c>
      <c r="B52" s="1">
        <v>3</v>
      </c>
      <c r="C52" s="13">
        <f t="shared" si="1"/>
        <v>0.6</v>
      </c>
      <c r="D52" s="1">
        <v>2</v>
      </c>
      <c r="E52" s="13">
        <f t="shared" si="2"/>
        <v>0.4</v>
      </c>
      <c r="F52" s="1">
        <v>0</v>
      </c>
      <c r="G52" s="13">
        <f t="shared" si="3"/>
        <v>0</v>
      </c>
      <c r="H52" s="1">
        <v>0</v>
      </c>
      <c r="I52" s="13">
        <f t="shared" si="4"/>
        <v>0</v>
      </c>
      <c r="J52" s="1">
        <v>0</v>
      </c>
      <c r="K52" s="13">
        <f t="shared" si="5"/>
        <v>0</v>
      </c>
      <c r="L52" s="1">
        <v>0</v>
      </c>
      <c r="M52" s="13">
        <f t="shared" si="6"/>
        <v>0</v>
      </c>
      <c r="N52" s="3">
        <f t="shared" si="0"/>
        <v>5</v>
      </c>
    </row>
    <row r="53" spans="1:14" ht="58.5" customHeight="1" x14ac:dyDescent="0.25">
      <c r="A53" s="5" t="s">
        <v>36</v>
      </c>
      <c r="B53" s="1">
        <v>0</v>
      </c>
      <c r="C53" s="13">
        <f t="shared" si="1"/>
        <v>0</v>
      </c>
      <c r="D53" s="1">
        <v>1</v>
      </c>
      <c r="E53" s="13">
        <f t="shared" si="2"/>
        <v>0.33333333333333331</v>
      </c>
      <c r="F53" s="1">
        <v>0</v>
      </c>
      <c r="G53" s="13">
        <f t="shared" si="3"/>
        <v>0</v>
      </c>
      <c r="H53" s="1">
        <v>2</v>
      </c>
      <c r="I53" s="13">
        <f t="shared" si="4"/>
        <v>0.66666666666666663</v>
      </c>
      <c r="J53" s="1">
        <v>0</v>
      </c>
      <c r="K53" s="13">
        <f t="shared" si="5"/>
        <v>0</v>
      </c>
      <c r="L53" s="1">
        <v>0</v>
      </c>
      <c r="M53" s="13">
        <f t="shared" si="6"/>
        <v>0</v>
      </c>
      <c r="N53" s="3">
        <f t="shared" si="0"/>
        <v>3</v>
      </c>
    </row>
    <row r="54" spans="1:14" ht="15.75" thickBot="1" x14ac:dyDescent="0.3">
      <c r="A54" s="7" t="s">
        <v>69</v>
      </c>
      <c r="B54" s="8">
        <v>12</v>
      </c>
      <c r="C54" s="14">
        <f t="shared" si="1"/>
        <v>0.27272727272727271</v>
      </c>
      <c r="D54" s="8">
        <v>31</v>
      </c>
      <c r="E54" s="14">
        <f t="shared" si="2"/>
        <v>0.70454545454545459</v>
      </c>
      <c r="F54" s="8">
        <v>1</v>
      </c>
      <c r="G54" s="14">
        <f t="shared" si="3"/>
        <v>2.2727272727272728E-2</v>
      </c>
      <c r="H54" s="8">
        <v>0</v>
      </c>
      <c r="I54" s="14">
        <f t="shared" si="4"/>
        <v>0</v>
      </c>
      <c r="J54" s="8">
        <v>0</v>
      </c>
      <c r="K54" s="14">
        <f t="shared" si="5"/>
        <v>0</v>
      </c>
      <c r="L54" s="8">
        <v>0</v>
      </c>
      <c r="M54" s="14">
        <f t="shared" si="6"/>
        <v>0</v>
      </c>
      <c r="N54" s="6">
        <f t="shared" si="0"/>
        <v>44</v>
      </c>
    </row>
    <row r="55" spans="1:14" ht="16.5" thickTop="1" thickBot="1" x14ac:dyDescent="0.3">
      <c r="A55" s="2" t="s">
        <v>41</v>
      </c>
      <c r="B55" s="2">
        <f>SUM(B6:B54)</f>
        <v>375</v>
      </c>
      <c r="C55" s="15">
        <f t="shared" si="1"/>
        <v>0.1540041067761807</v>
      </c>
      <c r="D55" s="2">
        <f>SUM(D6:D54)</f>
        <v>1338</v>
      </c>
      <c r="E55" s="15">
        <f t="shared" si="2"/>
        <v>0.54948665297741273</v>
      </c>
      <c r="F55" s="2">
        <f>SUM(F6:F54)</f>
        <v>566</v>
      </c>
      <c r="G55" s="15">
        <f t="shared" si="3"/>
        <v>0.2324435318275154</v>
      </c>
      <c r="H55" s="2">
        <f>SUM(H6:H54)</f>
        <v>124</v>
      </c>
      <c r="I55" s="15">
        <f t="shared" si="4"/>
        <v>5.0924024640657081E-2</v>
      </c>
      <c r="J55" s="2">
        <f>SUM(J6:J54)</f>
        <v>31</v>
      </c>
      <c r="K55" s="15">
        <f t="shared" si="5"/>
        <v>1.273100616016427E-2</v>
      </c>
      <c r="L55" s="2">
        <f>SUM(L6:L54)</f>
        <v>1</v>
      </c>
      <c r="M55" s="15">
        <f t="shared" si="6"/>
        <v>4.1067761806981519E-4</v>
      </c>
      <c r="N55" s="2">
        <f>SUM(N6:N54)</f>
        <v>2435</v>
      </c>
    </row>
    <row r="56" spans="1:14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25">
      <c r="A57" s="43" t="s">
        <v>57</v>
      </c>
      <c r="B57" s="35" t="s">
        <v>52</v>
      </c>
      <c r="C57" s="36"/>
      <c r="D57" s="35" t="s">
        <v>53</v>
      </c>
      <c r="E57" s="36"/>
      <c r="F57" s="35" t="s">
        <v>54</v>
      </c>
      <c r="G57" s="36"/>
      <c r="H57" s="35" t="s">
        <v>55</v>
      </c>
      <c r="I57" s="36"/>
      <c r="J57" s="35" t="s">
        <v>45</v>
      </c>
      <c r="K57" s="36"/>
      <c r="L57" s="35" t="s">
        <v>46</v>
      </c>
      <c r="M57" s="36"/>
      <c r="N57" s="39" t="s">
        <v>0</v>
      </c>
    </row>
    <row r="58" spans="1:14" ht="45" customHeight="1" x14ac:dyDescent="0.25">
      <c r="A58" s="44"/>
      <c r="B58" s="37"/>
      <c r="C58" s="38"/>
      <c r="D58" s="37"/>
      <c r="E58" s="38"/>
      <c r="F58" s="37"/>
      <c r="G58" s="38"/>
      <c r="H58" s="37"/>
      <c r="I58" s="38"/>
      <c r="J58" s="37"/>
      <c r="K58" s="38"/>
      <c r="L58" s="37"/>
      <c r="M58" s="38"/>
      <c r="N58" s="40"/>
    </row>
    <row r="59" spans="1:14" x14ac:dyDescent="0.25">
      <c r="A59" s="5" t="s">
        <v>62</v>
      </c>
      <c r="B59" s="1">
        <v>67</v>
      </c>
      <c r="C59" s="13">
        <f t="shared" ref="C59:C68" si="7">B59/N59</f>
        <v>0.15914489311163896</v>
      </c>
      <c r="D59" s="1">
        <v>254</v>
      </c>
      <c r="E59" s="13">
        <f t="shared" ref="E59:E68" si="8">D59/N59</f>
        <v>0.60332541567695963</v>
      </c>
      <c r="F59" s="1">
        <v>94</v>
      </c>
      <c r="G59" s="13">
        <f t="shared" ref="G59:G68" si="9">F59/N59</f>
        <v>0.22327790973871733</v>
      </c>
      <c r="H59" s="1">
        <v>5</v>
      </c>
      <c r="I59" s="13">
        <f t="shared" ref="I59:I68" si="10">H59/N59</f>
        <v>1.1876484560570071E-2</v>
      </c>
      <c r="J59" s="1">
        <v>0</v>
      </c>
      <c r="K59" s="13">
        <f t="shared" ref="K59:K68" si="11">J59/N59</f>
        <v>0</v>
      </c>
      <c r="L59" s="1">
        <v>1</v>
      </c>
      <c r="M59" s="13">
        <f t="shared" ref="M59:M68" si="12">L59/N59</f>
        <v>2.3752969121140144E-3</v>
      </c>
      <c r="N59" s="3">
        <f t="shared" ref="N59:N67" si="13">B59+D59+F59+H59+J59+L59</f>
        <v>421</v>
      </c>
    </row>
    <row r="60" spans="1:14" x14ac:dyDescent="0.25">
      <c r="A60" s="5" t="s">
        <v>63</v>
      </c>
      <c r="B60" s="1">
        <v>13</v>
      </c>
      <c r="C60" s="13">
        <f t="shared" si="7"/>
        <v>0.13131313131313133</v>
      </c>
      <c r="D60" s="1">
        <v>51</v>
      </c>
      <c r="E60" s="13">
        <f t="shared" si="8"/>
        <v>0.51515151515151514</v>
      </c>
      <c r="F60" s="1">
        <v>30</v>
      </c>
      <c r="G60" s="13">
        <f t="shared" si="9"/>
        <v>0.30303030303030304</v>
      </c>
      <c r="H60" s="1">
        <v>4</v>
      </c>
      <c r="I60" s="13">
        <f t="shared" si="10"/>
        <v>4.0404040404040407E-2</v>
      </c>
      <c r="J60" s="1">
        <v>1</v>
      </c>
      <c r="K60" s="13">
        <f t="shared" si="11"/>
        <v>1.0101010101010102E-2</v>
      </c>
      <c r="L60" s="1">
        <v>0</v>
      </c>
      <c r="M60" s="13">
        <f t="shared" si="12"/>
        <v>0</v>
      </c>
      <c r="N60" s="3">
        <f t="shared" si="13"/>
        <v>99</v>
      </c>
    </row>
    <row r="61" spans="1:14" x14ac:dyDescent="0.25">
      <c r="A61" s="5" t="s">
        <v>64</v>
      </c>
      <c r="B61" s="1">
        <v>25</v>
      </c>
      <c r="C61" s="13">
        <f t="shared" si="7"/>
        <v>0.20161290322580644</v>
      </c>
      <c r="D61" s="1">
        <v>80</v>
      </c>
      <c r="E61" s="13">
        <f t="shared" si="8"/>
        <v>0.64516129032258063</v>
      </c>
      <c r="F61" s="1">
        <v>16</v>
      </c>
      <c r="G61" s="13">
        <f t="shared" si="9"/>
        <v>0.12903225806451613</v>
      </c>
      <c r="H61" s="1">
        <v>3</v>
      </c>
      <c r="I61" s="13">
        <f t="shared" si="10"/>
        <v>2.4193548387096774E-2</v>
      </c>
      <c r="J61" s="1">
        <v>0</v>
      </c>
      <c r="K61" s="13">
        <f t="shared" si="11"/>
        <v>0</v>
      </c>
      <c r="L61" s="1">
        <v>0</v>
      </c>
      <c r="M61" s="13">
        <f t="shared" si="12"/>
        <v>0</v>
      </c>
      <c r="N61" s="3">
        <f t="shared" si="13"/>
        <v>124</v>
      </c>
    </row>
    <row r="62" spans="1:14" x14ac:dyDescent="0.25">
      <c r="A62" s="5" t="s">
        <v>65</v>
      </c>
      <c r="B62" s="1">
        <v>40</v>
      </c>
      <c r="C62" s="13">
        <f t="shared" si="7"/>
        <v>0.15686274509803921</v>
      </c>
      <c r="D62" s="1">
        <v>73</v>
      </c>
      <c r="E62" s="13">
        <f t="shared" si="8"/>
        <v>0.28627450980392155</v>
      </c>
      <c r="F62" s="1">
        <v>85</v>
      </c>
      <c r="G62" s="13">
        <f t="shared" si="9"/>
        <v>0.33333333333333331</v>
      </c>
      <c r="H62" s="1">
        <v>40</v>
      </c>
      <c r="I62" s="13">
        <f t="shared" si="10"/>
        <v>0.15686274509803921</v>
      </c>
      <c r="J62" s="1">
        <v>17</v>
      </c>
      <c r="K62" s="13">
        <f t="shared" si="11"/>
        <v>6.6666666666666666E-2</v>
      </c>
      <c r="L62" s="1">
        <v>0</v>
      </c>
      <c r="M62" s="13">
        <f t="shared" si="12"/>
        <v>0</v>
      </c>
      <c r="N62" s="3">
        <f t="shared" si="13"/>
        <v>255</v>
      </c>
    </row>
    <row r="63" spans="1:14" x14ac:dyDescent="0.25">
      <c r="A63" s="5" t="s">
        <v>1</v>
      </c>
      <c r="B63" s="1">
        <v>8</v>
      </c>
      <c r="C63" s="13">
        <f t="shared" si="7"/>
        <v>5.8394160583941604E-2</v>
      </c>
      <c r="D63" s="1">
        <v>81</v>
      </c>
      <c r="E63" s="13">
        <f t="shared" si="8"/>
        <v>0.59124087591240881</v>
      </c>
      <c r="F63" s="1">
        <v>47</v>
      </c>
      <c r="G63" s="13">
        <f t="shared" si="9"/>
        <v>0.34306569343065696</v>
      </c>
      <c r="H63" s="1">
        <v>1</v>
      </c>
      <c r="I63" s="13">
        <f t="shared" si="10"/>
        <v>7.2992700729927005E-3</v>
      </c>
      <c r="J63" s="1">
        <v>0</v>
      </c>
      <c r="K63" s="13">
        <f t="shared" si="11"/>
        <v>0</v>
      </c>
      <c r="L63" s="1">
        <v>0</v>
      </c>
      <c r="M63" s="13">
        <f t="shared" si="12"/>
        <v>0</v>
      </c>
      <c r="N63" s="3">
        <f t="shared" si="13"/>
        <v>137</v>
      </c>
    </row>
    <row r="64" spans="1:14" x14ac:dyDescent="0.25">
      <c r="A64" s="5" t="s">
        <v>66</v>
      </c>
      <c r="B64" s="1">
        <v>59</v>
      </c>
      <c r="C64" s="13">
        <f t="shared" si="7"/>
        <v>0.13378684807256236</v>
      </c>
      <c r="D64" s="1">
        <v>296</v>
      </c>
      <c r="E64" s="13">
        <f t="shared" si="8"/>
        <v>0.67120181405895696</v>
      </c>
      <c r="F64" s="1">
        <v>73</v>
      </c>
      <c r="G64" s="13">
        <f t="shared" si="9"/>
        <v>0.1655328798185941</v>
      </c>
      <c r="H64" s="1">
        <v>11</v>
      </c>
      <c r="I64" s="13">
        <f t="shared" si="10"/>
        <v>2.4943310657596373E-2</v>
      </c>
      <c r="J64" s="1">
        <v>2</v>
      </c>
      <c r="K64" s="13">
        <f t="shared" si="11"/>
        <v>4.5351473922902496E-3</v>
      </c>
      <c r="L64" s="1">
        <v>0</v>
      </c>
      <c r="M64" s="13">
        <f t="shared" si="12"/>
        <v>0</v>
      </c>
      <c r="N64" s="3">
        <f t="shared" si="13"/>
        <v>441</v>
      </c>
    </row>
    <row r="65" spans="1:14" x14ac:dyDescent="0.25">
      <c r="A65" s="5" t="s">
        <v>67</v>
      </c>
      <c r="B65" s="1">
        <v>93</v>
      </c>
      <c r="C65" s="13">
        <f t="shared" si="7"/>
        <v>0.21527777777777779</v>
      </c>
      <c r="D65" s="1">
        <v>152</v>
      </c>
      <c r="E65" s="13">
        <f t="shared" si="8"/>
        <v>0.35185185185185186</v>
      </c>
      <c r="F65" s="1">
        <v>129</v>
      </c>
      <c r="G65" s="13">
        <f t="shared" si="9"/>
        <v>0.2986111111111111</v>
      </c>
      <c r="H65" s="1">
        <v>48</v>
      </c>
      <c r="I65" s="13">
        <f t="shared" si="10"/>
        <v>0.1111111111111111</v>
      </c>
      <c r="J65" s="1">
        <v>10</v>
      </c>
      <c r="K65" s="13">
        <f t="shared" si="11"/>
        <v>2.3148148148148147E-2</v>
      </c>
      <c r="L65" s="1">
        <v>0</v>
      </c>
      <c r="M65" s="13">
        <f t="shared" si="12"/>
        <v>0</v>
      </c>
      <c r="N65" s="3">
        <f t="shared" si="13"/>
        <v>432</v>
      </c>
    </row>
    <row r="66" spans="1:14" x14ac:dyDescent="0.25">
      <c r="A66" s="5" t="s">
        <v>68</v>
      </c>
      <c r="B66" s="1">
        <v>58</v>
      </c>
      <c r="C66" s="13">
        <f t="shared" si="7"/>
        <v>0.12033195020746888</v>
      </c>
      <c r="D66" s="1">
        <v>320</v>
      </c>
      <c r="E66" s="13">
        <f t="shared" si="8"/>
        <v>0.66390041493775931</v>
      </c>
      <c r="F66" s="1">
        <v>91</v>
      </c>
      <c r="G66" s="13">
        <f t="shared" si="9"/>
        <v>0.18879668049792531</v>
      </c>
      <c r="H66" s="1">
        <v>12</v>
      </c>
      <c r="I66" s="13">
        <f t="shared" si="10"/>
        <v>2.4896265560165973E-2</v>
      </c>
      <c r="J66" s="1">
        <v>1</v>
      </c>
      <c r="K66" s="13">
        <f t="shared" si="11"/>
        <v>2.0746887966804979E-3</v>
      </c>
      <c r="L66" s="1">
        <v>0</v>
      </c>
      <c r="M66" s="13">
        <f t="shared" si="12"/>
        <v>0</v>
      </c>
      <c r="N66" s="3">
        <f t="shared" si="13"/>
        <v>482</v>
      </c>
    </row>
    <row r="67" spans="1:14" ht="15.75" thickBot="1" x14ac:dyDescent="0.3">
      <c r="A67" s="7" t="s">
        <v>69</v>
      </c>
      <c r="B67" s="8">
        <v>12</v>
      </c>
      <c r="C67" s="14">
        <f t="shared" si="7"/>
        <v>0.27272727272727271</v>
      </c>
      <c r="D67" s="8">
        <v>31</v>
      </c>
      <c r="E67" s="14">
        <f t="shared" si="8"/>
        <v>0.70454545454545459</v>
      </c>
      <c r="F67" s="8">
        <v>1</v>
      </c>
      <c r="G67" s="14">
        <f t="shared" si="9"/>
        <v>2.2727272727272728E-2</v>
      </c>
      <c r="H67" s="8">
        <v>0</v>
      </c>
      <c r="I67" s="14">
        <f t="shared" si="10"/>
        <v>0</v>
      </c>
      <c r="J67" s="8">
        <v>0</v>
      </c>
      <c r="K67" s="14">
        <f t="shared" si="11"/>
        <v>0</v>
      </c>
      <c r="L67" s="8">
        <v>0</v>
      </c>
      <c r="M67" s="14">
        <f t="shared" si="12"/>
        <v>0</v>
      </c>
      <c r="N67" s="6">
        <f t="shared" si="13"/>
        <v>44</v>
      </c>
    </row>
    <row r="68" spans="1:14" ht="16.5" thickTop="1" thickBot="1" x14ac:dyDescent="0.3">
      <c r="A68" s="2" t="s">
        <v>41</v>
      </c>
      <c r="B68" s="2">
        <f>SUM(B59:B67)</f>
        <v>375</v>
      </c>
      <c r="C68" s="15">
        <f t="shared" si="7"/>
        <v>0.1540041067761807</v>
      </c>
      <c r="D68" s="2">
        <f>SUM(D59:D67)</f>
        <v>1338</v>
      </c>
      <c r="E68" s="15">
        <f t="shared" si="8"/>
        <v>0.54948665297741273</v>
      </c>
      <c r="F68" s="2">
        <f>SUM(F59:F67)</f>
        <v>566</v>
      </c>
      <c r="G68" s="15">
        <f t="shared" si="9"/>
        <v>0.2324435318275154</v>
      </c>
      <c r="H68" s="2">
        <f>SUM(H59:H67)</f>
        <v>124</v>
      </c>
      <c r="I68" s="15">
        <f t="shared" si="10"/>
        <v>5.0924024640657081E-2</v>
      </c>
      <c r="J68" s="2">
        <f>SUM(J59:J67)</f>
        <v>31</v>
      </c>
      <c r="K68" s="15">
        <f t="shared" si="11"/>
        <v>1.273100616016427E-2</v>
      </c>
      <c r="L68" s="2">
        <f>SUM(L59:L67)</f>
        <v>1</v>
      </c>
      <c r="M68" s="15">
        <f t="shared" si="12"/>
        <v>4.1067761806981519E-4</v>
      </c>
      <c r="N68" s="4">
        <f>SUM(N59:N67)</f>
        <v>2435</v>
      </c>
    </row>
    <row r="70" spans="1:14" ht="15.75" thickBot="1" x14ac:dyDescent="0.3"/>
    <row r="71" spans="1:14" ht="30" customHeight="1" x14ac:dyDescent="0.25">
      <c r="A71" s="26"/>
      <c r="B71" s="41" t="s">
        <v>77</v>
      </c>
      <c r="C71" s="42"/>
      <c r="F71" s="12"/>
      <c r="G71" s="12"/>
      <c r="H71" s="12"/>
      <c r="I71" s="12"/>
      <c r="J71" s="12"/>
      <c r="K71" s="12"/>
      <c r="L71" s="12"/>
      <c r="M71" s="12"/>
    </row>
    <row r="72" spans="1:14" ht="30.75" thickBot="1" x14ac:dyDescent="0.3">
      <c r="A72" s="24" t="s">
        <v>76</v>
      </c>
      <c r="B72" s="32">
        <v>216</v>
      </c>
      <c r="C72" s="33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4" ht="15.75" thickBot="1" x14ac:dyDescent="0.3">
      <c r="A73" s="12"/>
      <c r="D73" s="21"/>
      <c r="E73" s="21"/>
      <c r="F73" s="12"/>
      <c r="G73" s="12"/>
      <c r="H73" s="12"/>
      <c r="I73" s="12"/>
      <c r="J73" s="12"/>
      <c r="K73" s="12"/>
      <c r="L73" s="12"/>
      <c r="M73" s="12"/>
    </row>
    <row r="74" spans="1:14" ht="30" customHeight="1" x14ac:dyDescent="0.25">
      <c r="A74" s="26"/>
      <c r="B74" s="41" t="s">
        <v>79</v>
      </c>
      <c r="C74" s="42"/>
      <c r="D74" s="21"/>
      <c r="E74" s="21"/>
      <c r="F74" s="12"/>
      <c r="G74" s="12"/>
      <c r="H74" s="12"/>
      <c r="I74" s="12"/>
      <c r="J74" s="12"/>
      <c r="K74" s="12"/>
      <c r="L74" s="12"/>
      <c r="M74" s="12"/>
    </row>
    <row r="75" spans="1:14" x14ac:dyDescent="0.25">
      <c r="A75" s="25" t="s">
        <v>78</v>
      </c>
      <c r="B75" s="30" t="s">
        <v>86</v>
      </c>
      <c r="C75" s="31"/>
      <c r="F75" s="12"/>
      <c r="G75" s="12"/>
      <c r="H75" s="12"/>
      <c r="I75" s="12"/>
      <c r="J75" s="12"/>
      <c r="K75" s="12"/>
      <c r="L75" s="12"/>
      <c r="M75" s="12"/>
    </row>
    <row r="76" spans="1:14" ht="30.75" thickBot="1" x14ac:dyDescent="0.3">
      <c r="A76" s="24" t="s">
        <v>87</v>
      </c>
      <c r="B76" s="32">
        <v>4</v>
      </c>
      <c r="C76" s="33"/>
      <c r="F76" s="12"/>
      <c r="G76" s="12"/>
      <c r="H76" s="12"/>
      <c r="I76" s="12"/>
      <c r="J76" s="12"/>
      <c r="K76" s="12"/>
      <c r="L76" s="12"/>
      <c r="M76" s="12"/>
    </row>
    <row r="77" spans="1:14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4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4" x14ac:dyDescent="0.25">
      <c r="A79" s="34" t="s">
        <v>88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</sheetData>
  <mergeCells count="21">
    <mergeCell ref="B76:C76"/>
    <mergeCell ref="A79:M79"/>
    <mergeCell ref="L57:M58"/>
    <mergeCell ref="N57:N58"/>
    <mergeCell ref="B71:C71"/>
    <mergeCell ref="B72:C72"/>
    <mergeCell ref="B74:C74"/>
    <mergeCell ref="B75:C75"/>
    <mergeCell ref="A57:A58"/>
    <mergeCell ref="B57:C58"/>
    <mergeCell ref="D57:E58"/>
    <mergeCell ref="F57:G58"/>
    <mergeCell ref="H57:I58"/>
    <mergeCell ref="J57:K58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N81"/>
  <sheetViews>
    <sheetView tabSelected="1" view="pageLayout" zoomScale="85" zoomScaleNormal="100" zoomScalePageLayoutView="85" workbookViewId="0">
      <selection activeCell="A45" sqref="A45"/>
    </sheetView>
  </sheetViews>
  <sheetFormatPr defaultRowHeight="15" x14ac:dyDescent="0.25"/>
  <cols>
    <col min="1" max="1" width="26.85546875" style="10" customWidth="1"/>
    <col min="2" max="14" width="5.425781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9" t="s">
        <v>151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4" ht="16.5" thickBot="1" x14ac:dyDescent="0.3">
      <c r="A4" s="11"/>
    </row>
    <row r="5" spans="1:14" ht="50.25" customHeight="1" x14ac:dyDescent="0.25">
      <c r="A5" s="23" t="s">
        <v>3</v>
      </c>
      <c r="B5" s="28" t="s">
        <v>52</v>
      </c>
      <c r="C5" s="29"/>
      <c r="D5" s="28" t="s">
        <v>53</v>
      </c>
      <c r="E5" s="29"/>
      <c r="F5" s="28" t="s">
        <v>54</v>
      </c>
      <c r="G5" s="29"/>
      <c r="H5" s="28" t="s">
        <v>55</v>
      </c>
      <c r="I5" s="29"/>
      <c r="J5" s="28" t="s">
        <v>45</v>
      </c>
      <c r="K5" s="29"/>
      <c r="L5" s="28" t="s">
        <v>46</v>
      </c>
      <c r="M5" s="29"/>
      <c r="N5" s="23" t="s">
        <v>0</v>
      </c>
    </row>
    <row r="6" spans="1:14" ht="13.5" customHeight="1" x14ac:dyDescent="0.25">
      <c r="A6" s="5" t="s">
        <v>4</v>
      </c>
      <c r="B6" s="1">
        <v>18</v>
      </c>
      <c r="C6" s="13">
        <f>B6/N6</f>
        <v>0.20454545454545456</v>
      </c>
      <c r="D6" s="1">
        <v>58</v>
      </c>
      <c r="E6" s="13">
        <f>D6/N6</f>
        <v>0.65909090909090906</v>
      </c>
      <c r="F6" s="1">
        <v>12</v>
      </c>
      <c r="G6" s="13">
        <f>F6/N6</f>
        <v>0.13636363636363635</v>
      </c>
      <c r="H6" s="1">
        <v>0</v>
      </c>
      <c r="I6" s="13">
        <f>H6/N6</f>
        <v>0</v>
      </c>
      <c r="J6" s="1">
        <v>0</v>
      </c>
      <c r="K6" s="13">
        <f>J6/N6</f>
        <v>0</v>
      </c>
      <c r="L6" s="1">
        <v>0</v>
      </c>
      <c r="M6" s="13">
        <f>L6/N6</f>
        <v>0</v>
      </c>
      <c r="N6" s="3">
        <f t="shared" ref="N6:N54" si="0">B6+D6+F6+H6+J6+L6</f>
        <v>88</v>
      </c>
    </row>
    <row r="7" spans="1:14" ht="13.5" customHeight="1" x14ac:dyDescent="0.25">
      <c r="A7" s="5" t="s">
        <v>5</v>
      </c>
      <c r="B7" s="1">
        <v>3</v>
      </c>
      <c r="C7" s="13">
        <f>B7/N7</f>
        <v>5.2631578947368418E-2</v>
      </c>
      <c r="D7" s="1">
        <v>37</v>
      </c>
      <c r="E7" s="13">
        <f>D7/N7</f>
        <v>0.64912280701754388</v>
      </c>
      <c r="F7" s="1">
        <v>17</v>
      </c>
      <c r="G7" s="13">
        <f>F7/N7</f>
        <v>0.2982456140350877</v>
      </c>
      <c r="H7" s="1">
        <v>0</v>
      </c>
      <c r="I7" s="13">
        <f>H7/N7</f>
        <v>0</v>
      </c>
      <c r="J7" s="1">
        <v>0</v>
      </c>
      <c r="K7" s="13">
        <f>J7/N7</f>
        <v>0</v>
      </c>
      <c r="L7" s="1">
        <v>0</v>
      </c>
      <c r="M7" s="13">
        <f>L7/N7</f>
        <v>0</v>
      </c>
      <c r="N7" s="3">
        <f>B7+D7+F7+H7+J7+L7</f>
        <v>57</v>
      </c>
    </row>
    <row r="8" spans="1:14" ht="13.5" customHeight="1" x14ac:dyDescent="0.25">
      <c r="A8" s="5" t="s">
        <v>6</v>
      </c>
      <c r="B8" s="1">
        <v>14</v>
      </c>
      <c r="C8" s="13">
        <f>B8/N8</f>
        <v>0.15384615384615385</v>
      </c>
      <c r="D8" s="1">
        <v>63</v>
      </c>
      <c r="E8" s="13">
        <f>D8/N8</f>
        <v>0.69230769230769229</v>
      </c>
      <c r="F8" s="1">
        <v>13</v>
      </c>
      <c r="G8" s="13">
        <f>F8/N8</f>
        <v>0.14285714285714285</v>
      </c>
      <c r="H8" s="1">
        <v>1</v>
      </c>
      <c r="I8" s="13">
        <f>H8/N8</f>
        <v>1.098901098901099E-2</v>
      </c>
      <c r="J8" s="1">
        <v>0</v>
      </c>
      <c r="K8" s="13">
        <f>J8/N8</f>
        <v>0</v>
      </c>
      <c r="L8" s="1">
        <v>0</v>
      </c>
      <c r="M8" s="13">
        <f>L8/N8</f>
        <v>0</v>
      </c>
      <c r="N8" s="3">
        <f>B8+D8+F8+H8+J8+L8</f>
        <v>91</v>
      </c>
    </row>
    <row r="9" spans="1:14" ht="13.5" customHeight="1" x14ac:dyDescent="0.25">
      <c r="A9" s="5" t="s">
        <v>43</v>
      </c>
      <c r="B9" s="1">
        <v>8</v>
      </c>
      <c r="C9" s="13">
        <f t="shared" ref="C9:C55" si="1">B9/N9</f>
        <v>0.10810810810810811</v>
      </c>
      <c r="D9" s="1">
        <v>31</v>
      </c>
      <c r="E9" s="13">
        <f t="shared" ref="E9:E55" si="2">D9/N9</f>
        <v>0.41891891891891891</v>
      </c>
      <c r="F9" s="1">
        <v>30</v>
      </c>
      <c r="G9" s="13">
        <f t="shared" ref="G9:G55" si="3">F9/N9</f>
        <v>0.40540540540540543</v>
      </c>
      <c r="H9" s="1">
        <v>4</v>
      </c>
      <c r="I9" s="13">
        <f t="shared" ref="I9:I55" si="4">H9/N9</f>
        <v>5.4054054054054057E-2</v>
      </c>
      <c r="J9" s="1">
        <v>1</v>
      </c>
      <c r="K9" s="13">
        <f t="shared" ref="K9:K55" si="5">J9/N9</f>
        <v>1.3513513513513514E-2</v>
      </c>
      <c r="L9" s="1">
        <v>0</v>
      </c>
      <c r="M9" s="13">
        <f t="shared" ref="M9:M55" si="6">L9/N9</f>
        <v>0</v>
      </c>
      <c r="N9" s="3">
        <f t="shared" si="0"/>
        <v>74</v>
      </c>
    </row>
    <row r="10" spans="1:14" ht="13.5" customHeight="1" x14ac:dyDescent="0.25">
      <c r="A10" s="5" t="s">
        <v>70</v>
      </c>
      <c r="B10" s="1">
        <v>2</v>
      </c>
      <c r="C10" s="13">
        <f t="shared" si="1"/>
        <v>0.25</v>
      </c>
      <c r="D10" s="1">
        <v>2</v>
      </c>
      <c r="E10" s="13">
        <f t="shared" si="2"/>
        <v>0.25</v>
      </c>
      <c r="F10" s="1">
        <v>3</v>
      </c>
      <c r="G10" s="13">
        <f t="shared" si="3"/>
        <v>0.375</v>
      </c>
      <c r="H10" s="1">
        <v>1</v>
      </c>
      <c r="I10" s="13">
        <f t="shared" si="4"/>
        <v>0.125</v>
      </c>
      <c r="J10" s="1">
        <v>0</v>
      </c>
      <c r="K10" s="13">
        <f t="shared" si="5"/>
        <v>0</v>
      </c>
      <c r="L10" s="1">
        <v>0</v>
      </c>
      <c r="M10" s="13">
        <f t="shared" si="6"/>
        <v>0</v>
      </c>
      <c r="N10" s="3">
        <f t="shared" si="0"/>
        <v>8</v>
      </c>
    </row>
    <row r="11" spans="1:14" ht="13.5" customHeight="1" x14ac:dyDescent="0.25">
      <c r="A11" s="5" t="s">
        <v>7</v>
      </c>
      <c r="B11" s="1">
        <v>7</v>
      </c>
      <c r="C11" s="13">
        <f t="shared" si="1"/>
        <v>0.14285714285714285</v>
      </c>
      <c r="D11" s="1">
        <v>24</v>
      </c>
      <c r="E11" s="13">
        <f t="shared" si="2"/>
        <v>0.48979591836734693</v>
      </c>
      <c r="F11" s="1">
        <v>12</v>
      </c>
      <c r="G11" s="13">
        <f t="shared" si="3"/>
        <v>0.24489795918367346</v>
      </c>
      <c r="H11" s="1">
        <v>4</v>
      </c>
      <c r="I11" s="13">
        <f t="shared" si="4"/>
        <v>8.1632653061224483E-2</v>
      </c>
      <c r="J11" s="1">
        <v>1</v>
      </c>
      <c r="K11" s="13">
        <f t="shared" si="5"/>
        <v>2.0408163265306121E-2</v>
      </c>
      <c r="L11" s="1">
        <v>1</v>
      </c>
      <c r="M11" s="13">
        <f t="shared" si="6"/>
        <v>2.0408163265306121E-2</v>
      </c>
      <c r="N11" s="3">
        <f t="shared" si="0"/>
        <v>49</v>
      </c>
    </row>
    <row r="12" spans="1:14" ht="13.5" customHeight="1" x14ac:dyDescent="0.25">
      <c r="A12" s="5" t="s">
        <v>8</v>
      </c>
      <c r="B12" s="1">
        <v>11</v>
      </c>
      <c r="C12" s="13">
        <f t="shared" si="1"/>
        <v>0.10891089108910891</v>
      </c>
      <c r="D12" s="1">
        <v>59</v>
      </c>
      <c r="E12" s="13">
        <f t="shared" si="2"/>
        <v>0.58415841584158412</v>
      </c>
      <c r="F12" s="1">
        <v>27</v>
      </c>
      <c r="G12" s="13">
        <f t="shared" si="3"/>
        <v>0.26732673267326734</v>
      </c>
      <c r="H12" s="1">
        <v>2</v>
      </c>
      <c r="I12" s="13">
        <f t="shared" si="4"/>
        <v>1.9801980198019802E-2</v>
      </c>
      <c r="J12" s="1">
        <v>2</v>
      </c>
      <c r="K12" s="13">
        <f t="shared" si="5"/>
        <v>1.9801980198019802E-2</v>
      </c>
      <c r="L12" s="1">
        <v>0</v>
      </c>
      <c r="M12" s="13">
        <f t="shared" si="6"/>
        <v>0</v>
      </c>
      <c r="N12" s="3">
        <f t="shared" si="0"/>
        <v>101</v>
      </c>
    </row>
    <row r="13" spans="1:14" ht="13.5" customHeight="1" x14ac:dyDescent="0.25">
      <c r="A13" s="5" t="s">
        <v>71</v>
      </c>
      <c r="B13" s="1">
        <v>8</v>
      </c>
      <c r="C13" s="13">
        <f t="shared" si="1"/>
        <v>0.16</v>
      </c>
      <c r="D13" s="1">
        <v>18</v>
      </c>
      <c r="E13" s="13">
        <f t="shared" si="2"/>
        <v>0.36</v>
      </c>
      <c r="F13" s="1">
        <v>17</v>
      </c>
      <c r="G13" s="13">
        <f t="shared" si="3"/>
        <v>0.34</v>
      </c>
      <c r="H13" s="1">
        <v>7</v>
      </c>
      <c r="I13" s="13">
        <f t="shared" si="4"/>
        <v>0.14000000000000001</v>
      </c>
      <c r="J13" s="1">
        <v>0</v>
      </c>
      <c r="K13" s="13">
        <f t="shared" si="5"/>
        <v>0</v>
      </c>
      <c r="L13" s="1">
        <v>0</v>
      </c>
      <c r="M13" s="13">
        <f t="shared" si="6"/>
        <v>0</v>
      </c>
      <c r="N13" s="3">
        <f t="shared" si="0"/>
        <v>50</v>
      </c>
    </row>
    <row r="14" spans="1:14" ht="13.5" customHeight="1" x14ac:dyDescent="0.25">
      <c r="A14" s="5" t="s">
        <v>10</v>
      </c>
      <c r="B14" s="1">
        <v>2</v>
      </c>
      <c r="C14" s="13">
        <f t="shared" si="1"/>
        <v>0.11764705882352941</v>
      </c>
      <c r="D14" s="1">
        <v>6</v>
      </c>
      <c r="E14" s="13">
        <f t="shared" si="2"/>
        <v>0.35294117647058826</v>
      </c>
      <c r="F14" s="1">
        <v>3</v>
      </c>
      <c r="G14" s="13">
        <f t="shared" si="3"/>
        <v>0.17647058823529413</v>
      </c>
      <c r="H14" s="1">
        <v>5</v>
      </c>
      <c r="I14" s="13">
        <f t="shared" si="4"/>
        <v>0.29411764705882354</v>
      </c>
      <c r="J14" s="1">
        <v>1</v>
      </c>
      <c r="K14" s="13">
        <f t="shared" si="5"/>
        <v>5.8823529411764705E-2</v>
      </c>
      <c r="L14" s="1">
        <v>0</v>
      </c>
      <c r="M14" s="13">
        <f t="shared" si="6"/>
        <v>0</v>
      </c>
      <c r="N14" s="3">
        <f t="shared" si="0"/>
        <v>17</v>
      </c>
    </row>
    <row r="15" spans="1:14" ht="13.5" customHeight="1" x14ac:dyDescent="0.25">
      <c r="A15" s="5" t="s">
        <v>11</v>
      </c>
      <c r="B15" s="1">
        <v>10</v>
      </c>
      <c r="C15" s="13">
        <f t="shared" si="1"/>
        <v>0.15873015873015872</v>
      </c>
      <c r="D15" s="1">
        <v>14</v>
      </c>
      <c r="E15" s="13">
        <f t="shared" si="2"/>
        <v>0.22222222222222221</v>
      </c>
      <c r="F15" s="1">
        <v>24</v>
      </c>
      <c r="G15" s="13">
        <f t="shared" si="3"/>
        <v>0.38095238095238093</v>
      </c>
      <c r="H15" s="1">
        <v>12</v>
      </c>
      <c r="I15" s="13">
        <f t="shared" si="4"/>
        <v>0.19047619047619047</v>
      </c>
      <c r="J15" s="1">
        <v>3</v>
      </c>
      <c r="K15" s="13">
        <f t="shared" si="5"/>
        <v>4.7619047619047616E-2</v>
      </c>
      <c r="L15" s="1">
        <v>0</v>
      </c>
      <c r="M15" s="13">
        <f t="shared" si="6"/>
        <v>0</v>
      </c>
      <c r="N15" s="3">
        <f t="shared" si="0"/>
        <v>63</v>
      </c>
    </row>
    <row r="16" spans="1:14" ht="13.5" customHeight="1" x14ac:dyDescent="0.25">
      <c r="A16" s="5" t="s">
        <v>42</v>
      </c>
      <c r="B16" s="1">
        <v>19</v>
      </c>
      <c r="C16" s="13">
        <f t="shared" si="1"/>
        <v>0.16666666666666666</v>
      </c>
      <c r="D16" s="1">
        <v>89</v>
      </c>
      <c r="E16" s="13">
        <f t="shared" si="2"/>
        <v>0.7807017543859649</v>
      </c>
      <c r="F16" s="1">
        <v>6</v>
      </c>
      <c r="G16" s="13">
        <f t="shared" si="3"/>
        <v>5.2631578947368418E-2</v>
      </c>
      <c r="H16" s="1">
        <v>0</v>
      </c>
      <c r="I16" s="13">
        <f t="shared" si="4"/>
        <v>0</v>
      </c>
      <c r="J16" s="1">
        <v>0</v>
      </c>
      <c r="K16" s="13">
        <f t="shared" si="5"/>
        <v>0</v>
      </c>
      <c r="L16" s="1">
        <v>0</v>
      </c>
      <c r="M16" s="13">
        <f t="shared" si="6"/>
        <v>0</v>
      </c>
      <c r="N16" s="3">
        <f t="shared" si="0"/>
        <v>114</v>
      </c>
    </row>
    <row r="17" spans="1:14" ht="13.5" customHeight="1" x14ac:dyDescent="0.25">
      <c r="A17" s="5" t="s">
        <v>12</v>
      </c>
      <c r="B17" s="1">
        <v>7</v>
      </c>
      <c r="C17" s="13">
        <f t="shared" si="1"/>
        <v>0.1206896551724138</v>
      </c>
      <c r="D17" s="1">
        <v>21</v>
      </c>
      <c r="E17" s="13">
        <f t="shared" si="2"/>
        <v>0.36206896551724138</v>
      </c>
      <c r="F17" s="1">
        <v>25</v>
      </c>
      <c r="G17" s="13">
        <f t="shared" si="3"/>
        <v>0.43103448275862066</v>
      </c>
      <c r="H17" s="1">
        <v>4</v>
      </c>
      <c r="I17" s="13">
        <f t="shared" si="4"/>
        <v>6.8965517241379309E-2</v>
      </c>
      <c r="J17" s="1">
        <v>1</v>
      </c>
      <c r="K17" s="13">
        <f t="shared" si="5"/>
        <v>1.7241379310344827E-2</v>
      </c>
      <c r="L17" s="1">
        <v>0</v>
      </c>
      <c r="M17" s="13">
        <f t="shared" si="6"/>
        <v>0</v>
      </c>
      <c r="N17" s="3">
        <f t="shared" si="0"/>
        <v>58</v>
      </c>
    </row>
    <row r="18" spans="1:14" ht="13.5" customHeight="1" x14ac:dyDescent="0.25">
      <c r="A18" s="5" t="s">
        <v>13</v>
      </c>
      <c r="B18" s="1">
        <v>0</v>
      </c>
      <c r="C18" s="13">
        <f t="shared" si="1"/>
        <v>0</v>
      </c>
      <c r="D18" s="1">
        <v>5</v>
      </c>
      <c r="E18" s="13">
        <f t="shared" si="2"/>
        <v>0.83333333333333337</v>
      </c>
      <c r="F18" s="1">
        <v>1</v>
      </c>
      <c r="G18" s="13">
        <f t="shared" si="3"/>
        <v>0.16666666666666666</v>
      </c>
      <c r="H18" s="1">
        <v>0</v>
      </c>
      <c r="I18" s="13">
        <f t="shared" si="4"/>
        <v>0</v>
      </c>
      <c r="J18" s="1">
        <v>0</v>
      </c>
      <c r="K18" s="13">
        <f t="shared" si="5"/>
        <v>0</v>
      </c>
      <c r="L18" s="1">
        <v>0</v>
      </c>
      <c r="M18" s="13">
        <f t="shared" si="6"/>
        <v>0</v>
      </c>
      <c r="N18" s="3">
        <f t="shared" si="0"/>
        <v>6</v>
      </c>
    </row>
    <row r="19" spans="1:14" ht="13.5" customHeight="1" x14ac:dyDescent="0.25">
      <c r="A19" s="5" t="s">
        <v>14</v>
      </c>
      <c r="B19" s="1">
        <v>16</v>
      </c>
      <c r="C19" s="13">
        <f t="shared" si="1"/>
        <v>0.128</v>
      </c>
      <c r="D19" s="1">
        <v>49</v>
      </c>
      <c r="E19" s="13">
        <f t="shared" si="2"/>
        <v>0.39200000000000002</v>
      </c>
      <c r="F19" s="1">
        <v>51</v>
      </c>
      <c r="G19" s="13">
        <f t="shared" si="3"/>
        <v>0.40799999999999997</v>
      </c>
      <c r="H19" s="1">
        <v>7</v>
      </c>
      <c r="I19" s="13">
        <f t="shared" si="4"/>
        <v>5.6000000000000001E-2</v>
      </c>
      <c r="J19" s="1">
        <v>2</v>
      </c>
      <c r="K19" s="13">
        <f t="shared" si="5"/>
        <v>1.6E-2</v>
      </c>
      <c r="L19" s="1">
        <v>0</v>
      </c>
      <c r="M19" s="13">
        <f t="shared" si="6"/>
        <v>0</v>
      </c>
      <c r="N19" s="3">
        <f t="shared" si="0"/>
        <v>125</v>
      </c>
    </row>
    <row r="20" spans="1:14" ht="13.5" customHeight="1" x14ac:dyDescent="0.25">
      <c r="A20" s="5" t="s">
        <v>15</v>
      </c>
      <c r="B20" s="1">
        <v>18</v>
      </c>
      <c r="C20" s="13">
        <f t="shared" si="1"/>
        <v>0.26865671641791045</v>
      </c>
      <c r="D20" s="1">
        <v>20</v>
      </c>
      <c r="E20" s="13">
        <f t="shared" si="2"/>
        <v>0.29850746268656714</v>
      </c>
      <c r="F20" s="1">
        <v>16</v>
      </c>
      <c r="G20" s="13">
        <f t="shared" si="3"/>
        <v>0.23880597014925373</v>
      </c>
      <c r="H20" s="1">
        <v>8</v>
      </c>
      <c r="I20" s="13">
        <f t="shared" si="4"/>
        <v>0.11940298507462686</v>
      </c>
      <c r="J20" s="1">
        <v>5</v>
      </c>
      <c r="K20" s="13">
        <f t="shared" si="5"/>
        <v>7.4626865671641784E-2</v>
      </c>
      <c r="L20" s="1">
        <v>0</v>
      </c>
      <c r="M20" s="13">
        <f t="shared" si="6"/>
        <v>0</v>
      </c>
      <c r="N20" s="3">
        <f t="shared" si="0"/>
        <v>67</v>
      </c>
    </row>
    <row r="21" spans="1:14" ht="13.5" customHeight="1" x14ac:dyDescent="0.25">
      <c r="A21" s="5" t="s">
        <v>16</v>
      </c>
      <c r="B21" s="1">
        <v>7</v>
      </c>
      <c r="C21" s="13">
        <f t="shared" si="1"/>
        <v>9.3333333333333338E-2</v>
      </c>
      <c r="D21" s="1">
        <v>50</v>
      </c>
      <c r="E21" s="13">
        <f t="shared" si="2"/>
        <v>0.66666666666666663</v>
      </c>
      <c r="F21" s="1">
        <v>15</v>
      </c>
      <c r="G21" s="13">
        <f t="shared" si="3"/>
        <v>0.2</v>
      </c>
      <c r="H21" s="1">
        <v>3</v>
      </c>
      <c r="I21" s="13">
        <f t="shared" si="4"/>
        <v>0.04</v>
      </c>
      <c r="J21" s="1">
        <v>0</v>
      </c>
      <c r="K21" s="13">
        <f t="shared" si="5"/>
        <v>0</v>
      </c>
      <c r="L21" s="1">
        <v>0</v>
      </c>
      <c r="M21" s="13">
        <f t="shared" si="6"/>
        <v>0</v>
      </c>
      <c r="N21" s="3">
        <f t="shared" si="0"/>
        <v>75</v>
      </c>
    </row>
    <row r="22" spans="1:14" ht="13.5" customHeight="1" x14ac:dyDescent="0.25">
      <c r="A22" s="5" t="s">
        <v>17</v>
      </c>
      <c r="B22" s="1">
        <v>8</v>
      </c>
      <c r="C22" s="13">
        <f t="shared" si="1"/>
        <v>0.25806451612903225</v>
      </c>
      <c r="D22" s="1">
        <v>16</v>
      </c>
      <c r="E22" s="13">
        <f t="shared" si="2"/>
        <v>0.5161290322580645</v>
      </c>
      <c r="F22" s="1">
        <v>7</v>
      </c>
      <c r="G22" s="13">
        <f t="shared" si="3"/>
        <v>0.22580645161290322</v>
      </c>
      <c r="H22" s="1">
        <v>0</v>
      </c>
      <c r="I22" s="13">
        <f t="shared" si="4"/>
        <v>0</v>
      </c>
      <c r="J22" s="1">
        <v>0</v>
      </c>
      <c r="K22" s="13">
        <f t="shared" si="5"/>
        <v>0</v>
      </c>
      <c r="L22" s="1">
        <v>0</v>
      </c>
      <c r="M22" s="13">
        <f t="shared" si="6"/>
        <v>0</v>
      </c>
      <c r="N22" s="3">
        <f t="shared" si="0"/>
        <v>31</v>
      </c>
    </row>
    <row r="23" spans="1:14" ht="13.5" customHeight="1" x14ac:dyDescent="0.25">
      <c r="A23" s="5" t="s">
        <v>18</v>
      </c>
      <c r="B23" s="1">
        <v>9</v>
      </c>
      <c r="C23" s="13">
        <f t="shared" si="1"/>
        <v>0.15254237288135594</v>
      </c>
      <c r="D23" s="1">
        <v>30</v>
      </c>
      <c r="E23" s="13">
        <f t="shared" si="2"/>
        <v>0.50847457627118642</v>
      </c>
      <c r="F23" s="1">
        <v>20</v>
      </c>
      <c r="G23" s="13">
        <f t="shared" si="3"/>
        <v>0.33898305084745761</v>
      </c>
      <c r="H23" s="1">
        <v>0</v>
      </c>
      <c r="I23" s="13">
        <f t="shared" si="4"/>
        <v>0</v>
      </c>
      <c r="J23" s="1">
        <v>0</v>
      </c>
      <c r="K23" s="13">
        <f t="shared" si="5"/>
        <v>0</v>
      </c>
      <c r="L23" s="1">
        <v>0</v>
      </c>
      <c r="M23" s="13">
        <f t="shared" si="6"/>
        <v>0</v>
      </c>
      <c r="N23" s="3">
        <f t="shared" si="0"/>
        <v>59</v>
      </c>
    </row>
    <row r="24" spans="1:14" ht="13.5" customHeight="1" x14ac:dyDescent="0.25">
      <c r="A24" s="5" t="s">
        <v>19</v>
      </c>
      <c r="B24" s="1">
        <v>3</v>
      </c>
      <c r="C24" s="13">
        <f t="shared" si="1"/>
        <v>3.2258064516129031E-2</v>
      </c>
      <c r="D24" s="1">
        <v>44</v>
      </c>
      <c r="E24" s="13">
        <f t="shared" si="2"/>
        <v>0.4731182795698925</v>
      </c>
      <c r="F24" s="1">
        <v>46</v>
      </c>
      <c r="G24" s="13">
        <f t="shared" si="3"/>
        <v>0.4946236559139785</v>
      </c>
      <c r="H24" s="1">
        <v>0</v>
      </c>
      <c r="I24" s="13">
        <f t="shared" si="4"/>
        <v>0</v>
      </c>
      <c r="J24" s="1">
        <v>0</v>
      </c>
      <c r="K24" s="13">
        <f t="shared" si="5"/>
        <v>0</v>
      </c>
      <c r="L24" s="1">
        <v>0</v>
      </c>
      <c r="M24" s="13">
        <f t="shared" si="6"/>
        <v>0</v>
      </c>
      <c r="N24" s="3">
        <f t="shared" si="0"/>
        <v>93</v>
      </c>
    </row>
    <row r="25" spans="1:14" ht="13.5" customHeight="1" x14ac:dyDescent="0.25">
      <c r="A25" s="5" t="s">
        <v>20</v>
      </c>
      <c r="B25" s="1">
        <v>1</v>
      </c>
      <c r="C25" s="13">
        <f t="shared" si="1"/>
        <v>2.7027027027027029E-2</v>
      </c>
      <c r="D25" s="1">
        <v>18</v>
      </c>
      <c r="E25" s="13">
        <f t="shared" si="2"/>
        <v>0.48648648648648651</v>
      </c>
      <c r="F25" s="1">
        <v>15</v>
      </c>
      <c r="G25" s="13">
        <f t="shared" si="3"/>
        <v>0.40540540540540543</v>
      </c>
      <c r="H25" s="1">
        <v>3</v>
      </c>
      <c r="I25" s="13">
        <f t="shared" si="4"/>
        <v>8.1081081081081086E-2</v>
      </c>
      <c r="J25" s="1">
        <v>0</v>
      </c>
      <c r="K25" s="13">
        <f t="shared" si="5"/>
        <v>0</v>
      </c>
      <c r="L25" s="1">
        <v>0</v>
      </c>
      <c r="M25" s="13">
        <f t="shared" si="6"/>
        <v>0</v>
      </c>
      <c r="N25" s="3">
        <f t="shared" si="0"/>
        <v>37</v>
      </c>
    </row>
    <row r="26" spans="1:14" ht="13.5" customHeight="1" x14ac:dyDescent="0.25">
      <c r="A26" s="5" t="s">
        <v>21</v>
      </c>
      <c r="B26" s="1">
        <v>4</v>
      </c>
      <c r="C26" s="13">
        <f t="shared" si="1"/>
        <v>0.14814814814814814</v>
      </c>
      <c r="D26" s="1">
        <v>14</v>
      </c>
      <c r="E26" s="13">
        <f t="shared" si="2"/>
        <v>0.51851851851851849</v>
      </c>
      <c r="F26" s="1">
        <v>8</v>
      </c>
      <c r="G26" s="13">
        <f t="shared" si="3"/>
        <v>0.29629629629629628</v>
      </c>
      <c r="H26" s="1">
        <v>1</v>
      </c>
      <c r="I26" s="13">
        <f t="shared" si="4"/>
        <v>3.7037037037037035E-2</v>
      </c>
      <c r="J26" s="1">
        <v>0</v>
      </c>
      <c r="K26" s="13">
        <f t="shared" si="5"/>
        <v>0</v>
      </c>
      <c r="L26" s="1">
        <v>0</v>
      </c>
      <c r="M26" s="13">
        <f t="shared" si="6"/>
        <v>0</v>
      </c>
      <c r="N26" s="3">
        <f t="shared" si="0"/>
        <v>27</v>
      </c>
    </row>
    <row r="27" spans="1:14" ht="13.5" customHeight="1" x14ac:dyDescent="0.25">
      <c r="A27" s="5" t="s">
        <v>38</v>
      </c>
      <c r="B27" s="1">
        <v>5</v>
      </c>
      <c r="C27" s="13">
        <f t="shared" si="1"/>
        <v>0.20833333333333334</v>
      </c>
      <c r="D27" s="1">
        <v>12</v>
      </c>
      <c r="E27" s="13">
        <f t="shared" si="2"/>
        <v>0.5</v>
      </c>
      <c r="F27" s="1">
        <v>6</v>
      </c>
      <c r="G27" s="13">
        <f t="shared" si="3"/>
        <v>0.25</v>
      </c>
      <c r="H27" s="1">
        <v>1</v>
      </c>
      <c r="I27" s="13">
        <f t="shared" si="4"/>
        <v>4.1666666666666664E-2</v>
      </c>
      <c r="J27" s="1">
        <v>0</v>
      </c>
      <c r="K27" s="13">
        <f t="shared" si="5"/>
        <v>0</v>
      </c>
      <c r="L27" s="1">
        <v>0</v>
      </c>
      <c r="M27" s="13">
        <f t="shared" si="6"/>
        <v>0</v>
      </c>
      <c r="N27" s="3">
        <f t="shared" si="0"/>
        <v>24</v>
      </c>
    </row>
    <row r="28" spans="1:14" ht="13.5" customHeight="1" x14ac:dyDescent="0.25">
      <c r="A28" s="5" t="s">
        <v>39</v>
      </c>
      <c r="B28" s="1">
        <v>3</v>
      </c>
      <c r="C28" s="13">
        <f t="shared" si="1"/>
        <v>0.21428571428571427</v>
      </c>
      <c r="D28" s="1">
        <v>8</v>
      </c>
      <c r="E28" s="13">
        <f t="shared" si="2"/>
        <v>0.5714285714285714</v>
      </c>
      <c r="F28" s="1">
        <v>3</v>
      </c>
      <c r="G28" s="13">
        <f t="shared" si="3"/>
        <v>0.21428571428571427</v>
      </c>
      <c r="H28" s="1">
        <v>0</v>
      </c>
      <c r="I28" s="13">
        <f t="shared" si="4"/>
        <v>0</v>
      </c>
      <c r="J28" s="1">
        <v>0</v>
      </c>
      <c r="K28" s="13">
        <f t="shared" si="5"/>
        <v>0</v>
      </c>
      <c r="L28" s="1">
        <v>0</v>
      </c>
      <c r="M28" s="13">
        <f t="shared" si="6"/>
        <v>0</v>
      </c>
      <c r="N28" s="3">
        <f t="shared" si="0"/>
        <v>14</v>
      </c>
    </row>
    <row r="29" spans="1:14" ht="13.5" customHeight="1" x14ac:dyDescent="0.25">
      <c r="A29" s="5" t="s">
        <v>22</v>
      </c>
      <c r="B29" s="1">
        <v>17</v>
      </c>
      <c r="C29" s="13">
        <f t="shared" si="1"/>
        <v>0.16190476190476191</v>
      </c>
      <c r="D29" s="1">
        <v>76</v>
      </c>
      <c r="E29" s="13">
        <f t="shared" si="2"/>
        <v>0.72380952380952379</v>
      </c>
      <c r="F29" s="1">
        <v>11</v>
      </c>
      <c r="G29" s="13">
        <f t="shared" si="3"/>
        <v>0.10476190476190476</v>
      </c>
      <c r="H29" s="1">
        <v>1</v>
      </c>
      <c r="I29" s="13">
        <f t="shared" si="4"/>
        <v>9.5238095238095247E-3</v>
      </c>
      <c r="J29" s="1">
        <v>0</v>
      </c>
      <c r="K29" s="13">
        <f t="shared" si="5"/>
        <v>0</v>
      </c>
      <c r="L29" s="1">
        <v>0</v>
      </c>
      <c r="M29" s="13">
        <f t="shared" si="6"/>
        <v>0</v>
      </c>
      <c r="N29" s="3">
        <f t="shared" si="0"/>
        <v>105</v>
      </c>
    </row>
    <row r="30" spans="1:14" ht="13.5" customHeight="1" x14ac:dyDescent="0.25">
      <c r="A30" s="5" t="s">
        <v>40</v>
      </c>
      <c r="B30" s="1">
        <v>6</v>
      </c>
      <c r="C30" s="13">
        <f t="shared" si="1"/>
        <v>0.1</v>
      </c>
      <c r="D30" s="1">
        <v>45</v>
      </c>
      <c r="E30" s="13">
        <f t="shared" si="2"/>
        <v>0.75</v>
      </c>
      <c r="F30" s="1">
        <v>9</v>
      </c>
      <c r="G30" s="13">
        <f t="shared" si="3"/>
        <v>0.15</v>
      </c>
      <c r="H30" s="1">
        <v>0</v>
      </c>
      <c r="I30" s="13">
        <f t="shared" si="4"/>
        <v>0</v>
      </c>
      <c r="J30" s="1">
        <v>0</v>
      </c>
      <c r="K30" s="13">
        <f t="shared" si="5"/>
        <v>0</v>
      </c>
      <c r="L30" s="1">
        <v>0</v>
      </c>
      <c r="M30" s="13">
        <f t="shared" si="6"/>
        <v>0</v>
      </c>
      <c r="N30" s="3">
        <f t="shared" si="0"/>
        <v>60</v>
      </c>
    </row>
    <row r="31" spans="1:14" ht="13.5" customHeight="1" x14ac:dyDescent="0.25">
      <c r="A31" s="5" t="s">
        <v>72</v>
      </c>
      <c r="B31" s="1">
        <v>3</v>
      </c>
      <c r="C31" s="13">
        <f t="shared" si="1"/>
        <v>6.5217391304347824E-2</v>
      </c>
      <c r="D31" s="1">
        <v>21</v>
      </c>
      <c r="E31" s="13">
        <f t="shared" si="2"/>
        <v>0.45652173913043476</v>
      </c>
      <c r="F31" s="1">
        <v>21</v>
      </c>
      <c r="G31" s="13">
        <f t="shared" si="3"/>
        <v>0.45652173913043476</v>
      </c>
      <c r="H31" s="1">
        <v>1</v>
      </c>
      <c r="I31" s="13">
        <f t="shared" si="4"/>
        <v>2.1739130434782608E-2</v>
      </c>
      <c r="J31" s="1">
        <v>0</v>
      </c>
      <c r="K31" s="13">
        <f t="shared" si="5"/>
        <v>0</v>
      </c>
      <c r="L31" s="1">
        <v>0</v>
      </c>
      <c r="M31" s="13">
        <f t="shared" si="6"/>
        <v>0</v>
      </c>
      <c r="N31" s="3">
        <f t="shared" si="0"/>
        <v>46</v>
      </c>
    </row>
    <row r="32" spans="1:14" ht="13.5" customHeight="1" x14ac:dyDescent="0.25">
      <c r="A32" s="5" t="s">
        <v>37</v>
      </c>
      <c r="B32" s="1">
        <v>3</v>
      </c>
      <c r="C32" s="13">
        <f t="shared" si="1"/>
        <v>0.1875</v>
      </c>
      <c r="D32" s="1">
        <v>12</v>
      </c>
      <c r="E32" s="13">
        <f t="shared" si="2"/>
        <v>0.75</v>
      </c>
      <c r="F32" s="1">
        <v>1</v>
      </c>
      <c r="G32" s="13">
        <f t="shared" si="3"/>
        <v>6.25E-2</v>
      </c>
      <c r="H32" s="1">
        <v>0</v>
      </c>
      <c r="I32" s="13">
        <f t="shared" si="4"/>
        <v>0</v>
      </c>
      <c r="J32" s="1">
        <v>0</v>
      </c>
      <c r="K32" s="13">
        <f t="shared" si="5"/>
        <v>0</v>
      </c>
      <c r="L32" s="1">
        <v>0</v>
      </c>
      <c r="M32" s="13">
        <f t="shared" si="6"/>
        <v>0</v>
      </c>
      <c r="N32" s="3">
        <f t="shared" si="0"/>
        <v>16</v>
      </c>
    </row>
    <row r="33" spans="1:14" ht="13.5" customHeight="1" x14ac:dyDescent="0.25">
      <c r="A33" s="5" t="s">
        <v>23</v>
      </c>
      <c r="B33" s="1">
        <v>1</v>
      </c>
      <c r="C33" s="13">
        <f t="shared" si="1"/>
        <v>1.7241379310344827E-2</v>
      </c>
      <c r="D33" s="1">
        <v>38</v>
      </c>
      <c r="E33" s="13">
        <f t="shared" si="2"/>
        <v>0.65517241379310343</v>
      </c>
      <c r="F33" s="1">
        <v>17</v>
      </c>
      <c r="G33" s="13">
        <f t="shared" si="3"/>
        <v>0.29310344827586204</v>
      </c>
      <c r="H33" s="1">
        <v>2</v>
      </c>
      <c r="I33" s="13">
        <f t="shared" si="4"/>
        <v>3.4482758620689655E-2</v>
      </c>
      <c r="J33" s="1">
        <v>0</v>
      </c>
      <c r="K33" s="13">
        <f t="shared" si="5"/>
        <v>0</v>
      </c>
      <c r="L33" s="1">
        <v>0</v>
      </c>
      <c r="M33" s="13">
        <f t="shared" si="6"/>
        <v>0</v>
      </c>
      <c r="N33" s="3">
        <f t="shared" si="0"/>
        <v>58</v>
      </c>
    </row>
    <row r="34" spans="1:14" ht="13.5" customHeight="1" x14ac:dyDescent="0.25">
      <c r="A34" s="5" t="s">
        <v>1</v>
      </c>
      <c r="B34" s="1">
        <v>5</v>
      </c>
      <c r="C34" s="13">
        <f t="shared" si="1"/>
        <v>3.6496350364963501E-2</v>
      </c>
      <c r="D34" s="1">
        <v>72</v>
      </c>
      <c r="E34" s="13">
        <f t="shared" si="2"/>
        <v>0.52554744525547448</v>
      </c>
      <c r="F34" s="1">
        <v>54</v>
      </c>
      <c r="G34" s="13">
        <f t="shared" si="3"/>
        <v>0.39416058394160586</v>
      </c>
      <c r="H34" s="1">
        <v>6</v>
      </c>
      <c r="I34" s="13">
        <f t="shared" si="4"/>
        <v>4.3795620437956206E-2</v>
      </c>
      <c r="J34" s="1">
        <v>0</v>
      </c>
      <c r="K34" s="13">
        <f t="shared" si="5"/>
        <v>0</v>
      </c>
      <c r="L34" s="1">
        <v>0</v>
      </c>
      <c r="M34" s="13">
        <f t="shared" si="6"/>
        <v>0</v>
      </c>
      <c r="N34" s="3">
        <f t="shared" si="0"/>
        <v>137</v>
      </c>
    </row>
    <row r="35" spans="1:14" ht="13.5" customHeight="1" x14ac:dyDescent="0.25">
      <c r="A35" s="5" t="s">
        <v>73</v>
      </c>
      <c r="B35" s="1">
        <v>3</v>
      </c>
      <c r="C35" s="13">
        <f t="shared" si="1"/>
        <v>0.10714285714285714</v>
      </c>
      <c r="D35" s="1">
        <v>7</v>
      </c>
      <c r="E35" s="13">
        <f t="shared" si="2"/>
        <v>0.25</v>
      </c>
      <c r="F35" s="1">
        <v>14</v>
      </c>
      <c r="G35" s="13">
        <f t="shared" si="3"/>
        <v>0.5</v>
      </c>
      <c r="H35" s="1">
        <v>4</v>
      </c>
      <c r="I35" s="13">
        <f t="shared" si="4"/>
        <v>0.14285714285714285</v>
      </c>
      <c r="J35" s="1">
        <v>0</v>
      </c>
      <c r="K35" s="13">
        <f t="shared" si="5"/>
        <v>0</v>
      </c>
      <c r="L35" s="1">
        <v>0</v>
      </c>
      <c r="M35" s="13">
        <f t="shared" si="6"/>
        <v>0</v>
      </c>
      <c r="N35" s="3">
        <f t="shared" si="0"/>
        <v>28</v>
      </c>
    </row>
    <row r="36" spans="1:14" ht="13.5" customHeight="1" x14ac:dyDescent="0.25">
      <c r="A36" s="5" t="s">
        <v>24</v>
      </c>
      <c r="B36" s="1">
        <v>16</v>
      </c>
      <c r="C36" s="13">
        <f t="shared" si="1"/>
        <v>0.2318840579710145</v>
      </c>
      <c r="D36" s="1">
        <v>18</v>
      </c>
      <c r="E36" s="13">
        <f t="shared" si="2"/>
        <v>0.2608695652173913</v>
      </c>
      <c r="F36" s="1">
        <v>20</v>
      </c>
      <c r="G36" s="13">
        <f t="shared" si="3"/>
        <v>0.28985507246376813</v>
      </c>
      <c r="H36" s="1">
        <v>12</v>
      </c>
      <c r="I36" s="13">
        <f t="shared" si="4"/>
        <v>0.17391304347826086</v>
      </c>
      <c r="J36" s="1">
        <v>3</v>
      </c>
      <c r="K36" s="13">
        <f t="shared" si="5"/>
        <v>4.3478260869565216E-2</v>
      </c>
      <c r="L36" s="1">
        <v>0</v>
      </c>
      <c r="M36" s="13">
        <f t="shared" si="6"/>
        <v>0</v>
      </c>
      <c r="N36" s="3">
        <f t="shared" si="0"/>
        <v>69</v>
      </c>
    </row>
    <row r="37" spans="1:14" ht="13.5" customHeight="1" x14ac:dyDescent="0.25">
      <c r="A37" s="5" t="s">
        <v>25</v>
      </c>
      <c r="B37" s="1">
        <v>11</v>
      </c>
      <c r="C37" s="13">
        <f t="shared" si="1"/>
        <v>0.171875</v>
      </c>
      <c r="D37" s="1">
        <v>24</v>
      </c>
      <c r="E37" s="13">
        <f t="shared" si="2"/>
        <v>0.375</v>
      </c>
      <c r="F37" s="1">
        <v>20</v>
      </c>
      <c r="G37" s="13">
        <f t="shared" si="3"/>
        <v>0.3125</v>
      </c>
      <c r="H37" s="1">
        <v>4</v>
      </c>
      <c r="I37" s="13">
        <f t="shared" si="4"/>
        <v>6.25E-2</v>
      </c>
      <c r="J37" s="1">
        <v>5</v>
      </c>
      <c r="K37" s="13">
        <f t="shared" si="5"/>
        <v>7.8125E-2</v>
      </c>
      <c r="L37" s="1">
        <v>0</v>
      </c>
      <c r="M37" s="13">
        <f t="shared" si="6"/>
        <v>0</v>
      </c>
      <c r="N37" s="3">
        <f t="shared" si="0"/>
        <v>64</v>
      </c>
    </row>
    <row r="38" spans="1:14" ht="13.5" customHeight="1" x14ac:dyDescent="0.25">
      <c r="A38" s="5" t="s">
        <v>74</v>
      </c>
      <c r="B38" s="1">
        <v>3</v>
      </c>
      <c r="C38" s="13">
        <f t="shared" si="1"/>
        <v>0.6</v>
      </c>
      <c r="D38" s="1">
        <v>1</v>
      </c>
      <c r="E38" s="13">
        <f t="shared" si="2"/>
        <v>0.2</v>
      </c>
      <c r="F38" s="1">
        <v>1</v>
      </c>
      <c r="G38" s="13">
        <f t="shared" si="3"/>
        <v>0.2</v>
      </c>
      <c r="H38" s="1">
        <v>0</v>
      </c>
      <c r="I38" s="13">
        <f t="shared" si="4"/>
        <v>0</v>
      </c>
      <c r="J38" s="1">
        <v>0</v>
      </c>
      <c r="K38" s="13">
        <f t="shared" si="5"/>
        <v>0</v>
      </c>
      <c r="L38" s="1">
        <v>0</v>
      </c>
      <c r="M38" s="13">
        <f t="shared" si="6"/>
        <v>0</v>
      </c>
      <c r="N38" s="3">
        <f t="shared" si="0"/>
        <v>5</v>
      </c>
    </row>
    <row r="39" spans="1:14" ht="13.5" customHeight="1" x14ac:dyDescent="0.25">
      <c r="A39" s="5" t="s">
        <v>47</v>
      </c>
      <c r="B39" s="1">
        <v>7</v>
      </c>
      <c r="C39" s="13">
        <f t="shared" si="1"/>
        <v>0.18421052631578946</v>
      </c>
      <c r="D39" s="1">
        <v>22</v>
      </c>
      <c r="E39" s="13">
        <f t="shared" si="2"/>
        <v>0.57894736842105265</v>
      </c>
      <c r="F39" s="1">
        <v>9</v>
      </c>
      <c r="G39" s="13">
        <f t="shared" si="3"/>
        <v>0.23684210526315788</v>
      </c>
      <c r="H39" s="1">
        <v>0</v>
      </c>
      <c r="I39" s="13">
        <f t="shared" si="4"/>
        <v>0</v>
      </c>
      <c r="J39" s="1">
        <v>0</v>
      </c>
      <c r="K39" s="13">
        <f t="shared" si="5"/>
        <v>0</v>
      </c>
      <c r="L39" s="1">
        <v>0</v>
      </c>
      <c r="M39" s="13">
        <f t="shared" si="6"/>
        <v>0</v>
      </c>
      <c r="N39" s="3">
        <f t="shared" si="0"/>
        <v>38</v>
      </c>
    </row>
    <row r="40" spans="1:14" ht="13.5" customHeight="1" x14ac:dyDescent="0.25">
      <c r="A40" s="5" t="s">
        <v>48</v>
      </c>
      <c r="B40" s="1">
        <v>2</v>
      </c>
      <c r="C40" s="13">
        <f t="shared" si="1"/>
        <v>0.2</v>
      </c>
      <c r="D40" s="1">
        <v>8</v>
      </c>
      <c r="E40" s="13">
        <f t="shared" si="2"/>
        <v>0.8</v>
      </c>
      <c r="F40" s="1">
        <v>0</v>
      </c>
      <c r="G40" s="13">
        <f t="shared" si="3"/>
        <v>0</v>
      </c>
      <c r="H40" s="1">
        <v>0</v>
      </c>
      <c r="I40" s="13">
        <f t="shared" si="4"/>
        <v>0</v>
      </c>
      <c r="J40" s="1">
        <v>0</v>
      </c>
      <c r="K40" s="13">
        <f t="shared" si="5"/>
        <v>0</v>
      </c>
      <c r="L40" s="1">
        <v>0</v>
      </c>
      <c r="M40" s="13">
        <f t="shared" si="6"/>
        <v>0</v>
      </c>
      <c r="N40" s="3">
        <f t="shared" si="0"/>
        <v>10</v>
      </c>
    </row>
    <row r="41" spans="1:14" ht="13.5" customHeight="1" x14ac:dyDescent="0.25">
      <c r="A41" s="5" t="s">
        <v>26</v>
      </c>
      <c r="B41" s="1">
        <v>5</v>
      </c>
      <c r="C41" s="13">
        <f t="shared" si="1"/>
        <v>0.10416666666666667</v>
      </c>
      <c r="D41" s="1">
        <v>22</v>
      </c>
      <c r="E41" s="13">
        <f t="shared" si="2"/>
        <v>0.45833333333333331</v>
      </c>
      <c r="F41" s="1">
        <v>17</v>
      </c>
      <c r="G41" s="13">
        <f t="shared" si="3"/>
        <v>0.35416666666666669</v>
      </c>
      <c r="H41" s="1">
        <v>1</v>
      </c>
      <c r="I41" s="13">
        <f t="shared" si="4"/>
        <v>2.0833333333333332E-2</v>
      </c>
      <c r="J41" s="1">
        <v>3</v>
      </c>
      <c r="K41" s="13">
        <f t="shared" si="5"/>
        <v>6.25E-2</v>
      </c>
      <c r="L41" s="1">
        <v>0</v>
      </c>
      <c r="M41" s="13">
        <f t="shared" si="6"/>
        <v>0</v>
      </c>
      <c r="N41" s="3">
        <f t="shared" si="0"/>
        <v>48</v>
      </c>
    </row>
    <row r="42" spans="1:14" ht="13.5" customHeight="1" x14ac:dyDescent="0.25">
      <c r="A42" s="5" t="s">
        <v>27</v>
      </c>
      <c r="B42" s="1">
        <v>4</v>
      </c>
      <c r="C42" s="13">
        <f t="shared" si="1"/>
        <v>8.1632653061224483E-2</v>
      </c>
      <c r="D42" s="1">
        <v>32</v>
      </c>
      <c r="E42" s="13">
        <f t="shared" si="2"/>
        <v>0.65306122448979587</v>
      </c>
      <c r="F42" s="1">
        <v>12</v>
      </c>
      <c r="G42" s="13">
        <f t="shared" si="3"/>
        <v>0.24489795918367346</v>
      </c>
      <c r="H42" s="1">
        <v>1</v>
      </c>
      <c r="I42" s="13">
        <f t="shared" si="4"/>
        <v>2.0408163265306121E-2</v>
      </c>
      <c r="J42" s="1">
        <v>0</v>
      </c>
      <c r="K42" s="13">
        <f t="shared" si="5"/>
        <v>0</v>
      </c>
      <c r="L42" s="1">
        <v>0</v>
      </c>
      <c r="M42" s="13">
        <f t="shared" si="6"/>
        <v>0</v>
      </c>
      <c r="N42" s="3">
        <f t="shared" si="0"/>
        <v>49</v>
      </c>
    </row>
    <row r="43" spans="1:14" ht="13.5" customHeight="1" x14ac:dyDescent="0.25">
      <c r="A43" s="5" t="s">
        <v>28</v>
      </c>
      <c r="B43" s="1">
        <v>7</v>
      </c>
      <c r="C43" s="13">
        <f t="shared" si="1"/>
        <v>0.22580645161290322</v>
      </c>
      <c r="D43" s="1">
        <v>14</v>
      </c>
      <c r="E43" s="13">
        <f t="shared" si="2"/>
        <v>0.45161290322580644</v>
      </c>
      <c r="F43" s="1">
        <v>9</v>
      </c>
      <c r="G43" s="13">
        <f t="shared" si="3"/>
        <v>0.29032258064516131</v>
      </c>
      <c r="H43" s="1">
        <v>1</v>
      </c>
      <c r="I43" s="13">
        <f t="shared" si="4"/>
        <v>3.2258064516129031E-2</v>
      </c>
      <c r="J43" s="1">
        <v>0</v>
      </c>
      <c r="K43" s="13">
        <f t="shared" si="5"/>
        <v>0</v>
      </c>
      <c r="L43" s="1">
        <v>0</v>
      </c>
      <c r="M43" s="13">
        <f t="shared" si="6"/>
        <v>0</v>
      </c>
      <c r="N43" s="3">
        <f t="shared" si="0"/>
        <v>31</v>
      </c>
    </row>
    <row r="44" spans="1:14" ht="13.5" customHeight="1" x14ac:dyDescent="0.25">
      <c r="A44" s="5" t="s">
        <v>29</v>
      </c>
      <c r="B44" s="1">
        <v>32</v>
      </c>
      <c r="C44" s="13">
        <f t="shared" si="1"/>
        <v>0.2831858407079646</v>
      </c>
      <c r="D44" s="1">
        <v>38</v>
      </c>
      <c r="E44" s="13">
        <f t="shared" si="2"/>
        <v>0.33628318584070799</v>
      </c>
      <c r="F44" s="1">
        <v>25</v>
      </c>
      <c r="G44" s="13">
        <f t="shared" si="3"/>
        <v>0.22123893805309736</v>
      </c>
      <c r="H44" s="1">
        <v>14</v>
      </c>
      <c r="I44" s="13">
        <f t="shared" si="4"/>
        <v>0.12389380530973451</v>
      </c>
      <c r="J44" s="1">
        <v>4</v>
      </c>
      <c r="K44" s="13">
        <f t="shared" si="5"/>
        <v>3.5398230088495575E-2</v>
      </c>
      <c r="L44" s="1">
        <v>0</v>
      </c>
      <c r="M44" s="13">
        <f t="shared" si="6"/>
        <v>0</v>
      </c>
      <c r="N44" s="3">
        <f t="shared" si="0"/>
        <v>113</v>
      </c>
    </row>
    <row r="45" spans="1:14" ht="13.5" customHeight="1" x14ac:dyDescent="0.25">
      <c r="A45" s="5" t="s">
        <v>30</v>
      </c>
      <c r="B45" s="1">
        <v>4</v>
      </c>
      <c r="C45" s="13">
        <f t="shared" si="1"/>
        <v>0.18181818181818182</v>
      </c>
      <c r="D45" s="1">
        <v>14</v>
      </c>
      <c r="E45" s="13">
        <f t="shared" si="2"/>
        <v>0.63636363636363635</v>
      </c>
      <c r="F45" s="1">
        <v>4</v>
      </c>
      <c r="G45" s="13">
        <f t="shared" si="3"/>
        <v>0.18181818181818182</v>
      </c>
      <c r="H45" s="1">
        <v>0</v>
      </c>
      <c r="I45" s="13">
        <f t="shared" si="4"/>
        <v>0</v>
      </c>
      <c r="J45" s="1">
        <v>0</v>
      </c>
      <c r="K45" s="13">
        <f t="shared" si="5"/>
        <v>0</v>
      </c>
      <c r="L45" s="1">
        <v>0</v>
      </c>
      <c r="M45" s="13">
        <f t="shared" si="6"/>
        <v>0</v>
      </c>
      <c r="N45" s="3">
        <f t="shared" si="0"/>
        <v>22</v>
      </c>
    </row>
    <row r="46" spans="1:14" ht="13.5" customHeight="1" x14ac:dyDescent="0.25">
      <c r="A46" s="5" t="s">
        <v>75</v>
      </c>
      <c r="B46" s="1">
        <v>0</v>
      </c>
      <c r="C46" s="13">
        <f t="shared" si="1"/>
        <v>0</v>
      </c>
      <c r="D46" s="1">
        <v>8</v>
      </c>
      <c r="E46" s="13">
        <f t="shared" si="2"/>
        <v>0.47058823529411764</v>
      </c>
      <c r="F46" s="1">
        <v>8</v>
      </c>
      <c r="G46" s="13">
        <f t="shared" si="3"/>
        <v>0.47058823529411764</v>
      </c>
      <c r="H46" s="1">
        <v>1</v>
      </c>
      <c r="I46" s="13">
        <f t="shared" si="4"/>
        <v>5.8823529411764705E-2</v>
      </c>
      <c r="J46" s="1">
        <v>0</v>
      </c>
      <c r="K46" s="13">
        <f t="shared" si="5"/>
        <v>0</v>
      </c>
      <c r="L46" s="1">
        <v>0</v>
      </c>
      <c r="M46" s="13">
        <f t="shared" si="6"/>
        <v>0</v>
      </c>
      <c r="N46" s="3">
        <f t="shared" si="0"/>
        <v>17</v>
      </c>
    </row>
    <row r="47" spans="1:14" ht="13.5" customHeight="1" x14ac:dyDescent="0.25">
      <c r="A47" s="5" t="s">
        <v>31</v>
      </c>
      <c r="B47" s="1">
        <v>16</v>
      </c>
      <c r="C47" s="13">
        <f t="shared" si="1"/>
        <v>0.14414414414414414</v>
      </c>
      <c r="D47" s="1">
        <v>81</v>
      </c>
      <c r="E47" s="13">
        <f t="shared" si="2"/>
        <v>0.72972972972972971</v>
      </c>
      <c r="F47" s="1">
        <v>14</v>
      </c>
      <c r="G47" s="13">
        <f t="shared" si="3"/>
        <v>0.12612612612612611</v>
      </c>
      <c r="H47" s="1">
        <v>0</v>
      </c>
      <c r="I47" s="13">
        <f t="shared" si="4"/>
        <v>0</v>
      </c>
      <c r="J47" s="1">
        <v>0</v>
      </c>
      <c r="K47" s="13">
        <f t="shared" si="5"/>
        <v>0</v>
      </c>
      <c r="L47" s="1">
        <v>0</v>
      </c>
      <c r="M47" s="13">
        <f t="shared" si="6"/>
        <v>0</v>
      </c>
      <c r="N47" s="3">
        <f t="shared" si="0"/>
        <v>111</v>
      </c>
    </row>
    <row r="48" spans="1:14" ht="13.5" customHeight="1" x14ac:dyDescent="0.25">
      <c r="A48" s="5" t="s">
        <v>32</v>
      </c>
      <c r="B48" s="1">
        <v>0</v>
      </c>
      <c r="C48" s="13">
        <f t="shared" si="1"/>
        <v>0</v>
      </c>
      <c r="D48" s="1">
        <v>5</v>
      </c>
      <c r="E48" s="13">
        <f t="shared" si="2"/>
        <v>0.33333333333333331</v>
      </c>
      <c r="F48" s="1">
        <v>9</v>
      </c>
      <c r="G48" s="13">
        <f t="shared" si="3"/>
        <v>0.6</v>
      </c>
      <c r="H48" s="1">
        <v>1</v>
      </c>
      <c r="I48" s="13">
        <f t="shared" si="4"/>
        <v>6.6666666666666666E-2</v>
      </c>
      <c r="J48" s="1">
        <v>0</v>
      </c>
      <c r="K48" s="13">
        <f t="shared" si="5"/>
        <v>0</v>
      </c>
      <c r="L48" s="1">
        <v>0</v>
      </c>
      <c r="M48" s="13">
        <f t="shared" si="6"/>
        <v>0</v>
      </c>
      <c r="N48" s="3">
        <f t="shared" si="0"/>
        <v>15</v>
      </c>
    </row>
    <row r="49" spans="1:14" ht="13.5" customHeight="1" x14ac:dyDescent="0.25">
      <c r="A49" s="5" t="s">
        <v>33</v>
      </c>
      <c r="B49" s="1">
        <v>3</v>
      </c>
      <c r="C49" s="13">
        <f t="shared" si="1"/>
        <v>0.15789473684210525</v>
      </c>
      <c r="D49" s="1">
        <v>9</v>
      </c>
      <c r="E49" s="13">
        <f t="shared" si="2"/>
        <v>0.47368421052631576</v>
      </c>
      <c r="F49" s="1">
        <v>4</v>
      </c>
      <c r="G49" s="13">
        <f t="shared" si="3"/>
        <v>0.21052631578947367</v>
      </c>
      <c r="H49" s="1">
        <v>3</v>
      </c>
      <c r="I49" s="13">
        <f t="shared" si="4"/>
        <v>0.15789473684210525</v>
      </c>
      <c r="J49" s="1">
        <v>0</v>
      </c>
      <c r="K49" s="13">
        <f t="shared" si="5"/>
        <v>0</v>
      </c>
      <c r="L49" s="1">
        <v>0</v>
      </c>
      <c r="M49" s="13">
        <f t="shared" si="6"/>
        <v>0</v>
      </c>
      <c r="N49" s="3">
        <f t="shared" si="0"/>
        <v>19</v>
      </c>
    </row>
    <row r="50" spans="1:14" x14ac:dyDescent="0.25">
      <c r="A50" s="5" t="s">
        <v>34</v>
      </c>
      <c r="B50" s="1">
        <v>2</v>
      </c>
      <c r="C50" s="13">
        <f t="shared" si="1"/>
        <v>0.14285714285714285</v>
      </c>
      <c r="D50" s="1">
        <v>6</v>
      </c>
      <c r="E50" s="13">
        <f t="shared" si="2"/>
        <v>0.42857142857142855</v>
      </c>
      <c r="F50" s="1">
        <v>5</v>
      </c>
      <c r="G50" s="13">
        <f t="shared" si="3"/>
        <v>0.35714285714285715</v>
      </c>
      <c r="H50" s="1">
        <v>1</v>
      </c>
      <c r="I50" s="13">
        <f t="shared" si="4"/>
        <v>7.1428571428571425E-2</v>
      </c>
      <c r="J50" s="1">
        <v>0</v>
      </c>
      <c r="K50" s="13">
        <f t="shared" si="5"/>
        <v>0</v>
      </c>
      <c r="L50" s="1">
        <v>0</v>
      </c>
      <c r="M50" s="13">
        <f t="shared" si="6"/>
        <v>0</v>
      </c>
      <c r="N50" s="3">
        <f t="shared" si="0"/>
        <v>14</v>
      </c>
    </row>
    <row r="51" spans="1:14" x14ac:dyDescent="0.25">
      <c r="A51" s="5" t="s">
        <v>35</v>
      </c>
      <c r="B51" s="1">
        <v>4</v>
      </c>
      <c r="C51" s="13">
        <f t="shared" si="1"/>
        <v>0.2</v>
      </c>
      <c r="D51" s="1">
        <v>6</v>
      </c>
      <c r="E51" s="13">
        <f t="shared" si="2"/>
        <v>0.3</v>
      </c>
      <c r="F51" s="1">
        <v>7</v>
      </c>
      <c r="G51" s="13">
        <f t="shared" si="3"/>
        <v>0.35</v>
      </c>
      <c r="H51" s="1">
        <v>3</v>
      </c>
      <c r="I51" s="13">
        <f t="shared" si="4"/>
        <v>0.15</v>
      </c>
      <c r="J51" s="1">
        <v>0</v>
      </c>
      <c r="K51" s="13">
        <f t="shared" si="5"/>
        <v>0</v>
      </c>
      <c r="L51" s="1">
        <v>0</v>
      </c>
      <c r="M51" s="13">
        <f t="shared" si="6"/>
        <v>0</v>
      </c>
      <c r="N51" s="3">
        <f t="shared" si="0"/>
        <v>20</v>
      </c>
    </row>
    <row r="52" spans="1:14" x14ac:dyDescent="0.25">
      <c r="A52" s="5" t="s">
        <v>49</v>
      </c>
      <c r="B52" s="1">
        <v>4</v>
      </c>
      <c r="C52" s="13">
        <f t="shared" si="1"/>
        <v>0.5714285714285714</v>
      </c>
      <c r="D52" s="1">
        <v>2</v>
      </c>
      <c r="E52" s="13">
        <f t="shared" si="2"/>
        <v>0.2857142857142857</v>
      </c>
      <c r="F52" s="1">
        <v>1</v>
      </c>
      <c r="G52" s="13">
        <f t="shared" si="3"/>
        <v>0.14285714285714285</v>
      </c>
      <c r="H52" s="1">
        <v>0</v>
      </c>
      <c r="I52" s="13">
        <f t="shared" si="4"/>
        <v>0</v>
      </c>
      <c r="J52" s="1">
        <v>0</v>
      </c>
      <c r="K52" s="13">
        <f t="shared" si="5"/>
        <v>0</v>
      </c>
      <c r="L52" s="1">
        <v>0</v>
      </c>
      <c r="M52" s="13">
        <f t="shared" si="6"/>
        <v>0</v>
      </c>
      <c r="N52" s="3">
        <f t="shared" si="0"/>
        <v>7</v>
      </c>
    </row>
    <row r="53" spans="1:14" x14ac:dyDescent="0.25">
      <c r="A53" s="5" t="s">
        <v>36</v>
      </c>
      <c r="B53" s="1">
        <v>0</v>
      </c>
      <c r="C53" s="13">
        <f t="shared" si="1"/>
        <v>0</v>
      </c>
      <c r="D53" s="1">
        <v>0</v>
      </c>
      <c r="E53" s="13">
        <f t="shared" si="2"/>
        <v>0</v>
      </c>
      <c r="F53" s="1">
        <v>3</v>
      </c>
      <c r="G53" s="13">
        <f t="shared" si="3"/>
        <v>0.375</v>
      </c>
      <c r="H53" s="1">
        <v>3</v>
      </c>
      <c r="I53" s="13">
        <f t="shared" si="4"/>
        <v>0.375</v>
      </c>
      <c r="J53" s="1">
        <v>2</v>
      </c>
      <c r="K53" s="13">
        <f t="shared" si="5"/>
        <v>0.25</v>
      </c>
      <c r="L53" s="1">
        <v>0</v>
      </c>
      <c r="M53" s="13">
        <f t="shared" si="6"/>
        <v>0</v>
      </c>
      <c r="N53" s="3">
        <f t="shared" si="0"/>
        <v>8</v>
      </c>
    </row>
    <row r="54" spans="1:14" ht="15.75" thickBot="1" x14ac:dyDescent="0.3">
      <c r="A54" s="7" t="s">
        <v>69</v>
      </c>
      <c r="B54" s="8">
        <v>2</v>
      </c>
      <c r="C54" s="14">
        <f t="shared" si="1"/>
        <v>0.08</v>
      </c>
      <c r="D54" s="8">
        <v>17</v>
      </c>
      <c r="E54" s="14">
        <f t="shared" si="2"/>
        <v>0.68</v>
      </c>
      <c r="F54" s="8">
        <v>5</v>
      </c>
      <c r="G54" s="14">
        <f t="shared" si="3"/>
        <v>0.2</v>
      </c>
      <c r="H54" s="8">
        <v>1</v>
      </c>
      <c r="I54" s="14">
        <f t="shared" si="4"/>
        <v>0.04</v>
      </c>
      <c r="J54" s="8">
        <v>0</v>
      </c>
      <c r="K54" s="14">
        <f t="shared" si="5"/>
        <v>0</v>
      </c>
      <c r="L54" s="8">
        <v>0</v>
      </c>
      <c r="M54" s="14">
        <f t="shared" si="6"/>
        <v>0</v>
      </c>
      <c r="N54" s="6">
        <f t="shared" si="0"/>
        <v>25</v>
      </c>
    </row>
    <row r="55" spans="1:14" ht="16.5" thickTop="1" thickBot="1" x14ac:dyDescent="0.3">
      <c r="A55" s="2" t="s">
        <v>41</v>
      </c>
      <c r="B55" s="2">
        <f>SUM(B6:B54)</f>
        <v>343</v>
      </c>
      <c r="C55" s="15">
        <f t="shared" si="1"/>
        <v>0.13926106374340236</v>
      </c>
      <c r="D55" s="2">
        <f>SUM(D6:D54)</f>
        <v>1286</v>
      </c>
      <c r="E55" s="15">
        <f t="shared" si="2"/>
        <v>0.52212748680470966</v>
      </c>
      <c r="F55" s="2">
        <f>SUM(F6:F54)</f>
        <v>677</v>
      </c>
      <c r="G55" s="15">
        <f t="shared" si="3"/>
        <v>0.27486804709703616</v>
      </c>
      <c r="H55" s="2">
        <f>SUM(H6:H54)</f>
        <v>123</v>
      </c>
      <c r="I55" s="15">
        <f t="shared" si="4"/>
        <v>4.9939098660170524E-2</v>
      </c>
      <c r="J55" s="2">
        <f>SUM(J6:J54)</f>
        <v>33</v>
      </c>
      <c r="K55" s="15">
        <f t="shared" si="5"/>
        <v>1.3398294762484775E-2</v>
      </c>
      <c r="L55" s="2">
        <f>SUM(L6:L54)</f>
        <v>1</v>
      </c>
      <c r="M55" s="15">
        <f t="shared" si="6"/>
        <v>4.0600893219650832E-4</v>
      </c>
      <c r="N55" s="4">
        <f>SUM(N6:N54)</f>
        <v>2463</v>
      </c>
    </row>
    <row r="56" spans="1:14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x14ac:dyDescent="0.25">
      <c r="A57" s="43" t="s">
        <v>57</v>
      </c>
      <c r="B57" s="35" t="s">
        <v>52</v>
      </c>
      <c r="C57" s="36"/>
      <c r="D57" s="35" t="s">
        <v>53</v>
      </c>
      <c r="E57" s="36"/>
      <c r="F57" s="35" t="s">
        <v>54</v>
      </c>
      <c r="G57" s="36"/>
      <c r="H57" s="35" t="s">
        <v>55</v>
      </c>
      <c r="I57" s="36"/>
      <c r="J57" s="35" t="s">
        <v>45</v>
      </c>
      <c r="K57" s="36"/>
      <c r="L57" s="35" t="s">
        <v>46</v>
      </c>
      <c r="M57" s="36"/>
      <c r="N57" s="39" t="s">
        <v>0</v>
      </c>
    </row>
    <row r="58" spans="1:14" ht="24.75" customHeight="1" x14ac:dyDescent="0.25">
      <c r="A58" s="44"/>
      <c r="B58" s="37"/>
      <c r="C58" s="38"/>
      <c r="D58" s="37"/>
      <c r="E58" s="38"/>
      <c r="F58" s="37"/>
      <c r="G58" s="38"/>
      <c r="H58" s="37"/>
      <c r="I58" s="38"/>
      <c r="J58" s="37"/>
      <c r="K58" s="38"/>
      <c r="L58" s="37"/>
      <c r="M58" s="38"/>
      <c r="N58" s="40"/>
    </row>
    <row r="59" spans="1:14" x14ac:dyDescent="0.25">
      <c r="A59" s="5" t="s">
        <v>62</v>
      </c>
      <c r="B59" s="1">
        <v>56</v>
      </c>
      <c r="C59" s="13">
        <f t="shared" ref="C59:C68" si="7">B59/N59</f>
        <v>0.12785388127853881</v>
      </c>
      <c r="D59" s="1">
        <v>252</v>
      </c>
      <c r="E59" s="13">
        <f t="shared" ref="E59:E68" si="8">D59/N59</f>
        <v>0.57534246575342463</v>
      </c>
      <c r="F59" s="1">
        <v>120</v>
      </c>
      <c r="G59" s="13">
        <f t="shared" ref="G59:G68" si="9">F59/N59</f>
        <v>0.27397260273972601</v>
      </c>
      <c r="H59" s="1">
        <v>10</v>
      </c>
      <c r="I59" s="13">
        <f t="shared" ref="I59:I68" si="10">H59/N59</f>
        <v>2.2831050228310501E-2</v>
      </c>
      <c r="J59" s="1">
        <v>0</v>
      </c>
      <c r="K59" s="13">
        <f t="shared" ref="K59:K68" si="11">J59/N59</f>
        <v>0</v>
      </c>
      <c r="L59" s="1">
        <v>0</v>
      </c>
      <c r="M59" s="13">
        <f t="shared" ref="M59:M68" si="12">L59/N59</f>
        <v>0</v>
      </c>
      <c r="N59" s="3">
        <f t="shared" ref="N59:N67" si="13">B59+D59+F59+H59+J59+L59</f>
        <v>438</v>
      </c>
    </row>
    <row r="60" spans="1:14" x14ac:dyDescent="0.25">
      <c r="A60" s="5" t="s">
        <v>63</v>
      </c>
      <c r="B60" s="1">
        <v>8</v>
      </c>
      <c r="C60" s="13">
        <f t="shared" si="7"/>
        <v>0.10810810810810811</v>
      </c>
      <c r="D60" s="1">
        <v>31</v>
      </c>
      <c r="E60" s="13">
        <f t="shared" si="8"/>
        <v>0.41891891891891891</v>
      </c>
      <c r="F60" s="1">
        <v>30</v>
      </c>
      <c r="G60" s="13">
        <f t="shared" si="9"/>
        <v>0.40540540540540543</v>
      </c>
      <c r="H60" s="1">
        <v>4</v>
      </c>
      <c r="I60" s="13">
        <f t="shared" si="10"/>
        <v>5.4054054054054057E-2</v>
      </c>
      <c r="J60" s="1">
        <v>1</v>
      </c>
      <c r="K60" s="13">
        <f t="shared" si="11"/>
        <v>1.3513513513513514E-2</v>
      </c>
      <c r="L60" s="1">
        <v>0</v>
      </c>
      <c r="M60" s="13">
        <f t="shared" si="12"/>
        <v>0</v>
      </c>
      <c r="N60" s="3">
        <f t="shared" si="13"/>
        <v>74</v>
      </c>
    </row>
    <row r="61" spans="1:14" x14ac:dyDescent="0.25">
      <c r="A61" s="5" t="s">
        <v>64</v>
      </c>
      <c r="B61" s="1">
        <v>19</v>
      </c>
      <c r="C61" s="13">
        <f t="shared" si="7"/>
        <v>0.14503816793893129</v>
      </c>
      <c r="D61" s="1">
        <v>97</v>
      </c>
      <c r="E61" s="13">
        <f t="shared" si="8"/>
        <v>0.74045801526717558</v>
      </c>
      <c r="F61" s="1">
        <v>14</v>
      </c>
      <c r="G61" s="13">
        <f t="shared" si="9"/>
        <v>0.10687022900763359</v>
      </c>
      <c r="H61" s="1">
        <v>1</v>
      </c>
      <c r="I61" s="13">
        <f t="shared" si="10"/>
        <v>7.6335877862595417E-3</v>
      </c>
      <c r="J61" s="1">
        <v>0</v>
      </c>
      <c r="K61" s="13">
        <f t="shared" si="11"/>
        <v>0</v>
      </c>
      <c r="L61" s="1">
        <v>0</v>
      </c>
      <c r="M61" s="13">
        <f t="shared" si="12"/>
        <v>0</v>
      </c>
      <c r="N61" s="3">
        <f t="shared" si="13"/>
        <v>131</v>
      </c>
    </row>
    <row r="62" spans="1:14" x14ac:dyDescent="0.25">
      <c r="A62" s="5" t="s">
        <v>65</v>
      </c>
      <c r="B62" s="1">
        <v>49</v>
      </c>
      <c r="C62" s="13">
        <f t="shared" si="7"/>
        <v>0.19444444444444445</v>
      </c>
      <c r="D62" s="1">
        <v>78</v>
      </c>
      <c r="E62" s="13">
        <f t="shared" si="8"/>
        <v>0.30952380952380953</v>
      </c>
      <c r="F62" s="1">
        <v>80</v>
      </c>
      <c r="G62" s="13">
        <f t="shared" si="9"/>
        <v>0.31746031746031744</v>
      </c>
      <c r="H62" s="1">
        <v>32</v>
      </c>
      <c r="I62" s="13">
        <f t="shared" si="10"/>
        <v>0.12698412698412698</v>
      </c>
      <c r="J62" s="1">
        <v>13</v>
      </c>
      <c r="K62" s="13">
        <f t="shared" si="11"/>
        <v>5.1587301587301584E-2</v>
      </c>
      <c r="L62" s="1">
        <v>0</v>
      </c>
      <c r="M62" s="13">
        <f t="shared" si="12"/>
        <v>0</v>
      </c>
      <c r="N62" s="3">
        <f t="shared" si="13"/>
        <v>252</v>
      </c>
    </row>
    <row r="63" spans="1:14" x14ac:dyDescent="0.25">
      <c r="A63" s="5" t="s">
        <v>1</v>
      </c>
      <c r="B63" s="1">
        <v>5</v>
      </c>
      <c r="C63" s="13">
        <f t="shared" si="7"/>
        <v>3.6496350364963501E-2</v>
      </c>
      <c r="D63" s="1">
        <v>72</v>
      </c>
      <c r="E63" s="13">
        <f t="shared" si="8"/>
        <v>0.52554744525547448</v>
      </c>
      <c r="F63" s="1">
        <v>54</v>
      </c>
      <c r="G63" s="13">
        <f t="shared" si="9"/>
        <v>0.39416058394160586</v>
      </c>
      <c r="H63" s="1">
        <v>6</v>
      </c>
      <c r="I63" s="13">
        <f t="shared" si="10"/>
        <v>4.3795620437956206E-2</v>
      </c>
      <c r="J63" s="1">
        <v>0</v>
      </c>
      <c r="K63" s="13">
        <f t="shared" si="11"/>
        <v>0</v>
      </c>
      <c r="L63" s="1">
        <v>0</v>
      </c>
      <c r="M63" s="13">
        <f t="shared" si="12"/>
        <v>0</v>
      </c>
      <c r="N63" s="3">
        <f t="shared" si="13"/>
        <v>137</v>
      </c>
    </row>
    <row r="64" spans="1:14" x14ac:dyDescent="0.25">
      <c r="A64" s="5" t="s">
        <v>66</v>
      </c>
      <c r="B64" s="1">
        <v>74</v>
      </c>
      <c r="C64" s="13">
        <f t="shared" si="7"/>
        <v>0.14653465346534653</v>
      </c>
      <c r="D64" s="1">
        <v>301</v>
      </c>
      <c r="E64" s="13">
        <f t="shared" si="8"/>
        <v>0.59603960396039601</v>
      </c>
      <c r="F64" s="1">
        <v>111</v>
      </c>
      <c r="G64" s="13">
        <f t="shared" si="9"/>
        <v>0.2198019801980198</v>
      </c>
      <c r="H64" s="1">
        <v>11</v>
      </c>
      <c r="I64" s="13">
        <f t="shared" si="10"/>
        <v>2.1782178217821781E-2</v>
      </c>
      <c r="J64" s="1">
        <v>7</v>
      </c>
      <c r="K64" s="13">
        <f t="shared" si="11"/>
        <v>1.3861386138613862E-2</v>
      </c>
      <c r="L64" s="1">
        <v>1</v>
      </c>
      <c r="M64" s="13">
        <f t="shared" si="12"/>
        <v>1.9801980198019802E-3</v>
      </c>
      <c r="N64" s="3">
        <f t="shared" si="13"/>
        <v>505</v>
      </c>
    </row>
    <row r="65" spans="1:14" x14ac:dyDescent="0.25">
      <c r="A65" s="5" t="s">
        <v>67</v>
      </c>
      <c r="B65" s="1">
        <v>71</v>
      </c>
      <c r="C65" s="13">
        <f t="shared" si="7"/>
        <v>0.1918918918918919</v>
      </c>
      <c r="D65" s="1">
        <v>124</v>
      </c>
      <c r="E65" s="13">
        <f t="shared" si="8"/>
        <v>0.33513513513513515</v>
      </c>
      <c r="F65" s="1">
        <v>116</v>
      </c>
      <c r="G65" s="13">
        <f t="shared" si="9"/>
        <v>0.31351351351351353</v>
      </c>
      <c r="H65" s="1">
        <v>49</v>
      </c>
      <c r="I65" s="13">
        <f t="shared" si="10"/>
        <v>0.13243243243243244</v>
      </c>
      <c r="J65" s="1">
        <v>10</v>
      </c>
      <c r="K65" s="13">
        <f t="shared" si="11"/>
        <v>2.7027027027027029E-2</v>
      </c>
      <c r="L65" s="1">
        <v>0</v>
      </c>
      <c r="M65" s="13">
        <f t="shared" si="12"/>
        <v>0</v>
      </c>
      <c r="N65" s="3">
        <f t="shared" si="13"/>
        <v>370</v>
      </c>
    </row>
    <row r="66" spans="1:14" x14ac:dyDescent="0.25">
      <c r="A66" s="5" t="s">
        <v>68</v>
      </c>
      <c r="B66" s="1">
        <v>59</v>
      </c>
      <c r="C66" s="13">
        <f t="shared" si="7"/>
        <v>0.1111111111111111</v>
      </c>
      <c r="D66" s="1">
        <v>314</v>
      </c>
      <c r="E66" s="13">
        <f t="shared" si="8"/>
        <v>0.59133709981167604</v>
      </c>
      <c r="F66" s="1">
        <v>147</v>
      </c>
      <c r="G66" s="13">
        <f t="shared" si="9"/>
        <v>0.2768361581920904</v>
      </c>
      <c r="H66" s="1">
        <v>9</v>
      </c>
      <c r="I66" s="13">
        <f t="shared" si="10"/>
        <v>1.6949152542372881E-2</v>
      </c>
      <c r="J66" s="1">
        <v>2</v>
      </c>
      <c r="K66" s="13">
        <f t="shared" si="11"/>
        <v>3.766478342749529E-3</v>
      </c>
      <c r="L66" s="1">
        <v>0</v>
      </c>
      <c r="M66" s="13">
        <f t="shared" si="12"/>
        <v>0</v>
      </c>
      <c r="N66" s="3">
        <f t="shared" si="13"/>
        <v>531</v>
      </c>
    </row>
    <row r="67" spans="1:14" ht="15.75" thickBot="1" x14ac:dyDescent="0.3">
      <c r="A67" s="7" t="s">
        <v>69</v>
      </c>
      <c r="B67" s="8">
        <v>2</v>
      </c>
      <c r="C67" s="14">
        <f t="shared" si="7"/>
        <v>0.08</v>
      </c>
      <c r="D67" s="8">
        <v>17</v>
      </c>
      <c r="E67" s="14">
        <f t="shared" si="8"/>
        <v>0.68</v>
      </c>
      <c r="F67" s="8">
        <v>5</v>
      </c>
      <c r="G67" s="14">
        <f t="shared" si="9"/>
        <v>0.2</v>
      </c>
      <c r="H67" s="8">
        <v>1</v>
      </c>
      <c r="I67" s="14">
        <f t="shared" si="10"/>
        <v>0.04</v>
      </c>
      <c r="J67" s="8">
        <v>0</v>
      </c>
      <c r="K67" s="14">
        <f t="shared" si="11"/>
        <v>0</v>
      </c>
      <c r="L67" s="8">
        <v>0</v>
      </c>
      <c r="M67" s="14">
        <f t="shared" si="12"/>
        <v>0</v>
      </c>
      <c r="N67" s="6">
        <f t="shared" si="13"/>
        <v>25</v>
      </c>
    </row>
    <row r="68" spans="1:14" ht="16.5" thickTop="1" thickBot="1" x14ac:dyDescent="0.3">
      <c r="A68" s="2" t="s">
        <v>41</v>
      </c>
      <c r="B68" s="2">
        <f>SUM(B59:B67)</f>
        <v>343</v>
      </c>
      <c r="C68" s="15">
        <f t="shared" si="7"/>
        <v>0.13926106374340236</v>
      </c>
      <c r="D68" s="2">
        <f>SUM(D59:D67)</f>
        <v>1286</v>
      </c>
      <c r="E68" s="15">
        <f t="shared" si="8"/>
        <v>0.52212748680470966</v>
      </c>
      <c r="F68" s="2">
        <f>SUM(F59:F67)</f>
        <v>677</v>
      </c>
      <c r="G68" s="15">
        <f t="shared" si="9"/>
        <v>0.27486804709703616</v>
      </c>
      <c r="H68" s="2">
        <f>SUM(H59:H67)</f>
        <v>123</v>
      </c>
      <c r="I68" s="15">
        <f t="shared" si="10"/>
        <v>4.9939098660170524E-2</v>
      </c>
      <c r="J68" s="2">
        <f>SUM(J59:J67)</f>
        <v>33</v>
      </c>
      <c r="K68" s="15">
        <f t="shared" si="11"/>
        <v>1.3398294762484775E-2</v>
      </c>
      <c r="L68" s="2">
        <f>SUM(L59:L67)</f>
        <v>1</v>
      </c>
      <c r="M68" s="15">
        <f t="shared" si="12"/>
        <v>4.0600893219650832E-4</v>
      </c>
      <c r="N68" s="4">
        <f>SUM(N59:N67)</f>
        <v>2463</v>
      </c>
    </row>
    <row r="71" spans="1:14" ht="15.75" thickBot="1" x14ac:dyDescent="0.3">
      <c r="A71" s="12" t="s">
        <v>58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4" ht="30" customHeight="1" x14ac:dyDescent="0.25">
      <c r="A72" s="26"/>
      <c r="B72" s="41" t="s">
        <v>77</v>
      </c>
      <c r="C72" s="42"/>
      <c r="F72" s="12"/>
      <c r="G72" s="12"/>
      <c r="H72" s="12"/>
      <c r="I72" s="12"/>
      <c r="J72" s="12"/>
      <c r="K72" s="12"/>
      <c r="L72" s="12"/>
      <c r="M72" s="12"/>
    </row>
    <row r="73" spans="1:14" ht="30.75" thickBot="1" x14ac:dyDescent="0.3">
      <c r="A73" s="24" t="s">
        <v>76</v>
      </c>
      <c r="B73" s="32">
        <v>295</v>
      </c>
      <c r="C73" s="33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4" ht="15.75" thickBot="1" x14ac:dyDescent="0.3">
      <c r="A74" s="12"/>
      <c r="D74" s="21"/>
      <c r="E74" s="21"/>
      <c r="F74" s="12"/>
      <c r="G74" s="12"/>
      <c r="H74" s="12"/>
      <c r="I74" s="12"/>
      <c r="J74" s="12"/>
      <c r="K74" s="12"/>
      <c r="L74" s="12"/>
      <c r="M74" s="12"/>
    </row>
    <row r="75" spans="1:14" ht="30" customHeight="1" x14ac:dyDescent="0.25">
      <c r="A75" s="26"/>
      <c r="B75" s="41" t="s">
        <v>79</v>
      </c>
      <c r="C75" s="42"/>
      <c r="D75" s="21"/>
      <c r="E75" s="21"/>
      <c r="F75" s="12"/>
      <c r="G75" s="12"/>
      <c r="H75" s="12"/>
      <c r="I75" s="12"/>
      <c r="J75" s="12"/>
      <c r="K75" s="12"/>
      <c r="L75" s="12"/>
      <c r="M75" s="12"/>
    </row>
    <row r="76" spans="1:14" x14ac:dyDescent="0.25">
      <c r="A76" s="25" t="s">
        <v>78</v>
      </c>
      <c r="B76" s="30" t="s">
        <v>84</v>
      </c>
      <c r="C76" s="31"/>
      <c r="F76" s="12"/>
      <c r="G76" s="12"/>
      <c r="H76" s="12"/>
      <c r="I76" s="12"/>
      <c r="J76" s="12"/>
      <c r="K76" s="12"/>
      <c r="L76" s="12"/>
      <c r="M76" s="12"/>
    </row>
    <row r="77" spans="1:14" ht="30" x14ac:dyDescent="0.25">
      <c r="A77" s="25" t="s">
        <v>80</v>
      </c>
      <c r="B77" s="30" t="s">
        <v>83</v>
      </c>
      <c r="C77" s="31"/>
      <c r="F77" s="12"/>
      <c r="G77" s="12"/>
      <c r="H77" s="12"/>
      <c r="I77" s="12"/>
      <c r="J77" s="12"/>
      <c r="K77" s="12"/>
      <c r="L77" s="12"/>
      <c r="M77" s="12"/>
    </row>
    <row r="78" spans="1:14" ht="45.75" thickBot="1" x14ac:dyDescent="0.3">
      <c r="A78" s="24" t="s">
        <v>81</v>
      </c>
      <c r="B78" s="32" t="s">
        <v>82</v>
      </c>
      <c r="C78" s="33"/>
      <c r="F78" s="12"/>
      <c r="G78" s="12"/>
      <c r="H78" s="12"/>
      <c r="I78" s="12"/>
      <c r="J78" s="12"/>
      <c r="K78" s="12"/>
      <c r="L78" s="12"/>
      <c r="M78" s="12"/>
    </row>
    <row r="79" spans="1:14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4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x14ac:dyDescent="0.25">
      <c r="A81" s="34" t="s">
        <v>85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</sheetData>
  <mergeCells count="22">
    <mergeCell ref="N57:N58"/>
    <mergeCell ref="A81:M81"/>
    <mergeCell ref="B72:C72"/>
    <mergeCell ref="B73:C73"/>
    <mergeCell ref="B75:C75"/>
    <mergeCell ref="A57:A58"/>
    <mergeCell ref="B57:C58"/>
    <mergeCell ref="D57:E58"/>
    <mergeCell ref="F57:G58"/>
    <mergeCell ref="H57:I58"/>
    <mergeCell ref="J57:K58"/>
    <mergeCell ref="B76:C76"/>
    <mergeCell ref="B77:C77"/>
    <mergeCell ref="B78:C78"/>
    <mergeCell ref="L57:M58"/>
    <mergeCell ref="A2:M2"/>
    <mergeCell ref="B5:C5"/>
    <mergeCell ref="D5:E5"/>
    <mergeCell ref="F5:G5"/>
    <mergeCell ref="H5:I5"/>
    <mergeCell ref="J5:K5"/>
    <mergeCell ref="L5:M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O59"/>
  <sheetViews>
    <sheetView tabSelected="1" view="pageLayout" zoomScaleNormal="100" workbookViewId="0">
      <selection activeCell="A45" sqref="A45"/>
    </sheetView>
  </sheetViews>
  <sheetFormatPr defaultRowHeight="15" x14ac:dyDescent="0.25"/>
  <cols>
    <col min="1" max="1" width="24.85546875" style="10" customWidth="1"/>
    <col min="2" max="13" width="5.42578125" style="10" customWidth="1"/>
    <col min="14" max="14" width="6.28515625" style="10" customWidth="1"/>
    <col min="15" max="16384" width="9.140625" style="10"/>
  </cols>
  <sheetData>
    <row r="1" spans="1:14" ht="23.25" x14ac:dyDescent="0.25">
      <c r="A1" s="9" t="s">
        <v>44</v>
      </c>
    </row>
    <row r="2" spans="1:14" ht="18" x14ac:dyDescent="0.25">
      <c r="A2" s="27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4" ht="18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4" ht="16.5" thickBot="1" x14ac:dyDescent="0.3">
      <c r="A4" s="11"/>
    </row>
    <row r="5" spans="1:14" ht="15" customHeight="1" x14ac:dyDescent="0.25">
      <c r="A5" s="43" t="s">
        <v>3</v>
      </c>
      <c r="B5" s="35" t="s">
        <v>52</v>
      </c>
      <c r="C5" s="36"/>
      <c r="D5" s="35" t="s">
        <v>53</v>
      </c>
      <c r="E5" s="36"/>
      <c r="F5" s="35" t="s">
        <v>54</v>
      </c>
      <c r="G5" s="36"/>
      <c r="H5" s="35" t="s">
        <v>55</v>
      </c>
      <c r="I5" s="36"/>
      <c r="J5" s="35" t="s">
        <v>45</v>
      </c>
      <c r="K5" s="36"/>
      <c r="L5" s="35" t="s">
        <v>46</v>
      </c>
      <c r="M5" s="36"/>
      <c r="N5" s="39" t="s">
        <v>0</v>
      </c>
    </row>
    <row r="6" spans="1:14" ht="48.75" customHeight="1" x14ac:dyDescent="0.25">
      <c r="A6" s="44"/>
      <c r="B6" s="37"/>
      <c r="C6" s="38"/>
      <c r="D6" s="37"/>
      <c r="E6" s="38"/>
      <c r="F6" s="37"/>
      <c r="G6" s="38"/>
      <c r="H6" s="37"/>
      <c r="I6" s="38"/>
      <c r="J6" s="37"/>
      <c r="K6" s="38"/>
      <c r="L6" s="37"/>
      <c r="M6" s="38"/>
      <c r="N6" s="40"/>
    </row>
    <row r="7" spans="1:14" x14ac:dyDescent="0.25">
      <c r="A7" s="5" t="s">
        <v>4</v>
      </c>
      <c r="B7" s="1">
        <v>15</v>
      </c>
      <c r="C7" s="13">
        <f>B7/N7</f>
        <v>0.18072289156626506</v>
      </c>
      <c r="D7" s="1">
        <v>50</v>
      </c>
      <c r="E7" s="13">
        <f>D7/N7</f>
        <v>0.60240963855421692</v>
      </c>
      <c r="F7" s="1">
        <v>15</v>
      </c>
      <c r="G7" s="13">
        <f>F7/N7</f>
        <v>0.18072289156626506</v>
      </c>
      <c r="H7" s="1">
        <v>3</v>
      </c>
      <c r="I7" s="13">
        <f>H7/N7</f>
        <v>3.614457831325301E-2</v>
      </c>
      <c r="J7" s="1">
        <v>0</v>
      </c>
      <c r="K7" s="13">
        <f>J7/N7</f>
        <v>0</v>
      </c>
      <c r="L7" s="1">
        <v>0</v>
      </c>
      <c r="M7" s="13">
        <f>L7/N7</f>
        <v>0</v>
      </c>
      <c r="N7" s="3">
        <f>B7+D7+F7+H7+J7+L7</f>
        <v>83</v>
      </c>
    </row>
    <row r="8" spans="1:14" x14ac:dyDescent="0.25">
      <c r="A8" s="5" t="s">
        <v>5</v>
      </c>
      <c r="B8" s="1">
        <v>6</v>
      </c>
      <c r="C8" s="13">
        <f t="shared" ref="C8:C51" si="0">B8/N8</f>
        <v>0.1276595744680851</v>
      </c>
      <c r="D8" s="1">
        <v>27</v>
      </c>
      <c r="E8" s="13">
        <f t="shared" ref="E8:E51" si="1">D8/N8</f>
        <v>0.57446808510638303</v>
      </c>
      <c r="F8" s="1">
        <v>11</v>
      </c>
      <c r="G8" s="13">
        <f t="shared" ref="G8:G51" si="2">F8/N8</f>
        <v>0.23404255319148937</v>
      </c>
      <c r="H8" s="1">
        <v>3</v>
      </c>
      <c r="I8" s="13">
        <f t="shared" ref="I8:I51" si="3">H8/N8</f>
        <v>6.3829787234042548E-2</v>
      </c>
      <c r="J8" s="1">
        <v>0</v>
      </c>
      <c r="K8" s="13">
        <f t="shared" ref="K8:K51" si="4">J8/N8</f>
        <v>0</v>
      </c>
      <c r="L8" s="1">
        <v>0</v>
      </c>
      <c r="M8" s="13">
        <f t="shared" ref="M8:M51" si="5">L8/N8</f>
        <v>0</v>
      </c>
      <c r="N8" s="3">
        <f t="shared" ref="N8:N50" si="6">B8+D8+F8+H8+J8+L8</f>
        <v>47</v>
      </c>
    </row>
    <row r="9" spans="1:14" x14ac:dyDescent="0.25">
      <c r="A9" s="5" t="s">
        <v>6</v>
      </c>
      <c r="B9" s="1">
        <v>19</v>
      </c>
      <c r="C9" s="13">
        <f t="shared" si="0"/>
        <v>0.21111111111111111</v>
      </c>
      <c r="D9" s="1">
        <v>56</v>
      </c>
      <c r="E9" s="13">
        <f t="shared" si="1"/>
        <v>0.62222222222222223</v>
      </c>
      <c r="F9" s="1">
        <v>15</v>
      </c>
      <c r="G9" s="13">
        <f t="shared" si="2"/>
        <v>0.16666666666666666</v>
      </c>
      <c r="H9" s="1">
        <v>0</v>
      </c>
      <c r="I9" s="13">
        <f t="shared" si="3"/>
        <v>0</v>
      </c>
      <c r="J9" s="1">
        <v>0</v>
      </c>
      <c r="K9" s="13">
        <f t="shared" si="4"/>
        <v>0</v>
      </c>
      <c r="L9" s="1">
        <v>0</v>
      </c>
      <c r="M9" s="13">
        <f t="shared" si="5"/>
        <v>0</v>
      </c>
      <c r="N9" s="3">
        <f t="shared" si="6"/>
        <v>90</v>
      </c>
    </row>
    <row r="10" spans="1:14" x14ac:dyDescent="0.25">
      <c r="A10" s="5" t="s">
        <v>43</v>
      </c>
      <c r="B10" s="1">
        <v>6</v>
      </c>
      <c r="C10" s="13">
        <f t="shared" si="0"/>
        <v>6.3157894736842107E-2</v>
      </c>
      <c r="D10" s="1">
        <v>35</v>
      </c>
      <c r="E10" s="13">
        <f t="shared" si="1"/>
        <v>0.36842105263157893</v>
      </c>
      <c r="F10" s="1">
        <v>38</v>
      </c>
      <c r="G10" s="13">
        <f t="shared" si="2"/>
        <v>0.4</v>
      </c>
      <c r="H10" s="1">
        <v>16</v>
      </c>
      <c r="I10" s="13">
        <f t="shared" si="3"/>
        <v>0.16842105263157894</v>
      </c>
      <c r="J10" s="1">
        <v>0</v>
      </c>
      <c r="K10" s="13">
        <f t="shared" si="4"/>
        <v>0</v>
      </c>
      <c r="L10" s="1">
        <v>0</v>
      </c>
      <c r="M10" s="13">
        <f t="shared" si="5"/>
        <v>0</v>
      </c>
      <c r="N10" s="3">
        <f t="shared" si="6"/>
        <v>95</v>
      </c>
    </row>
    <row r="11" spans="1:14" x14ac:dyDescent="0.25">
      <c r="A11" s="5" t="s">
        <v>7</v>
      </c>
      <c r="B11" s="1">
        <v>4</v>
      </c>
      <c r="C11" s="13">
        <f t="shared" si="0"/>
        <v>9.7560975609756101E-2</v>
      </c>
      <c r="D11" s="1">
        <v>20</v>
      </c>
      <c r="E11" s="13">
        <f t="shared" si="1"/>
        <v>0.48780487804878048</v>
      </c>
      <c r="F11" s="1">
        <v>14</v>
      </c>
      <c r="G11" s="13">
        <f t="shared" si="2"/>
        <v>0.34146341463414637</v>
      </c>
      <c r="H11" s="1">
        <v>3</v>
      </c>
      <c r="I11" s="13">
        <f t="shared" si="3"/>
        <v>7.3170731707317069E-2</v>
      </c>
      <c r="J11" s="1">
        <v>0</v>
      </c>
      <c r="K11" s="13">
        <f t="shared" si="4"/>
        <v>0</v>
      </c>
      <c r="L11" s="1">
        <v>0</v>
      </c>
      <c r="M11" s="13">
        <f t="shared" si="5"/>
        <v>0</v>
      </c>
      <c r="N11" s="3">
        <f t="shared" si="6"/>
        <v>41</v>
      </c>
    </row>
    <row r="12" spans="1:14" x14ac:dyDescent="0.25">
      <c r="A12" s="5" t="s">
        <v>8</v>
      </c>
      <c r="B12" s="1">
        <v>13</v>
      </c>
      <c r="C12" s="13">
        <f t="shared" si="0"/>
        <v>0.16049382716049382</v>
      </c>
      <c r="D12" s="1">
        <v>41</v>
      </c>
      <c r="E12" s="13">
        <f t="shared" si="1"/>
        <v>0.50617283950617287</v>
      </c>
      <c r="F12" s="1">
        <v>17</v>
      </c>
      <c r="G12" s="13">
        <f t="shared" si="2"/>
        <v>0.20987654320987653</v>
      </c>
      <c r="H12" s="1">
        <v>8</v>
      </c>
      <c r="I12" s="13">
        <f t="shared" si="3"/>
        <v>9.8765432098765427E-2</v>
      </c>
      <c r="J12" s="1">
        <v>2</v>
      </c>
      <c r="K12" s="13">
        <f t="shared" si="4"/>
        <v>2.4691358024691357E-2</v>
      </c>
      <c r="L12" s="1">
        <v>0</v>
      </c>
      <c r="M12" s="13">
        <f t="shared" si="5"/>
        <v>0</v>
      </c>
      <c r="N12" s="3">
        <f t="shared" si="6"/>
        <v>81</v>
      </c>
    </row>
    <row r="13" spans="1:14" x14ac:dyDescent="0.25">
      <c r="A13" s="5" t="s">
        <v>9</v>
      </c>
      <c r="B13" s="1">
        <v>12</v>
      </c>
      <c r="C13" s="13">
        <f t="shared" si="0"/>
        <v>0.22641509433962265</v>
      </c>
      <c r="D13" s="1">
        <v>14</v>
      </c>
      <c r="E13" s="13">
        <f t="shared" si="1"/>
        <v>0.26415094339622641</v>
      </c>
      <c r="F13" s="1">
        <v>19</v>
      </c>
      <c r="G13" s="13">
        <f t="shared" si="2"/>
        <v>0.35849056603773582</v>
      </c>
      <c r="H13" s="1">
        <v>7</v>
      </c>
      <c r="I13" s="13">
        <f t="shared" si="3"/>
        <v>0.13207547169811321</v>
      </c>
      <c r="J13" s="1">
        <v>1</v>
      </c>
      <c r="K13" s="13">
        <f t="shared" si="4"/>
        <v>1.8867924528301886E-2</v>
      </c>
      <c r="L13" s="1">
        <v>0</v>
      </c>
      <c r="M13" s="13">
        <f t="shared" si="5"/>
        <v>0</v>
      </c>
      <c r="N13" s="3">
        <f t="shared" si="6"/>
        <v>53</v>
      </c>
    </row>
    <row r="14" spans="1:14" x14ac:dyDescent="0.25">
      <c r="A14" s="5" t="s">
        <v>10</v>
      </c>
      <c r="B14" s="1">
        <v>6</v>
      </c>
      <c r="C14" s="13">
        <f t="shared" si="0"/>
        <v>0.11320754716981132</v>
      </c>
      <c r="D14" s="1">
        <v>18</v>
      </c>
      <c r="E14" s="13">
        <f t="shared" si="1"/>
        <v>0.33962264150943394</v>
      </c>
      <c r="F14" s="1">
        <v>20</v>
      </c>
      <c r="G14" s="13">
        <f t="shared" si="2"/>
        <v>0.37735849056603776</v>
      </c>
      <c r="H14" s="1">
        <v>9</v>
      </c>
      <c r="I14" s="13">
        <f t="shared" si="3"/>
        <v>0.16981132075471697</v>
      </c>
      <c r="J14" s="1">
        <v>0</v>
      </c>
      <c r="K14" s="13">
        <f t="shared" si="4"/>
        <v>0</v>
      </c>
      <c r="L14" s="1">
        <v>0</v>
      </c>
      <c r="M14" s="13">
        <f t="shared" si="5"/>
        <v>0</v>
      </c>
      <c r="N14" s="3">
        <f t="shared" si="6"/>
        <v>53</v>
      </c>
    </row>
    <row r="15" spans="1:14" x14ac:dyDescent="0.25">
      <c r="A15" s="5" t="s">
        <v>11</v>
      </c>
      <c r="B15" s="1">
        <v>5</v>
      </c>
      <c r="C15" s="13">
        <f t="shared" si="0"/>
        <v>8.771929824561403E-2</v>
      </c>
      <c r="D15" s="1">
        <v>17</v>
      </c>
      <c r="E15" s="13">
        <f t="shared" si="1"/>
        <v>0.2982456140350877</v>
      </c>
      <c r="F15" s="1">
        <v>17</v>
      </c>
      <c r="G15" s="13">
        <f t="shared" si="2"/>
        <v>0.2982456140350877</v>
      </c>
      <c r="H15" s="1">
        <v>13</v>
      </c>
      <c r="I15" s="13">
        <f t="shared" si="3"/>
        <v>0.22807017543859648</v>
      </c>
      <c r="J15" s="1">
        <v>5</v>
      </c>
      <c r="K15" s="13">
        <f t="shared" si="4"/>
        <v>8.771929824561403E-2</v>
      </c>
      <c r="L15" s="1">
        <v>0</v>
      </c>
      <c r="M15" s="13">
        <f t="shared" si="5"/>
        <v>0</v>
      </c>
      <c r="N15" s="3">
        <f t="shared" si="6"/>
        <v>57</v>
      </c>
    </row>
    <row r="16" spans="1:14" x14ac:dyDescent="0.25">
      <c r="A16" s="5" t="s">
        <v>42</v>
      </c>
      <c r="B16" s="1">
        <v>19</v>
      </c>
      <c r="C16" s="13">
        <f t="shared" si="0"/>
        <v>0.18811881188118812</v>
      </c>
      <c r="D16" s="1">
        <v>69</v>
      </c>
      <c r="E16" s="13">
        <f t="shared" si="1"/>
        <v>0.68316831683168322</v>
      </c>
      <c r="F16" s="1">
        <v>13</v>
      </c>
      <c r="G16" s="13">
        <f t="shared" si="2"/>
        <v>0.12871287128712872</v>
      </c>
      <c r="H16" s="1">
        <v>0</v>
      </c>
      <c r="I16" s="13">
        <f t="shared" si="3"/>
        <v>0</v>
      </c>
      <c r="J16" s="1">
        <v>0</v>
      </c>
      <c r="K16" s="13">
        <f t="shared" si="4"/>
        <v>0</v>
      </c>
      <c r="L16" s="1">
        <v>0</v>
      </c>
      <c r="M16" s="13">
        <f t="shared" si="5"/>
        <v>0</v>
      </c>
      <c r="N16" s="3">
        <f t="shared" si="6"/>
        <v>101</v>
      </c>
    </row>
    <row r="17" spans="1:14" x14ac:dyDescent="0.25">
      <c r="A17" s="5" t="s">
        <v>12</v>
      </c>
      <c r="B17" s="1">
        <v>9</v>
      </c>
      <c r="C17" s="13">
        <f t="shared" si="0"/>
        <v>0.21951219512195122</v>
      </c>
      <c r="D17" s="1">
        <v>12</v>
      </c>
      <c r="E17" s="13">
        <f t="shared" si="1"/>
        <v>0.29268292682926828</v>
      </c>
      <c r="F17" s="1">
        <v>11</v>
      </c>
      <c r="G17" s="13">
        <f t="shared" si="2"/>
        <v>0.26829268292682928</v>
      </c>
      <c r="H17" s="1">
        <v>4</v>
      </c>
      <c r="I17" s="13">
        <f t="shared" si="3"/>
        <v>9.7560975609756101E-2</v>
      </c>
      <c r="J17" s="1">
        <v>5</v>
      </c>
      <c r="K17" s="13">
        <f t="shared" si="4"/>
        <v>0.12195121951219512</v>
      </c>
      <c r="L17" s="1">
        <v>0</v>
      </c>
      <c r="M17" s="13">
        <f t="shared" si="5"/>
        <v>0</v>
      </c>
      <c r="N17" s="3">
        <f t="shared" si="6"/>
        <v>41</v>
      </c>
    </row>
    <row r="18" spans="1:14" x14ac:dyDescent="0.25">
      <c r="A18" s="5" t="s">
        <v>13</v>
      </c>
      <c r="B18" s="1">
        <v>0</v>
      </c>
      <c r="C18" s="13">
        <f t="shared" si="0"/>
        <v>0</v>
      </c>
      <c r="D18" s="1">
        <v>3</v>
      </c>
      <c r="E18" s="13">
        <f t="shared" si="1"/>
        <v>0.375</v>
      </c>
      <c r="F18" s="1">
        <v>4</v>
      </c>
      <c r="G18" s="13">
        <f t="shared" si="2"/>
        <v>0.5</v>
      </c>
      <c r="H18" s="1">
        <v>1</v>
      </c>
      <c r="I18" s="13">
        <f t="shared" si="3"/>
        <v>0.125</v>
      </c>
      <c r="J18" s="1">
        <v>0</v>
      </c>
      <c r="K18" s="13">
        <f t="shared" si="4"/>
        <v>0</v>
      </c>
      <c r="L18" s="1">
        <v>0</v>
      </c>
      <c r="M18" s="13">
        <f t="shared" si="5"/>
        <v>0</v>
      </c>
      <c r="N18" s="3">
        <f t="shared" si="6"/>
        <v>8</v>
      </c>
    </row>
    <row r="19" spans="1:14" x14ac:dyDescent="0.25">
      <c r="A19" s="5" t="s">
        <v>14</v>
      </c>
      <c r="B19" s="1">
        <v>8</v>
      </c>
      <c r="C19" s="13">
        <f t="shared" si="0"/>
        <v>6.5040650406504072E-2</v>
      </c>
      <c r="D19" s="1">
        <v>48</v>
      </c>
      <c r="E19" s="13">
        <f t="shared" si="1"/>
        <v>0.3902439024390244</v>
      </c>
      <c r="F19" s="1">
        <v>53</v>
      </c>
      <c r="G19" s="13">
        <f t="shared" si="2"/>
        <v>0.43089430894308944</v>
      </c>
      <c r="H19" s="1">
        <v>12</v>
      </c>
      <c r="I19" s="13">
        <f t="shared" si="3"/>
        <v>9.7560975609756101E-2</v>
      </c>
      <c r="J19" s="1">
        <v>2</v>
      </c>
      <c r="K19" s="13">
        <f t="shared" si="4"/>
        <v>1.6260162601626018E-2</v>
      </c>
      <c r="L19" s="1">
        <v>0</v>
      </c>
      <c r="M19" s="13">
        <f t="shared" si="5"/>
        <v>0</v>
      </c>
      <c r="N19" s="3">
        <f t="shared" si="6"/>
        <v>123</v>
      </c>
    </row>
    <row r="20" spans="1:14" x14ac:dyDescent="0.25">
      <c r="A20" s="5" t="s">
        <v>15</v>
      </c>
      <c r="B20" s="1">
        <v>16</v>
      </c>
      <c r="C20" s="13">
        <f t="shared" si="0"/>
        <v>0.25</v>
      </c>
      <c r="D20" s="1">
        <v>18</v>
      </c>
      <c r="E20" s="13">
        <f t="shared" si="1"/>
        <v>0.28125</v>
      </c>
      <c r="F20" s="1">
        <v>18</v>
      </c>
      <c r="G20" s="13">
        <f t="shared" si="2"/>
        <v>0.28125</v>
      </c>
      <c r="H20" s="1">
        <v>10</v>
      </c>
      <c r="I20" s="13">
        <f t="shared" si="3"/>
        <v>0.15625</v>
      </c>
      <c r="J20" s="1">
        <v>2</v>
      </c>
      <c r="K20" s="13">
        <f t="shared" si="4"/>
        <v>3.125E-2</v>
      </c>
      <c r="L20" s="1">
        <v>0</v>
      </c>
      <c r="M20" s="13">
        <f t="shared" si="5"/>
        <v>0</v>
      </c>
      <c r="N20" s="3">
        <f t="shared" si="6"/>
        <v>64</v>
      </c>
    </row>
    <row r="21" spans="1:14" x14ac:dyDescent="0.25">
      <c r="A21" s="5" t="s">
        <v>16</v>
      </c>
      <c r="B21" s="1">
        <v>12</v>
      </c>
      <c r="C21" s="13">
        <f t="shared" si="0"/>
        <v>0.14814814814814814</v>
      </c>
      <c r="D21" s="1">
        <v>53</v>
      </c>
      <c r="E21" s="13">
        <f t="shared" si="1"/>
        <v>0.65432098765432101</v>
      </c>
      <c r="F21" s="1">
        <v>15</v>
      </c>
      <c r="G21" s="13">
        <f t="shared" si="2"/>
        <v>0.18518518518518517</v>
      </c>
      <c r="H21" s="1">
        <v>1</v>
      </c>
      <c r="I21" s="13">
        <f t="shared" si="3"/>
        <v>1.2345679012345678E-2</v>
      </c>
      <c r="J21" s="1">
        <v>0</v>
      </c>
      <c r="K21" s="13">
        <f t="shared" si="4"/>
        <v>0</v>
      </c>
      <c r="L21" s="1">
        <v>0</v>
      </c>
      <c r="M21" s="13">
        <f t="shared" si="5"/>
        <v>0</v>
      </c>
      <c r="N21" s="3">
        <f t="shared" si="6"/>
        <v>81</v>
      </c>
    </row>
    <row r="22" spans="1:14" x14ac:dyDescent="0.25">
      <c r="A22" s="5" t="s">
        <v>17</v>
      </c>
      <c r="B22" s="1">
        <v>7</v>
      </c>
      <c r="C22" s="13">
        <f t="shared" si="0"/>
        <v>0.21875</v>
      </c>
      <c r="D22" s="1">
        <v>19</v>
      </c>
      <c r="E22" s="13">
        <f t="shared" si="1"/>
        <v>0.59375</v>
      </c>
      <c r="F22" s="1">
        <v>5</v>
      </c>
      <c r="G22" s="13">
        <f t="shared" si="2"/>
        <v>0.15625</v>
      </c>
      <c r="H22" s="1">
        <v>1</v>
      </c>
      <c r="I22" s="13">
        <f t="shared" si="3"/>
        <v>3.125E-2</v>
      </c>
      <c r="J22" s="1">
        <v>0</v>
      </c>
      <c r="K22" s="13">
        <f t="shared" si="4"/>
        <v>0</v>
      </c>
      <c r="L22" s="1">
        <v>0</v>
      </c>
      <c r="M22" s="13">
        <f t="shared" si="5"/>
        <v>0</v>
      </c>
      <c r="N22" s="3">
        <f t="shared" si="6"/>
        <v>32</v>
      </c>
    </row>
    <row r="23" spans="1:14" x14ac:dyDescent="0.25">
      <c r="A23" s="5" t="s">
        <v>18</v>
      </c>
      <c r="B23" s="1">
        <v>4</v>
      </c>
      <c r="C23" s="13">
        <f t="shared" si="0"/>
        <v>7.1428571428571425E-2</v>
      </c>
      <c r="D23" s="1">
        <v>37</v>
      </c>
      <c r="E23" s="13">
        <f t="shared" si="1"/>
        <v>0.6607142857142857</v>
      </c>
      <c r="F23" s="1">
        <v>14</v>
      </c>
      <c r="G23" s="13">
        <f t="shared" si="2"/>
        <v>0.25</v>
      </c>
      <c r="H23" s="1">
        <v>1</v>
      </c>
      <c r="I23" s="13">
        <f t="shared" si="3"/>
        <v>1.7857142857142856E-2</v>
      </c>
      <c r="J23" s="1">
        <v>0</v>
      </c>
      <c r="K23" s="13">
        <f t="shared" si="4"/>
        <v>0</v>
      </c>
      <c r="L23" s="1">
        <v>0</v>
      </c>
      <c r="M23" s="13">
        <f t="shared" si="5"/>
        <v>0</v>
      </c>
      <c r="N23" s="3">
        <f t="shared" si="6"/>
        <v>56</v>
      </c>
    </row>
    <row r="24" spans="1:14" x14ac:dyDescent="0.25">
      <c r="A24" s="5" t="s">
        <v>19</v>
      </c>
      <c r="B24" s="1">
        <v>7</v>
      </c>
      <c r="C24" s="13">
        <f t="shared" si="0"/>
        <v>8.4337349397590355E-2</v>
      </c>
      <c r="D24" s="1">
        <v>47</v>
      </c>
      <c r="E24" s="13">
        <f t="shared" si="1"/>
        <v>0.5662650602409639</v>
      </c>
      <c r="F24" s="1">
        <v>26</v>
      </c>
      <c r="G24" s="13">
        <f t="shared" si="2"/>
        <v>0.31325301204819278</v>
      </c>
      <c r="H24" s="1">
        <v>3</v>
      </c>
      <c r="I24" s="13">
        <f t="shared" si="3"/>
        <v>3.614457831325301E-2</v>
      </c>
      <c r="J24" s="1">
        <v>0</v>
      </c>
      <c r="K24" s="13">
        <f t="shared" si="4"/>
        <v>0</v>
      </c>
      <c r="L24" s="1">
        <v>0</v>
      </c>
      <c r="M24" s="13">
        <f t="shared" si="5"/>
        <v>0</v>
      </c>
      <c r="N24" s="3">
        <f t="shared" si="6"/>
        <v>83</v>
      </c>
    </row>
    <row r="25" spans="1:14" x14ac:dyDescent="0.25">
      <c r="A25" s="5" t="s">
        <v>20</v>
      </c>
      <c r="B25" s="1">
        <v>5</v>
      </c>
      <c r="C25" s="13">
        <f t="shared" si="0"/>
        <v>0.13513513513513514</v>
      </c>
      <c r="D25" s="1">
        <v>11</v>
      </c>
      <c r="E25" s="13">
        <f t="shared" si="1"/>
        <v>0.29729729729729731</v>
      </c>
      <c r="F25" s="1">
        <v>16</v>
      </c>
      <c r="G25" s="13">
        <f t="shared" si="2"/>
        <v>0.43243243243243246</v>
      </c>
      <c r="H25" s="1">
        <v>5</v>
      </c>
      <c r="I25" s="13">
        <f t="shared" si="3"/>
        <v>0.13513513513513514</v>
      </c>
      <c r="J25" s="1">
        <v>0</v>
      </c>
      <c r="K25" s="13">
        <f t="shared" si="4"/>
        <v>0</v>
      </c>
      <c r="L25" s="1">
        <v>0</v>
      </c>
      <c r="M25" s="13">
        <f t="shared" si="5"/>
        <v>0</v>
      </c>
      <c r="N25" s="3">
        <f t="shared" si="6"/>
        <v>37</v>
      </c>
    </row>
    <row r="26" spans="1:14" x14ac:dyDescent="0.25">
      <c r="A26" s="5" t="s">
        <v>21</v>
      </c>
      <c r="B26" s="1">
        <v>4</v>
      </c>
      <c r="C26" s="13">
        <f t="shared" si="0"/>
        <v>0.2</v>
      </c>
      <c r="D26" s="1">
        <v>11</v>
      </c>
      <c r="E26" s="13">
        <f t="shared" si="1"/>
        <v>0.55000000000000004</v>
      </c>
      <c r="F26" s="1">
        <v>2</v>
      </c>
      <c r="G26" s="13">
        <f t="shared" si="2"/>
        <v>0.1</v>
      </c>
      <c r="H26" s="1">
        <v>2</v>
      </c>
      <c r="I26" s="13">
        <f t="shared" si="3"/>
        <v>0.1</v>
      </c>
      <c r="J26" s="1">
        <v>1</v>
      </c>
      <c r="K26" s="13">
        <f t="shared" si="4"/>
        <v>0.05</v>
      </c>
      <c r="L26" s="1">
        <v>0</v>
      </c>
      <c r="M26" s="13">
        <f t="shared" si="5"/>
        <v>0</v>
      </c>
      <c r="N26" s="3">
        <f t="shared" si="6"/>
        <v>20</v>
      </c>
    </row>
    <row r="27" spans="1:14" x14ac:dyDescent="0.25">
      <c r="A27" s="5" t="s">
        <v>38</v>
      </c>
      <c r="B27" s="1">
        <v>3</v>
      </c>
      <c r="C27" s="13">
        <f t="shared" si="0"/>
        <v>0.11538461538461539</v>
      </c>
      <c r="D27" s="1">
        <v>10</v>
      </c>
      <c r="E27" s="13">
        <f t="shared" si="1"/>
        <v>0.38461538461538464</v>
      </c>
      <c r="F27" s="1">
        <v>11</v>
      </c>
      <c r="G27" s="13">
        <f t="shared" si="2"/>
        <v>0.42307692307692307</v>
      </c>
      <c r="H27" s="1">
        <v>2</v>
      </c>
      <c r="I27" s="13">
        <f t="shared" si="3"/>
        <v>7.6923076923076927E-2</v>
      </c>
      <c r="J27" s="1">
        <v>0</v>
      </c>
      <c r="K27" s="13">
        <f t="shared" si="4"/>
        <v>0</v>
      </c>
      <c r="L27" s="1">
        <v>0</v>
      </c>
      <c r="M27" s="13">
        <f t="shared" si="5"/>
        <v>0</v>
      </c>
      <c r="N27" s="3">
        <f t="shared" si="6"/>
        <v>26</v>
      </c>
    </row>
    <row r="28" spans="1:14" x14ac:dyDescent="0.25">
      <c r="A28" s="5" t="s">
        <v>39</v>
      </c>
      <c r="B28" s="1">
        <v>1</v>
      </c>
      <c r="C28" s="13">
        <f t="shared" si="0"/>
        <v>3.7037037037037035E-2</v>
      </c>
      <c r="D28" s="1">
        <v>19</v>
      </c>
      <c r="E28" s="13">
        <f t="shared" si="1"/>
        <v>0.70370370370370372</v>
      </c>
      <c r="F28" s="1">
        <v>6</v>
      </c>
      <c r="G28" s="13">
        <f t="shared" si="2"/>
        <v>0.22222222222222221</v>
      </c>
      <c r="H28" s="1">
        <v>1</v>
      </c>
      <c r="I28" s="13">
        <f t="shared" si="3"/>
        <v>3.7037037037037035E-2</v>
      </c>
      <c r="J28" s="1">
        <v>0</v>
      </c>
      <c r="K28" s="13">
        <f t="shared" si="4"/>
        <v>0</v>
      </c>
      <c r="L28" s="1">
        <v>0</v>
      </c>
      <c r="M28" s="13">
        <f t="shared" si="5"/>
        <v>0</v>
      </c>
      <c r="N28" s="3">
        <f t="shared" si="6"/>
        <v>27</v>
      </c>
    </row>
    <row r="29" spans="1:14" x14ac:dyDescent="0.25">
      <c r="A29" s="5" t="s">
        <v>22</v>
      </c>
      <c r="B29" s="1">
        <v>27</v>
      </c>
      <c r="C29" s="13">
        <f t="shared" si="0"/>
        <v>0.31395348837209303</v>
      </c>
      <c r="D29" s="1">
        <v>52</v>
      </c>
      <c r="E29" s="13">
        <f t="shared" si="1"/>
        <v>0.60465116279069764</v>
      </c>
      <c r="F29" s="1">
        <v>7</v>
      </c>
      <c r="G29" s="13">
        <f t="shared" si="2"/>
        <v>8.1395348837209308E-2</v>
      </c>
      <c r="H29" s="1">
        <v>0</v>
      </c>
      <c r="I29" s="13">
        <f t="shared" si="3"/>
        <v>0</v>
      </c>
      <c r="J29" s="1">
        <v>0</v>
      </c>
      <c r="K29" s="13">
        <f t="shared" si="4"/>
        <v>0</v>
      </c>
      <c r="L29" s="1">
        <v>0</v>
      </c>
      <c r="M29" s="13">
        <f t="shared" si="5"/>
        <v>0</v>
      </c>
      <c r="N29" s="3">
        <f t="shared" si="6"/>
        <v>86</v>
      </c>
    </row>
    <row r="30" spans="1:14" x14ac:dyDescent="0.25">
      <c r="A30" s="5" t="s">
        <v>40</v>
      </c>
      <c r="B30" s="1">
        <v>2</v>
      </c>
      <c r="C30" s="13">
        <f t="shared" si="0"/>
        <v>5.128205128205128E-2</v>
      </c>
      <c r="D30" s="1">
        <v>30</v>
      </c>
      <c r="E30" s="13">
        <f t="shared" si="1"/>
        <v>0.76923076923076927</v>
      </c>
      <c r="F30" s="1">
        <v>7</v>
      </c>
      <c r="G30" s="13">
        <f t="shared" si="2"/>
        <v>0.17948717948717949</v>
      </c>
      <c r="H30" s="1">
        <v>0</v>
      </c>
      <c r="I30" s="13">
        <f t="shared" si="3"/>
        <v>0</v>
      </c>
      <c r="J30" s="1">
        <v>0</v>
      </c>
      <c r="K30" s="13">
        <f t="shared" si="4"/>
        <v>0</v>
      </c>
      <c r="L30" s="1">
        <v>0</v>
      </c>
      <c r="M30" s="13">
        <f t="shared" si="5"/>
        <v>0</v>
      </c>
      <c r="N30" s="3">
        <f t="shared" si="6"/>
        <v>39</v>
      </c>
    </row>
    <row r="31" spans="1:14" x14ac:dyDescent="0.25">
      <c r="A31" s="5" t="s">
        <v>37</v>
      </c>
      <c r="B31" s="1">
        <v>3</v>
      </c>
      <c r="C31" s="13">
        <f t="shared" si="0"/>
        <v>0.27272727272727271</v>
      </c>
      <c r="D31" s="1">
        <v>7</v>
      </c>
      <c r="E31" s="13">
        <f t="shared" si="1"/>
        <v>0.63636363636363635</v>
      </c>
      <c r="F31" s="1">
        <v>1</v>
      </c>
      <c r="G31" s="13">
        <f t="shared" si="2"/>
        <v>9.0909090909090912E-2</v>
      </c>
      <c r="H31" s="1">
        <v>0</v>
      </c>
      <c r="I31" s="13">
        <f t="shared" si="3"/>
        <v>0</v>
      </c>
      <c r="J31" s="1">
        <v>0</v>
      </c>
      <c r="K31" s="13">
        <f t="shared" si="4"/>
        <v>0</v>
      </c>
      <c r="L31" s="1">
        <v>0</v>
      </c>
      <c r="M31" s="13">
        <f t="shared" si="5"/>
        <v>0</v>
      </c>
      <c r="N31" s="3">
        <f t="shared" si="6"/>
        <v>11</v>
      </c>
    </row>
    <row r="32" spans="1:14" x14ac:dyDescent="0.25">
      <c r="A32" s="5" t="s">
        <v>23</v>
      </c>
      <c r="B32" s="1">
        <v>7</v>
      </c>
      <c r="C32" s="13">
        <f t="shared" si="0"/>
        <v>9.7222222222222224E-2</v>
      </c>
      <c r="D32" s="1">
        <v>39</v>
      </c>
      <c r="E32" s="13">
        <f t="shared" si="1"/>
        <v>0.54166666666666663</v>
      </c>
      <c r="F32" s="1">
        <v>24</v>
      </c>
      <c r="G32" s="13">
        <f t="shared" si="2"/>
        <v>0.33333333333333331</v>
      </c>
      <c r="H32" s="1">
        <v>2</v>
      </c>
      <c r="I32" s="13">
        <f t="shared" si="3"/>
        <v>2.7777777777777776E-2</v>
      </c>
      <c r="J32" s="1">
        <v>0</v>
      </c>
      <c r="K32" s="13">
        <f t="shared" si="4"/>
        <v>0</v>
      </c>
      <c r="L32" s="1">
        <v>0</v>
      </c>
      <c r="M32" s="13">
        <f t="shared" si="5"/>
        <v>0</v>
      </c>
      <c r="N32" s="3">
        <f t="shared" si="6"/>
        <v>72</v>
      </c>
    </row>
    <row r="33" spans="1:14" x14ac:dyDescent="0.25">
      <c r="A33" s="5" t="s">
        <v>1</v>
      </c>
      <c r="B33" s="1">
        <v>9</v>
      </c>
      <c r="C33" s="13">
        <f t="shared" si="0"/>
        <v>6.4285714285714279E-2</v>
      </c>
      <c r="D33" s="1">
        <v>58</v>
      </c>
      <c r="E33" s="13">
        <f t="shared" si="1"/>
        <v>0.41428571428571431</v>
      </c>
      <c r="F33" s="1">
        <v>68</v>
      </c>
      <c r="G33" s="13">
        <f t="shared" si="2"/>
        <v>0.48571428571428571</v>
      </c>
      <c r="H33" s="1">
        <v>4</v>
      </c>
      <c r="I33" s="13">
        <f t="shared" si="3"/>
        <v>2.8571428571428571E-2</v>
      </c>
      <c r="J33" s="1">
        <v>1</v>
      </c>
      <c r="K33" s="13">
        <f t="shared" si="4"/>
        <v>7.1428571428571426E-3</v>
      </c>
      <c r="L33" s="1">
        <v>0</v>
      </c>
      <c r="M33" s="13">
        <f t="shared" si="5"/>
        <v>0</v>
      </c>
      <c r="N33" s="3">
        <f t="shared" si="6"/>
        <v>140</v>
      </c>
    </row>
    <row r="34" spans="1:14" x14ac:dyDescent="0.25">
      <c r="A34" s="5" t="s">
        <v>24</v>
      </c>
      <c r="B34" s="1">
        <v>10</v>
      </c>
      <c r="C34" s="13">
        <f t="shared" si="0"/>
        <v>0.17543859649122806</v>
      </c>
      <c r="D34" s="1">
        <v>12</v>
      </c>
      <c r="E34" s="13">
        <f t="shared" si="1"/>
        <v>0.21052631578947367</v>
      </c>
      <c r="F34" s="1">
        <v>22</v>
      </c>
      <c r="G34" s="13">
        <f t="shared" si="2"/>
        <v>0.38596491228070173</v>
      </c>
      <c r="H34" s="1">
        <v>13</v>
      </c>
      <c r="I34" s="13">
        <f t="shared" si="3"/>
        <v>0.22807017543859648</v>
      </c>
      <c r="J34" s="1">
        <v>0</v>
      </c>
      <c r="K34" s="13">
        <f t="shared" si="4"/>
        <v>0</v>
      </c>
      <c r="L34" s="1">
        <v>0</v>
      </c>
      <c r="M34" s="13">
        <f t="shared" si="5"/>
        <v>0</v>
      </c>
      <c r="N34" s="3">
        <f t="shared" si="6"/>
        <v>57</v>
      </c>
    </row>
    <row r="35" spans="1:14" x14ac:dyDescent="0.25">
      <c r="A35" s="5" t="s">
        <v>25</v>
      </c>
      <c r="B35" s="1">
        <v>8</v>
      </c>
      <c r="C35" s="13">
        <f t="shared" si="0"/>
        <v>0.16666666666666666</v>
      </c>
      <c r="D35" s="1">
        <v>17</v>
      </c>
      <c r="E35" s="13">
        <f t="shared" si="1"/>
        <v>0.35416666666666669</v>
      </c>
      <c r="F35" s="1">
        <v>14</v>
      </c>
      <c r="G35" s="13">
        <f t="shared" si="2"/>
        <v>0.29166666666666669</v>
      </c>
      <c r="H35" s="1">
        <v>7</v>
      </c>
      <c r="I35" s="13">
        <f t="shared" si="3"/>
        <v>0.14583333333333334</v>
      </c>
      <c r="J35" s="1">
        <v>2</v>
      </c>
      <c r="K35" s="13">
        <f t="shared" si="4"/>
        <v>4.1666666666666664E-2</v>
      </c>
      <c r="L35" s="1">
        <v>0</v>
      </c>
      <c r="M35" s="13">
        <f t="shared" si="5"/>
        <v>0</v>
      </c>
      <c r="N35" s="3">
        <f t="shared" si="6"/>
        <v>48</v>
      </c>
    </row>
    <row r="36" spans="1:14" x14ac:dyDescent="0.25">
      <c r="A36" s="5" t="s">
        <v>47</v>
      </c>
      <c r="B36" s="1">
        <v>1</v>
      </c>
      <c r="C36" s="13">
        <f t="shared" si="0"/>
        <v>2.9411764705882353E-2</v>
      </c>
      <c r="D36" s="1">
        <v>23</v>
      </c>
      <c r="E36" s="13">
        <f t="shared" si="1"/>
        <v>0.67647058823529416</v>
      </c>
      <c r="F36" s="1">
        <v>9</v>
      </c>
      <c r="G36" s="13">
        <f t="shared" si="2"/>
        <v>0.26470588235294118</v>
      </c>
      <c r="H36" s="1">
        <v>1</v>
      </c>
      <c r="I36" s="13">
        <f t="shared" si="3"/>
        <v>2.9411764705882353E-2</v>
      </c>
      <c r="J36" s="1">
        <v>0</v>
      </c>
      <c r="K36" s="13">
        <f t="shared" si="4"/>
        <v>0</v>
      </c>
      <c r="L36" s="1">
        <v>0</v>
      </c>
      <c r="M36" s="13">
        <f t="shared" si="5"/>
        <v>0</v>
      </c>
      <c r="N36" s="3">
        <f t="shared" si="6"/>
        <v>34</v>
      </c>
    </row>
    <row r="37" spans="1:14" x14ac:dyDescent="0.25">
      <c r="A37" s="5" t="s">
        <v>48</v>
      </c>
      <c r="B37" s="1">
        <v>3</v>
      </c>
      <c r="C37" s="13">
        <f t="shared" si="0"/>
        <v>0.42857142857142855</v>
      </c>
      <c r="D37" s="1">
        <v>3</v>
      </c>
      <c r="E37" s="13">
        <f t="shared" si="1"/>
        <v>0.42857142857142855</v>
      </c>
      <c r="F37" s="1">
        <v>1</v>
      </c>
      <c r="G37" s="13">
        <f t="shared" si="2"/>
        <v>0.14285714285714285</v>
      </c>
      <c r="H37" s="1">
        <v>0</v>
      </c>
      <c r="I37" s="13">
        <f t="shared" si="3"/>
        <v>0</v>
      </c>
      <c r="J37" s="1">
        <v>0</v>
      </c>
      <c r="K37" s="13">
        <f t="shared" si="4"/>
        <v>0</v>
      </c>
      <c r="L37" s="1">
        <v>0</v>
      </c>
      <c r="M37" s="13">
        <f t="shared" si="5"/>
        <v>0</v>
      </c>
      <c r="N37" s="3">
        <f t="shared" si="6"/>
        <v>7</v>
      </c>
    </row>
    <row r="38" spans="1:14" x14ac:dyDescent="0.25">
      <c r="A38" s="5" t="s">
        <v>26</v>
      </c>
      <c r="B38" s="1">
        <v>4</v>
      </c>
      <c r="C38" s="13">
        <f t="shared" si="0"/>
        <v>0.15384615384615385</v>
      </c>
      <c r="D38" s="1">
        <v>14</v>
      </c>
      <c r="E38" s="13">
        <f t="shared" si="1"/>
        <v>0.53846153846153844</v>
      </c>
      <c r="F38" s="1">
        <v>8</v>
      </c>
      <c r="G38" s="13">
        <f t="shared" si="2"/>
        <v>0.30769230769230771</v>
      </c>
      <c r="H38" s="1">
        <v>0</v>
      </c>
      <c r="I38" s="13">
        <f t="shared" si="3"/>
        <v>0</v>
      </c>
      <c r="J38" s="1">
        <v>0</v>
      </c>
      <c r="K38" s="13">
        <f t="shared" si="4"/>
        <v>0</v>
      </c>
      <c r="L38" s="1">
        <v>0</v>
      </c>
      <c r="M38" s="13">
        <f t="shared" si="5"/>
        <v>0</v>
      </c>
      <c r="N38" s="3">
        <f t="shared" si="6"/>
        <v>26</v>
      </c>
    </row>
    <row r="39" spans="1:14" x14ac:dyDescent="0.25">
      <c r="A39" s="5" t="s">
        <v>27</v>
      </c>
      <c r="B39" s="1">
        <v>4</v>
      </c>
      <c r="C39" s="13">
        <f t="shared" si="0"/>
        <v>0.1111111111111111</v>
      </c>
      <c r="D39" s="1">
        <v>18</v>
      </c>
      <c r="E39" s="13">
        <f t="shared" si="1"/>
        <v>0.5</v>
      </c>
      <c r="F39" s="1">
        <v>13</v>
      </c>
      <c r="G39" s="13">
        <f t="shared" si="2"/>
        <v>0.3611111111111111</v>
      </c>
      <c r="H39" s="1">
        <v>1</v>
      </c>
      <c r="I39" s="13">
        <f t="shared" si="3"/>
        <v>2.7777777777777776E-2</v>
      </c>
      <c r="J39" s="1">
        <v>0</v>
      </c>
      <c r="K39" s="13">
        <f t="shared" si="4"/>
        <v>0</v>
      </c>
      <c r="L39" s="1">
        <v>0</v>
      </c>
      <c r="M39" s="13">
        <f t="shared" si="5"/>
        <v>0</v>
      </c>
      <c r="N39" s="3">
        <f t="shared" si="6"/>
        <v>36</v>
      </c>
    </row>
    <row r="40" spans="1:14" x14ac:dyDescent="0.25">
      <c r="A40" s="5" t="s">
        <v>28</v>
      </c>
      <c r="B40" s="1">
        <v>12</v>
      </c>
      <c r="C40" s="13">
        <f t="shared" si="0"/>
        <v>0.15584415584415584</v>
      </c>
      <c r="D40" s="1">
        <v>32</v>
      </c>
      <c r="E40" s="13">
        <f t="shared" si="1"/>
        <v>0.41558441558441561</v>
      </c>
      <c r="F40" s="1">
        <v>26</v>
      </c>
      <c r="G40" s="13">
        <f t="shared" si="2"/>
        <v>0.33766233766233766</v>
      </c>
      <c r="H40" s="1">
        <v>7</v>
      </c>
      <c r="I40" s="13">
        <f t="shared" si="3"/>
        <v>9.0909090909090912E-2</v>
      </c>
      <c r="J40" s="1">
        <v>0</v>
      </c>
      <c r="K40" s="13">
        <f t="shared" si="4"/>
        <v>0</v>
      </c>
      <c r="L40" s="1">
        <v>0</v>
      </c>
      <c r="M40" s="13">
        <f t="shared" si="5"/>
        <v>0</v>
      </c>
      <c r="N40" s="3">
        <f t="shared" si="6"/>
        <v>77</v>
      </c>
    </row>
    <row r="41" spans="1:14" x14ac:dyDescent="0.25">
      <c r="A41" s="5" t="s">
        <v>29</v>
      </c>
      <c r="B41" s="1">
        <v>13</v>
      </c>
      <c r="C41" s="13">
        <f t="shared" si="0"/>
        <v>0.2</v>
      </c>
      <c r="D41" s="1">
        <v>18</v>
      </c>
      <c r="E41" s="13">
        <f t="shared" si="1"/>
        <v>0.27692307692307694</v>
      </c>
      <c r="F41" s="1">
        <v>18</v>
      </c>
      <c r="G41" s="13">
        <f t="shared" si="2"/>
        <v>0.27692307692307694</v>
      </c>
      <c r="H41" s="1">
        <v>13</v>
      </c>
      <c r="I41" s="13">
        <f t="shared" si="3"/>
        <v>0.2</v>
      </c>
      <c r="J41" s="1">
        <v>2</v>
      </c>
      <c r="K41" s="13">
        <f t="shared" si="4"/>
        <v>3.0769230769230771E-2</v>
      </c>
      <c r="L41" s="1">
        <v>1</v>
      </c>
      <c r="M41" s="13">
        <f t="shared" si="5"/>
        <v>1.5384615384615385E-2</v>
      </c>
      <c r="N41" s="3">
        <f t="shared" si="6"/>
        <v>65</v>
      </c>
    </row>
    <row r="42" spans="1:14" x14ac:dyDescent="0.25">
      <c r="A42" s="5" t="s">
        <v>30</v>
      </c>
      <c r="B42" s="1">
        <v>9</v>
      </c>
      <c r="C42" s="13">
        <f t="shared" si="0"/>
        <v>0.12162162162162163</v>
      </c>
      <c r="D42" s="1">
        <v>31</v>
      </c>
      <c r="E42" s="13">
        <f t="shared" si="1"/>
        <v>0.41891891891891891</v>
      </c>
      <c r="F42" s="1">
        <v>26</v>
      </c>
      <c r="G42" s="13">
        <f t="shared" si="2"/>
        <v>0.35135135135135137</v>
      </c>
      <c r="H42" s="1">
        <v>6</v>
      </c>
      <c r="I42" s="13">
        <f t="shared" si="3"/>
        <v>8.1081081081081086E-2</v>
      </c>
      <c r="J42" s="1">
        <v>2</v>
      </c>
      <c r="K42" s="13">
        <f t="shared" si="4"/>
        <v>2.7027027027027029E-2</v>
      </c>
      <c r="L42" s="1">
        <v>0</v>
      </c>
      <c r="M42" s="13">
        <f t="shared" si="5"/>
        <v>0</v>
      </c>
      <c r="N42" s="3">
        <f t="shared" si="6"/>
        <v>74</v>
      </c>
    </row>
    <row r="43" spans="1:14" x14ac:dyDescent="0.25">
      <c r="A43" s="5" t="s">
        <v>31</v>
      </c>
      <c r="B43" s="1">
        <v>7</v>
      </c>
      <c r="C43" s="13">
        <f t="shared" si="0"/>
        <v>7.3684210526315783E-2</v>
      </c>
      <c r="D43" s="1">
        <v>73</v>
      </c>
      <c r="E43" s="13">
        <f t="shared" si="1"/>
        <v>0.76842105263157889</v>
      </c>
      <c r="F43" s="1">
        <v>14</v>
      </c>
      <c r="G43" s="13">
        <f t="shared" si="2"/>
        <v>0.14736842105263157</v>
      </c>
      <c r="H43" s="1">
        <v>1</v>
      </c>
      <c r="I43" s="13">
        <f t="shared" si="3"/>
        <v>1.0526315789473684E-2</v>
      </c>
      <c r="J43" s="1">
        <v>0</v>
      </c>
      <c r="K43" s="13">
        <f t="shared" si="4"/>
        <v>0</v>
      </c>
      <c r="L43" s="1">
        <v>0</v>
      </c>
      <c r="M43" s="13">
        <f t="shared" si="5"/>
        <v>0</v>
      </c>
      <c r="N43" s="3">
        <f t="shared" si="6"/>
        <v>95</v>
      </c>
    </row>
    <row r="44" spans="1:14" x14ac:dyDescent="0.25">
      <c r="A44" s="5" t="s">
        <v>32</v>
      </c>
      <c r="B44" s="1">
        <v>0</v>
      </c>
      <c r="C44" s="13">
        <f t="shared" si="0"/>
        <v>0</v>
      </c>
      <c r="D44" s="1">
        <v>14</v>
      </c>
      <c r="E44" s="13">
        <f t="shared" si="1"/>
        <v>0.51851851851851849</v>
      </c>
      <c r="F44" s="1">
        <v>11</v>
      </c>
      <c r="G44" s="13">
        <f t="shared" si="2"/>
        <v>0.40740740740740738</v>
      </c>
      <c r="H44" s="1">
        <v>2</v>
      </c>
      <c r="I44" s="13">
        <f t="shared" si="3"/>
        <v>7.407407407407407E-2</v>
      </c>
      <c r="J44" s="1">
        <v>0</v>
      </c>
      <c r="K44" s="13">
        <f t="shared" si="4"/>
        <v>0</v>
      </c>
      <c r="L44" s="1">
        <v>0</v>
      </c>
      <c r="M44" s="13">
        <f t="shared" si="5"/>
        <v>0</v>
      </c>
      <c r="N44" s="3">
        <f t="shared" si="6"/>
        <v>27</v>
      </c>
    </row>
    <row r="45" spans="1:14" x14ac:dyDescent="0.25">
      <c r="A45" s="5" t="s">
        <v>33</v>
      </c>
      <c r="B45" s="1">
        <v>0</v>
      </c>
      <c r="C45" s="13">
        <f t="shared" si="0"/>
        <v>0</v>
      </c>
      <c r="D45" s="1">
        <v>6</v>
      </c>
      <c r="E45" s="13">
        <f t="shared" si="1"/>
        <v>0.5</v>
      </c>
      <c r="F45" s="1">
        <v>4</v>
      </c>
      <c r="G45" s="13">
        <f t="shared" si="2"/>
        <v>0.33333333333333331</v>
      </c>
      <c r="H45" s="1">
        <v>2</v>
      </c>
      <c r="I45" s="13">
        <f t="shared" si="3"/>
        <v>0.16666666666666666</v>
      </c>
      <c r="J45" s="1">
        <v>0</v>
      </c>
      <c r="K45" s="13">
        <f t="shared" si="4"/>
        <v>0</v>
      </c>
      <c r="L45" s="1">
        <v>0</v>
      </c>
      <c r="M45" s="13">
        <f t="shared" si="5"/>
        <v>0</v>
      </c>
      <c r="N45" s="3">
        <f t="shared" si="6"/>
        <v>12</v>
      </c>
    </row>
    <row r="46" spans="1:14" x14ac:dyDescent="0.25">
      <c r="A46" s="5" t="s">
        <v>34</v>
      </c>
      <c r="B46" s="1">
        <v>2</v>
      </c>
      <c r="C46" s="13">
        <f t="shared" si="0"/>
        <v>0.11764705882352941</v>
      </c>
      <c r="D46" s="1">
        <v>8</v>
      </c>
      <c r="E46" s="13">
        <f t="shared" si="1"/>
        <v>0.47058823529411764</v>
      </c>
      <c r="F46" s="1">
        <v>7</v>
      </c>
      <c r="G46" s="13">
        <f t="shared" si="2"/>
        <v>0.41176470588235292</v>
      </c>
      <c r="H46" s="1">
        <v>0</v>
      </c>
      <c r="I46" s="13">
        <f t="shared" si="3"/>
        <v>0</v>
      </c>
      <c r="J46" s="1">
        <v>0</v>
      </c>
      <c r="K46" s="13">
        <f t="shared" si="4"/>
        <v>0</v>
      </c>
      <c r="L46" s="1">
        <v>0</v>
      </c>
      <c r="M46" s="13">
        <f t="shared" si="5"/>
        <v>0</v>
      </c>
      <c r="N46" s="3">
        <f t="shared" si="6"/>
        <v>17</v>
      </c>
    </row>
    <row r="47" spans="1:14" x14ac:dyDescent="0.25">
      <c r="A47" s="5" t="s">
        <v>35</v>
      </c>
      <c r="B47" s="1">
        <v>2</v>
      </c>
      <c r="C47" s="13">
        <f t="shared" si="0"/>
        <v>0.22222222222222221</v>
      </c>
      <c r="D47" s="1">
        <v>4</v>
      </c>
      <c r="E47" s="13">
        <f t="shared" si="1"/>
        <v>0.44444444444444442</v>
      </c>
      <c r="F47" s="1">
        <v>2</v>
      </c>
      <c r="G47" s="13">
        <f t="shared" si="2"/>
        <v>0.22222222222222221</v>
      </c>
      <c r="H47" s="1">
        <v>0</v>
      </c>
      <c r="I47" s="13">
        <f t="shared" si="3"/>
        <v>0</v>
      </c>
      <c r="J47" s="1">
        <v>1</v>
      </c>
      <c r="K47" s="13">
        <f t="shared" si="4"/>
        <v>0.1111111111111111</v>
      </c>
      <c r="L47" s="1">
        <v>0</v>
      </c>
      <c r="M47" s="13">
        <f t="shared" si="5"/>
        <v>0</v>
      </c>
      <c r="N47" s="3">
        <f t="shared" si="6"/>
        <v>9</v>
      </c>
    </row>
    <row r="48" spans="1:14" x14ac:dyDescent="0.25">
      <c r="A48" s="5" t="s">
        <v>49</v>
      </c>
      <c r="B48" s="1">
        <v>0</v>
      </c>
      <c r="C48" s="13">
        <f t="shared" si="0"/>
        <v>0</v>
      </c>
      <c r="D48" s="1">
        <v>5</v>
      </c>
      <c r="E48" s="13">
        <f t="shared" si="1"/>
        <v>1</v>
      </c>
      <c r="F48" s="1">
        <v>0</v>
      </c>
      <c r="G48" s="13">
        <f t="shared" si="2"/>
        <v>0</v>
      </c>
      <c r="H48" s="1">
        <v>0</v>
      </c>
      <c r="I48" s="13">
        <f t="shared" si="3"/>
        <v>0</v>
      </c>
      <c r="J48" s="1">
        <v>0</v>
      </c>
      <c r="K48" s="13">
        <f t="shared" si="4"/>
        <v>0</v>
      </c>
      <c r="L48" s="1">
        <v>0</v>
      </c>
      <c r="M48" s="13">
        <f t="shared" si="5"/>
        <v>0</v>
      </c>
      <c r="N48" s="3">
        <f t="shared" si="6"/>
        <v>5</v>
      </c>
    </row>
    <row r="49" spans="1:15" x14ac:dyDescent="0.25">
      <c r="A49" s="5" t="s">
        <v>50</v>
      </c>
      <c r="B49" s="1">
        <v>0</v>
      </c>
      <c r="C49" s="13">
        <f t="shared" si="0"/>
        <v>0</v>
      </c>
      <c r="D49" s="1">
        <v>1</v>
      </c>
      <c r="E49" s="13">
        <f t="shared" si="1"/>
        <v>1</v>
      </c>
      <c r="F49" s="1">
        <v>0</v>
      </c>
      <c r="G49" s="13">
        <f t="shared" si="2"/>
        <v>0</v>
      </c>
      <c r="H49" s="1">
        <v>0</v>
      </c>
      <c r="I49" s="13">
        <f t="shared" si="3"/>
        <v>0</v>
      </c>
      <c r="J49" s="1">
        <v>0</v>
      </c>
      <c r="K49" s="13">
        <f t="shared" si="4"/>
        <v>0</v>
      </c>
      <c r="L49" s="1">
        <v>0</v>
      </c>
      <c r="M49" s="13">
        <f t="shared" si="5"/>
        <v>0</v>
      </c>
      <c r="N49" s="3">
        <f t="shared" si="6"/>
        <v>1</v>
      </c>
    </row>
    <row r="50" spans="1:15" ht="15.75" thickBot="1" x14ac:dyDescent="0.3">
      <c r="A50" s="7" t="s">
        <v>36</v>
      </c>
      <c r="B50" s="8">
        <v>0</v>
      </c>
      <c r="C50" s="14">
        <f t="shared" si="0"/>
        <v>0</v>
      </c>
      <c r="D50" s="8">
        <v>0</v>
      </c>
      <c r="E50" s="14">
        <f t="shared" si="1"/>
        <v>0</v>
      </c>
      <c r="F50" s="8">
        <v>2</v>
      </c>
      <c r="G50" s="14">
        <f t="shared" si="2"/>
        <v>0.33333333333333331</v>
      </c>
      <c r="H50" s="8">
        <v>3</v>
      </c>
      <c r="I50" s="14">
        <f t="shared" si="3"/>
        <v>0.5</v>
      </c>
      <c r="J50" s="8">
        <v>1</v>
      </c>
      <c r="K50" s="14">
        <f t="shared" si="4"/>
        <v>0.16666666666666666</v>
      </c>
      <c r="L50" s="8">
        <v>0</v>
      </c>
      <c r="M50" s="14">
        <f t="shared" si="5"/>
        <v>0</v>
      </c>
      <c r="N50" s="6">
        <f t="shared" si="6"/>
        <v>6</v>
      </c>
    </row>
    <row r="51" spans="1:15" ht="16.5" thickTop="1" thickBot="1" x14ac:dyDescent="0.3">
      <c r="A51" s="2" t="s">
        <v>41</v>
      </c>
      <c r="B51" s="2">
        <f>SUM(B7:B50)</f>
        <v>304</v>
      </c>
      <c r="C51" s="15">
        <f t="shared" si="0"/>
        <v>0.13553276861346411</v>
      </c>
      <c r="D51" s="2">
        <f>SUM(D7:D50)</f>
        <v>1100</v>
      </c>
      <c r="E51" s="15">
        <f t="shared" si="1"/>
        <v>0.49041462327240304</v>
      </c>
      <c r="F51" s="2">
        <f>SUM(F7:F50)</f>
        <v>644</v>
      </c>
      <c r="G51" s="15">
        <f t="shared" si="2"/>
        <v>0.28711547035220686</v>
      </c>
      <c r="H51" s="2">
        <f>SUM(H7:H50)</f>
        <v>167</v>
      </c>
      <c r="I51" s="15">
        <f t="shared" si="3"/>
        <v>7.4453856442264821E-2</v>
      </c>
      <c r="J51" s="2">
        <f>SUM(J7:J50)</f>
        <v>27</v>
      </c>
      <c r="K51" s="15">
        <f t="shared" si="4"/>
        <v>1.2037449843958983E-2</v>
      </c>
      <c r="L51" s="2">
        <f>SUM(L7:L50)</f>
        <v>1</v>
      </c>
      <c r="M51" s="15">
        <f t="shared" si="5"/>
        <v>4.4583147570218456E-4</v>
      </c>
      <c r="N51" s="4">
        <f>SUM(N7:N50)</f>
        <v>2243</v>
      </c>
    </row>
    <row r="52" spans="1:1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5" x14ac:dyDescent="0.25">
      <c r="A53" s="12" t="s">
        <v>58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5" ht="15" customHeight="1" x14ac:dyDescent="0.25">
      <c r="A55" s="10">
        <v>194</v>
      </c>
      <c r="B55" s="46" t="s">
        <v>59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12"/>
      <c r="O55" s="12"/>
    </row>
    <row r="56" spans="1:15" ht="15" customHeight="1" x14ac:dyDescent="0.25">
      <c r="A56" s="10">
        <v>189</v>
      </c>
      <c r="B56" s="46" t="s">
        <v>60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</row>
    <row r="57" spans="1:15" ht="15" customHeight="1" x14ac:dyDescent="0.25">
      <c r="A57" s="10">
        <v>5</v>
      </c>
      <c r="B57" s="46" t="s">
        <v>61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20"/>
      <c r="O57" s="20"/>
    </row>
    <row r="58" spans="1:15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20"/>
    </row>
    <row r="59" spans="1:15" ht="30" customHeight="1" x14ac:dyDescent="0.25">
      <c r="A59" s="34" t="s">
        <v>51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22"/>
    </row>
  </sheetData>
  <mergeCells count="13">
    <mergeCell ref="A2:M2"/>
    <mergeCell ref="F5:G6"/>
    <mergeCell ref="H5:I6"/>
    <mergeCell ref="J5:K6"/>
    <mergeCell ref="L5:M6"/>
    <mergeCell ref="N5:N6"/>
    <mergeCell ref="A5:A6"/>
    <mergeCell ref="B5:C6"/>
    <mergeCell ref="D5:E6"/>
    <mergeCell ref="A59:M59"/>
    <mergeCell ref="B55:M55"/>
    <mergeCell ref="B56:M56"/>
    <mergeCell ref="B57:M57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&amp;RPage &amp;P of &amp;N</oddFooter>
  </headerFooter>
  <ignoredErrors>
    <ignoredError sqref="C5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1995-96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2013-06-18T15:16:48Z</cp:lastPrinted>
  <dcterms:created xsi:type="dcterms:W3CDTF">2013-05-17T14:02:41Z</dcterms:created>
  <dcterms:modified xsi:type="dcterms:W3CDTF">2013-06-24T14:21:42Z</dcterms:modified>
</cp:coreProperties>
</file>