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70" yWindow="600" windowWidth="24795" windowHeight="12270"/>
  </bookViews>
  <sheets>
    <sheet name="Demand Capacity Summary" sheetId="1" r:id="rId1"/>
  </sheets>
  <calcPr calcId="145621"/>
</workbook>
</file>

<file path=xl/calcChain.xml><?xml version="1.0" encoding="utf-8"?>
<calcChain xmlns="http://schemas.openxmlformats.org/spreadsheetml/2006/main">
  <c r="BC115" i="1" l="1"/>
  <c r="BA133" i="1"/>
  <c r="AT133" i="1"/>
  <c r="AM133" i="1"/>
  <c r="AF133" i="1"/>
  <c r="AA133" i="1"/>
  <c r="AC133" i="1" s="1"/>
  <c r="V133" i="1"/>
  <c r="X133" i="1" s="1"/>
  <c r="Q133" i="1"/>
  <c r="S133" i="1" s="1"/>
  <c r="L133" i="1"/>
  <c r="N133" i="1" s="1"/>
  <c r="BA132" i="1"/>
  <c r="AT132" i="1"/>
  <c r="AM132" i="1"/>
  <c r="AF132" i="1"/>
  <c r="AA132" i="1"/>
  <c r="AC132" i="1" s="1"/>
  <c r="V132" i="1"/>
  <c r="X132" i="1" s="1"/>
  <c r="Q132" i="1"/>
  <c r="S132" i="1" s="1"/>
  <c r="L132" i="1"/>
  <c r="N132" i="1" s="1"/>
  <c r="BA131" i="1"/>
  <c r="AT131" i="1"/>
  <c r="AM131" i="1"/>
  <c r="AF131" i="1"/>
  <c r="AA131" i="1"/>
  <c r="AC131" i="1" s="1"/>
  <c r="V131" i="1"/>
  <c r="X131" i="1" s="1"/>
  <c r="Q131" i="1"/>
  <c r="S131" i="1" s="1"/>
  <c r="L131" i="1"/>
  <c r="N131" i="1" s="1"/>
  <c r="BA130" i="1"/>
  <c r="AT130" i="1"/>
  <c r="AM130" i="1"/>
  <c r="AF130" i="1"/>
  <c r="AA130" i="1"/>
  <c r="AC130" i="1" s="1"/>
  <c r="V130" i="1"/>
  <c r="X130" i="1" s="1"/>
  <c r="Q130" i="1"/>
  <c r="S130" i="1" s="1"/>
  <c r="L130" i="1"/>
  <c r="N130" i="1" s="1"/>
  <c r="BA129" i="1"/>
  <c r="AT129" i="1"/>
  <c r="AM129" i="1"/>
  <c r="AF129" i="1"/>
  <c r="AA129" i="1"/>
  <c r="AC129" i="1" s="1"/>
  <c r="V129" i="1"/>
  <c r="X129" i="1" s="1"/>
  <c r="Q129" i="1"/>
  <c r="S129" i="1" s="1"/>
  <c r="L129" i="1"/>
  <c r="N129" i="1" s="1"/>
  <c r="BA128" i="1"/>
  <c r="AT128" i="1"/>
  <c r="AM128" i="1"/>
  <c r="AF128" i="1"/>
  <c r="AA128" i="1"/>
  <c r="AC128" i="1" s="1"/>
  <c r="V128" i="1"/>
  <c r="X128" i="1" s="1"/>
  <c r="Q128" i="1"/>
  <c r="S128" i="1" s="1"/>
  <c r="L128" i="1"/>
  <c r="N128" i="1" s="1"/>
  <c r="BA127" i="1"/>
  <c r="AT127" i="1"/>
  <c r="AM127" i="1"/>
  <c r="AF127" i="1"/>
  <c r="AA127" i="1"/>
  <c r="AC127" i="1" s="1"/>
  <c r="V127" i="1"/>
  <c r="X127" i="1" s="1"/>
  <c r="Q127" i="1"/>
  <c r="S127" i="1" s="1"/>
  <c r="L127" i="1"/>
  <c r="N127" i="1" s="1"/>
  <c r="BA126" i="1"/>
  <c r="AT126" i="1"/>
  <c r="AM126" i="1"/>
  <c r="AF126" i="1"/>
  <c r="AA126" i="1"/>
  <c r="AC126" i="1" s="1"/>
  <c r="V126" i="1"/>
  <c r="X126" i="1" s="1"/>
  <c r="Q126" i="1"/>
  <c r="S126" i="1" s="1"/>
  <c r="L126" i="1"/>
  <c r="N126" i="1" s="1"/>
  <c r="BA125" i="1"/>
  <c r="AT125" i="1"/>
  <c r="AM125" i="1"/>
  <c r="AF125" i="1"/>
  <c r="AA125" i="1"/>
  <c r="AC125" i="1" s="1"/>
  <c r="V125" i="1"/>
  <c r="X125" i="1" s="1"/>
  <c r="Q125" i="1"/>
  <c r="S125" i="1" s="1"/>
  <c r="L125" i="1"/>
  <c r="N125" i="1" s="1"/>
  <c r="BA124" i="1"/>
  <c r="AT124" i="1"/>
  <c r="AM124" i="1"/>
  <c r="AF124" i="1"/>
  <c r="AA124" i="1"/>
  <c r="AC124" i="1" s="1"/>
  <c r="V124" i="1"/>
  <c r="X124" i="1" s="1"/>
  <c r="Q124" i="1"/>
  <c r="S124" i="1" s="1"/>
  <c r="L124" i="1"/>
  <c r="N124" i="1" s="1"/>
  <c r="BA123" i="1"/>
  <c r="AT123" i="1"/>
  <c r="AM123" i="1"/>
  <c r="AF123" i="1"/>
  <c r="AA123" i="1"/>
  <c r="AC123" i="1" s="1"/>
  <c r="V123" i="1"/>
  <c r="X123" i="1" s="1"/>
  <c r="Q123" i="1"/>
  <c r="S123" i="1" s="1"/>
  <c r="L123" i="1"/>
  <c r="N123" i="1" s="1"/>
  <c r="BA122" i="1"/>
  <c r="AT122" i="1"/>
  <c r="AM122" i="1"/>
  <c r="AF122" i="1"/>
  <c r="AA122" i="1"/>
  <c r="AC122" i="1" s="1"/>
  <c r="V122" i="1"/>
  <c r="X122" i="1" s="1"/>
  <c r="Q122" i="1"/>
  <c r="S122" i="1" s="1"/>
  <c r="L122" i="1"/>
  <c r="N122" i="1" s="1"/>
  <c r="BA121" i="1"/>
  <c r="AT121" i="1"/>
  <c r="AM121" i="1"/>
  <c r="AF121" i="1"/>
  <c r="AA121" i="1"/>
  <c r="AC121" i="1" s="1"/>
  <c r="V121" i="1"/>
  <c r="X121" i="1" s="1"/>
  <c r="Q121" i="1"/>
  <c r="S121" i="1" s="1"/>
  <c r="L121" i="1"/>
  <c r="N121" i="1" s="1"/>
  <c r="BA120" i="1"/>
  <c r="AT120" i="1"/>
  <c r="AM120" i="1"/>
  <c r="AF120" i="1"/>
  <c r="AA120" i="1"/>
  <c r="AC120" i="1" s="1"/>
  <c r="V120" i="1"/>
  <c r="X120" i="1" s="1"/>
  <c r="Q120" i="1"/>
  <c r="S120" i="1" s="1"/>
  <c r="L120" i="1"/>
  <c r="N120" i="1" s="1"/>
  <c r="BA119" i="1"/>
  <c r="AT119" i="1"/>
  <c r="AM119" i="1"/>
  <c r="AF119" i="1"/>
  <c r="AA119" i="1"/>
  <c r="AC119" i="1" s="1"/>
  <c r="V119" i="1"/>
  <c r="X119" i="1" s="1"/>
  <c r="Q119" i="1"/>
  <c r="S119" i="1" s="1"/>
  <c r="L119" i="1"/>
  <c r="N119" i="1" s="1"/>
  <c r="BA118" i="1"/>
  <c r="AT118" i="1"/>
  <c r="AM118" i="1"/>
  <c r="AF118" i="1"/>
  <c r="AA118" i="1"/>
  <c r="AC118" i="1" s="1"/>
  <c r="V118" i="1"/>
  <c r="X118" i="1" s="1"/>
  <c r="Q118" i="1"/>
  <c r="S118" i="1" s="1"/>
  <c r="L118" i="1"/>
  <c r="N118" i="1" s="1"/>
  <c r="BA117" i="1"/>
  <c r="AT117" i="1"/>
  <c r="AM117" i="1"/>
  <c r="AF117" i="1"/>
  <c r="AA117" i="1"/>
  <c r="V117" i="1"/>
  <c r="Q117" i="1"/>
  <c r="L117" i="1"/>
  <c r="BA116" i="1"/>
  <c r="AT116" i="1"/>
  <c r="AM116" i="1"/>
  <c r="AF116" i="1"/>
  <c r="AA116" i="1"/>
  <c r="AC116" i="1" s="1"/>
  <c r="V116" i="1"/>
  <c r="X116" i="1" s="1"/>
  <c r="Q116" i="1"/>
  <c r="S116" i="1" s="1"/>
  <c r="L116" i="1"/>
  <c r="N116" i="1" s="1"/>
  <c r="BA115" i="1"/>
  <c r="AT115" i="1"/>
  <c r="AM115" i="1"/>
  <c r="AF115" i="1"/>
  <c r="AA115" i="1"/>
  <c r="AC115" i="1" s="1"/>
  <c r="V115" i="1"/>
  <c r="X115" i="1" s="1"/>
  <c r="Q115" i="1"/>
  <c r="S115" i="1" s="1"/>
  <c r="L115" i="1"/>
  <c r="N115" i="1" s="1"/>
  <c r="BA114" i="1"/>
  <c r="AT114" i="1"/>
  <c r="AM114" i="1"/>
  <c r="AF114" i="1"/>
  <c r="AA114" i="1"/>
  <c r="AC114" i="1" s="1"/>
  <c r="V114" i="1"/>
  <c r="X114" i="1" s="1"/>
  <c r="Q114" i="1"/>
  <c r="S114" i="1" s="1"/>
  <c r="L114" i="1"/>
  <c r="N114" i="1" s="1"/>
  <c r="BA113" i="1"/>
  <c r="AT113" i="1"/>
  <c r="AM113" i="1"/>
  <c r="AF113" i="1"/>
  <c r="AA113" i="1"/>
  <c r="AC113" i="1" s="1"/>
  <c r="V113" i="1"/>
  <c r="X113" i="1" s="1"/>
  <c r="Q113" i="1"/>
  <c r="S113" i="1" s="1"/>
  <c r="L113" i="1"/>
  <c r="N113" i="1" s="1"/>
  <c r="BA112" i="1"/>
  <c r="AT112" i="1"/>
  <c r="AM112" i="1"/>
  <c r="AF112" i="1"/>
  <c r="AA112" i="1"/>
  <c r="AC112" i="1" s="1"/>
  <c r="V112" i="1"/>
  <c r="X112" i="1" s="1"/>
  <c r="Q112" i="1"/>
  <c r="S112" i="1" s="1"/>
  <c r="L112" i="1"/>
  <c r="N112" i="1" s="1"/>
  <c r="BA111" i="1"/>
  <c r="AT111" i="1"/>
  <c r="AM111" i="1"/>
  <c r="AF111" i="1"/>
  <c r="AA111" i="1"/>
  <c r="AC111" i="1" s="1"/>
  <c r="V111" i="1"/>
  <c r="X111" i="1" s="1"/>
  <c r="Q111" i="1"/>
  <c r="S111" i="1" s="1"/>
  <c r="L111" i="1"/>
  <c r="N111" i="1" s="1"/>
  <c r="BA110" i="1"/>
  <c r="AT110" i="1"/>
  <c r="AM110" i="1"/>
  <c r="AF110" i="1"/>
  <c r="AA110" i="1"/>
  <c r="AC110" i="1" s="1"/>
  <c r="V110" i="1"/>
  <c r="X110" i="1" s="1"/>
  <c r="Q110" i="1"/>
  <c r="S110" i="1" s="1"/>
  <c r="L110" i="1"/>
  <c r="N110" i="1" s="1"/>
  <c r="BA109" i="1"/>
  <c r="AT109" i="1"/>
  <c r="AM109" i="1"/>
  <c r="AF109" i="1"/>
  <c r="AA109" i="1"/>
  <c r="AC109" i="1" s="1"/>
  <c r="V109" i="1"/>
  <c r="X109" i="1" s="1"/>
  <c r="Q109" i="1"/>
  <c r="S109" i="1" s="1"/>
  <c r="L109" i="1"/>
  <c r="N109" i="1" s="1"/>
  <c r="BA108" i="1"/>
  <c r="AT108" i="1"/>
  <c r="AM108" i="1"/>
  <c r="AF108" i="1"/>
  <c r="AA108" i="1"/>
  <c r="AC108" i="1" s="1"/>
  <c r="V108" i="1"/>
  <c r="X108" i="1" s="1"/>
  <c r="Q108" i="1"/>
  <c r="S108" i="1" s="1"/>
  <c r="L108" i="1"/>
  <c r="N108" i="1" s="1"/>
  <c r="BA107" i="1"/>
  <c r="AT107" i="1"/>
  <c r="AM107" i="1"/>
  <c r="AF107" i="1"/>
  <c r="AA107" i="1"/>
  <c r="AC107" i="1" s="1"/>
  <c r="V107" i="1"/>
  <c r="X107" i="1" s="1"/>
  <c r="Q107" i="1"/>
  <c r="S107" i="1" s="1"/>
  <c r="L107" i="1"/>
  <c r="N107" i="1" s="1"/>
  <c r="BA106" i="1"/>
  <c r="AT106" i="1"/>
  <c r="AM106" i="1"/>
  <c r="AF106" i="1"/>
  <c r="AA106" i="1"/>
  <c r="AC106" i="1" s="1"/>
  <c r="V106" i="1"/>
  <c r="X106" i="1" s="1"/>
  <c r="Q106" i="1"/>
  <c r="S106" i="1" s="1"/>
  <c r="L106" i="1"/>
  <c r="N106" i="1" s="1"/>
  <c r="BA105" i="1"/>
  <c r="AT105" i="1"/>
  <c r="AM105" i="1"/>
  <c r="AF105" i="1"/>
  <c r="AA105" i="1"/>
  <c r="AC105" i="1" s="1"/>
  <c r="V105" i="1"/>
  <c r="X105" i="1" s="1"/>
  <c r="Q105" i="1"/>
  <c r="S105" i="1" s="1"/>
  <c r="L105" i="1"/>
  <c r="N105" i="1" s="1"/>
  <c r="BA104" i="1"/>
  <c r="AT104" i="1"/>
  <c r="AM104" i="1"/>
  <c r="AF104" i="1"/>
  <c r="AA104" i="1"/>
  <c r="AC104" i="1" s="1"/>
  <c r="V104" i="1"/>
  <c r="X104" i="1" s="1"/>
  <c r="Q104" i="1"/>
  <c r="S104" i="1" s="1"/>
  <c r="L104" i="1"/>
  <c r="N104" i="1" s="1"/>
  <c r="BA103" i="1"/>
  <c r="AT103" i="1"/>
  <c r="AM103" i="1"/>
  <c r="AF103" i="1"/>
  <c r="AA103" i="1"/>
  <c r="AC103" i="1" s="1"/>
  <c r="V103" i="1"/>
  <c r="X103" i="1" s="1"/>
  <c r="Q103" i="1"/>
  <c r="S103" i="1" s="1"/>
  <c r="L103" i="1"/>
  <c r="N103" i="1" s="1"/>
  <c r="BA102" i="1"/>
  <c r="AT102" i="1"/>
  <c r="AM102" i="1"/>
  <c r="AF102" i="1"/>
  <c r="AA102" i="1"/>
  <c r="AC102" i="1" s="1"/>
  <c r="V102" i="1"/>
  <c r="X102" i="1" s="1"/>
  <c r="Q102" i="1"/>
  <c r="S102" i="1" s="1"/>
  <c r="L102" i="1"/>
  <c r="N102" i="1" s="1"/>
  <c r="BA101" i="1"/>
  <c r="AT101" i="1"/>
  <c r="AM101" i="1"/>
  <c r="AF101" i="1"/>
  <c r="AA101" i="1"/>
  <c r="AC101" i="1" s="1"/>
  <c r="V101" i="1"/>
  <c r="X101" i="1" s="1"/>
  <c r="Q101" i="1"/>
  <c r="S101" i="1" s="1"/>
  <c r="L101" i="1"/>
  <c r="N101" i="1" s="1"/>
  <c r="BA100" i="1"/>
  <c r="AT100" i="1"/>
  <c r="AM100" i="1"/>
  <c r="AF100" i="1"/>
  <c r="AA100" i="1"/>
  <c r="AC100" i="1" s="1"/>
  <c r="V100" i="1"/>
  <c r="X100" i="1" s="1"/>
  <c r="Q100" i="1"/>
  <c r="S100" i="1" s="1"/>
  <c r="L100" i="1"/>
  <c r="N100" i="1" s="1"/>
  <c r="BA99" i="1"/>
  <c r="AT99" i="1"/>
  <c r="AM99" i="1"/>
  <c r="AF99" i="1"/>
  <c r="AA99" i="1"/>
  <c r="AC99" i="1" s="1"/>
  <c r="V99" i="1"/>
  <c r="X99" i="1" s="1"/>
  <c r="Q99" i="1"/>
  <c r="S99" i="1" s="1"/>
  <c r="L99" i="1"/>
  <c r="N99" i="1" s="1"/>
  <c r="BA98" i="1"/>
  <c r="AT98" i="1"/>
  <c r="AM98" i="1"/>
  <c r="AF98" i="1"/>
  <c r="AA98" i="1"/>
  <c r="AC98" i="1" s="1"/>
  <c r="V98" i="1"/>
  <c r="X98" i="1" s="1"/>
  <c r="Q98" i="1"/>
  <c r="S98" i="1" s="1"/>
  <c r="L98" i="1"/>
  <c r="N98" i="1" s="1"/>
  <c r="BA97" i="1"/>
  <c r="AT97" i="1"/>
  <c r="AM97" i="1"/>
  <c r="AF97" i="1"/>
  <c r="AA97" i="1"/>
  <c r="AC97" i="1" s="1"/>
  <c r="V97" i="1"/>
  <c r="X97" i="1" s="1"/>
  <c r="Q97" i="1"/>
  <c r="S97" i="1" s="1"/>
  <c r="L97" i="1"/>
  <c r="N97" i="1" s="1"/>
  <c r="BA96" i="1"/>
  <c r="AT96" i="1"/>
  <c r="AM96" i="1"/>
  <c r="AF96" i="1"/>
  <c r="AA96" i="1"/>
  <c r="AC96" i="1" s="1"/>
  <c r="V96" i="1"/>
  <c r="X96" i="1" s="1"/>
  <c r="Q96" i="1"/>
  <c r="S96" i="1" s="1"/>
  <c r="L96" i="1"/>
  <c r="N96" i="1" s="1"/>
  <c r="BA95" i="1"/>
  <c r="AT95" i="1"/>
  <c r="AM95" i="1"/>
  <c r="AF95" i="1"/>
  <c r="AA95" i="1"/>
  <c r="AC95" i="1" s="1"/>
  <c r="V95" i="1"/>
  <c r="X95" i="1" s="1"/>
  <c r="Q95" i="1"/>
  <c r="S95" i="1" s="1"/>
  <c r="L95" i="1"/>
  <c r="N95" i="1" s="1"/>
  <c r="BA94" i="1"/>
  <c r="AT94" i="1"/>
  <c r="AM94" i="1"/>
  <c r="AF94" i="1"/>
  <c r="AA94" i="1"/>
  <c r="AC94" i="1" s="1"/>
  <c r="V94" i="1"/>
  <c r="X94" i="1" s="1"/>
  <c r="Q94" i="1"/>
  <c r="S94" i="1" s="1"/>
  <c r="L94" i="1"/>
  <c r="N94" i="1" s="1"/>
  <c r="BA93" i="1"/>
  <c r="AT93" i="1"/>
  <c r="AM93" i="1"/>
  <c r="AF93" i="1"/>
  <c r="AA93" i="1"/>
  <c r="AC93" i="1" s="1"/>
  <c r="V93" i="1"/>
  <c r="X93" i="1" s="1"/>
  <c r="Q93" i="1"/>
  <c r="S93" i="1" s="1"/>
  <c r="L93" i="1"/>
  <c r="N93" i="1" s="1"/>
  <c r="BA92" i="1"/>
  <c r="AT92" i="1"/>
  <c r="AM92" i="1"/>
  <c r="AF92" i="1"/>
  <c r="AA92" i="1"/>
  <c r="AC92" i="1" s="1"/>
  <c r="V92" i="1"/>
  <c r="X92" i="1" s="1"/>
  <c r="Q92" i="1"/>
  <c r="S92" i="1" s="1"/>
  <c r="L92" i="1"/>
  <c r="N92" i="1" s="1"/>
  <c r="BA91" i="1"/>
  <c r="AT91" i="1"/>
  <c r="AM91" i="1"/>
  <c r="AF91" i="1"/>
  <c r="AA91" i="1"/>
  <c r="AC91" i="1" s="1"/>
  <c r="V91" i="1"/>
  <c r="X91" i="1" s="1"/>
  <c r="Q91" i="1"/>
  <c r="S91" i="1" s="1"/>
  <c r="L91" i="1"/>
  <c r="N91" i="1" s="1"/>
  <c r="BA90" i="1"/>
  <c r="AT90" i="1"/>
  <c r="AM90" i="1"/>
  <c r="AF90" i="1"/>
  <c r="AA90" i="1"/>
  <c r="AC90" i="1" s="1"/>
  <c r="V90" i="1"/>
  <c r="X90" i="1" s="1"/>
  <c r="Q90" i="1"/>
  <c r="S90" i="1" s="1"/>
  <c r="L90" i="1"/>
  <c r="N90" i="1" s="1"/>
  <c r="BA89" i="1"/>
  <c r="AT89" i="1"/>
  <c r="AM89" i="1"/>
  <c r="AF89" i="1"/>
  <c r="AA89" i="1"/>
  <c r="AC89" i="1" s="1"/>
  <c r="V89" i="1"/>
  <c r="X89" i="1" s="1"/>
  <c r="Q89" i="1"/>
  <c r="S89" i="1" s="1"/>
  <c r="L89" i="1"/>
  <c r="N89" i="1" s="1"/>
  <c r="BA88" i="1"/>
  <c r="AT88" i="1"/>
  <c r="AM88" i="1"/>
  <c r="AF88" i="1"/>
  <c r="AA88" i="1"/>
  <c r="AC88" i="1" s="1"/>
  <c r="V88" i="1"/>
  <c r="X88" i="1" s="1"/>
  <c r="Q88" i="1"/>
  <c r="S88" i="1" s="1"/>
  <c r="L88" i="1"/>
  <c r="N88" i="1" s="1"/>
  <c r="BA87" i="1"/>
  <c r="AT87" i="1"/>
  <c r="AM87" i="1"/>
  <c r="AF87" i="1"/>
  <c r="AA87" i="1"/>
  <c r="AC87" i="1" s="1"/>
  <c r="V87" i="1"/>
  <c r="X87" i="1" s="1"/>
  <c r="Q87" i="1"/>
  <c r="S87" i="1" s="1"/>
  <c r="L87" i="1"/>
  <c r="N87" i="1" s="1"/>
  <c r="BA86" i="1"/>
  <c r="AT86" i="1"/>
  <c r="AM86" i="1"/>
  <c r="AF86" i="1"/>
  <c r="AA86" i="1"/>
  <c r="AC86" i="1" s="1"/>
  <c r="V86" i="1"/>
  <c r="X86" i="1" s="1"/>
  <c r="Q86" i="1"/>
  <c r="S86" i="1" s="1"/>
  <c r="L86" i="1"/>
  <c r="N86" i="1" s="1"/>
  <c r="BA85" i="1"/>
  <c r="AT85" i="1"/>
  <c r="AM85" i="1"/>
  <c r="AF85" i="1"/>
  <c r="AA85" i="1"/>
  <c r="AC85" i="1" s="1"/>
  <c r="V85" i="1"/>
  <c r="X85" i="1" s="1"/>
  <c r="Q85" i="1"/>
  <c r="S85" i="1" s="1"/>
  <c r="L85" i="1"/>
  <c r="N85" i="1" s="1"/>
  <c r="BA84" i="1"/>
  <c r="AT84" i="1"/>
  <c r="AM84" i="1"/>
  <c r="AF84" i="1"/>
  <c r="AA84" i="1"/>
  <c r="AC84" i="1" s="1"/>
  <c r="V84" i="1"/>
  <c r="X84" i="1" s="1"/>
  <c r="Q84" i="1"/>
  <c r="S84" i="1" s="1"/>
  <c r="L84" i="1"/>
  <c r="N84" i="1" s="1"/>
  <c r="BA83" i="1"/>
  <c r="AT83" i="1"/>
  <c r="AM83" i="1"/>
  <c r="AF83" i="1"/>
  <c r="AA83" i="1"/>
  <c r="AC83" i="1" s="1"/>
  <c r="V83" i="1"/>
  <c r="X83" i="1" s="1"/>
  <c r="Q83" i="1"/>
  <c r="S83" i="1" s="1"/>
  <c r="L83" i="1"/>
  <c r="N83" i="1" s="1"/>
  <c r="BA82" i="1"/>
  <c r="AT82" i="1"/>
  <c r="AM82" i="1"/>
  <c r="AF82" i="1"/>
  <c r="AA82" i="1"/>
  <c r="AC82" i="1" s="1"/>
  <c r="V82" i="1"/>
  <c r="X82" i="1" s="1"/>
  <c r="Q82" i="1"/>
  <c r="S82" i="1" s="1"/>
  <c r="L82" i="1"/>
  <c r="N82" i="1" s="1"/>
  <c r="BA81" i="1"/>
  <c r="AT81" i="1"/>
  <c r="AM81" i="1"/>
  <c r="AF81" i="1"/>
  <c r="AA81" i="1"/>
  <c r="AC81" i="1" s="1"/>
  <c r="V81" i="1"/>
  <c r="X81" i="1" s="1"/>
  <c r="Q81" i="1"/>
  <c r="S81" i="1" s="1"/>
  <c r="L81" i="1"/>
  <c r="N81" i="1" s="1"/>
  <c r="BA80" i="1"/>
  <c r="AT80" i="1"/>
  <c r="AM80" i="1"/>
  <c r="AF80" i="1"/>
  <c r="AA80" i="1"/>
  <c r="AC80" i="1" s="1"/>
  <c r="V80" i="1"/>
  <c r="X80" i="1" s="1"/>
  <c r="Q80" i="1"/>
  <c r="S80" i="1" s="1"/>
  <c r="L80" i="1"/>
  <c r="N80" i="1" s="1"/>
  <c r="BA79" i="1"/>
  <c r="AT79" i="1"/>
  <c r="AM79" i="1"/>
  <c r="AF79" i="1"/>
  <c r="AA79" i="1"/>
  <c r="AC79" i="1" s="1"/>
  <c r="V79" i="1"/>
  <c r="X79" i="1" s="1"/>
  <c r="Q79" i="1"/>
  <c r="S79" i="1" s="1"/>
  <c r="L79" i="1"/>
  <c r="N79" i="1" s="1"/>
  <c r="BA78" i="1"/>
  <c r="AT78" i="1"/>
  <c r="AM78" i="1"/>
  <c r="AF78" i="1"/>
  <c r="AA78" i="1"/>
  <c r="AC78" i="1" s="1"/>
  <c r="V78" i="1"/>
  <c r="X78" i="1" s="1"/>
  <c r="Q78" i="1"/>
  <c r="S78" i="1" s="1"/>
  <c r="L78" i="1"/>
  <c r="N78" i="1" s="1"/>
  <c r="BA77" i="1"/>
  <c r="AT77" i="1"/>
  <c r="AM77" i="1"/>
  <c r="AF77" i="1"/>
  <c r="AA77" i="1"/>
  <c r="AC77" i="1" s="1"/>
  <c r="V77" i="1"/>
  <c r="X77" i="1" s="1"/>
  <c r="Q77" i="1"/>
  <c r="S77" i="1" s="1"/>
  <c r="L77" i="1"/>
  <c r="N77" i="1" s="1"/>
  <c r="BA76" i="1"/>
  <c r="AT76" i="1"/>
  <c r="AM76" i="1"/>
  <c r="AF76" i="1"/>
  <c r="AA76" i="1"/>
  <c r="AC76" i="1" s="1"/>
  <c r="V76" i="1"/>
  <c r="X76" i="1" s="1"/>
  <c r="Q76" i="1"/>
  <c r="S76" i="1" s="1"/>
  <c r="L76" i="1"/>
  <c r="N76" i="1" s="1"/>
  <c r="BA75" i="1"/>
  <c r="AT75" i="1"/>
  <c r="AM75" i="1"/>
  <c r="AF75" i="1"/>
  <c r="AA75" i="1"/>
  <c r="AC75" i="1" s="1"/>
  <c r="V75" i="1"/>
  <c r="X75" i="1" s="1"/>
  <c r="Q75" i="1"/>
  <c r="S75" i="1" s="1"/>
  <c r="L75" i="1"/>
  <c r="N75" i="1" s="1"/>
  <c r="BA74" i="1"/>
  <c r="AT74" i="1"/>
  <c r="AM74" i="1"/>
  <c r="AF74" i="1"/>
  <c r="AA74" i="1"/>
  <c r="AC74" i="1" s="1"/>
  <c r="V74" i="1"/>
  <c r="X74" i="1" s="1"/>
  <c r="Q74" i="1"/>
  <c r="S74" i="1" s="1"/>
  <c r="L74" i="1"/>
  <c r="N74" i="1" s="1"/>
  <c r="BA73" i="1"/>
  <c r="AT73" i="1"/>
  <c r="AM73" i="1"/>
  <c r="AF73" i="1"/>
  <c r="AA73" i="1"/>
  <c r="V73" i="1"/>
  <c r="Q73" i="1"/>
  <c r="L73" i="1"/>
  <c r="BA72" i="1"/>
  <c r="AT72" i="1"/>
  <c r="AM72" i="1"/>
  <c r="AF72" i="1"/>
  <c r="AA72" i="1"/>
  <c r="AC72" i="1" s="1"/>
  <c r="V72" i="1"/>
  <c r="X72" i="1" s="1"/>
  <c r="Q72" i="1"/>
  <c r="S72" i="1" s="1"/>
  <c r="L72" i="1"/>
  <c r="N72" i="1" s="1"/>
  <c r="BA71" i="1"/>
  <c r="AT71" i="1"/>
  <c r="AM71" i="1"/>
  <c r="AF71" i="1"/>
  <c r="AA71" i="1"/>
  <c r="AC71" i="1" s="1"/>
  <c r="V71" i="1"/>
  <c r="X71" i="1" s="1"/>
  <c r="Q71" i="1"/>
  <c r="S71" i="1" s="1"/>
  <c r="L71" i="1"/>
  <c r="N71" i="1" s="1"/>
  <c r="BA70" i="1"/>
  <c r="AT70" i="1"/>
  <c r="AM70" i="1"/>
  <c r="AF70" i="1"/>
  <c r="AA70" i="1"/>
  <c r="AC70" i="1" s="1"/>
  <c r="V70" i="1"/>
  <c r="X70" i="1" s="1"/>
  <c r="Q70" i="1"/>
  <c r="S70" i="1" s="1"/>
  <c r="L70" i="1"/>
  <c r="N70" i="1" s="1"/>
  <c r="BA69" i="1"/>
  <c r="AT69" i="1"/>
  <c r="AM69" i="1"/>
  <c r="AF69" i="1"/>
  <c r="AA69" i="1"/>
  <c r="AC69" i="1" s="1"/>
  <c r="V69" i="1"/>
  <c r="X69" i="1" s="1"/>
  <c r="Q69" i="1"/>
  <c r="S69" i="1" s="1"/>
  <c r="L69" i="1"/>
  <c r="N69" i="1" s="1"/>
  <c r="BA68" i="1"/>
  <c r="AT68" i="1"/>
  <c r="AM68" i="1"/>
  <c r="AF68" i="1"/>
  <c r="AA68" i="1"/>
  <c r="AC68" i="1" s="1"/>
  <c r="V68" i="1"/>
  <c r="X68" i="1" s="1"/>
  <c r="Q68" i="1"/>
  <c r="S68" i="1" s="1"/>
  <c r="L68" i="1"/>
  <c r="N68" i="1" s="1"/>
  <c r="BA67" i="1"/>
  <c r="AT67" i="1"/>
  <c r="AM67" i="1"/>
  <c r="AF67" i="1"/>
  <c r="AA67" i="1"/>
  <c r="AC67" i="1" s="1"/>
  <c r="V67" i="1"/>
  <c r="X67" i="1" s="1"/>
  <c r="Q67" i="1"/>
  <c r="S67" i="1" s="1"/>
  <c r="L67" i="1"/>
  <c r="N67" i="1" s="1"/>
  <c r="BA66" i="1"/>
  <c r="AT66" i="1"/>
  <c r="AM66" i="1"/>
  <c r="AF66" i="1"/>
  <c r="AA66" i="1"/>
  <c r="AC66" i="1" s="1"/>
  <c r="V66" i="1"/>
  <c r="X66" i="1" s="1"/>
  <c r="Q66" i="1"/>
  <c r="S66" i="1" s="1"/>
  <c r="L66" i="1"/>
  <c r="N66" i="1" s="1"/>
  <c r="BA65" i="1"/>
  <c r="AT65" i="1"/>
  <c r="AM65" i="1"/>
  <c r="AF65" i="1"/>
  <c r="AA65" i="1"/>
  <c r="AC65" i="1" s="1"/>
  <c r="V65" i="1"/>
  <c r="X65" i="1" s="1"/>
  <c r="Q65" i="1"/>
  <c r="S65" i="1" s="1"/>
  <c r="L65" i="1"/>
  <c r="N65" i="1" s="1"/>
  <c r="BA64" i="1"/>
  <c r="AT64" i="1"/>
  <c r="AM64" i="1"/>
  <c r="AF64" i="1"/>
  <c r="AA64" i="1"/>
  <c r="AC64" i="1" s="1"/>
  <c r="V64" i="1"/>
  <c r="X64" i="1" s="1"/>
  <c r="Q64" i="1"/>
  <c r="S64" i="1" s="1"/>
  <c r="L64" i="1"/>
  <c r="N64" i="1" s="1"/>
  <c r="BA63" i="1"/>
  <c r="AT63" i="1"/>
  <c r="AM63" i="1"/>
  <c r="AF63" i="1"/>
  <c r="AA63" i="1"/>
  <c r="AC63" i="1" s="1"/>
  <c r="V63" i="1"/>
  <c r="X63" i="1" s="1"/>
  <c r="Q63" i="1"/>
  <c r="S63" i="1" s="1"/>
  <c r="L63" i="1"/>
  <c r="N63" i="1" s="1"/>
  <c r="BA62" i="1"/>
  <c r="AT62" i="1"/>
  <c r="AM62" i="1"/>
  <c r="AF62" i="1"/>
  <c r="AA62" i="1"/>
  <c r="AC62" i="1" s="1"/>
  <c r="V62" i="1"/>
  <c r="X62" i="1" s="1"/>
  <c r="Q62" i="1"/>
  <c r="S62" i="1" s="1"/>
  <c r="L62" i="1"/>
  <c r="N62" i="1" s="1"/>
  <c r="BA61" i="1"/>
  <c r="AT61" i="1"/>
  <c r="AM61" i="1"/>
  <c r="AF61" i="1"/>
  <c r="AA61" i="1"/>
  <c r="AC61" i="1" s="1"/>
  <c r="V61" i="1"/>
  <c r="X61" i="1" s="1"/>
  <c r="Q61" i="1"/>
  <c r="S61" i="1" s="1"/>
  <c r="L61" i="1"/>
  <c r="N61" i="1" s="1"/>
  <c r="BA60" i="1"/>
  <c r="AT60" i="1"/>
  <c r="AM60" i="1"/>
  <c r="AF60" i="1"/>
  <c r="AA60" i="1"/>
  <c r="AC60" i="1" s="1"/>
  <c r="V60" i="1"/>
  <c r="X60" i="1" s="1"/>
  <c r="Q60" i="1"/>
  <c r="S60" i="1" s="1"/>
  <c r="L60" i="1"/>
  <c r="N60" i="1" s="1"/>
  <c r="BA59" i="1"/>
  <c r="AT59" i="1"/>
  <c r="AM59" i="1"/>
  <c r="AF59" i="1"/>
  <c r="AA59" i="1"/>
  <c r="AC59" i="1" s="1"/>
  <c r="V59" i="1"/>
  <c r="X59" i="1" s="1"/>
  <c r="Q59" i="1"/>
  <c r="S59" i="1" s="1"/>
  <c r="L59" i="1"/>
  <c r="N59" i="1" s="1"/>
  <c r="BA58" i="1"/>
  <c r="AT58" i="1"/>
  <c r="AM58" i="1"/>
  <c r="AF58" i="1"/>
  <c r="AA58" i="1"/>
  <c r="AC58" i="1" s="1"/>
  <c r="V58" i="1"/>
  <c r="X58" i="1" s="1"/>
  <c r="Q58" i="1"/>
  <c r="S58" i="1" s="1"/>
  <c r="L58" i="1"/>
  <c r="N58" i="1" s="1"/>
  <c r="BA57" i="1"/>
  <c r="AT57" i="1"/>
  <c r="AM57" i="1"/>
  <c r="AF57" i="1"/>
  <c r="AA57" i="1"/>
  <c r="AC57" i="1" s="1"/>
  <c r="V57" i="1"/>
  <c r="X57" i="1" s="1"/>
  <c r="Q57" i="1"/>
  <c r="S57" i="1" s="1"/>
  <c r="L57" i="1"/>
  <c r="N57" i="1" s="1"/>
  <c r="BA56" i="1"/>
  <c r="AT56" i="1"/>
  <c r="AM56" i="1"/>
  <c r="AF56" i="1"/>
  <c r="AA56" i="1"/>
  <c r="AC56" i="1" s="1"/>
  <c r="V56" i="1"/>
  <c r="X56" i="1" s="1"/>
  <c r="Q56" i="1"/>
  <c r="S56" i="1" s="1"/>
  <c r="L56" i="1"/>
  <c r="N56" i="1" s="1"/>
  <c r="BA55" i="1"/>
  <c r="AT55" i="1"/>
  <c r="AM55" i="1"/>
  <c r="AF55" i="1"/>
  <c r="AA55" i="1"/>
  <c r="V55" i="1"/>
  <c r="Q55" i="1"/>
  <c r="L55" i="1"/>
  <c r="BA54" i="1"/>
  <c r="AT54" i="1"/>
  <c r="AM54" i="1"/>
  <c r="AF54" i="1"/>
  <c r="AA54" i="1"/>
  <c r="AC54" i="1" s="1"/>
  <c r="V54" i="1"/>
  <c r="X54" i="1" s="1"/>
  <c r="Q54" i="1"/>
  <c r="S54" i="1" s="1"/>
  <c r="L54" i="1"/>
  <c r="N54" i="1" s="1"/>
  <c r="BA53" i="1"/>
  <c r="AT53" i="1"/>
  <c r="AM53" i="1"/>
  <c r="AF53" i="1"/>
  <c r="AA53" i="1"/>
  <c r="AC53" i="1" s="1"/>
  <c r="V53" i="1"/>
  <c r="X53" i="1" s="1"/>
  <c r="Q53" i="1"/>
  <c r="S53" i="1" s="1"/>
  <c r="L53" i="1"/>
  <c r="N53" i="1" s="1"/>
  <c r="BA52" i="1"/>
  <c r="AT52" i="1"/>
  <c r="AM52" i="1"/>
  <c r="AF52" i="1"/>
  <c r="AA52" i="1"/>
  <c r="AC52" i="1" s="1"/>
  <c r="V52" i="1"/>
  <c r="X52" i="1" s="1"/>
  <c r="Q52" i="1"/>
  <c r="S52" i="1" s="1"/>
  <c r="L52" i="1"/>
  <c r="N52" i="1" s="1"/>
  <c r="BA51" i="1"/>
  <c r="AT51" i="1"/>
  <c r="AM51" i="1"/>
  <c r="AF51" i="1"/>
  <c r="AA51" i="1"/>
  <c r="AC51" i="1" s="1"/>
  <c r="V51" i="1"/>
  <c r="X51" i="1" s="1"/>
  <c r="Q51" i="1"/>
  <c r="S51" i="1" s="1"/>
  <c r="L51" i="1"/>
  <c r="N51" i="1" s="1"/>
  <c r="BA50" i="1"/>
  <c r="AT50" i="1"/>
  <c r="AM50" i="1"/>
  <c r="AF50" i="1"/>
  <c r="AA50" i="1"/>
  <c r="AC50" i="1" s="1"/>
  <c r="V50" i="1"/>
  <c r="X50" i="1" s="1"/>
  <c r="Q50" i="1"/>
  <c r="S50" i="1" s="1"/>
  <c r="L50" i="1"/>
  <c r="N50" i="1" s="1"/>
  <c r="BA49" i="1"/>
  <c r="AT49" i="1"/>
  <c r="AM49" i="1"/>
  <c r="AF49" i="1"/>
  <c r="AA49" i="1"/>
  <c r="AC49" i="1" s="1"/>
  <c r="V49" i="1"/>
  <c r="X49" i="1" s="1"/>
  <c r="Q49" i="1"/>
  <c r="S49" i="1" s="1"/>
  <c r="L49" i="1"/>
  <c r="N49" i="1" s="1"/>
  <c r="BA48" i="1"/>
  <c r="AT48" i="1"/>
  <c r="AM48" i="1"/>
  <c r="AF48" i="1"/>
  <c r="AA48" i="1"/>
  <c r="AC48" i="1" s="1"/>
  <c r="V48" i="1"/>
  <c r="X48" i="1" s="1"/>
  <c r="Q48" i="1"/>
  <c r="S48" i="1" s="1"/>
  <c r="L48" i="1"/>
  <c r="N48" i="1" s="1"/>
  <c r="BA47" i="1"/>
  <c r="AT47" i="1"/>
  <c r="AM47" i="1"/>
  <c r="AF47" i="1"/>
  <c r="AA47" i="1"/>
  <c r="AC47" i="1" s="1"/>
  <c r="V47" i="1"/>
  <c r="X47" i="1" s="1"/>
  <c r="Q47" i="1"/>
  <c r="S47" i="1" s="1"/>
  <c r="L47" i="1"/>
  <c r="N47" i="1" s="1"/>
  <c r="BA46" i="1"/>
  <c r="AT46" i="1"/>
  <c r="AM46" i="1"/>
  <c r="AF46" i="1"/>
  <c r="AA46" i="1"/>
  <c r="AC46" i="1" s="1"/>
  <c r="V46" i="1"/>
  <c r="X46" i="1" s="1"/>
  <c r="Q46" i="1"/>
  <c r="S46" i="1" s="1"/>
  <c r="L46" i="1"/>
  <c r="N46" i="1" s="1"/>
  <c r="BA45" i="1"/>
  <c r="AT45" i="1"/>
  <c r="AM45" i="1"/>
  <c r="AF45" i="1"/>
  <c r="AA45" i="1"/>
  <c r="AC45" i="1" s="1"/>
  <c r="V45" i="1"/>
  <c r="X45" i="1" s="1"/>
  <c r="Q45" i="1"/>
  <c r="S45" i="1" s="1"/>
  <c r="L45" i="1"/>
  <c r="N45" i="1" s="1"/>
  <c r="BA44" i="1"/>
  <c r="AT44" i="1"/>
  <c r="AM44" i="1"/>
  <c r="AF44" i="1"/>
  <c r="AA44" i="1"/>
  <c r="AC44" i="1" s="1"/>
  <c r="V44" i="1"/>
  <c r="X44" i="1" s="1"/>
  <c r="Q44" i="1"/>
  <c r="S44" i="1" s="1"/>
  <c r="L44" i="1"/>
  <c r="N44" i="1" s="1"/>
  <c r="BA43" i="1"/>
  <c r="AT43" i="1"/>
  <c r="AM43" i="1"/>
  <c r="AF43" i="1"/>
  <c r="AA43" i="1"/>
  <c r="AC43" i="1" s="1"/>
  <c r="V43" i="1"/>
  <c r="X43" i="1" s="1"/>
  <c r="Q43" i="1"/>
  <c r="S43" i="1" s="1"/>
  <c r="L43" i="1"/>
  <c r="N43" i="1" s="1"/>
  <c r="BA42" i="1"/>
  <c r="AT42" i="1"/>
  <c r="AM42" i="1"/>
  <c r="AF42" i="1"/>
  <c r="AA42" i="1"/>
  <c r="AC42" i="1" s="1"/>
  <c r="V42" i="1"/>
  <c r="X42" i="1" s="1"/>
  <c r="Q42" i="1"/>
  <c r="S42" i="1" s="1"/>
  <c r="L42" i="1"/>
  <c r="N42" i="1" s="1"/>
  <c r="BA41" i="1"/>
  <c r="AT41" i="1"/>
  <c r="AM41" i="1"/>
  <c r="AF41" i="1"/>
  <c r="AA41" i="1"/>
  <c r="AC41" i="1" s="1"/>
  <c r="V41" i="1"/>
  <c r="X41" i="1" s="1"/>
  <c r="Q41" i="1"/>
  <c r="S41" i="1" s="1"/>
  <c r="L41" i="1"/>
  <c r="N41" i="1" s="1"/>
  <c r="BA40" i="1"/>
  <c r="AT40" i="1"/>
  <c r="AM40" i="1"/>
  <c r="AF40" i="1"/>
  <c r="AA40" i="1"/>
  <c r="AC40" i="1" s="1"/>
  <c r="V40" i="1"/>
  <c r="X40" i="1" s="1"/>
  <c r="Q40" i="1"/>
  <c r="S40" i="1" s="1"/>
  <c r="L40" i="1"/>
  <c r="N40" i="1" s="1"/>
  <c r="BA39" i="1"/>
  <c r="AT39" i="1"/>
  <c r="AM39" i="1"/>
  <c r="AF39" i="1"/>
  <c r="AA39" i="1"/>
  <c r="AC39" i="1" s="1"/>
  <c r="V39" i="1"/>
  <c r="X39" i="1" s="1"/>
  <c r="Q39" i="1"/>
  <c r="S39" i="1" s="1"/>
  <c r="L39" i="1"/>
  <c r="N39" i="1" s="1"/>
  <c r="BA38" i="1"/>
  <c r="AT38" i="1"/>
  <c r="AM38" i="1"/>
  <c r="AF38" i="1"/>
  <c r="AA38" i="1"/>
  <c r="AC38" i="1" s="1"/>
  <c r="V38" i="1"/>
  <c r="X38" i="1" s="1"/>
  <c r="Q38" i="1"/>
  <c r="S38" i="1" s="1"/>
  <c r="L38" i="1"/>
  <c r="N38" i="1" s="1"/>
  <c r="BA37" i="1"/>
  <c r="AT37" i="1"/>
  <c r="AM37" i="1"/>
  <c r="AF37" i="1"/>
  <c r="AA37" i="1"/>
  <c r="AC37" i="1" s="1"/>
  <c r="V37" i="1"/>
  <c r="X37" i="1" s="1"/>
  <c r="Q37" i="1"/>
  <c r="S37" i="1" s="1"/>
  <c r="L37" i="1"/>
  <c r="N37" i="1" s="1"/>
  <c r="BA36" i="1"/>
  <c r="AT36" i="1"/>
  <c r="AM36" i="1"/>
  <c r="AF36" i="1"/>
  <c r="AA36" i="1"/>
  <c r="V36" i="1"/>
  <c r="Q36" i="1"/>
  <c r="L36" i="1"/>
  <c r="BA35" i="1"/>
  <c r="AT35" i="1"/>
  <c r="AM35" i="1"/>
  <c r="AF35" i="1"/>
  <c r="AA35" i="1"/>
  <c r="AC35" i="1" s="1"/>
  <c r="V35" i="1"/>
  <c r="X35" i="1" s="1"/>
  <c r="Q35" i="1"/>
  <c r="S35" i="1" s="1"/>
  <c r="L35" i="1"/>
  <c r="N35" i="1" s="1"/>
  <c r="BA34" i="1"/>
  <c r="AT34" i="1"/>
  <c r="AM34" i="1"/>
  <c r="AF34" i="1"/>
  <c r="AA34" i="1"/>
  <c r="AC34" i="1" s="1"/>
  <c r="V34" i="1"/>
  <c r="X34" i="1" s="1"/>
  <c r="Q34" i="1"/>
  <c r="S34" i="1" s="1"/>
  <c r="L34" i="1"/>
  <c r="N34" i="1" s="1"/>
  <c r="BA33" i="1"/>
  <c r="AT33" i="1"/>
  <c r="AM33" i="1"/>
  <c r="AF33" i="1"/>
  <c r="AA33" i="1"/>
  <c r="AC33" i="1" s="1"/>
  <c r="V33" i="1"/>
  <c r="X33" i="1" s="1"/>
  <c r="Q33" i="1"/>
  <c r="S33" i="1" s="1"/>
  <c r="L33" i="1"/>
  <c r="N33" i="1" s="1"/>
  <c r="BA32" i="1"/>
  <c r="AT32" i="1"/>
  <c r="AM32" i="1"/>
  <c r="AF32" i="1"/>
  <c r="AA32" i="1"/>
  <c r="AC32" i="1" s="1"/>
  <c r="V32" i="1"/>
  <c r="X32" i="1" s="1"/>
  <c r="Q32" i="1"/>
  <c r="S32" i="1" s="1"/>
  <c r="L32" i="1"/>
  <c r="N32" i="1" s="1"/>
  <c r="BA31" i="1"/>
  <c r="AT31" i="1"/>
  <c r="AM31" i="1"/>
  <c r="AF31" i="1"/>
  <c r="AA31" i="1"/>
  <c r="AC31" i="1" s="1"/>
  <c r="V31" i="1"/>
  <c r="X31" i="1" s="1"/>
  <c r="Q31" i="1"/>
  <c r="S31" i="1" s="1"/>
  <c r="L31" i="1"/>
  <c r="N31" i="1" s="1"/>
  <c r="BA30" i="1"/>
  <c r="AT30" i="1"/>
  <c r="AM30" i="1"/>
  <c r="AF30" i="1"/>
  <c r="AA30" i="1"/>
  <c r="AC30" i="1" s="1"/>
  <c r="V30" i="1"/>
  <c r="X30" i="1" s="1"/>
  <c r="Q30" i="1"/>
  <c r="S30" i="1" s="1"/>
  <c r="L30" i="1"/>
  <c r="N30" i="1" s="1"/>
  <c r="BA29" i="1"/>
  <c r="AT29" i="1"/>
  <c r="AM29" i="1"/>
  <c r="AF29" i="1"/>
  <c r="AA29" i="1"/>
  <c r="AC29" i="1" s="1"/>
  <c r="V29" i="1"/>
  <c r="X29" i="1" s="1"/>
  <c r="Q29" i="1"/>
  <c r="S29" i="1" s="1"/>
  <c r="L29" i="1"/>
  <c r="N29" i="1" s="1"/>
  <c r="BA28" i="1"/>
  <c r="AT28" i="1"/>
  <c r="AM28" i="1"/>
  <c r="AF28" i="1"/>
  <c r="AA28" i="1"/>
  <c r="AC28" i="1" s="1"/>
  <c r="V28" i="1"/>
  <c r="X28" i="1" s="1"/>
  <c r="Q28" i="1"/>
  <c r="S28" i="1" s="1"/>
  <c r="L28" i="1"/>
  <c r="N28" i="1" s="1"/>
  <c r="BA27" i="1"/>
  <c r="AT27" i="1"/>
  <c r="AM27" i="1"/>
  <c r="AF27" i="1"/>
  <c r="AA27" i="1"/>
  <c r="AC27" i="1" s="1"/>
  <c r="V27" i="1"/>
  <c r="X27" i="1" s="1"/>
  <c r="Q27" i="1"/>
  <c r="S27" i="1" s="1"/>
  <c r="L27" i="1"/>
  <c r="N27" i="1" s="1"/>
  <c r="BA26" i="1"/>
  <c r="AT26" i="1"/>
  <c r="AM26" i="1"/>
  <c r="AF26" i="1"/>
  <c r="AA26" i="1"/>
  <c r="AC26" i="1" s="1"/>
  <c r="V26" i="1"/>
  <c r="X26" i="1" s="1"/>
  <c r="Q26" i="1"/>
  <c r="S26" i="1" s="1"/>
  <c r="L26" i="1"/>
  <c r="N26" i="1" s="1"/>
  <c r="BA25" i="1"/>
  <c r="AT25" i="1"/>
  <c r="AM25" i="1"/>
  <c r="AF25" i="1"/>
  <c r="AA25" i="1"/>
  <c r="AC25" i="1" s="1"/>
  <c r="V25" i="1"/>
  <c r="X25" i="1" s="1"/>
  <c r="Q25" i="1"/>
  <c r="S25" i="1" s="1"/>
  <c r="L25" i="1"/>
  <c r="N25" i="1" s="1"/>
  <c r="BA24" i="1"/>
  <c r="AT24" i="1"/>
  <c r="AM24" i="1"/>
  <c r="AF24" i="1"/>
  <c r="AA24" i="1"/>
  <c r="AC24" i="1" s="1"/>
  <c r="V24" i="1"/>
  <c r="X24" i="1" s="1"/>
  <c r="Q24" i="1"/>
  <c r="S24" i="1" s="1"/>
  <c r="L24" i="1"/>
  <c r="N24" i="1" s="1"/>
  <c r="BA23" i="1"/>
  <c r="AT23" i="1"/>
  <c r="AM23" i="1"/>
  <c r="AF23" i="1"/>
  <c r="AA23" i="1"/>
  <c r="AC23" i="1" s="1"/>
  <c r="V23" i="1"/>
  <c r="X23" i="1" s="1"/>
  <c r="Q23" i="1"/>
  <c r="S23" i="1" s="1"/>
  <c r="L23" i="1"/>
  <c r="N23" i="1" s="1"/>
  <c r="BA22" i="1"/>
  <c r="AT22" i="1"/>
  <c r="AM22" i="1"/>
  <c r="AF22" i="1"/>
  <c r="AA22" i="1"/>
  <c r="AC22" i="1" s="1"/>
  <c r="V22" i="1"/>
  <c r="X22" i="1" s="1"/>
  <c r="Q22" i="1"/>
  <c r="S22" i="1" s="1"/>
  <c r="L22" i="1"/>
  <c r="N22" i="1" s="1"/>
  <c r="BA21" i="1"/>
  <c r="AT21" i="1"/>
  <c r="AM21" i="1"/>
  <c r="AF21" i="1"/>
  <c r="AA21" i="1"/>
  <c r="AC21" i="1" s="1"/>
  <c r="V21" i="1"/>
  <c r="X21" i="1" s="1"/>
  <c r="Q21" i="1"/>
  <c r="S21" i="1" s="1"/>
  <c r="L21" i="1"/>
  <c r="N21" i="1" s="1"/>
  <c r="BA20" i="1"/>
  <c r="AT20" i="1"/>
  <c r="AM20" i="1"/>
  <c r="AF20" i="1"/>
  <c r="AA20" i="1"/>
  <c r="AC20" i="1" s="1"/>
  <c r="V20" i="1"/>
  <c r="X20" i="1" s="1"/>
  <c r="Q20" i="1"/>
  <c r="S20" i="1" s="1"/>
  <c r="L20" i="1"/>
  <c r="N20" i="1" s="1"/>
  <c r="BA19" i="1"/>
  <c r="AT19" i="1"/>
  <c r="AM19" i="1"/>
  <c r="AF19" i="1"/>
  <c r="AA19" i="1"/>
  <c r="AC19" i="1" s="1"/>
  <c r="V19" i="1"/>
  <c r="X19" i="1" s="1"/>
  <c r="Q19" i="1"/>
  <c r="S19" i="1" s="1"/>
  <c r="L19" i="1"/>
  <c r="N19" i="1" s="1"/>
  <c r="BA18" i="1"/>
  <c r="AT18" i="1"/>
  <c r="AM18" i="1"/>
  <c r="AF18" i="1"/>
  <c r="AA18" i="1"/>
  <c r="AC18" i="1" s="1"/>
  <c r="V18" i="1"/>
  <c r="X18" i="1" s="1"/>
  <c r="Q18" i="1"/>
  <c r="S18" i="1" s="1"/>
  <c r="L18" i="1"/>
  <c r="N18" i="1" s="1"/>
  <c r="BA17" i="1"/>
  <c r="AT17" i="1"/>
  <c r="AM17" i="1"/>
  <c r="AF17" i="1"/>
  <c r="AA17" i="1"/>
  <c r="AC17" i="1" s="1"/>
  <c r="V17" i="1"/>
  <c r="X17" i="1" s="1"/>
  <c r="Q17" i="1"/>
  <c r="S17" i="1" s="1"/>
  <c r="L17" i="1"/>
  <c r="N17" i="1" s="1"/>
  <c r="BA16" i="1"/>
  <c r="AT16" i="1"/>
  <c r="AM16" i="1"/>
  <c r="AF16" i="1"/>
  <c r="AA16" i="1"/>
  <c r="AC16" i="1" s="1"/>
  <c r="V16" i="1"/>
  <c r="X16" i="1" s="1"/>
  <c r="Q16" i="1"/>
  <c r="S16" i="1" s="1"/>
  <c r="L16" i="1"/>
  <c r="N16" i="1" s="1"/>
  <c r="BA15" i="1"/>
  <c r="AT15" i="1"/>
  <c r="AM15" i="1"/>
  <c r="AF15" i="1"/>
  <c r="AA15" i="1"/>
  <c r="AC15" i="1" s="1"/>
  <c r="V15" i="1"/>
  <c r="X15" i="1" s="1"/>
  <c r="Q15" i="1"/>
  <c r="S15" i="1" s="1"/>
  <c r="L15" i="1"/>
  <c r="N15" i="1" s="1"/>
  <c r="BA14" i="1"/>
  <c r="AT14" i="1"/>
  <c r="AM14" i="1"/>
  <c r="AF14" i="1"/>
  <c r="AA14" i="1"/>
  <c r="AC14" i="1" s="1"/>
  <c r="V14" i="1"/>
  <c r="X14" i="1" s="1"/>
  <c r="Q14" i="1"/>
  <c r="S14" i="1" s="1"/>
  <c r="L14" i="1"/>
  <c r="N14" i="1" s="1"/>
  <c r="BA13" i="1"/>
  <c r="AT13" i="1"/>
  <c r="AM13" i="1"/>
  <c r="AF13" i="1"/>
  <c r="AA13" i="1"/>
  <c r="AC13" i="1" s="1"/>
  <c r="V13" i="1"/>
  <c r="X13" i="1" s="1"/>
  <c r="Q13" i="1"/>
  <c r="S13" i="1" s="1"/>
  <c r="L13" i="1"/>
  <c r="N13" i="1" s="1"/>
  <c r="BA12" i="1"/>
  <c r="AT12" i="1"/>
  <c r="AM12" i="1"/>
  <c r="AF12" i="1"/>
  <c r="AA12" i="1"/>
  <c r="AC12" i="1" s="1"/>
  <c r="V12" i="1"/>
  <c r="X12" i="1" s="1"/>
  <c r="Q12" i="1"/>
  <c r="S12" i="1" s="1"/>
  <c r="L12" i="1"/>
  <c r="N12" i="1" s="1"/>
  <c r="BA11" i="1"/>
  <c r="AT11" i="1"/>
  <c r="AM11" i="1"/>
  <c r="AF11" i="1"/>
  <c r="AA11" i="1"/>
  <c r="AC11" i="1" s="1"/>
  <c r="V11" i="1"/>
  <c r="X11" i="1" s="1"/>
  <c r="Q11" i="1"/>
  <c r="S11" i="1" s="1"/>
  <c r="L11" i="1"/>
  <c r="N11" i="1" s="1"/>
  <c r="BA10" i="1"/>
  <c r="AT10" i="1"/>
  <c r="AM10" i="1"/>
  <c r="AF10" i="1"/>
  <c r="AA10" i="1"/>
  <c r="AC10" i="1" s="1"/>
  <c r="V10" i="1"/>
  <c r="X10" i="1" s="1"/>
  <c r="Q10" i="1"/>
  <c r="S10" i="1" s="1"/>
  <c r="L10" i="1"/>
  <c r="N10" i="1" s="1"/>
  <c r="BA9" i="1"/>
  <c r="AT9" i="1"/>
  <c r="AM9" i="1"/>
  <c r="AF9" i="1"/>
  <c r="AA9" i="1"/>
  <c r="AC9" i="1" s="1"/>
  <c r="V9" i="1"/>
  <c r="X9" i="1" s="1"/>
  <c r="Q9" i="1"/>
  <c r="S9" i="1" s="1"/>
  <c r="L9" i="1"/>
  <c r="N9" i="1" s="1"/>
  <c r="BA8" i="1"/>
  <c r="AT8" i="1"/>
  <c r="AM8" i="1"/>
  <c r="AF8" i="1"/>
  <c r="AA8" i="1"/>
  <c r="AC8" i="1" s="1"/>
  <c r="V8" i="1"/>
  <c r="X8" i="1" s="1"/>
  <c r="Q8" i="1"/>
  <c r="S8" i="1" s="1"/>
  <c r="L8" i="1"/>
  <c r="N8" i="1" s="1"/>
  <c r="BA7" i="1"/>
  <c r="AT7" i="1"/>
  <c r="AM7" i="1"/>
  <c r="AF7" i="1"/>
  <c r="AA7" i="1"/>
  <c r="AC7" i="1" s="1"/>
  <c r="V7" i="1"/>
  <c r="X7" i="1" s="1"/>
  <c r="Q7" i="1"/>
  <c r="S7" i="1" s="1"/>
  <c r="L7" i="1"/>
  <c r="N7" i="1" s="1"/>
  <c r="BD134" i="1"/>
  <c r="BB134" i="1"/>
  <c r="AZ134" i="1"/>
  <c r="AY134" i="1"/>
  <c r="AW134" i="1"/>
  <c r="AU134" i="1"/>
  <c r="AS134" i="1"/>
  <c r="AR134" i="1"/>
  <c r="AP134" i="1"/>
  <c r="AN134" i="1"/>
  <c r="AL134" i="1"/>
  <c r="AK134" i="1"/>
  <c r="AI134" i="1"/>
  <c r="AG134" i="1"/>
  <c r="AE134" i="1"/>
  <c r="AD134" i="1"/>
  <c r="AB134" i="1"/>
  <c r="Z134" i="1"/>
  <c r="Y134" i="1"/>
  <c r="W134" i="1"/>
  <c r="U134" i="1"/>
  <c r="T134" i="1"/>
  <c r="R134" i="1"/>
  <c r="P134" i="1"/>
  <c r="O134" i="1"/>
  <c r="M134" i="1"/>
  <c r="K134" i="1"/>
  <c r="J134" i="1"/>
  <c r="AJ7" i="1" l="1"/>
  <c r="AH7" i="1"/>
  <c r="AQ7" i="1"/>
  <c r="AO7" i="1"/>
  <c r="AX7" i="1"/>
  <c r="AV7" i="1"/>
  <c r="BE7" i="1"/>
  <c r="BC7" i="1"/>
  <c r="AJ8" i="1"/>
  <c r="AH8" i="1"/>
  <c r="AQ8" i="1"/>
  <c r="AO8" i="1"/>
  <c r="AX8" i="1"/>
  <c r="AV8" i="1"/>
  <c r="BE8" i="1"/>
  <c r="BC8" i="1"/>
  <c r="AJ9" i="1"/>
  <c r="AH9" i="1"/>
  <c r="AQ9" i="1"/>
  <c r="AO9" i="1"/>
  <c r="AX9" i="1"/>
  <c r="AV9" i="1"/>
  <c r="BE9" i="1"/>
  <c r="BC9" i="1"/>
  <c r="AJ10" i="1"/>
  <c r="AH10" i="1"/>
  <c r="AQ10" i="1"/>
  <c r="AO10" i="1"/>
  <c r="AX10" i="1"/>
  <c r="AV10" i="1"/>
  <c r="BE10" i="1"/>
  <c r="BC10" i="1"/>
  <c r="AJ11" i="1"/>
  <c r="AH11" i="1"/>
  <c r="AQ11" i="1"/>
  <c r="AO11" i="1"/>
  <c r="AX11" i="1"/>
  <c r="AV11" i="1"/>
  <c r="BE11" i="1"/>
  <c r="BC11" i="1"/>
  <c r="AJ12" i="1"/>
  <c r="AH12" i="1"/>
  <c r="AQ12" i="1"/>
  <c r="AO12" i="1"/>
  <c r="AX12" i="1"/>
  <c r="AV12" i="1"/>
  <c r="BE12" i="1"/>
  <c r="BC12" i="1"/>
  <c r="AJ13" i="1"/>
  <c r="AH13" i="1"/>
  <c r="AQ13" i="1"/>
  <c r="AO13" i="1"/>
  <c r="AX13" i="1"/>
  <c r="AV13" i="1"/>
  <c r="BE13" i="1"/>
  <c r="BC13" i="1"/>
  <c r="AJ14" i="1"/>
  <c r="AH14" i="1"/>
  <c r="AQ14" i="1"/>
  <c r="AO14" i="1"/>
  <c r="AX14" i="1"/>
  <c r="AV14" i="1"/>
  <c r="BE14" i="1"/>
  <c r="BC14" i="1"/>
  <c r="AJ15" i="1"/>
  <c r="AH15" i="1"/>
  <c r="AQ15" i="1"/>
  <c r="AO15" i="1"/>
  <c r="AX15" i="1"/>
  <c r="AV15" i="1"/>
  <c r="BE15" i="1"/>
  <c r="BC15" i="1"/>
  <c r="AJ16" i="1"/>
  <c r="AH16" i="1"/>
  <c r="AQ16" i="1"/>
  <c r="AO16" i="1"/>
  <c r="AX16" i="1"/>
  <c r="AV16" i="1"/>
  <c r="BE16" i="1"/>
  <c r="BC16" i="1"/>
  <c r="AJ17" i="1"/>
  <c r="AH17" i="1"/>
  <c r="AQ17" i="1"/>
  <c r="AO17" i="1"/>
  <c r="AX17" i="1"/>
  <c r="AV17" i="1"/>
  <c r="BE17" i="1"/>
  <c r="BC17" i="1"/>
  <c r="AJ18" i="1"/>
  <c r="AH18" i="1"/>
  <c r="AQ18" i="1"/>
  <c r="AO18" i="1"/>
  <c r="AX18" i="1"/>
  <c r="AV18" i="1"/>
  <c r="BE18" i="1"/>
  <c r="BC18" i="1"/>
  <c r="AJ19" i="1"/>
  <c r="AH19" i="1"/>
  <c r="AQ19" i="1"/>
  <c r="AO19" i="1"/>
  <c r="AX19" i="1"/>
  <c r="AV19" i="1"/>
  <c r="BE19" i="1"/>
  <c r="BC19" i="1"/>
  <c r="AJ20" i="1"/>
  <c r="AH20" i="1"/>
  <c r="AQ20" i="1"/>
  <c r="AO20" i="1"/>
  <c r="AX20" i="1"/>
  <c r="AV20" i="1"/>
  <c r="BE20" i="1"/>
  <c r="BC20" i="1"/>
  <c r="AJ21" i="1"/>
  <c r="AH21" i="1"/>
  <c r="AQ21" i="1"/>
  <c r="AO21" i="1"/>
  <c r="AX21" i="1"/>
  <c r="AV21" i="1"/>
  <c r="BE21" i="1"/>
  <c r="BC21" i="1"/>
  <c r="AJ22" i="1"/>
  <c r="AH22" i="1"/>
  <c r="AQ22" i="1"/>
  <c r="AO22" i="1"/>
  <c r="AX22" i="1"/>
  <c r="AV22" i="1"/>
  <c r="BE22" i="1"/>
  <c r="BC22" i="1"/>
  <c r="AJ23" i="1"/>
  <c r="AH23" i="1"/>
  <c r="AQ23" i="1"/>
  <c r="AO23" i="1"/>
  <c r="AX23" i="1"/>
  <c r="AV23" i="1"/>
  <c r="BE23" i="1"/>
  <c r="BC23" i="1"/>
  <c r="AJ24" i="1"/>
  <c r="AH24" i="1"/>
  <c r="AQ24" i="1"/>
  <c r="AO24" i="1"/>
  <c r="AX24" i="1"/>
  <c r="AV24" i="1"/>
  <c r="BE24" i="1"/>
  <c r="BC24" i="1"/>
  <c r="AJ25" i="1"/>
  <c r="AH25" i="1"/>
  <c r="AQ25" i="1"/>
  <c r="AO25" i="1"/>
  <c r="AX25" i="1"/>
  <c r="AV25" i="1"/>
  <c r="BE25" i="1"/>
  <c r="BC25" i="1"/>
  <c r="AJ26" i="1"/>
  <c r="AH26" i="1"/>
  <c r="AQ26" i="1"/>
  <c r="AO26" i="1"/>
  <c r="AX26" i="1"/>
  <c r="AV26" i="1"/>
  <c r="BE26" i="1"/>
  <c r="BC26" i="1"/>
  <c r="AJ27" i="1"/>
  <c r="AH27" i="1"/>
  <c r="AQ27" i="1"/>
  <c r="AO27" i="1"/>
  <c r="AX27" i="1"/>
  <c r="AV27" i="1"/>
  <c r="BE27" i="1"/>
  <c r="BC27" i="1"/>
  <c r="AJ28" i="1"/>
  <c r="AH28" i="1"/>
  <c r="AQ28" i="1"/>
  <c r="AO28" i="1"/>
  <c r="AX28" i="1"/>
  <c r="AV28" i="1"/>
  <c r="BE28" i="1"/>
  <c r="BC28" i="1"/>
  <c r="AJ29" i="1"/>
  <c r="AH29" i="1"/>
  <c r="AQ29" i="1"/>
  <c r="AO29" i="1"/>
  <c r="AX29" i="1"/>
  <c r="AV29" i="1"/>
  <c r="BE29" i="1"/>
  <c r="BC29" i="1"/>
  <c r="AJ30" i="1"/>
  <c r="AH30" i="1"/>
  <c r="AQ30" i="1"/>
  <c r="AO30" i="1"/>
  <c r="AX30" i="1"/>
  <c r="AV30" i="1"/>
  <c r="BE30" i="1"/>
  <c r="BC30" i="1"/>
  <c r="AJ31" i="1"/>
  <c r="AH31" i="1"/>
  <c r="AQ31" i="1"/>
  <c r="AO31" i="1"/>
  <c r="AX31" i="1"/>
  <c r="AV31" i="1"/>
  <c r="BE31" i="1"/>
  <c r="BC31" i="1"/>
  <c r="AJ32" i="1"/>
  <c r="AH32" i="1"/>
  <c r="AQ32" i="1"/>
  <c r="AO32" i="1"/>
  <c r="AX32" i="1"/>
  <c r="AV32" i="1"/>
  <c r="BE32" i="1"/>
  <c r="BC32" i="1"/>
  <c r="AJ33" i="1"/>
  <c r="AH33" i="1"/>
  <c r="AQ33" i="1"/>
  <c r="AO33" i="1"/>
  <c r="AX33" i="1"/>
  <c r="AV33" i="1"/>
  <c r="BE33" i="1"/>
  <c r="BC33" i="1"/>
  <c r="AJ34" i="1"/>
  <c r="AH34" i="1"/>
  <c r="AQ34" i="1"/>
  <c r="AO34" i="1"/>
  <c r="AX34" i="1"/>
  <c r="AV34" i="1"/>
  <c r="BE34" i="1"/>
  <c r="BC34" i="1"/>
  <c r="AJ35" i="1"/>
  <c r="AH35" i="1"/>
  <c r="AQ35" i="1"/>
  <c r="AO35" i="1"/>
  <c r="AX35" i="1"/>
  <c r="AV35" i="1"/>
  <c r="BE35" i="1"/>
  <c r="BC35" i="1"/>
  <c r="AJ37" i="1"/>
  <c r="AH37" i="1"/>
  <c r="AQ37" i="1"/>
  <c r="AO37" i="1"/>
  <c r="AX37" i="1"/>
  <c r="AV37" i="1"/>
  <c r="BE37" i="1"/>
  <c r="BC37" i="1"/>
  <c r="AJ38" i="1"/>
  <c r="AH38" i="1"/>
  <c r="AQ38" i="1"/>
  <c r="AO38" i="1"/>
  <c r="AX38" i="1"/>
  <c r="AV38" i="1"/>
  <c r="BE38" i="1"/>
  <c r="BC38" i="1"/>
  <c r="AJ39" i="1"/>
  <c r="AH39" i="1"/>
  <c r="AQ39" i="1"/>
  <c r="AO39" i="1"/>
  <c r="AX39" i="1"/>
  <c r="AV39" i="1"/>
  <c r="BE39" i="1"/>
  <c r="BC39" i="1"/>
  <c r="AJ40" i="1"/>
  <c r="AH40" i="1"/>
  <c r="AQ40" i="1"/>
  <c r="AO40" i="1"/>
  <c r="AX40" i="1"/>
  <c r="AV40" i="1"/>
  <c r="BE40" i="1"/>
  <c r="BC40" i="1"/>
  <c r="AJ41" i="1"/>
  <c r="AH41" i="1"/>
  <c r="AQ41" i="1"/>
  <c r="AO41" i="1"/>
  <c r="AX41" i="1"/>
  <c r="AV41" i="1"/>
  <c r="BE41" i="1"/>
  <c r="BC41" i="1"/>
  <c r="AJ42" i="1"/>
  <c r="AH42" i="1"/>
  <c r="AQ42" i="1"/>
  <c r="AO42" i="1"/>
  <c r="AX42" i="1"/>
  <c r="AV42" i="1"/>
  <c r="BE42" i="1"/>
  <c r="BC42" i="1"/>
  <c r="AJ43" i="1"/>
  <c r="AH43" i="1"/>
  <c r="AQ43" i="1"/>
  <c r="AO43" i="1"/>
  <c r="AX43" i="1"/>
  <c r="AV43" i="1"/>
  <c r="BE43" i="1"/>
  <c r="BC43" i="1"/>
  <c r="AJ44" i="1"/>
  <c r="AH44" i="1"/>
  <c r="AQ44" i="1"/>
  <c r="AO44" i="1"/>
  <c r="AX44" i="1"/>
  <c r="AV44" i="1"/>
  <c r="BE44" i="1"/>
  <c r="BC44" i="1"/>
  <c r="AJ45" i="1"/>
  <c r="AH45" i="1"/>
  <c r="AQ45" i="1"/>
  <c r="AO45" i="1"/>
  <c r="AX45" i="1"/>
  <c r="AV45" i="1"/>
  <c r="BE45" i="1"/>
  <c r="BC45" i="1"/>
  <c r="AJ46" i="1"/>
  <c r="AH46" i="1"/>
  <c r="AQ46" i="1"/>
  <c r="AO46" i="1"/>
  <c r="AX46" i="1"/>
  <c r="AV46" i="1"/>
  <c r="BE46" i="1"/>
  <c r="BC46" i="1"/>
  <c r="AJ47" i="1"/>
  <c r="AH47" i="1"/>
  <c r="AQ47" i="1"/>
  <c r="AO47" i="1"/>
  <c r="AX47" i="1"/>
  <c r="AV47" i="1"/>
  <c r="BE47" i="1"/>
  <c r="BC47" i="1"/>
  <c r="AJ48" i="1"/>
  <c r="AH48" i="1"/>
  <c r="AQ48" i="1"/>
  <c r="AO48" i="1"/>
  <c r="AX48" i="1"/>
  <c r="AV48" i="1"/>
  <c r="BE48" i="1"/>
  <c r="BC48" i="1"/>
  <c r="AJ49" i="1"/>
  <c r="AH49" i="1"/>
  <c r="AQ49" i="1"/>
  <c r="AO49" i="1"/>
  <c r="AX49" i="1"/>
  <c r="AV49" i="1"/>
  <c r="BE49" i="1"/>
  <c r="BC49" i="1"/>
  <c r="AJ50" i="1"/>
  <c r="AH50" i="1"/>
  <c r="AQ50" i="1"/>
  <c r="AO50" i="1"/>
  <c r="AX50" i="1"/>
  <c r="AV50" i="1"/>
  <c r="BE50" i="1"/>
  <c r="BC50" i="1"/>
  <c r="AJ51" i="1"/>
  <c r="AH51" i="1"/>
  <c r="AQ51" i="1"/>
  <c r="AO51" i="1"/>
  <c r="AX51" i="1"/>
  <c r="AV51" i="1"/>
  <c r="BE51" i="1"/>
  <c r="BC51" i="1"/>
  <c r="AJ52" i="1"/>
  <c r="AH52" i="1"/>
  <c r="AQ52" i="1"/>
  <c r="AO52" i="1"/>
  <c r="AX52" i="1"/>
  <c r="AV52" i="1"/>
  <c r="BE52" i="1"/>
  <c r="BC52" i="1"/>
  <c r="AJ53" i="1"/>
  <c r="AH53" i="1"/>
  <c r="AQ53" i="1"/>
  <c r="AO53" i="1"/>
  <c r="AX53" i="1"/>
  <c r="AV53" i="1"/>
  <c r="BE53" i="1"/>
  <c r="BC53" i="1"/>
  <c r="AJ54" i="1"/>
  <c r="AH54" i="1"/>
  <c r="AQ54" i="1"/>
  <c r="AO54" i="1"/>
  <c r="AX54" i="1"/>
  <c r="AV54" i="1"/>
  <c r="BE54" i="1"/>
  <c r="BC54" i="1"/>
  <c r="AQ55" i="1"/>
  <c r="AX55" i="1"/>
  <c r="AV55" i="1"/>
  <c r="BE55" i="1"/>
  <c r="BC55" i="1"/>
  <c r="AJ56" i="1"/>
  <c r="AH56" i="1"/>
  <c r="AQ56" i="1"/>
  <c r="AO56" i="1"/>
  <c r="AX56" i="1"/>
  <c r="AV56" i="1"/>
  <c r="BE56" i="1"/>
  <c r="BC56" i="1"/>
  <c r="AJ57" i="1"/>
  <c r="AH57" i="1"/>
  <c r="AQ57" i="1"/>
  <c r="AO57" i="1"/>
  <c r="AX57" i="1"/>
  <c r="AV57" i="1"/>
  <c r="BE57" i="1"/>
  <c r="BC57" i="1"/>
  <c r="AJ58" i="1"/>
  <c r="AH58" i="1"/>
  <c r="AQ58" i="1"/>
  <c r="AO58" i="1"/>
  <c r="AX58" i="1"/>
  <c r="AV58" i="1"/>
  <c r="BE58" i="1"/>
  <c r="BC58" i="1"/>
  <c r="AJ59" i="1"/>
  <c r="AH59" i="1"/>
  <c r="AQ59" i="1"/>
  <c r="AO59" i="1"/>
  <c r="AX59" i="1"/>
  <c r="AV59" i="1"/>
  <c r="BE59" i="1"/>
  <c r="BC59" i="1"/>
  <c r="AJ60" i="1"/>
  <c r="AH60" i="1"/>
  <c r="AQ60" i="1"/>
  <c r="AO60" i="1"/>
  <c r="AX60" i="1"/>
  <c r="AV60" i="1"/>
  <c r="BE60" i="1"/>
  <c r="BC60" i="1"/>
  <c r="AJ61" i="1"/>
  <c r="AH61" i="1"/>
  <c r="AQ61" i="1"/>
  <c r="AO61" i="1"/>
  <c r="AX61" i="1"/>
  <c r="AV61" i="1"/>
  <c r="BE61" i="1"/>
  <c r="BC61" i="1"/>
  <c r="AJ62" i="1"/>
  <c r="AH62" i="1"/>
  <c r="AQ62" i="1"/>
  <c r="AO62" i="1"/>
  <c r="AX62" i="1"/>
  <c r="AV62" i="1"/>
  <c r="BE62" i="1"/>
  <c r="BC62" i="1"/>
  <c r="AJ63" i="1"/>
  <c r="AH63" i="1"/>
  <c r="AQ63" i="1"/>
  <c r="AO63" i="1"/>
  <c r="AX63" i="1"/>
  <c r="AV63" i="1"/>
  <c r="BE63" i="1"/>
  <c r="BC63" i="1"/>
  <c r="AJ64" i="1"/>
  <c r="AH64" i="1"/>
  <c r="AQ64" i="1"/>
  <c r="AO64" i="1"/>
  <c r="AX64" i="1"/>
  <c r="AV64" i="1"/>
  <c r="BE64" i="1"/>
  <c r="BC64" i="1"/>
  <c r="AJ65" i="1"/>
  <c r="AH65" i="1"/>
  <c r="AQ65" i="1"/>
  <c r="AO65" i="1"/>
  <c r="AX65" i="1"/>
  <c r="AV65" i="1"/>
  <c r="BE65" i="1"/>
  <c r="BC65" i="1"/>
  <c r="AJ66" i="1"/>
  <c r="AH66" i="1"/>
  <c r="AQ66" i="1"/>
  <c r="AO66" i="1"/>
  <c r="AX66" i="1"/>
  <c r="AV66" i="1"/>
  <c r="BE66" i="1"/>
  <c r="BC66" i="1"/>
  <c r="AJ67" i="1"/>
  <c r="AH67" i="1"/>
  <c r="AQ67" i="1"/>
  <c r="AO67" i="1"/>
  <c r="AX67" i="1"/>
  <c r="AV67" i="1"/>
  <c r="BE67" i="1"/>
  <c r="BC67" i="1"/>
  <c r="AJ68" i="1"/>
  <c r="AH68" i="1"/>
  <c r="AQ68" i="1"/>
  <c r="AO68" i="1"/>
  <c r="AX68" i="1"/>
  <c r="AV68" i="1"/>
  <c r="BE68" i="1"/>
  <c r="BC68" i="1"/>
  <c r="AJ69" i="1"/>
  <c r="AH69" i="1"/>
  <c r="AQ69" i="1"/>
  <c r="AO69" i="1"/>
  <c r="AX69" i="1"/>
  <c r="AV69" i="1"/>
  <c r="BE69" i="1"/>
  <c r="BC69" i="1"/>
  <c r="AJ70" i="1"/>
  <c r="AH70" i="1"/>
  <c r="AQ70" i="1"/>
  <c r="AO70" i="1"/>
  <c r="AX70" i="1"/>
  <c r="AV70" i="1"/>
  <c r="BE70" i="1"/>
  <c r="BC70" i="1"/>
  <c r="AJ71" i="1"/>
  <c r="AH71" i="1"/>
  <c r="AQ71" i="1"/>
  <c r="AO71" i="1"/>
  <c r="AX71" i="1"/>
  <c r="AV71" i="1"/>
  <c r="BE71" i="1"/>
  <c r="BC71" i="1"/>
  <c r="AJ72" i="1"/>
  <c r="AH72" i="1"/>
  <c r="AQ72" i="1"/>
  <c r="AO72" i="1"/>
  <c r="AX72" i="1"/>
  <c r="AV72" i="1"/>
  <c r="BE72" i="1"/>
  <c r="BC72" i="1"/>
  <c r="AJ74" i="1"/>
  <c r="AH74" i="1"/>
  <c r="AQ74" i="1"/>
  <c r="AO74" i="1"/>
  <c r="AX74" i="1"/>
  <c r="AV74" i="1"/>
  <c r="BE74" i="1"/>
  <c r="BC74" i="1"/>
  <c r="AJ75" i="1"/>
  <c r="AH75" i="1"/>
  <c r="AQ75" i="1"/>
  <c r="AO75" i="1"/>
  <c r="AX75" i="1"/>
  <c r="AV75" i="1"/>
  <c r="BE75" i="1"/>
  <c r="BC75" i="1"/>
  <c r="AJ76" i="1"/>
  <c r="AH76" i="1"/>
  <c r="AQ76" i="1"/>
  <c r="AO76" i="1"/>
  <c r="AX76" i="1"/>
  <c r="AV76" i="1"/>
  <c r="BE76" i="1"/>
  <c r="BC76" i="1"/>
  <c r="AJ77" i="1"/>
  <c r="AH77" i="1"/>
  <c r="AQ77" i="1"/>
  <c r="AO77" i="1"/>
  <c r="AX77" i="1"/>
  <c r="AV77" i="1"/>
  <c r="BE77" i="1"/>
  <c r="BC77" i="1"/>
  <c r="AJ78" i="1"/>
  <c r="AH78" i="1"/>
  <c r="AQ78" i="1"/>
  <c r="AO78" i="1"/>
  <c r="AX78" i="1"/>
  <c r="AV78" i="1"/>
  <c r="BE78" i="1"/>
  <c r="BC78" i="1"/>
  <c r="AJ79" i="1"/>
  <c r="AH79" i="1"/>
  <c r="AQ79" i="1"/>
  <c r="AO79" i="1"/>
  <c r="AX79" i="1"/>
  <c r="AV79" i="1"/>
  <c r="BE79" i="1"/>
  <c r="BC79" i="1"/>
  <c r="AJ80" i="1"/>
  <c r="AH80" i="1"/>
  <c r="AQ80" i="1"/>
  <c r="AO80" i="1"/>
  <c r="AX80" i="1"/>
  <c r="AV80" i="1"/>
  <c r="BE80" i="1"/>
  <c r="BC80" i="1"/>
  <c r="AJ81" i="1"/>
  <c r="AH81" i="1"/>
  <c r="AQ81" i="1"/>
  <c r="AO81" i="1"/>
  <c r="AX81" i="1"/>
  <c r="AV81" i="1"/>
  <c r="BE81" i="1"/>
  <c r="BC81" i="1"/>
  <c r="AJ82" i="1"/>
  <c r="AH82" i="1"/>
  <c r="AQ82" i="1"/>
  <c r="AO82" i="1"/>
  <c r="AX82" i="1"/>
  <c r="AV82" i="1"/>
  <c r="BE82" i="1"/>
  <c r="BC82" i="1"/>
  <c r="AJ83" i="1"/>
  <c r="AH83" i="1"/>
  <c r="AQ83" i="1"/>
  <c r="AO83" i="1"/>
  <c r="AX83" i="1"/>
  <c r="AV83" i="1"/>
  <c r="BE83" i="1"/>
  <c r="BC83" i="1"/>
  <c r="AJ84" i="1"/>
  <c r="AH84" i="1"/>
  <c r="AQ84" i="1"/>
  <c r="AO84" i="1"/>
  <c r="AX84" i="1"/>
  <c r="AV84" i="1"/>
  <c r="BE84" i="1"/>
  <c r="BC84" i="1"/>
  <c r="AJ85" i="1"/>
  <c r="AH85" i="1"/>
  <c r="AQ85" i="1"/>
  <c r="AO85" i="1"/>
  <c r="AX85" i="1"/>
  <c r="AV85" i="1"/>
  <c r="BE85" i="1"/>
  <c r="BC85" i="1"/>
  <c r="AJ86" i="1"/>
  <c r="AH86" i="1"/>
  <c r="AQ86" i="1"/>
  <c r="AO86" i="1"/>
  <c r="AX86" i="1"/>
  <c r="AV86" i="1"/>
  <c r="BE86" i="1"/>
  <c r="BC86" i="1"/>
  <c r="AJ87" i="1"/>
  <c r="AH87" i="1"/>
  <c r="AQ87" i="1"/>
  <c r="AO87" i="1"/>
  <c r="AX87" i="1"/>
  <c r="AV87" i="1"/>
  <c r="BE87" i="1"/>
  <c r="BC87" i="1"/>
  <c r="AJ88" i="1"/>
  <c r="AH88" i="1"/>
  <c r="AQ88" i="1"/>
  <c r="AO88" i="1"/>
  <c r="AX88" i="1"/>
  <c r="AV88" i="1"/>
  <c r="BE88" i="1"/>
  <c r="BC88" i="1"/>
  <c r="AJ89" i="1"/>
  <c r="AH89" i="1"/>
  <c r="AQ89" i="1"/>
  <c r="AO89" i="1"/>
  <c r="AX89" i="1"/>
  <c r="AV89" i="1"/>
  <c r="BE89" i="1"/>
  <c r="BC89" i="1"/>
  <c r="AJ90" i="1"/>
  <c r="AH90" i="1"/>
  <c r="AQ90" i="1"/>
  <c r="AO90" i="1"/>
  <c r="AX90" i="1"/>
  <c r="AV90" i="1"/>
  <c r="BE90" i="1"/>
  <c r="BC90" i="1"/>
  <c r="AJ91" i="1"/>
  <c r="AH91" i="1"/>
  <c r="AQ91" i="1"/>
  <c r="AO91" i="1"/>
  <c r="AX91" i="1"/>
  <c r="AV91" i="1"/>
  <c r="BE91" i="1"/>
  <c r="BC91" i="1"/>
  <c r="AJ92" i="1"/>
  <c r="AH92" i="1"/>
  <c r="AQ92" i="1"/>
  <c r="AO92" i="1"/>
  <c r="AX92" i="1"/>
  <c r="AV92" i="1"/>
  <c r="BE92" i="1"/>
  <c r="BC92" i="1"/>
  <c r="AJ93" i="1"/>
  <c r="AH93" i="1"/>
  <c r="AQ93" i="1"/>
  <c r="AO93" i="1"/>
  <c r="AX93" i="1"/>
  <c r="AV93" i="1"/>
  <c r="BE93" i="1"/>
  <c r="BC93" i="1"/>
  <c r="AJ94" i="1"/>
  <c r="AH94" i="1"/>
  <c r="AQ94" i="1"/>
  <c r="AO94" i="1"/>
  <c r="AX94" i="1"/>
  <c r="AV94" i="1"/>
  <c r="BE94" i="1"/>
  <c r="BC94" i="1"/>
  <c r="AJ95" i="1"/>
  <c r="AH95" i="1"/>
  <c r="AQ95" i="1"/>
  <c r="AO95" i="1"/>
  <c r="AX95" i="1"/>
  <c r="AV95" i="1"/>
  <c r="BE95" i="1"/>
  <c r="BC95" i="1"/>
  <c r="AJ96" i="1"/>
  <c r="AH96" i="1"/>
  <c r="AQ96" i="1"/>
  <c r="AO96" i="1"/>
  <c r="AX96" i="1"/>
  <c r="AV96" i="1"/>
  <c r="BE96" i="1"/>
  <c r="BC96" i="1"/>
  <c r="AJ97" i="1"/>
  <c r="AH97" i="1"/>
  <c r="AQ97" i="1"/>
  <c r="AO97" i="1"/>
  <c r="AX97" i="1"/>
  <c r="AV97" i="1"/>
  <c r="BE97" i="1"/>
  <c r="BC97" i="1"/>
  <c r="L6" i="1"/>
  <c r="Q6" i="1"/>
  <c r="V6" i="1"/>
  <c r="AA6" i="1"/>
  <c r="AF6" i="1"/>
  <c r="AM6" i="1"/>
  <c r="AT6" i="1"/>
  <c r="BA6" i="1"/>
  <c r="AJ98" i="1"/>
  <c r="AH98" i="1"/>
  <c r="AQ98" i="1"/>
  <c r="AO98" i="1"/>
  <c r="AX98" i="1"/>
  <c r="AV98" i="1"/>
  <c r="BE98" i="1"/>
  <c r="BC98" i="1"/>
  <c r="AJ99" i="1"/>
  <c r="AH99" i="1"/>
  <c r="AQ99" i="1"/>
  <c r="AO99" i="1"/>
  <c r="AX99" i="1"/>
  <c r="AV99" i="1"/>
  <c r="BE99" i="1"/>
  <c r="BC99" i="1"/>
  <c r="AJ100" i="1"/>
  <c r="AH100" i="1"/>
  <c r="AQ100" i="1"/>
  <c r="AO100" i="1"/>
  <c r="AX100" i="1"/>
  <c r="AV100" i="1"/>
  <c r="BE100" i="1"/>
  <c r="BC100" i="1"/>
  <c r="AJ101" i="1"/>
  <c r="AH101" i="1"/>
  <c r="AQ101" i="1"/>
  <c r="AO101" i="1"/>
  <c r="AX101" i="1"/>
  <c r="AV101" i="1"/>
  <c r="BE101" i="1"/>
  <c r="BC101" i="1"/>
  <c r="AJ102" i="1"/>
  <c r="AH102" i="1"/>
  <c r="AQ102" i="1"/>
  <c r="AO102" i="1"/>
  <c r="AX102" i="1"/>
  <c r="AV102" i="1"/>
  <c r="BE102" i="1"/>
  <c r="BC102" i="1"/>
  <c r="AJ103" i="1"/>
  <c r="AH103" i="1"/>
  <c r="AQ103" i="1"/>
  <c r="AO103" i="1"/>
  <c r="AX103" i="1"/>
  <c r="AV103" i="1"/>
  <c r="BE103" i="1"/>
  <c r="BC103" i="1"/>
  <c r="AJ104" i="1"/>
  <c r="AH104" i="1"/>
  <c r="AQ104" i="1"/>
  <c r="AO104" i="1"/>
  <c r="AX104" i="1"/>
  <c r="AV104" i="1"/>
  <c r="BE104" i="1"/>
  <c r="BC104" i="1"/>
  <c r="AJ105" i="1"/>
  <c r="AH105" i="1"/>
  <c r="AQ105" i="1"/>
  <c r="AO105" i="1"/>
  <c r="AX105" i="1"/>
  <c r="AV105" i="1"/>
  <c r="BE105" i="1"/>
  <c r="BC105" i="1"/>
  <c r="AJ106" i="1"/>
  <c r="AH106" i="1"/>
  <c r="AQ106" i="1"/>
  <c r="AO106" i="1"/>
  <c r="AX106" i="1"/>
  <c r="AV106" i="1"/>
  <c r="BE106" i="1"/>
  <c r="BC106" i="1"/>
  <c r="AJ107" i="1"/>
  <c r="AH107" i="1"/>
  <c r="AQ107" i="1"/>
  <c r="AO107" i="1"/>
  <c r="AX107" i="1"/>
  <c r="AV107" i="1"/>
  <c r="BE107" i="1"/>
  <c r="BC107" i="1"/>
  <c r="AJ108" i="1"/>
  <c r="AH108" i="1"/>
  <c r="AQ108" i="1"/>
  <c r="AO108" i="1"/>
  <c r="AX108" i="1"/>
  <c r="AV108" i="1"/>
  <c r="BE108" i="1"/>
  <c r="BC108" i="1"/>
  <c r="AJ109" i="1"/>
  <c r="AH109" i="1"/>
  <c r="AQ109" i="1"/>
  <c r="AO109" i="1"/>
  <c r="AX109" i="1"/>
  <c r="AV109" i="1"/>
  <c r="BE109" i="1"/>
  <c r="BC109" i="1"/>
  <c r="AJ110" i="1"/>
  <c r="AH110" i="1"/>
  <c r="AQ110" i="1"/>
  <c r="AO110" i="1"/>
  <c r="AX110" i="1"/>
  <c r="AV110" i="1"/>
  <c r="BE110" i="1"/>
  <c r="BC110" i="1"/>
  <c r="AJ111" i="1"/>
  <c r="AH111" i="1"/>
  <c r="AQ111" i="1"/>
  <c r="AO111" i="1"/>
  <c r="AX111" i="1"/>
  <c r="AV111" i="1"/>
  <c r="BE111" i="1"/>
  <c r="BC111" i="1"/>
  <c r="AJ112" i="1"/>
  <c r="AH112" i="1"/>
  <c r="AQ112" i="1"/>
  <c r="AO112" i="1"/>
  <c r="AX112" i="1"/>
  <c r="AV112" i="1"/>
  <c r="BE112" i="1"/>
  <c r="BC112" i="1"/>
  <c r="AJ113" i="1"/>
  <c r="AH113" i="1"/>
  <c r="AQ113" i="1"/>
  <c r="AO113" i="1"/>
  <c r="AX113" i="1"/>
  <c r="AV113" i="1"/>
  <c r="BE113" i="1"/>
  <c r="BC113" i="1"/>
  <c r="AJ114" i="1"/>
  <c r="AH114" i="1"/>
  <c r="AQ114" i="1"/>
  <c r="AO114" i="1"/>
  <c r="AX114" i="1"/>
  <c r="AV114" i="1"/>
  <c r="BE114" i="1"/>
  <c r="BC114" i="1"/>
  <c r="AJ115" i="1"/>
  <c r="AH115" i="1"/>
  <c r="AQ115" i="1"/>
  <c r="AO115" i="1"/>
  <c r="AX115" i="1"/>
  <c r="AV115" i="1"/>
  <c r="BE115" i="1"/>
  <c r="AJ116" i="1"/>
  <c r="AH116" i="1"/>
  <c r="AQ116" i="1"/>
  <c r="AO116" i="1"/>
  <c r="AX116" i="1"/>
  <c r="AV116" i="1"/>
  <c r="BE116" i="1"/>
  <c r="BC116" i="1"/>
  <c r="AJ118" i="1"/>
  <c r="AH118" i="1"/>
  <c r="AQ118" i="1"/>
  <c r="AO118" i="1"/>
  <c r="AX118" i="1"/>
  <c r="AV118" i="1"/>
  <c r="BE118" i="1"/>
  <c r="BC118" i="1"/>
  <c r="AJ119" i="1"/>
  <c r="AH119" i="1"/>
  <c r="AQ119" i="1"/>
  <c r="AO119" i="1"/>
  <c r="AX119" i="1"/>
  <c r="AV119" i="1"/>
  <c r="BE119" i="1"/>
  <c r="BC119" i="1"/>
  <c r="AJ120" i="1"/>
  <c r="AH120" i="1"/>
  <c r="AQ120" i="1"/>
  <c r="AO120" i="1"/>
  <c r="AX120" i="1"/>
  <c r="AV120" i="1"/>
  <c r="BE120" i="1"/>
  <c r="BC120" i="1"/>
  <c r="AJ121" i="1"/>
  <c r="AH121" i="1"/>
  <c r="AQ121" i="1"/>
  <c r="AO121" i="1"/>
  <c r="AX121" i="1"/>
  <c r="AV121" i="1"/>
  <c r="BE121" i="1"/>
  <c r="BC121" i="1"/>
  <c r="AJ122" i="1"/>
  <c r="AH122" i="1"/>
  <c r="AQ122" i="1"/>
  <c r="AO122" i="1"/>
  <c r="AX122" i="1"/>
  <c r="AV122" i="1"/>
  <c r="BE122" i="1"/>
  <c r="BC122" i="1"/>
  <c r="AJ123" i="1"/>
  <c r="AH123" i="1"/>
  <c r="AQ123" i="1"/>
  <c r="AO123" i="1"/>
  <c r="AX123" i="1"/>
  <c r="AV123" i="1"/>
  <c r="BE123" i="1"/>
  <c r="BC123" i="1"/>
  <c r="AJ124" i="1"/>
  <c r="AH124" i="1"/>
  <c r="AQ124" i="1"/>
  <c r="AO124" i="1"/>
  <c r="AX124" i="1"/>
  <c r="AV124" i="1"/>
  <c r="BE124" i="1"/>
  <c r="BC124" i="1"/>
  <c r="AJ125" i="1"/>
  <c r="AH125" i="1"/>
  <c r="AQ125" i="1"/>
  <c r="AO125" i="1"/>
  <c r="AX125" i="1"/>
  <c r="AV125" i="1"/>
  <c r="BE125" i="1"/>
  <c r="BC125" i="1"/>
  <c r="AJ126" i="1"/>
  <c r="AH126" i="1"/>
  <c r="AQ126" i="1"/>
  <c r="AO126" i="1"/>
  <c r="AX126" i="1"/>
  <c r="AV126" i="1"/>
  <c r="BE126" i="1"/>
  <c r="BC126" i="1"/>
  <c r="AJ127" i="1"/>
  <c r="AH127" i="1"/>
  <c r="AQ127" i="1"/>
  <c r="AO127" i="1"/>
  <c r="AX127" i="1"/>
  <c r="AV127" i="1"/>
  <c r="BE127" i="1"/>
  <c r="BC127" i="1"/>
  <c r="AJ128" i="1"/>
  <c r="AH128" i="1"/>
  <c r="AQ128" i="1"/>
  <c r="AO128" i="1"/>
  <c r="AX128" i="1"/>
  <c r="AV128" i="1"/>
  <c r="BE128" i="1"/>
  <c r="BC128" i="1"/>
  <c r="AJ129" i="1"/>
  <c r="AH129" i="1"/>
  <c r="AQ129" i="1"/>
  <c r="AO129" i="1"/>
  <c r="AX129" i="1"/>
  <c r="AV129" i="1"/>
  <c r="BE129" i="1"/>
  <c r="BC129" i="1"/>
  <c r="AJ130" i="1"/>
  <c r="AH130" i="1"/>
  <c r="AQ130" i="1"/>
  <c r="AO130" i="1"/>
  <c r="AX130" i="1"/>
  <c r="AV130" i="1"/>
  <c r="BE130" i="1"/>
  <c r="BC130" i="1"/>
  <c r="AJ131" i="1"/>
  <c r="AH131" i="1"/>
  <c r="AQ131" i="1"/>
  <c r="AO131" i="1"/>
  <c r="AX131" i="1"/>
  <c r="AV131" i="1"/>
  <c r="BE131" i="1"/>
  <c r="BC131" i="1"/>
  <c r="AJ132" i="1"/>
  <c r="AH132" i="1"/>
  <c r="AQ132" i="1"/>
  <c r="AO132" i="1"/>
  <c r="AX132" i="1"/>
  <c r="AV132" i="1"/>
  <c r="BE132" i="1"/>
  <c r="BC132" i="1"/>
  <c r="AJ133" i="1"/>
  <c r="AH133" i="1"/>
  <c r="AQ133" i="1"/>
  <c r="AO133" i="1"/>
  <c r="AX133" i="1"/>
  <c r="AV133" i="1"/>
  <c r="BE133" i="1"/>
  <c r="BC133" i="1"/>
  <c r="BA134" i="1" l="1"/>
  <c r="BE6" i="1"/>
  <c r="BC6" i="1"/>
  <c r="AT134" i="1"/>
  <c r="AX6" i="1"/>
  <c r="AV6" i="1"/>
  <c r="AM134" i="1"/>
  <c r="AQ6" i="1"/>
  <c r="AO6" i="1"/>
  <c r="AF134" i="1"/>
  <c r="AJ6" i="1"/>
  <c r="AH6" i="1"/>
  <c r="AA134" i="1"/>
  <c r="AC134" i="1" s="1"/>
  <c r="AC6" i="1"/>
  <c r="V134" i="1"/>
  <c r="X134" i="1" s="1"/>
  <c r="X6" i="1"/>
  <c r="Q134" i="1"/>
  <c r="S134" i="1" s="1"/>
  <c r="S6" i="1"/>
  <c r="L134" i="1"/>
  <c r="N134" i="1" s="1"/>
  <c r="N6" i="1"/>
  <c r="AJ134" i="1" l="1"/>
  <c r="AH134" i="1"/>
  <c r="AQ134" i="1"/>
  <c r="AO134" i="1"/>
  <c r="AX134" i="1"/>
  <c r="AV134" i="1"/>
  <c r="BE134" i="1"/>
  <c r="BC134" i="1"/>
</calcChain>
</file>

<file path=xl/comments1.xml><?xml version="1.0" encoding="utf-8"?>
<comments xmlns="http://schemas.openxmlformats.org/spreadsheetml/2006/main">
  <authors>
    <author>Harry Downing</author>
    <author>Jim Miklas</author>
  </authors>
  <commentList>
    <comment ref="W44" authorId="0">
      <text>
        <r>
          <rPr>
            <b/>
            <sz val="8"/>
            <color indexed="81"/>
            <rFont val="Tahoma"/>
          </rPr>
          <t>New ASV assumes that extension of RW 9R/27L will be complete before 2020.</t>
        </r>
        <r>
          <rPr>
            <sz val="8"/>
            <color indexed="81"/>
            <rFont val="Tahoma"/>
          </rPr>
          <t xml:space="preserve">
</t>
        </r>
      </text>
    </comment>
    <comment ref="AB44" authorId="0">
      <text>
        <r>
          <rPr>
            <b/>
            <sz val="8"/>
            <color indexed="81"/>
            <rFont val="Tahoma"/>
          </rPr>
          <t>New ASV assumes that extension of RW 9R/27L will be complete before 2020.</t>
        </r>
        <r>
          <rPr>
            <sz val="8"/>
            <color indexed="81"/>
            <rFont val="Tahoma"/>
          </rPr>
          <t xml:space="preserve">
</t>
        </r>
      </text>
    </comment>
    <comment ref="J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O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T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Y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AD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AK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AR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 ref="AY81" authorId="1">
      <text>
        <r>
          <rPr>
            <b/>
            <sz val="8"/>
            <color indexed="81"/>
            <rFont val="Tahoma"/>
            <family val="2"/>
          </rPr>
          <t>Jim Miklas:</t>
        </r>
        <r>
          <rPr>
            <sz val="8"/>
            <color indexed="81"/>
            <rFont val="Tahoma"/>
            <family val="2"/>
          </rPr>
          <t xml:space="preserve">
GA Operations are not allowed
(From MP)
The current facilities at VPS can accommodate aircraft within the A, B, C and D classes;
however VPS is a joint use field with private ownership via the United States Air Force
(USAF) and access to the airfield is therefore restricted. The restriction imposed to allow
civilian aircraft is limited to several commercial operations. A review of base-year (2006)
operations by each class of civilian aircraft at VPS determined that 100 percent were
conducted from class C aircraft. Therefore since the percentage of class D aircraft is
zero, the base year mix index at VPS, for purposes of airfield capacity calculations, is
%(100+0);100 percent. Based on the forecast data presented in Chapter 3, the mix
index was estimated for forecast years of 2011, 2016, 2021, and 2026. Table 5-2
presents the projected mix index over the planning period.
Table 5-2. Aircraft Mix Index Projection
Year Total Annual Operations Aircraft Mix Index (%)
2007 14,800 100
2015 18,880 100
2020 20,650 100
2025 22,670 100
2030 24,890 100
Sources: FAA AC 150/5060-5, Airport Capacity and Delay and PBS&amp;J, 2008.
No change in VPS airport ownership or access regulations to allow GA operations are
anticipated, therefore forecasts of aircraft mix indexes remain constant.
</t>
        </r>
      </text>
    </comment>
  </commentList>
</comments>
</file>

<file path=xl/sharedStrings.xml><?xml version="1.0" encoding="utf-8"?>
<sst xmlns="http://schemas.openxmlformats.org/spreadsheetml/2006/main" count="1300" uniqueCount="919">
  <si>
    <t>Florida Aviation System Plan</t>
  </si>
  <si>
    <t>HISTORICAL</t>
  </si>
  <si>
    <t>FAD FORECAST</t>
  </si>
  <si>
    <t>MID-RANGE FORECAST</t>
  </si>
  <si>
    <t>2011-2060</t>
  </si>
  <si>
    <t>2011 ASV</t>
  </si>
  <si>
    <t>2030 ASV</t>
  </si>
  <si>
    <t>UAID</t>
  </si>
  <si>
    <t>USID</t>
  </si>
  <si>
    <t>NPIAS_No</t>
  </si>
  <si>
    <t>ASite_No</t>
  </si>
  <si>
    <t xml:space="preserve"> Airport Name </t>
  </si>
  <si>
    <t>Associated City</t>
  </si>
  <si>
    <t>Airport Identifier</t>
  </si>
  <si>
    <t>CFASPP Region</t>
  </si>
  <si>
    <t>County</t>
  </si>
  <si>
    <t>Total GA Operations</t>
  </si>
  <si>
    <t>Total Commercial Operations</t>
  </si>
  <si>
    <t>Total Operations</t>
  </si>
  <si>
    <t>Final ASV (2011)</t>
  </si>
  <si>
    <t>Demand Capacity Ratio</t>
  </si>
  <si>
    <t>Final ASV (2030)</t>
  </si>
  <si>
    <t>FL000010</t>
  </si>
  <si>
    <t>SFL00052</t>
  </si>
  <si>
    <t>12-0012</t>
  </si>
  <si>
    <t>3118.*A</t>
  </si>
  <si>
    <t xml:space="preserve"> Airglades Airport </t>
  </si>
  <si>
    <t xml:space="preserve"> Clewiston  </t>
  </si>
  <si>
    <t xml:space="preserve"> 2IS  </t>
  </si>
  <si>
    <t>Southwest</t>
  </si>
  <si>
    <t>Hendry</t>
  </si>
  <si>
    <t>FL000686</t>
  </si>
  <si>
    <t>SFL00586</t>
  </si>
  <si>
    <t/>
  </si>
  <si>
    <t>3424.12*A</t>
  </si>
  <si>
    <t xml:space="preserve"> Airport Manatee </t>
  </si>
  <si>
    <t xml:space="preserve"> Palmetto  </t>
  </si>
  <si>
    <t xml:space="preserve"> 48X  </t>
  </si>
  <si>
    <t>Manatee</t>
  </si>
  <si>
    <t>FL000066</t>
  </si>
  <si>
    <t>SFL00036</t>
  </si>
  <si>
    <t>12-0074</t>
  </si>
  <si>
    <t>3474.*A</t>
  </si>
  <si>
    <t xml:space="preserve"> Albert Whitted Airport </t>
  </si>
  <si>
    <t xml:space="preserve"> St Petersburg  </t>
  </si>
  <si>
    <t xml:space="preserve"> KSPG  </t>
  </si>
  <si>
    <t>West Central</t>
  </si>
  <si>
    <t>Pinellas</t>
  </si>
  <si>
    <t>FL000001</t>
  </si>
  <si>
    <t>SFL00050</t>
  </si>
  <si>
    <t>12-0001</t>
  </si>
  <si>
    <t>3025.*A</t>
  </si>
  <si>
    <t xml:space="preserve"> Apalachicola Regional Airport </t>
  </si>
  <si>
    <t xml:space="preserve"> Apalachicola  </t>
  </si>
  <si>
    <t xml:space="preserve"> KAAF  </t>
  </si>
  <si>
    <t>Northwest</t>
  </si>
  <si>
    <t xml:space="preserve">Franklin </t>
  </si>
  <si>
    <t>FL000104</t>
  </si>
  <si>
    <t>SFL00011</t>
  </si>
  <si>
    <t>12-0093</t>
  </si>
  <si>
    <t>3030.*A</t>
  </si>
  <si>
    <t xml:space="preserve"> Arcadia Municipal Airport </t>
  </si>
  <si>
    <t xml:space="preserve"> Arcadia  </t>
  </si>
  <si>
    <t xml:space="preserve"> X06  </t>
  </si>
  <si>
    <t>Central</t>
  </si>
  <si>
    <t>DeSoto</t>
  </si>
  <si>
    <t>FL000082</t>
  </si>
  <si>
    <t>SFL00076</t>
  </si>
  <si>
    <t>12-0101</t>
  </si>
  <si>
    <t>3531.*A</t>
  </si>
  <si>
    <t xml:space="preserve"> Arthur Dunn Air Park </t>
  </si>
  <si>
    <t xml:space="preserve"> Titusville  </t>
  </si>
  <si>
    <t xml:space="preserve"> X21  </t>
  </si>
  <si>
    <t>East Central</t>
  </si>
  <si>
    <t>Brevard</t>
  </si>
  <si>
    <t>FL000003</t>
  </si>
  <si>
    <t>SFL00012</t>
  </si>
  <si>
    <t>12-0004</t>
  </si>
  <si>
    <t>3042.*A</t>
  </si>
  <si>
    <t xml:space="preserve"> Avon Park Executive Airport </t>
  </si>
  <si>
    <t xml:space="preserve"> Avon Park  </t>
  </si>
  <si>
    <t xml:space="preserve"> KAVO  </t>
  </si>
  <si>
    <t xml:space="preserve">Highlands </t>
  </si>
  <si>
    <t>FL000004</t>
  </si>
  <si>
    <t>SFL00002</t>
  </si>
  <si>
    <t>12-0005</t>
  </si>
  <si>
    <t>3052.*A</t>
  </si>
  <si>
    <t xml:space="preserve"> Bartow Municipal Airport </t>
  </si>
  <si>
    <t xml:space="preserve"> Bartow  </t>
  </si>
  <si>
    <t xml:space="preserve"> KBOW  </t>
  </si>
  <si>
    <t>Polk</t>
  </si>
  <si>
    <t>FL000101</t>
  </si>
  <si>
    <t>SFL00013</t>
  </si>
  <si>
    <t>12-0091</t>
  </si>
  <si>
    <t>3054.*A</t>
  </si>
  <si>
    <t xml:space="preserve"> Belle Glade State Municipal Airport </t>
  </si>
  <si>
    <t xml:space="preserve"> Belle Glade  </t>
  </si>
  <si>
    <t xml:space="preserve"> X10  </t>
  </si>
  <si>
    <t>Southeast</t>
  </si>
  <si>
    <t>Palm Beach</t>
  </si>
  <si>
    <t>FL000333</t>
  </si>
  <si>
    <t>SFL00233</t>
  </si>
  <si>
    <t>3156.2*A</t>
  </si>
  <si>
    <t xml:space="preserve"> Bob Lee Flight Strip </t>
  </si>
  <si>
    <t xml:space="preserve"> DeLand  </t>
  </si>
  <si>
    <t xml:space="preserve"> 1J6  </t>
  </si>
  <si>
    <t xml:space="preserve">Volusia </t>
  </si>
  <si>
    <t>FL000012</t>
  </si>
  <si>
    <t>SFL00046</t>
  </si>
  <si>
    <t>12-0014</t>
  </si>
  <si>
    <t>3128.1*A</t>
  </si>
  <si>
    <t xml:space="preserve"> Bob Sikes Airport </t>
  </si>
  <si>
    <t xml:space="preserve"> Crestview  </t>
  </si>
  <si>
    <t xml:space="preserve"> KCEW  </t>
  </si>
  <si>
    <t xml:space="preserve">Okaloosa </t>
  </si>
  <si>
    <t>FL000834</t>
  </si>
  <si>
    <t>SFL00733</t>
  </si>
  <si>
    <t>3575.5*A</t>
  </si>
  <si>
    <t xml:space="preserve"> Bob White Field </t>
  </si>
  <si>
    <t xml:space="preserve"> Zellwood  </t>
  </si>
  <si>
    <t xml:space="preserve"> X61  </t>
  </si>
  <si>
    <t xml:space="preserve">Orange </t>
  </si>
  <si>
    <t>FL000005</t>
  </si>
  <si>
    <t>SFL00006</t>
  </si>
  <si>
    <t>12-0006</t>
  </si>
  <si>
    <t>3060.*A</t>
  </si>
  <si>
    <t xml:space="preserve"> Boca Raton Airport </t>
  </si>
  <si>
    <t xml:space="preserve"> Boca Raton  </t>
  </si>
  <si>
    <t xml:space="preserve"> KBCT  </t>
  </si>
  <si>
    <t xml:space="preserve">Palm Beach </t>
  </si>
  <si>
    <t>FL000098</t>
  </si>
  <si>
    <t>SFL00069</t>
  </si>
  <si>
    <t>3178.5*A</t>
  </si>
  <si>
    <t xml:space="preserve"> Buchan Airport </t>
  </si>
  <si>
    <t xml:space="preserve"> Englewood  </t>
  </si>
  <si>
    <t xml:space="preserve"> X36  </t>
  </si>
  <si>
    <t>Sarasota</t>
  </si>
  <si>
    <t>FL000097</t>
  </si>
  <si>
    <t>SFL00008</t>
  </si>
  <si>
    <t>12-0158</t>
  </si>
  <si>
    <t>3057.13*A</t>
  </si>
  <si>
    <t xml:space="preserve"> Calhoun County Airport </t>
  </si>
  <si>
    <t xml:space="preserve"> Blountstown  </t>
  </si>
  <si>
    <t xml:space="preserve"> F95  </t>
  </si>
  <si>
    <t>Calhoun</t>
  </si>
  <si>
    <t>FL000027</t>
  </si>
  <si>
    <t>SFL00014</t>
  </si>
  <si>
    <t>3098.*A</t>
  </si>
  <si>
    <t xml:space="preserve"> Carrabelle - Thompson Airport </t>
  </si>
  <si>
    <t xml:space="preserve"> Carrabelle  </t>
  </si>
  <si>
    <t xml:space="preserve"> X13  </t>
  </si>
  <si>
    <t>FL000455</t>
  </si>
  <si>
    <t>SFL00055</t>
  </si>
  <si>
    <t>12-0032</t>
  </si>
  <si>
    <t>3250.3*A</t>
  </si>
  <si>
    <t xml:space="preserve"> Cecil Field </t>
  </si>
  <si>
    <t xml:space="preserve"> Jacksonville  </t>
  </si>
  <si>
    <t xml:space="preserve"> KVQQ  </t>
  </si>
  <si>
    <t>Northeast</t>
  </si>
  <si>
    <t>Duval</t>
  </si>
  <si>
    <t>FL000526</t>
  </si>
  <si>
    <t>SFL00426</t>
  </si>
  <si>
    <t>3288.2*A</t>
  </si>
  <si>
    <t xml:space="preserve"> Chalet Suzanne Air Strip </t>
  </si>
  <si>
    <t xml:space="preserve"> Lake Wales  </t>
  </si>
  <si>
    <t xml:space="preserve"> X25  </t>
  </si>
  <si>
    <t>FL000060</t>
  </si>
  <si>
    <t>SFL00009</t>
  </si>
  <si>
    <t>12-0067</t>
  </si>
  <si>
    <t>3455.*A</t>
  </si>
  <si>
    <t xml:space="preserve"> Charlotte County Airport (Punta Gorda)</t>
  </si>
  <si>
    <t xml:space="preserve"> Punta Gorda  </t>
  </si>
  <si>
    <t xml:space="preserve"> KPGD  </t>
  </si>
  <si>
    <t xml:space="preserve">Charlotte </t>
  </si>
  <si>
    <t>FL000009</t>
  </si>
  <si>
    <t>SFL00015</t>
  </si>
  <si>
    <t>12-0011</t>
  </si>
  <si>
    <t>3112.*A</t>
  </si>
  <si>
    <t xml:space="preserve"> Clearwater Air Park </t>
  </si>
  <si>
    <t xml:space="preserve"> Clearwater  </t>
  </si>
  <si>
    <t xml:space="preserve"> KCLW  </t>
  </si>
  <si>
    <t>FL000700</t>
  </si>
  <si>
    <t>SFL00600</t>
  </si>
  <si>
    <t>3433.1*A</t>
  </si>
  <si>
    <t xml:space="preserve"> Coastal Airport </t>
  </si>
  <si>
    <t xml:space="preserve"> Pensacola  </t>
  </si>
  <si>
    <t xml:space="preserve"> 83J  </t>
  </si>
  <si>
    <t>Escambia</t>
  </si>
  <si>
    <t>FL000722</t>
  </si>
  <si>
    <t>SFL00622</t>
  </si>
  <si>
    <t>3453.2*A</t>
  </si>
  <si>
    <t xml:space="preserve"> Costin Airport </t>
  </si>
  <si>
    <t xml:space="preserve"> Port St. Joe  </t>
  </si>
  <si>
    <t xml:space="preserve"> A51  </t>
  </si>
  <si>
    <t>Gulf</t>
  </si>
  <si>
    <t>FL000030</t>
  </si>
  <si>
    <t>12-0033</t>
  </si>
  <si>
    <t>3251.*A</t>
  </si>
  <si>
    <t xml:space="preserve"> Craig Municipal Airport </t>
  </si>
  <si>
    <t xml:space="preserve"> KCRG  </t>
  </si>
  <si>
    <t>FL000013</t>
  </si>
  <si>
    <t>SFL00048</t>
  </si>
  <si>
    <t>12-0015</t>
  </si>
  <si>
    <t>3132.*A</t>
  </si>
  <si>
    <t xml:space="preserve"> Cross City Airport </t>
  </si>
  <si>
    <t xml:space="preserve"> Cross City  </t>
  </si>
  <si>
    <t xml:space="preserve"> KCTY  </t>
  </si>
  <si>
    <t>North Central</t>
  </si>
  <si>
    <t>Dixie</t>
  </si>
  <si>
    <t>FL000090</t>
  </si>
  <si>
    <t>SFL00010</t>
  </si>
  <si>
    <t>12-0156</t>
  </si>
  <si>
    <t>3135.*A</t>
  </si>
  <si>
    <t xml:space="preserve"> Crystal River Airport </t>
  </si>
  <si>
    <t xml:space="preserve"> Crystal River  </t>
  </si>
  <si>
    <t xml:space="preserve"> KCGC  </t>
  </si>
  <si>
    <t>Citrus</t>
  </si>
  <si>
    <t>FL000044</t>
  </si>
  <si>
    <t>SFL00005</t>
  </si>
  <si>
    <t>12-0048</t>
  </si>
  <si>
    <t>3326.*A</t>
  </si>
  <si>
    <t xml:space="preserve"> Dade-Collier Training and Transition Airport </t>
  </si>
  <si>
    <t xml:space="preserve"> Miami  </t>
  </si>
  <si>
    <t xml:space="preserve"> KTNT  </t>
  </si>
  <si>
    <t>Collier</t>
  </si>
  <si>
    <t>FL000014</t>
  </si>
  <si>
    <t>SFL00047</t>
  </si>
  <si>
    <t>12-0017</t>
  </si>
  <si>
    <t>3147.*A</t>
  </si>
  <si>
    <t xml:space="preserve"> Daytona Beach International Airport </t>
  </si>
  <si>
    <t xml:space="preserve"> Daytona Beach  </t>
  </si>
  <si>
    <t xml:space="preserve"> KDAB  </t>
  </si>
  <si>
    <t>FL000015</t>
  </si>
  <si>
    <t>SFL00016</t>
  </si>
  <si>
    <t>12-0018</t>
  </si>
  <si>
    <t>3153.*A</t>
  </si>
  <si>
    <t xml:space="preserve"> Defuniak Springs Airport </t>
  </si>
  <si>
    <t xml:space="preserve"> DeFuniak Springs  </t>
  </si>
  <si>
    <t xml:space="preserve"> 54J  </t>
  </si>
  <si>
    <t xml:space="preserve">Walton </t>
  </si>
  <si>
    <t>FL000016</t>
  </si>
  <si>
    <t>SFL00017</t>
  </si>
  <si>
    <t>12-0019</t>
  </si>
  <si>
    <t>3156.*A</t>
  </si>
  <si>
    <t xml:space="preserve"> Deland Municipal - Sidney H Taylor Field </t>
  </si>
  <si>
    <t xml:space="preserve"> KDED  </t>
  </si>
  <si>
    <t>FL000017</t>
  </si>
  <si>
    <t>12-0020</t>
  </si>
  <si>
    <t>3157.*A</t>
  </si>
  <si>
    <t xml:space="preserve"> Destin - Ft Walton Beach Airport </t>
  </si>
  <si>
    <t xml:space="preserve"> Destin  </t>
  </si>
  <si>
    <t xml:space="preserve"> KDTS  </t>
  </si>
  <si>
    <t>Okaloosa</t>
  </si>
  <si>
    <t>FL000938</t>
  </si>
  <si>
    <t>SFL00019</t>
  </si>
  <si>
    <t>12-0150</t>
  </si>
  <si>
    <t>3193.*H</t>
  </si>
  <si>
    <t xml:space="preserve"> Downtown Fort Lauderdale Heliport </t>
  </si>
  <si>
    <t xml:space="preserve"> Fort Lauderdale</t>
  </si>
  <si>
    <t xml:space="preserve"> DT1</t>
  </si>
  <si>
    <t>Broward</t>
  </si>
  <si>
    <t>FL000018</t>
  </si>
  <si>
    <t>SFL00044</t>
  </si>
  <si>
    <t>12-0021</t>
  </si>
  <si>
    <t>3182.*A</t>
  </si>
  <si>
    <t xml:space="preserve"> Everglades Airpark </t>
  </si>
  <si>
    <t xml:space="preserve"> Everglades City  </t>
  </si>
  <si>
    <t xml:space="preserve"> X01  </t>
  </si>
  <si>
    <t xml:space="preserve">Collier </t>
  </si>
  <si>
    <t>FL000054</t>
  </si>
  <si>
    <t>SFL00030</t>
  </si>
  <si>
    <t>12-0058</t>
  </si>
  <si>
    <t>3408.*A</t>
  </si>
  <si>
    <t xml:space="preserve"> Executive Airport </t>
  </si>
  <si>
    <t xml:space="preserve"> Orlando  </t>
  </si>
  <si>
    <t xml:space="preserve"> KORL  </t>
  </si>
  <si>
    <t>FL000703</t>
  </si>
  <si>
    <t>SFL01361</t>
  </si>
  <si>
    <t>3433.2*A</t>
  </si>
  <si>
    <t xml:space="preserve"> Ferguson Airport </t>
  </si>
  <si>
    <t xml:space="preserve"> 82J  </t>
  </si>
  <si>
    <t>FL000019</t>
  </si>
  <si>
    <t>SFL00018</t>
  </si>
  <si>
    <t>12-0022</t>
  </si>
  <si>
    <t>3186.*A</t>
  </si>
  <si>
    <t xml:space="preserve"> Fernandina Beach Municipal Airport </t>
  </si>
  <si>
    <t xml:space="preserve"> Fernandina Beach  </t>
  </si>
  <si>
    <t xml:space="preserve"> KFHB  </t>
  </si>
  <si>
    <t>Nassau</t>
  </si>
  <si>
    <t>FL000008</t>
  </si>
  <si>
    <t>SFL00049</t>
  </si>
  <si>
    <t>12-0009</t>
  </si>
  <si>
    <t>3423.3*A</t>
  </si>
  <si>
    <t xml:space="preserve"> Flagler County Airport </t>
  </si>
  <si>
    <t xml:space="preserve"> Palm Coast  </t>
  </si>
  <si>
    <t xml:space="preserve"> KXFL  </t>
  </si>
  <si>
    <t xml:space="preserve">Flagler </t>
  </si>
  <si>
    <t>FL000237</t>
  </si>
  <si>
    <t>SFL00137</t>
  </si>
  <si>
    <t>3033.2*A</t>
  </si>
  <si>
    <t xml:space="preserve"> Flying Ten Airport </t>
  </si>
  <si>
    <t xml:space="preserve"> Archer  </t>
  </si>
  <si>
    <t xml:space="preserve"> 0J8  </t>
  </si>
  <si>
    <t>Alachua</t>
  </si>
  <si>
    <t>FL000021</t>
  </si>
  <si>
    <t>12-0024</t>
  </si>
  <si>
    <t>3194.*A</t>
  </si>
  <si>
    <t xml:space="preserve"> Ft Lauderdale Executive Airport </t>
  </si>
  <si>
    <t xml:space="preserve"> Fort Lauderdale  </t>
  </si>
  <si>
    <t xml:space="preserve"> KFXE  </t>
  </si>
  <si>
    <t>FL000022</t>
  </si>
  <si>
    <t>SFL00045</t>
  </si>
  <si>
    <t>12-0025</t>
  </si>
  <si>
    <t>3192.*A</t>
  </si>
  <si>
    <t xml:space="preserve"> Ft Lauderdale / Hollywood International Airport </t>
  </si>
  <si>
    <t xml:space="preserve"> KFLL  </t>
  </si>
  <si>
    <t>FL000617</t>
  </si>
  <si>
    <t>SFL00517</t>
  </si>
  <si>
    <t>3384.*A</t>
  </si>
  <si>
    <t xml:space="preserve"> Ft Walton Beach Airport </t>
  </si>
  <si>
    <t xml:space="preserve"> Navarre  </t>
  </si>
  <si>
    <t xml:space="preserve"> 1J9  </t>
  </si>
  <si>
    <t>FL000025</t>
  </si>
  <si>
    <t>SFL00051</t>
  </si>
  <si>
    <t>12-0028</t>
  </si>
  <si>
    <t>3210.*A</t>
  </si>
  <si>
    <t xml:space="preserve"> Gainesville Regional Airport </t>
  </si>
  <si>
    <t xml:space="preserve"> Gainesville  </t>
  </si>
  <si>
    <t xml:space="preserve"> KGNV  </t>
  </si>
  <si>
    <t>FL000105</t>
  </si>
  <si>
    <t>SFL00059</t>
  </si>
  <si>
    <t>12-0010</t>
  </si>
  <si>
    <t>3102.*A</t>
  </si>
  <si>
    <t xml:space="preserve"> George T Lewis Airport </t>
  </si>
  <si>
    <t xml:space="preserve"> Cedar Key  </t>
  </si>
  <si>
    <t xml:space="preserve"> KCDK  </t>
  </si>
  <si>
    <t>Levy</t>
  </si>
  <si>
    <t>FL000031</t>
  </si>
  <si>
    <t>12-0034</t>
  </si>
  <si>
    <t>3250.*A</t>
  </si>
  <si>
    <t xml:space="preserve"> Herlong Airport </t>
  </si>
  <si>
    <t xml:space="preserve"> KHEG  </t>
  </si>
  <si>
    <t>FL000007</t>
  </si>
  <si>
    <t>SFL00053</t>
  </si>
  <si>
    <t>12-0008</t>
  </si>
  <si>
    <t>3083.*A</t>
  </si>
  <si>
    <t xml:space="preserve"> Hernando County Airport </t>
  </si>
  <si>
    <t xml:space="preserve"> Brooksville  </t>
  </si>
  <si>
    <t xml:space="preserve"> KBKV  </t>
  </si>
  <si>
    <t>Hernando</t>
  </si>
  <si>
    <t>FL000094</t>
  </si>
  <si>
    <t>SFL00077</t>
  </si>
  <si>
    <t>12-0099</t>
  </si>
  <si>
    <t>3230.81*A</t>
  </si>
  <si>
    <t xml:space="preserve"> Hilliard Airpark </t>
  </si>
  <si>
    <t xml:space="preserve"> Hilliard  </t>
  </si>
  <si>
    <t xml:space="preserve"> 01J  </t>
  </si>
  <si>
    <t>FL000028</t>
  </si>
  <si>
    <t>12-0030</t>
  </si>
  <si>
    <t>3242.1*A</t>
  </si>
  <si>
    <t xml:space="preserve"> Homestead General Aviation Airport </t>
  </si>
  <si>
    <t xml:space="preserve"> Homestead  </t>
  </si>
  <si>
    <t xml:space="preserve"> X51  </t>
  </si>
  <si>
    <t>Miami-Dade</t>
  </si>
  <si>
    <t>FL000029</t>
  </si>
  <si>
    <t>12-0031</t>
  </si>
  <si>
    <t>3245.*A</t>
  </si>
  <si>
    <t xml:space="preserve"> Immokalee Regional Airport </t>
  </si>
  <si>
    <t xml:space="preserve"> Immokalee  </t>
  </si>
  <si>
    <t xml:space="preserve"> KIMM  </t>
  </si>
  <si>
    <t>FL000447</t>
  </si>
  <si>
    <t>SFL00347</t>
  </si>
  <si>
    <t>3248.*A</t>
  </si>
  <si>
    <t xml:space="preserve"> Indiantown Airport </t>
  </si>
  <si>
    <t xml:space="preserve"> Indiantown  </t>
  </si>
  <si>
    <t xml:space="preserve"> X58  </t>
  </si>
  <si>
    <t>Treasure Coast</t>
  </si>
  <si>
    <t>Martin</t>
  </si>
  <si>
    <t>FL000091</t>
  </si>
  <si>
    <t>12-0157</t>
  </si>
  <si>
    <t>3249.*A</t>
  </si>
  <si>
    <t xml:space="preserve"> Inverness Airport </t>
  </si>
  <si>
    <t xml:space="preserve"> Inverness  </t>
  </si>
  <si>
    <t xml:space="preserve"> X40  </t>
  </si>
  <si>
    <t>FL000829</t>
  </si>
  <si>
    <t>SFL00728</t>
  </si>
  <si>
    <t>3570.2*C</t>
  </si>
  <si>
    <t xml:space="preserve"> Jack Browns SPB </t>
  </si>
  <si>
    <t>Winter Haven</t>
  </si>
  <si>
    <t xml:space="preserve"> F57</t>
  </si>
  <si>
    <t>FL000032</t>
  </si>
  <si>
    <t>12-0035</t>
  </si>
  <si>
    <t>3250.1*A</t>
  </si>
  <si>
    <t xml:space="preserve"> Jacksonville International Airport </t>
  </si>
  <si>
    <t xml:space="preserve"> KJAX  </t>
  </si>
  <si>
    <t>FL000046</t>
  </si>
  <si>
    <t>12-0050</t>
  </si>
  <si>
    <t>3325.1*A</t>
  </si>
  <si>
    <t xml:space="preserve"> Kendall-Tamiami Executive Airport </t>
  </si>
  <si>
    <t xml:space="preserve"> KTMB  </t>
  </si>
  <si>
    <t>FL000034</t>
  </si>
  <si>
    <t>SFL00003</t>
  </si>
  <si>
    <t>12-0037</t>
  </si>
  <si>
    <t>3263.*A</t>
  </si>
  <si>
    <t xml:space="preserve"> Key West International Airport </t>
  </si>
  <si>
    <t xml:space="preserve"> Key West  </t>
  </si>
  <si>
    <t xml:space="preserve"> KEYW  </t>
  </si>
  <si>
    <t xml:space="preserve">Monroe </t>
  </si>
  <si>
    <t>FL000033</t>
  </si>
  <si>
    <t>SFL00020</t>
  </si>
  <si>
    <t>12-0036</t>
  </si>
  <si>
    <t>3262.*A</t>
  </si>
  <si>
    <t xml:space="preserve"> Keystone Airpark </t>
  </si>
  <si>
    <t xml:space="preserve"> Keystone Heights  </t>
  </si>
  <si>
    <t xml:space="preserve"> 42J  </t>
  </si>
  <si>
    <t>Clay</t>
  </si>
  <si>
    <t>FL000035</t>
  </si>
  <si>
    <t>SFL00021</t>
  </si>
  <si>
    <t>12-0038</t>
  </si>
  <si>
    <t>3407.2*A</t>
  </si>
  <si>
    <t xml:space="preserve"> Kissimmee Gateway Airport </t>
  </si>
  <si>
    <t xml:space="preserve"> KISM  </t>
  </si>
  <si>
    <t>Osceola</t>
  </si>
  <si>
    <t>FL000084</t>
  </si>
  <si>
    <t>12-0125</t>
  </si>
  <si>
    <t>3270.1*A</t>
  </si>
  <si>
    <t xml:space="preserve"> La Belle Municipal Airport </t>
  </si>
  <si>
    <t xml:space="preserve"> La Belle  </t>
  </si>
  <si>
    <t xml:space="preserve"> X14  </t>
  </si>
  <si>
    <t>FL000505</t>
  </si>
  <si>
    <t>SFL00056</t>
  </si>
  <si>
    <t>12-0039</t>
  </si>
  <si>
    <t>3279.*A</t>
  </si>
  <si>
    <t xml:space="preserve"> Lake City Municipal Airport </t>
  </si>
  <si>
    <t xml:space="preserve"> Lake City  </t>
  </si>
  <si>
    <t xml:space="preserve"> KLCQ  </t>
  </si>
  <si>
    <t>Columbia</t>
  </si>
  <si>
    <t>FL000037</t>
  </si>
  <si>
    <t>SFL00057</t>
  </si>
  <si>
    <t>12-0040</t>
  </si>
  <si>
    <t>3288.*A</t>
  </si>
  <si>
    <t xml:space="preserve"> Lake Wales Municipal Airport </t>
  </si>
  <si>
    <t xml:space="preserve"> X07  </t>
  </si>
  <si>
    <t>FL000038</t>
  </si>
  <si>
    <t>SFL00022</t>
  </si>
  <si>
    <t>12-0041</t>
  </si>
  <si>
    <t>3283.*A</t>
  </si>
  <si>
    <t xml:space="preserve"> Lakeland Linder Regional Airport </t>
  </si>
  <si>
    <t xml:space="preserve"> Lakeland  </t>
  </si>
  <si>
    <t xml:space="preserve"> KLAL  </t>
  </si>
  <si>
    <t>FL000039</t>
  </si>
  <si>
    <t>SFL00023</t>
  </si>
  <si>
    <t>12-0042</t>
  </si>
  <si>
    <t>3298.*A</t>
  </si>
  <si>
    <t xml:space="preserve"> Leesburg International Airport </t>
  </si>
  <si>
    <t xml:space="preserve"> Leesburg  </t>
  </si>
  <si>
    <t xml:space="preserve"> KLEE  </t>
  </si>
  <si>
    <t>Lake</t>
  </si>
  <si>
    <t>FL000086</t>
  </si>
  <si>
    <t>12-0142</t>
  </si>
  <si>
    <t>3315.44*A</t>
  </si>
  <si>
    <t xml:space="preserve"> Marco Island Airport </t>
  </si>
  <si>
    <t xml:space="preserve"> Marco Island  </t>
  </si>
  <si>
    <t xml:space="preserve"> KMKY  </t>
  </si>
  <si>
    <t>FL000041</t>
  </si>
  <si>
    <t>SFL00024</t>
  </si>
  <si>
    <t>12-0045</t>
  </si>
  <si>
    <t>3319.*A</t>
  </si>
  <si>
    <t xml:space="preserve"> Marianna Municipal Airport </t>
  </si>
  <si>
    <t xml:space="preserve"> Marianna  </t>
  </si>
  <si>
    <t xml:space="preserve"> KMAI  </t>
  </si>
  <si>
    <t>Jackson</t>
  </si>
  <si>
    <t>FL000106</t>
  </si>
  <si>
    <t>SFL00060</t>
  </si>
  <si>
    <t>12-0147</t>
  </si>
  <si>
    <t>3169.*A</t>
  </si>
  <si>
    <t xml:space="preserve"> Marion County Airport </t>
  </si>
  <si>
    <t xml:space="preserve"> Dunnellon  </t>
  </si>
  <si>
    <t xml:space="preserve"> X35  </t>
  </si>
  <si>
    <t>Marion</t>
  </si>
  <si>
    <t>FL000622</t>
  </si>
  <si>
    <t>SFL00522</t>
  </si>
  <si>
    <t>3387.2*A</t>
  </si>
  <si>
    <t xml:space="preserve"> Massey Ranch Airpark </t>
  </si>
  <si>
    <t xml:space="preserve"> New Smyrna Beach  </t>
  </si>
  <si>
    <t xml:space="preserve"> X50  </t>
  </si>
  <si>
    <t>Volusia</t>
  </si>
  <si>
    <t>FL000042</t>
  </si>
  <si>
    <t>SFL00025</t>
  </si>
  <si>
    <t>12-0046</t>
  </si>
  <si>
    <t>3321.*A</t>
  </si>
  <si>
    <t xml:space="preserve"> Melbourne International Airport </t>
  </si>
  <si>
    <t xml:space="preserve"> Melbourne  </t>
  </si>
  <si>
    <t xml:space="preserve"> KMLB  </t>
  </si>
  <si>
    <t>FL000011</t>
  </si>
  <si>
    <t>12-0013</t>
  </si>
  <si>
    <t>03323.*A</t>
  </si>
  <si>
    <t xml:space="preserve"> Merritt Island Airport </t>
  </si>
  <si>
    <t xml:space="preserve"> Merritt Island  </t>
  </si>
  <si>
    <t xml:space="preserve"> KCOI  </t>
  </si>
  <si>
    <t>FL000045</t>
  </si>
  <si>
    <t>12-0049</t>
  </si>
  <si>
    <t>3333.*A</t>
  </si>
  <si>
    <t xml:space="preserve"> Miami International Airport </t>
  </si>
  <si>
    <t xml:space="preserve"> KMIA  </t>
  </si>
  <si>
    <t>FL000100</t>
  </si>
  <si>
    <t>SFL00026</t>
  </si>
  <si>
    <t>12-0143</t>
  </si>
  <si>
    <t>3324.1*C</t>
  </si>
  <si>
    <t xml:space="preserve"> Miami SPB </t>
  </si>
  <si>
    <t xml:space="preserve"> Miami</t>
  </si>
  <si>
    <t xml:space="preserve"> X44</t>
  </si>
  <si>
    <t>FL000345</t>
  </si>
  <si>
    <t>SFL00245</t>
  </si>
  <si>
    <t>3180.01*A</t>
  </si>
  <si>
    <t xml:space="preserve"> Mid Florida Air Service Airport </t>
  </si>
  <si>
    <t xml:space="preserve"> Eustis  </t>
  </si>
  <si>
    <t xml:space="preserve"> X55  </t>
  </si>
  <si>
    <t>FL000049</t>
  </si>
  <si>
    <t>SFL00027</t>
  </si>
  <si>
    <t>12-0053</t>
  </si>
  <si>
    <t>3379.*A</t>
  </si>
  <si>
    <t xml:space="preserve"> Naples Municipal Airport </t>
  </si>
  <si>
    <t xml:space="preserve"> Naples  </t>
  </si>
  <si>
    <t xml:space="preserve"> KAPF  </t>
  </si>
  <si>
    <t>FL000793</t>
  </si>
  <si>
    <t>SFL00693</t>
  </si>
  <si>
    <t>3539.2*A</t>
  </si>
  <si>
    <t xml:space="preserve"> New Hibiscus Airpark </t>
  </si>
  <si>
    <t xml:space="preserve"> Vero Beach  </t>
  </si>
  <si>
    <t xml:space="preserve"> X52  </t>
  </si>
  <si>
    <t xml:space="preserve">Indian River </t>
  </si>
  <si>
    <t>FL000621</t>
  </si>
  <si>
    <t>SFL00028</t>
  </si>
  <si>
    <t>12-0054</t>
  </si>
  <si>
    <t>3387.*A</t>
  </si>
  <si>
    <t xml:space="preserve"> New Smyrna Beach Municipal Airport </t>
  </si>
  <si>
    <t xml:space="preserve"> KEVB  </t>
  </si>
  <si>
    <t>FL000083</t>
  </si>
  <si>
    <t>SFL00063</t>
  </si>
  <si>
    <t>12-0113</t>
  </si>
  <si>
    <t>3554.2*A</t>
  </si>
  <si>
    <t xml:space="preserve"> North Palm Beach County General Aviation Airport </t>
  </si>
  <si>
    <t xml:space="preserve"> West Palm Beach  </t>
  </si>
  <si>
    <t xml:space="preserve"> F45  </t>
  </si>
  <si>
    <t>FL000026</t>
  </si>
  <si>
    <t>12-0029</t>
  </si>
  <si>
    <t>3236.*A</t>
  </si>
  <si>
    <t xml:space="preserve"> North Perry Airport </t>
  </si>
  <si>
    <t xml:space="preserve"> Hollywood  </t>
  </si>
  <si>
    <t xml:space="preserve"> KHWO  </t>
  </si>
  <si>
    <t>FL001385</t>
  </si>
  <si>
    <t>SFL00064</t>
  </si>
  <si>
    <t>3430.3*A</t>
  </si>
  <si>
    <t xml:space="preserve"> Northwest Florida-Beaches International Airport </t>
  </si>
  <si>
    <t xml:space="preserve"> Panama City  </t>
  </si>
  <si>
    <t xml:space="preserve"> KECP  </t>
  </si>
  <si>
    <t>Bay</t>
  </si>
  <si>
    <t>FL000073</t>
  </si>
  <si>
    <t>12-0081</t>
  </si>
  <si>
    <t>3534.*A</t>
  </si>
  <si>
    <t xml:space="preserve"> Northwest Florida Regional Airport (Eglin AFB)</t>
  </si>
  <si>
    <t xml:space="preserve"> Valparaiso  </t>
  </si>
  <si>
    <t xml:space="preserve"> KVPS  </t>
  </si>
  <si>
    <t>FL000431</t>
  </si>
  <si>
    <t>SFL00331</t>
  </si>
  <si>
    <t>3230.1*A</t>
  </si>
  <si>
    <t xml:space="preserve"> Oak Tree Landing Airport </t>
  </si>
  <si>
    <t xml:space="preserve"> High Springs  </t>
  </si>
  <si>
    <t xml:space="preserve"> 6J8  </t>
  </si>
  <si>
    <t>FL000051</t>
  </si>
  <si>
    <t>SFL00029</t>
  </si>
  <si>
    <t>12-0055</t>
  </si>
  <si>
    <t>3394.*A</t>
  </si>
  <si>
    <t xml:space="preserve"> Ocala International-Jim Taylor Field </t>
  </si>
  <si>
    <t xml:space="preserve"> Ocala  </t>
  </si>
  <si>
    <t xml:space="preserve"> KOCF  </t>
  </si>
  <si>
    <t>FL000052</t>
  </si>
  <si>
    <t>SFL00062</t>
  </si>
  <si>
    <t>12-0056</t>
  </si>
  <si>
    <t>3396.*A</t>
  </si>
  <si>
    <t xml:space="preserve"> Okeechobee County Airport </t>
  </si>
  <si>
    <t xml:space="preserve"> Okeechobee  </t>
  </si>
  <si>
    <t xml:space="preserve"> KOBE  </t>
  </si>
  <si>
    <t>Okeechobee</t>
  </si>
  <si>
    <t>FL000043</t>
  </si>
  <si>
    <t>12-0047</t>
  </si>
  <si>
    <t>3339.*A</t>
  </si>
  <si>
    <t xml:space="preserve"> Opa-Locka Executive Airport </t>
  </si>
  <si>
    <t xml:space="preserve"> KOPF  </t>
  </si>
  <si>
    <t>FL000712</t>
  </si>
  <si>
    <t>SFL00612</t>
  </si>
  <si>
    <t>3027.12*A</t>
  </si>
  <si>
    <t xml:space="preserve"> Orlando Apopka Airport </t>
  </si>
  <si>
    <t xml:space="preserve"> Apopka  </t>
  </si>
  <si>
    <t xml:space="preserve"> X04  </t>
  </si>
  <si>
    <t>FL000053</t>
  </si>
  <si>
    <t>12-0057</t>
  </si>
  <si>
    <t>3407.*A</t>
  </si>
  <si>
    <t xml:space="preserve"> Orlando International Airport </t>
  </si>
  <si>
    <t xml:space="preserve"> KMCO  </t>
  </si>
  <si>
    <t>FL000062</t>
  </si>
  <si>
    <t>SFL00068</t>
  </si>
  <si>
    <t>12-0069</t>
  </si>
  <si>
    <t>3407.1*A</t>
  </si>
  <si>
    <t xml:space="preserve"> Orlando Sanford International Airport </t>
  </si>
  <si>
    <t xml:space="preserve"> KSFB  </t>
  </si>
  <si>
    <t>Seminole</t>
  </si>
  <si>
    <t>FL000107</t>
  </si>
  <si>
    <t>SFL00031</t>
  </si>
  <si>
    <t>12-0059</t>
  </si>
  <si>
    <t>3411.*A</t>
  </si>
  <si>
    <t xml:space="preserve"> Ormond Beach Municipal Airport </t>
  </si>
  <si>
    <t xml:space="preserve"> Ormond Beach  </t>
  </si>
  <si>
    <t xml:space="preserve"> KOMN  </t>
  </si>
  <si>
    <t>FL000024</t>
  </si>
  <si>
    <t>SFL00058</t>
  </si>
  <si>
    <t>12-0027</t>
  </si>
  <si>
    <t>3198.*A</t>
  </si>
  <si>
    <t xml:space="preserve"> Page Field </t>
  </si>
  <si>
    <t xml:space="preserve"> Fort Myers  </t>
  </si>
  <si>
    <t xml:space="preserve"> KFMY  </t>
  </si>
  <si>
    <t>Lee</t>
  </si>
  <si>
    <t>FL000056</t>
  </si>
  <si>
    <t>SFL00032</t>
  </si>
  <si>
    <t>12-0061</t>
  </si>
  <si>
    <t>3421.*A</t>
  </si>
  <si>
    <t xml:space="preserve"> Palatka Municipal-Lt. Kay Larkin Field </t>
  </si>
  <si>
    <t xml:space="preserve"> Palatka  </t>
  </si>
  <si>
    <t xml:space="preserve"> 28J  </t>
  </si>
  <si>
    <t>Putnam</t>
  </si>
  <si>
    <t>FL000055</t>
  </si>
  <si>
    <t>12-0060</t>
  </si>
  <si>
    <t>3419.1*A</t>
  </si>
  <si>
    <t xml:space="preserve"> Palm Beach County Glades Airport </t>
  </si>
  <si>
    <t xml:space="preserve"> Pahokee  </t>
  </si>
  <si>
    <t xml:space="preserve"> KPHK  </t>
  </si>
  <si>
    <t>FL000078</t>
  </si>
  <si>
    <t>12-0086</t>
  </si>
  <si>
    <t>3555.1*A</t>
  </si>
  <si>
    <t xml:space="preserve"> Palm Beach County Park Airport </t>
  </si>
  <si>
    <t xml:space="preserve"> KLNA  </t>
  </si>
  <si>
    <t>FL000077</t>
  </si>
  <si>
    <t>12-0085</t>
  </si>
  <si>
    <t>3555.*A</t>
  </si>
  <si>
    <t xml:space="preserve"> Palm Beach International Airport </t>
  </si>
  <si>
    <t xml:space="preserve"> KPBI  </t>
  </si>
  <si>
    <t>FL000058</t>
  </si>
  <si>
    <t>SFL00033</t>
  </si>
  <si>
    <t>12-0063</t>
  </si>
  <si>
    <t>3435.*A</t>
  </si>
  <si>
    <t xml:space="preserve"> Pensacola Gulf Coast Regional Airport </t>
  </si>
  <si>
    <t xml:space="preserve"> KPNS  </t>
  </si>
  <si>
    <t xml:space="preserve">Escambia </t>
  </si>
  <si>
    <t>FL000092</t>
  </si>
  <si>
    <t>SFL00075</t>
  </si>
  <si>
    <t>12-0064</t>
  </si>
  <si>
    <t>3442.*A</t>
  </si>
  <si>
    <t xml:space="preserve"> Perry-Foley Airport </t>
  </si>
  <si>
    <t xml:space="preserve"> Perry  </t>
  </si>
  <si>
    <t xml:space="preserve"> 40J  </t>
  </si>
  <si>
    <t>Taylor</t>
  </si>
  <si>
    <t>FL000071</t>
  </si>
  <si>
    <t>SFL00054</t>
  </si>
  <si>
    <t>12-0079</t>
  </si>
  <si>
    <t>3519.*A</t>
  </si>
  <si>
    <t xml:space="preserve"> Peter O Knight Airport </t>
  </si>
  <si>
    <t xml:space="preserve"> Tampa  </t>
  </si>
  <si>
    <t xml:space="preserve"> KTPF  </t>
  </si>
  <si>
    <t>Hillsborough</t>
  </si>
  <si>
    <t>FL000048</t>
  </si>
  <si>
    <t>SFL00065</t>
  </si>
  <si>
    <t>12-0052</t>
  </si>
  <si>
    <t>3351.*A</t>
  </si>
  <si>
    <t xml:space="preserve"> Peter Prince Field </t>
  </si>
  <si>
    <t xml:space="preserve"> Milton  </t>
  </si>
  <si>
    <t xml:space="preserve"> 2R4  </t>
  </si>
  <si>
    <t xml:space="preserve">Santa Rosa </t>
  </si>
  <si>
    <t>FL000109</t>
  </si>
  <si>
    <t>SFL00078</t>
  </si>
  <si>
    <t>3443.1*A</t>
  </si>
  <si>
    <t xml:space="preserve"> Pierson Municipal Airport </t>
  </si>
  <si>
    <t xml:space="preserve"> Pierson  </t>
  </si>
  <si>
    <t xml:space="preserve"> 2J8  </t>
  </si>
  <si>
    <t>FL000274</t>
  </si>
  <si>
    <t>SFL00174</t>
  </si>
  <si>
    <t>3083.01*A</t>
  </si>
  <si>
    <t xml:space="preserve"> Pilot Country Airport </t>
  </si>
  <si>
    <t xml:space="preserve"> X05  </t>
  </si>
  <si>
    <t>Pasco</t>
  </si>
  <si>
    <t>FL000059</t>
  </si>
  <si>
    <t>12-0065</t>
  </si>
  <si>
    <t>3446.*A</t>
  </si>
  <si>
    <t xml:space="preserve"> Plant City Airport </t>
  </si>
  <si>
    <t xml:space="preserve"> Plant City  </t>
  </si>
  <si>
    <t xml:space="preserve"> KPCM  </t>
  </si>
  <si>
    <t>FL000102</t>
  </si>
  <si>
    <t>SFL00034</t>
  </si>
  <si>
    <t>12-0066</t>
  </si>
  <si>
    <t>3451.*A</t>
  </si>
  <si>
    <t xml:space="preserve"> Pompano Beach Airpark </t>
  </si>
  <si>
    <t xml:space="preserve"> Pompano Beach  </t>
  </si>
  <si>
    <t xml:space="preserve"> KPMP  </t>
  </si>
  <si>
    <t>FL000061</t>
  </si>
  <si>
    <t>SFL00067</t>
  </si>
  <si>
    <t>12-0068</t>
  </si>
  <si>
    <t>3459.*A</t>
  </si>
  <si>
    <t xml:space="preserve"> Quincy Municipal Airport </t>
  </si>
  <si>
    <t xml:space="preserve"> Quincy  </t>
  </si>
  <si>
    <t xml:space="preserve"> 2J9  </t>
  </si>
  <si>
    <t>Gadsden</t>
  </si>
  <si>
    <t>FL000732</t>
  </si>
  <si>
    <t>SFL00632</t>
  </si>
  <si>
    <t>3462.98*A</t>
  </si>
  <si>
    <t xml:space="preserve"> River Ranch Resort Airport </t>
  </si>
  <si>
    <t xml:space="preserve"> River Ranch  </t>
  </si>
  <si>
    <t xml:space="preserve"> 2RR  </t>
  </si>
  <si>
    <t>FL000063</t>
  </si>
  <si>
    <t>SFL00070</t>
  </si>
  <si>
    <t>12-0071</t>
  </si>
  <si>
    <t>3484.*A</t>
  </si>
  <si>
    <t xml:space="preserve"> Sarasota / Bradenton International Airport </t>
  </si>
  <si>
    <t xml:space="preserve"> Sarasota/Bradenton  </t>
  </si>
  <si>
    <t xml:space="preserve"> KSRQ  </t>
  </si>
  <si>
    <t>FL000088</t>
  </si>
  <si>
    <t>SFL00035</t>
  </si>
  <si>
    <t>12-0145</t>
  </si>
  <si>
    <t>3489.1*A</t>
  </si>
  <si>
    <t xml:space="preserve"> Sebastian Municipal Airport </t>
  </si>
  <si>
    <t xml:space="preserve"> Sebastian  </t>
  </si>
  <si>
    <t xml:space="preserve"> X26  </t>
  </si>
  <si>
    <t>FL000064</t>
  </si>
  <si>
    <t>SFL00071</t>
  </si>
  <si>
    <t>12-0072</t>
  </si>
  <si>
    <t>3493.*A</t>
  </si>
  <si>
    <t xml:space="preserve"> Sebring Regional Airport </t>
  </si>
  <si>
    <t xml:space="preserve"> Sebring  </t>
  </si>
  <si>
    <t xml:space="preserve"> KSEF  </t>
  </si>
  <si>
    <t>Highlands</t>
  </si>
  <si>
    <t>FL000724</t>
  </si>
  <si>
    <t>SFL00624</t>
  </si>
  <si>
    <t>3455.1*A</t>
  </si>
  <si>
    <t xml:space="preserve"> Shell Creek Airpark </t>
  </si>
  <si>
    <t xml:space="preserve"> F13  </t>
  </si>
  <si>
    <t>Charlotte</t>
  </si>
  <si>
    <t>FL000612</t>
  </si>
  <si>
    <t>SFL00512</t>
  </si>
  <si>
    <t>03281.1*A</t>
  </si>
  <si>
    <t xml:space="preserve"> South Lakeland Airport </t>
  </si>
  <si>
    <t xml:space="preserve"> X49  </t>
  </si>
  <si>
    <t>FL000085</t>
  </si>
  <si>
    <t>12-0135</t>
  </si>
  <si>
    <t>3198.2*A</t>
  </si>
  <si>
    <t xml:space="preserve"> Southwest Florida International Airport </t>
  </si>
  <si>
    <t xml:space="preserve"> KRSW  </t>
  </si>
  <si>
    <t>FL000072</t>
  </si>
  <si>
    <t>12-0080</t>
  </si>
  <si>
    <t>3532.*A</t>
  </si>
  <si>
    <t xml:space="preserve"> Space Coast Regional Airport </t>
  </si>
  <si>
    <t xml:space="preserve"> KTIX  </t>
  </si>
  <si>
    <t>FL000065</t>
  </si>
  <si>
    <t>SFL00072</t>
  </si>
  <si>
    <t>12-0073</t>
  </si>
  <si>
    <t>3468.*A</t>
  </si>
  <si>
    <t xml:space="preserve"> St Augustine/Northeast Florida Regional Airport</t>
  </si>
  <si>
    <t xml:space="preserve"> St Augustine  </t>
  </si>
  <si>
    <t xml:space="preserve"> KSGJ  </t>
  </si>
  <si>
    <t>St. Johns</t>
  </si>
  <si>
    <t>FL000229</t>
  </si>
  <si>
    <t>SFL00129</t>
  </si>
  <si>
    <t>3025.1*A</t>
  </si>
  <si>
    <t xml:space="preserve"> St George Island Airport </t>
  </si>
  <si>
    <t xml:space="preserve"> F47  </t>
  </si>
  <si>
    <t>Franklin</t>
  </si>
  <si>
    <t>FL000020</t>
  </si>
  <si>
    <t>SFL00073</t>
  </si>
  <si>
    <t>12-0023</t>
  </si>
  <si>
    <t>3202.*A</t>
  </si>
  <si>
    <t xml:space="preserve"> St Lucie County International Airport </t>
  </si>
  <si>
    <t xml:space="preserve"> Fort Pierce  </t>
  </si>
  <si>
    <t xml:space="preserve"> KFPR  </t>
  </si>
  <si>
    <t>St. Lucie</t>
  </si>
  <si>
    <t>FL000067</t>
  </si>
  <si>
    <t>SFL00004</t>
  </si>
  <si>
    <t>12-0075</t>
  </si>
  <si>
    <t>3475.*A</t>
  </si>
  <si>
    <t xml:space="preserve"> St Petersburg-Clearwater International Airport </t>
  </si>
  <si>
    <t xml:space="preserve"> St Petersburg-Clearwater  </t>
  </si>
  <si>
    <t xml:space="preserve"> KPIE  </t>
  </si>
  <si>
    <t>FL000093</t>
  </si>
  <si>
    <t>SFL00074</t>
  </si>
  <si>
    <t>12-0043</t>
  </si>
  <si>
    <t>3305.1*A</t>
  </si>
  <si>
    <t xml:space="preserve"> Suwannee County Airport </t>
  </si>
  <si>
    <t xml:space="preserve"> Live Oak  </t>
  </si>
  <si>
    <t xml:space="preserve"> 24J  </t>
  </si>
  <si>
    <t xml:space="preserve"> Suwannee </t>
  </si>
  <si>
    <t>FL000768</t>
  </si>
  <si>
    <t>SFL00668</t>
  </si>
  <si>
    <t>3509.*A</t>
  </si>
  <si>
    <r>
      <t xml:space="preserve"> Tallahassee Commercial Airport </t>
    </r>
    <r>
      <rPr>
        <i/>
        <sz val="8"/>
        <rFont val="Arial"/>
        <family val="2"/>
      </rPr>
      <t>(closed indefinitely)</t>
    </r>
  </si>
  <si>
    <t xml:space="preserve"> Tallahassee  </t>
  </si>
  <si>
    <t>68J</t>
  </si>
  <si>
    <t>Leon</t>
  </si>
  <si>
    <t>FL000069</t>
  </si>
  <si>
    <t>SFL00037</t>
  </si>
  <si>
    <t>12-0077</t>
  </si>
  <si>
    <t>3509.1*A</t>
  </si>
  <si>
    <t xml:space="preserve"> Tallahassee Regional Airport </t>
  </si>
  <si>
    <t xml:space="preserve"> KTLH  </t>
  </si>
  <si>
    <t>FL000081</t>
  </si>
  <si>
    <t>12-0097</t>
  </si>
  <si>
    <t>3513.1*A</t>
  </si>
  <si>
    <t xml:space="preserve"> Tampa Executive Airport </t>
  </si>
  <si>
    <t xml:space="preserve"> KVDF  </t>
  </si>
  <si>
    <t>FL000070</t>
  </si>
  <si>
    <t>12-0078</t>
  </si>
  <si>
    <t>3513.*A</t>
  </si>
  <si>
    <t xml:space="preserve"> Tampa International Airport </t>
  </si>
  <si>
    <t xml:space="preserve"> KTPA  </t>
  </si>
  <si>
    <t>FL000781</t>
  </si>
  <si>
    <t>SFL00681</t>
  </si>
  <si>
    <t>3515.*A</t>
  </si>
  <si>
    <t xml:space="preserve"> Tampa North Aero Park </t>
  </si>
  <si>
    <t xml:space="preserve"> X39  </t>
  </si>
  <si>
    <t>FL000040</t>
  </si>
  <si>
    <t>12-0044</t>
  </si>
  <si>
    <t>3314.*A</t>
  </si>
  <si>
    <t xml:space="preserve"> The Florida Keys Marathon Airport </t>
  </si>
  <si>
    <t xml:space="preserve"> Marathon  </t>
  </si>
  <si>
    <t xml:space="preserve"> KMTH  </t>
  </si>
  <si>
    <t>Monroe</t>
  </si>
  <si>
    <t>FL000006</t>
  </si>
  <si>
    <t>SFL00079</t>
  </si>
  <si>
    <t>12-0007</t>
  </si>
  <si>
    <t>3063.51*A</t>
  </si>
  <si>
    <t xml:space="preserve"> Tri-County Airport </t>
  </si>
  <si>
    <t xml:space="preserve"> Bonifay  </t>
  </si>
  <si>
    <t xml:space="preserve"> 1J0  </t>
  </si>
  <si>
    <t>Holmes</t>
  </si>
  <si>
    <t>FL000023</t>
  </si>
  <si>
    <t>SFL00038</t>
  </si>
  <si>
    <t>12-0026</t>
  </si>
  <si>
    <t>3533.3*A</t>
  </si>
  <si>
    <t xml:space="preserve"> Umatilla Municipal Airport </t>
  </si>
  <si>
    <t xml:space="preserve"> Umatilla  </t>
  </si>
  <si>
    <t xml:space="preserve"> X23  </t>
  </si>
  <si>
    <t xml:space="preserve">Lake </t>
  </si>
  <si>
    <t>FL000087</t>
  </si>
  <si>
    <t>SFL00007</t>
  </si>
  <si>
    <t>12-0144</t>
  </si>
  <si>
    <t>3533.8*A</t>
  </si>
  <si>
    <t xml:space="preserve"> Valkaria Airport </t>
  </si>
  <si>
    <t xml:space="preserve"> Valkaria  </t>
  </si>
  <si>
    <t xml:space="preserve"> X59  </t>
  </si>
  <si>
    <t>FL000074</t>
  </si>
  <si>
    <t>SFL00039</t>
  </si>
  <si>
    <t>12-0082</t>
  </si>
  <si>
    <t>3538.*A</t>
  </si>
  <si>
    <t xml:space="preserve"> Venice Municipal Airport </t>
  </si>
  <si>
    <t xml:space="preserve"> Venice  </t>
  </si>
  <si>
    <t xml:space="preserve"> KVNC  </t>
  </si>
  <si>
    <t>FL000075</t>
  </si>
  <si>
    <t>SFL00040</t>
  </si>
  <si>
    <t>12-0083</t>
  </si>
  <si>
    <t>3540.*A</t>
  </si>
  <si>
    <t xml:space="preserve"> Vero Beach Municipal Airport </t>
  </si>
  <si>
    <t xml:space="preserve"> KVRB  </t>
  </si>
  <si>
    <t>FL000108</t>
  </si>
  <si>
    <t>SFL00081</t>
  </si>
  <si>
    <t>3427.*A</t>
  </si>
  <si>
    <t xml:space="preserve"> Wakulla County Airport </t>
  </si>
  <si>
    <t xml:space="preserve"> Panacea  </t>
  </si>
  <si>
    <t xml:space="preserve"> 2J0  </t>
  </si>
  <si>
    <t>Wakulla</t>
  </si>
  <si>
    <t>FL000076</t>
  </si>
  <si>
    <t>SFL01375</t>
  </si>
  <si>
    <t>12-0084</t>
  </si>
  <si>
    <t>3546.1*A</t>
  </si>
  <si>
    <t xml:space="preserve"> Wauchula Municipal Airport </t>
  </si>
  <si>
    <t xml:space="preserve"> Wauchula  </t>
  </si>
  <si>
    <t xml:space="preserve"> KCHN  </t>
  </si>
  <si>
    <t>Hardee</t>
  </si>
  <si>
    <t>FL000103</t>
  </si>
  <si>
    <t>SFL00042</t>
  </si>
  <si>
    <t>12-0087</t>
  </si>
  <si>
    <t>3559.*A</t>
  </si>
  <si>
    <t xml:space="preserve"> Williston Municipal Airport </t>
  </si>
  <si>
    <t xml:space="preserve"> Williston  </t>
  </si>
  <si>
    <t xml:space="preserve"> X60  </t>
  </si>
  <si>
    <t>FL000079</t>
  </si>
  <si>
    <t>SFL00043</t>
  </si>
  <si>
    <t>12-0088</t>
  </si>
  <si>
    <t>3570.*A</t>
  </si>
  <si>
    <t xml:space="preserve"> Winter Haven's Gilbert Airport </t>
  </si>
  <si>
    <t xml:space="preserve"> Winter Haven  </t>
  </si>
  <si>
    <t xml:space="preserve"> KGIF  </t>
  </si>
  <si>
    <t>FL000068</t>
  </si>
  <si>
    <t>SFL00061</t>
  </si>
  <si>
    <t>12-0076</t>
  </si>
  <si>
    <t>3507.*A</t>
  </si>
  <si>
    <t xml:space="preserve"> Witham Field </t>
  </si>
  <si>
    <t xml:space="preserve"> Stuart  </t>
  </si>
  <si>
    <t xml:space="preserve"> KSUA  </t>
  </si>
  <si>
    <t>FL000080</t>
  </si>
  <si>
    <t>SFL00083</t>
  </si>
  <si>
    <t>12-0089</t>
  </si>
  <si>
    <t>3577.*A</t>
  </si>
  <si>
    <t xml:space="preserve"> Zephyrhills Municipal Airport </t>
  </si>
  <si>
    <t xml:space="preserve"> Zephyrhills  </t>
  </si>
  <si>
    <t xml:space="preserve"> KZPH  </t>
  </si>
  <si>
    <t xml:space="preserve"> Totals </t>
  </si>
  <si>
    <t>LEGEND</t>
  </si>
  <si>
    <t>Demand Capacity Ratio &lt; 60%</t>
  </si>
  <si>
    <t>Demand Capacity Ratio 60% to &lt;80%</t>
  </si>
  <si>
    <t>Demand Capacity Ratio 80% to &lt;100%</t>
  </si>
  <si>
    <t>Demand Capacity Ratio &gt;= 100%</t>
  </si>
  <si>
    <t>na</t>
  </si>
  <si>
    <t>Demand Capacity Analysis Summary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</si>
</sst>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27" x14ac:knownFonts="1">
    <font>
      <sz val="10"/>
      <name val="Arial"/>
    </font>
    <font>
      <sz val="11"/>
      <color theme="1"/>
      <name val="Calibri"/>
      <family val="2"/>
      <scheme val="minor"/>
    </font>
    <font>
      <sz val="9"/>
      <name val="Arial"/>
      <family val="2"/>
    </font>
    <font>
      <sz val="10"/>
      <color indexed="8"/>
      <name val="Arial"/>
      <family val="2"/>
    </font>
    <font>
      <sz val="8"/>
      <name val="Arial"/>
      <family val="2"/>
    </font>
    <font>
      <sz val="8"/>
      <color indexed="10"/>
      <name val="Arial"/>
      <family val="2"/>
    </font>
    <font>
      <b/>
      <sz val="12"/>
      <name val="Arial"/>
      <family val="2"/>
    </font>
    <font>
      <b/>
      <sz val="9"/>
      <name val="Arial"/>
      <family val="2"/>
    </font>
    <font>
      <b/>
      <sz val="9"/>
      <color theme="0"/>
      <name val="Arial"/>
      <family val="2"/>
    </font>
    <font>
      <b/>
      <sz val="10"/>
      <name val="Arial"/>
      <family val="2"/>
    </font>
    <font>
      <b/>
      <sz val="8"/>
      <name val="Arial"/>
      <family val="2"/>
    </font>
    <font>
      <b/>
      <sz val="8"/>
      <color theme="0"/>
      <name val="Arial"/>
      <family val="2"/>
    </font>
    <font>
      <b/>
      <sz val="10"/>
      <name val="Calibri"/>
      <family val="2"/>
      <scheme val="minor"/>
    </font>
    <font>
      <sz val="8"/>
      <color theme="0"/>
      <name val="Arial"/>
      <family val="2"/>
    </font>
    <font>
      <b/>
      <i/>
      <sz val="8"/>
      <name val="Arial"/>
      <family val="2"/>
    </font>
    <font>
      <i/>
      <sz val="8"/>
      <name val="Arial"/>
      <family val="2"/>
    </font>
    <font>
      <b/>
      <sz val="8"/>
      <color indexed="8"/>
      <name val="Arial"/>
      <family val="2"/>
    </font>
    <font>
      <sz val="9"/>
      <name val="Calibri"/>
      <family val="2"/>
      <scheme val="minor"/>
    </font>
    <font>
      <sz val="9"/>
      <color indexed="10"/>
      <name val="Calibri"/>
      <family val="2"/>
      <scheme val="minor"/>
    </font>
    <font>
      <b/>
      <sz val="8"/>
      <color indexed="9"/>
      <name val="Arial"/>
      <family val="2"/>
    </font>
    <font>
      <sz val="8"/>
      <name val="Calibri"/>
      <family val="2"/>
      <scheme val="minor"/>
    </font>
    <font>
      <sz val="8"/>
      <color indexed="10"/>
      <name val="Calibri"/>
      <family val="2"/>
      <scheme val="minor"/>
    </font>
    <font>
      <b/>
      <sz val="8"/>
      <color indexed="81"/>
      <name val="Tahoma"/>
      <family val="2"/>
    </font>
    <font>
      <sz val="8"/>
      <color indexed="81"/>
      <name val="Tahoma"/>
      <family val="2"/>
    </font>
    <font>
      <sz val="10"/>
      <name val="Arial"/>
      <family val="2"/>
    </font>
    <font>
      <sz val="8"/>
      <color indexed="81"/>
      <name val="Tahoma"/>
    </font>
    <font>
      <b/>
      <sz val="8"/>
      <color indexed="81"/>
      <name val="Tahoma"/>
    </font>
  </fonts>
  <fills count="12">
    <fill>
      <patternFill patternType="none"/>
    </fill>
    <fill>
      <patternFill patternType="gray125"/>
    </fill>
    <fill>
      <patternFill patternType="solid">
        <fgColor theme="4" tint="0.39997558519241921"/>
        <bgColor indexed="64"/>
      </patternFill>
    </fill>
    <fill>
      <patternFill patternType="solid">
        <fgColor theme="9" tint="-0.499984740745262"/>
        <bgColor indexed="64"/>
      </patternFill>
    </fill>
    <fill>
      <patternFill patternType="solid">
        <fgColor rgb="FF800000"/>
        <bgColor indexed="64"/>
      </patternFill>
    </fill>
    <fill>
      <patternFill patternType="solid">
        <fgColor indexed="44"/>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rgb="FFFFFF99"/>
        <bgColor indexed="64"/>
      </patternFill>
    </fill>
    <fill>
      <patternFill patternType="solid">
        <fgColor rgb="FFFFC000"/>
        <bgColor indexed="64"/>
      </patternFill>
    </fill>
    <fill>
      <patternFill patternType="solid">
        <fgColor rgb="FFFF0000"/>
        <bgColor indexed="64"/>
      </patternFill>
    </fill>
  </fills>
  <borders count="3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theme="0"/>
      </left>
      <right style="medium">
        <color theme="0"/>
      </right>
      <top/>
      <bottom style="medium">
        <color indexed="64"/>
      </bottom>
      <diagonal/>
    </border>
    <border>
      <left style="medium">
        <color indexed="64"/>
      </left>
      <right style="medium">
        <color theme="0"/>
      </right>
      <top/>
      <bottom style="medium">
        <color indexed="64"/>
      </bottom>
      <diagonal/>
    </border>
    <border>
      <left/>
      <right style="medium">
        <color theme="0"/>
      </right>
      <top/>
      <bottom style="medium">
        <color indexed="64"/>
      </bottom>
      <diagonal/>
    </border>
    <border>
      <left style="medium">
        <color theme="0"/>
      </left>
      <right style="medium">
        <color theme="0"/>
      </right>
      <top/>
      <bottom style="thin">
        <color indexed="64"/>
      </bottom>
      <diagonal/>
    </border>
  </borders>
  <cellStyleXfs count="7">
    <xf numFmtId="0" fontId="0" fillId="0" borderId="0"/>
    <xf numFmtId="0" fontId="3" fillId="0" borderId="0"/>
    <xf numFmtId="43" fontId="3" fillId="0" borderId="0" applyFont="0" applyFill="0" applyBorder="0" applyAlignment="0" applyProtection="0"/>
    <xf numFmtId="0" fontId="24" fillId="0" borderId="0"/>
    <xf numFmtId="0" fontId="24" fillId="0" borderId="0"/>
    <xf numFmtId="0" fontId="1" fillId="0" borderId="0"/>
    <xf numFmtId="0" fontId="1" fillId="0" borderId="0"/>
  </cellStyleXfs>
  <cellXfs count="131">
    <xf numFmtId="0" fontId="0" fillId="0" borderId="0" xfId="0"/>
    <xf numFmtId="0" fontId="2" fillId="0" borderId="0" xfId="0" applyFont="1" applyBorder="1" applyAlignment="1">
      <alignment horizontal="left"/>
    </xf>
    <xf numFmtId="0" fontId="2" fillId="0" borderId="0" xfId="0" applyFont="1" applyBorder="1" applyAlignment="1">
      <alignment horizontal="right"/>
    </xf>
    <xf numFmtId="0" fontId="2" fillId="0" borderId="0" xfId="0" applyFont="1" applyBorder="1"/>
    <xf numFmtId="0" fontId="4" fillId="0" borderId="0" xfId="1" applyFont="1" applyFill="1" applyBorder="1" applyAlignment="1"/>
    <xf numFmtId="0" fontId="5" fillId="0" borderId="0" xfId="1" applyFont="1" applyFill="1" applyBorder="1" applyAlignment="1"/>
    <xf numFmtId="0" fontId="2" fillId="0" borderId="0" xfId="0" applyFont="1" applyFill="1" applyBorder="1"/>
    <xf numFmtId="0" fontId="6" fillId="0" borderId="0" xfId="0" applyFont="1" applyBorder="1" applyAlignment="1">
      <alignment horizontal="left"/>
    </xf>
    <xf numFmtId="0" fontId="9" fillId="0" borderId="0" xfId="0" applyFont="1" applyBorder="1" applyAlignment="1">
      <alignment horizontal="right"/>
    </xf>
    <xf numFmtId="0" fontId="9" fillId="0" borderId="0" xfId="0" applyFont="1" applyBorder="1"/>
    <xf numFmtId="0" fontId="10" fillId="0" borderId="0" xfId="0" applyFont="1" applyBorder="1"/>
    <xf numFmtId="0" fontId="12" fillId="0" borderId="0" xfId="0" applyFont="1" applyBorder="1" applyAlignment="1">
      <alignment horizontal="right"/>
    </xf>
    <xf numFmtId="0" fontId="12" fillId="0" borderId="0" xfId="0" applyFont="1" applyBorder="1"/>
    <xf numFmtId="0" fontId="10" fillId="2" borderId="12" xfId="0" applyNumberFormat="1" applyFont="1" applyFill="1" applyBorder="1" applyAlignment="1">
      <alignment horizontal="center"/>
    </xf>
    <xf numFmtId="0" fontId="10" fillId="2" borderId="13" xfId="0" applyNumberFormat="1" applyFont="1" applyFill="1" applyBorder="1" applyAlignment="1">
      <alignment horizontal="center"/>
    </xf>
    <xf numFmtId="0" fontId="10" fillId="2" borderId="14" xfId="0" applyNumberFormat="1" applyFont="1" applyFill="1" applyBorder="1" applyAlignment="1">
      <alignment horizontal="center"/>
    </xf>
    <xf numFmtId="0" fontId="11" fillId="3" borderId="12" xfId="0" applyNumberFormat="1" applyFont="1" applyFill="1" applyBorder="1" applyAlignment="1">
      <alignment horizontal="center"/>
    </xf>
    <xf numFmtId="0" fontId="11" fillId="3" borderId="13" xfId="0" applyNumberFormat="1" applyFont="1" applyFill="1" applyBorder="1" applyAlignment="1">
      <alignment horizontal="center"/>
    </xf>
    <xf numFmtId="0" fontId="11" fillId="3" borderId="15" xfId="0" applyNumberFormat="1" applyFont="1" applyFill="1" applyBorder="1" applyAlignment="1">
      <alignment horizontal="center"/>
    </xf>
    <xf numFmtId="0" fontId="11" fillId="3" borderId="16" xfId="0" applyNumberFormat="1" applyFont="1" applyFill="1" applyBorder="1" applyAlignment="1">
      <alignment horizontal="center"/>
    </xf>
    <xf numFmtId="0" fontId="11" fillId="3" borderId="14" xfId="0" applyNumberFormat="1" applyFont="1" applyFill="1" applyBorder="1" applyAlignment="1">
      <alignment horizontal="center"/>
    </xf>
    <xf numFmtId="0" fontId="11" fillId="4" borderId="12" xfId="0" applyNumberFormat="1" applyFont="1" applyFill="1" applyBorder="1" applyAlignment="1">
      <alignment horizontal="center"/>
    </xf>
    <xf numFmtId="0" fontId="11" fillId="4" borderId="13" xfId="0" applyNumberFormat="1" applyFont="1" applyFill="1" applyBorder="1" applyAlignment="1">
      <alignment horizont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5" borderId="21" xfId="1" applyFont="1" applyFill="1" applyBorder="1" applyAlignment="1">
      <alignment horizontal="center" vertical="center" wrapText="1"/>
    </xf>
    <xf numFmtId="0" fontId="4" fillId="5" borderId="22" xfId="1" applyFont="1" applyFill="1" applyBorder="1" applyAlignment="1">
      <alignment horizontal="center" vertical="center" wrapText="1"/>
    </xf>
    <xf numFmtId="0" fontId="4" fillId="5" borderId="23" xfId="1" applyFont="1" applyFill="1" applyBorder="1" applyAlignment="1">
      <alignment horizontal="center" vertical="center" wrapText="1"/>
    </xf>
    <xf numFmtId="0" fontId="4" fillId="2" borderId="4" xfId="0" applyNumberFormat="1" applyFont="1" applyFill="1" applyBorder="1" applyAlignment="1">
      <alignment horizontal="center" wrapText="1"/>
    </xf>
    <xf numFmtId="0" fontId="4" fillId="2" borderId="5" xfId="0" applyNumberFormat="1" applyFont="1" applyFill="1" applyBorder="1" applyAlignment="1">
      <alignment horizontal="center" wrapText="1"/>
    </xf>
    <xf numFmtId="0" fontId="4" fillId="2" borderId="6" xfId="0" applyNumberFormat="1" applyFont="1" applyFill="1" applyBorder="1" applyAlignment="1">
      <alignment horizontal="center" wrapText="1"/>
    </xf>
    <xf numFmtId="0" fontId="13" fillId="3" borderId="4" xfId="0" applyNumberFormat="1" applyFont="1" applyFill="1" applyBorder="1" applyAlignment="1">
      <alignment horizontal="center" wrapText="1"/>
    </xf>
    <xf numFmtId="0" fontId="13" fillId="3" borderId="5" xfId="0" applyNumberFormat="1" applyFont="1" applyFill="1" applyBorder="1" applyAlignment="1">
      <alignment horizontal="center" wrapText="1"/>
    </xf>
    <xf numFmtId="0" fontId="13" fillId="3" borderId="11" xfId="0" applyNumberFormat="1" applyFont="1" applyFill="1" applyBorder="1" applyAlignment="1">
      <alignment horizontal="center" wrapText="1"/>
    </xf>
    <xf numFmtId="0" fontId="13" fillId="3" borderId="24" xfId="0" applyNumberFormat="1" applyFont="1" applyFill="1" applyBorder="1" applyAlignment="1">
      <alignment horizontal="center" wrapText="1"/>
    </xf>
    <xf numFmtId="0" fontId="13" fillId="3" borderId="18" xfId="0" applyNumberFormat="1" applyFont="1" applyFill="1" applyBorder="1" applyAlignment="1">
      <alignment horizontal="center" wrapText="1"/>
    </xf>
    <xf numFmtId="0" fontId="13" fillId="3" borderId="25" xfId="0" applyNumberFormat="1" applyFont="1" applyFill="1" applyBorder="1" applyAlignment="1">
      <alignment horizontal="center" wrapText="1"/>
    </xf>
    <xf numFmtId="0" fontId="13" fillId="4" borderId="4" xfId="0" applyNumberFormat="1" applyFont="1" applyFill="1" applyBorder="1" applyAlignment="1">
      <alignment horizontal="center" wrapText="1"/>
    </xf>
    <xf numFmtId="0" fontId="13" fillId="4" borderId="5" xfId="0" applyNumberFormat="1" applyFont="1" applyFill="1" applyBorder="1" applyAlignment="1">
      <alignment horizontal="center" wrapText="1"/>
    </xf>
    <xf numFmtId="0" fontId="13" fillId="4" borderId="24" xfId="0" applyNumberFormat="1" applyFont="1" applyFill="1" applyBorder="1" applyAlignment="1">
      <alignment horizontal="center" wrapText="1"/>
    </xf>
    <xf numFmtId="0" fontId="13" fillId="4" borderId="18" xfId="0" applyNumberFormat="1" applyFont="1" applyFill="1" applyBorder="1" applyAlignment="1">
      <alignment horizontal="center" wrapText="1"/>
    </xf>
    <xf numFmtId="0" fontId="13" fillId="4" borderId="25" xfId="0" applyNumberFormat="1" applyFont="1" applyFill="1" applyBorder="1" applyAlignment="1">
      <alignment horizontal="center" wrapText="1"/>
    </xf>
    <xf numFmtId="0" fontId="14" fillId="0" borderId="0" xfId="0" applyFont="1" applyBorder="1" applyAlignment="1">
      <alignment horizontal="center" wrapText="1"/>
    </xf>
    <xf numFmtId="0" fontId="4" fillId="2" borderId="26" xfId="0" applyFont="1" applyFill="1" applyBorder="1" applyAlignment="1">
      <alignment horizontal="right"/>
    </xf>
    <xf numFmtId="0" fontId="4" fillId="2" borderId="24" xfId="0" applyFont="1" applyFill="1" applyBorder="1" applyAlignment="1">
      <alignment horizontal="right"/>
    </xf>
    <xf numFmtId="0" fontId="4" fillId="2" borderId="25" xfId="0" applyFont="1" applyFill="1" applyBorder="1" applyAlignment="1">
      <alignment horizontal="right"/>
    </xf>
    <xf numFmtId="0" fontId="4" fillId="6" borderId="18" xfId="1" applyFont="1" applyFill="1" applyBorder="1" applyAlignment="1">
      <alignment horizontal="right"/>
    </xf>
    <xf numFmtId="0" fontId="4" fillId="6" borderId="20" xfId="1" applyFont="1" applyFill="1" applyBorder="1" applyAlignment="1">
      <alignment horizontal="right"/>
    </xf>
    <xf numFmtId="3" fontId="4" fillId="6" borderId="26" xfId="0" applyNumberFormat="1" applyFont="1" applyFill="1" applyBorder="1"/>
    <xf numFmtId="3" fontId="4" fillId="6" borderId="24" xfId="0" applyNumberFormat="1" applyFont="1" applyFill="1" applyBorder="1"/>
    <xf numFmtId="164" fontId="4" fillId="6" borderId="17" xfId="1" applyNumberFormat="1" applyFont="1" applyFill="1" applyBorder="1" applyAlignment="1">
      <alignment horizontal="right"/>
    </xf>
    <xf numFmtId="3" fontId="4" fillId="7" borderId="26" xfId="0" applyNumberFormat="1" applyFont="1" applyFill="1" applyBorder="1"/>
    <xf numFmtId="3" fontId="4" fillId="7" borderId="24" xfId="0" applyNumberFormat="1" applyFont="1" applyFill="1" applyBorder="1"/>
    <xf numFmtId="164" fontId="4" fillId="7" borderId="25" xfId="1" applyNumberFormat="1" applyFont="1" applyFill="1" applyBorder="1" applyAlignment="1">
      <alignment horizontal="right"/>
    </xf>
    <xf numFmtId="164" fontId="4" fillId="7" borderId="24" xfId="1" applyNumberFormat="1" applyFont="1" applyFill="1" applyBorder="1" applyAlignment="1">
      <alignment horizontal="right"/>
    </xf>
    <xf numFmtId="3" fontId="4" fillId="7" borderId="18" xfId="0" applyNumberFormat="1" applyFont="1" applyFill="1" applyBorder="1"/>
    <xf numFmtId="0" fontId="4" fillId="0" borderId="0" xfId="0" applyFont="1" applyBorder="1"/>
    <xf numFmtId="3" fontId="4" fillId="6" borderId="26" xfId="0" applyNumberFormat="1" applyFont="1" applyFill="1" applyBorder="1" applyAlignment="1">
      <alignment horizontal="right"/>
    </xf>
    <xf numFmtId="3" fontId="4" fillId="6" borderId="24" xfId="0" applyNumberFormat="1" applyFont="1" applyFill="1" applyBorder="1" applyAlignment="1">
      <alignment horizontal="right"/>
    </xf>
    <xf numFmtId="3" fontId="4" fillId="7" borderId="26" xfId="0" applyNumberFormat="1" applyFont="1" applyFill="1" applyBorder="1" applyAlignment="1">
      <alignment horizontal="right"/>
    </xf>
    <xf numFmtId="3" fontId="4" fillId="7" borderId="24" xfId="0" applyNumberFormat="1" applyFont="1" applyFill="1" applyBorder="1" applyAlignment="1">
      <alignment horizontal="right"/>
    </xf>
    <xf numFmtId="0" fontId="4" fillId="0" borderId="0" xfId="0" applyFont="1" applyBorder="1" applyAlignment="1">
      <alignment horizontal="right"/>
    </xf>
    <xf numFmtId="0" fontId="4" fillId="6" borderId="24" xfId="1" applyFont="1" applyFill="1" applyBorder="1" applyAlignment="1">
      <alignment horizontal="right"/>
    </xf>
    <xf numFmtId="0" fontId="4" fillId="6" borderId="25" xfId="1" applyFont="1" applyFill="1" applyBorder="1" applyAlignment="1">
      <alignment horizontal="right"/>
    </xf>
    <xf numFmtId="0" fontId="4" fillId="2" borderId="27" xfId="0" applyFont="1" applyFill="1" applyBorder="1" applyAlignment="1">
      <alignment horizontal="right"/>
    </xf>
    <xf numFmtId="0" fontId="4" fillId="2" borderId="28" xfId="0" applyFont="1" applyFill="1" applyBorder="1" applyAlignment="1">
      <alignment horizontal="right"/>
    </xf>
    <xf numFmtId="0" fontId="4" fillId="2" borderId="29" xfId="0" applyFont="1" applyFill="1" applyBorder="1" applyAlignment="1">
      <alignment horizontal="right"/>
    </xf>
    <xf numFmtId="0" fontId="4" fillId="6" borderId="30" xfId="1" applyFont="1" applyFill="1" applyBorder="1" applyAlignment="1">
      <alignment horizontal="right"/>
    </xf>
    <xf numFmtId="0" fontId="4" fillId="6" borderId="28" xfId="1" applyFont="1" applyFill="1" applyBorder="1" applyAlignment="1">
      <alignment horizontal="right"/>
    </xf>
    <xf numFmtId="0" fontId="4" fillId="6" borderId="29" xfId="1" applyFont="1" applyFill="1" applyBorder="1" applyAlignment="1">
      <alignment horizontal="right"/>
    </xf>
    <xf numFmtId="3" fontId="4" fillId="6" borderId="27" xfId="0" applyNumberFormat="1" applyFont="1" applyFill="1" applyBorder="1"/>
    <xf numFmtId="3" fontId="4" fillId="6" borderId="28" xfId="0" applyNumberFormat="1" applyFont="1" applyFill="1" applyBorder="1"/>
    <xf numFmtId="3" fontId="4" fillId="7" borderId="28" xfId="0" applyNumberFormat="1" applyFont="1" applyFill="1" applyBorder="1"/>
    <xf numFmtId="164" fontId="4" fillId="7" borderId="28" xfId="1" applyNumberFormat="1" applyFont="1" applyFill="1" applyBorder="1" applyAlignment="1">
      <alignment horizontal="right"/>
    </xf>
    <xf numFmtId="0" fontId="10" fillId="0" borderId="0" xfId="0" applyFont="1" applyBorder="1" applyAlignment="1">
      <alignment horizontal="right"/>
    </xf>
    <xf numFmtId="0" fontId="16" fillId="0" borderId="0" xfId="1" applyFont="1" applyFill="1" applyBorder="1" applyAlignment="1">
      <alignment horizontal="left"/>
    </xf>
    <xf numFmtId="0" fontId="11" fillId="0" borderId="0" xfId="0" applyFont="1" applyFill="1" applyBorder="1"/>
    <xf numFmtId="0" fontId="11" fillId="8" borderId="6" xfId="0" applyFont="1" applyFill="1" applyBorder="1" applyAlignment="1">
      <alignment horizontal="right"/>
    </xf>
    <xf numFmtId="3" fontId="11" fillId="8" borderId="31" xfId="0" applyNumberFormat="1" applyFont="1" applyFill="1" applyBorder="1"/>
    <xf numFmtId="164" fontId="11" fillId="8" borderId="17" xfId="1" applyNumberFormat="1" applyFont="1" applyFill="1" applyBorder="1" applyAlignment="1">
      <alignment horizontal="right"/>
    </xf>
    <xf numFmtId="3" fontId="11" fillId="8" borderId="32" xfId="0" applyNumberFormat="1" applyFont="1" applyFill="1" applyBorder="1"/>
    <xf numFmtId="164" fontId="11" fillId="8" borderId="29" xfId="1" applyNumberFormat="1" applyFont="1" applyFill="1" applyBorder="1" applyAlignment="1">
      <alignment horizontal="right"/>
    </xf>
    <xf numFmtId="164" fontId="11" fillId="8" borderId="28" xfId="1" applyNumberFormat="1" applyFont="1" applyFill="1" applyBorder="1" applyAlignment="1">
      <alignment horizontal="right"/>
    </xf>
    <xf numFmtId="3" fontId="11" fillId="8" borderId="33" xfId="0" applyNumberFormat="1" applyFont="1" applyFill="1" applyBorder="1"/>
    <xf numFmtId="3" fontId="11" fillId="8" borderId="34" xfId="0" applyNumberFormat="1" applyFont="1" applyFill="1" applyBorder="1"/>
    <xf numFmtId="164" fontId="11" fillId="8" borderId="31" xfId="1" applyNumberFormat="1" applyFont="1" applyFill="1" applyBorder="1" applyAlignment="1">
      <alignment horizontal="right"/>
    </xf>
    <xf numFmtId="0" fontId="4" fillId="0" borderId="0" xfId="0" applyFont="1" applyFill="1" applyBorder="1"/>
    <xf numFmtId="0" fontId="10" fillId="0" borderId="0" xfId="1" applyFont="1" applyFill="1" applyBorder="1" applyAlignment="1"/>
    <xf numFmtId="3" fontId="4" fillId="0" borderId="0" xfId="1" applyNumberFormat="1" applyFont="1" applyFill="1" applyBorder="1" applyAlignment="1"/>
    <xf numFmtId="164" fontId="4" fillId="6" borderId="24" xfId="1" applyNumberFormat="1" applyFont="1" applyFill="1" applyBorder="1" applyAlignment="1">
      <alignment horizontal="right"/>
    </xf>
    <xf numFmtId="0" fontId="4" fillId="0" borderId="0" xfId="1" applyFont="1" applyFill="1" applyBorder="1" applyAlignment="1">
      <alignment horizontal="center"/>
    </xf>
    <xf numFmtId="164" fontId="10" fillId="9" borderId="24" xfId="1" applyNumberFormat="1" applyFont="1" applyFill="1" applyBorder="1" applyAlignment="1">
      <alignment horizontal="right"/>
    </xf>
    <xf numFmtId="0" fontId="17" fillId="0" borderId="0" xfId="0" applyFont="1" applyBorder="1" applyAlignment="1">
      <alignment horizontal="right"/>
    </xf>
    <xf numFmtId="0" fontId="17" fillId="0" borderId="0" xfId="0" applyFont="1" applyFill="1" applyBorder="1"/>
    <xf numFmtId="0" fontId="17" fillId="0" borderId="0" xfId="1" applyFont="1" applyFill="1" applyBorder="1" applyAlignment="1"/>
    <xf numFmtId="0" fontId="18" fillId="0" borderId="0" xfId="1" applyFont="1" applyFill="1" applyBorder="1" applyAlignment="1"/>
    <xf numFmtId="0" fontId="17" fillId="0" borderId="0" xfId="0" applyFont="1" applyBorder="1"/>
    <xf numFmtId="164" fontId="19" fillId="10" borderId="24" xfId="1" applyNumberFormat="1" applyFont="1" applyFill="1" applyBorder="1" applyAlignment="1">
      <alignment horizontal="right"/>
    </xf>
    <xf numFmtId="164" fontId="10" fillId="11" borderId="24" xfId="1" applyNumberFormat="1" applyFont="1" applyFill="1" applyBorder="1" applyAlignment="1">
      <alignment horizontal="right"/>
    </xf>
    <xf numFmtId="0" fontId="20" fillId="0" borderId="0" xfId="1" applyFont="1" applyFill="1" applyBorder="1" applyAlignment="1"/>
    <xf numFmtId="0" fontId="21" fillId="0" borderId="0" xfId="1" applyFont="1" applyFill="1" applyBorder="1" applyAlignment="1"/>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8" fillId="3" borderId="1" xfId="0" applyFont="1" applyFill="1" applyBorder="1" applyAlignment="1">
      <alignment horizontal="center"/>
    </xf>
    <xf numFmtId="0" fontId="8" fillId="3" borderId="2" xfId="0" applyFont="1" applyFill="1" applyBorder="1" applyAlignment="1">
      <alignment horizontal="center"/>
    </xf>
    <xf numFmtId="0" fontId="8" fillId="3" borderId="3" xfId="0" applyFont="1" applyFill="1" applyBorder="1" applyAlignment="1">
      <alignment horizontal="center"/>
    </xf>
    <xf numFmtId="0" fontId="8" fillId="4" borderId="1" xfId="0" applyFont="1" applyFill="1" applyBorder="1" applyAlignment="1">
      <alignment horizontal="center"/>
    </xf>
    <xf numFmtId="0" fontId="8" fillId="4" borderId="2" xfId="0" applyFont="1" applyFill="1" applyBorder="1" applyAlignment="1">
      <alignment horizontal="center"/>
    </xf>
    <xf numFmtId="0" fontId="10" fillId="2" borderId="4" xfId="0" applyNumberFormat="1" applyFont="1" applyFill="1" applyBorder="1" applyAlignment="1">
      <alignment horizontal="center"/>
    </xf>
    <xf numFmtId="0" fontId="10" fillId="2" borderId="5" xfId="0" applyNumberFormat="1" applyFont="1" applyFill="1" applyBorder="1" applyAlignment="1">
      <alignment horizontal="center"/>
    </xf>
    <xf numFmtId="0" fontId="10" fillId="2" borderId="6" xfId="0" applyNumberFormat="1" applyFont="1" applyFill="1" applyBorder="1" applyAlignment="1">
      <alignment horizontal="center"/>
    </xf>
    <xf numFmtId="0" fontId="11" fillId="3" borderId="7" xfId="0" applyNumberFormat="1" applyFont="1" applyFill="1" applyBorder="1" applyAlignment="1">
      <alignment horizontal="center"/>
    </xf>
    <xf numFmtId="0" fontId="11" fillId="3" borderId="8" xfId="0" applyNumberFormat="1" applyFont="1" applyFill="1" applyBorder="1" applyAlignment="1">
      <alignment horizontal="center"/>
    </xf>
    <xf numFmtId="0" fontId="11" fillId="3" borderId="9" xfId="0" applyNumberFormat="1" applyFont="1" applyFill="1" applyBorder="1" applyAlignment="1">
      <alignment horizontal="center"/>
    </xf>
    <xf numFmtId="0" fontId="11" fillId="3" borderId="10" xfId="0" applyNumberFormat="1" applyFont="1" applyFill="1" applyBorder="1" applyAlignment="1">
      <alignment horizontal="center"/>
    </xf>
    <xf numFmtId="0" fontId="11" fillId="3" borderId="5" xfId="0" applyNumberFormat="1" applyFont="1" applyFill="1" applyBorder="1" applyAlignment="1">
      <alignment horizontal="center"/>
    </xf>
    <xf numFmtId="0" fontId="11" fillId="3" borderId="6" xfId="0" applyNumberFormat="1" applyFont="1" applyFill="1" applyBorder="1" applyAlignment="1">
      <alignment horizontal="center"/>
    </xf>
    <xf numFmtId="0" fontId="11" fillId="3" borderId="4" xfId="0" applyNumberFormat="1" applyFont="1" applyFill="1" applyBorder="1" applyAlignment="1">
      <alignment horizontal="center"/>
    </xf>
    <xf numFmtId="0" fontId="11" fillId="3" borderId="11" xfId="0" applyNumberFormat="1" applyFont="1" applyFill="1" applyBorder="1" applyAlignment="1">
      <alignment horizontal="center"/>
    </xf>
    <xf numFmtId="0" fontId="11" fillId="4" borderId="4" xfId="0" applyNumberFormat="1" applyFont="1" applyFill="1" applyBorder="1" applyAlignment="1">
      <alignment horizontal="center"/>
    </xf>
    <xf numFmtId="0" fontId="11" fillId="4" borderId="5" xfId="0" applyNumberFormat="1" applyFont="1" applyFill="1" applyBorder="1" applyAlignment="1">
      <alignment horizontal="center"/>
    </xf>
    <xf numFmtId="0" fontId="11" fillId="4" borderId="19" xfId="0" applyNumberFormat="1" applyFont="1" applyFill="1" applyBorder="1" applyAlignment="1">
      <alignment horizontal="center"/>
    </xf>
    <xf numFmtId="0" fontId="11" fillId="4" borderId="20" xfId="0" applyNumberFormat="1" applyFont="1" applyFill="1" applyBorder="1" applyAlignment="1">
      <alignment horizontal="center"/>
    </xf>
    <xf numFmtId="0" fontId="11" fillId="4" borderId="17" xfId="0" applyNumberFormat="1" applyFont="1" applyFill="1" applyBorder="1" applyAlignment="1">
      <alignment horizontal="center"/>
    </xf>
    <xf numFmtId="0" fontId="11" fillId="4" borderId="18" xfId="0" applyNumberFormat="1" applyFont="1" applyFill="1" applyBorder="1" applyAlignment="1">
      <alignment horizontal="center"/>
    </xf>
    <xf numFmtId="0" fontId="11" fillId="3" borderId="17" xfId="0" applyNumberFormat="1" applyFont="1" applyFill="1" applyBorder="1" applyAlignment="1">
      <alignment horizontal="center"/>
    </xf>
    <xf numFmtId="0" fontId="11" fillId="3" borderId="18" xfId="0" applyNumberFormat="1" applyFont="1" applyFill="1" applyBorder="1" applyAlignment="1">
      <alignment horizontal="center"/>
    </xf>
    <xf numFmtId="0" fontId="11" fillId="3" borderId="19" xfId="0" applyNumberFormat="1" applyFont="1" applyFill="1" applyBorder="1" applyAlignment="1">
      <alignment horizontal="center"/>
    </xf>
    <xf numFmtId="0" fontId="11" fillId="3" borderId="20" xfId="0" applyNumberFormat="1" applyFont="1" applyFill="1" applyBorder="1" applyAlignment="1">
      <alignment horizontal="center"/>
    </xf>
  </cellXfs>
  <cellStyles count="7">
    <cellStyle name="Comma 2" xfId="2"/>
    <cellStyle name="Normal" xfId="0" builtinId="0"/>
    <cellStyle name="Normal 2" xfId="1"/>
    <cellStyle name="Normal 2 2" xfId="3"/>
    <cellStyle name="Normal 3" xfId="4"/>
    <cellStyle name="Normal 4" xfId="5"/>
    <cellStyle name="Normal 5" xfId="6"/>
  </cellStyles>
  <dxfs count="6">
    <dxf>
      <font>
        <b/>
        <i val="0"/>
        <color auto="1"/>
      </font>
      <fill>
        <patternFill>
          <bgColor rgb="FFFFC000"/>
        </patternFill>
      </fill>
    </dxf>
    <dxf>
      <font>
        <b/>
        <i val="0"/>
        <color rgb="FF663300"/>
      </font>
      <fill>
        <patternFill>
          <bgColor rgb="FFFFFF99"/>
        </patternFill>
      </fill>
    </dxf>
    <dxf>
      <font>
        <b/>
        <i val="0"/>
        <color theme="0"/>
      </font>
      <fill>
        <patternFill>
          <bgColor rgb="FFFF0000"/>
        </patternFill>
      </fill>
    </dxf>
    <dxf>
      <font>
        <b/>
        <i val="0"/>
        <color auto="1"/>
      </font>
      <fill>
        <patternFill>
          <bgColor rgb="FFFFC000"/>
        </patternFill>
      </fill>
    </dxf>
    <dxf>
      <font>
        <b/>
        <i val="0"/>
        <color rgb="FF663300"/>
      </font>
      <fill>
        <patternFill>
          <bgColor rgb="FFFFFF99"/>
        </patternFill>
      </fill>
    </dxf>
    <dxf>
      <font>
        <b/>
        <i val="0"/>
        <color theme="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BF156"/>
  <sheetViews>
    <sheetView showGridLines="0" tabSelected="1" zoomScaleNormal="100" workbookViewId="0">
      <pane xSplit="5" ySplit="5" topLeftCell="F25" activePane="bottomRight" state="frozen"/>
      <selection pane="topRight" activeCell="F1" sqref="F1"/>
      <selection pane="bottomLeft" activeCell="A6" sqref="A6"/>
      <selection pane="bottomRight" activeCell="AG44" sqref="AG44"/>
    </sheetView>
  </sheetViews>
  <sheetFormatPr defaultColWidth="8.85546875" defaultRowHeight="12" x14ac:dyDescent="0.2"/>
  <cols>
    <col min="1" max="1" width="8.85546875" style="93" customWidth="1"/>
    <col min="2" max="3" width="8.85546875" style="93" hidden="1" customWidth="1"/>
    <col min="4" max="4" width="10.7109375" style="93" hidden="1" customWidth="1"/>
    <col min="5" max="5" width="33.7109375" style="97" customWidth="1"/>
    <col min="6" max="6" width="17.28515625" style="100" customWidth="1"/>
    <col min="7" max="7" width="15.140625" style="100" customWidth="1"/>
    <col min="8" max="8" width="17" style="101" customWidth="1"/>
    <col min="9" max="9" width="17" style="5" customWidth="1"/>
    <col min="10" max="10" width="8.85546875" style="97"/>
    <col min="11" max="11" width="9.85546875" style="97" customWidth="1"/>
    <col min="12" max="12" width="9.140625" style="97" bestFit="1" customWidth="1"/>
    <col min="13" max="15" width="8.85546875" style="97"/>
    <col min="16" max="17" width="9.5703125" style="97" customWidth="1"/>
    <col min="18" max="19" width="8.85546875" style="97"/>
    <col min="20" max="20" width="8.85546875" style="97" customWidth="1"/>
    <col min="21" max="22" width="9.28515625" style="97" customWidth="1"/>
    <col min="23" max="25" width="8.85546875" style="97" customWidth="1"/>
    <col min="26" max="27" width="9.28515625" style="97" customWidth="1"/>
    <col min="28" max="29" width="8.85546875" style="97" customWidth="1"/>
    <col min="30" max="30" width="8.85546875" style="97"/>
    <col min="31" max="31" width="9.28515625" style="97" customWidth="1"/>
    <col min="32" max="32" width="9.5703125" style="97" customWidth="1"/>
    <col min="33" max="33" width="10" style="97" customWidth="1"/>
    <col min="34" max="34" width="8.85546875" style="97"/>
    <col min="35" max="35" width="10" style="97" customWidth="1"/>
    <col min="36" max="36" width="8.85546875" style="97"/>
    <col min="37" max="57" width="10.140625" style="97" customWidth="1"/>
    <col min="58" max="16384" width="8.85546875" style="97"/>
  </cols>
  <sheetData>
    <row r="1" spans="1:58" s="3" customFormat="1" ht="12.75" thickBot="1" x14ac:dyDescent="0.25">
      <c r="A1" s="1" t="s">
        <v>0</v>
      </c>
      <c r="B1" s="2"/>
      <c r="C1" s="2"/>
      <c r="D1" s="2"/>
      <c r="F1" s="4"/>
      <c r="G1" s="4"/>
      <c r="H1" s="5"/>
      <c r="I1" s="5"/>
      <c r="T1" s="6"/>
      <c r="U1" s="6"/>
      <c r="Y1" s="6"/>
      <c r="Z1" s="6"/>
      <c r="AD1" s="6"/>
      <c r="AE1" s="6"/>
      <c r="AK1" s="6"/>
      <c r="AL1" s="6"/>
      <c r="AM1" s="6"/>
      <c r="AR1" s="6"/>
      <c r="AS1" s="6"/>
      <c r="AT1" s="6"/>
      <c r="AY1" s="6"/>
      <c r="AZ1" s="6"/>
      <c r="BA1" s="6"/>
    </row>
    <row r="2" spans="1:58" s="3" customFormat="1" ht="16.5" thickBot="1" x14ac:dyDescent="0.3">
      <c r="A2" s="7" t="s">
        <v>918</v>
      </c>
      <c r="B2" s="2"/>
      <c r="C2" s="2"/>
      <c r="D2" s="2"/>
      <c r="F2" s="4"/>
      <c r="G2" s="4"/>
      <c r="H2" s="5"/>
      <c r="I2" s="5"/>
      <c r="J2" s="102" t="s">
        <v>1</v>
      </c>
      <c r="K2" s="103"/>
      <c r="L2" s="103"/>
      <c r="M2" s="103"/>
      <c r="N2" s="104"/>
      <c r="O2" s="105" t="s">
        <v>2</v>
      </c>
      <c r="P2" s="106"/>
      <c r="Q2" s="106"/>
      <c r="R2" s="106"/>
      <c r="S2" s="106"/>
      <c r="T2" s="106"/>
      <c r="U2" s="106"/>
      <c r="V2" s="106"/>
      <c r="W2" s="106"/>
      <c r="X2" s="106"/>
      <c r="Y2" s="106"/>
      <c r="Z2" s="106"/>
      <c r="AA2" s="106"/>
      <c r="AB2" s="106"/>
      <c r="AC2" s="106"/>
      <c r="AD2" s="106"/>
      <c r="AE2" s="106"/>
      <c r="AF2" s="106"/>
      <c r="AG2" s="106"/>
      <c r="AH2" s="106"/>
      <c r="AI2" s="106"/>
      <c r="AJ2" s="107"/>
      <c r="AK2" s="108" t="s">
        <v>3</v>
      </c>
      <c r="AL2" s="109"/>
      <c r="AM2" s="109"/>
      <c r="AN2" s="109"/>
      <c r="AO2" s="109"/>
      <c r="AP2" s="109"/>
      <c r="AQ2" s="109"/>
      <c r="AR2" s="109"/>
      <c r="AS2" s="109"/>
      <c r="AT2" s="109"/>
      <c r="AU2" s="109"/>
      <c r="AV2" s="109"/>
      <c r="AW2" s="109"/>
      <c r="AX2" s="109"/>
      <c r="AY2" s="109"/>
      <c r="AZ2" s="109"/>
      <c r="BA2" s="109"/>
      <c r="BB2" s="109"/>
      <c r="BC2" s="109"/>
      <c r="BD2" s="109"/>
      <c r="BE2" s="109"/>
    </row>
    <row r="3" spans="1:58" s="9" customFormat="1" ht="12.75" x14ac:dyDescent="0.2">
      <c r="A3" s="1" t="s">
        <v>4</v>
      </c>
      <c r="B3" s="8"/>
      <c r="C3" s="8"/>
      <c r="D3" s="8"/>
      <c r="I3" s="10"/>
      <c r="J3" s="110">
        <v>2011</v>
      </c>
      <c r="K3" s="111"/>
      <c r="L3" s="111"/>
      <c r="M3" s="111"/>
      <c r="N3" s="112"/>
      <c r="O3" s="113">
        <v>2012</v>
      </c>
      <c r="P3" s="114"/>
      <c r="Q3" s="114"/>
      <c r="R3" s="114"/>
      <c r="S3" s="115"/>
      <c r="T3" s="113">
        <v>2020</v>
      </c>
      <c r="U3" s="114"/>
      <c r="V3" s="114"/>
      <c r="W3" s="114"/>
      <c r="X3" s="115"/>
      <c r="Y3" s="116">
        <v>2025</v>
      </c>
      <c r="Z3" s="117"/>
      <c r="AA3" s="117"/>
      <c r="AB3" s="117"/>
      <c r="AC3" s="118"/>
      <c r="AD3" s="119">
        <v>2030</v>
      </c>
      <c r="AE3" s="117"/>
      <c r="AF3" s="117"/>
      <c r="AG3" s="117"/>
      <c r="AH3" s="117"/>
      <c r="AI3" s="117"/>
      <c r="AJ3" s="120"/>
      <c r="AK3" s="121">
        <v>2040</v>
      </c>
      <c r="AL3" s="122"/>
      <c r="AM3" s="122"/>
      <c r="AN3" s="122"/>
      <c r="AO3" s="122"/>
      <c r="AP3" s="122"/>
      <c r="AQ3" s="122"/>
      <c r="AR3" s="121">
        <v>2050</v>
      </c>
      <c r="AS3" s="122"/>
      <c r="AT3" s="122"/>
      <c r="AU3" s="122"/>
      <c r="AV3" s="122"/>
      <c r="AW3" s="122"/>
      <c r="AX3" s="122"/>
      <c r="AY3" s="121">
        <v>2060</v>
      </c>
      <c r="AZ3" s="122"/>
      <c r="BA3" s="122"/>
      <c r="BB3" s="122"/>
      <c r="BC3" s="122"/>
      <c r="BD3" s="122"/>
      <c r="BE3" s="122"/>
      <c r="BF3" s="10"/>
    </row>
    <row r="4" spans="1:58" s="12" customFormat="1" ht="14.45" customHeight="1" thickBot="1" x14ac:dyDescent="0.25">
      <c r="A4" s="11"/>
      <c r="B4" s="11"/>
      <c r="C4" s="11"/>
      <c r="D4" s="11"/>
      <c r="I4" s="10"/>
      <c r="J4" s="13"/>
      <c r="K4" s="14"/>
      <c r="L4" s="14"/>
      <c r="M4" s="14"/>
      <c r="N4" s="15"/>
      <c r="O4" s="16"/>
      <c r="P4" s="17"/>
      <c r="Q4" s="17"/>
      <c r="R4" s="17"/>
      <c r="S4" s="18"/>
      <c r="T4" s="16"/>
      <c r="U4" s="17"/>
      <c r="V4" s="17"/>
      <c r="W4" s="17"/>
      <c r="X4" s="18"/>
      <c r="Y4" s="19"/>
      <c r="Z4" s="17"/>
      <c r="AA4" s="17"/>
      <c r="AB4" s="17"/>
      <c r="AC4" s="20"/>
      <c r="AD4" s="16"/>
      <c r="AE4" s="17"/>
      <c r="AF4" s="17"/>
      <c r="AG4" s="127" t="s">
        <v>5</v>
      </c>
      <c r="AH4" s="128"/>
      <c r="AI4" s="129" t="s">
        <v>6</v>
      </c>
      <c r="AJ4" s="130"/>
      <c r="AK4" s="21"/>
      <c r="AL4" s="22"/>
      <c r="AM4" s="22"/>
      <c r="AN4" s="125" t="s">
        <v>5</v>
      </c>
      <c r="AO4" s="126"/>
      <c r="AP4" s="123" t="s">
        <v>6</v>
      </c>
      <c r="AQ4" s="124"/>
      <c r="AR4" s="21"/>
      <c r="AS4" s="22"/>
      <c r="AT4" s="22"/>
      <c r="AU4" s="125" t="s">
        <v>5</v>
      </c>
      <c r="AV4" s="126"/>
      <c r="AW4" s="123" t="s">
        <v>6</v>
      </c>
      <c r="AX4" s="124"/>
      <c r="AY4" s="21"/>
      <c r="AZ4" s="22"/>
      <c r="BA4" s="22"/>
      <c r="BB4" s="125" t="s">
        <v>5</v>
      </c>
      <c r="BC4" s="126"/>
      <c r="BD4" s="123" t="s">
        <v>6</v>
      </c>
      <c r="BE4" s="124"/>
      <c r="BF4" s="10"/>
    </row>
    <row r="5" spans="1:58" s="43" customFormat="1" ht="31.15" customHeight="1" x14ac:dyDescent="0.2">
      <c r="A5" s="23" t="s">
        <v>7</v>
      </c>
      <c r="B5" s="24" t="s">
        <v>8</v>
      </c>
      <c r="C5" s="24" t="s">
        <v>9</v>
      </c>
      <c r="D5" s="25" t="s">
        <v>10</v>
      </c>
      <c r="E5" s="26" t="s">
        <v>11</v>
      </c>
      <c r="F5" s="27" t="s">
        <v>12</v>
      </c>
      <c r="G5" s="27" t="s">
        <v>13</v>
      </c>
      <c r="H5" s="28" t="s">
        <v>14</v>
      </c>
      <c r="I5" s="28" t="s">
        <v>15</v>
      </c>
      <c r="J5" s="29" t="s">
        <v>16</v>
      </c>
      <c r="K5" s="30" t="s">
        <v>17</v>
      </c>
      <c r="L5" s="30" t="s">
        <v>18</v>
      </c>
      <c r="M5" s="30" t="s">
        <v>19</v>
      </c>
      <c r="N5" s="31" t="s">
        <v>20</v>
      </c>
      <c r="O5" s="32" t="s">
        <v>16</v>
      </c>
      <c r="P5" s="33" t="s">
        <v>17</v>
      </c>
      <c r="Q5" s="33" t="s">
        <v>18</v>
      </c>
      <c r="R5" s="33" t="s">
        <v>19</v>
      </c>
      <c r="S5" s="34" t="s">
        <v>20</v>
      </c>
      <c r="T5" s="32" t="s">
        <v>16</v>
      </c>
      <c r="U5" s="33" t="s">
        <v>17</v>
      </c>
      <c r="V5" s="33" t="s">
        <v>18</v>
      </c>
      <c r="W5" s="33" t="s">
        <v>19</v>
      </c>
      <c r="X5" s="34" t="s">
        <v>20</v>
      </c>
      <c r="Y5" s="32" t="s">
        <v>16</v>
      </c>
      <c r="Z5" s="33" t="s">
        <v>17</v>
      </c>
      <c r="AA5" s="33" t="s">
        <v>18</v>
      </c>
      <c r="AB5" s="33" t="s">
        <v>19</v>
      </c>
      <c r="AC5" s="34" t="s">
        <v>20</v>
      </c>
      <c r="AD5" s="32" t="s">
        <v>16</v>
      </c>
      <c r="AE5" s="33" t="s">
        <v>17</v>
      </c>
      <c r="AF5" s="33" t="s">
        <v>18</v>
      </c>
      <c r="AG5" s="35" t="s">
        <v>19</v>
      </c>
      <c r="AH5" s="35" t="s">
        <v>20</v>
      </c>
      <c r="AI5" s="36" t="s">
        <v>21</v>
      </c>
      <c r="AJ5" s="37" t="s">
        <v>20</v>
      </c>
      <c r="AK5" s="38" t="s">
        <v>16</v>
      </c>
      <c r="AL5" s="39" t="s">
        <v>17</v>
      </c>
      <c r="AM5" s="39" t="s">
        <v>18</v>
      </c>
      <c r="AN5" s="40" t="s">
        <v>19</v>
      </c>
      <c r="AO5" s="40" t="s">
        <v>20</v>
      </c>
      <c r="AP5" s="41" t="s">
        <v>21</v>
      </c>
      <c r="AQ5" s="42" t="s">
        <v>20</v>
      </c>
      <c r="AR5" s="38" t="s">
        <v>16</v>
      </c>
      <c r="AS5" s="39" t="s">
        <v>17</v>
      </c>
      <c r="AT5" s="39" t="s">
        <v>18</v>
      </c>
      <c r="AU5" s="40" t="s">
        <v>19</v>
      </c>
      <c r="AV5" s="40" t="s">
        <v>20</v>
      </c>
      <c r="AW5" s="41" t="s">
        <v>21</v>
      </c>
      <c r="AX5" s="42" t="s">
        <v>20</v>
      </c>
      <c r="AY5" s="38" t="s">
        <v>16</v>
      </c>
      <c r="AZ5" s="39" t="s">
        <v>17</v>
      </c>
      <c r="BA5" s="39" t="s">
        <v>18</v>
      </c>
      <c r="BB5" s="40" t="s">
        <v>19</v>
      </c>
      <c r="BC5" s="40" t="s">
        <v>20</v>
      </c>
      <c r="BD5" s="41" t="s">
        <v>21</v>
      </c>
      <c r="BE5" s="42" t="s">
        <v>20</v>
      </c>
    </row>
    <row r="6" spans="1:58" s="57" customFormat="1" ht="11.25" x14ac:dyDescent="0.2">
      <c r="A6" s="44" t="s">
        <v>22</v>
      </c>
      <c r="B6" s="45" t="s">
        <v>23</v>
      </c>
      <c r="C6" s="45" t="s">
        <v>24</v>
      </c>
      <c r="D6" s="46" t="s">
        <v>25</v>
      </c>
      <c r="E6" s="47" t="s">
        <v>26</v>
      </c>
      <c r="F6" s="47" t="s">
        <v>27</v>
      </c>
      <c r="G6" s="47" t="s">
        <v>28</v>
      </c>
      <c r="H6" s="48" t="s">
        <v>29</v>
      </c>
      <c r="I6" s="48" t="s">
        <v>30</v>
      </c>
      <c r="J6" s="49">
        <v>11792</v>
      </c>
      <c r="K6" s="50">
        <v>0</v>
      </c>
      <c r="L6" s="50">
        <f>J6+K6</f>
        <v>11792</v>
      </c>
      <c r="M6" s="50">
        <v>195500</v>
      </c>
      <c r="N6" s="51">
        <f>L6/M6</f>
        <v>6.0317135549872121E-2</v>
      </c>
      <c r="O6" s="52">
        <v>12063</v>
      </c>
      <c r="P6" s="53">
        <v>0</v>
      </c>
      <c r="Q6" s="53">
        <f>P6+O6</f>
        <v>12063</v>
      </c>
      <c r="R6" s="53">
        <v>195500</v>
      </c>
      <c r="S6" s="54">
        <f>Q6/R6</f>
        <v>6.1703324808184142E-2</v>
      </c>
      <c r="T6" s="52">
        <v>14470</v>
      </c>
      <c r="U6" s="53">
        <v>0</v>
      </c>
      <c r="V6" s="53">
        <f>U6+T6</f>
        <v>14470</v>
      </c>
      <c r="W6" s="53">
        <v>195500</v>
      </c>
      <c r="X6" s="54">
        <f>V6/W6</f>
        <v>7.4015345268542199E-2</v>
      </c>
      <c r="Y6" s="52">
        <v>16213</v>
      </c>
      <c r="Z6" s="53">
        <v>0</v>
      </c>
      <c r="AA6" s="53">
        <f>Z6+Y6</f>
        <v>16213</v>
      </c>
      <c r="AB6" s="53">
        <v>195500</v>
      </c>
      <c r="AC6" s="54">
        <f>AA6/AB6</f>
        <v>8.2930946291560101E-2</v>
      </c>
      <c r="AD6" s="52">
        <v>18165</v>
      </c>
      <c r="AE6" s="53">
        <v>0</v>
      </c>
      <c r="AF6" s="53">
        <f>AE6+AD6</f>
        <v>18165</v>
      </c>
      <c r="AG6" s="53">
        <v>195500</v>
      </c>
      <c r="AH6" s="55">
        <f>AF6/AG6</f>
        <v>9.2915601023017907E-2</v>
      </c>
      <c r="AI6" s="56">
        <v>195500</v>
      </c>
      <c r="AJ6" s="54">
        <f>AF6/AI6</f>
        <v>9.2915601023017907E-2</v>
      </c>
      <c r="AK6" s="52">
        <v>22125.100119825278</v>
      </c>
      <c r="AL6" s="53">
        <v>0</v>
      </c>
      <c r="AM6" s="53">
        <f>AL6+AK6</f>
        <v>22125.100119825278</v>
      </c>
      <c r="AN6" s="53">
        <v>195500</v>
      </c>
      <c r="AO6" s="55">
        <f>AM6/AN6</f>
        <v>0.11317186762058966</v>
      </c>
      <c r="AP6" s="53">
        <v>195500</v>
      </c>
      <c r="AQ6" s="54">
        <f>AM6/AP6</f>
        <v>0.11317186762058966</v>
      </c>
      <c r="AR6" s="52">
        <v>26948.530432826454</v>
      </c>
      <c r="AS6" s="53">
        <v>0</v>
      </c>
      <c r="AT6" s="53">
        <f>AS6+AR6</f>
        <v>26948.530432826454</v>
      </c>
      <c r="AU6" s="53">
        <v>195500</v>
      </c>
      <c r="AV6" s="55">
        <f>AT6/AU6</f>
        <v>0.13784414543645246</v>
      </c>
      <c r="AW6" s="53">
        <v>195500</v>
      </c>
      <c r="AX6" s="55">
        <f>AT6/AW6</f>
        <v>0.13784414543645246</v>
      </c>
      <c r="AY6" s="52">
        <v>32492.189179517238</v>
      </c>
      <c r="AZ6" s="53">
        <v>0</v>
      </c>
      <c r="BA6" s="53">
        <f>AZ6+AY6</f>
        <v>32492.189179517238</v>
      </c>
      <c r="BB6" s="53">
        <v>195500</v>
      </c>
      <c r="BC6" s="55">
        <f>BA6/BB6</f>
        <v>0.16620045616121348</v>
      </c>
      <c r="BD6" s="53">
        <v>195500</v>
      </c>
      <c r="BE6" s="55">
        <f>BA6/BD6</f>
        <v>0.16620045616121348</v>
      </c>
    </row>
    <row r="7" spans="1:58" s="57" customFormat="1" ht="11.25" x14ac:dyDescent="0.2">
      <c r="A7" s="44" t="s">
        <v>31</v>
      </c>
      <c r="B7" s="45" t="s">
        <v>32</v>
      </c>
      <c r="C7" s="45" t="s">
        <v>33</v>
      </c>
      <c r="D7" s="46" t="s">
        <v>34</v>
      </c>
      <c r="E7" s="47" t="s">
        <v>35</v>
      </c>
      <c r="F7" s="47" t="s">
        <v>36</v>
      </c>
      <c r="G7" s="47" t="s">
        <v>37</v>
      </c>
      <c r="H7" s="48" t="s">
        <v>29</v>
      </c>
      <c r="I7" s="48" t="s">
        <v>38</v>
      </c>
      <c r="J7" s="49">
        <v>8160</v>
      </c>
      <c r="K7" s="50">
        <v>0</v>
      </c>
      <c r="L7" s="50">
        <f t="shared" ref="L7:L70" si="0">J7+K7</f>
        <v>8160</v>
      </c>
      <c r="M7" s="50">
        <v>126500</v>
      </c>
      <c r="N7" s="51">
        <f t="shared" ref="N7:N22" si="1">L7/M7</f>
        <v>6.4505928853754946E-2</v>
      </c>
      <c r="O7" s="52">
        <v>8323</v>
      </c>
      <c r="P7" s="53">
        <v>0</v>
      </c>
      <c r="Q7" s="53">
        <f t="shared" ref="Q7:Q70" si="2">P7+O7</f>
        <v>8323</v>
      </c>
      <c r="R7" s="53">
        <v>126500</v>
      </c>
      <c r="S7" s="54">
        <f t="shared" ref="S7:S22" si="3">Q7/R7</f>
        <v>6.5794466403162055E-2</v>
      </c>
      <c r="T7" s="52">
        <v>9752</v>
      </c>
      <c r="U7" s="53">
        <v>0</v>
      </c>
      <c r="V7" s="53">
        <f t="shared" ref="V7:V70" si="4">U7+T7</f>
        <v>9752</v>
      </c>
      <c r="W7" s="53">
        <v>126500</v>
      </c>
      <c r="X7" s="54">
        <f t="shared" ref="X7:X22" si="5">V7/W7</f>
        <v>7.7090909090909085E-2</v>
      </c>
      <c r="Y7" s="52">
        <v>10767</v>
      </c>
      <c r="Z7" s="53">
        <v>0</v>
      </c>
      <c r="AA7" s="53">
        <f t="shared" ref="AA7:AA70" si="6">Z7+Y7</f>
        <v>10767</v>
      </c>
      <c r="AB7" s="53">
        <v>126500</v>
      </c>
      <c r="AC7" s="54">
        <f t="shared" ref="AC7:AC22" si="7">AA7/AB7</f>
        <v>8.5114624505928854E-2</v>
      </c>
      <c r="AD7" s="52">
        <v>11888</v>
      </c>
      <c r="AE7" s="53">
        <v>0</v>
      </c>
      <c r="AF7" s="53">
        <f t="shared" ref="AF7:AF70" si="8">AE7+AD7</f>
        <v>11888</v>
      </c>
      <c r="AG7" s="53">
        <v>126500</v>
      </c>
      <c r="AH7" s="55">
        <f t="shared" ref="AH7:AH70" si="9">AF7/AG7</f>
        <v>9.3976284584980238E-2</v>
      </c>
      <c r="AI7" s="56">
        <v>126500</v>
      </c>
      <c r="AJ7" s="54">
        <f t="shared" ref="AJ7:AJ22" si="10">AF7/AI7</f>
        <v>9.3976284584980238E-2</v>
      </c>
      <c r="AK7" s="52">
        <v>13777.099535563308</v>
      </c>
      <c r="AL7" s="53">
        <v>0</v>
      </c>
      <c r="AM7" s="53">
        <f t="shared" ref="AM7:AM70" si="11">AL7+AK7</f>
        <v>13777.099535563308</v>
      </c>
      <c r="AN7" s="53">
        <v>126500</v>
      </c>
      <c r="AO7" s="55">
        <f t="shared" ref="AO7:AO70" si="12">AM7/AN7</f>
        <v>0.1089098777514886</v>
      </c>
      <c r="AP7" s="53">
        <v>126500</v>
      </c>
      <c r="AQ7" s="54">
        <f t="shared" ref="AQ7:AQ70" si="13">AM7/AP7</f>
        <v>0.1089098777514886</v>
      </c>
      <c r="AR7" s="52">
        <v>15966.392295829297</v>
      </c>
      <c r="AS7" s="53">
        <v>0</v>
      </c>
      <c r="AT7" s="53">
        <f t="shared" ref="AT7:AT70" si="14">AS7+AR7</f>
        <v>15966.392295829297</v>
      </c>
      <c r="AU7" s="53">
        <v>126500</v>
      </c>
      <c r="AV7" s="55">
        <f t="shared" ref="AV7:AV70" si="15">AT7/AU7</f>
        <v>0.12621653988797862</v>
      </c>
      <c r="AW7" s="53">
        <v>126500</v>
      </c>
      <c r="AX7" s="55">
        <f t="shared" ref="AX7:AX70" si="16">AT7/AW7</f>
        <v>0.12621653988797862</v>
      </c>
      <c r="AY7" s="52">
        <v>18183.34337159853</v>
      </c>
      <c r="AZ7" s="53">
        <v>0</v>
      </c>
      <c r="BA7" s="53">
        <f t="shared" ref="BA7:BA70" si="17">AZ7+AY7</f>
        <v>18183.34337159853</v>
      </c>
      <c r="BB7" s="53">
        <v>126500</v>
      </c>
      <c r="BC7" s="55">
        <f t="shared" ref="BC7:BC70" si="18">BA7/BB7</f>
        <v>0.14374184483477098</v>
      </c>
      <c r="BD7" s="53">
        <v>126500</v>
      </c>
      <c r="BE7" s="55">
        <f t="shared" ref="BE7:BE70" si="19">BA7/BD7</f>
        <v>0.14374184483477098</v>
      </c>
    </row>
    <row r="8" spans="1:58" s="57" customFormat="1" ht="11.25" x14ac:dyDescent="0.2">
      <c r="A8" s="44" t="s">
        <v>39</v>
      </c>
      <c r="B8" s="45" t="s">
        <v>40</v>
      </c>
      <c r="C8" s="45" t="s">
        <v>41</v>
      </c>
      <c r="D8" s="46" t="s">
        <v>42</v>
      </c>
      <c r="E8" s="47" t="s">
        <v>43</v>
      </c>
      <c r="F8" s="47" t="s">
        <v>44</v>
      </c>
      <c r="G8" s="47" t="s">
        <v>45</v>
      </c>
      <c r="H8" s="48" t="s">
        <v>46</v>
      </c>
      <c r="I8" s="48" t="s">
        <v>47</v>
      </c>
      <c r="J8" s="49">
        <v>82045</v>
      </c>
      <c r="K8" s="50">
        <v>0</v>
      </c>
      <c r="L8" s="50">
        <f t="shared" si="0"/>
        <v>82045</v>
      </c>
      <c r="M8" s="50">
        <v>218500</v>
      </c>
      <c r="N8" s="51">
        <f t="shared" si="1"/>
        <v>0.37549199084668194</v>
      </c>
      <c r="O8" s="52">
        <v>82955</v>
      </c>
      <c r="P8" s="53">
        <v>0</v>
      </c>
      <c r="Q8" s="53">
        <f t="shared" si="2"/>
        <v>82955</v>
      </c>
      <c r="R8" s="53">
        <v>218500</v>
      </c>
      <c r="S8" s="54">
        <f t="shared" si="3"/>
        <v>0.37965675057208237</v>
      </c>
      <c r="T8" s="52">
        <v>90614</v>
      </c>
      <c r="U8" s="53">
        <v>0</v>
      </c>
      <c r="V8" s="53">
        <f t="shared" si="4"/>
        <v>90614</v>
      </c>
      <c r="W8" s="53">
        <v>218500</v>
      </c>
      <c r="X8" s="54">
        <f t="shared" si="5"/>
        <v>0.41470938215102976</v>
      </c>
      <c r="Y8" s="52">
        <v>95756</v>
      </c>
      <c r="Z8" s="53">
        <v>0</v>
      </c>
      <c r="AA8" s="53">
        <f t="shared" si="6"/>
        <v>95756</v>
      </c>
      <c r="AB8" s="53">
        <v>218500</v>
      </c>
      <c r="AC8" s="54">
        <f t="shared" si="7"/>
        <v>0.43824256292906177</v>
      </c>
      <c r="AD8" s="52">
        <v>101190</v>
      </c>
      <c r="AE8" s="53">
        <v>0</v>
      </c>
      <c r="AF8" s="53">
        <f t="shared" si="8"/>
        <v>101190</v>
      </c>
      <c r="AG8" s="53">
        <v>218500</v>
      </c>
      <c r="AH8" s="55">
        <f t="shared" si="9"/>
        <v>0.46311212814645308</v>
      </c>
      <c r="AI8" s="56">
        <v>218500</v>
      </c>
      <c r="AJ8" s="54">
        <f t="shared" si="10"/>
        <v>0.46311212814645308</v>
      </c>
      <c r="AK8" s="52">
        <v>105851.17054159484</v>
      </c>
      <c r="AL8" s="53">
        <v>0</v>
      </c>
      <c r="AM8" s="53">
        <f t="shared" si="11"/>
        <v>105851.17054159484</v>
      </c>
      <c r="AN8" s="53">
        <v>218500</v>
      </c>
      <c r="AO8" s="55">
        <f t="shared" si="12"/>
        <v>0.48444471643750497</v>
      </c>
      <c r="AP8" s="53">
        <v>218500</v>
      </c>
      <c r="AQ8" s="54">
        <f t="shared" si="13"/>
        <v>0.48444471643750497</v>
      </c>
      <c r="AR8" s="52">
        <v>110727.05114167203</v>
      </c>
      <c r="AS8" s="53">
        <v>0</v>
      </c>
      <c r="AT8" s="53">
        <f t="shared" si="14"/>
        <v>110727.05114167203</v>
      </c>
      <c r="AU8" s="53">
        <v>218500</v>
      </c>
      <c r="AV8" s="55">
        <f t="shared" si="15"/>
        <v>0.5067599594584532</v>
      </c>
      <c r="AW8" s="53">
        <v>218500</v>
      </c>
      <c r="AX8" s="55">
        <f t="shared" si="16"/>
        <v>0.5067599594584532</v>
      </c>
      <c r="AY8" s="52">
        <v>110727.05114164016</v>
      </c>
      <c r="AZ8" s="53">
        <v>0</v>
      </c>
      <c r="BA8" s="53">
        <f t="shared" si="17"/>
        <v>110727.05114164016</v>
      </c>
      <c r="BB8" s="53">
        <v>218500</v>
      </c>
      <c r="BC8" s="55">
        <f t="shared" si="18"/>
        <v>0.50675995945830732</v>
      </c>
      <c r="BD8" s="53">
        <v>218500</v>
      </c>
      <c r="BE8" s="55">
        <f t="shared" si="19"/>
        <v>0.50675995945830732</v>
      </c>
    </row>
    <row r="9" spans="1:58" s="57" customFormat="1" ht="11.25" x14ac:dyDescent="0.2">
      <c r="A9" s="44" t="s">
        <v>48</v>
      </c>
      <c r="B9" s="45" t="s">
        <v>49</v>
      </c>
      <c r="C9" s="45" t="s">
        <v>50</v>
      </c>
      <c r="D9" s="46" t="s">
        <v>51</v>
      </c>
      <c r="E9" s="47" t="s">
        <v>52</v>
      </c>
      <c r="F9" s="47" t="s">
        <v>53</v>
      </c>
      <c r="G9" s="47" t="s">
        <v>54</v>
      </c>
      <c r="H9" s="48" t="s">
        <v>55</v>
      </c>
      <c r="I9" s="48" t="s">
        <v>56</v>
      </c>
      <c r="J9" s="49">
        <v>24680</v>
      </c>
      <c r="K9" s="50">
        <v>0</v>
      </c>
      <c r="L9" s="50">
        <f t="shared" si="0"/>
        <v>24680</v>
      </c>
      <c r="M9" s="50">
        <v>301750</v>
      </c>
      <c r="N9" s="51">
        <f t="shared" si="1"/>
        <v>8.1789560894780441E-2</v>
      </c>
      <c r="O9" s="52">
        <v>24988</v>
      </c>
      <c r="P9" s="53">
        <v>0</v>
      </c>
      <c r="Q9" s="53">
        <f t="shared" si="2"/>
        <v>24988</v>
      </c>
      <c r="R9" s="53">
        <v>301750</v>
      </c>
      <c r="S9" s="54">
        <f t="shared" si="3"/>
        <v>8.2810273405136706E-2</v>
      </c>
      <c r="T9" s="52">
        <v>27599</v>
      </c>
      <c r="U9" s="53">
        <v>0</v>
      </c>
      <c r="V9" s="53">
        <f t="shared" si="4"/>
        <v>27599</v>
      </c>
      <c r="W9" s="53">
        <v>301750</v>
      </c>
      <c r="X9" s="54">
        <f t="shared" si="5"/>
        <v>9.1463131731565867E-2</v>
      </c>
      <c r="Y9" s="52">
        <v>29368</v>
      </c>
      <c r="Z9" s="53">
        <v>0</v>
      </c>
      <c r="AA9" s="53">
        <f t="shared" si="6"/>
        <v>29368</v>
      </c>
      <c r="AB9" s="53">
        <v>301750</v>
      </c>
      <c r="AC9" s="54">
        <f t="shared" si="7"/>
        <v>9.7325600662800327E-2</v>
      </c>
      <c r="AD9" s="52">
        <v>31250</v>
      </c>
      <c r="AE9" s="53">
        <v>0</v>
      </c>
      <c r="AF9" s="53">
        <f t="shared" si="8"/>
        <v>31250</v>
      </c>
      <c r="AG9" s="53">
        <v>301750</v>
      </c>
      <c r="AH9" s="55">
        <f t="shared" si="9"/>
        <v>0.10356255178127589</v>
      </c>
      <c r="AI9" s="56">
        <v>319500</v>
      </c>
      <c r="AJ9" s="54">
        <f t="shared" si="10"/>
        <v>9.7809076682316115E-2</v>
      </c>
      <c r="AK9" s="52">
        <v>33806.357495124983</v>
      </c>
      <c r="AL9" s="53">
        <v>0</v>
      </c>
      <c r="AM9" s="53">
        <f t="shared" si="11"/>
        <v>33806.357495124983</v>
      </c>
      <c r="AN9" s="53">
        <v>301750</v>
      </c>
      <c r="AO9" s="55">
        <f t="shared" si="12"/>
        <v>0.11203432475600657</v>
      </c>
      <c r="AP9" s="53">
        <v>319500</v>
      </c>
      <c r="AQ9" s="54">
        <f t="shared" si="13"/>
        <v>0.10581019560289509</v>
      </c>
      <c r="AR9" s="52">
        <v>36571.833826822171</v>
      </c>
      <c r="AS9" s="53">
        <v>0</v>
      </c>
      <c r="AT9" s="53">
        <f t="shared" si="14"/>
        <v>36571.833826822171</v>
      </c>
      <c r="AU9" s="53">
        <v>301750</v>
      </c>
      <c r="AV9" s="55">
        <f t="shared" si="15"/>
        <v>0.12119911790164763</v>
      </c>
      <c r="AW9" s="53">
        <v>319500</v>
      </c>
      <c r="AX9" s="55">
        <f t="shared" si="16"/>
        <v>0.11446583357377831</v>
      </c>
      <c r="AY9" s="52">
        <v>39630.584353711827</v>
      </c>
      <c r="AZ9" s="53">
        <v>0</v>
      </c>
      <c r="BA9" s="53">
        <f t="shared" si="17"/>
        <v>39630.584353711827</v>
      </c>
      <c r="BB9" s="53">
        <v>301750</v>
      </c>
      <c r="BC9" s="55">
        <f t="shared" si="18"/>
        <v>0.13133582221611209</v>
      </c>
      <c r="BD9" s="53">
        <v>319500</v>
      </c>
      <c r="BE9" s="55">
        <f t="shared" si="19"/>
        <v>0.12403938764855033</v>
      </c>
    </row>
    <row r="10" spans="1:58" s="57" customFormat="1" ht="11.25" x14ac:dyDescent="0.2">
      <c r="A10" s="44" t="s">
        <v>57</v>
      </c>
      <c r="B10" s="45" t="s">
        <v>58</v>
      </c>
      <c r="C10" s="45" t="s">
        <v>59</v>
      </c>
      <c r="D10" s="46" t="s">
        <v>60</v>
      </c>
      <c r="E10" s="47" t="s">
        <v>61</v>
      </c>
      <c r="F10" s="47" t="s">
        <v>62</v>
      </c>
      <c r="G10" s="47" t="s">
        <v>63</v>
      </c>
      <c r="H10" s="48" t="s">
        <v>64</v>
      </c>
      <c r="I10" s="48" t="s">
        <v>65</v>
      </c>
      <c r="J10" s="49">
        <v>19496</v>
      </c>
      <c r="K10" s="50">
        <v>0</v>
      </c>
      <c r="L10" s="50">
        <f t="shared" si="0"/>
        <v>19496</v>
      </c>
      <c r="M10" s="50">
        <v>172500</v>
      </c>
      <c r="N10" s="51">
        <f t="shared" si="1"/>
        <v>0.11302028985507247</v>
      </c>
      <c r="O10" s="52">
        <v>19623</v>
      </c>
      <c r="P10" s="53">
        <v>0</v>
      </c>
      <c r="Q10" s="53">
        <f t="shared" si="2"/>
        <v>19623</v>
      </c>
      <c r="R10" s="53">
        <v>172500</v>
      </c>
      <c r="S10" s="54">
        <f t="shared" si="3"/>
        <v>0.11375652173913044</v>
      </c>
      <c r="T10" s="52">
        <v>20667</v>
      </c>
      <c r="U10" s="53">
        <v>0</v>
      </c>
      <c r="V10" s="53">
        <f t="shared" si="4"/>
        <v>20667</v>
      </c>
      <c r="W10" s="53">
        <v>172500</v>
      </c>
      <c r="X10" s="54">
        <f t="shared" si="5"/>
        <v>0.11980869565217392</v>
      </c>
      <c r="Y10" s="52">
        <v>21347</v>
      </c>
      <c r="Z10" s="53">
        <v>0</v>
      </c>
      <c r="AA10" s="53">
        <f t="shared" si="6"/>
        <v>21347</v>
      </c>
      <c r="AB10" s="53">
        <v>172500</v>
      </c>
      <c r="AC10" s="54">
        <f t="shared" si="7"/>
        <v>0.12375072463768116</v>
      </c>
      <c r="AD10" s="52">
        <v>22050</v>
      </c>
      <c r="AE10" s="53">
        <v>0</v>
      </c>
      <c r="AF10" s="53">
        <f t="shared" si="8"/>
        <v>22050</v>
      </c>
      <c r="AG10" s="53">
        <v>172500</v>
      </c>
      <c r="AH10" s="55">
        <f t="shared" si="9"/>
        <v>0.12782608695652173</v>
      </c>
      <c r="AI10" s="56">
        <v>184000</v>
      </c>
      <c r="AJ10" s="54">
        <f t="shared" si="10"/>
        <v>0.11983695652173913</v>
      </c>
      <c r="AK10" s="52">
        <v>23282.273381989471</v>
      </c>
      <c r="AL10" s="53">
        <v>0</v>
      </c>
      <c r="AM10" s="53">
        <f t="shared" si="11"/>
        <v>23282.273381989471</v>
      </c>
      <c r="AN10" s="53">
        <v>172500</v>
      </c>
      <c r="AO10" s="55">
        <f t="shared" si="12"/>
        <v>0.13496970076515635</v>
      </c>
      <c r="AP10" s="53">
        <v>184000</v>
      </c>
      <c r="AQ10" s="54">
        <f t="shared" si="13"/>
        <v>0.12653409446733407</v>
      </c>
      <c r="AR10" s="52">
        <v>24583.412872276444</v>
      </c>
      <c r="AS10" s="53">
        <v>0</v>
      </c>
      <c r="AT10" s="53">
        <f t="shared" si="14"/>
        <v>24583.412872276444</v>
      </c>
      <c r="AU10" s="53">
        <v>172500</v>
      </c>
      <c r="AV10" s="55">
        <f t="shared" si="15"/>
        <v>0.14251253839000838</v>
      </c>
      <c r="AW10" s="53">
        <v>184000</v>
      </c>
      <c r="AX10" s="55">
        <f t="shared" si="16"/>
        <v>0.13360550474063285</v>
      </c>
      <c r="AY10" s="52">
        <v>25858.526310508536</v>
      </c>
      <c r="AZ10" s="53">
        <v>0</v>
      </c>
      <c r="BA10" s="53">
        <f t="shared" si="17"/>
        <v>25858.526310508536</v>
      </c>
      <c r="BB10" s="53">
        <v>172500</v>
      </c>
      <c r="BC10" s="55">
        <f t="shared" si="18"/>
        <v>0.14990450035077413</v>
      </c>
      <c r="BD10" s="53">
        <v>184000</v>
      </c>
      <c r="BE10" s="55">
        <f t="shared" si="19"/>
        <v>0.14053546907885073</v>
      </c>
    </row>
    <row r="11" spans="1:58" s="57" customFormat="1" ht="11.25" x14ac:dyDescent="0.2">
      <c r="A11" s="44" t="s">
        <v>66</v>
      </c>
      <c r="B11" s="45" t="s">
        <v>67</v>
      </c>
      <c r="C11" s="45" t="s">
        <v>68</v>
      </c>
      <c r="D11" s="46" t="s">
        <v>69</v>
      </c>
      <c r="E11" s="47" t="s">
        <v>70</v>
      </c>
      <c r="F11" s="47" t="s">
        <v>71</v>
      </c>
      <c r="G11" s="47" t="s">
        <v>72</v>
      </c>
      <c r="H11" s="48" t="s">
        <v>73</v>
      </c>
      <c r="I11" s="48" t="s">
        <v>74</v>
      </c>
      <c r="J11" s="49">
        <v>40915</v>
      </c>
      <c r="K11" s="50">
        <v>0</v>
      </c>
      <c r="L11" s="50">
        <f t="shared" si="0"/>
        <v>40915</v>
      </c>
      <c r="M11" s="50">
        <v>184000</v>
      </c>
      <c r="N11" s="51">
        <f t="shared" si="1"/>
        <v>0.22236413043478262</v>
      </c>
      <c r="O11" s="52">
        <v>41386</v>
      </c>
      <c r="P11" s="53">
        <v>0</v>
      </c>
      <c r="Q11" s="53">
        <f t="shared" si="2"/>
        <v>41386</v>
      </c>
      <c r="R11" s="53">
        <v>184000</v>
      </c>
      <c r="S11" s="54">
        <f t="shared" si="3"/>
        <v>0.22492391304347825</v>
      </c>
      <c r="T11" s="52">
        <v>45350</v>
      </c>
      <c r="U11" s="53">
        <v>0</v>
      </c>
      <c r="V11" s="53">
        <f t="shared" si="4"/>
        <v>45350</v>
      </c>
      <c r="W11" s="53">
        <v>184000</v>
      </c>
      <c r="X11" s="54">
        <f t="shared" si="5"/>
        <v>0.24646739130434783</v>
      </c>
      <c r="Y11" s="52">
        <v>48018</v>
      </c>
      <c r="Z11" s="53">
        <v>0</v>
      </c>
      <c r="AA11" s="53">
        <f t="shared" si="6"/>
        <v>48018</v>
      </c>
      <c r="AB11" s="53">
        <v>184000</v>
      </c>
      <c r="AC11" s="54">
        <f t="shared" si="7"/>
        <v>0.26096739130434782</v>
      </c>
      <c r="AD11" s="52">
        <v>50844</v>
      </c>
      <c r="AE11" s="53">
        <v>0</v>
      </c>
      <c r="AF11" s="53">
        <f t="shared" si="8"/>
        <v>50844</v>
      </c>
      <c r="AG11" s="53">
        <v>184000</v>
      </c>
      <c r="AH11" s="55">
        <f t="shared" si="9"/>
        <v>0.27632608695652172</v>
      </c>
      <c r="AI11" s="56">
        <v>184000</v>
      </c>
      <c r="AJ11" s="54">
        <f t="shared" si="10"/>
        <v>0.27632608695652172</v>
      </c>
      <c r="AK11" s="52">
        <v>55637.306127626289</v>
      </c>
      <c r="AL11" s="53">
        <v>0</v>
      </c>
      <c r="AM11" s="53">
        <f t="shared" si="11"/>
        <v>55637.306127626289</v>
      </c>
      <c r="AN11" s="53">
        <v>184000</v>
      </c>
      <c r="AO11" s="55">
        <f t="shared" si="12"/>
        <v>0.30237666373709937</v>
      </c>
      <c r="AP11" s="53">
        <v>184000</v>
      </c>
      <c r="AQ11" s="54">
        <f t="shared" si="13"/>
        <v>0.30237666373709937</v>
      </c>
      <c r="AR11" s="52">
        <v>60882.500061741855</v>
      </c>
      <c r="AS11" s="53">
        <v>0</v>
      </c>
      <c r="AT11" s="53">
        <f t="shared" si="14"/>
        <v>60882.500061741855</v>
      </c>
      <c r="AU11" s="53">
        <v>184000</v>
      </c>
      <c r="AV11" s="55">
        <f t="shared" si="15"/>
        <v>0.33088315250946659</v>
      </c>
      <c r="AW11" s="53">
        <v>184000</v>
      </c>
      <c r="AX11" s="55">
        <f t="shared" si="16"/>
        <v>0.33088315250946659</v>
      </c>
      <c r="AY11" s="52">
        <v>66191.572986837491</v>
      </c>
      <c r="AZ11" s="53">
        <v>0</v>
      </c>
      <c r="BA11" s="53">
        <f t="shared" si="17"/>
        <v>66191.572986837491</v>
      </c>
      <c r="BB11" s="53">
        <v>184000</v>
      </c>
      <c r="BC11" s="55">
        <f t="shared" si="18"/>
        <v>0.3597368097110733</v>
      </c>
      <c r="BD11" s="53">
        <v>184000</v>
      </c>
      <c r="BE11" s="55">
        <f t="shared" si="19"/>
        <v>0.3597368097110733</v>
      </c>
    </row>
    <row r="12" spans="1:58" s="57" customFormat="1" ht="11.25" x14ac:dyDescent="0.2">
      <c r="A12" s="44" t="s">
        <v>75</v>
      </c>
      <c r="B12" s="45" t="s">
        <v>76</v>
      </c>
      <c r="C12" s="45" t="s">
        <v>77</v>
      </c>
      <c r="D12" s="46" t="s">
        <v>78</v>
      </c>
      <c r="E12" s="47" t="s">
        <v>79</v>
      </c>
      <c r="F12" s="47" t="s">
        <v>80</v>
      </c>
      <c r="G12" s="47" t="s">
        <v>81</v>
      </c>
      <c r="H12" s="48" t="s">
        <v>64</v>
      </c>
      <c r="I12" s="48" t="s">
        <v>82</v>
      </c>
      <c r="J12" s="49">
        <v>32627</v>
      </c>
      <c r="K12" s="50">
        <v>0</v>
      </c>
      <c r="L12" s="50">
        <f t="shared" si="0"/>
        <v>32627</v>
      </c>
      <c r="M12" s="50">
        <v>195500</v>
      </c>
      <c r="N12" s="51">
        <f t="shared" si="1"/>
        <v>0.16689002557544758</v>
      </c>
      <c r="O12" s="52">
        <v>32855</v>
      </c>
      <c r="P12" s="53">
        <v>0</v>
      </c>
      <c r="Q12" s="53">
        <f t="shared" si="2"/>
        <v>32855</v>
      </c>
      <c r="R12" s="53">
        <v>195500</v>
      </c>
      <c r="S12" s="54">
        <f t="shared" si="3"/>
        <v>0.16805626598465473</v>
      </c>
      <c r="T12" s="52">
        <v>34741</v>
      </c>
      <c r="U12" s="53">
        <v>0</v>
      </c>
      <c r="V12" s="53">
        <f t="shared" si="4"/>
        <v>34741</v>
      </c>
      <c r="W12" s="53">
        <v>195500</v>
      </c>
      <c r="X12" s="54">
        <f t="shared" si="5"/>
        <v>0.17770332480818415</v>
      </c>
      <c r="Y12" s="52">
        <v>35974</v>
      </c>
      <c r="Z12" s="53">
        <v>0</v>
      </c>
      <c r="AA12" s="53">
        <f t="shared" si="6"/>
        <v>35974</v>
      </c>
      <c r="AB12" s="53">
        <v>195500</v>
      </c>
      <c r="AC12" s="54">
        <f t="shared" si="7"/>
        <v>0.18401023017902812</v>
      </c>
      <c r="AD12" s="52">
        <v>37251</v>
      </c>
      <c r="AE12" s="53">
        <v>0</v>
      </c>
      <c r="AF12" s="53">
        <f t="shared" si="8"/>
        <v>37251</v>
      </c>
      <c r="AG12" s="53">
        <v>195500</v>
      </c>
      <c r="AH12" s="55">
        <f t="shared" si="9"/>
        <v>0.19054219948849105</v>
      </c>
      <c r="AI12" s="56">
        <v>195500</v>
      </c>
      <c r="AJ12" s="54">
        <f t="shared" si="10"/>
        <v>0.19054219948849105</v>
      </c>
      <c r="AK12" s="52">
        <v>39373.22617041695</v>
      </c>
      <c r="AL12" s="53">
        <v>0</v>
      </c>
      <c r="AM12" s="53">
        <f t="shared" si="11"/>
        <v>39373.22617041695</v>
      </c>
      <c r="AN12" s="53">
        <v>195500</v>
      </c>
      <c r="AO12" s="55">
        <f t="shared" si="12"/>
        <v>0.2013975763192683</v>
      </c>
      <c r="AP12" s="53">
        <v>195500</v>
      </c>
      <c r="AQ12" s="54">
        <f t="shared" si="13"/>
        <v>0.2013975763192683</v>
      </c>
      <c r="AR12" s="52">
        <v>41616.357656621483</v>
      </c>
      <c r="AS12" s="53">
        <v>0</v>
      </c>
      <c r="AT12" s="53">
        <f t="shared" si="14"/>
        <v>41616.357656621483</v>
      </c>
      <c r="AU12" s="53">
        <v>195500</v>
      </c>
      <c r="AV12" s="55">
        <f t="shared" si="15"/>
        <v>0.21287139466302549</v>
      </c>
      <c r="AW12" s="53">
        <v>195500</v>
      </c>
      <c r="AX12" s="55">
        <f t="shared" si="16"/>
        <v>0.21287139466302549</v>
      </c>
      <c r="AY12" s="52">
        <v>43786.84061201851</v>
      </c>
      <c r="AZ12" s="53">
        <v>0</v>
      </c>
      <c r="BA12" s="53">
        <f t="shared" si="17"/>
        <v>43786.84061201851</v>
      </c>
      <c r="BB12" s="53">
        <v>195500</v>
      </c>
      <c r="BC12" s="55">
        <f t="shared" si="18"/>
        <v>0.22397360926863688</v>
      </c>
      <c r="BD12" s="53">
        <v>195500</v>
      </c>
      <c r="BE12" s="55">
        <f t="shared" si="19"/>
        <v>0.22397360926863688</v>
      </c>
    </row>
    <row r="13" spans="1:58" s="57" customFormat="1" ht="11.25" x14ac:dyDescent="0.2">
      <c r="A13" s="44" t="s">
        <v>83</v>
      </c>
      <c r="B13" s="45" t="s">
        <v>84</v>
      </c>
      <c r="C13" s="45" t="s">
        <v>85</v>
      </c>
      <c r="D13" s="46" t="s">
        <v>86</v>
      </c>
      <c r="E13" s="47" t="s">
        <v>87</v>
      </c>
      <c r="F13" s="47" t="s">
        <v>88</v>
      </c>
      <c r="G13" s="47" t="s">
        <v>89</v>
      </c>
      <c r="H13" s="48" t="s">
        <v>64</v>
      </c>
      <c r="I13" s="48" t="s">
        <v>90</v>
      </c>
      <c r="J13" s="49">
        <v>39565</v>
      </c>
      <c r="K13" s="50">
        <v>0</v>
      </c>
      <c r="L13" s="50">
        <f t="shared" si="0"/>
        <v>39565</v>
      </c>
      <c r="M13" s="50">
        <v>319500</v>
      </c>
      <c r="N13" s="51">
        <f t="shared" si="1"/>
        <v>0.12383411580594679</v>
      </c>
      <c r="O13" s="52">
        <v>40297</v>
      </c>
      <c r="P13" s="53">
        <v>0</v>
      </c>
      <c r="Q13" s="53">
        <f t="shared" si="2"/>
        <v>40297</v>
      </c>
      <c r="R13" s="53">
        <v>319500</v>
      </c>
      <c r="S13" s="54">
        <f t="shared" si="3"/>
        <v>0.12612519561815336</v>
      </c>
      <c r="T13" s="52">
        <v>46661</v>
      </c>
      <c r="U13" s="53">
        <v>0</v>
      </c>
      <c r="V13" s="53">
        <f t="shared" si="4"/>
        <v>46661</v>
      </c>
      <c r="W13" s="53">
        <v>319500</v>
      </c>
      <c r="X13" s="54">
        <f t="shared" si="5"/>
        <v>0.14604381846635367</v>
      </c>
      <c r="Y13" s="52">
        <v>51140</v>
      </c>
      <c r="Z13" s="53">
        <v>0</v>
      </c>
      <c r="AA13" s="53">
        <f t="shared" si="6"/>
        <v>51140</v>
      </c>
      <c r="AB13" s="53">
        <v>319500</v>
      </c>
      <c r="AC13" s="54">
        <f t="shared" si="7"/>
        <v>0.1600625978090767</v>
      </c>
      <c r="AD13" s="52">
        <v>56049</v>
      </c>
      <c r="AE13" s="53">
        <v>0</v>
      </c>
      <c r="AF13" s="53">
        <f t="shared" si="8"/>
        <v>56049</v>
      </c>
      <c r="AG13" s="53">
        <v>319500</v>
      </c>
      <c r="AH13" s="55">
        <f t="shared" si="9"/>
        <v>0.17542723004694835</v>
      </c>
      <c r="AI13" s="56">
        <v>275000</v>
      </c>
      <c r="AJ13" s="54">
        <f t="shared" si="10"/>
        <v>0.20381454545454544</v>
      </c>
      <c r="AK13" s="52">
        <v>64143.869540433741</v>
      </c>
      <c r="AL13" s="53">
        <v>0</v>
      </c>
      <c r="AM13" s="53">
        <f t="shared" si="11"/>
        <v>64143.869540433741</v>
      </c>
      <c r="AN13" s="53">
        <v>319500</v>
      </c>
      <c r="AO13" s="55">
        <f t="shared" si="12"/>
        <v>0.20076328494658449</v>
      </c>
      <c r="AP13" s="53">
        <v>275000</v>
      </c>
      <c r="AQ13" s="54">
        <f t="shared" si="13"/>
        <v>0.23325043469248632</v>
      </c>
      <c r="AR13" s="52">
        <v>73407.839562172099</v>
      </c>
      <c r="AS13" s="53">
        <v>0</v>
      </c>
      <c r="AT13" s="53">
        <f t="shared" si="14"/>
        <v>73407.839562172099</v>
      </c>
      <c r="AU13" s="53">
        <v>319500</v>
      </c>
      <c r="AV13" s="55">
        <f t="shared" si="15"/>
        <v>0.2297584962822288</v>
      </c>
      <c r="AW13" s="53">
        <v>275000</v>
      </c>
      <c r="AX13" s="55">
        <f t="shared" si="16"/>
        <v>0.26693759840789855</v>
      </c>
      <c r="AY13" s="52">
        <v>82443.36846799271</v>
      </c>
      <c r="AZ13" s="53">
        <v>0</v>
      </c>
      <c r="BA13" s="53">
        <f t="shared" si="17"/>
        <v>82443.36846799271</v>
      </c>
      <c r="BB13" s="53">
        <v>319500</v>
      </c>
      <c r="BC13" s="55">
        <f t="shared" si="18"/>
        <v>0.25803871194989891</v>
      </c>
      <c r="BD13" s="53">
        <v>275000</v>
      </c>
      <c r="BE13" s="55">
        <f t="shared" si="19"/>
        <v>0.29979406715633711</v>
      </c>
    </row>
    <row r="14" spans="1:58" s="57" customFormat="1" ht="11.25" x14ac:dyDescent="0.2">
      <c r="A14" s="44" t="s">
        <v>91</v>
      </c>
      <c r="B14" s="45" t="s">
        <v>92</v>
      </c>
      <c r="C14" s="45" t="s">
        <v>93</v>
      </c>
      <c r="D14" s="46" t="s">
        <v>94</v>
      </c>
      <c r="E14" s="47" t="s">
        <v>95</v>
      </c>
      <c r="F14" s="47" t="s">
        <v>96</v>
      </c>
      <c r="G14" s="47" t="s">
        <v>97</v>
      </c>
      <c r="H14" s="48" t="s">
        <v>98</v>
      </c>
      <c r="I14" s="48" t="s">
        <v>99</v>
      </c>
      <c r="J14" s="49">
        <v>1809</v>
      </c>
      <c r="K14" s="50">
        <v>0</v>
      </c>
      <c r="L14" s="50">
        <f t="shared" si="0"/>
        <v>1809</v>
      </c>
      <c r="M14" s="50">
        <v>155250</v>
      </c>
      <c r="N14" s="51">
        <f t="shared" si="1"/>
        <v>1.1652173913043478E-2</v>
      </c>
      <c r="O14" s="52">
        <v>1818</v>
      </c>
      <c r="P14" s="53">
        <v>0</v>
      </c>
      <c r="Q14" s="53">
        <f t="shared" si="2"/>
        <v>1818</v>
      </c>
      <c r="R14" s="53">
        <v>155250</v>
      </c>
      <c r="S14" s="54">
        <f t="shared" si="3"/>
        <v>1.1710144927536232E-2</v>
      </c>
      <c r="T14" s="52">
        <v>1892</v>
      </c>
      <c r="U14" s="53">
        <v>0</v>
      </c>
      <c r="V14" s="53">
        <f t="shared" si="4"/>
        <v>1892</v>
      </c>
      <c r="W14" s="53">
        <v>155250</v>
      </c>
      <c r="X14" s="54">
        <f t="shared" si="5"/>
        <v>1.2186795491143317E-2</v>
      </c>
      <c r="Y14" s="52">
        <v>1940</v>
      </c>
      <c r="Z14" s="53">
        <v>0</v>
      </c>
      <c r="AA14" s="53">
        <f t="shared" si="6"/>
        <v>1940</v>
      </c>
      <c r="AB14" s="53">
        <v>155250</v>
      </c>
      <c r="AC14" s="54">
        <f t="shared" si="7"/>
        <v>1.249597423510467E-2</v>
      </c>
      <c r="AD14" s="52">
        <v>1989</v>
      </c>
      <c r="AE14" s="53">
        <v>0</v>
      </c>
      <c r="AF14" s="53">
        <f t="shared" si="8"/>
        <v>1989</v>
      </c>
      <c r="AG14" s="53">
        <v>155250</v>
      </c>
      <c r="AH14" s="55">
        <f t="shared" si="9"/>
        <v>1.2811594202898551E-2</v>
      </c>
      <c r="AI14" s="56">
        <v>195500</v>
      </c>
      <c r="AJ14" s="54">
        <f t="shared" si="10"/>
        <v>1.0173913043478261E-2</v>
      </c>
      <c r="AK14" s="52">
        <v>2066.9874776133202</v>
      </c>
      <c r="AL14" s="53">
        <v>0</v>
      </c>
      <c r="AM14" s="53">
        <f t="shared" si="11"/>
        <v>2066.9874776133202</v>
      </c>
      <c r="AN14" s="53">
        <v>155250</v>
      </c>
      <c r="AO14" s="55">
        <f t="shared" si="12"/>
        <v>1.3313929002340226E-2</v>
      </c>
      <c r="AP14" s="53">
        <v>195500</v>
      </c>
      <c r="AQ14" s="54">
        <f t="shared" si="13"/>
        <v>1.057282597244665E-2</v>
      </c>
      <c r="AR14" s="52">
        <v>2148.0327966869154</v>
      </c>
      <c r="AS14" s="53">
        <v>0</v>
      </c>
      <c r="AT14" s="53">
        <f t="shared" si="14"/>
        <v>2148.0327966869154</v>
      </c>
      <c r="AU14" s="53">
        <v>155250</v>
      </c>
      <c r="AV14" s="55">
        <f t="shared" si="15"/>
        <v>1.3835960043071919E-2</v>
      </c>
      <c r="AW14" s="53">
        <v>195500</v>
      </c>
      <c r="AX14" s="55">
        <f t="shared" si="16"/>
        <v>1.098738003420417E-2</v>
      </c>
      <c r="AY14" s="52">
        <v>2224.4936526679294</v>
      </c>
      <c r="AZ14" s="53">
        <v>0</v>
      </c>
      <c r="BA14" s="53">
        <f t="shared" si="17"/>
        <v>2224.4936526679294</v>
      </c>
      <c r="BB14" s="53">
        <v>155250</v>
      </c>
      <c r="BC14" s="55">
        <f t="shared" si="18"/>
        <v>1.4328461530872331E-2</v>
      </c>
      <c r="BD14" s="53">
        <v>195500</v>
      </c>
      <c r="BE14" s="55">
        <f t="shared" si="19"/>
        <v>1.1378484156869205E-2</v>
      </c>
    </row>
    <row r="15" spans="1:58" s="57" customFormat="1" ht="11.25" x14ac:dyDescent="0.2">
      <c r="A15" s="44" t="s">
        <v>100</v>
      </c>
      <c r="B15" s="45" t="s">
        <v>101</v>
      </c>
      <c r="C15" s="45" t="s">
        <v>33</v>
      </c>
      <c r="D15" s="46" t="s">
        <v>102</v>
      </c>
      <c r="E15" s="47" t="s">
        <v>103</v>
      </c>
      <c r="F15" s="47" t="s">
        <v>104</v>
      </c>
      <c r="G15" s="47" t="s">
        <v>105</v>
      </c>
      <c r="H15" s="48" t="s">
        <v>73</v>
      </c>
      <c r="I15" s="48" t="s">
        <v>106</v>
      </c>
      <c r="J15" s="49">
        <v>6030</v>
      </c>
      <c r="K15" s="50">
        <v>0</v>
      </c>
      <c r="L15" s="50">
        <f t="shared" si="0"/>
        <v>6030</v>
      </c>
      <c r="M15" s="50">
        <v>132250</v>
      </c>
      <c r="N15" s="51">
        <f t="shared" si="1"/>
        <v>4.5595463137996221E-2</v>
      </c>
      <c r="O15" s="52">
        <v>6060</v>
      </c>
      <c r="P15" s="53">
        <v>0</v>
      </c>
      <c r="Q15" s="53">
        <f t="shared" si="2"/>
        <v>6060</v>
      </c>
      <c r="R15" s="53">
        <v>132250</v>
      </c>
      <c r="S15" s="54">
        <f t="shared" si="3"/>
        <v>4.5822306238185256E-2</v>
      </c>
      <c r="T15" s="52">
        <v>6307</v>
      </c>
      <c r="U15" s="53">
        <v>0</v>
      </c>
      <c r="V15" s="53">
        <f t="shared" si="4"/>
        <v>6307</v>
      </c>
      <c r="W15" s="53">
        <v>132250</v>
      </c>
      <c r="X15" s="54">
        <f t="shared" si="5"/>
        <v>4.7689981096408318E-2</v>
      </c>
      <c r="Y15" s="52">
        <v>6466</v>
      </c>
      <c r="Z15" s="53">
        <v>0</v>
      </c>
      <c r="AA15" s="53">
        <f t="shared" si="6"/>
        <v>6466</v>
      </c>
      <c r="AB15" s="53">
        <v>132250</v>
      </c>
      <c r="AC15" s="54">
        <f t="shared" si="7"/>
        <v>4.8892249527410205E-2</v>
      </c>
      <c r="AD15" s="52">
        <v>6629</v>
      </c>
      <c r="AE15" s="53">
        <v>0</v>
      </c>
      <c r="AF15" s="53">
        <f t="shared" si="8"/>
        <v>6629</v>
      </c>
      <c r="AG15" s="53">
        <v>132250</v>
      </c>
      <c r="AH15" s="55">
        <f t="shared" si="9"/>
        <v>5.0124763705103971E-2</v>
      </c>
      <c r="AI15" s="56">
        <v>132250</v>
      </c>
      <c r="AJ15" s="54">
        <f t="shared" si="10"/>
        <v>5.0124763705103971E-2</v>
      </c>
      <c r="AK15" s="52">
        <v>6897.7533440205261</v>
      </c>
      <c r="AL15" s="53">
        <v>0</v>
      </c>
      <c r="AM15" s="53">
        <f t="shared" si="11"/>
        <v>6897.7533440205261</v>
      </c>
      <c r="AN15" s="53">
        <v>132250</v>
      </c>
      <c r="AO15" s="55">
        <f t="shared" si="12"/>
        <v>5.2156925096563528E-2</v>
      </c>
      <c r="AP15" s="53">
        <v>132250</v>
      </c>
      <c r="AQ15" s="54">
        <f t="shared" si="13"/>
        <v>5.2156925096563528E-2</v>
      </c>
      <c r="AR15" s="52">
        <v>7177.4025033860844</v>
      </c>
      <c r="AS15" s="53">
        <v>0</v>
      </c>
      <c r="AT15" s="53">
        <f t="shared" si="14"/>
        <v>7177.4025033860844</v>
      </c>
      <c r="AU15" s="53">
        <v>132250</v>
      </c>
      <c r="AV15" s="55">
        <f t="shared" si="15"/>
        <v>5.4271474505754889E-2</v>
      </c>
      <c r="AW15" s="53">
        <v>132250</v>
      </c>
      <c r="AX15" s="55">
        <f t="shared" si="16"/>
        <v>5.4271474505754889E-2</v>
      </c>
      <c r="AY15" s="52">
        <v>7453.1641699247075</v>
      </c>
      <c r="AZ15" s="53">
        <v>0</v>
      </c>
      <c r="BA15" s="53">
        <f t="shared" si="17"/>
        <v>7453.1641699247075</v>
      </c>
      <c r="BB15" s="53">
        <v>132250</v>
      </c>
      <c r="BC15" s="55">
        <f t="shared" si="18"/>
        <v>5.635662888411877E-2</v>
      </c>
      <c r="BD15" s="53">
        <v>132250</v>
      </c>
      <c r="BE15" s="55">
        <f t="shared" si="19"/>
        <v>5.635662888411877E-2</v>
      </c>
    </row>
    <row r="16" spans="1:58" s="57" customFormat="1" ht="11.25" x14ac:dyDescent="0.2">
      <c r="A16" s="44" t="s">
        <v>107</v>
      </c>
      <c r="B16" s="45" t="s">
        <v>108</v>
      </c>
      <c r="C16" s="45" t="s">
        <v>109</v>
      </c>
      <c r="D16" s="46" t="s">
        <v>110</v>
      </c>
      <c r="E16" s="47" t="s">
        <v>111</v>
      </c>
      <c r="F16" s="47" t="s">
        <v>112</v>
      </c>
      <c r="G16" s="47" t="s">
        <v>113</v>
      </c>
      <c r="H16" s="48" t="s">
        <v>55</v>
      </c>
      <c r="I16" s="48" t="s">
        <v>114</v>
      </c>
      <c r="J16" s="49">
        <v>49378</v>
      </c>
      <c r="K16" s="50">
        <v>0</v>
      </c>
      <c r="L16" s="50">
        <f t="shared" si="0"/>
        <v>49378</v>
      </c>
      <c r="M16" s="50">
        <v>230000</v>
      </c>
      <c r="N16" s="51">
        <f t="shared" si="1"/>
        <v>0.21468695652173914</v>
      </c>
      <c r="O16" s="52">
        <v>50168</v>
      </c>
      <c r="P16" s="53">
        <v>0</v>
      </c>
      <c r="Q16" s="53">
        <f t="shared" si="2"/>
        <v>50168</v>
      </c>
      <c r="R16" s="53">
        <v>230000</v>
      </c>
      <c r="S16" s="54">
        <f t="shared" si="3"/>
        <v>0.21812173913043478</v>
      </c>
      <c r="T16" s="52">
        <v>56960</v>
      </c>
      <c r="U16" s="53">
        <v>0</v>
      </c>
      <c r="V16" s="53">
        <f t="shared" si="4"/>
        <v>56960</v>
      </c>
      <c r="W16" s="53">
        <v>230000</v>
      </c>
      <c r="X16" s="54">
        <f t="shared" si="5"/>
        <v>0.24765217391304348</v>
      </c>
      <c r="Y16" s="52">
        <v>61665</v>
      </c>
      <c r="Z16" s="53">
        <v>0</v>
      </c>
      <c r="AA16" s="53">
        <f t="shared" si="6"/>
        <v>61665</v>
      </c>
      <c r="AB16" s="53">
        <v>230000</v>
      </c>
      <c r="AC16" s="54">
        <f t="shared" si="7"/>
        <v>0.26810869565217393</v>
      </c>
      <c r="AD16" s="52">
        <v>66759</v>
      </c>
      <c r="AE16" s="53">
        <v>0</v>
      </c>
      <c r="AF16" s="53">
        <f t="shared" si="8"/>
        <v>66759</v>
      </c>
      <c r="AG16" s="53">
        <v>230000</v>
      </c>
      <c r="AH16" s="55">
        <f t="shared" si="9"/>
        <v>0.29025652173913041</v>
      </c>
      <c r="AI16" s="56">
        <v>230000</v>
      </c>
      <c r="AJ16" s="54">
        <f t="shared" si="10"/>
        <v>0.29025652173913041</v>
      </c>
      <c r="AK16" s="52">
        <v>76173.497125758018</v>
      </c>
      <c r="AL16" s="53">
        <v>0</v>
      </c>
      <c r="AM16" s="53">
        <f t="shared" si="11"/>
        <v>76173.497125758018</v>
      </c>
      <c r="AN16" s="53">
        <v>230000</v>
      </c>
      <c r="AO16" s="55">
        <f t="shared" si="12"/>
        <v>0.33118911793807831</v>
      </c>
      <c r="AP16" s="53">
        <v>230000</v>
      </c>
      <c r="AQ16" s="54">
        <f t="shared" si="13"/>
        <v>0.33118911793807831</v>
      </c>
      <c r="AR16" s="52">
        <v>86915.646794707296</v>
      </c>
      <c r="AS16" s="53">
        <v>0</v>
      </c>
      <c r="AT16" s="53">
        <f t="shared" si="14"/>
        <v>86915.646794707296</v>
      </c>
      <c r="AU16" s="53">
        <v>230000</v>
      </c>
      <c r="AV16" s="55">
        <f t="shared" si="15"/>
        <v>0.37789411649872739</v>
      </c>
      <c r="AW16" s="53">
        <v>230000</v>
      </c>
      <c r="AX16" s="55">
        <f t="shared" si="16"/>
        <v>0.37789411649872739</v>
      </c>
      <c r="AY16" s="52">
        <v>98631.521069055569</v>
      </c>
      <c r="AZ16" s="53">
        <v>0</v>
      </c>
      <c r="BA16" s="53">
        <f t="shared" si="17"/>
        <v>98631.521069055569</v>
      </c>
      <c r="BB16" s="53">
        <v>230000</v>
      </c>
      <c r="BC16" s="55">
        <f t="shared" si="18"/>
        <v>0.42883270030024162</v>
      </c>
      <c r="BD16" s="53">
        <v>230000</v>
      </c>
      <c r="BE16" s="55">
        <f t="shared" si="19"/>
        <v>0.42883270030024162</v>
      </c>
    </row>
    <row r="17" spans="1:57" s="57" customFormat="1" ht="11.25" x14ac:dyDescent="0.2">
      <c r="A17" s="44" t="s">
        <v>115</v>
      </c>
      <c r="B17" s="45" t="s">
        <v>116</v>
      </c>
      <c r="C17" s="45" t="s">
        <v>33</v>
      </c>
      <c r="D17" s="46" t="s">
        <v>117</v>
      </c>
      <c r="E17" s="47" t="s">
        <v>118</v>
      </c>
      <c r="F17" s="47" t="s">
        <v>119</v>
      </c>
      <c r="G17" s="47" t="s">
        <v>120</v>
      </c>
      <c r="H17" s="48" t="s">
        <v>73</v>
      </c>
      <c r="I17" s="48" t="s">
        <v>121</v>
      </c>
      <c r="J17" s="49">
        <v>20400</v>
      </c>
      <c r="K17" s="50">
        <v>0</v>
      </c>
      <c r="L17" s="50">
        <f t="shared" si="0"/>
        <v>20400</v>
      </c>
      <c r="M17" s="50">
        <v>161000</v>
      </c>
      <c r="N17" s="51">
        <f t="shared" si="1"/>
        <v>0.1267080745341615</v>
      </c>
      <c r="O17" s="52">
        <v>20808</v>
      </c>
      <c r="P17" s="53">
        <v>0</v>
      </c>
      <c r="Q17" s="53">
        <f t="shared" si="2"/>
        <v>20808</v>
      </c>
      <c r="R17" s="53">
        <v>161000</v>
      </c>
      <c r="S17" s="54">
        <f t="shared" si="3"/>
        <v>0.12924223602484472</v>
      </c>
      <c r="T17" s="52">
        <v>24380</v>
      </c>
      <c r="U17" s="53">
        <v>0</v>
      </c>
      <c r="V17" s="53">
        <f t="shared" si="4"/>
        <v>24380</v>
      </c>
      <c r="W17" s="53">
        <v>161000</v>
      </c>
      <c r="X17" s="54">
        <f t="shared" si="5"/>
        <v>0.15142857142857144</v>
      </c>
      <c r="Y17" s="52">
        <v>26917</v>
      </c>
      <c r="Z17" s="53">
        <v>0</v>
      </c>
      <c r="AA17" s="53">
        <f t="shared" si="6"/>
        <v>26917</v>
      </c>
      <c r="AB17" s="53">
        <v>161000</v>
      </c>
      <c r="AC17" s="54">
        <f t="shared" si="7"/>
        <v>0.16718633540372671</v>
      </c>
      <c r="AD17" s="52">
        <v>29719</v>
      </c>
      <c r="AE17" s="53">
        <v>0</v>
      </c>
      <c r="AF17" s="53">
        <f t="shared" si="8"/>
        <v>29719</v>
      </c>
      <c r="AG17" s="53">
        <v>161000</v>
      </c>
      <c r="AH17" s="55">
        <f t="shared" si="9"/>
        <v>0.18459006211180123</v>
      </c>
      <c r="AI17" s="56">
        <v>161000</v>
      </c>
      <c r="AJ17" s="54">
        <f t="shared" si="10"/>
        <v>0.18459006211180123</v>
      </c>
      <c r="AK17" s="52">
        <v>34210.2753662209</v>
      </c>
      <c r="AL17" s="53">
        <v>0</v>
      </c>
      <c r="AM17" s="53">
        <f t="shared" si="11"/>
        <v>34210.2753662209</v>
      </c>
      <c r="AN17" s="53">
        <v>161000</v>
      </c>
      <c r="AO17" s="55">
        <f t="shared" si="12"/>
        <v>0.21248618239888759</v>
      </c>
      <c r="AP17" s="53">
        <v>161000</v>
      </c>
      <c r="AQ17" s="54">
        <f t="shared" si="13"/>
        <v>0.21248618239888759</v>
      </c>
      <c r="AR17" s="52">
        <v>39380.293436275111</v>
      </c>
      <c r="AS17" s="53">
        <v>0</v>
      </c>
      <c r="AT17" s="53">
        <f t="shared" si="14"/>
        <v>39380.293436275111</v>
      </c>
      <c r="AU17" s="53">
        <v>161000</v>
      </c>
      <c r="AV17" s="55">
        <f t="shared" si="15"/>
        <v>0.24459809587748516</v>
      </c>
      <c r="AW17" s="53">
        <v>161000</v>
      </c>
      <c r="AX17" s="55">
        <f t="shared" si="16"/>
        <v>0.24459809587748516</v>
      </c>
      <c r="AY17" s="52">
        <v>44463.448585722945</v>
      </c>
      <c r="AZ17" s="53">
        <v>0</v>
      </c>
      <c r="BA17" s="53">
        <f t="shared" si="17"/>
        <v>44463.448585722945</v>
      </c>
      <c r="BB17" s="53">
        <v>161000</v>
      </c>
      <c r="BC17" s="55">
        <f t="shared" si="18"/>
        <v>0.27617048811008038</v>
      </c>
      <c r="BD17" s="53">
        <v>161000</v>
      </c>
      <c r="BE17" s="55">
        <f t="shared" si="19"/>
        <v>0.27617048811008038</v>
      </c>
    </row>
    <row r="18" spans="1:57" s="57" customFormat="1" ht="11.25" x14ac:dyDescent="0.2">
      <c r="A18" s="44" t="s">
        <v>122</v>
      </c>
      <c r="B18" s="45" t="s">
        <v>123</v>
      </c>
      <c r="C18" s="45" t="s">
        <v>124</v>
      </c>
      <c r="D18" s="46" t="s">
        <v>125</v>
      </c>
      <c r="E18" s="47" t="s">
        <v>126</v>
      </c>
      <c r="F18" s="47" t="s">
        <v>127</v>
      </c>
      <c r="G18" s="47" t="s">
        <v>128</v>
      </c>
      <c r="H18" s="48" t="s">
        <v>98</v>
      </c>
      <c r="I18" s="48" t="s">
        <v>129</v>
      </c>
      <c r="J18" s="49">
        <v>82465</v>
      </c>
      <c r="K18" s="50">
        <v>0</v>
      </c>
      <c r="L18" s="50">
        <f t="shared" si="0"/>
        <v>82465</v>
      </c>
      <c r="M18" s="50">
        <v>185250</v>
      </c>
      <c r="N18" s="51">
        <f t="shared" si="1"/>
        <v>0.44515519568151146</v>
      </c>
      <c r="O18" s="52">
        <v>83496</v>
      </c>
      <c r="P18" s="53">
        <v>0</v>
      </c>
      <c r="Q18" s="53">
        <f t="shared" si="2"/>
        <v>83496</v>
      </c>
      <c r="R18" s="53">
        <v>185250</v>
      </c>
      <c r="S18" s="54">
        <f t="shared" si="3"/>
        <v>0.45072064777327936</v>
      </c>
      <c r="T18" s="52">
        <v>92220</v>
      </c>
      <c r="U18" s="53">
        <v>0</v>
      </c>
      <c r="V18" s="53">
        <f t="shared" si="4"/>
        <v>92220</v>
      </c>
      <c r="W18" s="53">
        <v>185250</v>
      </c>
      <c r="X18" s="54">
        <f t="shared" si="5"/>
        <v>0.49781376518218623</v>
      </c>
      <c r="Y18" s="52">
        <v>98130</v>
      </c>
      <c r="Z18" s="53">
        <v>0</v>
      </c>
      <c r="AA18" s="53">
        <f t="shared" si="6"/>
        <v>98130</v>
      </c>
      <c r="AB18" s="53">
        <v>185250</v>
      </c>
      <c r="AC18" s="54">
        <f t="shared" si="7"/>
        <v>0.52971659919028335</v>
      </c>
      <c r="AD18" s="52">
        <v>104418</v>
      </c>
      <c r="AE18" s="53">
        <v>0</v>
      </c>
      <c r="AF18" s="53">
        <f t="shared" si="8"/>
        <v>104418</v>
      </c>
      <c r="AG18" s="53">
        <v>185250</v>
      </c>
      <c r="AH18" s="55">
        <f t="shared" si="9"/>
        <v>0.56365991902834012</v>
      </c>
      <c r="AI18" s="56">
        <v>185250</v>
      </c>
      <c r="AJ18" s="54">
        <f t="shared" si="10"/>
        <v>0.56365991902834012</v>
      </c>
      <c r="AK18" s="52">
        <v>114913.70932205307</v>
      </c>
      <c r="AL18" s="53">
        <v>0</v>
      </c>
      <c r="AM18" s="53">
        <f t="shared" si="11"/>
        <v>114913.70932205307</v>
      </c>
      <c r="AN18" s="53">
        <v>185250</v>
      </c>
      <c r="AO18" s="55">
        <f t="shared" si="12"/>
        <v>0.6203169194172905</v>
      </c>
      <c r="AP18" s="53">
        <v>185250</v>
      </c>
      <c r="AQ18" s="54">
        <f t="shared" si="13"/>
        <v>0.6203169194172905</v>
      </c>
      <c r="AR18" s="52">
        <v>126464.4083410265</v>
      </c>
      <c r="AS18" s="53">
        <v>0</v>
      </c>
      <c r="AT18" s="53">
        <f t="shared" si="14"/>
        <v>126464.4083410265</v>
      </c>
      <c r="AU18" s="53">
        <v>185250</v>
      </c>
      <c r="AV18" s="55">
        <f t="shared" si="15"/>
        <v>0.68266887093671524</v>
      </c>
      <c r="AW18" s="53">
        <v>185250</v>
      </c>
      <c r="AX18" s="55">
        <f t="shared" si="16"/>
        <v>0.68266887093671524</v>
      </c>
      <c r="AY18" s="52">
        <v>137977.15563933973</v>
      </c>
      <c r="AZ18" s="53">
        <v>0</v>
      </c>
      <c r="BA18" s="53">
        <f t="shared" si="17"/>
        <v>137977.15563933973</v>
      </c>
      <c r="BB18" s="53">
        <v>185250</v>
      </c>
      <c r="BC18" s="55">
        <f t="shared" si="18"/>
        <v>0.74481595486823071</v>
      </c>
      <c r="BD18" s="53">
        <v>185250</v>
      </c>
      <c r="BE18" s="55">
        <f t="shared" si="19"/>
        <v>0.74481595486823071</v>
      </c>
    </row>
    <row r="19" spans="1:57" s="57" customFormat="1" ht="11.25" x14ac:dyDescent="0.2">
      <c r="A19" s="44" t="s">
        <v>130</v>
      </c>
      <c r="B19" s="45" t="s">
        <v>131</v>
      </c>
      <c r="C19" s="45" t="s">
        <v>33</v>
      </c>
      <c r="D19" s="46" t="s">
        <v>132</v>
      </c>
      <c r="E19" s="47" t="s">
        <v>133</v>
      </c>
      <c r="F19" s="47" t="s">
        <v>134</v>
      </c>
      <c r="G19" s="47" t="s">
        <v>135</v>
      </c>
      <c r="H19" s="48" t="s">
        <v>29</v>
      </c>
      <c r="I19" s="48" t="s">
        <v>136</v>
      </c>
      <c r="J19" s="49">
        <v>2512</v>
      </c>
      <c r="K19" s="50">
        <v>0</v>
      </c>
      <c r="L19" s="50">
        <f t="shared" si="0"/>
        <v>2512</v>
      </c>
      <c r="M19" s="50">
        <v>126500</v>
      </c>
      <c r="N19" s="51">
        <f t="shared" si="1"/>
        <v>1.9857707509881424E-2</v>
      </c>
      <c r="O19" s="52">
        <v>2525</v>
      </c>
      <c r="P19" s="53">
        <v>0</v>
      </c>
      <c r="Q19" s="53">
        <f t="shared" si="2"/>
        <v>2525</v>
      </c>
      <c r="R19" s="53">
        <v>126500</v>
      </c>
      <c r="S19" s="54">
        <f t="shared" si="3"/>
        <v>1.9960474308300395E-2</v>
      </c>
      <c r="T19" s="52">
        <v>2628</v>
      </c>
      <c r="U19" s="53">
        <v>0</v>
      </c>
      <c r="V19" s="53">
        <f t="shared" si="4"/>
        <v>2628</v>
      </c>
      <c r="W19" s="53">
        <v>126500</v>
      </c>
      <c r="X19" s="54">
        <f t="shared" si="5"/>
        <v>2.0774703557312254E-2</v>
      </c>
      <c r="Y19" s="52">
        <v>2694</v>
      </c>
      <c r="Z19" s="53">
        <v>0</v>
      </c>
      <c r="AA19" s="53">
        <f t="shared" si="6"/>
        <v>2694</v>
      </c>
      <c r="AB19" s="53">
        <v>126500</v>
      </c>
      <c r="AC19" s="54">
        <f t="shared" si="7"/>
        <v>2.1296442687747035E-2</v>
      </c>
      <c r="AD19" s="52">
        <v>2762</v>
      </c>
      <c r="AE19" s="53">
        <v>0</v>
      </c>
      <c r="AF19" s="53">
        <f t="shared" si="8"/>
        <v>2762</v>
      </c>
      <c r="AG19" s="53">
        <v>126500</v>
      </c>
      <c r="AH19" s="55">
        <f t="shared" si="9"/>
        <v>2.183399209486166E-2</v>
      </c>
      <c r="AI19" s="56">
        <v>126500</v>
      </c>
      <c r="AJ19" s="54">
        <f t="shared" si="10"/>
        <v>2.183399209486166E-2</v>
      </c>
      <c r="AK19" s="52">
        <v>2870.7821453793522</v>
      </c>
      <c r="AL19" s="53">
        <v>0</v>
      </c>
      <c r="AM19" s="53">
        <f t="shared" si="11"/>
        <v>2870.7821453793522</v>
      </c>
      <c r="AN19" s="53">
        <v>126500</v>
      </c>
      <c r="AO19" s="55">
        <f t="shared" si="12"/>
        <v>2.2693930002998831E-2</v>
      </c>
      <c r="AP19" s="53">
        <v>126500</v>
      </c>
      <c r="AQ19" s="54">
        <f t="shared" si="13"/>
        <v>2.2693930002998831E-2</v>
      </c>
      <c r="AR19" s="52">
        <v>2983.8487060930033</v>
      </c>
      <c r="AS19" s="53">
        <v>0</v>
      </c>
      <c r="AT19" s="53">
        <f t="shared" si="14"/>
        <v>2983.8487060930033</v>
      </c>
      <c r="AU19" s="53">
        <v>126500</v>
      </c>
      <c r="AV19" s="55">
        <f t="shared" si="15"/>
        <v>2.3587736807059313E-2</v>
      </c>
      <c r="AW19" s="53">
        <v>126500</v>
      </c>
      <c r="AX19" s="55">
        <f t="shared" si="16"/>
        <v>2.3587736807059313E-2</v>
      </c>
      <c r="AY19" s="52">
        <v>3090.8963877413285</v>
      </c>
      <c r="AZ19" s="53">
        <v>0</v>
      </c>
      <c r="BA19" s="53">
        <f t="shared" si="17"/>
        <v>3090.8963877413285</v>
      </c>
      <c r="BB19" s="53">
        <v>126500</v>
      </c>
      <c r="BC19" s="55">
        <f t="shared" si="18"/>
        <v>2.4433963539457142E-2</v>
      </c>
      <c r="BD19" s="53">
        <v>126500</v>
      </c>
      <c r="BE19" s="55">
        <f t="shared" si="19"/>
        <v>2.4433963539457142E-2</v>
      </c>
    </row>
    <row r="20" spans="1:57" s="57" customFormat="1" ht="11.25" x14ac:dyDescent="0.2">
      <c r="A20" s="44" t="s">
        <v>137</v>
      </c>
      <c r="B20" s="45" t="s">
        <v>138</v>
      </c>
      <c r="C20" s="45" t="s">
        <v>139</v>
      </c>
      <c r="D20" s="46" t="s">
        <v>140</v>
      </c>
      <c r="E20" s="47" t="s">
        <v>141</v>
      </c>
      <c r="F20" s="47" t="s">
        <v>142</v>
      </c>
      <c r="G20" s="47" t="s">
        <v>143</v>
      </c>
      <c r="H20" s="48" t="s">
        <v>55</v>
      </c>
      <c r="I20" s="48" t="s">
        <v>144</v>
      </c>
      <c r="J20" s="49">
        <v>3030</v>
      </c>
      <c r="K20" s="50">
        <v>0</v>
      </c>
      <c r="L20" s="50">
        <f t="shared" si="0"/>
        <v>3030</v>
      </c>
      <c r="M20" s="50">
        <v>132250</v>
      </c>
      <c r="N20" s="51">
        <f t="shared" si="1"/>
        <v>2.2911153119092628E-2</v>
      </c>
      <c r="O20" s="52">
        <v>3060</v>
      </c>
      <c r="P20" s="53">
        <v>0</v>
      </c>
      <c r="Q20" s="53">
        <f t="shared" si="2"/>
        <v>3060</v>
      </c>
      <c r="R20" s="53">
        <v>132250</v>
      </c>
      <c r="S20" s="54">
        <f t="shared" si="3"/>
        <v>2.3137996219281663E-2</v>
      </c>
      <c r="T20" s="52">
        <v>3314</v>
      </c>
      <c r="U20" s="53">
        <v>0</v>
      </c>
      <c r="V20" s="53">
        <f t="shared" si="4"/>
        <v>3314</v>
      </c>
      <c r="W20" s="53">
        <v>132250</v>
      </c>
      <c r="X20" s="54">
        <f t="shared" si="5"/>
        <v>2.50586011342155E-2</v>
      </c>
      <c r="Y20" s="52">
        <v>3483</v>
      </c>
      <c r="Z20" s="53">
        <v>0</v>
      </c>
      <c r="AA20" s="53">
        <f t="shared" si="6"/>
        <v>3483</v>
      </c>
      <c r="AB20" s="53">
        <v>132250</v>
      </c>
      <c r="AC20" s="54">
        <f t="shared" si="7"/>
        <v>2.6336483931947069E-2</v>
      </c>
      <c r="AD20" s="52">
        <v>3661</v>
      </c>
      <c r="AE20" s="53">
        <v>0</v>
      </c>
      <c r="AF20" s="53">
        <f t="shared" si="8"/>
        <v>3661</v>
      </c>
      <c r="AG20" s="53">
        <v>132250</v>
      </c>
      <c r="AH20" s="55">
        <f t="shared" si="9"/>
        <v>2.7682419659735349E-2</v>
      </c>
      <c r="AI20" s="56">
        <v>195500</v>
      </c>
      <c r="AJ20" s="54">
        <f t="shared" si="10"/>
        <v>1.8726342710997441E-2</v>
      </c>
      <c r="AK20" s="52">
        <v>3972.2368874900712</v>
      </c>
      <c r="AL20" s="53">
        <v>0</v>
      </c>
      <c r="AM20" s="53">
        <f t="shared" si="11"/>
        <v>3972.2368874900712</v>
      </c>
      <c r="AN20" s="53">
        <v>132250</v>
      </c>
      <c r="AO20" s="55">
        <f t="shared" si="12"/>
        <v>3.0035817674783149E-2</v>
      </c>
      <c r="AP20" s="53">
        <v>195500</v>
      </c>
      <c r="AQ20" s="54">
        <f t="shared" si="13"/>
        <v>2.0318347250588599E-2</v>
      </c>
      <c r="AR20" s="52">
        <v>4309.9333215888582</v>
      </c>
      <c r="AS20" s="53">
        <v>0</v>
      </c>
      <c r="AT20" s="53">
        <f t="shared" si="14"/>
        <v>4309.9333215888582</v>
      </c>
      <c r="AU20" s="53">
        <v>132250</v>
      </c>
      <c r="AV20" s="55">
        <f t="shared" si="15"/>
        <v>3.2589287875908188E-2</v>
      </c>
      <c r="AW20" s="53">
        <v>195500</v>
      </c>
      <c r="AX20" s="55">
        <f t="shared" si="16"/>
        <v>2.2045694739584953E-2</v>
      </c>
      <c r="AY20" s="52">
        <v>4652.0309138682114</v>
      </c>
      <c r="AZ20" s="53">
        <v>0</v>
      </c>
      <c r="BA20" s="53">
        <f t="shared" si="17"/>
        <v>4652.0309138682114</v>
      </c>
      <c r="BB20" s="53">
        <v>132250</v>
      </c>
      <c r="BC20" s="55">
        <f t="shared" si="18"/>
        <v>3.5176037155903297E-2</v>
      </c>
      <c r="BD20" s="53">
        <v>195500</v>
      </c>
      <c r="BE20" s="55">
        <f t="shared" si="19"/>
        <v>2.3795554546640469E-2</v>
      </c>
    </row>
    <row r="21" spans="1:57" s="57" customFormat="1" ht="11.25" x14ac:dyDescent="0.2">
      <c r="A21" s="44" t="s">
        <v>145</v>
      </c>
      <c r="B21" s="45" t="s">
        <v>146</v>
      </c>
      <c r="C21" s="45" t="s">
        <v>33</v>
      </c>
      <c r="D21" s="46" t="s">
        <v>147</v>
      </c>
      <c r="E21" s="47" t="s">
        <v>148</v>
      </c>
      <c r="F21" s="47" t="s">
        <v>149</v>
      </c>
      <c r="G21" s="47" t="s">
        <v>150</v>
      </c>
      <c r="H21" s="48" t="s">
        <v>55</v>
      </c>
      <c r="I21" s="48" t="s">
        <v>56</v>
      </c>
      <c r="J21" s="49">
        <v>527</v>
      </c>
      <c r="K21" s="50">
        <v>0</v>
      </c>
      <c r="L21" s="50">
        <f t="shared" si="0"/>
        <v>527</v>
      </c>
      <c r="M21" s="50">
        <v>161000</v>
      </c>
      <c r="N21" s="51">
        <f t="shared" si="1"/>
        <v>3.2732919254658383E-3</v>
      </c>
      <c r="O21" s="52">
        <v>529</v>
      </c>
      <c r="P21" s="53">
        <v>0</v>
      </c>
      <c r="Q21" s="53">
        <f t="shared" si="2"/>
        <v>529</v>
      </c>
      <c r="R21" s="53">
        <v>161000</v>
      </c>
      <c r="S21" s="54">
        <f t="shared" si="3"/>
        <v>3.2857142857142859E-3</v>
      </c>
      <c r="T21" s="52">
        <v>551</v>
      </c>
      <c r="U21" s="53">
        <v>0</v>
      </c>
      <c r="V21" s="53">
        <f t="shared" si="4"/>
        <v>551</v>
      </c>
      <c r="W21" s="53">
        <v>161000</v>
      </c>
      <c r="X21" s="54">
        <f t="shared" si="5"/>
        <v>3.4223602484472048E-3</v>
      </c>
      <c r="Y21" s="52">
        <v>565</v>
      </c>
      <c r="Z21" s="53">
        <v>0</v>
      </c>
      <c r="AA21" s="53">
        <f t="shared" si="6"/>
        <v>565</v>
      </c>
      <c r="AB21" s="53">
        <v>161000</v>
      </c>
      <c r="AC21" s="54">
        <f t="shared" si="7"/>
        <v>3.5093167701863355E-3</v>
      </c>
      <c r="AD21" s="52">
        <v>579</v>
      </c>
      <c r="AE21" s="53">
        <v>0</v>
      </c>
      <c r="AF21" s="53">
        <f t="shared" si="8"/>
        <v>579</v>
      </c>
      <c r="AG21" s="53">
        <v>161000</v>
      </c>
      <c r="AH21" s="55">
        <f t="shared" si="9"/>
        <v>3.5962732919254657E-3</v>
      </c>
      <c r="AI21" s="56">
        <v>195500</v>
      </c>
      <c r="AJ21" s="54">
        <f t="shared" si="10"/>
        <v>2.9616368286445012E-3</v>
      </c>
      <c r="AK21" s="52">
        <v>597.4129074917206</v>
      </c>
      <c r="AL21" s="53">
        <v>0</v>
      </c>
      <c r="AM21" s="53">
        <f t="shared" si="11"/>
        <v>597.4129074917206</v>
      </c>
      <c r="AN21" s="53">
        <v>161000</v>
      </c>
      <c r="AO21" s="55">
        <f t="shared" si="12"/>
        <v>3.7106391769672086E-3</v>
      </c>
      <c r="AP21" s="53">
        <v>195500</v>
      </c>
      <c r="AQ21" s="54">
        <f t="shared" si="13"/>
        <v>3.0558204986788776E-3</v>
      </c>
      <c r="AR21" s="52">
        <v>616.41136794077909</v>
      </c>
      <c r="AS21" s="53">
        <v>0</v>
      </c>
      <c r="AT21" s="53">
        <f t="shared" si="14"/>
        <v>616.41136794077909</v>
      </c>
      <c r="AU21" s="53">
        <v>161000</v>
      </c>
      <c r="AV21" s="55">
        <f t="shared" si="15"/>
        <v>3.828642036899249E-3</v>
      </c>
      <c r="AW21" s="53">
        <v>195500</v>
      </c>
      <c r="AX21" s="55">
        <f t="shared" si="16"/>
        <v>3.1529993245052639E-3</v>
      </c>
      <c r="AY21" s="52">
        <v>636.44396693460669</v>
      </c>
      <c r="AZ21" s="53">
        <v>0</v>
      </c>
      <c r="BA21" s="53">
        <f t="shared" si="17"/>
        <v>636.44396693460669</v>
      </c>
      <c r="BB21" s="53">
        <v>161000</v>
      </c>
      <c r="BC21" s="55">
        <f t="shared" si="18"/>
        <v>3.9530681176062525E-3</v>
      </c>
      <c r="BD21" s="53">
        <v>195500</v>
      </c>
      <c r="BE21" s="55">
        <f t="shared" si="19"/>
        <v>3.2554678615580907E-3</v>
      </c>
    </row>
    <row r="22" spans="1:57" s="57" customFormat="1" ht="11.25" x14ac:dyDescent="0.2">
      <c r="A22" s="44" t="s">
        <v>151</v>
      </c>
      <c r="B22" s="45" t="s">
        <v>152</v>
      </c>
      <c r="C22" s="45" t="s">
        <v>153</v>
      </c>
      <c r="D22" s="46" t="s">
        <v>154</v>
      </c>
      <c r="E22" s="47" t="s">
        <v>155</v>
      </c>
      <c r="F22" s="47" t="s">
        <v>156</v>
      </c>
      <c r="G22" s="47" t="s">
        <v>157</v>
      </c>
      <c r="H22" s="48" t="s">
        <v>158</v>
      </c>
      <c r="I22" s="48" t="s">
        <v>159</v>
      </c>
      <c r="J22" s="49">
        <v>82912</v>
      </c>
      <c r="K22" s="50">
        <v>0</v>
      </c>
      <c r="L22" s="50">
        <f t="shared" si="0"/>
        <v>82912</v>
      </c>
      <c r="M22" s="50">
        <v>257891.58455671067</v>
      </c>
      <c r="N22" s="51">
        <f t="shared" si="1"/>
        <v>0.3214994399391406</v>
      </c>
      <c r="O22" s="52">
        <v>84156</v>
      </c>
      <c r="P22" s="53">
        <v>0</v>
      </c>
      <c r="Q22" s="53">
        <f t="shared" si="2"/>
        <v>84156</v>
      </c>
      <c r="R22" s="53">
        <v>257891.58455671067</v>
      </c>
      <c r="S22" s="54">
        <f t="shared" si="3"/>
        <v>0.32632317236972108</v>
      </c>
      <c r="T22" s="52">
        <v>94801</v>
      </c>
      <c r="U22" s="53">
        <v>0</v>
      </c>
      <c r="V22" s="53">
        <f t="shared" si="4"/>
        <v>94801</v>
      </c>
      <c r="W22" s="53">
        <v>257891.58455671067</v>
      </c>
      <c r="X22" s="54">
        <f t="shared" si="5"/>
        <v>0.36760020751725281</v>
      </c>
      <c r="Y22" s="52">
        <v>102128</v>
      </c>
      <c r="Z22" s="53">
        <v>0</v>
      </c>
      <c r="AA22" s="53">
        <f t="shared" si="6"/>
        <v>102128</v>
      </c>
      <c r="AB22" s="53">
        <v>257891.58455671067</v>
      </c>
      <c r="AC22" s="54">
        <f t="shared" si="7"/>
        <v>0.3960113711176253</v>
      </c>
      <c r="AD22" s="52">
        <v>110021</v>
      </c>
      <c r="AE22" s="53">
        <v>0</v>
      </c>
      <c r="AF22" s="53">
        <f t="shared" si="8"/>
        <v>110021</v>
      </c>
      <c r="AG22" s="53">
        <v>257891.58455671067</v>
      </c>
      <c r="AH22" s="55">
        <f t="shared" si="9"/>
        <v>0.42661725542194356</v>
      </c>
      <c r="AI22" s="56">
        <v>232408</v>
      </c>
      <c r="AJ22" s="54">
        <f t="shared" si="10"/>
        <v>0.4733959244087983</v>
      </c>
      <c r="AK22" s="52">
        <v>124161.65707816722</v>
      </c>
      <c r="AL22" s="53">
        <v>0</v>
      </c>
      <c r="AM22" s="53">
        <f t="shared" si="11"/>
        <v>124161.65707816722</v>
      </c>
      <c r="AN22" s="53">
        <v>257891.58455671067</v>
      </c>
      <c r="AO22" s="55">
        <f t="shared" si="12"/>
        <v>0.48144904492168072</v>
      </c>
      <c r="AP22" s="53">
        <v>232408</v>
      </c>
      <c r="AQ22" s="54">
        <f t="shared" si="13"/>
        <v>0.53424003080000348</v>
      </c>
      <c r="AR22" s="52">
        <v>140119.7688477326</v>
      </c>
      <c r="AS22" s="53">
        <v>0</v>
      </c>
      <c r="AT22" s="53">
        <f t="shared" si="14"/>
        <v>140119.7688477326</v>
      </c>
      <c r="AU22" s="53">
        <v>257891.58455671067</v>
      </c>
      <c r="AV22" s="55">
        <f t="shared" si="15"/>
        <v>0.5433281938555079</v>
      </c>
      <c r="AW22" s="53">
        <v>232408</v>
      </c>
      <c r="AX22" s="55">
        <f t="shared" si="16"/>
        <v>0.60290424102325479</v>
      </c>
      <c r="AY22" s="52">
        <v>156740.5696815913</v>
      </c>
      <c r="AZ22" s="53">
        <v>0</v>
      </c>
      <c r="BA22" s="53">
        <f t="shared" si="17"/>
        <v>156740.5696815913</v>
      </c>
      <c r="BB22" s="53">
        <v>257891.58455671067</v>
      </c>
      <c r="BC22" s="55">
        <f t="shared" si="18"/>
        <v>0.60777698485591281</v>
      </c>
      <c r="BD22" s="53">
        <v>232408</v>
      </c>
      <c r="BE22" s="55">
        <f t="shared" si="19"/>
        <v>0.67441985508928826</v>
      </c>
    </row>
    <row r="23" spans="1:57" s="57" customFormat="1" ht="11.25" x14ac:dyDescent="0.2">
      <c r="A23" s="44" t="s">
        <v>160</v>
      </c>
      <c r="B23" s="45" t="s">
        <v>161</v>
      </c>
      <c r="C23" s="45" t="s">
        <v>33</v>
      </c>
      <c r="D23" s="46" t="s">
        <v>162</v>
      </c>
      <c r="E23" s="47" t="s">
        <v>163</v>
      </c>
      <c r="F23" s="47" t="s">
        <v>164</v>
      </c>
      <c r="G23" s="47" t="s">
        <v>165</v>
      </c>
      <c r="H23" s="48" t="s">
        <v>64</v>
      </c>
      <c r="I23" s="48" t="s">
        <v>90</v>
      </c>
      <c r="J23" s="49">
        <v>5025</v>
      </c>
      <c r="K23" s="50">
        <v>0</v>
      </c>
      <c r="L23" s="50">
        <f t="shared" si="0"/>
        <v>5025</v>
      </c>
      <c r="M23" s="50">
        <v>126500</v>
      </c>
      <c r="N23" s="51">
        <f>L23/M23</f>
        <v>3.9723320158102766E-2</v>
      </c>
      <c r="O23" s="52">
        <v>5050</v>
      </c>
      <c r="P23" s="53">
        <v>0</v>
      </c>
      <c r="Q23" s="53">
        <f t="shared" si="2"/>
        <v>5050</v>
      </c>
      <c r="R23" s="53">
        <v>126500</v>
      </c>
      <c r="S23" s="54">
        <f>Q23/R23</f>
        <v>3.9920948616600789E-2</v>
      </c>
      <c r="T23" s="52">
        <v>5256</v>
      </c>
      <c r="U23" s="53">
        <v>0</v>
      </c>
      <c r="V23" s="53">
        <f t="shared" si="4"/>
        <v>5256</v>
      </c>
      <c r="W23" s="53">
        <v>126500</v>
      </c>
      <c r="X23" s="54">
        <f>V23/W23</f>
        <v>4.1549407114624508E-2</v>
      </c>
      <c r="Y23" s="52">
        <v>5388</v>
      </c>
      <c r="Z23" s="53">
        <v>0</v>
      </c>
      <c r="AA23" s="53">
        <f t="shared" si="6"/>
        <v>5388</v>
      </c>
      <c r="AB23" s="53">
        <v>126500</v>
      </c>
      <c r="AC23" s="54">
        <f>AA23/AB23</f>
        <v>4.259288537549407E-2</v>
      </c>
      <c r="AD23" s="52">
        <v>5524</v>
      </c>
      <c r="AE23" s="53">
        <v>0</v>
      </c>
      <c r="AF23" s="53">
        <f t="shared" si="8"/>
        <v>5524</v>
      </c>
      <c r="AG23" s="53">
        <v>126500</v>
      </c>
      <c r="AH23" s="55">
        <f t="shared" si="9"/>
        <v>4.366798418972332E-2</v>
      </c>
      <c r="AI23" s="56">
        <v>126500</v>
      </c>
      <c r="AJ23" s="54">
        <f>AF23/AI23</f>
        <v>4.366798418972332E-2</v>
      </c>
      <c r="AK23" s="52">
        <v>5729.9646974984571</v>
      </c>
      <c r="AL23" s="53">
        <v>0</v>
      </c>
      <c r="AM23" s="53">
        <f t="shared" si="11"/>
        <v>5729.9646974984571</v>
      </c>
      <c r="AN23" s="53">
        <v>126500</v>
      </c>
      <c r="AO23" s="55">
        <f t="shared" si="12"/>
        <v>4.5296163616588593E-2</v>
      </c>
      <c r="AP23" s="53">
        <v>126500</v>
      </c>
      <c r="AQ23" s="54">
        <f t="shared" si="13"/>
        <v>4.5296163616588593E-2</v>
      </c>
      <c r="AR23" s="52">
        <v>5943.6088766434796</v>
      </c>
      <c r="AS23" s="53">
        <v>0</v>
      </c>
      <c r="AT23" s="53">
        <f t="shared" si="14"/>
        <v>5943.6088766434796</v>
      </c>
      <c r="AU23" s="53">
        <v>126500</v>
      </c>
      <c r="AV23" s="55">
        <f t="shared" si="15"/>
        <v>4.6985050408248852E-2</v>
      </c>
      <c r="AW23" s="53">
        <v>126500</v>
      </c>
      <c r="AX23" s="55">
        <f t="shared" si="16"/>
        <v>4.6985050408248852E-2</v>
      </c>
      <c r="AY23" s="52">
        <v>6133.6785249028289</v>
      </c>
      <c r="AZ23" s="53">
        <v>0</v>
      </c>
      <c r="BA23" s="53">
        <f t="shared" si="17"/>
        <v>6133.6785249028289</v>
      </c>
      <c r="BB23" s="53">
        <v>126500</v>
      </c>
      <c r="BC23" s="55">
        <f t="shared" si="18"/>
        <v>4.8487577271959119E-2</v>
      </c>
      <c r="BD23" s="53">
        <v>126500</v>
      </c>
      <c r="BE23" s="55">
        <f t="shared" si="19"/>
        <v>4.8487577271959119E-2</v>
      </c>
    </row>
    <row r="24" spans="1:57" s="57" customFormat="1" ht="11.25" x14ac:dyDescent="0.2">
      <c r="A24" s="44" t="s">
        <v>166</v>
      </c>
      <c r="B24" s="45" t="s">
        <v>167</v>
      </c>
      <c r="C24" s="45" t="s">
        <v>168</v>
      </c>
      <c r="D24" s="46" t="s">
        <v>169</v>
      </c>
      <c r="E24" s="47" t="s">
        <v>170</v>
      </c>
      <c r="F24" s="47" t="s">
        <v>171</v>
      </c>
      <c r="G24" s="47" t="s">
        <v>172</v>
      </c>
      <c r="H24" s="48" t="s">
        <v>29</v>
      </c>
      <c r="I24" s="48" t="s">
        <v>173</v>
      </c>
      <c r="J24" s="49">
        <v>72927</v>
      </c>
      <c r="K24" s="50">
        <v>3095</v>
      </c>
      <c r="L24" s="50">
        <f t="shared" si="0"/>
        <v>76022</v>
      </c>
      <c r="M24" s="50">
        <v>301750</v>
      </c>
      <c r="N24" s="51">
        <f t="shared" ref="N24:N88" si="20">L24/M24</f>
        <v>0.25193703396851697</v>
      </c>
      <c r="O24" s="52">
        <v>74021</v>
      </c>
      <c r="P24" s="53">
        <v>3188</v>
      </c>
      <c r="Q24" s="53">
        <f t="shared" si="2"/>
        <v>77209</v>
      </c>
      <c r="R24" s="53">
        <v>301750</v>
      </c>
      <c r="S24" s="54">
        <f t="shared" ref="S24:S86" si="21">Q24/R24</f>
        <v>0.25587075393537695</v>
      </c>
      <c r="T24" s="52">
        <v>83384</v>
      </c>
      <c r="U24" s="53">
        <v>4038</v>
      </c>
      <c r="V24" s="53">
        <f t="shared" si="4"/>
        <v>87422</v>
      </c>
      <c r="W24" s="53">
        <v>301750</v>
      </c>
      <c r="X24" s="54">
        <f t="shared" ref="X24:X86" si="22">V24/W24</f>
        <v>0.28971665285832643</v>
      </c>
      <c r="Y24" s="52">
        <v>89828</v>
      </c>
      <c r="Z24" s="53">
        <v>4682</v>
      </c>
      <c r="AA24" s="53">
        <f t="shared" si="6"/>
        <v>94510</v>
      </c>
      <c r="AB24" s="53">
        <v>301750</v>
      </c>
      <c r="AC24" s="54">
        <f t="shared" ref="AC24:AC86" si="23">AA24/AB24</f>
        <v>0.3132062966031483</v>
      </c>
      <c r="AD24" s="52">
        <v>96770</v>
      </c>
      <c r="AE24" s="53">
        <v>5427</v>
      </c>
      <c r="AF24" s="53">
        <f t="shared" si="8"/>
        <v>102197</v>
      </c>
      <c r="AG24" s="53">
        <v>301750</v>
      </c>
      <c r="AH24" s="55">
        <f t="shared" si="9"/>
        <v>0.3386810273405137</v>
      </c>
      <c r="AI24" s="56">
        <v>355000</v>
      </c>
      <c r="AJ24" s="54">
        <f t="shared" ref="AJ24:AJ86" si="24">AF24/AI24</f>
        <v>0.28787887323943662</v>
      </c>
      <c r="AK24" s="52">
        <v>108995.26509871663</v>
      </c>
      <c r="AL24" s="53">
        <v>6728.7066845637473</v>
      </c>
      <c r="AM24" s="53">
        <f t="shared" si="11"/>
        <v>115723.97178328037</v>
      </c>
      <c r="AN24" s="53">
        <v>301750</v>
      </c>
      <c r="AO24" s="55">
        <f t="shared" si="12"/>
        <v>0.38350943424450828</v>
      </c>
      <c r="AP24" s="53">
        <v>355000</v>
      </c>
      <c r="AQ24" s="54">
        <f t="shared" si="13"/>
        <v>0.32598301910783206</v>
      </c>
      <c r="AR24" s="52">
        <v>122764.98722682148</v>
      </c>
      <c r="AS24" s="53">
        <v>8342.6374879109753</v>
      </c>
      <c r="AT24" s="53">
        <f t="shared" si="14"/>
        <v>131107.62471473246</v>
      </c>
      <c r="AU24" s="53">
        <v>301750</v>
      </c>
      <c r="AV24" s="55">
        <f t="shared" si="15"/>
        <v>0.43449088555006615</v>
      </c>
      <c r="AW24" s="53">
        <v>355000</v>
      </c>
      <c r="AX24" s="55">
        <f t="shared" si="16"/>
        <v>0.36931725271755622</v>
      </c>
      <c r="AY24" s="52">
        <v>136973.01990353211</v>
      </c>
      <c r="AZ24" s="53">
        <v>10057.56220974274</v>
      </c>
      <c r="BA24" s="53">
        <f t="shared" si="17"/>
        <v>147030.58211327484</v>
      </c>
      <c r="BB24" s="53">
        <v>301750</v>
      </c>
      <c r="BC24" s="55">
        <f t="shared" si="18"/>
        <v>0.4872595927531892</v>
      </c>
      <c r="BD24" s="53">
        <v>355000</v>
      </c>
      <c r="BE24" s="55">
        <f t="shared" si="19"/>
        <v>0.41417065384021079</v>
      </c>
    </row>
    <row r="25" spans="1:57" s="57" customFormat="1" ht="11.25" x14ac:dyDescent="0.2">
      <c r="A25" s="44" t="s">
        <v>174</v>
      </c>
      <c r="B25" s="45" t="s">
        <v>175</v>
      </c>
      <c r="C25" s="45" t="s">
        <v>176</v>
      </c>
      <c r="D25" s="46" t="s">
        <v>177</v>
      </c>
      <c r="E25" s="47" t="s">
        <v>178</v>
      </c>
      <c r="F25" s="47" t="s">
        <v>179</v>
      </c>
      <c r="G25" s="47" t="s">
        <v>180</v>
      </c>
      <c r="H25" s="48" t="s">
        <v>46</v>
      </c>
      <c r="I25" s="48" t="s">
        <v>47</v>
      </c>
      <c r="J25" s="49">
        <v>51096</v>
      </c>
      <c r="K25" s="50">
        <v>0</v>
      </c>
      <c r="L25" s="50">
        <f t="shared" si="0"/>
        <v>51096</v>
      </c>
      <c r="M25" s="50">
        <v>184000</v>
      </c>
      <c r="N25" s="51">
        <f t="shared" si="20"/>
        <v>0.27769565217391307</v>
      </c>
      <c r="O25" s="52">
        <v>51607</v>
      </c>
      <c r="P25" s="53">
        <v>0</v>
      </c>
      <c r="Q25" s="53">
        <f t="shared" si="2"/>
        <v>51607</v>
      </c>
      <c r="R25" s="53">
        <v>184000</v>
      </c>
      <c r="S25" s="54">
        <f t="shared" si="21"/>
        <v>0.28047282608695651</v>
      </c>
      <c r="T25" s="52">
        <v>55883</v>
      </c>
      <c r="U25" s="53">
        <v>0</v>
      </c>
      <c r="V25" s="53">
        <f t="shared" si="4"/>
        <v>55883</v>
      </c>
      <c r="W25" s="53">
        <v>184000</v>
      </c>
      <c r="X25" s="54">
        <f t="shared" si="22"/>
        <v>0.30371195652173916</v>
      </c>
      <c r="Y25" s="52">
        <v>58733</v>
      </c>
      <c r="Z25" s="53">
        <v>0</v>
      </c>
      <c r="AA25" s="53">
        <f t="shared" si="6"/>
        <v>58733</v>
      </c>
      <c r="AB25" s="53">
        <v>184000</v>
      </c>
      <c r="AC25" s="54">
        <f t="shared" si="23"/>
        <v>0.31920108695652172</v>
      </c>
      <c r="AD25" s="52">
        <v>61729</v>
      </c>
      <c r="AE25" s="53">
        <v>0</v>
      </c>
      <c r="AF25" s="53">
        <f t="shared" si="8"/>
        <v>61729</v>
      </c>
      <c r="AG25" s="53">
        <v>184000</v>
      </c>
      <c r="AH25" s="55">
        <f t="shared" si="9"/>
        <v>0.3354836956521739</v>
      </c>
      <c r="AI25" s="56">
        <v>184000</v>
      </c>
      <c r="AJ25" s="54">
        <f t="shared" si="24"/>
        <v>0.3354836956521739</v>
      </c>
      <c r="AK25" s="52">
        <v>64285.459011956831</v>
      </c>
      <c r="AL25" s="53">
        <v>0</v>
      </c>
      <c r="AM25" s="53">
        <f t="shared" si="11"/>
        <v>64285.459011956831</v>
      </c>
      <c r="AN25" s="53">
        <v>184000</v>
      </c>
      <c r="AO25" s="55">
        <f t="shared" si="12"/>
        <v>0.34937749463020018</v>
      </c>
      <c r="AP25" s="53">
        <v>184000</v>
      </c>
      <c r="AQ25" s="54">
        <f t="shared" si="13"/>
        <v>0.34937749463020018</v>
      </c>
      <c r="AR25" s="52">
        <v>66947.791805763598</v>
      </c>
      <c r="AS25" s="53">
        <v>0</v>
      </c>
      <c r="AT25" s="53">
        <f t="shared" si="14"/>
        <v>66947.791805763598</v>
      </c>
      <c r="AU25" s="53">
        <v>184000</v>
      </c>
      <c r="AV25" s="55">
        <f t="shared" si="15"/>
        <v>0.36384669459654129</v>
      </c>
      <c r="AW25" s="53">
        <v>184000</v>
      </c>
      <c r="AX25" s="55">
        <f t="shared" si="16"/>
        <v>0.36384669459654129</v>
      </c>
      <c r="AY25" s="52">
        <v>66947.791805746136</v>
      </c>
      <c r="AZ25" s="53">
        <v>0</v>
      </c>
      <c r="BA25" s="53">
        <f t="shared" si="17"/>
        <v>66947.791805746136</v>
      </c>
      <c r="BB25" s="53">
        <v>184000</v>
      </c>
      <c r="BC25" s="55">
        <f t="shared" si="18"/>
        <v>0.36384669459644636</v>
      </c>
      <c r="BD25" s="53">
        <v>184000</v>
      </c>
      <c r="BE25" s="55">
        <f t="shared" si="19"/>
        <v>0.36384669459644636</v>
      </c>
    </row>
    <row r="26" spans="1:57" s="57" customFormat="1" ht="11.25" x14ac:dyDescent="0.2">
      <c r="A26" s="44" t="s">
        <v>181</v>
      </c>
      <c r="B26" s="45" t="s">
        <v>182</v>
      </c>
      <c r="C26" s="45" t="s">
        <v>33</v>
      </c>
      <c r="D26" s="46" t="s">
        <v>183</v>
      </c>
      <c r="E26" s="47" t="s">
        <v>184</v>
      </c>
      <c r="F26" s="47" t="s">
        <v>185</v>
      </c>
      <c r="G26" s="47" t="s">
        <v>186</v>
      </c>
      <c r="H26" s="48" t="s">
        <v>55</v>
      </c>
      <c r="I26" s="48" t="s">
        <v>187</v>
      </c>
      <c r="J26" s="49">
        <v>14105</v>
      </c>
      <c r="K26" s="50">
        <v>0</v>
      </c>
      <c r="L26" s="50">
        <f t="shared" si="0"/>
        <v>14105</v>
      </c>
      <c r="M26" s="50">
        <v>126500</v>
      </c>
      <c r="N26" s="51">
        <f t="shared" si="20"/>
        <v>0.11150197628458498</v>
      </c>
      <c r="O26" s="52">
        <v>14211</v>
      </c>
      <c r="P26" s="53">
        <v>0</v>
      </c>
      <c r="Q26" s="53">
        <f t="shared" si="2"/>
        <v>14211</v>
      </c>
      <c r="R26" s="53">
        <v>126500</v>
      </c>
      <c r="S26" s="54">
        <f t="shared" si="21"/>
        <v>0.1123399209486166</v>
      </c>
      <c r="T26" s="52">
        <v>15086</v>
      </c>
      <c r="U26" s="53">
        <v>0</v>
      </c>
      <c r="V26" s="53">
        <f t="shared" si="4"/>
        <v>15086</v>
      </c>
      <c r="W26" s="53">
        <v>126500</v>
      </c>
      <c r="X26" s="54">
        <f t="shared" si="22"/>
        <v>0.11925691699604743</v>
      </c>
      <c r="Y26" s="52">
        <v>15660</v>
      </c>
      <c r="Z26" s="53">
        <v>0</v>
      </c>
      <c r="AA26" s="53">
        <f t="shared" si="6"/>
        <v>15660</v>
      </c>
      <c r="AB26" s="53">
        <v>126500</v>
      </c>
      <c r="AC26" s="54">
        <f t="shared" si="23"/>
        <v>0.12379446640316205</v>
      </c>
      <c r="AD26" s="52">
        <v>16257</v>
      </c>
      <c r="AE26" s="53">
        <v>0</v>
      </c>
      <c r="AF26" s="53">
        <f t="shared" si="8"/>
        <v>16257</v>
      </c>
      <c r="AG26" s="53">
        <v>126500</v>
      </c>
      <c r="AH26" s="55">
        <f t="shared" si="9"/>
        <v>0.12851383399209487</v>
      </c>
      <c r="AI26" s="56">
        <v>126500</v>
      </c>
      <c r="AJ26" s="54">
        <f t="shared" si="24"/>
        <v>0.12851383399209487</v>
      </c>
      <c r="AK26" s="52">
        <v>17365.117575830274</v>
      </c>
      <c r="AL26" s="53">
        <v>0</v>
      </c>
      <c r="AM26" s="53">
        <f t="shared" si="11"/>
        <v>17365.117575830274</v>
      </c>
      <c r="AN26" s="53">
        <v>126500</v>
      </c>
      <c r="AO26" s="55">
        <f t="shared" si="12"/>
        <v>0.13727365672593103</v>
      </c>
      <c r="AP26" s="53">
        <v>126500</v>
      </c>
      <c r="AQ26" s="54">
        <f t="shared" si="13"/>
        <v>0.13727365672593103</v>
      </c>
      <c r="AR26" s="52">
        <v>18548.767203199204</v>
      </c>
      <c r="AS26" s="53">
        <v>0</v>
      </c>
      <c r="AT26" s="53">
        <f t="shared" si="14"/>
        <v>18548.767203199204</v>
      </c>
      <c r="AU26" s="53">
        <v>126500</v>
      </c>
      <c r="AV26" s="55">
        <f t="shared" si="15"/>
        <v>0.14663057077627831</v>
      </c>
      <c r="AW26" s="53">
        <v>126500</v>
      </c>
      <c r="AX26" s="55">
        <f t="shared" si="16"/>
        <v>0.14663057077627831</v>
      </c>
      <c r="AY26" s="52">
        <v>19818.603475118765</v>
      </c>
      <c r="AZ26" s="53">
        <v>0</v>
      </c>
      <c r="BA26" s="53">
        <f t="shared" si="17"/>
        <v>19818.603475118765</v>
      </c>
      <c r="BB26" s="53">
        <v>126500</v>
      </c>
      <c r="BC26" s="55">
        <f t="shared" si="18"/>
        <v>0.15666880217485191</v>
      </c>
      <c r="BD26" s="53">
        <v>126500</v>
      </c>
      <c r="BE26" s="55">
        <f t="shared" si="19"/>
        <v>0.15666880217485191</v>
      </c>
    </row>
    <row r="27" spans="1:57" s="57" customFormat="1" ht="11.25" x14ac:dyDescent="0.2">
      <c r="A27" s="44" t="s">
        <v>188</v>
      </c>
      <c r="B27" s="45" t="s">
        <v>189</v>
      </c>
      <c r="C27" s="45" t="s">
        <v>33</v>
      </c>
      <c r="D27" s="46" t="s">
        <v>190</v>
      </c>
      <c r="E27" s="47" t="s">
        <v>191</v>
      </c>
      <c r="F27" s="47" t="s">
        <v>192</v>
      </c>
      <c r="G27" s="47" t="s">
        <v>193</v>
      </c>
      <c r="H27" s="48" t="s">
        <v>55</v>
      </c>
      <c r="I27" s="48" t="s">
        <v>194</v>
      </c>
      <c r="J27" s="49">
        <v>5025</v>
      </c>
      <c r="K27" s="50">
        <v>0</v>
      </c>
      <c r="L27" s="50">
        <f t="shared" si="0"/>
        <v>5025</v>
      </c>
      <c r="M27" s="50">
        <v>126500</v>
      </c>
      <c r="N27" s="51">
        <f t="shared" si="20"/>
        <v>3.9723320158102766E-2</v>
      </c>
      <c r="O27" s="52">
        <v>5050</v>
      </c>
      <c r="P27" s="53">
        <v>0</v>
      </c>
      <c r="Q27" s="53">
        <f t="shared" si="2"/>
        <v>5050</v>
      </c>
      <c r="R27" s="53">
        <v>126500</v>
      </c>
      <c r="S27" s="54">
        <f t="shared" si="21"/>
        <v>3.9920948616600789E-2</v>
      </c>
      <c r="T27" s="52">
        <v>5256</v>
      </c>
      <c r="U27" s="53">
        <v>0</v>
      </c>
      <c r="V27" s="53">
        <f t="shared" si="4"/>
        <v>5256</v>
      </c>
      <c r="W27" s="53">
        <v>126500</v>
      </c>
      <c r="X27" s="54">
        <f t="shared" si="22"/>
        <v>4.1549407114624508E-2</v>
      </c>
      <c r="Y27" s="52">
        <v>5388</v>
      </c>
      <c r="Z27" s="53">
        <v>0</v>
      </c>
      <c r="AA27" s="53">
        <f t="shared" si="6"/>
        <v>5388</v>
      </c>
      <c r="AB27" s="53">
        <v>126500</v>
      </c>
      <c r="AC27" s="54">
        <f t="shared" si="23"/>
        <v>4.259288537549407E-2</v>
      </c>
      <c r="AD27" s="52">
        <v>5524</v>
      </c>
      <c r="AE27" s="53">
        <v>0</v>
      </c>
      <c r="AF27" s="53">
        <f t="shared" si="8"/>
        <v>5524</v>
      </c>
      <c r="AG27" s="53">
        <v>126500</v>
      </c>
      <c r="AH27" s="55">
        <f t="shared" si="9"/>
        <v>4.366798418972332E-2</v>
      </c>
      <c r="AI27" s="56">
        <v>126500</v>
      </c>
      <c r="AJ27" s="54">
        <f t="shared" si="24"/>
        <v>4.366798418972332E-2</v>
      </c>
      <c r="AK27" s="52">
        <v>5749.7636431842884</v>
      </c>
      <c r="AL27" s="53">
        <v>0</v>
      </c>
      <c r="AM27" s="53">
        <f t="shared" si="11"/>
        <v>5749.7636431842884</v>
      </c>
      <c r="AN27" s="53">
        <v>126500</v>
      </c>
      <c r="AO27" s="55">
        <f t="shared" si="12"/>
        <v>4.5452677021219669E-2</v>
      </c>
      <c r="AP27" s="53">
        <v>126500</v>
      </c>
      <c r="AQ27" s="54">
        <f t="shared" si="13"/>
        <v>4.5452677021219669E-2</v>
      </c>
      <c r="AR27" s="52">
        <v>5984.7541550477699</v>
      </c>
      <c r="AS27" s="53">
        <v>0</v>
      </c>
      <c r="AT27" s="53">
        <f t="shared" si="14"/>
        <v>5984.7541550477699</v>
      </c>
      <c r="AU27" s="53">
        <v>126500</v>
      </c>
      <c r="AV27" s="55">
        <f t="shared" si="15"/>
        <v>4.7310309526069329E-2</v>
      </c>
      <c r="AW27" s="53">
        <v>126500</v>
      </c>
      <c r="AX27" s="55">
        <f t="shared" si="16"/>
        <v>4.7310309526069329E-2</v>
      </c>
      <c r="AY27" s="52">
        <v>6256.51938198879</v>
      </c>
      <c r="AZ27" s="53">
        <v>0</v>
      </c>
      <c r="BA27" s="53">
        <f t="shared" si="17"/>
        <v>6256.51938198879</v>
      </c>
      <c r="BB27" s="53">
        <v>126500</v>
      </c>
      <c r="BC27" s="55">
        <f t="shared" si="18"/>
        <v>4.9458651241018101E-2</v>
      </c>
      <c r="BD27" s="53">
        <v>126500</v>
      </c>
      <c r="BE27" s="55">
        <f t="shared" si="19"/>
        <v>4.9458651241018101E-2</v>
      </c>
    </row>
    <row r="28" spans="1:57" s="57" customFormat="1" ht="11.25" x14ac:dyDescent="0.2">
      <c r="A28" s="44" t="s">
        <v>195</v>
      </c>
      <c r="B28" s="45" t="s">
        <v>152</v>
      </c>
      <c r="C28" s="45" t="s">
        <v>196</v>
      </c>
      <c r="D28" s="46" t="s">
        <v>197</v>
      </c>
      <c r="E28" s="47" t="s">
        <v>198</v>
      </c>
      <c r="F28" s="47" t="s">
        <v>156</v>
      </c>
      <c r="G28" s="47" t="s">
        <v>199</v>
      </c>
      <c r="H28" s="48" t="s">
        <v>158</v>
      </c>
      <c r="I28" s="48" t="s">
        <v>159</v>
      </c>
      <c r="J28" s="49">
        <v>112601</v>
      </c>
      <c r="K28" s="50">
        <v>0</v>
      </c>
      <c r="L28" s="50">
        <f t="shared" si="0"/>
        <v>112601</v>
      </c>
      <c r="M28" s="50">
        <v>197449</v>
      </c>
      <c r="N28" s="51">
        <f t="shared" si="20"/>
        <v>0.57027890746471244</v>
      </c>
      <c r="O28" s="52">
        <v>114696</v>
      </c>
      <c r="P28" s="53">
        <v>0</v>
      </c>
      <c r="Q28" s="53">
        <f t="shared" si="2"/>
        <v>114696</v>
      </c>
      <c r="R28" s="53">
        <v>197449</v>
      </c>
      <c r="S28" s="54">
        <f t="shared" si="21"/>
        <v>0.58088924228534966</v>
      </c>
      <c r="T28" s="52">
        <v>132916</v>
      </c>
      <c r="U28" s="53">
        <v>0</v>
      </c>
      <c r="V28" s="53">
        <f t="shared" si="4"/>
        <v>132916</v>
      </c>
      <c r="W28" s="53">
        <v>197449</v>
      </c>
      <c r="X28" s="54">
        <f t="shared" si="22"/>
        <v>0.67316623533165532</v>
      </c>
      <c r="Y28" s="52">
        <v>145745</v>
      </c>
      <c r="Z28" s="53">
        <v>0</v>
      </c>
      <c r="AA28" s="53">
        <f t="shared" si="6"/>
        <v>145745</v>
      </c>
      <c r="AB28" s="53">
        <v>197449</v>
      </c>
      <c r="AC28" s="54">
        <f t="shared" si="23"/>
        <v>0.73813997538604903</v>
      </c>
      <c r="AD28" s="52">
        <v>159813</v>
      </c>
      <c r="AE28" s="53">
        <v>0</v>
      </c>
      <c r="AF28" s="53">
        <f t="shared" si="8"/>
        <v>159813</v>
      </c>
      <c r="AG28" s="53">
        <v>197449</v>
      </c>
      <c r="AH28" s="55">
        <f t="shared" si="9"/>
        <v>0.80938875355155004</v>
      </c>
      <c r="AI28" s="56">
        <v>197449</v>
      </c>
      <c r="AJ28" s="54">
        <f t="shared" si="24"/>
        <v>0.80938875355155004</v>
      </c>
      <c r="AK28" s="52">
        <v>185622.74889720656</v>
      </c>
      <c r="AL28" s="53">
        <v>0</v>
      </c>
      <c r="AM28" s="53">
        <f t="shared" si="11"/>
        <v>185622.74889720656</v>
      </c>
      <c r="AN28" s="53">
        <v>197449</v>
      </c>
      <c r="AO28" s="55">
        <f t="shared" si="12"/>
        <v>0.94010478096727035</v>
      </c>
      <c r="AP28" s="53">
        <v>197449</v>
      </c>
      <c r="AQ28" s="54">
        <f t="shared" si="13"/>
        <v>0.94010478096727035</v>
      </c>
      <c r="AR28" s="52">
        <v>215600.76406897683</v>
      </c>
      <c r="AS28" s="53">
        <v>0</v>
      </c>
      <c r="AT28" s="53">
        <f t="shared" si="14"/>
        <v>215600.76406897683</v>
      </c>
      <c r="AU28" s="53">
        <v>197449</v>
      </c>
      <c r="AV28" s="55">
        <f t="shared" si="15"/>
        <v>1.0919314054210294</v>
      </c>
      <c r="AW28" s="53">
        <v>197449</v>
      </c>
      <c r="AX28" s="55">
        <f t="shared" si="16"/>
        <v>1.0919314054210294</v>
      </c>
      <c r="AY28" s="52">
        <v>247704.3328744692</v>
      </c>
      <c r="AZ28" s="53">
        <v>0</v>
      </c>
      <c r="BA28" s="53">
        <f t="shared" si="17"/>
        <v>247704.3328744692</v>
      </c>
      <c r="BB28" s="53">
        <v>197449</v>
      </c>
      <c r="BC28" s="55">
        <f t="shared" si="18"/>
        <v>1.2545231065969906</v>
      </c>
      <c r="BD28" s="53">
        <v>197449</v>
      </c>
      <c r="BE28" s="55">
        <f t="shared" si="19"/>
        <v>1.2545231065969906</v>
      </c>
    </row>
    <row r="29" spans="1:57" s="57" customFormat="1" ht="11.25" x14ac:dyDescent="0.2">
      <c r="A29" s="44" t="s">
        <v>200</v>
      </c>
      <c r="B29" s="45" t="s">
        <v>201</v>
      </c>
      <c r="C29" s="45" t="s">
        <v>202</v>
      </c>
      <c r="D29" s="46" t="s">
        <v>203</v>
      </c>
      <c r="E29" s="47" t="s">
        <v>204</v>
      </c>
      <c r="F29" s="47" t="s">
        <v>205</v>
      </c>
      <c r="G29" s="47" t="s">
        <v>206</v>
      </c>
      <c r="H29" s="48" t="s">
        <v>207</v>
      </c>
      <c r="I29" s="48" t="s">
        <v>208</v>
      </c>
      <c r="J29" s="49">
        <v>18216</v>
      </c>
      <c r="K29" s="50">
        <v>0</v>
      </c>
      <c r="L29" s="50">
        <f t="shared" si="0"/>
        <v>18216</v>
      </c>
      <c r="M29" s="50">
        <v>195500</v>
      </c>
      <c r="N29" s="51">
        <f t="shared" si="20"/>
        <v>9.3176470588235291E-2</v>
      </c>
      <c r="O29" s="52">
        <v>18435</v>
      </c>
      <c r="P29" s="53">
        <v>0</v>
      </c>
      <c r="Q29" s="53">
        <f t="shared" si="2"/>
        <v>18435</v>
      </c>
      <c r="R29" s="53">
        <v>195500</v>
      </c>
      <c r="S29" s="54">
        <f t="shared" si="21"/>
        <v>9.4296675191815851E-2</v>
      </c>
      <c r="T29" s="52">
        <v>20280</v>
      </c>
      <c r="U29" s="53">
        <v>0</v>
      </c>
      <c r="V29" s="53">
        <f t="shared" si="4"/>
        <v>20280</v>
      </c>
      <c r="W29" s="53">
        <v>195500</v>
      </c>
      <c r="X29" s="54">
        <f t="shared" si="22"/>
        <v>0.10373401534526855</v>
      </c>
      <c r="Y29" s="52">
        <v>21527</v>
      </c>
      <c r="Z29" s="53">
        <v>0</v>
      </c>
      <c r="AA29" s="53">
        <f t="shared" si="6"/>
        <v>21527</v>
      </c>
      <c r="AB29" s="53">
        <v>195500</v>
      </c>
      <c r="AC29" s="54">
        <f t="shared" si="23"/>
        <v>0.11011253196930947</v>
      </c>
      <c r="AD29" s="52">
        <v>22850</v>
      </c>
      <c r="AE29" s="53">
        <v>0</v>
      </c>
      <c r="AF29" s="53">
        <f t="shared" si="8"/>
        <v>22850</v>
      </c>
      <c r="AG29" s="53">
        <v>195500</v>
      </c>
      <c r="AH29" s="55">
        <f t="shared" si="9"/>
        <v>0.11687979539641943</v>
      </c>
      <c r="AI29" s="56">
        <v>195500</v>
      </c>
      <c r="AJ29" s="54">
        <f t="shared" si="24"/>
        <v>0.11687979539641943</v>
      </c>
      <c r="AK29" s="52">
        <v>24937.825282456721</v>
      </c>
      <c r="AL29" s="53">
        <v>0</v>
      </c>
      <c r="AM29" s="53">
        <f t="shared" si="11"/>
        <v>24937.825282456721</v>
      </c>
      <c r="AN29" s="53">
        <v>195500</v>
      </c>
      <c r="AO29" s="55">
        <f t="shared" si="12"/>
        <v>0.12755920860591674</v>
      </c>
      <c r="AP29" s="53">
        <v>195500</v>
      </c>
      <c r="AQ29" s="54">
        <f t="shared" si="13"/>
        <v>0.12755920860591674</v>
      </c>
      <c r="AR29" s="52">
        <v>27216.417059883483</v>
      </c>
      <c r="AS29" s="53">
        <v>0</v>
      </c>
      <c r="AT29" s="53">
        <f t="shared" si="14"/>
        <v>27216.417059883483</v>
      </c>
      <c r="AU29" s="53">
        <v>195500</v>
      </c>
      <c r="AV29" s="55">
        <f t="shared" si="15"/>
        <v>0.1392144095134705</v>
      </c>
      <c r="AW29" s="53">
        <v>195500</v>
      </c>
      <c r="AX29" s="55">
        <f t="shared" si="16"/>
        <v>0.1392144095134705</v>
      </c>
      <c r="AY29" s="52">
        <v>29409.947750449795</v>
      </c>
      <c r="AZ29" s="53">
        <v>0</v>
      </c>
      <c r="BA29" s="53">
        <f t="shared" si="17"/>
        <v>29409.947750449795</v>
      </c>
      <c r="BB29" s="53">
        <v>195500</v>
      </c>
      <c r="BC29" s="55">
        <f t="shared" si="18"/>
        <v>0.1504345153475693</v>
      </c>
      <c r="BD29" s="53">
        <v>195500</v>
      </c>
      <c r="BE29" s="55">
        <f t="shared" si="19"/>
        <v>0.1504345153475693</v>
      </c>
    </row>
    <row r="30" spans="1:57" s="57" customFormat="1" ht="11.25" x14ac:dyDescent="0.2">
      <c r="A30" s="44" t="s">
        <v>209</v>
      </c>
      <c r="B30" s="45" t="s">
        <v>210</v>
      </c>
      <c r="C30" s="45" t="s">
        <v>211</v>
      </c>
      <c r="D30" s="46" t="s">
        <v>212</v>
      </c>
      <c r="E30" s="47" t="s">
        <v>213</v>
      </c>
      <c r="F30" s="47" t="s">
        <v>214</v>
      </c>
      <c r="G30" s="47" t="s">
        <v>215</v>
      </c>
      <c r="H30" s="48" t="s">
        <v>207</v>
      </c>
      <c r="I30" s="48" t="s">
        <v>216</v>
      </c>
      <c r="J30" s="49">
        <v>28680</v>
      </c>
      <c r="K30" s="50">
        <v>0</v>
      </c>
      <c r="L30" s="50">
        <f t="shared" si="0"/>
        <v>28680</v>
      </c>
      <c r="M30" s="50">
        <v>176923</v>
      </c>
      <c r="N30" s="51">
        <f t="shared" si="20"/>
        <v>0.16210441830626882</v>
      </c>
      <c r="O30" s="52">
        <v>29053</v>
      </c>
      <c r="P30" s="53">
        <v>0</v>
      </c>
      <c r="Q30" s="53">
        <f t="shared" si="2"/>
        <v>29053</v>
      </c>
      <c r="R30" s="53">
        <v>176923</v>
      </c>
      <c r="S30" s="54">
        <f t="shared" si="21"/>
        <v>0.16421268009246962</v>
      </c>
      <c r="T30" s="52">
        <v>32216</v>
      </c>
      <c r="U30" s="53">
        <v>0</v>
      </c>
      <c r="V30" s="53">
        <f t="shared" si="4"/>
        <v>32216</v>
      </c>
      <c r="W30" s="53">
        <v>176923</v>
      </c>
      <c r="X30" s="54">
        <f t="shared" si="22"/>
        <v>0.18209051395239736</v>
      </c>
      <c r="Y30" s="52">
        <v>34365</v>
      </c>
      <c r="Z30" s="53">
        <v>0</v>
      </c>
      <c r="AA30" s="53">
        <f t="shared" si="6"/>
        <v>34365</v>
      </c>
      <c r="AB30" s="53">
        <v>176923</v>
      </c>
      <c r="AC30" s="54">
        <f t="shared" si="23"/>
        <v>0.19423704097262651</v>
      </c>
      <c r="AD30" s="52">
        <v>36657</v>
      </c>
      <c r="AE30" s="53">
        <v>0</v>
      </c>
      <c r="AF30" s="53">
        <f t="shared" si="8"/>
        <v>36657</v>
      </c>
      <c r="AG30" s="53">
        <v>176923</v>
      </c>
      <c r="AH30" s="55">
        <f t="shared" si="9"/>
        <v>0.2071918292138388</v>
      </c>
      <c r="AI30" s="56">
        <v>173077</v>
      </c>
      <c r="AJ30" s="54">
        <f t="shared" si="24"/>
        <v>0.21179590586848629</v>
      </c>
      <c r="AK30" s="52">
        <v>40377.578306541865</v>
      </c>
      <c r="AL30" s="53">
        <v>0</v>
      </c>
      <c r="AM30" s="53">
        <f t="shared" si="11"/>
        <v>40377.578306541865</v>
      </c>
      <c r="AN30" s="53">
        <v>176923</v>
      </c>
      <c r="AO30" s="55">
        <f t="shared" si="12"/>
        <v>0.22822119400271229</v>
      </c>
      <c r="AP30" s="53">
        <v>173077</v>
      </c>
      <c r="AQ30" s="55">
        <f t="shared" si="13"/>
        <v>0.23329257097443257</v>
      </c>
      <c r="AR30" s="52">
        <v>44475.784431375178</v>
      </c>
      <c r="AS30" s="53">
        <v>0</v>
      </c>
      <c r="AT30" s="53">
        <f t="shared" si="14"/>
        <v>44475.784431375178</v>
      </c>
      <c r="AU30" s="53">
        <v>176923</v>
      </c>
      <c r="AV30" s="55">
        <f t="shared" si="15"/>
        <v>0.25138497782298047</v>
      </c>
      <c r="AW30" s="53">
        <v>173077</v>
      </c>
      <c r="AX30" s="55">
        <f t="shared" si="16"/>
        <v>0.25697108472746338</v>
      </c>
      <c r="AY30" s="52">
        <v>48478.669179288328</v>
      </c>
      <c r="AZ30" s="53">
        <v>0</v>
      </c>
      <c r="BA30" s="53">
        <f t="shared" si="17"/>
        <v>48478.669179288328</v>
      </c>
      <c r="BB30" s="53">
        <v>176923</v>
      </c>
      <c r="BC30" s="55">
        <f t="shared" si="18"/>
        <v>0.27400998840901597</v>
      </c>
      <c r="BD30" s="53">
        <v>173077</v>
      </c>
      <c r="BE30" s="55">
        <f t="shared" si="19"/>
        <v>0.28009885299195347</v>
      </c>
    </row>
    <row r="31" spans="1:57" s="57" customFormat="1" ht="11.25" x14ac:dyDescent="0.2">
      <c r="A31" s="44" t="s">
        <v>217</v>
      </c>
      <c r="B31" s="45" t="s">
        <v>218</v>
      </c>
      <c r="C31" s="45" t="s">
        <v>219</v>
      </c>
      <c r="D31" s="46" t="s">
        <v>220</v>
      </c>
      <c r="E31" s="47" t="s">
        <v>221</v>
      </c>
      <c r="F31" s="47" t="s">
        <v>222</v>
      </c>
      <c r="G31" s="47" t="s">
        <v>223</v>
      </c>
      <c r="H31" s="48" t="s">
        <v>98</v>
      </c>
      <c r="I31" s="48" t="s">
        <v>224</v>
      </c>
      <c r="J31" s="49">
        <v>14613</v>
      </c>
      <c r="K31" s="50">
        <v>0</v>
      </c>
      <c r="L31" s="50">
        <f t="shared" si="0"/>
        <v>14613</v>
      </c>
      <c r="M31" s="50">
        <v>175500</v>
      </c>
      <c r="N31" s="51">
        <f t="shared" si="20"/>
        <v>8.3264957264957265E-2</v>
      </c>
      <c r="O31" s="52">
        <v>14759</v>
      </c>
      <c r="P31" s="53">
        <v>0</v>
      </c>
      <c r="Q31" s="53">
        <f t="shared" si="2"/>
        <v>14759</v>
      </c>
      <c r="R31" s="53">
        <v>175500</v>
      </c>
      <c r="S31" s="54">
        <f t="shared" si="21"/>
        <v>8.4096866096866091E-2</v>
      </c>
      <c r="T31" s="52">
        <v>15982</v>
      </c>
      <c r="U31" s="53">
        <v>0</v>
      </c>
      <c r="V31" s="53">
        <f t="shared" si="4"/>
        <v>15982</v>
      </c>
      <c r="W31" s="53">
        <v>175500</v>
      </c>
      <c r="X31" s="54">
        <f t="shared" si="22"/>
        <v>9.1065527065527063E-2</v>
      </c>
      <c r="Y31" s="52">
        <v>16797</v>
      </c>
      <c r="Z31" s="53">
        <v>0</v>
      </c>
      <c r="AA31" s="53">
        <f t="shared" si="6"/>
        <v>16797</v>
      </c>
      <c r="AB31" s="53">
        <v>175500</v>
      </c>
      <c r="AC31" s="54">
        <f t="shared" si="23"/>
        <v>9.5709401709401704E-2</v>
      </c>
      <c r="AD31" s="52">
        <v>17654</v>
      </c>
      <c r="AE31" s="53">
        <v>0</v>
      </c>
      <c r="AF31" s="53">
        <f t="shared" si="8"/>
        <v>17654</v>
      </c>
      <c r="AG31" s="53">
        <v>175500</v>
      </c>
      <c r="AH31" s="55">
        <f t="shared" si="9"/>
        <v>0.10059259259259259</v>
      </c>
      <c r="AI31" s="56">
        <v>189000</v>
      </c>
      <c r="AJ31" s="54">
        <f t="shared" si="24"/>
        <v>9.3407407407407411E-2</v>
      </c>
      <c r="AK31" s="52">
        <v>18960.471154281469</v>
      </c>
      <c r="AL31" s="53">
        <v>0</v>
      </c>
      <c r="AM31" s="53">
        <f t="shared" si="11"/>
        <v>18960.471154281469</v>
      </c>
      <c r="AN31" s="53">
        <v>175500</v>
      </c>
      <c r="AO31" s="55">
        <f t="shared" si="12"/>
        <v>0.10803687267396848</v>
      </c>
      <c r="AP31" s="53">
        <v>189000</v>
      </c>
      <c r="AQ31" s="55">
        <f t="shared" si="13"/>
        <v>0.10031995319725645</v>
      </c>
      <c r="AR31" s="52">
        <v>20363.626735716534</v>
      </c>
      <c r="AS31" s="53">
        <v>0</v>
      </c>
      <c r="AT31" s="53">
        <f t="shared" si="14"/>
        <v>20363.626735716534</v>
      </c>
      <c r="AU31" s="53">
        <v>175500</v>
      </c>
      <c r="AV31" s="55">
        <f t="shared" si="15"/>
        <v>0.11603206117217399</v>
      </c>
      <c r="AW31" s="53">
        <v>189000</v>
      </c>
      <c r="AX31" s="55">
        <f t="shared" si="16"/>
        <v>0.10774405680273298</v>
      </c>
      <c r="AY31" s="52">
        <v>21656.374809769815</v>
      </c>
      <c r="AZ31" s="53">
        <v>0</v>
      </c>
      <c r="BA31" s="53">
        <f t="shared" si="17"/>
        <v>21656.374809769815</v>
      </c>
      <c r="BB31" s="53">
        <v>175500</v>
      </c>
      <c r="BC31" s="55">
        <f t="shared" si="18"/>
        <v>0.12339814706421547</v>
      </c>
      <c r="BD31" s="53">
        <v>189000</v>
      </c>
      <c r="BE31" s="55">
        <f t="shared" si="19"/>
        <v>0.1145839937024858</v>
      </c>
    </row>
    <row r="32" spans="1:57" s="57" customFormat="1" ht="11.25" x14ac:dyDescent="0.2">
      <c r="A32" s="44" t="s">
        <v>225</v>
      </c>
      <c r="B32" s="45" t="s">
        <v>226</v>
      </c>
      <c r="C32" s="45" t="s">
        <v>227</v>
      </c>
      <c r="D32" s="46" t="s">
        <v>228</v>
      </c>
      <c r="E32" s="47" t="s">
        <v>229</v>
      </c>
      <c r="F32" s="47" t="s">
        <v>230</v>
      </c>
      <c r="G32" s="47" t="s">
        <v>231</v>
      </c>
      <c r="H32" s="48" t="s">
        <v>73</v>
      </c>
      <c r="I32" s="48" t="s">
        <v>106</v>
      </c>
      <c r="J32" s="49">
        <v>263477</v>
      </c>
      <c r="K32" s="50">
        <v>7088</v>
      </c>
      <c r="L32" s="50">
        <f t="shared" si="0"/>
        <v>270565</v>
      </c>
      <c r="M32" s="50">
        <v>485000.00000000012</v>
      </c>
      <c r="N32" s="51">
        <f t="shared" si="20"/>
        <v>0.55786597938144311</v>
      </c>
      <c r="O32" s="52">
        <v>266770</v>
      </c>
      <c r="P32" s="53">
        <v>7230</v>
      </c>
      <c r="Q32" s="53">
        <f t="shared" si="2"/>
        <v>274000</v>
      </c>
      <c r="R32" s="53">
        <v>485000.00000000012</v>
      </c>
      <c r="S32" s="54">
        <f t="shared" si="21"/>
        <v>0.5649484536082473</v>
      </c>
      <c r="T32" s="52">
        <v>294644</v>
      </c>
      <c r="U32" s="53">
        <v>8471</v>
      </c>
      <c r="V32" s="53">
        <f t="shared" si="4"/>
        <v>303115</v>
      </c>
      <c r="W32" s="53">
        <v>485000.00000000012</v>
      </c>
      <c r="X32" s="54">
        <f t="shared" si="22"/>
        <v>0.62497938144329879</v>
      </c>
      <c r="Y32" s="52">
        <v>313525</v>
      </c>
      <c r="Z32" s="53">
        <v>9352</v>
      </c>
      <c r="AA32" s="53">
        <f t="shared" si="6"/>
        <v>322877</v>
      </c>
      <c r="AB32" s="53">
        <v>485000.00000000012</v>
      </c>
      <c r="AC32" s="54">
        <f t="shared" si="23"/>
        <v>0.66572577319587611</v>
      </c>
      <c r="AD32" s="52">
        <v>333617</v>
      </c>
      <c r="AE32" s="53">
        <v>10326</v>
      </c>
      <c r="AF32" s="53">
        <f t="shared" si="8"/>
        <v>343943</v>
      </c>
      <c r="AG32" s="53">
        <v>485000.00000000012</v>
      </c>
      <c r="AH32" s="55">
        <f t="shared" si="9"/>
        <v>0.70916082474226783</v>
      </c>
      <c r="AI32" s="56">
        <v>485000</v>
      </c>
      <c r="AJ32" s="54">
        <f t="shared" si="24"/>
        <v>0.70916082474226805</v>
      </c>
      <c r="AK32" s="52">
        <v>368378.95378351584</v>
      </c>
      <c r="AL32" s="53">
        <v>11923.839898409071</v>
      </c>
      <c r="AM32" s="53">
        <f t="shared" si="11"/>
        <v>380302.79368192493</v>
      </c>
      <c r="AN32" s="53">
        <v>485000.00000000012</v>
      </c>
      <c r="AO32" s="55">
        <f t="shared" si="12"/>
        <v>0.78412947150912338</v>
      </c>
      <c r="AP32" s="53">
        <v>485000</v>
      </c>
      <c r="AQ32" s="55">
        <f t="shared" si="13"/>
        <v>0.7841294715091236</v>
      </c>
      <c r="AR32" s="52">
        <v>406763.00545427157</v>
      </c>
      <c r="AS32" s="53">
        <v>13768.928716142947</v>
      </c>
      <c r="AT32" s="53">
        <f t="shared" si="14"/>
        <v>420531.93417041452</v>
      </c>
      <c r="AU32" s="53">
        <v>485000.00000000012</v>
      </c>
      <c r="AV32" s="55">
        <f t="shared" si="15"/>
        <v>0.86707615292868956</v>
      </c>
      <c r="AW32" s="53">
        <v>485000</v>
      </c>
      <c r="AX32" s="55">
        <f t="shared" si="16"/>
        <v>0.86707615292868978</v>
      </c>
      <c r="AY32" s="52">
        <v>446872.79646453582</v>
      </c>
      <c r="AZ32" s="53">
        <v>15616.063530807427</v>
      </c>
      <c r="BA32" s="53">
        <f t="shared" si="17"/>
        <v>462488.85999534326</v>
      </c>
      <c r="BB32" s="53">
        <v>485000.00000000012</v>
      </c>
      <c r="BC32" s="55">
        <f t="shared" si="18"/>
        <v>0.95358527834091367</v>
      </c>
      <c r="BD32" s="53">
        <v>485000</v>
      </c>
      <c r="BE32" s="55">
        <f t="shared" si="19"/>
        <v>0.95358527834091389</v>
      </c>
    </row>
    <row r="33" spans="1:57" s="57" customFormat="1" ht="11.25" x14ac:dyDescent="0.2">
      <c r="A33" s="44" t="s">
        <v>232</v>
      </c>
      <c r="B33" s="45" t="s">
        <v>233</v>
      </c>
      <c r="C33" s="45" t="s">
        <v>234</v>
      </c>
      <c r="D33" s="46" t="s">
        <v>235</v>
      </c>
      <c r="E33" s="47" t="s">
        <v>236</v>
      </c>
      <c r="F33" s="47" t="s">
        <v>237</v>
      </c>
      <c r="G33" s="47" t="s">
        <v>238</v>
      </c>
      <c r="H33" s="48" t="s">
        <v>55</v>
      </c>
      <c r="I33" s="48" t="s">
        <v>239</v>
      </c>
      <c r="J33" s="49">
        <v>16524</v>
      </c>
      <c r="K33" s="50">
        <v>0</v>
      </c>
      <c r="L33" s="50">
        <f t="shared" si="0"/>
        <v>16524</v>
      </c>
      <c r="M33" s="50">
        <v>184000</v>
      </c>
      <c r="N33" s="51">
        <f t="shared" si="20"/>
        <v>8.9804347826086955E-2</v>
      </c>
      <c r="O33" s="52">
        <v>16854</v>
      </c>
      <c r="P33" s="53">
        <v>0</v>
      </c>
      <c r="Q33" s="53">
        <f t="shared" si="2"/>
        <v>16854</v>
      </c>
      <c r="R33" s="53">
        <v>184000</v>
      </c>
      <c r="S33" s="54">
        <f t="shared" si="21"/>
        <v>9.1597826086956519E-2</v>
      </c>
      <c r="T33" s="52">
        <v>19748</v>
      </c>
      <c r="U33" s="53">
        <v>0</v>
      </c>
      <c r="V33" s="53">
        <f t="shared" si="4"/>
        <v>19748</v>
      </c>
      <c r="W33" s="53">
        <v>184000</v>
      </c>
      <c r="X33" s="54">
        <f t="shared" si="22"/>
        <v>0.10732608695652174</v>
      </c>
      <c r="Y33" s="52">
        <v>21803</v>
      </c>
      <c r="Z33" s="53">
        <v>0</v>
      </c>
      <c r="AA33" s="53">
        <f t="shared" si="6"/>
        <v>21803</v>
      </c>
      <c r="AB33" s="53">
        <v>184000</v>
      </c>
      <c r="AC33" s="54">
        <f t="shared" si="23"/>
        <v>0.11849456521739131</v>
      </c>
      <c r="AD33" s="52">
        <v>24072</v>
      </c>
      <c r="AE33" s="53">
        <v>0</v>
      </c>
      <c r="AF33" s="53">
        <f t="shared" si="8"/>
        <v>24072</v>
      </c>
      <c r="AG33" s="53">
        <v>184000</v>
      </c>
      <c r="AH33" s="55">
        <f t="shared" si="9"/>
        <v>0.13082608695652173</v>
      </c>
      <c r="AI33" s="56">
        <v>184000</v>
      </c>
      <c r="AJ33" s="54">
        <f t="shared" si="24"/>
        <v>0.13082608695652173</v>
      </c>
      <c r="AK33" s="52">
        <v>27555.777202656391</v>
      </c>
      <c r="AL33" s="53">
        <v>0</v>
      </c>
      <c r="AM33" s="53">
        <f t="shared" si="11"/>
        <v>27555.777202656391</v>
      </c>
      <c r="AN33" s="53">
        <v>184000</v>
      </c>
      <c r="AO33" s="55">
        <f t="shared" si="12"/>
        <v>0.14975965871008909</v>
      </c>
      <c r="AP33" s="53">
        <v>184000</v>
      </c>
      <c r="AQ33" s="55">
        <f t="shared" si="13"/>
        <v>0.14975965871008909</v>
      </c>
      <c r="AR33" s="52">
        <v>31543.737838253473</v>
      </c>
      <c r="AS33" s="53">
        <v>0</v>
      </c>
      <c r="AT33" s="53">
        <f t="shared" si="14"/>
        <v>31543.737838253473</v>
      </c>
      <c r="AU33" s="53">
        <v>184000</v>
      </c>
      <c r="AV33" s="55">
        <f t="shared" si="15"/>
        <v>0.17143335781659497</v>
      </c>
      <c r="AW33" s="53">
        <v>184000</v>
      </c>
      <c r="AX33" s="55">
        <f t="shared" si="16"/>
        <v>0.17143335781659497</v>
      </c>
      <c r="AY33" s="52">
        <v>35374.437253701675</v>
      </c>
      <c r="AZ33" s="53">
        <v>0</v>
      </c>
      <c r="BA33" s="53">
        <f t="shared" si="17"/>
        <v>35374.437253701675</v>
      </c>
      <c r="BB33" s="53">
        <v>184000</v>
      </c>
      <c r="BC33" s="55">
        <f t="shared" si="18"/>
        <v>0.19225237637881346</v>
      </c>
      <c r="BD33" s="53">
        <v>184000</v>
      </c>
      <c r="BE33" s="55">
        <f t="shared" si="19"/>
        <v>0.19225237637881346</v>
      </c>
    </row>
    <row r="34" spans="1:57" s="57" customFormat="1" ht="11.25" x14ac:dyDescent="0.2">
      <c r="A34" s="44" t="s">
        <v>240</v>
      </c>
      <c r="B34" s="45" t="s">
        <v>241</v>
      </c>
      <c r="C34" s="45" t="s">
        <v>242</v>
      </c>
      <c r="D34" s="46" t="s">
        <v>243</v>
      </c>
      <c r="E34" s="47" t="s">
        <v>244</v>
      </c>
      <c r="F34" s="47" t="s">
        <v>104</v>
      </c>
      <c r="G34" s="47" t="s">
        <v>245</v>
      </c>
      <c r="H34" s="48" t="s">
        <v>73</v>
      </c>
      <c r="I34" s="48" t="s">
        <v>106</v>
      </c>
      <c r="J34" s="49">
        <v>118635</v>
      </c>
      <c r="K34" s="50">
        <v>0</v>
      </c>
      <c r="L34" s="50">
        <f t="shared" si="0"/>
        <v>118635</v>
      </c>
      <c r="M34" s="50">
        <v>230000.00000000017</v>
      </c>
      <c r="N34" s="51">
        <f t="shared" si="20"/>
        <v>0.51580434782608653</v>
      </c>
      <c r="O34" s="52">
        <v>119821</v>
      </c>
      <c r="P34" s="53">
        <v>0</v>
      </c>
      <c r="Q34" s="53">
        <f t="shared" si="2"/>
        <v>119821</v>
      </c>
      <c r="R34" s="53">
        <v>230000.00000000017</v>
      </c>
      <c r="S34" s="54">
        <f t="shared" si="21"/>
        <v>0.52096086956521703</v>
      </c>
      <c r="T34" s="52">
        <v>129749</v>
      </c>
      <c r="U34" s="53">
        <v>0</v>
      </c>
      <c r="V34" s="53">
        <f t="shared" si="4"/>
        <v>129749</v>
      </c>
      <c r="W34" s="53">
        <v>230000.00000000017</v>
      </c>
      <c r="X34" s="54">
        <f t="shared" si="22"/>
        <v>0.56412608695652133</v>
      </c>
      <c r="Y34" s="52">
        <v>136367</v>
      </c>
      <c r="Z34" s="53">
        <v>0</v>
      </c>
      <c r="AA34" s="53">
        <f t="shared" si="6"/>
        <v>136367</v>
      </c>
      <c r="AB34" s="53">
        <v>230000.00000000017</v>
      </c>
      <c r="AC34" s="54">
        <f t="shared" si="23"/>
        <v>0.59289999999999954</v>
      </c>
      <c r="AD34" s="52">
        <v>143324</v>
      </c>
      <c r="AE34" s="53">
        <v>0</v>
      </c>
      <c r="AF34" s="53">
        <f t="shared" si="8"/>
        <v>143324</v>
      </c>
      <c r="AG34" s="53">
        <v>230000.00000000017</v>
      </c>
      <c r="AH34" s="55">
        <f t="shared" si="9"/>
        <v>0.62314782608695607</v>
      </c>
      <c r="AI34" s="56">
        <v>230000</v>
      </c>
      <c r="AJ34" s="54">
        <f t="shared" si="24"/>
        <v>0.62314782608695651</v>
      </c>
      <c r="AK34" s="52">
        <v>155163.77523796537</v>
      </c>
      <c r="AL34" s="53">
        <v>0</v>
      </c>
      <c r="AM34" s="53">
        <f t="shared" si="11"/>
        <v>155163.77523796537</v>
      </c>
      <c r="AN34" s="53">
        <v>230000.00000000017</v>
      </c>
      <c r="AO34" s="55">
        <f t="shared" si="12"/>
        <v>0.67462510973028367</v>
      </c>
      <c r="AP34" s="53">
        <v>230000</v>
      </c>
      <c r="AQ34" s="55">
        <f t="shared" si="13"/>
        <v>0.67462510973028422</v>
      </c>
      <c r="AR34" s="52">
        <v>167981.61610126588</v>
      </c>
      <c r="AS34" s="53">
        <v>0</v>
      </c>
      <c r="AT34" s="53">
        <f t="shared" si="14"/>
        <v>167981.61610126588</v>
      </c>
      <c r="AU34" s="53">
        <v>230000.00000000017</v>
      </c>
      <c r="AV34" s="55">
        <f t="shared" si="15"/>
        <v>0.73035485261419897</v>
      </c>
      <c r="AW34" s="53">
        <v>230000</v>
      </c>
      <c r="AX34" s="55">
        <f t="shared" si="16"/>
        <v>0.73035485261419952</v>
      </c>
      <c r="AY34" s="52">
        <v>181120.01288288616</v>
      </c>
      <c r="AZ34" s="53">
        <v>0</v>
      </c>
      <c r="BA34" s="53">
        <f t="shared" si="17"/>
        <v>181120.01288288616</v>
      </c>
      <c r="BB34" s="53">
        <v>230000.00000000017</v>
      </c>
      <c r="BC34" s="55">
        <f t="shared" si="18"/>
        <v>0.78747831688211312</v>
      </c>
      <c r="BD34" s="53">
        <v>230000</v>
      </c>
      <c r="BE34" s="55">
        <f t="shared" si="19"/>
        <v>0.78747831688211378</v>
      </c>
    </row>
    <row r="35" spans="1:57" s="57" customFormat="1" ht="11.25" x14ac:dyDescent="0.2">
      <c r="A35" s="44" t="s">
        <v>246</v>
      </c>
      <c r="B35" s="45" t="s">
        <v>108</v>
      </c>
      <c r="C35" s="45" t="s">
        <v>247</v>
      </c>
      <c r="D35" s="46" t="s">
        <v>248</v>
      </c>
      <c r="E35" s="47" t="s">
        <v>249</v>
      </c>
      <c r="F35" s="47" t="s">
        <v>250</v>
      </c>
      <c r="G35" s="47" t="s">
        <v>251</v>
      </c>
      <c r="H35" s="48" t="s">
        <v>55</v>
      </c>
      <c r="I35" s="48" t="s">
        <v>252</v>
      </c>
      <c r="J35" s="49">
        <v>63945</v>
      </c>
      <c r="K35" s="50">
        <v>0</v>
      </c>
      <c r="L35" s="50">
        <f t="shared" si="0"/>
        <v>63945</v>
      </c>
      <c r="M35" s="50">
        <v>230000.00000000006</v>
      </c>
      <c r="N35" s="51">
        <f t="shared" si="20"/>
        <v>0.27802173913043471</v>
      </c>
      <c r="O35" s="52">
        <v>64904</v>
      </c>
      <c r="P35" s="53">
        <v>0</v>
      </c>
      <c r="Q35" s="53">
        <f t="shared" si="2"/>
        <v>64904</v>
      </c>
      <c r="R35" s="53">
        <v>230000.00000000006</v>
      </c>
      <c r="S35" s="54">
        <f t="shared" si="21"/>
        <v>0.28219130434782602</v>
      </c>
      <c r="T35" s="52">
        <v>73114</v>
      </c>
      <c r="U35" s="53">
        <v>0</v>
      </c>
      <c r="V35" s="53">
        <f t="shared" si="4"/>
        <v>73114</v>
      </c>
      <c r="W35" s="53">
        <v>230000.00000000006</v>
      </c>
      <c r="X35" s="54">
        <f t="shared" si="22"/>
        <v>0.31788695652173904</v>
      </c>
      <c r="Y35" s="52">
        <v>78765</v>
      </c>
      <c r="Z35" s="53">
        <v>0</v>
      </c>
      <c r="AA35" s="53">
        <f t="shared" si="6"/>
        <v>78765</v>
      </c>
      <c r="AB35" s="53">
        <v>230000.00000000006</v>
      </c>
      <c r="AC35" s="54">
        <f t="shared" si="23"/>
        <v>0.34245652173913033</v>
      </c>
      <c r="AD35" s="52">
        <v>84852</v>
      </c>
      <c r="AE35" s="53">
        <v>0</v>
      </c>
      <c r="AF35" s="53">
        <f t="shared" si="8"/>
        <v>84852</v>
      </c>
      <c r="AG35" s="53">
        <v>230000.00000000006</v>
      </c>
      <c r="AH35" s="55">
        <f t="shared" si="9"/>
        <v>0.36892173913043469</v>
      </c>
      <c r="AI35" s="56">
        <v>230000</v>
      </c>
      <c r="AJ35" s="54">
        <f t="shared" si="24"/>
        <v>0.3689217391304348</v>
      </c>
      <c r="AK35" s="52">
        <v>96028.320027635549</v>
      </c>
      <c r="AL35" s="53">
        <v>0</v>
      </c>
      <c r="AM35" s="53">
        <f t="shared" si="11"/>
        <v>96028.320027635549</v>
      </c>
      <c r="AN35" s="53">
        <v>230000.00000000006</v>
      </c>
      <c r="AO35" s="55">
        <f t="shared" si="12"/>
        <v>0.41751443490276313</v>
      </c>
      <c r="AP35" s="53">
        <v>230000</v>
      </c>
      <c r="AQ35" s="55">
        <f t="shared" si="13"/>
        <v>0.41751443490276324</v>
      </c>
      <c r="AR35" s="52">
        <v>108676.73416454515</v>
      </c>
      <c r="AS35" s="53">
        <v>0</v>
      </c>
      <c r="AT35" s="53">
        <f t="shared" si="14"/>
        <v>108676.73416454515</v>
      </c>
      <c r="AU35" s="53">
        <v>230000.00000000006</v>
      </c>
      <c r="AV35" s="55">
        <f t="shared" si="15"/>
        <v>0.47250753984584837</v>
      </c>
      <c r="AW35" s="53">
        <v>230000</v>
      </c>
      <c r="AX35" s="55">
        <f t="shared" si="16"/>
        <v>0.47250753984584848</v>
      </c>
      <c r="AY35" s="52">
        <v>122361.32399859998</v>
      </c>
      <c r="AZ35" s="53">
        <v>0</v>
      </c>
      <c r="BA35" s="53">
        <f t="shared" si="17"/>
        <v>122361.32399859998</v>
      </c>
      <c r="BB35" s="53">
        <v>230000.00000000006</v>
      </c>
      <c r="BC35" s="55">
        <f t="shared" si="18"/>
        <v>0.53200575651565196</v>
      </c>
      <c r="BD35" s="53">
        <v>230000</v>
      </c>
      <c r="BE35" s="55">
        <f t="shared" si="19"/>
        <v>0.53200575651565207</v>
      </c>
    </row>
    <row r="36" spans="1:57" s="57" customFormat="1" ht="11.25" x14ac:dyDescent="0.2">
      <c r="A36" s="44" t="s">
        <v>253</v>
      </c>
      <c r="B36" s="45" t="s">
        <v>254</v>
      </c>
      <c r="C36" s="45" t="s">
        <v>255</v>
      </c>
      <c r="D36" s="46" t="s">
        <v>256</v>
      </c>
      <c r="E36" s="47" t="s">
        <v>257</v>
      </c>
      <c r="F36" s="47" t="s">
        <v>258</v>
      </c>
      <c r="G36" s="47" t="s">
        <v>259</v>
      </c>
      <c r="H36" s="48" t="s">
        <v>98</v>
      </c>
      <c r="I36" s="48" t="s">
        <v>260</v>
      </c>
      <c r="J36" s="49">
        <v>250</v>
      </c>
      <c r="K36" s="50">
        <v>0</v>
      </c>
      <c r="L36" s="50">
        <f t="shared" si="0"/>
        <v>250</v>
      </c>
      <c r="M36" s="50" t="s">
        <v>917</v>
      </c>
      <c r="N36" s="50" t="s">
        <v>917</v>
      </c>
      <c r="O36" s="52">
        <v>250</v>
      </c>
      <c r="P36" s="53">
        <v>0</v>
      </c>
      <c r="Q36" s="53">
        <f t="shared" si="2"/>
        <v>250</v>
      </c>
      <c r="R36" s="53" t="s">
        <v>917</v>
      </c>
      <c r="S36" s="53" t="s">
        <v>917</v>
      </c>
      <c r="T36" s="52">
        <v>250</v>
      </c>
      <c r="U36" s="53">
        <v>0</v>
      </c>
      <c r="V36" s="53">
        <f t="shared" si="4"/>
        <v>250</v>
      </c>
      <c r="W36" s="53" t="s">
        <v>917</v>
      </c>
      <c r="X36" s="53" t="s">
        <v>917</v>
      </c>
      <c r="Y36" s="52">
        <v>250</v>
      </c>
      <c r="Z36" s="53">
        <v>0</v>
      </c>
      <c r="AA36" s="53">
        <f t="shared" si="6"/>
        <v>250</v>
      </c>
      <c r="AB36" s="53" t="s">
        <v>917</v>
      </c>
      <c r="AC36" s="53" t="s">
        <v>917</v>
      </c>
      <c r="AD36" s="52">
        <v>250</v>
      </c>
      <c r="AE36" s="53">
        <v>0</v>
      </c>
      <c r="AF36" s="53">
        <f t="shared" si="8"/>
        <v>250</v>
      </c>
      <c r="AG36" s="53" t="s">
        <v>917</v>
      </c>
      <c r="AH36" s="53" t="s">
        <v>917</v>
      </c>
      <c r="AI36" s="56">
        <v>0</v>
      </c>
      <c r="AJ36" s="53" t="s">
        <v>917</v>
      </c>
      <c r="AK36" s="52">
        <v>250</v>
      </c>
      <c r="AL36" s="53">
        <v>0</v>
      </c>
      <c r="AM36" s="53">
        <f t="shared" si="11"/>
        <v>250</v>
      </c>
      <c r="AN36" s="53" t="s">
        <v>917</v>
      </c>
      <c r="AO36" s="53" t="s">
        <v>917</v>
      </c>
      <c r="AP36" s="53">
        <v>0</v>
      </c>
      <c r="AQ36" s="53" t="s">
        <v>917</v>
      </c>
      <c r="AR36" s="52">
        <v>250</v>
      </c>
      <c r="AS36" s="53">
        <v>0</v>
      </c>
      <c r="AT36" s="53">
        <f t="shared" si="14"/>
        <v>250</v>
      </c>
      <c r="AU36" s="53" t="s">
        <v>917</v>
      </c>
      <c r="AV36" s="53" t="s">
        <v>917</v>
      </c>
      <c r="AW36" s="53">
        <v>0</v>
      </c>
      <c r="AX36" s="53" t="s">
        <v>917</v>
      </c>
      <c r="AY36" s="52">
        <v>250</v>
      </c>
      <c r="AZ36" s="53">
        <v>0</v>
      </c>
      <c r="BA36" s="53">
        <f t="shared" si="17"/>
        <v>250</v>
      </c>
      <c r="BB36" s="53" t="s">
        <v>917</v>
      </c>
      <c r="BC36" s="53" t="s">
        <v>917</v>
      </c>
      <c r="BD36" s="53">
        <v>0</v>
      </c>
      <c r="BE36" s="53" t="s">
        <v>917</v>
      </c>
    </row>
    <row r="37" spans="1:57" s="57" customFormat="1" ht="11.25" x14ac:dyDescent="0.2">
      <c r="A37" s="44" t="s">
        <v>261</v>
      </c>
      <c r="B37" s="45" t="s">
        <v>262</v>
      </c>
      <c r="C37" s="45" t="s">
        <v>263</v>
      </c>
      <c r="D37" s="46" t="s">
        <v>264</v>
      </c>
      <c r="E37" s="47" t="s">
        <v>265</v>
      </c>
      <c r="F37" s="47" t="s">
        <v>266</v>
      </c>
      <c r="G37" s="47" t="s">
        <v>267</v>
      </c>
      <c r="H37" s="48" t="s">
        <v>29</v>
      </c>
      <c r="I37" s="48" t="s">
        <v>268</v>
      </c>
      <c r="J37" s="49">
        <v>6262</v>
      </c>
      <c r="K37" s="50">
        <v>0</v>
      </c>
      <c r="L37" s="50">
        <f t="shared" si="0"/>
        <v>6262</v>
      </c>
      <c r="M37" s="50">
        <v>172500</v>
      </c>
      <c r="N37" s="51">
        <f t="shared" si="20"/>
        <v>3.6301449275362316E-2</v>
      </c>
      <c r="O37" s="52">
        <v>6325</v>
      </c>
      <c r="P37" s="53">
        <v>0</v>
      </c>
      <c r="Q37" s="53">
        <f t="shared" si="2"/>
        <v>6325</v>
      </c>
      <c r="R37" s="53">
        <v>172500</v>
      </c>
      <c r="S37" s="54">
        <f t="shared" si="21"/>
        <v>3.6666666666666667E-2</v>
      </c>
      <c r="T37" s="52">
        <v>6849</v>
      </c>
      <c r="U37" s="53">
        <v>0</v>
      </c>
      <c r="V37" s="53">
        <f t="shared" si="4"/>
        <v>6849</v>
      </c>
      <c r="W37" s="53">
        <v>172500</v>
      </c>
      <c r="X37" s="54">
        <f t="shared" si="22"/>
        <v>3.9704347826086957E-2</v>
      </c>
      <c r="Y37" s="52">
        <v>7198</v>
      </c>
      <c r="Z37" s="53">
        <v>0</v>
      </c>
      <c r="AA37" s="53">
        <f t="shared" si="6"/>
        <v>7198</v>
      </c>
      <c r="AB37" s="53">
        <v>172500</v>
      </c>
      <c r="AC37" s="54">
        <f t="shared" si="23"/>
        <v>4.1727536231884056E-2</v>
      </c>
      <c r="AD37" s="52">
        <v>7565</v>
      </c>
      <c r="AE37" s="53">
        <v>0</v>
      </c>
      <c r="AF37" s="53">
        <f t="shared" si="8"/>
        <v>7565</v>
      </c>
      <c r="AG37" s="53">
        <v>172500</v>
      </c>
      <c r="AH37" s="55">
        <f t="shared" si="9"/>
        <v>4.3855072463768116E-2</v>
      </c>
      <c r="AI37" s="56">
        <v>184000</v>
      </c>
      <c r="AJ37" s="54">
        <f t="shared" si="24"/>
        <v>4.1114130434782611E-2</v>
      </c>
      <c r="AK37" s="52">
        <v>8124.7865330320637</v>
      </c>
      <c r="AL37" s="53">
        <v>0</v>
      </c>
      <c r="AM37" s="53">
        <f t="shared" si="11"/>
        <v>8124.7865330320637</v>
      </c>
      <c r="AN37" s="53">
        <v>172500</v>
      </c>
      <c r="AO37" s="55">
        <f t="shared" si="12"/>
        <v>4.7100211785693125E-2</v>
      </c>
      <c r="AP37" s="53">
        <v>184000</v>
      </c>
      <c r="AQ37" s="55">
        <f t="shared" si="13"/>
        <v>4.4156448549087304E-2</v>
      </c>
      <c r="AR37" s="52">
        <v>8725.9955330256707</v>
      </c>
      <c r="AS37" s="53">
        <v>0</v>
      </c>
      <c r="AT37" s="53">
        <f t="shared" si="14"/>
        <v>8725.9955330256707</v>
      </c>
      <c r="AU37" s="53">
        <v>172500</v>
      </c>
      <c r="AV37" s="55">
        <f t="shared" si="15"/>
        <v>5.0585481350873457E-2</v>
      </c>
      <c r="AW37" s="53">
        <v>184000</v>
      </c>
      <c r="AX37" s="55">
        <f t="shared" si="16"/>
        <v>4.7423888766443864E-2</v>
      </c>
      <c r="AY37" s="52">
        <v>9279.8947578275711</v>
      </c>
      <c r="AZ37" s="53">
        <v>0</v>
      </c>
      <c r="BA37" s="53">
        <f t="shared" si="17"/>
        <v>9279.8947578275711</v>
      </c>
      <c r="BB37" s="53">
        <v>172500</v>
      </c>
      <c r="BC37" s="55">
        <f t="shared" si="18"/>
        <v>5.3796491349725049E-2</v>
      </c>
      <c r="BD37" s="53">
        <v>184000</v>
      </c>
      <c r="BE37" s="55">
        <f t="shared" si="19"/>
        <v>5.0434210640367232E-2</v>
      </c>
    </row>
    <row r="38" spans="1:57" s="57" customFormat="1" ht="11.25" x14ac:dyDescent="0.2">
      <c r="A38" s="44" t="s">
        <v>269</v>
      </c>
      <c r="B38" s="45" t="s">
        <v>270</v>
      </c>
      <c r="C38" s="45" t="s">
        <v>271</v>
      </c>
      <c r="D38" s="46" t="s">
        <v>272</v>
      </c>
      <c r="E38" s="47" t="s">
        <v>273</v>
      </c>
      <c r="F38" s="47" t="s">
        <v>274</v>
      </c>
      <c r="G38" s="47" t="s">
        <v>275</v>
      </c>
      <c r="H38" s="48" t="s">
        <v>73</v>
      </c>
      <c r="I38" s="48" t="s">
        <v>121</v>
      </c>
      <c r="J38" s="49">
        <v>104867</v>
      </c>
      <c r="K38" s="50">
        <v>0</v>
      </c>
      <c r="L38" s="50">
        <f t="shared" si="0"/>
        <v>104867</v>
      </c>
      <c r="M38" s="50">
        <v>267300.00000000023</v>
      </c>
      <c r="N38" s="51">
        <f t="shared" si="20"/>
        <v>0.39231949120837978</v>
      </c>
      <c r="O38" s="52">
        <v>106545</v>
      </c>
      <c r="P38" s="53">
        <v>0</v>
      </c>
      <c r="Q38" s="53">
        <f t="shared" si="2"/>
        <v>106545</v>
      </c>
      <c r="R38" s="53">
        <v>267300.00000000023</v>
      </c>
      <c r="S38" s="54">
        <f t="shared" si="21"/>
        <v>0.39859708193041493</v>
      </c>
      <c r="T38" s="52">
        <v>120972</v>
      </c>
      <c r="U38" s="53">
        <v>0</v>
      </c>
      <c r="V38" s="53">
        <f t="shared" si="4"/>
        <v>120972</v>
      </c>
      <c r="W38" s="53">
        <v>267300.00000000023</v>
      </c>
      <c r="X38" s="54">
        <f t="shared" si="22"/>
        <v>0.45257014590347883</v>
      </c>
      <c r="Y38" s="52">
        <v>130964</v>
      </c>
      <c r="Z38" s="53">
        <v>0</v>
      </c>
      <c r="AA38" s="53">
        <f t="shared" si="6"/>
        <v>130964</v>
      </c>
      <c r="AB38" s="53">
        <v>267300.00000000023</v>
      </c>
      <c r="AC38" s="54">
        <f t="shared" si="23"/>
        <v>0.48995136550692064</v>
      </c>
      <c r="AD38" s="52">
        <v>141782</v>
      </c>
      <c r="AE38" s="53">
        <v>0</v>
      </c>
      <c r="AF38" s="53">
        <f t="shared" si="8"/>
        <v>141782</v>
      </c>
      <c r="AG38" s="53">
        <v>267300.00000000023</v>
      </c>
      <c r="AH38" s="55">
        <f t="shared" si="9"/>
        <v>0.53042274597830108</v>
      </c>
      <c r="AI38" s="56">
        <v>267300.00000000017</v>
      </c>
      <c r="AJ38" s="54">
        <f t="shared" si="24"/>
        <v>0.53042274597830119</v>
      </c>
      <c r="AK38" s="52">
        <v>158704.07285593593</v>
      </c>
      <c r="AL38" s="53">
        <v>0</v>
      </c>
      <c r="AM38" s="53">
        <f t="shared" si="11"/>
        <v>158704.07285593593</v>
      </c>
      <c r="AN38" s="53">
        <v>267300.00000000023</v>
      </c>
      <c r="AO38" s="55">
        <f t="shared" si="12"/>
        <v>0.59373016407009271</v>
      </c>
      <c r="AP38" s="53">
        <v>267300.00000000017</v>
      </c>
      <c r="AQ38" s="55">
        <f t="shared" si="13"/>
        <v>0.59373016407009283</v>
      </c>
      <c r="AR38" s="52">
        <v>177645.84179276793</v>
      </c>
      <c r="AS38" s="53">
        <v>0</v>
      </c>
      <c r="AT38" s="53">
        <f t="shared" si="14"/>
        <v>177645.84179276793</v>
      </c>
      <c r="AU38" s="53">
        <v>267300.00000000023</v>
      </c>
      <c r="AV38" s="55">
        <f t="shared" si="15"/>
        <v>0.66459349716710725</v>
      </c>
      <c r="AW38" s="53">
        <v>267300.00000000017</v>
      </c>
      <c r="AX38" s="55">
        <f t="shared" si="16"/>
        <v>0.66459349716710736</v>
      </c>
      <c r="AY38" s="52">
        <v>195787.91007903969</v>
      </c>
      <c r="AZ38" s="53">
        <v>0</v>
      </c>
      <c r="BA38" s="53">
        <f t="shared" si="17"/>
        <v>195787.91007903969</v>
      </c>
      <c r="BB38" s="53">
        <v>267300.00000000023</v>
      </c>
      <c r="BC38" s="55">
        <f t="shared" si="18"/>
        <v>0.73246505828297614</v>
      </c>
      <c r="BD38" s="53">
        <v>267300.00000000017</v>
      </c>
      <c r="BE38" s="55">
        <f t="shared" si="19"/>
        <v>0.73246505828297626</v>
      </c>
    </row>
    <row r="39" spans="1:57" s="57" customFormat="1" ht="11.25" x14ac:dyDescent="0.2">
      <c r="A39" s="44" t="s">
        <v>276</v>
      </c>
      <c r="B39" s="45" t="s">
        <v>277</v>
      </c>
      <c r="C39" s="45" t="s">
        <v>33</v>
      </c>
      <c r="D39" s="46" t="s">
        <v>278</v>
      </c>
      <c r="E39" s="47" t="s">
        <v>279</v>
      </c>
      <c r="F39" s="47" t="s">
        <v>185</v>
      </c>
      <c r="G39" s="47" t="s">
        <v>280</v>
      </c>
      <c r="H39" s="48" t="s">
        <v>55</v>
      </c>
      <c r="I39" s="48" t="s">
        <v>187</v>
      </c>
      <c r="J39" s="49">
        <v>68513</v>
      </c>
      <c r="K39" s="50">
        <v>0</v>
      </c>
      <c r="L39" s="50">
        <f t="shared" si="0"/>
        <v>68513</v>
      </c>
      <c r="M39" s="50">
        <v>149500</v>
      </c>
      <c r="N39" s="51">
        <f t="shared" si="20"/>
        <v>0.45828093645484952</v>
      </c>
      <c r="O39" s="52">
        <v>69540</v>
      </c>
      <c r="P39" s="53">
        <v>0</v>
      </c>
      <c r="Q39" s="53">
        <f t="shared" si="2"/>
        <v>69540</v>
      </c>
      <c r="R39" s="53">
        <v>149500</v>
      </c>
      <c r="S39" s="54">
        <f t="shared" si="21"/>
        <v>0.46515050167224081</v>
      </c>
      <c r="T39" s="52">
        <v>78337</v>
      </c>
      <c r="U39" s="53">
        <v>0</v>
      </c>
      <c r="V39" s="53">
        <f t="shared" si="4"/>
        <v>78337</v>
      </c>
      <c r="W39" s="53">
        <v>149500</v>
      </c>
      <c r="X39" s="54">
        <f t="shared" si="22"/>
        <v>0.52399331103678926</v>
      </c>
      <c r="Y39" s="52">
        <v>84391</v>
      </c>
      <c r="Z39" s="53">
        <v>0</v>
      </c>
      <c r="AA39" s="53">
        <f t="shared" si="6"/>
        <v>84391</v>
      </c>
      <c r="AB39" s="53">
        <v>149500</v>
      </c>
      <c r="AC39" s="54">
        <f t="shared" si="23"/>
        <v>0.5644882943143813</v>
      </c>
      <c r="AD39" s="52">
        <v>90913</v>
      </c>
      <c r="AE39" s="53">
        <v>0</v>
      </c>
      <c r="AF39" s="53">
        <f t="shared" si="8"/>
        <v>90913</v>
      </c>
      <c r="AG39" s="53">
        <v>149500</v>
      </c>
      <c r="AH39" s="55">
        <f t="shared" si="9"/>
        <v>0.60811371237458189</v>
      </c>
      <c r="AI39" s="56">
        <v>149500</v>
      </c>
      <c r="AJ39" s="54">
        <f t="shared" si="24"/>
        <v>0.60811371237458189</v>
      </c>
      <c r="AK39" s="52">
        <v>103681.62448981317</v>
      </c>
      <c r="AL39" s="53">
        <v>0</v>
      </c>
      <c r="AM39" s="53">
        <f t="shared" si="11"/>
        <v>103681.62448981317</v>
      </c>
      <c r="AN39" s="53">
        <v>149500</v>
      </c>
      <c r="AO39" s="55">
        <f t="shared" si="12"/>
        <v>0.6935225718382152</v>
      </c>
      <c r="AP39" s="53">
        <v>149500</v>
      </c>
      <c r="AQ39" s="55">
        <f t="shared" si="13"/>
        <v>0.6935225718382152</v>
      </c>
      <c r="AR39" s="52">
        <v>118243.58735105676</v>
      </c>
      <c r="AS39" s="53">
        <v>0</v>
      </c>
      <c r="AT39" s="53">
        <f t="shared" si="14"/>
        <v>118243.58735105676</v>
      </c>
      <c r="AU39" s="53">
        <v>149500</v>
      </c>
      <c r="AV39" s="55">
        <f t="shared" si="15"/>
        <v>0.79092700569268737</v>
      </c>
      <c r="AW39" s="53">
        <v>149500</v>
      </c>
      <c r="AX39" s="55">
        <f t="shared" si="16"/>
        <v>0.79092700569268737</v>
      </c>
      <c r="AY39" s="52">
        <v>134925.21724210249</v>
      </c>
      <c r="AZ39" s="53">
        <v>0</v>
      </c>
      <c r="BA39" s="53">
        <f t="shared" si="17"/>
        <v>134925.21724210249</v>
      </c>
      <c r="BB39" s="53">
        <v>149500</v>
      </c>
      <c r="BC39" s="55">
        <f t="shared" si="18"/>
        <v>0.90250981432844468</v>
      </c>
      <c r="BD39" s="53">
        <v>149500</v>
      </c>
      <c r="BE39" s="55">
        <f t="shared" si="19"/>
        <v>0.90250981432844468</v>
      </c>
    </row>
    <row r="40" spans="1:57" s="57" customFormat="1" ht="11.25" x14ac:dyDescent="0.2">
      <c r="A40" s="44" t="s">
        <v>281</v>
      </c>
      <c r="B40" s="45" t="s">
        <v>282</v>
      </c>
      <c r="C40" s="45" t="s">
        <v>283</v>
      </c>
      <c r="D40" s="46" t="s">
        <v>284</v>
      </c>
      <c r="E40" s="47" t="s">
        <v>285</v>
      </c>
      <c r="F40" s="47" t="s">
        <v>286</v>
      </c>
      <c r="G40" s="47" t="s">
        <v>287</v>
      </c>
      <c r="H40" s="48" t="s">
        <v>158</v>
      </c>
      <c r="I40" s="48" t="s">
        <v>288</v>
      </c>
      <c r="J40" s="49">
        <v>47940</v>
      </c>
      <c r="K40" s="50">
        <v>0</v>
      </c>
      <c r="L40" s="50">
        <f t="shared" si="0"/>
        <v>47940</v>
      </c>
      <c r="M40" s="50">
        <v>301750</v>
      </c>
      <c r="N40" s="51">
        <f t="shared" si="20"/>
        <v>0.15887323943661971</v>
      </c>
      <c r="O40" s="52">
        <v>48899</v>
      </c>
      <c r="P40" s="53">
        <v>0</v>
      </c>
      <c r="Q40" s="53">
        <f t="shared" si="2"/>
        <v>48899</v>
      </c>
      <c r="R40" s="53">
        <v>301750</v>
      </c>
      <c r="S40" s="54">
        <f t="shared" si="21"/>
        <v>0.16205136702568351</v>
      </c>
      <c r="T40" s="52">
        <v>57293</v>
      </c>
      <c r="U40" s="53">
        <v>0</v>
      </c>
      <c r="V40" s="53">
        <f t="shared" si="4"/>
        <v>57293</v>
      </c>
      <c r="W40" s="53">
        <v>301750</v>
      </c>
      <c r="X40" s="54">
        <f t="shared" si="22"/>
        <v>0.18986909693454845</v>
      </c>
      <c r="Y40" s="52">
        <v>63256</v>
      </c>
      <c r="Z40" s="53">
        <v>0</v>
      </c>
      <c r="AA40" s="53">
        <f t="shared" si="6"/>
        <v>63256</v>
      </c>
      <c r="AB40" s="53">
        <v>301750</v>
      </c>
      <c r="AC40" s="54">
        <f t="shared" si="23"/>
        <v>0.2096304888152444</v>
      </c>
      <c r="AD40" s="52">
        <v>69840</v>
      </c>
      <c r="AE40" s="53">
        <v>0</v>
      </c>
      <c r="AF40" s="53">
        <f t="shared" si="8"/>
        <v>69840</v>
      </c>
      <c r="AG40" s="53">
        <v>301750</v>
      </c>
      <c r="AH40" s="55">
        <f t="shared" si="9"/>
        <v>0.23144987572493786</v>
      </c>
      <c r="AI40" s="56">
        <v>301750</v>
      </c>
      <c r="AJ40" s="54">
        <f t="shared" si="24"/>
        <v>0.23144987572493786</v>
      </c>
      <c r="AK40" s="52">
        <v>80521.322265599563</v>
      </c>
      <c r="AL40" s="53">
        <v>0</v>
      </c>
      <c r="AM40" s="53">
        <f t="shared" si="11"/>
        <v>80521.322265599563</v>
      </c>
      <c r="AN40" s="53">
        <v>301750</v>
      </c>
      <c r="AO40" s="55">
        <f t="shared" si="12"/>
        <v>0.26684779541209463</v>
      </c>
      <c r="AP40" s="53">
        <v>301750</v>
      </c>
      <c r="AQ40" s="55">
        <f t="shared" si="13"/>
        <v>0.26684779541209463</v>
      </c>
      <c r="AR40" s="52">
        <v>92836.244836777478</v>
      </c>
      <c r="AS40" s="53">
        <v>0</v>
      </c>
      <c r="AT40" s="53">
        <f t="shared" si="14"/>
        <v>92836.244836777478</v>
      </c>
      <c r="AU40" s="53">
        <v>301750</v>
      </c>
      <c r="AV40" s="55">
        <f t="shared" si="15"/>
        <v>0.30765946921881515</v>
      </c>
      <c r="AW40" s="53">
        <v>301750</v>
      </c>
      <c r="AX40" s="55">
        <f t="shared" si="16"/>
        <v>0.30765946921881515</v>
      </c>
      <c r="AY40" s="52">
        <v>104740.31554701358</v>
      </c>
      <c r="AZ40" s="53">
        <v>0</v>
      </c>
      <c r="BA40" s="53">
        <f t="shared" si="17"/>
        <v>104740.31554701358</v>
      </c>
      <c r="BB40" s="53">
        <v>301750</v>
      </c>
      <c r="BC40" s="55">
        <f t="shared" si="18"/>
        <v>0.34710957927759267</v>
      </c>
      <c r="BD40" s="53">
        <v>301750</v>
      </c>
      <c r="BE40" s="55">
        <f t="shared" si="19"/>
        <v>0.34710957927759267</v>
      </c>
    </row>
    <row r="41" spans="1:57" s="57" customFormat="1" ht="11.25" x14ac:dyDescent="0.2">
      <c r="A41" s="44" t="s">
        <v>289</v>
      </c>
      <c r="B41" s="45" t="s">
        <v>290</v>
      </c>
      <c r="C41" s="45" t="s">
        <v>291</v>
      </c>
      <c r="D41" s="46" t="s">
        <v>292</v>
      </c>
      <c r="E41" s="47" t="s">
        <v>293</v>
      </c>
      <c r="F41" s="47" t="s">
        <v>294</v>
      </c>
      <c r="G41" s="47" t="s">
        <v>295</v>
      </c>
      <c r="H41" s="48" t="s">
        <v>158</v>
      </c>
      <c r="I41" s="48" t="s">
        <v>296</v>
      </c>
      <c r="J41" s="49">
        <v>172953</v>
      </c>
      <c r="K41" s="50">
        <v>0</v>
      </c>
      <c r="L41" s="50">
        <f t="shared" si="0"/>
        <v>172953</v>
      </c>
      <c r="M41" s="50">
        <v>266075.45353638928</v>
      </c>
      <c r="N41" s="51">
        <f t="shared" si="20"/>
        <v>0.65001486496140248</v>
      </c>
      <c r="O41" s="52">
        <v>175028</v>
      </c>
      <c r="P41" s="53">
        <v>0</v>
      </c>
      <c r="Q41" s="53">
        <f t="shared" si="2"/>
        <v>175028</v>
      </c>
      <c r="R41" s="53">
        <v>266075.45353638928</v>
      </c>
      <c r="S41" s="54">
        <f t="shared" si="21"/>
        <v>0.65781340470800942</v>
      </c>
      <c r="T41" s="52">
        <v>192554</v>
      </c>
      <c r="U41" s="53">
        <v>0</v>
      </c>
      <c r="V41" s="53">
        <f t="shared" si="4"/>
        <v>192554</v>
      </c>
      <c r="W41" s="53">
        <v>266075.45353638928</v>
      </c>
      <c r="X41" s="54">
        <f t="shared" si="22"/>
        <v>0.72368193849067608</v>
      </c>
      <c r="Y41" s="52">
        <v>204388</v>
      </c>
      <c r="Z41" s="53">
        <v>0</v>
      </c>
      <c r="AA41" s="53">
        <f t="shared" si="6"/>
        <v>204388</v>
      </c>
      <c r="AB41" s="53">
        <v>266075.45353638928</v>
      </c>
      <c r="AC41" s="54">
        <f t="shared" si="23"/>
        <v>0.76815804420698763</v>
      </c>
      <c r="AD41" s="52">
        <v>216949</v>
      </c>
      <c r="AE41" s="53">
        <v>0</v>
      </c>
      <c r="AF41" s="53">
        <f t="shared" si="8"/>
        <v>216949</v>
      </c>
      <c r="AG41" s="53">
        <v>266075.45353638928</v>
      </c>
      <c r="AH41" s="55">
        <f t="shared" si="9"/>
        <v>0.81536645758391768</v>
      </c>
      <c r="AI41" s="56">
        <v>259300</v>
      </c>
      <c r="AJ41" s="54">
        <f t="shared" si="24"/>
        <v>0.83667180871577329</v>
      </c>
      <c r="AK41" s="52">
        <v>232655.10836465989</v>
      </c>
      <c r="AL41" s="53">
        <v>0</v>
      </c>
      <c r="AM41" s="53">
        <f t="shared" si="11"/>
        <v>232655.10836465989</v>
      </c>
      <c r="AN41" s="53">
        <v>266075.45353638928</v>
      </c>
      <c r="AO41" s="55">
        <f t="shared" si="12"/>
        <v>0.87439523365443128</v>
      </c>
      <c r="AP41" s="53">
        <v>259300</v>
      </c>
      <c r="AQ41" s="55">
        <f t="shared" si="13"/>
        <v>0.89724299407890429</v>
      </c>
      <c r="AR41" s="52">
        <v>249498.26663488484</v>
      </c>
      <c r="AS41" s="53">
        <v>0</v>
      </c>
      <c r="AT41" s="53">
        <f t="shared" si="14"/>
        <v>249498.26663488484</v>
      </c>
      <c r="AU41" s="53">
        <v>266075.45353638928</v>
      </c>
      <c r="AV41" s="55">
        <f t="shared" si="15"/>
        <v>0.93769742123454736</v>
      </c>
      <c r="AW41" s="53">
        <v>259300</v>
      </c>
      <c r="AX41" s="55">
        <f t="shared" si="16"/>
        <v>0.96219925428031172</v>
      </c>
      <c r="AY41" s="52">
        <v>263708.64376422385</v>
      </c>
      <c r="AZ41" s="53">
        <v>0</v>
      </c>
      <c r="BA41" s="53">
        <f t="shared" si="17"/>
        <v>263708.64376422385</v>
      </c>
      <c r="BB41" s="53">
        <v>266075.45353638928</v>
      </c>
      <c r="BC41" s="55">
        <f t="shared" si="18"/>
        <v>0.99110474212969168</v>
      </c>
      <c r="BD41" s="53">
        <v>259300</v>
      </c>
      <c r="BE41" s="55">
        <f t="shared" si="19"/>
        <v>1.0170020970467561</v>
      </c>
    </row>
    <row r="42" spans="1:57" s="57" customFormat="1" ht="11.25" x14ac:dyDescent="0.2">
      <c r="A42" s="44" t="s">
        <v>297</v>
      </c>
      <c r="B42" s="45" t="s">
        <v>298</v>
      </c>
      <c r="C42" s="45" t="s">
        <v>33</v>
      </c>
      <c r="D42" s="46" t="s">
        <v>299</v>
      </c>
      <c r="E42" s="47" t="s">
        <v>300</v>
      </c>
      <c r="F42" s="47" t="s">
        <v>301</v>
      </c>
      <c r="G42" s="47" t="s">
        <v>302</v>
      </c>
      <c r="H42" s="48" t="s">
        <v>207</v>
      </c>
      <c r="I42" s="48" t="s">
        <v>303</v>
      </c>
      <c r="J42" s="49">
        <v>30300</v>
      </c>
      <c r="K42" s="50">
        <v>0</v>
      </c>
      <c r="L42" s="50">
        <f t="shared" si="0"/>
        <v>30300</v>
      </c>
      <c r="M42" s="50">
        <v>126500</v>
      </c>
      <c r="N42" s="51">
        <f t="shared" si="20"/>
        <v>0.23952569169960475</v>
      </c>
      <c r="O42" s="52">
        <v>30603</v>
      </c>
      <c r="P42" s="53">
        <v>0</v>
      </c>
      <c r="Q42" s="53">
        <f t="shared" si="2"/>
        <v>30603</v>
      </c>
      <c r="R42" s="53">
        <v>126500</v>
      </c>
      <c r="S42" s="54">
        <f t="shared" si="21"/>
        <v>0.24192094861660079</v>
      </c>
      <c r="T42" s="52">
        <v>33139</v>
      </c>
      <c r="U42" s="53">
        <v>0</v>
      </c>
      <c r="V42" s="53">
        <f t="shared" si="4"/>
        <v>33139</v>
      </c>
      <c r="W42" s="53">
        <v>126500</v>
      </c>
      <c r="X42" s="54">
        <f t="shared" si="22"/>
        <v>0.26196837944664031</v>
      </c>
      <c r="Y42" s="52">
        <v>34829</v>
      </c>
      <c r="Z42" s="53">
        <v>0</v>
      </c>
      <c r="AA42" s="53">
        <f t="shared" si="6"/>
        <v>34829</v>
      </c>
      <c r="AB42" s="53">
        <v>126500</v>
      </c>
      <c r="AC42" s="54">
        <f t="shared" si="23"/>
        <v>0.2753280632411067</v>
      </c>
      <c r="AD42" s="52">
        <v>36606</v>
      </c>
      <c r="AE42" s="53">
        <v>0</v>
      </c>
      <c r="AF42" s="53">
        <f t="shared" si="8"/>
        <v>36606</v>
      </c>
      <c r="AG42" s="53">
        <v>126500</v>
      </c>
      <c r="AH42" s="55">
        <f t="shared" si="9"/>
        <v>0.28937549407114627</v>
      </c>
      <c r="AI42" s="56">
        <v>126500</v>
      </c>
      <c r="AJ42" s="54">
        <f t="shared" si="24"/>
        <v>0.28937549407114627</v>
      </c>
      <c r="AK42" s="52">
        <v>39684.605866244725</v>
      </c>
      <c r="AL42" s="53">
        <v>0</v>
      </c>
      <c r="AM42" s="53">
        <f t="shared" si="11"/>
        <v>39684.605866244725</v>
      </c>
      <c r="AN42" s="53">
        <v>126500</v>
      </c>
      <c r="AO42" s="55">
        <f t="shared" si="12"/>
        <v>0.31371229933790296</v>
      </c>
      <c r="AP42" s="53">
        <v>126500</v>
      </c>
      <c r="AQ42" s="55">
        <f t="shared" si="13"/>
        <v>0.31371229933790296</v>
      </c>
      <c r="AR42" s="52">
        <v>43022.125956378324</v>
      </c>
      <c r="AS42" s="53">
        <v>0</v>
      </c>
      <c r="AT42" s="53">
        <f t="shared" si="14"/>
        <v>43022.125956378324</v>
      </c>
      <c r="AU42" s="53">
        <v>126500</v>
      </c>
      <c r="AV42" s="55">
        <f t="shared" si="15"/>
        <v>0.3400958573626745</v>
      </c>
      <c r="AW42" s="53">
        <v>126500</v>
      </c>
      <c r="AX42" s="55">
        <f t="shared" si="16"/>
        <v>0.3400958573626745</v>
      </c>
      <c r="AY42" s="52">
        <v>46320.434774237357</v>
      </c>
      <c r="AZ42" s="53">
        <v>0</v>
      </c>
      <c r="BA42" s="53">
        <f t="shared" si="17"/>
        <v>46320.434774237357</v>
      </c>
      <c r="BB42" s="53">
        <v>126500</v>
      </c>
      <c r="BC42" s="55">
        <f t="shared" si="18"/>
        <v>0.3661694448556313</v>
      </c>
      <c r="BD42" s="53">
        <v>126500</v>
      </c>
      <c r="BE42" s="55">
        <f t="shared" si="19"/>
        <v>0.3661694448556313</v>
      </c>
    </row>
    <row r="43" spans="1:57" s="57" customFormat="1" ht="11.25" x14ac:dyDescent="0.2">
      <c r="A43" s="44" t="s">
        <v>304</v>
      </c>
      <c r="B43" s="45" t="s">
        <v>254</v>
      </c>
      <c r="C43" s="45" t="s">
        <v>305</v>
      </c>
      <c r="D43" s="46" t="s">
        <v>306</v>
      </c>
      <c r="E43" s="47" t="s">
        <v>307</v>
      </c>
      <c r="F43" s="47" t="s">
        <v>308</v>
      </c>
      <c r="G43" s="47" t="s">
        <v>309</v>
      </c>
      <c r="H43" s="48" t="s">
        <v>98</v>
      </c>
      <c r="I43" s="48" t="s">
        <v>260</v>
      </c>
      <c r="J43" s="49">
        <v>152847</v>
      </c>
      <c r="K43" s="50">
        <v>0</v>
      </c>
      <c r="L43" s="50">
        <f t="shared" si="0"/>
        <v>152847</v>
      </c>
      <c r="M43" s="50">
        <v>234045.12385436587</v>
      </c>
      <c r="N43" s="51">
        <f t="shared" si="20"/>
        <v>0.65306637234240672</v>
      </c>
      <c r="O43" s="52">
        <v>156057</v>
      </c>
      <c r="P43" s="53">
        <v>0</v>
      </c>
      <c r="Q43" s="53">
        <f t="shared" si="2"/>
        <v>156057</v>
      </c>
      <c r="R43" s="53">
        <v>234045.12385436587</v>
      </c>
      <c r="S43" s="54">
        <f t="shared" si="21"/>
        <v>0.66678167624251028</v>
      </c>
      <c r="T43" s="52">
        <v>184284</v>
      </c>
      <c r="U43" s="53">
        <v>0</v>
      </c>
      <c r="V43" s="53">
        <f t="shared" si="4"/>
        <v>184284</v>
      </c>
      <c r="W43" s="53">
        <v>234045.12385436587</v>
      </c>
      <c r="X43" s="54">
        <f t="shared" si="22"/>
        <v>0.78738662427622452</v>
      </c>
      <c r="Y43" s="52">
        <v>204464</v>
      </c>
      <c r="Z43" s="53">
        <v>0</v>
      </c>
      <c r="AA43" s="53">
        <f t="shared" si="6"/>
        <v>204464</v>
      </c>
      <c r="AB43" s="53">
        <v>234045.12385436587</v>
      </c>
      <c r="AC43" s="54">
        <f t="shared" si="23"/>
        <v>0.87360931359214022</v>
      </c>
      <c r="AD43" s="52">
        <v>226853</v>
      </c>
      <c r="AE43" s="53">
        <v>0</v>
      </c>
      <c r="AF43" s="53">
        <f t="shared" si="8"/>
        <v>226853</v>
      </c>
      <c r="AG43" s="53">
        <v>234045.12385436587</v>
      </c>
      <c r="AH43" s="55">
        <f t="shared" si="9"/>
        <v>0.96927035378510529</v>
      </c>
      <c r="AI43" s="56">
        <v>192100</v>
      </c>
      <c r="AJ43" s="54">
        <f t="shared" si="24"/>
        <v>1.1809109838625715</v>
      </c>
      <c r="AK43" s="52">
        <v>269880.53386532754</v>
      </c>
      <c r="AL43" s="53">
        <v>0</v>
      </c>
      <c r="AM43" s="53">
        <f t="shared" si="11"/>
        <v>269880.53386532754</v>
      </c>
      <c r="AN43" s="53">
        <v>234045.12385436587</v>
      </c>
      <c r="AO43" s="55">
        <f t="shared" si="12"/>
        <v>1.1531132519268386</v>
      </c>
      <c r="AP43" s="53">
        <v>192100</v>
      </c>
      <c r="AQ43" s="55">
        <f t="shared" si="13"/>
        <v>1.4048960638486598</v>
      </c>
      <c r="AR43" s="52">
        <v>321069.1617895033</v>
      </c>
      <c r="AS43" s="53">
        <v>0</v>
      </c>
      <c r="AT43" s="53">
        <f t="shared" si="14"/>
        <v>321069.1617895033</v>
      </c>
      <c r="AU43" s="53">
        <v>234045.12385436587</v>
      </c>
      <c r="AV43" s="55">
        <f t="shared" si="15"/>
        <v>1.3718258962288314</v>
      </c>
      <c r="AW43" s="53">
        <v>192100</v>
      </c>
      <c r="AX43" s="55">
        <f t="shared" si="16"/>
        <v>1.6713647151978308</v>
      </c>
      <c r="AY43" s="52">
        <v>380627.31330062659</v>
      </c>
      <c r="AZ43" s="53">
        <v>0</v>
      </c>
      <c r="BA43" s="53">
        <f t="shared" si="17"/>
        <v>380627.31330062659</v>
      </c>
      <c r="BB43" s="53">
        <v>234045.12385436587</v>
      </c>
      <c r="BC43" s="55">
        <f t="shared" si="18"/>
        <v>1.6262988394386342</v>
      </c>
      <c r="BD43" s="53">
        <v>192100</v>
      </c>
      <c r="BE43" s="55">
        <f t="shared" si="19"/>
        <v>1.9814019432619812</v>
      </c>
    </row>
    <row r="44" spans="1:57" s="57" customFormat="1" ht="11.25" x14ac:dyDescent="0.2">
      <c r="A44" s="44" t="s">
        <v>310</v>
      </c>
      <c r="B44" s="45" t="s">
        <v>311</v>
      </c>
      <c r="C44" s="45" t="s">
        <v>312</v>
      </c>
      <c r="D44" s="46" t="s">
        <v>313</v>
      </c>
      <c r="E44" s="47" t="s">
        <v>314</v>
      </c>
      <c r="F44" s="47" t="s">
        <v>308</v>
      </c>
      <c r="G44" s="47" t="s">
        <v>315</v>
      </c>
      <c r="H44" s="48" t="s">
        <v>98</v>
      </c>
      <c r="I44" s="48" t="s">
        <v>260</v>
      </c>
      <c r="J44" s="49">
        <v>46473</v>
      </c>
      <c r="K44" s="50">
        <v>231719</v>
      </c>
      <c r="L44" s="50">
        <f t="shared" si="0"/>
        <v>278192</v>
      </c>
      <c r="M44" s="50">
        <v>305000</v>
      </c>
      <c r="N44" s="51">
        <f t="shared" si="20"/>
        <v>0.91210491803278693</v>
      </c>
      <c r="O44" s="52">
        <v>47403</v>
      </c>
      <c r="P44" s="53">
        <v>236817</v>
      </c>
      <c r="Q44" s="53">
        <f t="shared" si="2"/>
        <v>284220</v>
      </c>
      <c r="R44" s="53">
        <v>305000</v>
      </c>
      <c r="S44" s="54">
        <f t="shared" si="21"/>
        <v>0.93186885245901641</v>
      </c>
      <c r="T44" s="52">
        <v>55540</v>
      </c>
      <c r="U44" s="53">
        <v>281851</v>
      </c>
      <c r="V44" s="53">
        <f t="shared" si="4"/>
        <v>337391</v>
      </c>
      <c r="W44" s="56">
        <v>565000</v>
      </c>
      <c r="X44" s="54">
        <f t="shared" si="22"/>
        <v>0.59715221238938054</v>
      </c>
      <c r="Y44" s="52">
        <v>61320</v>
      </c>
      <c r="Z44" s="53">
        <v>314249</v>
      </c>
      <c r="AA44" s="53">
        <f t="shared" si="6"/>
        <v>375569</v>
      </c>
      <c r="AB44" s="56">
        <v>565000</v>
      </c>
      <c r="AC44" s="54">
        <f t="shared" si="23"/>
        <v>0.66472389380530972</v>
      </c>
      <c r="AD44" s="52">
        <v>67703</v>
      </c>
      <c r="AE44" s="53">
        <v>350372</v>
      </c>
      <c r="AF44" s="53">
        <f t="shared" si="8"/>
        <v>418075</v>
      </c>
      <c r="AG44" s="53">
        <v>305000</v>
      </c>
      <c r="AH44" s="55">
        <f t="shared" si="9"/>
        <v>1.3707377049180327</v>
      </c>
      <c r="AI44" s="56">
        <v>565000</v>
      </c>
      <c r="AJ44" s="54">
        <f t="shared" si="24"/>
        <v>0.73995575221238941</v>
      </c>
      <c r="AK44" s="52">
        <v>79886.813040289591</v>
      </c>
      <c r="AL44" s="53">
        <v>418499.93951003236</v>
      </c>
      <c r="AM44" s="53">
        <f t="shared" si="11"/>
        <v>498386.75255032198</v>
      </c>
      <c r="AN44" s="53">
        <v>305000</v>
      </c>
      <c r="AO44" s="55">
        <f t="shared" si="12"/>
        <v>1.6340549263944983</v>
      </c>
      <c r="AP44" s="53">
        <v>565000</v>
      </c>
      <c r="AQ44" s="55">
        <f t="shared" si="13"/>
        <v>0.8821004469917203</v>
      </c>
      <c r="AR44" s="52">
        <v>94263.22168492066</v>
      </c>
      <c r="AS44" s="53">
        <v>499874.98821224511</v>
      </c>
      <c r="AT44" s="53">
        <f t="shared" si="14"/>
        <v>594138.20989716577</v>
      </c>
      <c r="AU44" s="53">
        <v>305000</v>
      </c>
      <c r="AV44" s="55">
        <f t="shared" si="15"/>
        <v>1.9479941308103796</v>
      </c>
      <c r="AW44" s="53">
        <v>565000</v>
      </c>
      <c r="AX44" s="55">
        <f t="shared" si="16"/>
        <v>1.0515720529153376</v>
      </c>
      <c r="AY44" s="52">
        <v>110854.97969352665</v>
      </c>
      <c r="AZ44" s="53">
        <v>590675.92323603516</v>
      </c>
      <c r="BA44" s="53">
        <f t="shared" si="17"/>
        <v>701530.90292956179</v>
      </c>
      <c r="BB44" s="53">
        <v>305000</v>
      </c>
      <c r="BC44" s="55">
        <f t="shared" si="18"/>
        <v>2.3001013210805303</v>
      </c>
      <c r="BD44" s="53">
        <v>565000</v>
      </c>
      <c r="BE44" s="55">
        <f t="shared" si="19"/>
        <v>1.2416476158045342</v>
      </c>
    </row>
    <row r="45" spans="1:57" s="57" customFormat="1" ht="11.25" x14ac:dyDescent="0.2">
      <c r="A45" s="44" t="s">
        <v>316</v>
      </c>
      <c r="B45" s="45" t="s">
        <v>317</v>
      </c>
      <c r="C45" s="45" t="s">
        <v>33</v>
      </c>
      <c r="D45" s="46" t="s">
        <v>318</v>
      </c>
      <c r="E45" s="47" t="s">
        <v>319</v>
      </c>
      <c r="F45" s="47" t="s">
        <v>320</v>
      </c>
      <c r="G45" s="47" t="s">
        <v>321</v>
      </c>
      <c r="H45" s="48" t="s">
        <v>55</v>
      </c>
      <c r="I45" s="48" t="s">
        <v>252</v>
      </c>
      <c r="J45" s="49">
        <v>8110</v>
      </c>
      <c r="K45" s="50">
        <v>0</v>
      </c>
      <c r="L45" s="50">
        <f t="shared" si="0"/>
        <v>8110</v>
      </c>
      <c r="M45" s="50">
        <v>126500</v>
      </c>
      <c r="N45" s="51">
        <f t="shared" si="20"/>
        <v>6.4110671936758887E-2</v>
      </c>
      <c r="O45" s="52">
        <v>8191</v>
      </c>
      <c r="P45" s="53">
        <v>0</v>
      </c>
      <c r="Q45" s="53">
        <f t="shared" si="2"/>
        <v>8191</v>
      </c>
      <c r="R45" s="53">
        <v>126500</v>
      </c>
      <c r="S45" s="54">
        <f t="shared" si="21"/>
        <v>6.4750988142292493E-2</v>
      </c>
      <c r="T45" s="52">
        <v>8870</v>
      </c>
      <c r="U45" s="53">
        <v>0</v>
      </c>
      <c r="V45" s="53">
        <f t="shared" si="4"/>
        <v>8870</v>
      </c>
      <c r="W45" s="53">
        <v>126500</v>
      </c>
      <c r="X45" s="54">
        <f t="shared" si="22"/>
        <v>7.0118577075098817E-2</v>
      </c>
      <c r="Y45" s="52">
        <v>9323</v>
      </c>
      <c r="Z45" s="53">
        <v>0</v>
      </c>
      <c r="AA45" s="53">
        <f t="shared" si="6"/>
        <v>9323</v>
      </c>
      <c r="AB45" s="53">
        <v>126500</v>
      </c>
      <c r="AC45" s="54">
        <f t="shared" si="23"/>
        <v>7.3699604743083E-2</v>
      </c>
      <c r="AD45" s="52">
        <v>9798</v>
      </c>
      <c r="AE45" s="53">
        <v>0</v>
      </c>
      <c r="AF45" s="53">
        <f t="shared" si="8"/>
        <v>9798</v>
      </c>
      <c r="AG45" s="53">
        <v>126500</v>
      </c>
      <c r="AH45" s="55">
        <f t="shared" si="9"/>
        <v>7.7454545454545456E-2</v>
      </c>
      <c r="AI45" s="56">
        <v>126500</v>
      </c>
      <c r="AJ45" s="54">
        <f t="shared" si="24"/>
        <v>7.7454545454545456E-2</v>
      </c>
      <c r="AK45" s="52">
        <v>10642.420832293092</v>
      </c>
      <c r="AL45" s="53">
        <v>0</v>
      </c>
      <c r="AM45" s="53">
        <f t="shared" si="11"/>
        <v>10642.420832293092</v>
      </c>
      <c r="AN45" s="53">
        <v>126500</v>
      </c>
      <c r="AO45" s="55">
        <f t="shared" si="12"/>
        <v>8.4129808950933527E-2</v>
      </c>
      <c r="AP45" s="53">
        <v>126500</v>
      </c>
      <c r="AQ45" s="55">
        <f t="shared" si="13"/>
        <v>8.4129808950933527E-2</v>
      </c>
      <c r="AR45" s="52">
        <v>11559.616367791998</v>
      </c>
      <c r="AS45" s="53">
        <v>0</v>
      </c>
      <c r="AT45" s="53">
        <f t="shared" si="14"/>
        <v>11559.616367791998</v>
      </c>
      <c r="AU45" s="53">
        <v>126500</v>
      </c>
      <c r="AV45" s="55">
        <f t="shared" si="15"/>
        <v>9.1380366543810251E-2</v>
      </c>
      <c r="AW45" s="53">
        <v>126500</v>
      </c>
      <c r="AX45" s="55">
        <f t="shared" si="16"/>
        <v>9.1380366543810251E-2</v>
      </c>
      <c r="AY45" s="52">
        <v>12512.779799044456</v>
      </c>
      <c r="AZ45" s="53">
        <v>0</v>
      </c>
      <c r="BA45" s="53">
        <f t="shared" si="17"/>
        <v>12512.779799044456</v>
      </c>
      <c r="BB45" s="53">
        <v>126500</v>
      </c>
      <c r="BC45" s="55">
        <f t="shared" si="18"/>
        <v>9.8915255328414678E-2</v>
      </c>
      <c r="BD45" s="53">
        <v>126500</v>
      </c>
      <c r="BE45" s="55">
        <f t="shared" si="19"/>
        <v>9.8915255328414678E-2</v>
      </c>
    </row>
    <row r="46" spans="1:57" s="57" customFormat="1" ht="11.25" x14ac:dyDescent="0.2">
      <c r="A46" s="44" t="s">
        <v>322</v>
      </c>
      <c r="B46" s="45" t="s">
        <v>323</v>
      </c>
      <c r="C46" s="45" t="s">
        <v>324</v>
      </c>
      <c r="D46" s="46" t="s">
        <v>325</v>
      </c>
      <c r="E46" s="47" t="s">
        <v>326</v>
      </c>
      <c r="F46" s="47" t="s">
        <v>327</v>
      </c>
      <c r="G46" s="47" t="s">
        <v>328</v>
      </c>
      <c r="H46" s="48" t="s">
        <v>207</v>
      </c>
      <c r="I46" s="48" t="s">
        <v>303</v>
      </c>
      <c r="J46" s="49">
        <v>65250</v>
      </c>
      <c r="K46" s="50">
        <v>9687</v>
      </c>
      <c r="L46" s="50">
        <f t="shared" si="0"/>
        <v>74937</v>
      </c>
      <c r="M46" s="50">
        <v>255045</v>
      </c>
      <c r="N46" s="51">
        <f t="shared" si="20"/>
        <v>0.29381873786978768</v>
      </c>
      <c r="O46" s="52">
        <v>66685</v>
      </c>
      <c r="P46" s="53">
        <v>9939</v>
      </c>
      <c r="Q46" s="53">
        <f t="shared" si="2"/>
        <v>76624</v>
      </c>
      <c r="R46" s="53">
        <v>255045</v>
      </c>
      <c r="S46" s="54">
        <f t="shared" si="21"/>
        <v>0.30043325687623751</v>
      </c>
      <c r="T46" s="52">
        <v>79366</v>
      </c>
      <c r="U46" s="53">
        <v>12205</v>
      </c>
      <c r="V46" s="53">
        <f t="shared" si="4"/>
        <v>91571</v>
      </c>
      <c r="W46" s="53">
        <v>255045</v>
      </c>
      <c r="X46" s="54">
        <f t="shared" si="22"/>
        <v>0.35903860103119056</v>
      </c>
      <c r="Y46" s="52">
        <v>88489</v>
      </c>
      <c r="Z46" s="53">
        <v>13876</v>
      </c>
      <c r="AA46" s="53">
        <f t="shared" si="6"/>
        <v>102365</v>
      </c>
      <c r="AB46" s="53">
        <v>255045</v>
      </c>
      <c r="AC46" s="54">
        <f t="shared" si="23"/>
        <v>0.40136054421768708</v>
      </c>
      <c r="AD46" s="52">
        <v>98661</v>
      </c>
      <c r="AE46" s="53">
        <v>15777</v>
      </c>
      <c r="AF46" s="53">
        <f t="shared" si="8"/>
        <v>114438</v>
      </c>
      <c r="AG46" s="53">
        <v>255045</v>
      </c>
      <c r="AH46" s="55">
        <f t="shared" si="9"/>
        <v>0.44869728871375641</v>
      </c>
      <c r="AI46" s="56">
        <v>255045</v>
      </c>
      <c r="AJ46" s="54">
        <f t="shared" si="24"/>
        <v>0.44869728871375641</v>
      </c>
      <c r="AK46" s="52">
        <v>117740.11833071407</v>
      </c>
      <c r="AL46" s="53">
        <v>19079.593821408402</v>
      </c>
      <c r="AM46" s="53">
        <f t="shared" si="11"/>
        <v>136819.71215212246</v>
      </c>
      <c r="AN46" s="53">
        <v>255045</v>
      </c>
      <c r="AO46" s="55">
        <f t="shared" si="12"/>
        <v>0.53645322257688821</v>
      </c>
      <c r="AP46" s="53">
        <v>255045</v>
      </c>
      <c r="AQ46" s="55">
        <f t="shared" si="13"/>
        <v>0.53645322257688821</v>
      </c>
      <c r="AR46" s="52">
        <v>140508.76703591648</v>
      </c>
      <c r="AS46" s="53">
        <v>23073.518437594317</v>
      </c>
      <c r="AT46" s="53">
        <f t="shared" si="14"/>
        <v>163582.2854735108</v>
      </c>
      <c r="AU46" s="53">
        <v>255045</v>
      </c>
      <c r="AV46" s="55">
        <f t="shared" si="15"/>
        <v>0.64138597295971611</v>
      </c>
      <c r="AW46" s="53">
        <v>255045</v>
      </c>
      <c r="AX46" s="55">
        <f t="shared" si="16"/>
        <v>0.64138597295971611</v>
      </c>
      <c r="AY46" s="52">
        <v>165183.65151711737</v>
      </c>
      <c r="AZ46" s="53">
        <v>27249.897867447231</v>
      </c>
      <c r="BA46" s="53">
        <f t="shared" si="17"/>
        <v>192433.5493845646</v>
      </c>
      <c r="BB46" s="53">
        <v>255045</v>
      </c>
      <c r="BC46" s="55">
        <f t="shared" si="18"/>
        <v>0.75450822162584874</v>
      </c>
      <c r="BD46" s="53">
        <v>255045</v>
      </c>
      <c r="BE46" s="55">
        <f t="shared" si="19"/>
        <v>0.75450822162584874</v>
      </c>
    </row>
    <row r="47" spans="1:57" s="57" customFormat="1" ht="11.25" x14ac:dyDescent="0.2">
      <c r="A47" s="44" t="s">
        <v>329</v>
      </c>
      <c r="B47" s="45" t="s">
        <v>330</v>
      </c>
      <c r="C47" s="45" t="s">
        <v>331</v>
      </c>
      <c r="D47" s="46" t="s">
        <v>332</v>
      </c>
      <c r="E47" s="47" t="s">
        <v>333</v>
      </c>
      <c r="F47" s="47" t="s">
        <v>334</v>
      </c>
      <c r="G47" s="47" t="s">
        <v>335</v>
      </c>
      <c r="H47" s="48" t="s">
        <v>207</v>
      </c>
      <c r="I47" s="48" t="s">
        <v>336</v>
      </c>
      <c r="J47" s="49">
        <v>4020</v>
      </c>
      <c r="K47" s="50">
        <v>0</v>
      </c>
      <c r="L47" s="50">
        <f t="shared" si="0"/>
        <v>4020</v>
      </c>
      <c r="M47" s="50">
        <v>161000</v>
      </c>
      <c r="N47" s="51">
        <f t="shared" si="20"/>
        <v>2.4968944099378883E-2</v>
      </c>
      <c r="O47" s="52">
        <v>4040</v>
      </c>
      <c r="P47" s="53">
        <v>0</v>
      </c>
      <c r="Q47" s="53">
        <f t="shared" si="2"/>
        <v>4040</v>
      </c>
      <c r="R47" s="53">
        <v>161000</v>
      </c>
      <c r="S47" s="54">
        <f t="shared" si="21"/>
        <v>2.5093167701863355E-2</v>
      </c>
      <c r="T47" s="52">
        <v>4205</v>
      </c>
      <c r="U47" s="53">
        <v>0</v>
      </c>
      <c r="V47" s="53">
        <f t="shared" si="4"/>
        <v>4205</v>
      </c>
      <c r="W47" s="53">
        <v>161000</v>
      </c>
      <c r="X47" s="54">
        <f t="shared" si="22"/>
        <v>2.6118012422360247E-2</v>
      </c>
      <c r="Y47" s="52">
        <v>4311</v>
      </c>
      <c r="Z47" s="53">
        <v>0</v>
      </c>
      <c r="AA47" s="53">
        <f t="shared" si="6"/>
        <v>4311</v>
      </c>
      <c r="AB47" s="53">
        <v>161000</v>
      </c>
      <c r="AC47" s="54">
        <f t="shared" si="23"/>
        <v>2.6776397515527951E-2</v>
      </c>
      <c r="AD47" s="52">
        <v>4420</v>
      </c>
      <c r="AE47" s="53">
        <v>0</v>
      </c>
      <c r="AF47" s="53">
        <f t="shared" si="8"/>
        <v>4420</v>
      </c>
      <c r="AG47" s="53">
        <v>161000</v>
      </c>
      <c r="AH47" s="55">
        <f t="shared" si="9"/>
        <v>2.7453416149068322E-2</v>
      </c>
      <c r="AI47" s="56">
        <v>161000</v>
      </c>
      <c r="AJ47" s="54">
        <f t="shared" si="24"/>
        <v>2.7453416149068322E-2</v>
      </c>
      <c r="AK47" s="52">
        <v>4587.880746910475</v>
      </c>
      <c r="AL47" s="53">
        <v>0</v>
      </c>
      <c r="AM47" s="53">
        <f t="shared" si="11"/>
        <v>4587.880746910475</v>
      </c>
      <c r="AN47" s="53">
        <v>161000</v>
      </c>
      <c r="AO47" s="55">
        <f t="shared" si="12"/>
        <v>2.8496153707518478E-2</v>
      </c>
      <c r="AP47" s="53">
        <v>161000</v>
      </c>
      <c r="AQ47" s="55">
        <f t="shared" si="13"/>
        <v>2.8496153707518478E-2</v>
      </c>
      <c r="AR47" s="52">
        <v>4762.1379520071969</v>
      </c>
      <c r="AS47" s="53">
        <v>0</v>
      </c>
      <c r="AT47" s="53">
        <f t="shared" si="14"/>
        <v>4762.1379520071969</v>
      </c>
      <c r="AU47" s="53">
        <v>161000</v>
      </c>
      <c r="AV47" s="55">
        <f t="shared" si="15"/>
        <v>2.9578496596317994E-2</v>
      </c>
      <c r="AW47" s="53">
        <v>161000</v>
      </c>
      <c r="AX47" s="55">
        <f t="shared" si="16"/>
        <v>2.9578496596317994E-2</v>
      </c>
      <c r="AY47" s="52">
        <v>4923.0980825448314</v>
      </c>
      <c r="AZ47" s="53">
        <v>0</v>
      </c>
      <c r="BA47" s="53">
        <f t="shared" si="17"/>
        <v>4923.0980825448314</v>
      </c>
      <c r="BB47" s="53">
        <v>161000</v>
      </c>
      <c r="BC47" s="55">
        <f t="shared" si="18"/>
        <v>3.0578248959905786E-2</v>
      </c>
      <c r="BD47" s="53">
        <v>161000</v>
      </c>
      <c r="BE47" s="55">
        <f t="shared" si="19"/>
        <v>3.0578248959905786E-2</v>
      </c>
    </row>
    <row r="48" spans="1:57" s="57" customFormat="1" ht="11.25" x14ac:dyDescent="0.2">
      <c r="A48" s="44" t="s">
        <v>337</v>
      </c>
      <c r="B48" s="45" t="s">
        <v>152</v>
      </c>
      <c r="C48" s="45" t="s">
        <v>338</v>
      </c>
      <c r="D48" s="46" t="s">
        <v>339</v>
      </c>
      <c r="E48" s="47" t="s">
        <v>340</v>
      </c>
      <c r="F48" s="47" t="s">
        <v>156</v>
      </c>
      <c r="G48" s="47" t="s">
        <v>341</v>
      </c>
      <c r="H48" s="48" t="s">
        <v>158</v>
      </c>
      <c r="I48" s="48" t="s">
        <v>159</v>
      </c>
      <c r="J48" s="49">
        <v>81507</v>
      </c>
      <c r="K48" s="50">
        <v>0</v>
      </c>
      <c r="L48" s="50">
        <f t="shared" si="0"/>
        <v>81507</v>
      </c>
      <c r="M48" s="50">
        <v>204128.00000000006</v>
      </c>
      <c r="N48" s="51">
        <f t="shared" si="20"/>
        <v>0.3992935804985106</v>
      </c>
      <c r="O48" s="52">
        <v>82322</v>
      </c>
      <c r="P48" s="53">
        <v>0</v>
      </c>
      <c r="Q48" s="53">
        <f t="shared" si="2"/>
        <v>82322</v>
      </c>
      <c r="R48" s="53">
        <v>204128.00000000006</v>
      </c>
      <c r="S48" s="54">
        <f t="shared" si="21"/>
        <v>0.40328617338140765</v>
      </c>
      <c r="T48" s="52">
        <v>89143</v>
      </c>
      <c r="U48" s="53">
        <v>0</v>
      </c>
      <c r="V48" s="53">
        <f t="shared" si="4"/>
        <v>89143</v>
      </c>
      <c r="W48" s="53">
        <v>204128.00000000006</v>
      </c>
      <c r="X48" s="54">
        <f t="shared" si="22"/>
        <v>0.43670148142342047</v>
      </c>
      <c r="Y48" s="52">
        <v>93690</v>
      </c>
      <c r="Z48" s="53">
        <v>0</v>
      </c>
      <c r="AA48" s="53">
        <f t="shared" si="6"/>
        <v>93690</v>
      </c>
      <c r="AB48" s="53">
        <v>204128.00000000006</v>
      </c>
      <c r="AC48" s="54">
        <f t="shared" si="23"/>
        <v>0.45897672048910476</v>
      </c>
      <c r="AD48" s="52">
        <v>98469</v>
      </c>
      <c r="AE48" s="53">
        <v>0</v>
      </c>
      <c r="AF48" s="53">
        <f t="shared" si="8"/>
        <v>98469</v>
      </c>
      <c r="AG48" s="53">
        <v>204128.00000000006</v>
      </c>
      <c r="AH48" s="55">
        <f t="shared" si="9"/>
        <v>0.48238850133249711</v>
      </c>
      <c r="AI48" s="56">
        <v>204128</v>
      </c>
      <c r="AJ48" s="54">
        <f t="shared" si="24"/>
        <v>0.48238850133249728</v>
      </c>
      <c r="AK48" s="52">
        <v>106752.07269151663</v>
      </c>
      <c r="AL48" s="53">
        <v>0</v>
      </c>
      <c r="AM48" s="53">
        <f t="shared" si="11"/>
        <v>106752.07269151663</v>
      </c>
      <c r="AN48" s="53">
        <v>204128.00000000006</v>
      </c>
      <c r="AO48" s="55">
        <f t="shared" si="12"/>
        <v>0.52296633823638405</v>
      </c>
      <c r="AP48" s="53">
        <v>204128</v>
      </c>
      <c r="AQ48" s="55">
        <f t="shared" si="13"/>
        <v>0.52296633823638417</v>
      </c>
      <c r="AR48" s="52">
        <v>115731.9057158583</v>
      </c>
      <c r="AS48" s="53">
        <v>0</v>
      </c>
      <c r="AT48" s="53">
        <f t="shared" si="14"/>
        <v>115731.9057158583</v>
      </c>
      <c r="AU48" s="53">
        <v>204128.00000000006</v>
      </c>
      <c r="AV48" s="55">
        <f t="shared" si="15"/>
        <v>0.56695752525796694</v>
      </c>
      <c r="AW48" s="53">
        <v>204128</v>
      </c>
      <c r="AX48" s="55">
        <f t="shared" si="16"/>
        <v>0.56695752525796705</v>
      </c>
      <c r="AY48" s="52">
        <v>124728.82896543972</v>
      </c>
      <c r="AZ48" s="53">
        <v>0</v>
      </c>
      <c r="BA48" s="53">
        <f t="shared" si="17"/>
        <v>124728.82896543972</v>
      </c>
      <c r="BB48" s="53">
        <v>204128.00000000006</v>
      </c>
      <c r="BC48" s="55">
        <f t="shared" si="18"/>
        <v>0.61103243536134033</v>
      </c>
      <c r="BD48" s="53">
        <v>204128</v>
      </c>
      <c r="BE48" s="55">
        <f t="shared" si="19"/>
        <v>0.61103243536134055</v>
      </c>
    </row>
    <row r="49" spans="1:57" s="57" customFormat="1" ht="11.25" x14ac:dyDescent="0.2">
      <c r="A49" s="44" t="s">
        <v>342</v>
      </c>
      <c r="B49" s="45" t="s">
        <v>343</v>
      </c>
      <c r="C49" s="45" t="s">
        <v>344</v>
      </c>
      <c r="D49" s="46" t="s">
        <v>345</v>
      </c>
      <c r="E49" s="47" t="s">
        <v>346</v>
      </c>
      <c r="F49" s="47" t="s">
        <v>347</v>
      </c>
      <c r="G49" s="47" t="s">
        <v>348</v>
      </c>
      <c r="H49" s="48" t="s">
        <v>46</v>
      </c>
      <c r="I49" s="48" t="s">
        <v>349</v>
      </c>
      <c r="J49" s="49">
        <v>79053</v>
      </c>
      <c r="K49" s="50">
        <v>0</v>
      </c>
      <c r="L49" s="50">
        <f t="shared" si="0"/>
        <v>79053</v>
      </c>
      <c r="M49" s="50">
        <v>234000</v>
      </c>
      <c r="N49" s="51">
        <f t="shared" si="20"/>
        <v>0.33783333333333332</v>
      </c>
      <c r="O49" s="52">
        <v>80120</v>
      </c>
      <c r="P49" s="53">
        <v>0</v>
      </c>
      <c r="Q49" s="53">
        <f t="shared" si="2"/>
        <v>80120</v>
      </c>
      <c r="R49" s="53">
        <v>234000</v>
      </c>
      <c r="S49" s="54">
        <f t="shared" si="21"/>
        <v>0.34239316239316242</v>
      </c>
      <c r="T49" s="52">
        <v>89193</v>
      </c>
      <c r="U49" s="53">
        <v>0</v>
      </c>
      <c r="V49" s="53">
        <f t="shared" si="4"/>
        <v>89193</v>
      </c>
      <c r="W49" s="53">
        <v>234000</v>
      </c>
      <c r="X49" s="54">
        <f t="shared" si="22"/>
        <v>0.38116666666666665</v>
      </c>
      <c r="Y49" s="52">
        <v>95379</v>
      </c>
      <c r="Z49" s="53">
        <v>0</v>
      </c>
      <c r="AA49" s="53">
        <f t="shared" si="6"/>
        <v>95379</v>
      </c>
      <c r="AB49" s="53">
        <v>234000</v>
      </c>
      <c r="AC49" s="54">
        <f t="shared" si="23"/>
        <v>0.40760256410256412</v>
      </c>
      <c r="AD49" s="52">
        <v>101993</v>
      </c>
      <c r="AE49" s="53">
        <v>0</v>
      </c>
      <c r="AF49" s="53">
        <f t="shared" si="8"/>
        <v>101993</v>
      </c>
      <c r="AG49" s="53">
        <v>234000</v>
      </c>
      <c r="AH49" s="55">
        <f t="shared" si="9"/>
        <v>0.43586752136752138</v>
      </c>
      <c r="AI49" s="56">
        <v>260000</v>
      </c>
      <c r="AJ49" s="54">
        <f t="shared" si="24"/>
        <v>0.39228076923076921</v>
      </c>
      <c r="AK49" s="52">
        <v>112030.33385824914</v>
      </c>
      <c r="AL49" s="53">
        <v>0</v>
      </c>
      <c r="AM49" s="53">
        <f t="shared" si="11"/>
        <v>112030.33385824914</v>
      </c>
      <c r="AN49" s="53">
        <v>234000</v>
      </c>
      <c r="AO49" s="55">
        <f t="shared" si="12"/>
        <v>0.47876211050533823</v>
      </c>
      <c r="AP49" s="53">
        <v>260000</v>
      </c>
      <c r="AQ49" s="55">
        <f t="shared" si="13"/>
        <v>0.43088589945480438</v>
      </c>
      <c r="AR49" s="52">
        <v>123055.46169237855</v>
      </c>
      <c r="AS49" s="53">
        <v>0</v>
      </c>
      <c r="AT49" s="53">
        <f t="shared" si="14"/>
        <v>123055.46169237855</v>
      </c>
      <c r="AU49" s="53">
        <v>234000</v>
      </c>
      <c r="AV49" s="55">
        <f t="shared" si="15"/>
        <v>0.52587804142042116</v>
      </c>
      <c r="AW49" s="53">
        <v>260000</v>
      </c>
      <c r="AX49" s="55">
        <f t="shared" si="16"/>
        <v>0.47329023727837904</v>
      </c>
      <c r="AY49" s="52">
        <v>133272.12842639093</v>
      </c>
      <c r="AZ49" s="53">
        <v>0</v>
      </c>
      <c r="BA49" s="53">
        <f t="shared" si="17"/>
        <v>133272.12842639093</v>
      </c>
      <c r="BB49" s="53">
        <v>234000</v>
      </c>
      <c r="BC49" s="55">
        <f t="shared" si="18"/>
        <v>0.56953901036919197</v>
      </c>
      <c r="BD49" s="53">
        <v>260000</v>
      </c>
      <c r="BE49" s="55">
        <f t="shared" si="19"/>
        <v>0.51258510933227286</v>
      </c>
    </row>
    <row r="50" spans="1:57" s="57" customFormat="1" ht="11.25" x14ac:dyDescent="0.2">
      <c r="A50" s="44" t="s">
        <v>350</v>
      </c>
      <c r="B50" s="45" t="s">
        <v>351</v>
      </c>
      <c r="C50" s="45" t="s">
        <v>352</v>
      </c>
      <c r="D50" s="46" t="s">
        <v>353</v>
      </c>
      <c r="E50" s="47" t="s">
        <v>354</v>
      </c>
      <c r="F50" s="47" t="s">
        <v>355</v>
      </c>
      <c r="G50" s="47" t="s">
        <v>356</v>
      </c>
      <c r="H50" s="48" t="s">
        <v>158</v>
      </c>
      <c r="I50" s="48" t="s">
        <v>288</v>
      </c>
      <c r="J50" s="49">
        <v>5075</v>
      </c>
      <c r="K50" s="50">
        <v>0</v>
      </c>
      <c r="L50" s="50">
        <f t="shared" si="0"/>
        <v>5075</v>
      </c>
      <c r="M50" s="50">
        <v>126500</v>
      </c>
      <c r="N50" s="51">
        <f t="shared" si="20"/>
        <v>4.0118577075098812E-2</v>
      </c>
      <c r="O50" s="52">
        <v>5151</v>
      </c>
      <c r="P50" s="53">
        <v>0</v>
      </c>
      <c r="Q50" s="53">
        <f t="shared" si="2"/>
        <v>5151</v>
      </c>
      <c r="R50" s="53">
        <v>126500</v>
      </c>
      <c r="S50" s="54">
        <f t="shared" si="21"/>
        <v>4.0719367588932805E-2</v>
      </c>
      <c r="T50" s="52">
        <v>5803</v>
      </c>
      <c r="U50" s="53">
        <v>0</v>
      </c>
      <c r="V50" s="53">
        <f t="shared" si="4"/>
        <v>5803</v>
      </c>
      <c r="W50" s="53">
        <v>126500</v>
      </c>
      <c r="X50" s="54">
        <f t="shared" si="22"/>
        <v>4.5873517786561263E-2</v>
      </c>
      <c r="Y50" s="52">
        <v>6251</v>
      </c>
      <c r="Z50" s="53">
        <v>0</v>
      </c>
      <c r="AA50" s="53">
        <f t="shared" si="6"/>
        <v>6251</v>
      </c>
      <c r="AB50" s="53">
        <v>126500</v>
      </c>
      <c r="AC50" s="54">
        <f t="shared" si="23"/>
        <v>4.9415019762845847E-2</v>
      </c>
      <c r="AD50" s="52">
        <v>6734</v>
      </c>
      <c r="AE50" s="53">
        <v>0</v>
      </c>
      <c r="AF50" s="53">
        <f t="shared" si="8"/>
        <v>6734</v>
      </c>
      <c r="AG50" s="53">
        <v>126500</v>
      </c>
      <c r="AH50" s="55">
        <f t="shared" si="9"/>
        <v>5.3233201581027671E-2</v>
      </c>
      <c r="AI50" s="56">
        <v>126500</v>
      </c>
      <c r="AJ50" s="54">
        <f t="shared" si="24"/>
        <v>5.3233201581027671E-2</v>
      </c>
      <c r="AK50" s="52">
        <v>7493.8124988520585</v>
      </c>
      <c r="AL50" s="53">
        <v>0</v>
      </c>
      <c r="AM50" s="53">
        <f t="shared" si="11"/>
        <v>7493.8124988520585</v>
      </c>
      <c r="AN50" s="53">
        <v>126500</v>
      </c>
      <c r="AO50" s="55">
        <f t="shared" si="12"/>
        <v>5.9239624496854215E-2</v>
      </c>
      <c r="AP50" s="53">
        <v>126500</v>
      </c>
      <c r="AQ50" s="55">
        <f t="shared" si="13"/>
        <v>5.9239624496854215E-2</v>
      </c>
      <c r="AR50" s="52">
        <v>8339.3563658971379</v>
      </c>
      <c r="AS50" s="53">
        <v>0</v>
      </c>
      <c r="AT50" s="53">
        <f t="shared" si="14"/>
        <v>8339.3563658971379</v>
      </c>
      <c r="AU50" s="53">
        <v>126500</v>
      </c>
      <c r="AV50" s="55">
        <f t="shared" si="15"/>
        <v>6.5923765738317291E-2</v>
      </c>
      <c r="AW50" s="53">
        <v>126500</v>
      </c>
      <c r="AX50" s="55">
        <f t="shared" si="16"/>
        <v>6.5923765738317291E-2</v>
      </c>
      <c r="AY50" s="52">
        <v>9130.246482912642</v>
      </c>
      <c r="AZ50" s="53">
        <v>0</v>
      </c>
      <c r="BA50" s="53">
        <f t="shared" si="17"/>
        <v>9130.246482912642</v>
      </c>
      <c r="BB50" s="53">
        <v>126500</v>
      </c>
      <c r="BC50" s="55">
        <f t="shared" si="18"/>
        <v>7.217586152500112E-2</v>
      </c>
      <c r="BD50" s="53">
        <v>126500</v>
      </c>
      <c r="BE50" s="55">
        <f t="shared" si="19"/>
        <v>7.217586152500112E-2</v>
      </c>
    </row>
    <row r="51" spans="1:57" s="57" customFormat="1" ht="11.25" x14ac:dyDescent="0.2">
      <c r="A51" s="44" t="s">
        <v>357</v>
      </c>
      <c r="B51" s="45" t="s">
        <v>218</v>
      </c>
      <c r="C51" s="45" t="s">
        <v>358</v>
      </c>
      <c r="D51" s="46" t="s">
        <v>359</v>
      </c>
      <c r="E51" s="47" t="s">
        <v>360</v>
      </c>
      <c r="F51" s="47" t="s">
        <v>361</v>
      </c>
      <c r="G51" s="47" t="s">
        <v>362</v>
      </c>
      <c r="H51" s="48" t="s">
        <v>98</v>
      </c>
      <c r="I51" s="48" t="s">
        <v>363</v>
      </c>
      <c r="J51" s="49">
        <v>75884</v>
      </c>
      <c r="K51" s="50">
        <v>0</v>
      </c>
      <c r="L51" s="50">
        <f t="shared" si="0"/>
        <v>75884</v>
      </c>
      <c r="M51" s="50">
        <v>221000</v>
      </c>
      <c r="N51" s="51">
        <f t="shared" si="20"/>
        <v>0.34336651583710409</v>
      </c>
      <c r="O51" s="52">
        <v>76643</v>
      </c>
      <c r="P51" s="53">
        <v>0</v>
      </c>
      <c r="Q51" s="53">
        <f t="shared" si="2"/>
        <v>76643</v>
      </c>
      <c r="R51" s="53">
        <v>221000</v>
      </c>
      <c r="S51" s="54">
        <f t="shared" si="21"/>
        <v>0.34680090497737559</v>
      </c>
      <c r="T51" s="52">
        <v>82994</v>
      </c>
      <c r="U51" s="53">
        <v>0</v>
      </c>
      <c r="V51" s="53">
        <f t="shared" si="4"/>
        <v>82994</v>
      </c>
      <c r="W51" s="53">
        <v>221000</v>
      </c>
      <c r="X51" s="54">
        <f t="shared" si="22"/>
        <v>0.37553846153846154</v>
      </c>
      <c r="Y51" s="52">
        <v>87227</v>
      </c>
      <c r="Z51" s="53">
        <v>0</v>
      </c>
      <c r="AA51" s="53">
        <f t="shared" si="6"/>
        <v>87227</v>
      </c>
      <c r="AB51" s="53">
        <v>221000</v>
      </c>
      <c r="AC51" s="54">
        <f t="shared" si="23"/>
        <v>0.39469230769230768</v>
      </c>
      <c r="AD51" s="52">
        <v>91677</v>
      </c>
      <c r="AE51" s="53">
        <v>0</v>
      </c>
      <c r="AF51" s="53">
        <f t="shared" si="8"/>
        <v>91677</v>
      </c>
      <c r="AG51" s="53">
        <v>221000</v>
      </c>
      <c r="AH51" s="55">
        <f t="shared" si="9"/>
        <v>0.41482805429864256</v>
      </c>
      <c r="AI51" s="56">
        <v>221000</v>
      </c>
      <c r="AJ51" s="54">
        <f t="shared" si="24"/>
        <v>0.41482805429864256</v>
      </c>
      <c r="AK51" s="52">
        <v>99407.408552576235</v>
      </c>
      <c r="AL51" s="53">
        <v>0</v>
      </c>
      <c r="AM51" s="53">
        <f t="shared" si="11"/>
        <v>99407.408552576235</v>
      </c>
      <c r="AN51" s="53">
        <v>221000</v>
      </c>
      <c r="AO51" s="55">
        <f t="shared" si="12"/>
        <v>0.44980727851844449</v>
      </c>
      <c r="AP51" s="53">
        <v>221000</v>
      </c>
      <c r="AQ51" s="55">
        <f t="shared" si="13"/>
        <v>0.44980727851844449</v>
      </c>
      <c r="AR51" s="52">
        <v>107789.66234866768</v>
      </c>
      <c r="AS51" s="53">
        <v>0</v>
      </c>
      <c r="AT51" s="53">
        <f t="shared" si="14"/>
        <v>107789.66234866768</v>
      </c>
      <c r="AU51" s="53">
        <v>221000</v>
      </c>
      <c r="AV51" s="55">
        <f t="shared" si="15"/>
        <v>0.48773602872700311</v>
      </c>
      <c r="AW51" s="53">
        <v>221000</v>
      </c>
      <c r="AX51" s="55">
        <f t="shared" si="16"/>
        <v>0.48773602872700311</v>
      </c>
      <c r="AY51" s="52">
        <v>116198.54132095826</v>
      </c>
      <c r="AZ51" s="53">
        <v>0</v>
      </c>
      <c r="BA51" s="53">
        <f t="shared" si="17"/>
        <v>116198.54132095826</v>
      </c>
      <c r="BB51" s="53">
        <v>221000</v>
      </c>
      <c r="BC51" s="55">
        <f t="shared" si="18"/>
        <v>0.52578525484596494</v>
      </c>
      <c r="BD51" s="53">
        <v>221000</v>
      </c>
      <c r="BE51" s="55">
        <f t="shared" si="19"/>
        <v>0.52578525484596494</v>
      </c>
    </row>
    <row r="52" spans="1:57" s="57" customFormat="1" ht="11.25" x14ac:dyDescent="0.2">
      <c r="A52" s="44" t="s">
        <v>364</v>
      </c>
      <c r="B52" s="45" t="s">
        <v>262</v>
      </c>
      <c r="C52" s="45" t="s">
        <v>365</v>
      </c>
      <c r="D52" s="46" t="s">
        <v>366</v>
      </c>
      <c r="E52" s="47" t="s">
        <v>367</v>
      </c>
      <c r="F52" s="47" t="s">
        <v>368</v>
      </c>
      <c r="G52" s="47" t="s">
        <v>369</v>
      </c>
      <c r="H52" s="48" t="s">
        <v>29</v>
      </c>
      <c r="I52" s="48" t="s">
        <v>268</v>
      </c>
      <c r="J52" s="49">
        <v>19265</v>
      </c>
      <c r="K52" s="50">
        <v>0</v>
      </c>
      <c r="L52" s="50">
        <f t="shared" si="0"/>
        <v>19265</v>
      </c>
      <c r="M52" s="50">
        <v>195500</v>
      </c>
      <c r="N52" s="51">
        <f t="shared" si="20"/>
        <v>9.854219948849105E-2</v>
      </c>
      <c r="O52" s="52">
        <v>19554</v>
      </c>
      <c r="P52" s="53">
        <v>0</v>
      </c>
      <c r="Q52" s="53">
        <f t="shared" si="2"/>
        <v>19554</v>
      </c>
      <c r="R52" s="53">
        <v>195500</v>
      </c>
      <c r="S52" s="54">
        <f t="shared" si="21"/>
        <v>0.10002046035805627</v>
      </c>
      <c r="T52" s="52">
        <v>22027</v>
      </c>
      <c r="U52" s="53">
        <v>0</v>
      </c>
      <c r="V52" s="53">
        <f t="shared" si="4"/>
        <v>22027</v>
      </c>
      <c r="W52" s="53">
        <v>195500</v>
      </c>
      <c r="X52" s="54">
        <f t="shared" si="22"/>
        <v>0.11267007672634272</v>
      </c>
      <c r="Y52" s="52">
        <v>23729</v>
      </c>
      <c r="Z52" s="53">
        <v>0</v>
      </c>
      <c r="AA52" s="53">
        <f t="shared" si="6"/>
        <v>23729</v>
      </c>
      <c r="AB52" s="53">
        <v>195500</v>
      </c>
      <c r="AC52" s="54">
        <f t="shared" si="23"/>
        <v>0.12137595907928389</v>
      </c>
      <c r="AD52" s="52">
        <v>25563</v>
      </c>
      <c r="AE52" s="53">
        <v>0</v>
      </c>
      <c r="AF52" s="53">
        <f t="shared" si="8"/>
        <v>25563</v>
      </c>
      <c r="AG52" s="53">
        <v>195500</v>
      </c>
      <c r="AH52" s="55">
        <f t="shared" si="9"/>
        <v>0.13075703324808183</v>
      </c>
      <c r="AI52" s="56">
        <v>230000</v>
      </c>
      <c r="AJ52" s="54">
        <f t="shared" si="24"/>
        <v>0.11114347826086957</v>
      </c>
      <c r="AK52" s="52">
        <v>28446.903475477036</v>
      </c>
      <c r="AL52" s="53">
        <v>0</v>
      </c>
      <c r="AM52" s="53">
        <f t="shared" si="11"/>
        <v>28446.903475477036</v>
      </c>
      <c r="AN52" s="53">
        <v>195500</v>
      </c>
      <c r="AO52" s="55">
        <f t="shared" si="12"/>
        <v>0.14550845767507437</v>
      </c>
      <c r="AP52" s="53">
        <v>230000</v>
      </c>
      <c r="AQ52" s="55">
        <f t="shared" si="13"/>
        <v>0.1236821890238132</v>
      </c>
      <c r="AR52" s="52">
        <v>31656.156059269557</v>
      </c>
      <c r="AS52" s="53">
        <v>0</v>
      </c>
      <c r="AT52" s="53">
        <f t="shared" si="14"/>
        <v>31656.156059269557</v>
      </c>
      <c r="AU52" s="53">
        <v>195500</v>
      </c>
      <c r="AV52" s="55">
        <f t="shared" si="15"/>
        <v>0.16192407191442229</v>
      </c>
      <c r="AW52" s="53">
        <v>230000</v>
      </c>
      <c r="AX52" s="55">
        <f t="shared" si="16"/>
        <v>0.13763546112725894</v>
      </c>
      <c r="AY52" s="52">
        <v>34712.821332606145</v>
      </c>
      <c r="AZ52" s="53">
        <v>0</v>
      </c>
      <c r="BA52" s="53">
        <f t="shared" si="17"/>
        <v>34712.821332606145</v>
      </c>
      <c r="BB52" s="53">
        <v>195500</v>
      </c>
      <c r="BC52" s="55">
        <f t="shared" si="18"/>
        <v>0.17755918840207746</v>
      </c>
      <c r="BD52" s="53">
        <v>230000</v>
      </c>
      <c r="BE52" s="55">
        <f t="shared" si="19"/>
        <v>0.15092531014176586</v>
      </c>
    </row>
    <row r="53" spans="1:57" s="57" customFormat="1" ht="11.25" x14ac:dyDescent="0.2">
      <c r="A53" s="44" t="s">
        <v>370</v>
      </c>
      <c r="B53" s="45" t="s">
        <v>371</v>
      </c>
      <c r="C53" s="45" t="s">
        <v>33</v>
      </c>
      <c r="D53" s="46" t="s">
        <v>372</v>
      </c>
      <c r="E53" s="47" t="s">
        <v>373</v>
      </c>
      <c r="F53" s="47" t="s">
        <v>374</v>
      </c>
      <c r="G53" s="47" t="s">
        <v>375</v>
      </c>
      <c r="H53" s="48" t="s">
        <v>376</v>
      </c>
      <c r="I53" s="48" t="s">
        <v>377</v>
      </c>
      <c r="J53" s="49">
        <v>5025</v>
      </c>
      <c r="K53" s="50">
        <v>0</v>
      </c>
      <c r="L53" s="50">
        <f t="shared" si="0"/>
        <v>5025</v>
      </c>
      <c r="M53" s="50">
        <v>126500</v>
      </c>
      <c r="N53" s="51">
        <f t="shared" si="20"/>
        <v>3.9723320158102766E-2</v>
      </c>
      <c r="O53" s="52">
        <v>5050</v>
      </c>
      <c r="P53" s="53">
        <v>0</v>
      </c>
      <c r="Q53" s="53">
        <f t="shared" si="2"/>
        <v>5050</v>
      </c>
      <c r="R53" s="53">
        <v>126500</v>
      </c>
      <c r="S53" s="54">
        <f t="shared" si="21"/>
        <v>3.9920948616600789E-2</v>
      </c>
      <c r="T53" s="52">
        <v>5256</v>
      </c>
      <c r="U53" s="53">
        <v>0</v>
      </c>
      <c r="V53" s="53">
        <f t="shared" si="4"/>
        <v>5256</v>
      </c>
      <c r="W53" s="53">
        <v>126500</v>
      </c>
      <c r="X53" s="54">
        <f t="shared" si="22"/>
        <v>4.1549407114624508E-2</v>
      </c>
      <c r="Y53" s="52">
        <v>5388</v>
      </c>
      <c r="Z53" s="53">
        <v>0</v>
      </c>
      <c r="AA53" s="53">
        <f t="shared" si="6"/>
        <v>5388</v>
      </c>
      <c r="AB53" s="53">
        <v>126500</v>
      </c>
      <c r="AC53" s="54">
        <f t="shared" si="23"/>
        <v>4.259288537549407E-2</v>
      </c>
      <c r="AD53" s="52">
        <v>5524</v>
      </c>
      <c r="AE53" s="53">
        <v>0</v>
      </c>
      <c r="AF53" s="53">
        <f t="shared" si="8"/>
        <v>5524</v>
      </c>
      <c r="AG53" s="53">
        <v>126500</v>
      </c>
      <c r="AH53" s="55">
        <f t="shared" si="9"/>
        <v>4.366798418972332E-2</v>
      </c>
      <c r="AI53" s="56">
        <v>126500</v>
      </c>
      <c r="AJ53" s="54">
        <f t="shared" si="24"/>
        <v>4.366798418972332E-2</v>
      </c>
      <c r="AK53" s="52">
        <v>5741.0821311759155</v>
      </c>
      <c r="AL53" s="53">
        <v>0</v>
      </c>
      <c r="AM53" s="53">
        <f t="shared" si="11"/>
        <v>5741.0821311759155</v>
      </c>
      <c r="AN53" s="53">
        <v>126500</v>
      </c>
      <c r="AO53" s="55">
        <f t="shared" si="12"/>
        <v>4.53840484677938E-2</v>
      </c>
      <c r="AP53" s="53">
        <v>126500</v>
      </c>
      <c r="AQ53" s="55">
        <f t="shared" si="13"/>
        <v>4.53840484677938E-2</v>
      </c>
      <c r="AR53" s="52">
        <v>5966.6951551244392</v>
      </c>
      <c r="AS53" s="53">
        <v>0</v>
      </c>
      <c r="AT53" s="53">
        <f t="shared" si="14"/>
        <v>5966.6951551244392</v>
      </c>
      <c r="AU53" s="53">
        <v>126500</v>
      </c>
      <c r="AV53" s="55">
        <f t="shared" si="15"/>
        <v>4.7167550633394777E-2</v>
      </c>
      <c r="AW53" s="53">
        <v>126500</v>
      </c>
      <c r="AX53" s="55">
        <f t="shared" si="16"/>
        <v>4.7167550633394777E-2</v>
      </c>
      <c r="AY53" s="52">
        <v>6181.3120302224524</v>
      </c>
      <c r="AZ53" s="53">
        <v>0</v>
      </c>
      <c r="BA53" s="53">
        <f t="shared" si="17"/>
        <v>6181.3120302224524</v>
      </c>
      <c r="BB53" s="53">
        <v>126500</v>
      </c>
      <c r="BC53" s="55">
        <f t="shared" si="18"/>
        <v>4.8864126721126104E-2</v>
      </c>
      <c r="BD53" s="53">
        <v>126500</v>
      </c>
      <c r="BE53" s="55">
        <f t="shared" si="19"/>
        <v>4.8864126721126104E-2</v>
      </c>
    </row>
    <row r="54" spans="1:57" s="57" customFormat="1" ht="11.25" x14ac:dyDescent="0.2">
      <c r="A54" s="44" t="s">
        <v>378</v>
      </c>
      <c r="B54" s="45" t="s">
        <v>210</v>
      </c>
      <c r="C54" s="45" t="s">
        <v>379</v>
      </c>
      <c r="D54" s="46" t="s">
        <v>380</v>
      </c>
      <c r="E54" s="47" t="s">
        <v>381</v>
      </c>
      <c r="F54" s="47" t="s">
        <v>382</v>
      </c>
      <c r="G54" s="47" t="s">
        <v>383</v>
      </c>
      <c r="H54" s="48" t="s">
        <v>207</v>
      </c>
      <c r="I54" s="48" t="s">
        <v>216</v>
      </c>
      <c r="J54" s="49">
        <v>15225</v>
      </c>
      <c r="K54" s="50">
        <v>0</v>
      </c>
      <c r="L54" s="50">
        <f t="shared" si="0"/>
        <v>15225</v>
      </c>
      <c r="M54" s="50">
        <v>230000.0000000078</v>
      </c>
      <c r="N54" s="51">
        <f t="shared" si="20"/>
        <v>6.6195652173910796E-2</v>
      </c>
      <c r="O54" s="52">
        <v>15453</v>
      </c>
      <c r="P54" s="53">
        <v>0</v>
      </c>
      <c r="Q54" s="53">
        <f t="shared" si="2"/>
        <v>15453</v>
      </c>
      <c r="R54" s="53">
        <v>230000.0000000078</v>
      </c>
      <c r="S54" s="54">
        <f t="shared" si="21"/>
        <v>6.7186956521736854E-2</v>
      </c>
      <c r="T54" s="52">
        <v>17408</v>
      </c>
      <c r="U54" s="53">
        <v>0</v>
      </c>
      <c r="V54" s="53">
        <f t="shared" si="4"/>
        <v>17408</v>
      </c>
      <c r="W54" s="53">
        <v>230000.0000000078</v>
      </c>
      <c r="X54" s="54">
        <f t="shared" si="22"/>
        <v>7.568695652173657E-2</v>
      </c>
      <c r="Y54" s="52">
        <v>18753</v>
      </c>
      <c r="Z54" s="53">
        <v>0</v>
      </c>
      <c r="AA54" s="53">
        <f t="shared" si="6"/>
        <v>18753</v>
      </c>
      <c r="AB54" s="53">
        <v>230000.0000000078</v>
      </c>
      <c r="AC54" s="54">
        <f t="shared" si="23"/>
        <v>8.1534782608692888E-2</v>
      </c>
      <c r="AD54" s="52">
        <v>20203</v>
      </c>
      <c r="AE54" s="53">
        <v>0</v>
      </c>
      <c r="AF54" s="53">
        <f t="shared" si="8"/>
        <v>20203</v>
      </c>
      <c r="AG54" s="53">
        <v>230000.0000000078</v>
      </c>
      <c r="AH54" s="55">
        <f t="shared" si="9"/>
        <v>8.783913043477963E-2</v>
      </c>
      <c r="AI54" s="56">
        <v>230000</v>
      </c>
      <c r="AJ54" s="54">
        <f t="shared" si="24"/>
        <v>8.7839130434782614E-2</v>
      </c>
      <c r="AK54" s="52">
        <v>22585.232718184983</v>
      </c>
      <c r="AL54" s="53">
        <v>0</v>
      </c>
      <c r="AM54" s="53">
        <f t="shared" si="11"/>
        <v>22585.232718184983</v>
      </c>
      <c r="AN54" s="53">
        <v>230000.0000000078</v>
      </c>
      <c r="AO54" s="55">
        <f t="shared" si="12"/>
        <v>9.819666399210529E-2</v>
      </c>
      <c r="AP54" s="53">
        <v>230000</v>
      </c>
      <c r="AQ54" s="55">
        <f t="shared" si="13"/>
        <v>9.8196663992108621E-2</v>
      </c>
      <c r="AR54" s="52">
        <v>25248.365932513665</v>
      </c>
      <c r="AS54" s="53">
        <v>0</v>
      </c>
      <c r="AT54" s="53">
        <f t="shared" si="14"/>
        <v>25248.365932513665</v>
      </c>
      <c r="AU54" s="53">
        <v>230000.0000000078</v>
      </c>
      <c r="AV54" s="55">
        <f t="shared" si="15"/>
        <v>0.10977550405440352</v>
      </c>
      <c r="AW54" s="53">
        <v>230000</v>
      </c>
      <c r="AX54" s="55">
        <f t="shared" si="16"/>
        <v>0.10977550405440724</v>
      </c>
      <c r="AY54" s="52">
        <v>27886.361177865325</v>
      </c>
      <c r="AZ54" s="53">
        <v>0</v>
      </c>
      <c r="BA54" s="53">
        <f t="shared" si="17"/>
        <v>27886.361177865325</v>
      </c>
      <c r="BB54" s="53">
        <v>230000.0000000078</v>
      </c>
      <c r="BC54" s="55">
        <f t="shared" si="18"/>
        <v>0.12124504859941035</v>
      </c>
      <c r="BD54" s="53">
        <v>230000</v>
      </c>
      <c r="BE54" s="55">
        <f t="shared" si="19"/>
        <v>0.12124504859941446</v>
      </c>
    </row>
    <row r="55" spans="1:57" s="57" customFormat="1" ht="11.25" x14ac:dyDescent="0.2">
      <c r="A55" s="44" t="s">
        <v>384</v>
      </c>
      <c r="B55" s="45" t="s">
        <v>385</v>
      </c>
      <c r="C55" s="45" t="s">
        <v>33</v>
      </c>
      <c r="D55" s="46" t="s">
        <v>386</v>
      </c>
      <c r="E55" s="47" t="s">
        <v>387</v>
      </c>
      <c r="F55" s="47" t="s">
        <v>388</v>
      </c>
      <c r="G55" s="47" t="s">
        <v>389</v>
      </c>
      <c r="H55" s="48" t="s">
        <v>64</v>
      </c>
      <c r="I55" s="48" t="s">
        <v>90</v>
      </c>
      <c r="J55" s="49">
        <v>10050</v>
      </c>
      <c r="K55" s="50">
        <v>0</v>
      </c>
      <c r="L55" s="50">
        <f t="shared" si="0"/>
        <v>10050</v>
      </c>
      <c r="M55" s="50" t="s">
        <v>917</v>
      </c>
      <c r="N55" s="50" t="s">
        <v>917</v>
      </c>
      <c r="O55" s="52">
        <v>10100</v>
      </c>
      <c r="P55" s="53">
        <v>0</v>
      </c>
      <c r="Q55" s="53">
        <f t="shared" si="2"/>
        <v>10100</v>
      </c>
      <c r="R55" s="53" t="s">
        <v>917</v>
      </c>
      <c r="S55" s="53" t="s">
        <v>917</v>
      </c>
      <c r="T55" s="52">
        <v>10511</v>
      </c>
      <c r="U55" s="53">
        <v>0</v>
      </c>
      <c r="V55" s="53">
        <f t="shared" si="4"/>
        <v>10511</v>
      </c>
      <c r="W55" s="53" t="s">
        <v>917</v>
      </c>
      <c r="X55" s="53" t="s">
        <v>917</v>
      </c>
      <c r="Y55" s="52">
        <v>10777</v>
      </c>
      <c r="Z55" s="53">
        <v>0</v>
      </c>
      <c r="AA55" s="53">
        <f t="shared" si="6"/>
        <v>10777</v>
      </c>
      <c r="AB55" s="53" t="s">
        <v>917</v>
      </c>
      <c r="AC55" s="53" t="s">
        <v>917</v>
      </c>
      <c r="AD55" s="52">
        <v>11049</v>
      </c>
      <c r="AE55" s="53">
        <v>0</v>
      </c>
      <c r="AF55" s="53">
        <f t="shared" si="8"/>
        <v>11049</v>
      </c>
      <c r="AG55" s="53" t="s">
        <v>917</v>
      </c>
      <c r="AH55" s="53" t="s">
        <v>917</v>
      </c>
      <c r="AI55" s="56">
        <v>0</v>
      </c>
      <c r="AJ55" s="53" t="s">
        <v>917</v>
      </c>
      <c r="AK55" s="52">
        <v>11461.368041243153</v>
      </c>
      <c r="AL55" s="53">
        <v>0</v>
      </c>
      <c r="AM55" s="53">
        <f t="shared" si="11"/>
        <v>11461.368041243153</v>
      </c>
      <c r="AN55" s="53" t="s">
        <v>917</v>
      </c>
      <c r="AO55" s="53" t="s">
        <v>917</v>
      </c>
      <c r="AP55" s="53">
        <v>0</v>
      </c>
      <c r="AQ55" s="55" t="e">
        <f t="shared" si="13"/>
        <v>#DIV/0!</v>
      </c>
      <c r="AR55" s="52">
        <v>11889.126380381022</v>
      </c>
      <c r="AS55" s="53">
        <v>0</v>
      </c>
      <c r="AT55" s="53">
        <f t="shared" si="14"/>
        <v>11889.126380381022</v>
      </c>
      <c r="AU55" s="53" t="s">
        <v>917</v>
      </c>
      <c r="AV55" s="55" t="e">
        <f t="shared" si="15"/>
        <v>#VALUE!</v>
      </c>
      <c r="AW55" s="53">
        <v>0</v>
      </c>
      <c r="AX55" s="55" t="e">
        <f t="shared" si="16"/>
        <v>#DIV/0!</v>
      </c>
      <c r="AY55" s="52">
        <v>12269.696275404189</v>
      </c>
      <c r="AZ55" s="53">
        <v>0</v>
      </c>
      <c r="BA55" s="53">
        <f t="shared" si="17"/>
        <v>12269.696275404189</v>
      </c>
      <c r="BB55" s="53" t="s">
        <v>917</v>
      </c>
      <c r="BC55" s="55" t="e">
        <f t="shared" si="18"/>
        <v>#VALUE!</v>
      </c>
      <c r="BD55" s="53">
        <v>0</v>
      </c>
      <c r="BE55" s="55" t="e">
        <f t="shared" si="19"/>
        <v>#DIV/0!</v>
      </c>
    </row>
    <row r="56" spans="1:57" s="57" customFormat="1" ht="11.25" x14ac:dyDescent="0.2">
      <c r="A56" s="44" t="s">
        <v>390</v>
      </c>
      <c r="B56" s="45" t="s">
        <v>152</v>
      </c>
      <c r="C56" s="45" t="s">
        <v>391</v>
      </c>
      <c r="D56" s="46" t="s">
        <v>392</v>
      </c>
      <c r="E56" s="47" t="s">
        <v>393</v>
      </c>
      <c r="F56" s="47" t="s">
        <v>156</v>
      </c>
      <c r="G56" s="47" t="s">
        <v>394</v>
      </c>
      <c r="H56" s="48" t="s">
        <v>158</v>
      </c>
      <c r="I56" s="48" t="s">
        <v>159</v>
      </c>
      <c r="J56" s="49">
        <v>20419</v>
      </c>
      <c r="K56" s="50">
        <v>77788</v>
      </c>
      <c r="L56" s="50">
        <f t="shared" si="0"/>
        <v>98207</v>
      </c>
      <c r="M56" s="50">
        <v>226500.00000000559</v>
      </c>
      <c r="N56" s="51">
        <f t="shared" si="20"/>
        <v>0.43358498896246173</v>
      </c>
      <c r="O56" s="52">
        <v>20664</v>
      </c>
      <c r="P56" s="53">
        <v>79344</v>
      </c>
      <c r="Q56" s="53">
        <f t="shared" si="2"/>
        <v>100008</v>
      </c>
      <c r="R56" s="53">
        <v>226500.00000000559</v>
      </c>
      <c r="S56" s="54">
        <f t="shared" si="21"/>
        <v>0.44153642384104869</v>
      </c>
      <c r="T56" s="52">
        <v>22733</v>
      </c>
      <c r="U56" s="53">
        <v>92964</v>
      </c>
      <c r="V56" s="53">
        <f t="shared" si="4"/>
        <v>115697</v>
      </c>
      <c r="W56" s="53">
        <v>226500.00000000559</v>
      </c>
      <c r="X56" s="54">
        <f t="shared" si="22"/>
        <v>0.51080353200881745</v>
      </c>
      <c r="Y56" s="52">
        <v>24130</v>
      </c>
      <c r="Z56" s="53">
        <v>102640</v>
      </c>
      <c r="AA56" s="53">
        <f t="shared" si="6"/>
        <v>126770</v>
      </c>
      <c r="AB56" s="53">
        <v>226500.00000000559</v>
      </c>
      <c r="AC56" s="54">
        <f t="shared" si="23"/>
        <v>0.55969094922735929</v>
      </c>
      <c r="AD56" s="52">
        <v>25613</v>
      </c>
      <c r="AE56" s="53">
        <v>113323</v>
      </c>
      <c r="AF56" s="53">
        <f t="shared" si="8"/>
        <v>138936</v>
      </c>
      <c r="AG56" s="53">
        <v>226500.00000000559</v>
      </c>
      <c r="AH56" s="55">
        <f t="shared" si="9"/>
        <v>0.6134039735099186</v>
      </c>
      <c r="AI56" s="56">
        <v>334000</v>
      </c>
      <c r="AJ56" s="54">
        <f t="shared" si="24"/>
        <v>0.41597604790419163</v>
      </c>
      <c r="AK56" s="52">
        <v>28217.457475233583</v>
      </c>
      <c r="AL56" s="53">
        <v>131640.58002594495</v>
      </c>
      <c r="AM56" s="53">
        <f t="shared" si="11"/>
        <v>159858.03750117854</v>
      </c>
      <c r="AN56" s="53">
        <v>226500.00000000559</v>
      </c>
      <c r="AO56" s="55">
        <f t="shared" si="12"/>
        <v>0.70577500000518589</v>
      </c>
      <c r="AP56" s="53">
        <v>334000</v>
      </c>
      <c r="AQ56" s="55">
        <f t="shared" si="13"/>
        <v>0.47861687874604353</v>
      </c>
      <c r="AR56" s="52">
        <v>31086.749165135505</v>
      </c>
      <c r="AS56" s="53">
        <v>152919.02181875895</v>
      </c>
      <c r="AT56" s="53">
        <f t="shared" si="14"/>
        <v>184005.77098389444</v>
      </c>
      <c r="AU56" s="53">
        <v>226500.00000000559</v>
      </c>
      <c r="AV56" s="55">
        <f t="shared" si="15"/>
        <v>0.81238750986264863</v>
      </c>
      <c r="AW56" s="53">
        <v>334000</v>
      </c>
      <c r="AX56" s="55">
        <f t="shared" si="16"/>
        <v>0.5509154819877079</v>
      </c>
      <c r="AY56" s="52">
        <v>34006.497434387878</v>
      </c>
      <c r="AZ56" s="53">
        <v>174625.14941059655</v>
      </c>
      <c r="BA56" s="53">
        <f t="shared" si="17"/>
        <v>208631.64684498444</v>
      </c>
      <c r="BB56" s="53">
        <v>226500.00000000559</v>
      </c>
      <c r="BC56" s="55">
        <f t="shared" si="18"/>
        <v>0.92111102359814256</v>
      </c>
      <c r="BD56" s="53">
        <v>334000</v>
      </c>
      <c r="BE56" s="55">
        <f t="shared" si="19"/>
        <v>0.62464564923648036</v>
      </c>
    </row>
    <row r="57" spans="1:57" s="57" customFormat="1" ht="11.25" x14ac:dyDescent="0.2">
      <c r="A57" s="44" t="s">
        <v>395</v>
      </c>
      <c r="B57" s="45" t="s">
        <v>218</v>
      </c>
      <c r="C57" s="45" t="s">
        <v>396</v>
      </c>
      <c r="D57" s="46" t="s">
        <v>397</v>
      </c>
      <c r="E57" s="47" t="s">
        <v>398</v>
      </c>
      <c r="F57" s="47" t="s">
        <v>222</v>
      </c>
      <c r="G57" s="47" t="s">
        <v>399</v>
      </c>
      <c r="H57" s="48" t="s">
        <v>98</v>
      </c>
      <c r="I57" s="48" t="s">
        <v>363</v>
      </c>
      <c r="J57" s="49">
        <v>196052</v>
      </c>
      <c r="K57" s="50">
        <v>0</v>
      </c>
      <c r="L57" s="50">
        <f t="shared" si="0"/>
        <v>196052</v>
      </c>
      <c r="M57" s="50">
        <v>282936.89960687229</v>
      </c>
      <c r="N57" s="51">
        <f t="shared" si="20"/>
        <v>0.69291775046805548</v>
      </c>
      <c r="O57" s="52">
        <v>198013</v>
      </c>
      <c r="P57" s="53">
        <v>0</v>
      </c>
      <c r="Q57" s="53">
        <f t="shared" si="2"/>
        <v>198013</v>
      </c>
      <c r="R57" s="53">
        <v>282936.89960687229</v>
      </c>
      <c r="S57" s="54">
        <f t="shared" si="21"/>
        <v>0.69984862446407625</v>
      </c>
      <c r="T57" s="52">
        <v>214419</v>
      </c>
      <c r="U57" s="53">
        <v>0</v>
      </c>
      <c r="V57" s="53">
        <f t="shared" si="4"/>
        <v>214419</v>
      </c>
      <c r="W57" s="53">
        <v>282936.89960687229</v>
      </c>
      <c r="X57" s="54">
        <f t="shared" si="22"/>
        <v>0.75783328472859235</v>
      </c>
      <c r="Y57" s="52">
        <v>225357</v>
      </c>
      <c r="Z57" s="53">
        <v>0</v>
      </c>
      <c r="AA57" s="53">
        <f t="shared" si="6"/>
        <v>225357</v>
      </c>
      <c r="AB57" s="53">
        <v>282936.89960687229</v>
      </c>
      <c r="AC57" s="54">
        <f t="shared" si="23"/>
        <v>0.79649208114290893</v>
      </c>
      <c r="AD57" s="52">
        <v>236852</v>
      </c>
      <c r="AE57" s="53">
        <v>0</v>
      </c>
      <c r="AF57" s="53">
        <f t="shared" si="8"/>
        <v>236852</v>
      </c>
      <c r="AG57" s="53">
        <v>282936.89960687229</v>
      </c>
      <c r="AH57" s="55">
        <f t="shared" si="9"/>
        <v>0.83711951438322418</v>
      </c>
      <c r="AI57" s="56">
        <v>259687.08539715328</v>
      </c>
      <c r="AJ57" s="54">
        <f t="shared" si="24"/>
        <v>0.91206691945334761</v>
      </c>
      <c r="AK57" s="52">
        <v>256822.77266018806</v>
      </c>
      <c r="AL57" s="53">
        <v>0</v>
      </c>
      <c r="AM57" s="53">
        <f t="shared" si="11"/>
        <v>256822.77266018806</v>
      </c>
      <c r="AN57" s="53">
        <v>282936.89960687229</v>
      </c>
      <c r="AO57" s="55">
        <f t="shared" si="12"/>
        <v>0.90770335370547783</v>
      </c>
      <c r="AP57" s="53">
        <v>259687.08539715328</v>
      </c>
      <c r="AQ57" s="55">
        <f t="shared" si="13"/>
        <v>0.98897013791585098</v>
      </c>
      <c r="AR57" s="52">
        <v>278477.43129408517</v>
      </c>
      <c r="AS57" s="53">
        <v>0</v>
      </c>
      <c r="AT57" s="53">
        <f t="shared" si="14"/>
        <v>278477.43129408517</v>
      </c>
      <c r="AU57" s="53">
        <v>282936.89960687229</v>
      </c>
      <c r="AV57" s="55">
        <f t="shared" si="15"/>
        <v>0.98423864713657583</v>
      </c>
      <c r="AW57" s="53">
        <v>259687.08539715328</v>
      </c>
      <c r="AX57" s="55">
        <f t="shared" si="16"/>
        <v>1.072357644848587</v>
      </c>
      <c r="AY57" s="52">
        <v>300200.7820708417</v>
      </c>
      <c r="AZ57" s="53">
        <v>0</v>
      </c>
      <c r="BA57" s="53">
        <f t="shared" si="17"/>
        <v>300200.7820708417</v>
      </c>
      <c r="BB57" s="53">
        <v>282936.89960687229</v>
      </c>
      <c r="BC57" s="55">
        <f t="shared" si="18"/>
        <v>1.0610167231207974</v>
      </c>
      <c r="BD57" s="53">
        <v>259687.08539715328</v>
      </c>
      <c r="BE57" s="55">
        <f t="shared" si="19"/>
        <v>1.1560096706839644</v>
      </c>
    </row>
    <row r="58" spans="1:57" s="57" customFormat="1" ht="11.25" x14ac:dyDescent="0.2">
      <c r="A58" s="44" t="s">
        <v>400</v>
      </c>
      <c r="B58" s="45" t="s">
        <v>401</v>
      </c>
      <c r="C58" s="45" t="s">
        <v>402</v>
      </c>
      <c r="D58" s="46" t="s">
        <v>403</v>
      </c>
      <c r="E58" s="47" t="s">
        <v>404</v>
      </c>
      <c r="F58" s="47" t="s">
        <v>405</v>
      </c>
      <c r="G58" s="47" t="s">
        <v>406</v>
      </c>
      <c r="H58" s="48" t="s">
        <v>98</v>
      </c>
      <c r="I58" s="48" t="s">
        <v>407</v>
      </c>
      <c r="J58" s="49">
        <v>40224</v>
      </c>
      <c r="K58" s="50">
        <v>20868</v>
      </c>
      <c r="L58" s="50">
        <f t="shared" si="0"/>
        <v>61092</v>
      </c>
      <c r="M58" s="50">
        <v>165792.00000000009</v>
      </c>
      <c r="N58" s="51">
        <f t="shared" si="20"/>
        <v>0.3684858135495076</v>
      </c>
      <c r="O58" s="52">
        <v>40627</v>
      </c>
      <c r="P58" s="53">
        <v>21131</v>
      </c>
      <c r="Q58" s="53">
        <f t="shared" si="2"/>
        <v>61758</v>
      </c>
      <c r="R58" s="53">
        <v>165792.00000000009</v>
      </c>
      <c r="S58" s="54">
        <f t="shared" si="21"/>
        <v>0.37250289519397778</v>
      </c>
      <c r="T58" s="52">
        <v>43993</v>
      </c>
      <c r="U58" s="53">
        <v>23357</v>
      </c>
      <c r="V58" s="53">
        <f t="shared" si="4"/>
        <v>67350</v>
      </c>
      <c r="W58" s="53">
        <v>165792.00000000009</v>
      </c>
      <c r="X58" s="54">
        <f t="shared" si="22"/>
        <v>0.40623190503763729</v>
      </c>
      <c r="Y58" s="52">
        <v>46237</v>
      </c>
      <c r="Z58" s="53">
        <v>24866</v>
      </c>
      <c r="AA58" s="53">
        <f t="shared" si="6"/>
        <v>71103</v>
      </c>
      <c r="AB58" s="53">
        <v>165792.00000000009</v>
      </c>
      <c r="AC58" s="54">
        <f t="shared" si="23"/>
        <v>0.42886870295309765</v>
      </c>
      <c r="AD58" s="52">
        <v>48595</v>
      </c>
      <c r="AE58" s="53">
        <v>26472</v>
      </c>
      <c r="AF58" s="53">
        <f t="shared" si="8"/>
        <v>75067</v>
      </c>
      <c r="AG58" s="53">
        <v>165792.00000000009</v>
      </c>
      <c r="AH58" s="55">
        <f t="shared" si="9"/>
        <v>0.45277817988805225</v>
      </c>
      <c r="AI58" s="56">
        <v>165792.00000000006</v>
      </c>
      <c r="AJ58" s="54">
        <f t="shared" si="24"/>
        <v>0.45277817988805236</v>
      </c>
      <c r="AK58" s="52">
        <v>50771.05311311788</v>
      </c>
      <c r="AL58" s="53">
        <v>29318.583491899069</v>
      </c>
      <c r="AM58" s="53">
        <f t="shared" si="11"/>
        <v>80089.636605016945</v>
      </c>
      <c r="AN58" s="53">
        <v>165792.00000000009</v>
      </c>
      <c r="AO58" s="55">
        <f t="shared" si="12"/>
        <v>0.48307298666411469</v>
      </c>
      <c r="AP58" s="53">
        <v>165792.00000000006</v>
      </c>
      <c r="AQ58" s="55">
        <f t="shared" si="13"/>
        <v>0.4830729866641148</v>
      </c>
      <c r="AR58" s="52">
        <v>53044.548497068361</v>
      </c>
      <c r="AS58" s="53">
        <v>32471.265411433091</v>
      </c>
      <c r="AT58" s="53">
        <f t="shared" si="14"/>
        <v>85515.813908501455</v>
      </c>
      <c r="AU58" s="53">
        <v>165792.00000000009</v>
      </c>
      <c r="AV58" s="55">
        <f t="shared" si="15"/>
        <v>0.51580181135701009</v>
      </c>
      <c r="AW58" s="53">
        <v>165792.00000000006</v>
      </c>
      <c r="AX58" s="55">
        <f t="shared" si="16"/>
        <v>0.51580181135701009</v>
      </c>
      <c r="AY58" s="52">
        <v>53044.548497067415</v>
      </c>
      <c r="AZ58" s="53">
        <v>35740.188098605649</v>
      </c>
      <c r="BA58" s="53">
        <f t="shared" si="17"/>
        <v>88784.736595673065</v>
      </c>
      <c r="BB58" s="53">
        <v>165792.00000000009</v>
      </c>
      <c r="BC58" s="55">
        <f t="shared" si="18"/>
        <v>0.53551882235375059</v>
      </c>
      <c r="BD58" s="53">
        <v>165792.00000000006</v>
      </c>
      <c r="BE58" s="55">
        <f t="shared" si="19"/>
        <v>0.5355188223537507</v>
      </c>
    </row>
    <row r="59" spans="1:57" s="57" customFormat="1" ht="11.25" x14ac:dyDescent="0.2">
      <c r="A59" s="44" t="s">
        <v>408</v>
      </c>
      <c r="B59" s="45" t="s">
        <v>409</v>
      </c>
      <c r="C59" s="45" t="s">
        <v>410</v>
      </c>
      <c r="D59" s="46" t="s">
        <v>411</v>
      </c>
      <c r="E59" s="47" t="s">
        <v>412</v>
      </c>
      <c r="F59" s="47" t="s">
        <v>413</v>
      </c>
      <c r="G59" s="47" t="s">
        <v>414</v>
      </c>
      <c r="H59" s="48" t="s">
        <v>158</v>
      </c>
      <c r="I59" s="48" t="s">
        <v>415</v>
      </c>
      <c r="J59" s="49">
        <v>32821</v>
      </c>
      <c r="K59" s="50">
        <v>0</v>
      </c>
      <c r="L59" s="50">
        <f t="shared" si="0"/>
        <v>32821</v>
      </c>
      <c r="M59" s="50">
        <v>229500</v>
      </c>
      <c r="N59" s="51">
        <f t="shared" si="20"/>
        <v>0.14301089324618738</v>
      </c>
      <c r="O59" s="52">
        <v>33248</v>
      </c>
      <c r="P59" s="53">
        <v>0</v>
      </c>
      <c r="Q59" s="53">
        <f t="shared" si="2"/>
        <v>33248</v>
      </c>
      <c r="R59" s="53">
        <v>229500</v>
      </c>
      <c r="S59" s="54">
        <f t="shared" si="21"/>
        <v>0.1448714596949891</v>
      </c>
      <c r="T59" s="52">
        <v>36867</v>
      </c>
      <c r="U59" s="53">
        <v>0</v>
      </c>
      <c r="V59" s="53">
        <f t="shared" si="4"/>
        <v>36867</v>
      </c>
      <c r="W59" s="53">
        <v>229500</v>
      </c>
      <c r="X59" s="54">
        <f t="shared" si="22"/>
        <v>0.16064052287581698</v>
      </c>
      <c r="Y59" s="52">
        <v>39327</v>
      </c>
      <c r="Z59" s="53">
        <v>0</v>
      </c>
      <c r="AA59" s="53">
        <f t="shared" si="6"/>
        <v>39327</v>
      </c>
      <c r="AB59" s="53">
        <v>229500</v>
      </c>
      <c r="AC59" s="54">
        <f t="shared" si="23"/>
        <v>0.17135947712418301</v>
      </c>
      <c r="AD59" s="52">
        <v>41950</v>
      </c>
      <c r="AE59" s="53">
        <v>0</v>
      </c>
      <c r="AF59" s="53">
        <f t="shared" si="8"/>
        <v>41950</v>
      </c>
      <c r="AG59" s="53">
        <v>229500</v>
      </c>
      <c r="AH59" s="55">
        <f t="shared" si="9"/>
        <v>0.18278867102396515</v>
      </c>
      <c r="AI59" s="56">
        <v>229500</v>
      </c>
      <c r="AJ59" s="54">
        <f t="shared" si="24"/>
        <v>0.18278867102396515</v>
      </c>
      <c r="AK59" s="52">
        <v>45827.625457567949</v>
      </c>
      <c r="AL59" s="53">
        <v>0</v>
      </c>
      <c r="AM59" s="53">
        <f t="shared" si="11"/>
        <v>45827.625457567949</v>
      </c>
      <c r="AN59" s="53">
        <v>229500</v>
      </c>
      <c r="AO59" s="55">
        <f t="shared" si="12"/>
        <v>0.19968464251663595</v>
      </c>
      <c r="AP59" s="53">
        <v>229500</v>
      </c>
      <c r="AQ59" s="55">
        <f t="shared" si="13"/>
        <v>0.19968464251663595</v>
      </c>
      <c r="AR59" s="52">
        <v>50063.677117500119</v>
      </c>
      <c r="AS59" s="53">
        <v>0</v>
      </c>
      <c r="AT59" s="53">
        <f t="shared" si="14"/>
        <v>50063.677117500119</v>
      </c>
      <c r="AU59" s="53">
        <v>229500</v>
      </c>
      <c r="AV59" s="55">
        <f t="shared" si="15"/>
        <v>0.2181423839542489</v>
      </c>
      <c r="AW59" s="53">
        <v>229500</v>
      </c>
      <c r="AX59" s="55">
        <f t="shared" si="16"/>
        <v>0.2181423839542489</v>
      </c>
      <c r="AY59" s="52">
        <v>53932.608698034797</v>
      </c>
      <c r="AZ59" s="53">
        <v>0</v>
      </c>
      <c r="BA59" s="53">
        <f t="shared" si="17"/>
        <v>53932.608698034797</v>
      </c>
      <c r="BB59" s="53">
        <v>229500</v>
      </c>
      <c r="BC59" s="55">
        <f t="shared" si="18"/>
        <v>0.23500047362978124</v>
      </c>
      <c r="BD59" s="53">
        <v>229500</v>
      </c>
      <c r="BE59" s="55">
        <f t="shared" si="19"/>
        <v>0.23500047362978124</v>
      </c>
    </row>
    <row r="60" spans="1:57" s="57" customFormat="1" ht="11.25" x14ac:dyDescent="0.2">
      <c r="A60" s="44" t="s">
        <v>416</v>
      </c>
      <c r="B60" s="45" t="s">
        <v>417</v>
      </c>
      <c r="C60" s="45" t="s">
        <v>418</v>
      </c>
      <c r="D60" s="46" t="s">
        <v>419</v>
      </c>
      <c r="E60" s="47" t="s">
        <v>420</v>
      </c>
      <c r="F60" s="47" t="s">
        <v>274</v>
      </c>
      <c r="G60" s="47" t="s">
        <v>421</v>
      </c>
      <c r="H60" s="48" t="s">
        <v>73</v>
      </c>
      <c r="I60" s="48" t="s">
        <v>422</v>
      </c>
      <c r="J60" s="49">
        <v>152794</v>
      </c>
      <c r="K60" s="50">
        <v>0</v>
      </c>
      <c r="L60" s="50">
        <f t="shared" si="0"/>
        <v>152794</v>
      </c>
      <c r="M60" s="50">
        <v>230000</v>
      </c>
      <c r="N60" s="51">
        <f t="shared" si="20"/>
        <v>0.6643217391304348</v>
      </c>
      <c r="O60" s="52">
        <v>155239</v>
      </c>
      <c r="P60" s="53">
        <v>0</v>
      </c>
      <c r="Q60" s="53">
        <f t="shared" si="2"/>
        <v>155239</v>
      </c>
      <c r="R60" s="53">
        <v>230000</v>
      </c>
      <c r="S60" s="54">
        <f t="shared" si="21"/>
        <v>0.67495217391304352</v>
      </c>
      <c r="T60" s="52">
        <v>176259</v>
      </c>
      <c r="U60" s="53">
        <v>0</v>
      </c>
      <c r="V60" s="53">
        <f t="shared" si="4"/>
        <v>176259</v>
      </c>
      <c r="W60" s="53">
        <v>230000</v>
      </c>
      <c r="X60" s="54">
        <f t="shared" si="22"/>
        <v>0.76634347826086957</v>
      </c>
      <c r="Y60" s="52">
        <v>190818</v>
      </c>
      <c r="Z60" s="53">
        <v>0</v>
      </c>
      <c r="AA60" s="53">
        <f t="shared" si="6"/>
        <v>190818</v>
      </c>
      <c r="AB60" s="53">
        <v>230000</v>
      </c>
      <c r="AC60" s="54">
        <f t="shared" si="23"/>
        <v>0.82964347826086959</v>
      </c>
      <c r="AD60" s="52">
        <v>206580</v>
      </c>
      <c r="AE60" s="53">
        <v>0</v>
      </c>
      <c r="AF60" s="53">
        <f t="shared" si="8"/>
        <v>206580</v>
      </c>
      <c r="AG60" s="53">
        <v>230000</v>
      </c>
      <c r="AH60" s="55">
        <f t="shared" si="9"/>
        <v>0.89817391304347827</v>
      </c>
      <c r="AI60" s="56">
        <v>230000</v>
      </c>
      <c r="AJ60" s="54">
        <f t="shared" si="24"/>
        <v>0.89817391304347827</v>
      </c>
      <c r="AK60" s="52">
        <v>228388.68828191547</v>
      </c>
      <c r="AL60" s="53">
        <v>0</v>
      </c>
      <c r="AM60" s="53">
        <f t="shared" si="11"/>
        <v>228388.68828191547</v>
      </c>
      <c r="AN60" s="53">
        <v>230000</v>
      </c>
      <c r="AO60" s="55">
        <f t="shared" si="12"/>
        <v>0.99299429687789331</v>
      </c>
      <c r="AP60" s="53">
        <v>230000</v>
      </c>
      <c r="AQ60" s="55">
        <f t="shared" si="13"/>
        <v>0.99299429687789331</v>
      </c>
      <c r="AR60" s="52">
        <v>252499.72376383943</v>
      </c>
      <c r="AS60" s="53">
        <v>0</v>
      </c>
      <c r="AT60" s="53">
        <f t="shared" si="14"/>
        <v>252499.72376383943</v>
      </c>
      <c r="AU60" s="53">
        <v>230000</v>
      </c>
      <c r="AV60" s="55">
        <f t="shared" si="15"/>
        <v>1.0978248859297366</v>
      </c>
      <c r="AW60" s="53">
        <v>230000</v>
      </c>
      <c r="AX60" s="55">
        <f t="shared" si="16"/>
        <v>1.0978248859297366</v>
      </c>
      <c r="AY60" s="52">
        <v>274022.42431308824</v>
      </c>
      <c r="AZ60" s="53">
        <v>0</v>
      </c>
      <c r="BA60" s="53">
        <f t="shared" si="17"/>
        <v>274022.42431308824</v>
      </c>
      <c r="BB60" s="53">
        <v>230000</v>
      </c>
      <c r="BC60" s="55">
        <f t="shared" si="18"/>
        <v>1.1914018448395141</v>
      </c>
      <c r="BD60" s="53">
        <v>230000</v>
      </c>
      <c r="BE60" s="55">
        <f t="shared" si="19"/>
        <v>1.1914018448395141</v>
      </c>
    </row>
    <row r="61" spans="1:57" s="57" customFormat="1" ht="11.25" x14ac:dyDescent="0.2">
      <c r="A61" s="44" t="s">
        <v>423</v>
      </c>
      <c r="B61" s="45" t="s">
        <v>23</v>
      </c>
      <c r="C61" s="45" t="s">
        <v>424</v>
      </c>
      <c r="D61" s="46" t="s">
        <v>425</v>
      </c>
      <c r="E61" s="47" t="s">
        <v>426</v>
      </c>
      <c r="F61" s="47" t="s">
        <v>427</v>
      </c>
      <c r="G61" s="47" t="s">
        <v>428</v>
      </c>
      <c r="H61" s="48" t="s">
        <v>29</v>
      </c>
      <c r="I61" s="48" t="s">
        <v>30</v>
      </c>
      <c r="J61" s="49">
        <v>22354</v>
      </c>
      <c r="K61" s="50">
        <v>0</v>
      </c>
      <c r="L61" s="50">
        <f t="shared" si="0"/>
        <v>22354</v>
      </c>
      <c r="M61" s="50">
        <v>195500</v>
      </c>
      <c r="N61" s="51">
        <f t="shared" si="20"/>
        <v>0.11434271099744246</v>
      </c>
      <c r="O61" s="52">
        <v>22714</v>
      </c>
      <c r="P61" s="53">
        <v>0</v>
      </c>
      <c r="Q61" s="53">
        <f t="shared" si="2"/>
        <v>22714</v>
      </c>
      <c r="R61" s="53">
        <v>195500</v>
      </c>
      <c r="S61" s="54">
        <f t="shared" si="21"/>
        <v>0.11618414322250639</v>
      </c>
      <c r="T61" s="52">
        <v>25810</v>
      </c>
      <c r="U61" s="53">
        <v>0</v>
      </c>
      <c r="V61" s="53">
        <f t="shared" si="4"/>
        <v>25810</v>
      </c>
      <c r="W61" s="53">
        <v>195500</v>
      </c>
      <c r="X61" s="54">
        <f t="shared" si="22"/>
        <v>0.13202046035805626</v>
      </c>
      <c r="Y61" s="52">
        <v>27956</v>
      </c>
      <c r="Z61" s="53">
        <v>0</v>
      </c>
      <c r="AA61" s="53">
        <f t="shared" si="6"/>
        <v>27956</v>
      </c>
      <c r="AB61" s="53">
        <v>195500</v>
      </c>
      <c r="AC61" s="54">
        <f t="shared" si="23"/>
        <v>0.14299744245524296</v>
      </c>
      <c r="AD61" s="52">
        <v>30280</v>
      </c>
      <c r="AE61" s="53">
        <v>0</v>
      </c>
      <c r="AF61" s="53">
        <f t="shared" si="8"/>
        <v>30280</v>
      </c>
      <c r="AG61" s="53">
        <v>195500</v>
      </c>
      <c r="AH61" s="55">
        <f t="shared" si="9"/>
        <v>0.1548849104859335</v>
      </c>
      <c r="AI61" s="56">
        <v>195500</v>
      </c>
      <c r="AJ61" s="54">
        <f t="shared" si="24"/>
        <v>0.1548849104859335</v>
      </c>
      <c r="AK61" s="52">
        <v>34776.656356025829</v>
      </c>
      <c r="AL61" s="53">
        <v>0</v>
      </c>
      <c r="AM61" s="53">
        <f t="shared" si="11"/>
        <v>34776.656356025829</v>
      </c>
      <c r="AN61" s="53">
        <v>195500</v>
      </c>
      <c r="AO61" s="55">
        <f t="shared" si="12"/>
        <v>0.17788571026100169</v>
      </c>
      <c r="AP61" s="53">
        <v>195500</v>
      </c>
      <c r="AQ61" s="55">
        <f t="shared" si="13"/>
        <v>0.17788571026100169</v>
      </c>
      <c r="AR61" s="52">
        <v>39941.077519983875</v>
      </c>
      <c r="AS61" s="53">
        <v>0</v>
      </c>
      <c r="AT61" s="53">
        <f t="shared" si="14"/>
        <v>39941.077519983875</v>
      </c>
      <c r="AU61" s="53">
        <v>195500</v>
      </c>
      <c r="AV61" s="55">
        <f t="shared" si="15"/>
        <v>0.20430218680298656</v>
      </c>
      <c r="AW61" s="53">
        <v>195500</v>
      </c>
      <c r="AX61" s="55">
        <f t="shared" si="16"/>
        <v>0.20430218680298656</v>
      </c>
      <c r="AY61" s="52">
        <v>45545.958114537658</v>
      </c>
      <c r="AZ61" s="53">
        <v>0</v>
      </c>
      <c r="BA61" s="53">
        <f t="shared" si="17"/>
        <v>45545.958114537658</v>
      </c>
      <c r="BB61" s="53">
        <v>195500</v>
      </c>
      <c r="BC61" s="55">
        <f t="shared" si="18"/>
        <v>0.2329716527597834</v>
      </c>
      <c r="BD61" s="53">
        <v>195500</v>
      </c>
      <c r="BE61" s="55">
        <f t="shared" si="19"/>
        <v>0.2329716527597834</v>
      </c>
    </row>
    <row r="62" spans="1:57" s="57" customFormat="1" ht="11.25" x14ac:dyDescent="0.2">
      <c r="A62" s="44" t="s">
        <v>429</v>
      </c>
      <c r="B62" s="45" t="s">
        <v>430</v>
      </c>
      <c r="C62" s="45" t="s">
        <v>431</v>
      </c>
      <c r="D62" s="46" t="s">
        <v>432</v>
      </c>
      <c r="E62" s="47" t="s">
        <v>433</v>
      </c>
      <c r="F62" s="47" t="s">
        <v>434</v>
      </c>
      <c r="G62" s="47" t="s">
        <v>435</v>
      </c>
      <c r="H62" s="48" t="s">
        <v>207</v>
      </c>
      <c r="I62" s="48" t="s">
        <v>436</v>
      </c>
      <c r="J62" s="49">
        <v>29288</v>
      </c>
      <c r="K62" s="50">
        <v>0</v>
      </c>
      <c r="L62" s="50">
        <f t="shared" si="0"/>
        <v>29288</v>
      </c>
      <c r="M62" s="50">
        <v>218500</v>
      </c>
      <c r="N62" s="51">
        <f t="shared" si="20"/>
        <v>0.13404118993135011</v>
      </c>
      <c r="O62" s="52">
        <v>29874</v>
      </c>
      <c r="P62" s="53">
        <v>0</v>
      </c>
      <c r="Q62" s="53">
        <f t="shared" si="2"/>
        <v>29874</v>
      </c>
      <c r="R62" s="53">
        <v>218500</v>
      </c>
      <c r="S62" s="54">
        <f t="shared" si="21"/>
        <v>0.13672311212814645</v>
      </c>
      <c r="T62" s="52">
        <v>35002</v>
      </c>
      <c r="U62" s="53">
        <v>0</v>
      </c>
      <c r="V62" s="53">
        <f t="shared" si="4"/>
        <v>35002</v>
      </c>
      <c r="W62" s="53">
        <v>218500</v>
      </c>
      <c r="X62" s="54">
        <f t="shared" si="22"/>
        <v>0.16019221967963387</v>
      </c>
      <c r="Y62" s="52">
        <v>38645</v>
      </c>
      <c r="Z62" s="53">
        <v>0</v>
      </c>
      <c r="AA62" s="53">
        <f t="shared" si="6"/>
        <v>38645</v>
      </c>
      <c r="AB62" s="53">
        <v>218500</v>
      </c>
      <c r="AC62" s="54">
        <f t="shared" si="23"/>
        <v>0.17686498855835239</v>
      </c>
      <c r="AD62" s="52">
        <v>42667</v>
      </c>
      <c r="AE62" s="53">
        <v>0</v>
      </c>
      <c r="AF62" s="53">
        <f t="shared" si="8"/>
        <v>42667</v>
      </c>
      <c r="AG62" s="53">
        <v>218500</v>
      </c>
      <c r="AH62" s="55">
        <f t="shared" si="9"/>
        <v>0.19527231121281466</v>
      </c>
      <c r="AI62" s="56">
        <v>230000</v>
      </c>
      <c r="AJ62" s="54">
        <f t="shared" si="24"/>
        <v>0.1855086956521739</v>
      </c>
      <c r="AK62" s="52">
        <v>49532.878298862357</v>
      </c>
      <c r="AL62" s="53">
        <v>0</v>
      </c>
      <c r="AM62" s="53">
        <f t="shared" si="11"/>
        <v>49532.878298862357</v>
      </c>
      <c r="AN62" s="53">
        <v>218500</v>
      </c>
      <c r="AO62" s="55">
        <f t="shared" si="12"/>
        <v>0.22669509518930139</v>
      </c>
      <c r="AP62" s="53">
        <v>230000</v>
      </c>
      <c r="AQ62" s="55">
        <f t="shared" si="13"/>
        <v>0.21536034042983634</v>
      </c>
      <c r="AR62" s="52">
        <v>57503.598391494823</v>
      </c>
      <c r="AS62" s="53">
        <v>0</v>
      </c>
      <c r="AT62" s="53">
        <f t="shared" si="14"/>
        <v>57503.598391494823</v>
      </c>
      <c r="AU62" s="53">
        <v>218500</v>
      </c>
      <c r="AV62" s="55">
        <f t="shared" si="15"/>
        <v>0.26317436334780242</v>
      </c>
      <c r="AW62" s="53">
        <v>230000</v>
      </c>
      <c r="AX62" s="55">
        <f t="shared" si="16"/>
        <v>0.25001564518041225</v>
      </c>
      <c r="AY62" s="52">
        <v>65774.150061258406</v>
      </c>
      <c r="AZ62" s="53">
        <v>0</v>
      </c>
      <c r="BA62" s="53">
        <f t="shared" si="17"/>
        <v>65774.150061258406</v>
      </c>
      <c r="BB62" s="53">
        <v>218500</v>
      </c>
      <c r="BC62" s="55">
        <f t="shared" si="18"/>
        <v>0.30102585840392865</v>
      </c>
      <c r="BD62" s="53">
        <v>230000</v>
      </c>
      <c r="BE62" s="55">
        <f t="shared" si="19"/>
        <v>0.28597456548373218</v>
      </c>
    </row>
    <row r="63" spans="1:57" s="57" customFormat="1" ht="11.25" x14ac:dyDescent="0.2">
      <c r="A63" s="44" t="s">
        <v>437</v>
      </c>
      <c r="B63" s="45" t="s">
        <v>438</v>
      </c>
      <c r="C63" s="45" t="s">
        <v>439</v>
      </c>
      <c r="D63" s="46" t="s">
        <v>440</v>
      </c>
      <c r="E63" s="47" t="s">
        <v>441</v>
      </c>
      <c r="F63" s="47" t="s">
        <v>164</v>
      </c>
      <c r="G63" s="47" t="s">
        <v>442</v>
      </c>
      <c r="H63" s="48" t="s">
        <v>64</v>
      </c>
      <c r="I63" s="48" t="s">
        <v>90</v>
      </c>
      <c r="J63" s="49">
        <v>7105</v>
      </c>
      <c r="K63" s="50">
        <v>0</v>
      </c>
      <c r="L63" s="50">
        <f t="shared" si="0"/>
        <v>7105</v>
      </c>
      <c r="M63" s="50">
        <v>195500</v>
      </c>
      <c r="N63" s="51">
        <f t="shared" si="20"/>
        <v>3.6342710997442455E-2</v>
      </c>
      <c r="O63" s="52">
        <v>7212</v>
      </c>
      <c r="P63" s="53">
        <v>0</v>
      </c>
      <c r="Q63" s="53">
        <f t="shared" si="2"/>
        <v>7212</v>
      </c>
      <c r="R63" s="53">
        <v>195500</v>
      </c>
      <c r="S63" s="54">
        <f t="shared" si="21"/>
        <v>3.6890025575447571E-2</v>
      </c>
      <c r="T63" s="52">
        <v>8124</v>
      </c>
      <c r="U63" s="53">
        <v>0</v>
      </c>
      <c r="V63" s="53">
        <f t="shared" si="4"/>
        <v>8124</v>
      </c>
      <c r="W63" s="53">
        <v>195500</v>
      </c>
      <c r="X63" s="54">
        <f t="shared" si="22"/>
        <v>4.1554987212276212E-2</v>
      </c>
      <c r="Y63" s="52">
        <v>8752</v>
      </c>
      <c r="Z63" s="53">
        <v>0</v>
      </c>
      <c r="AA63" s="53">
        <f t="shared" si="6"/>
        <v>8752</v>
      </c>
      <c r="AB63" s="53">
        <v>195500</v>
      </c>
      <c r="AC63" s="54">
        <f t="shared" si="23"/>
        <v>4.4767263427109974E-2</v>
      </c>
      <c r="AD63" s="52">
        <v>9428</v>
      </c>
      <c r="AE63" s="53">
        <v>0</v>
      </c>
      <c r="AF63" s="53">
        <f t="shared" si="8"/>
        <v>9428</v>
      </c>
      <c r="AG63" s="53">
        <v>195500</v>
      </c>
      <c r="AH63" s="55">
        <f t="shared" si="9"/>
        <v>4.8225063938618924E-2</v>
      </c>
      <c r="AI63" s="56">
        <v>207000</v>
      </c>
      <c r="AJ63" s="54">
        <f t="shared" si="24"/>
        <v>4.554589371980676E-2</v>
      </c>
      <c r="AK63" s="52">
        <v>10519.24142669655</v>
      </c>
      <c r="AL63" s="53">
        <v>0</v>
      </c>
      <c r="AM63" s="53">
        <f t="shared" si="11"/>
        <v>10519.24142669655</v>
      </c>
      <c r="AN63" s="53">
        <v>195500</v>
      </c>
      <c r="AO63" s="55">
        <f t="shared" si="12"/>
        <v>5.3806861517629409E-2</v>
      </c>
      <c r="AP63" s="53">
        <v>207000</v>
      </c>
      <c r="AQ63" s="55">
        <f t="shared" si="13"/>
        <v>5.0817591433316663E-2</v>
      </c>
      <c r="AR63" s="52">
        <v>11736.788310684013</v>
      </c>
      <c r="AS63" s="53">
        <v>0</v>
      </c>
      <c r="AT63" s="53">
        <f t="shared" si="14"/>
        <v>11736.788310684013</v>
      </c>
      <c r="AU63" s="53">
        <v>195500</v>
      </c>
      <c r="AV63" s="55">
        <f t="shared" si="15"/>
        <v>6.0034722816798017E-2</v>
      </c>
      <c r="AW63" s="53">
        <v>207000</v>
      </c>
      <c r="AX63" s="55">
        <f t="shared" si="16"/>
        <v>5.6699460438087018E-2</v>
      </c>
      <c r="AY63" s="52">
        <v>12896.46583196473</v>
      </c>
      <c r="AZ63" s="53">
        <v>0</v>
      </c>
      <c r="BA63" s="53">
        <f t="shared" si="17"/>
        <v>12896.46583196473</v>
      </c>
      <c r="BB63" s="53">
        <v>195500</v>
      </c>
      <c r="BC63" s="55">
        <f t="shared" si="18"/>
        <v>6.5966577145599642E-2</v>
      </c>
      <c r="BD63" s="53">
        <v>207000</v>
      </c>
      <c r="BE63" s="55">
        <f t="shared" si="19"/>
        <v>6.2301767304177441E-2</v>
      </c>
    </row>
    <row r="64" spans="1:57" s="57" customFormat="1" ht="11.25" x14ac:dyDescent="0.2">
      <c r="A64" s="44" t="s">
        <v>443</v>
      </c>
      <c r="B64" s="45" t="s">
        <v>444</v>
      </c>
      <c r="C64" s="45" t="s">
        <v>445</v>
      </c>
      <c r="D64" s="46" t="s">
        <v>446</v>
      </c>
      <c r="E64" s="47" t="s">
        <v>447</v>
      </c>
      <c r="F64" s="47" t="s">
        <v>448</v>
      </c>
      <c r="G64" s="47" t="s">
        <v>449</v>
      </c>
      <c r="H64" s="48" t="s">
        <v>64</v>
      </c>
      <c r="I64" s="48" t="s">
        <v>90</v>
      </c>
      <c r="J64" s="49">
        <v>77438</v>
      </c>
      <c r="K64" s="50">
        <v>0</v>
      </c>
      <c r="L64" s="50">
        <f t="shared" si="0"/>
        <v>77438</v>
      </c>
      <c r="M64" s="50">
        <v>230000</v>
      </c>
      <c r="N64" s="51">
        <f t="shared" si="20"/>
        <v>0.33668695652173913</v>
      </c>
      <c r="O64" s="52">
        <v>79374</v>
      </c>
      <c r="P64" s="53">
        <v>0</v>
      </c>
      <c r="Q64" s="53">
        <f t="shared" si="2"/>
        <v>79374</v>
      </c>
      <c r="R64" s="53">
        <v>230000</v>
      </c>
      <c r="S64" s="54">
        <f t="shared" si="21"/>
        <v>0.34510434782608695</v>
      </c>
      <c r="T64" s="52">
        <v>96709</v>
      </c>
      <c r="U64" s="53">
        <v>0</v>
      </c>
      <c r="V64" s="53">
        <f t="shared" si="4"/>
        <v>96709</v>
      </c>
      <c r="W64" s="53">
        <v>230000</v>
      </c>
      <c r="X64" s="54">
        <f t="shared" si="22"/>
        <v>0.42047391304347825</v>
      </c>
      <c r="Y64" s="52">
        <v>109417</v>
      </c>
      <c r="Z64" s="53">
        <v>0</v>
      </c>
      <c r="AA64" s="53">
        <f t="shared" si="6"/>
        <v>109417</v>
      </c>
      <c r="AB64" s="53">
        <v>230000</v>
      </c>
      <c r="AC64" s="54">
        <f t="shared" si="23"/>
        <v>0.47572608695652174</v>
      </c>
      <c r="AD64" s="52">
        <v>123796</v>
      </c>
      <c r="AE64" s="53">
        <v>0</v>
      </c>
      <c r="AF64" s="53">
        <f t="shared" si="8"/>
        <v>123796</v>
      </c>
      <c r="AG64" s="53">
        <v>230000</v>
      </c>
      <c r="AH64" s="55">
        <f t="shared" si="9"/>
        <v>0.5382434782608696</v>
      </c>
      <c r="AI64" s="56">
        <v>230000.00000000116</v>
      </c>
      <c r="AJ64" s="54">
        <f t="shared" si="24"/>
        <v>0.53824347826086683</v>
      </c>
      <c r="AK64" s="52">
        <v>148488.75904079535</v>
      </c>
      <c r="AL64" s="53">
        <v>0</v>
      </c>
      <c r="AM64" s="53">
        <f t="shared" si="11"/>
        <v>148488.75904079535</v>
      </c>
      <c r="AN64" s="53">
        <v>230000</v>
      </c>
      <c r="AO64" s="55">
        <f t="shared" si="12"/>
        <v>0.64560330017737111</v>
      </c>
      <c r="AP64" s="53">
        <v>230000.00000000116</v>
      </c>
      <c r="AQ64" s="55">
        <f t="shared" si="13"/>
        <v>0.64560330017736789</v>
      </c>
      <c r="AR64" s="52">
        <v>178106.81735658168</v>
      </c>
      <c r="AS64" s="53">
        <v>0</v>
      </c>
      <c r="AT64" s="53">
        <f t="shared" si="14"/>
        <v>178106.81735658168</v>
      </c>
      <c r="AU64" s="53">
        <v>230000</v>
      </c>
      <c r="AV64" s="55">
        <f t="shared" si="15"/>
        <v>0.77437746676774644</v>
      </c>
      <c r="AW64" s="53">
        <v>230000.00000000116</v>
      </c>
      <c r="AX64" s="55">
        <f t="shared" si="16"/>
        <v>0.77437746676774255</v>
      </c>
      <c r="AY64" s="52">
        <v>208290.55958524309</v>
      </c>
      <c r="AZ64" s="53">
        <v>0</v>
      </c>
      <c r="BA64" s="53">
        <f t="shared" si="17"/>
        <v>208290.55958524309</v>
      </c>
      <c r="BB64" s="53">
        <v>230000</v>
      </c>
      <c r="BC64" s="55">
        <f t="shared" si="18"/>
        <v>0.90561112863149162</v>
      </c>
      <c r="BD64" s="53">
        <v>230000.00000000116</v>
      </c>
      <c r="BE64" s="55">
        <f t="shared" si="19"/>
        <v>0.90561112863148707</v>
      </c>
    </row>
    <row r="65" spans="1:57" s="57" customFormat="1" ht="11.25" x14ac:dyDescent="0.2">
      <c r="A65" s="44" t="s">
        <v>450</v>
      </c>
      <c r="B65" s="45" t="s">
        <v>451</v>
      </c>
      <c r="C65" s="45" t="s">
        <v>452</v>
      </c>
      <c r="D65" s="46" t="s">
        <v>453</v>
      </c>
      <c r="E65" s="47" t="s">
        <v>454</v>
      </c>
      <c r="F65" s="47" t="s">
        <v>455</v>
      </c>
      <c r="G65" s="47" t="s">
        <v>456</v>
      </c>
      <c r="H65" s="48" t="s">
        <v>73</v>
      </c>
      <c r="I65" s="48" t="s">
        <v>457</v>
      </c>
      <c r="J65" s="49">
        <v>73051</v>
      </c>
      <c r="K65" s="50">
        <v>0</v>
      </c>
      <c r="L65" s="50">
        <f t="shared" si="0"/>
        <v>73051</v>
      </c>
      <c r="M65" s="50">
        <v>218500</v>
      </c>
      <c r="N65" s="51">
        <f t="shared" si="20"/>
        <v>0.33432951945080092</v>
      </c>
      <c r="O65" s="52">
        <v>74118</v>
      </c>
      <c r="P65" s="53">
        <v>0</v>
      </c>
      <c r="Q65" s="53">
        <f t="shared" si="2"/>
        <v>74118</v>
      </c>
      <c r="R65" s="53">
        <v>218500</v>
      </c>
      <c r="S65" s="54">
        <f t="shared" si="21"/>
        <v>0.33921281464530895</v>
      </c>
      <c r="T65" s="52">
        <v>83230</v>
      </c>
      <c r="U65" s="53">
        <v>0</v>
      </c>
      <c r="V65" s="53">
        <f t="shared" si="4"/>
        <v>83230</v>
      </c>
      <c r="W65" s="53">
        <v>218500</v>
      </c>
      <c r="X65" s="54">
        <f t="shared" si="22"/>
        <v>0.38091533180778031</v>
      </c>
      <c r="Y65" s="52">
        <v>89486</v>
      </c>
      <c r="Z65" s="53">
        <v>0</v>
      </c>
      <c r="AA65" s="53">
        <f t="shared" si="6"/>
        <v>89486</v>
      </c>
      <c r="AB65" s="53">
        <v>218500</v>
      </c>
      <c r="AC65" s="54">
        <f t="shared" si="23"/>
        <v>0.40954691075514876</v>
      </c>
      <c r="AD65" s="52">
        <v>96212</v>
      </c>
      <c r="AE65" s="53">
        <v>0</v>
      </c>
      <c r="AF65" s="53">
        <f t="shared" si="8"/>
        <v>96212</v>
      </c>
      <c r="AG65" s="53">
        <v>218500</v>
      </c>
      <c r="AH65" s="55">
        <f t="shared" si="9"/>
        <v>0.4403295194508009</v>
      </c>
      <c r="AI65" s="56">
        <v>230000</v>
      </c>
      <c r="AJ65" s="54">
        <f t="shared" si="24"/>
        <v>0.41831304347826087</v>
      </c>
      <c r="AK65" s="52">
        <v>106016.67003751932</v>
      </c>
      <c r="AL65" s="53">
        <v>0</v>
      </c>
      <c r="AM65" s="53">
        <f t="shared" si="11"/>
        <v>106016.67003751932</v>
      </c>
      <c r="AN65" s="53">
        <v>218500</v>
      </c>
      <c r="AO65" s="55">
        <f t="shared" si="12"/>
        <v>0.48520215120146143</v>
      </c>
      <c r="AP65" s="53">
        <v>230000</v>
      </c>
      <c r="AQ65" s="55">
        <f t="shared" si="13"/>
        <v>0.46094204364138835</v>
      </c>
      <c r="AR65" s="52">
        <v>116820.50394799243</v>
      </c>
      <c r="AS65" s="53">
        <v>0</v>
      </c>
      <c r="AT65" s="53">
        <f t="shared" si="14"/>
        <v>116820.50394799243</v>
      </c>
      <c r="AU65" s="53">
        <v>218500</v>
      </c>
      <c r="AV65" s="55">
        <f t="shared" si="15"/>
        <v>0.53464761532261984</v>
      </c>
      <c r="AW65" s="53">
        <v>230000</v>
      </c>
      <c r="AX65" s="55">
        <f t="shared" si="16"/>
        <v>0.50791523455648879</v>
      </c>
      <c r="AY65" s="52">
        <v>126733.81276106204</v>
      </c>
      <c r="AZ65" s="53">
        <v>0</v>
      </c>
      <c r="BA65" s="53">
        <f t="shared" si="17"/>
        <v>126733.81276106204</v>
      </c>
      <c r="BB65" s="53">
        <v>218500</v>
      </c>
      <c r="BC65" s="55">
        <f t="shared" si="18"/>
        <v>0.58001744970737779</v>
      </c>
      <c r="BD65" s="53">
        <v>230000</v>
      </c>
      <c r="BE65" s="55">
        <f t="shared" si="19"/>
        <v>0.55101657722200892</v>
      </c>
    </row>
    <row r="66" spans="1:57" s="57" customFormat="1" ht="11.25" x14ac:dyDescent="0.2">
      <c r="A66" s="44" t="s">
        <v>458</v>
      </c>
      <c r="B66" s="45" t="s">
        <v>262</v>
      </c>
      <c r="C66" s="45" t="s">
        <v>459</v>
      </c>
      <c r="D66" s="46" t="s">
        <v>460</v>
      </c>
      <c r="E66" s="47" t="s">
        <v>461</v>
      </c>
      <c r="F66" s="47" t="s">
        <v>462</v>
      </c>
      <c r="G66" s="47" t="s">
        <v>463</v>
      </c>
      <c r="H66" s="48" t="s">
        <v>29</v>
      </c>
      <c r="I66" s="48" t="s">
        <v>268</v>
      </c>
      <c r="J66" s="49">
        <v>14872</v>
      </c>
      <c r="K66" s="50">
        <v>0</v>
      </c>
      <c r="L66" s="50">
        <f t="shared" si="0"/>
        <v>14872</v>
      </c>
      <c r="M66" s="50">
        <v>172500</v>
      </c>
      <c r="N66" s="51">
        <f t="shared" si="20"/>
        <v>8.6214492753623195E-2</v>
      </c>
      <c r="O66" s="52">
        <v>15169</v>
      </c>
      <c r="P66" s="53">
        <v>0</v>
      </c>
      <c r="Q66" s="53">
        <f t="shared" si="2"/>
        <v>15169</v>
      </c>
      <c r="R66" s="53">
        <v>172500</v>
      </c>
      <c r="S66" s="54">
        <f t="shared" si="21"/>
        <v>8.7936231884057969E-2</v>
      </c>
      <c r="T66" s="52">
        <v>17773</v>
      </c>
      <c r="U66" s="53">
        <v>0</v>
      </c>
      <c r="V66" s="53">
        <f t="shared" si="4"/>
        <v>17773</v>
      </c>
      <c r="W66" s="53">
        <v>172500</v>
      </c>
      <c r="X66" s="54">
        <f t="shared" si="22"/>
        <v>0.10303188405797102</v>
      </c>
      <c r="Y66" s="52">
        <v>19623</v>
      </c>
      <c r="Z66" s="53">
        <v>0</v>
      </c>
      <c r="AA66" s="53">
        <f t="shared" si="6"/>
        <v>19623</v>
      </c>
      <c r="AB66" s="53">
        <v>172500</v>
      </c>
      <c r="AC66" s="54">
        <f t="shared" si="23"/>
        <v>0.11375652173913044</v>
      </c>
      <c r="AD66" s="52">
        <v>21665</v>
      </c>
      <c r="AE66" s="53">
        <v>0</v>
      </c>
      <c r="AF66" s="53">
        <f t="shared" si="8"/>
        <v>21665</v>
      </c>
      <c r="AG66" s="53">
        <v>172500</v>
      </c>
      <c r="AH66" s="55">
        <f t="shared" si="9"/>
        <v>0.12559420289855072</v>
      </c>
      <c r="AI66" s="56">
        <v>218500</v>
      </c>
      <c r="AJ66" s="54">
        <f t="shared" si="24"/>
        <v>9.9153318077803199E-2</v>
      </c>
      <c r="AK66" s="52">
        <v>24977.409235418563</v>
      </c>
      <c r="AL66" s="53">
        <v>0</v>
      </c>
      <c r="AM66" s="53">
        <f t="shared" si="11"/>
        <v>24977.409235418563</v>
      </c>
      <c r="AN66" s="53">
        <v>172500</v>
      </c>
      <c r="AO66" s="55">
        <f t="shared" si="12"/>
        <v>0.14479657527778877</v>
      </c>
      <c r="AP66" s="53">
        <v>218500</v>
      </c>
      <c r="AQ66" s="55">
        <f t="shared" si="13"/>
        <v>0.11431308574562271</v>
      </c>
      <c r="AR66" s="52">
        <v>28796.259963700555</v>
      </c>
      <c r="AS66" s="53">
        <v>0</v>
      </c>
      <c r="AT66" s="53">
        <f t="shared" si="14"/>
        <v>28796.259963700555</v>
      </c>
      <c r="AU66" s="53">
        <v>172500</v>
      </c>
      <c r="AV66" s="55">
        <f t="shared" si="15"/>
        <v>0.16693484036927858</v>
      </c>
      <c r="AW66" s="53">
        <v>218500</v>
      </c>
      <c r="AX66" s="55">
        <f t="shared" si="16"/>
        <v>0.13179066344943047</v>
      </c>
      <c r="AY66" s="52">
        <v>32555.981638321769</v>
      </c>
      <c r="AZ66" s="53">
        <v>0</v>
      </c>
      <c r="BA66" s="53">
        <f t="shared" si="17"/>
        <v>32555.981638321769</v>
      </c>
      <c r="BB66" s="53">
        <v>172500</v>
      </c>
      <c r="BC66" s="55">
        <f t="shared" si="18"/>
        <v>0.18873032833809722</v>
      </c>
      <c r="BD66" s="53">
        <v>218500</v>
      </c>
      <c r="BE66" s="55">
        <f t="shared" si="19"/>
        <v>0.14899762763533991</v>
      </c>
    </row>
    <row r="67" spans="1:57" s="57" customFormat="1" ht="11.25" x14ac:dyDescent="0.2">
      <c r="A67" s="44" t="s">
        <v>464</v>
      </c>
      <c r="B67" s="45" t="s">
        <v>465</v>
      </c>
      <c r="C67" s="45" t="s">
        <v>466</v>
      </c>
      <c r="D67" s="46" t="s">
        <v>467</v>
      </c>
      <c r="E67" s="47" t="s">
        <v>468</v>
      </c>
      <c r="F67" s="47" t="s">
        <v>469</v>
      </c>
      <c r="G67" s="47" t="s">
        <v>470</v>
      </c>
      <c r="H67" s="48" t="s">
        <v>55</v>
      </c>
      <c r="I67" s="48" t="s">
        <v>471</v>
      </c>
      <c r="J67" s="49">
        <v>28307</v>
      </c>
      <c r="K67" s="50">
        <v>0</v>
      </c>
      <c r="L67" s="50">
        <f t="shared" si="0"/>
        <v>28307</v>
      </c>
      <c r="M67" s="50">
        <v>195500</v>
      </c>
      <c r="N67" s="51">
        <f t="shared" si="20"/>
        <v>0.14479283887468031</v>
      </c>
      <c r="O67" s="52">
        <v>28602</v>
      </c>
      <c r="P67" s="53">
        <v>0</v>
      </c>
      <c r="Q67" s="53">
        <f t="shared" si="2"/>
        <v>28602</v>
      </c>
      <c r="R67" s="53">
        <v>195500</v>
      </c>
      <c r="S67" s="54">
        <f t="shared" si="21"/>
        <v>0.14630179028132992</v>
      </c>
      <c r="T67" s="52">
        <v>31070</v>
      </c>
      <c r="U67" s="53">
        <v>0</v>
      </c>
      <c r="V67" s="53">
        <f t="shared" si="4"/>
        <v>31070</v>
      </c>
      <c r="W67" s="53">
        <v>195500</v>
      </c>
      <c r="X67" s="54">
        <f t="shared" si="22"/>
        <v>0.15892583120204604</v>
      </c>
      <c r="Y67" s="52">
        <v>32719</v>
      </c>
      <c r="Z67" s="53">
        <v>0</v>
      </c>
      <c r="AA67" s="53">
        <f t="shared" si="6"/>
        <v>32719</v>
      </c>
      <c r="AB67" s="53">
        <v>195500</v>
      </c>
      <c r="AC67" s="54">
        <f t="shared" si="23"/>
        <v>0.16736061381074169</v>
      </c>
      <c r="AD67" s="52">
        <v>34457</v>
      </c>
      <c r="AE67" s="53">
        <v>0</v>
      </c>
      <c r="AF67" s="53">
        <f t="shared" si="8"/>
        <v>34457</v>
      </c>
      <c r="AG67" s="53">
        <v>195500</v>
      </c>
      <c r="AH67" s="55">
        <f t="shared" si="9"/>
        <v>0.17625063938618926</v>
      </c>
      <c r="AI67" s="56">
        <v>195500</v>
      </c>
      <c r="AJ67" s="54">
        <f t="shared" si="24"/>
        <v>0.17625063938618926</v>
      </c>
      <c r="AK67" s="52">
        <v>37748.256632517296</v>
      </c>
      <c r="AL67" s="53">
        <v>0</v>
      </c>
      <c r="AM67" s="53">
        <f t="shared" si="11"/>
        <v>37748.256632517296</v>
      </c>
      <c r="AN67" s="53">
        <v>195500</v>
      </c>
      <c r="AO67" s="55">
        <f t="shared" si="12"/>
        <v>0.1930857116752803</v>
      </c>
      <c r="AP67" s="53">
        <v>195500</v>
      </c>
      <c r="AQ67" s="55">
        <f t="shared" si="13"/>
        <v>0.1930857116752803</v>
      </c>
      <c r="AR67" s="52">
        <v>41353.886838505568</v>
      </c>
      <c r="AS67" s="53">
        <v>0</v>
      </c>
      <c r="AT67" s="53">
        <f t="shared" si="14"/>
        <v>41353.886838505568</v>
      </c>
      <c r="AU67" s="53">
        <v>195500</v>
      </c>
      <c r="AV67" s="55">
        <f t="shared" si="15"/>
        <v>0.21152883293353231</v>
      </c>
      <c r="AW67" s="53">
        <v>195500</v>
      </c>
      <c r="AX67" s="55">
        <f t="shared" si="16"/>
        <v>0.21152883293353231</v>
      </c>
      <c r="AY67" s="52">
        <v>45598.092211535703</v>
      </c>
      <c r="AZ67" s="53">
        <v>0</v>
      </c>
      <c r="BA67" s="53">
        <f t="shared" si="17"/>
        <v>45598.092211535703</v>
      </c>
      <c r="BB67" s="53">
        <v>195500</v>
      </c>
      <c r="BC67" s="55">
        <f t="shared" si="18"/>
        <v>0.23323832333266345</v>
      </c>
      <c r="BD67" s="53">
        <v>195500</v>
      </c>
      <c r="BE67" s="55">
        <f t="shared" si="19"/>
        <v>0.23323832333266345</v>
      </c>
    </row>
    <row r="68" spans="1:57" s="57" customFormat="1" ht="11.25" x14ac:dyDescent="0.2">
      <c r="A68" s="44" t="s">
        <v>472</v>
      </c>
      <c r="B68" s="45" t="s">
        <v>473</v>
      </c>
      <c r="C68" s="45" t="s">
        <v>474</v>
      </c>
      <c r="D68" s="46" t="s">
        <v>475</v>
      </c>
      <c r="E68" s="47" t="s">
        <v>476</v>
      </c>
      <c r="F68" s="47" t="s">
        <v>477</v>
      </c>
      <c r="G68" s="47" t="s">
        <v>478</v>
      </c>
      <c r="H68" s="48" t="s">
        <v>207</v>
      </c>
      <c r="I68" s="48" t="s">
        <v>479</v>
      </c>
      <c r="J68" s="49">
        <v>15282</v>
      </c>
      <c r="K68" s="50">
        <v>0</v>
      </c>
      <c r="L68" s="50">
        <f t="shared" si="0"/>
        <v>15282</v>
      </c>
      <c r="M68" s="50">
        <v>156265.27438664771</v>
      </c>
      <c r="N68" s="51">
        <f t="shared" si="20"/>
        <v>9.779523992123608E-2</v>
      </c>
      <c r="O68" s="52">
        <v>15569</v>
      </c>
      <c r="P68" s="53">
        <v>0</v>
      </c>
      <c r="Q68" s="53">
        <f t="shared" si="2"/>
        <v>15569</v>
      </c>
      <c r="R68" s="53">
        <v>156265.27438664771</v>
      </c>
      <c r="S68" s="54">
        <f t="shared" si="21"/>
        <v>9.9631860380429565E-2</v>
      </c>
      <c r="T68" s="52">
        <v>18071</v>
      </c>
      <c r="U68" s="53">
        <v>0</v>
      </c>
      <c r="V68" s="53">
        <f t="shared" si="4"/>
        <v>18071</v>
      </c>
      <c r="W68" s="53">
        <v>156265.27438664771</v>
      </c>
      <c r="X68" s="54">
        <f t="shared" si="22"/>
        <v>0.11564309518496645</v>
      </c>
      <c r="Y68" s="52">
        <v>19835</v>
      </c>
      <c r="Z68" s="53">
        <v>0</v>
      </c>
      <c r="AA68" s="53">
        <f t="shared" si="6"/>
        <v>19835</v>
      </c>
      <c r="AB68" s="53">
        <v>156265.27438664771</v>
      </c>
      <c r="AC68" s="54">
        <f t="shared" si="23"/>
        <v>0.12693159166586296</v>
      </c>
      <c r="AD68" s="52">
        <v>21771</v>
      </c>
      <c r="AE68" s="53">
        <v>0</v>
      </c>
      <c r="AF68" s="53">
        <f t="shared" si="8"/>
        <v>21771</v>
      </c>
      <c r="AG68" s="53">
        <v>156265.27438664771</v>
      </c>
      <c r="AH68" s="55">
        <f t="shared" si="9"/>
        <v>0.13932078054739108</v>
      </c>
      <c r="AI68" s="56">
        <v>152833</v>
      </c>
      <c r="AJ68" s="54">
        <f t="shared" si="24"/>
        <v>0.14244960185300296</v>
      </c>
      <c r="AK68" s="52">
        <v>24864.813882267965</v>
      </c>
      <c r="AL68" s="53">
        <v>0</v>
      </c>
      <c r="AM68" s="53">
        <f t="shared" si="11"/>
        <v>24864.813882267965</v>
      </c>
      <c r="AN68" s="53">
        <v>156265.27438664771</v>
      </c>
      <c r="AO68" s="55">
        <f t="shared" si="12"/>
        <v>0.159119253972862</v>
      </c>
      <c r="AP68" s="53">
        <v>152833</v>
      </c>
      <c r="AQ68" s="55">
        <f t="shared" si="13"/>
        <v>0.16269270303054945</v>
      </c>
      <c r="AR68" s="52">
        <v>28398.280712866919</v>
      </c>
      <c r="AS68" s="53">
        <v>0</v>
      </c>
      <c r="AT68" s="53">
        <f t="shared" si="14"/>
        <v>28398.280712866919</v>
      </c>
      <c r="AU68" s="53">
        <v>156265.27438664771</v>
      </c>
      <c r="AV68" s="55">
        <f t="shared" si="15"/>
        <v>0.1817312312305609</v>
      </c>
      <c r="AW68" s="53">
        <v>152833</v>
      </c>
      <c r="AX68" s="55">
        <f t="shared" si="16"/>
        <v>0.18581249280500231</v>
      </c>
      <c r="AY68" s="52">
        <v>31825.486426820815</v>
      </c>
      <c r="AZ68" s="53">
        <v>0</v>
      </c>
      <c r="BA68" s="53">
        <f t="shared" si="17"/>
        <v>31825.486426820815</v>
      </c>
      <c r="BB68" s="53">
        <v>156265.27438664771</v>
      </c>
      <c r="BC68" s="55">
        <f t="shared" si="18"/>
        <v>0.20366320381631881</v>
      </c>
      <c r="BD68" s="53">
        <v>152833</v>
      </c>
      <c r="BE68" s="55">
        <f t="shared" si="19"/>
        <v>0.20823700658117564</v>
      </c>
    </row>
    <row r="69" spans="1:57" s="57" customFormat="1" ht="11.25" x14ac:dyDescent="0.2">
      <c r="A69" s="44" t="s">
        <v>480</v>
      </c>
      <c r="B69" s="45" t="s">
        <v>481</v>
      </c>
      <c r="C69" s="45" t="s">
        <v>33</v>
      </c>
      <c r="D69" s="46" t="s">
        <v>482</v>
      </c>
      <c r="E69" s="47" t="s">
        <v>483</v>
      </c>
      <c r="F69" s="47" t="s">
        <v>484</v>
      </c>
      <c r="G69" s="47" t="s">
        <v>485</v>
      </c>
      <c r="H69" s="48" t="s">
        <v>73</v>
      </c>
      <c r="I69" s="48" t="s">
        <v>486</v>
      </c>
      <c r="J69" s="49">
        <v>43571</v>
      </c>
      <c r="K69" s="50">
        <v>0</v>
      </c>
      <c r="L69" s="50">
        <f t="shared" si="0"/>
        <v>43571</v>
      </c>
      <c r="M69" s="50">
        <v>184000</v>
      </c>
      <c r="N69" s="51">
        <f t="shared" si="20"/>
        <v>0.23679891304347825</v>
      </c>
      <c r="O69" s="52">
        <v>44007</v>
      </c>
      <c r="P69" s="53">
        <v>0</v>
      </c>
      <c r="Q69" s="53">
        <f t="shared" si="2"/>
        <v>44007</v>
      </c>
      <c r="R69" s="53">
        <v>184000</v>
      </c>
      <c r="S69" s="54">
        <f t="shared" si="21"/>
        <v>0.23916847826086957</v>
      </c>
      <c r="T69" s="52">
        <v>47653</v>
      </c>
      <c r="U69" s="53">
        <v>0</v>
      </c>
      <c r="V69" s="53">
        <f t="shared" si="4"/>
        <v>47653</v>
      </c>
      <c r="W69" s="53">
        <v>184000</v>
      </c>
      <c r="X69" s="54">
        <f t="shared" si="22"/>
        <v>0.25898369565217394</v>
      </c>
      <c r="Y69" s="52">
        <v>50084</v>
      </c>
      <c r="Z69" s="53">
        <v>0</v>
      </c>
      <c r="AA69" s="53">
        <f t="shared" si="6"/>
        <v>50084</v>
      </c>
      <c r="AB69" s="53">
        <v>184000</v>
      </c>
      <c r="AC69" s="54">
        <f t="shared" si="23"/>
        <v>0.27219565217391306</v>
      </c>
      <c r="AD69" s="52">
        <v>52639</v>
      </c>
      <c r="AE69" s="53">
        <v>0</v>
      </c>
      <c r="AF69" s="53">
        <f t="shared" si="8"/>
        <v>52639</v>
      </c>
      <c r="AG69" s="53">
        <v>184000</v>
      </c>
      <c r="AH69" s="55">
        <f t="shared" si="9"/>
        <v>0.28608152173913043</v>
      </c>
      <c r="AI69" s="56">
        <v>195500</v>
      </c>
      <c r="AJ69" s="54">
        <f t="shared" si="24"/>
        <v>0.26925319693094629</v>
      </c>
      <c r="AK69" s="52">
        <v>56987.648364110479</v>
      </c>
      <c r="AL69" s="53">
        <v>0</v>
      </c>
      <c r="AM69" s="53">
        <f t="shared" si="11"/>
        <v>56987.648364110479</v>
      </c>
      <c r="AN69" s="53">
        <v>184000</v>
      </c>
      <c r="AO69" s="55">
        <f t="shared" si="12"/>
        <v>0.30971548023973089</v>
      </c>
      <c r="AP69" s="53">
        <v>195500</v>
      </c>
      <c r="AQ69" s="55">
        <f t="shared" si="13"/>
        <v>0.29149692257857024</v>
      </c>
      <c r="AR69" s="52">
        <v>61695.550182782805</v>
      </c>
      <c r="AS69" s="53">
        <v>0</v>
      </c>
      <c r="AT69" s="53">
        <f t="shared" si="14"/>
        <v>61695.550182782805</v>
      </c>
      <c r="AU69" s="53">
        <v>184000</v>
      </c>
      <c r="AV69" s="55">
        <f t="shared" si="15"/>
        <v>0.33530190316729785</v>
      </c>
      <c r="AW69" s="53">
        <v>195500</v>
      </c>
      <c r="AX69" s="55">
        <f t="shared" si="16"/>
        <v>0.31557826180451565</v>
      </c>
      <c r="AY69" s="52">
        <v>66521.208226212577</v>
      </c>
      <c r="AZ69" s="53">
        <v>0</v>
      </c>
      <c r="BA69" s="53">
        <f t="shared" si="17"/>
        <v>66521.208226212577</v>
      </c>
      <c r="BB69" s="53">
        <v>184000</v>
      </c>
      <c r="BC69" s="55">
        <f t="shared" si="18"/>
        <v>0.36152830557724225</v>
      </c>
      <c r="BD69" s="53">
        <v>195500</v>
      </c>
      <c r="BE69" s="55">
        <f t="shared" si="19"/>
        <v>0.34026193466093391</v>
      </c>
    </row>
    <row r="70" spans="1:57" s="57" customFormat="1" ht="11.25" x14ac:dyDescent="0.2">
      <c r="A70" s="44" t="s">
        <v>487</v>
      </c>
      <c r="B70" s="45" t="s">
        <v>488</v>
      </c>
      <c r="C70" s="45" t="s">
        <v>489</v>
      </c>
      <c r="D70" s="46" t="s">
        <v>490</v>
      </c>
      <c r="E70" s="47" t="s">
        <v>491</v>
      </c>
      <c r="F70" s="47" t="s">
        <v>492</v>
      </c>
      <c r="G70" s="47" t="s">
        <v>493</v>
      </c>
      <c r="H70" s="48" t="s">
        <v>73</v>
      </c>
      <c r="I70" s="48" t="s">
        <v>74</v>
      </c>
      <c r="J70" s="49">
        <v>141697</v>
      </c>
      <c r="K70" s="50">
        <v>7519</v>
      </c>
      <c r="L70" s="50">
        <f t="shared" si="0"/>
        <v>149216</v>
      </c>
      <c r="M70" s="50">
        <v>374500</v>
      </c>
      <c r="N70" s="51">
        <f t="shared" si="20"/>
        <v>0.39844058744993327</v>
      </c>
      <c r="O70" s="52">
        <v>144531</v>
      </c>
      <c r="P70" s="53">
        <v>7760</v>
      </c>
      <c r="Q70" s="53">
        <f t="shared" si="2"/>
        <v>152291</v>
      </c>
      <c r="R70" s="53">
        <v>374500</v>
      </c>
      <c r="S70" s="54">
        <f t="shared" si="21"/>
        <v>0.40665153538050736</v>
      </c>
      <c r="T70" s="52">
        <v>169341</v>
      </c>
      <c r="U70" s="53">
        <v>9984</v>
      </c>
      <c r="V70" s="53">
        <f t="shared" si="4"/>
        <v>179325</v>
      </c>
      <c r="W70" s="53">
        <v>374500</v>
      </c>
      <c r="X70" s="54">
        <f t="shared" si="22"/>
        <v>0.47883845126835783</v>
      </c>
      <c r="Y70" s="52">
        <v>186967</v>
      </c>
      <c r="Z70" s="53">
        <v>11687</v>
      </c>
      <c r="AA70" s="53">
        <f t="shared" si="6"/>
        <v>198654</v>
      </c>
      <c r="AB70" s="53">
        <v>374500</v>
      </c>
      <c r="AC70" s="54">
        <f t="shared" si="23"/>
        <v>0.53045126835781042</v>
      </c>
      <c r="AD70" s="52">
        <v>206426</v>
      </c>
      <c r="AE70" s="53">
        <v>13680</v>
      </c>
      <c r="AF70" s="53">
        <f t="shared" si="8"/>
        <v>220106</v>
      </c>
      <c r="AG70" s="53">
        <v>374500</v>
      </c>
      <c r="AH70" s="55">
        <f t="shared" si="9"/>
        <v>0.58773297730307072</v>
      </c>
      <c r="AI70" s="56">
        <v>374500</v>
      </c>
      <c r="AJ70" s="54">
        <f t="shared" si="24"/>
        <v>0.58773297730307072</v>
      </c>
      <c r="AK70" s="52">
        <v>241313.59815495863</v>
      </c>
      <c r="AL70" s="53">
        <v>17204.216713455389</v>
      </c>
      <c r="AM70" s="53">
        <f t="shared" si="11"/>
        <v>258517.81486841402</v>
      </c>
      <c r="AN70" s="53">
        <v>374500</v>
      </c>
      <c r="AO70" s="55">
        <f t="shared" si="12"/>
        <v>0.69030124130417625</v>
      </c>
      <c r="AP70" s="53">
        <v>374500</v>
      </c>
      <c r="AQ70" s="55">
        <f t="shared" si="13"/>
        <v>0.69030124130417625</v>
      </c>
      <c r="AR70" s="52">
        <v>282097.47151275934</v>
      </c>
      <c r="AS70" s="53">
        <v>21636.335725404802</v>
      </c>
      <c r="AT70" s="53">
        <f t="shared" si="14"/>
        <v>303733.80723816413</v>
      </c>
      <c r="AU70" s="53">
        <v>374500</v>
      </c>
      <c r="AV70" s="55">
        <f t="shared" si="15"/>
        <v>0.81103820357320189</v>
      </c>
      <c r="AW70" s="53">
        <v>374500</v>
      </c>
      <c r="AX70" s="55">
        <f t="shared" si="16"/>
        <v>0.81103820357320189</v>
      </c>
      <c r="AY70" s="52">
        <v>326099.61305518873</v>
      </c>
      <c r="AZ70" s="53">
        <v>26444.287258434852</v>
      </c>
      <c r="BA70" s="53">
        <f t="shared" si="17"/>
        <v>352543.9003136236</v>
      </c>
      <c r="BB70" s="53">
        <v>374500</v>
      </c>
      <c r="BC70" s="55">
        <f t="shared" si="18"/>
        <v>0.9413722304769655</v>
      </c>
      <c r="BD70" s="53">
        <v>374500</v>
      </c>
      <c r="BE70" s="55">
        <f t="shared" si="19"/>
        <v>0.9413722304769655</v>
      </c>
    </row>
    <row r="71" spans="1:57" s="57" customFormat="1" ht="11.25" x14ac:dyDescent="0.2">
      <c r="A71" s="44" t="s">
        <v>494</v>
      </c>
      <c r="B71" s="45" t="s">
        <v>67</v>
      </c>
      <c r="C71" s="45" t="s">
        <v>495</v>
      </c>
      <c r="D71" s="46" t="s">
        <v>496</v>
      </c>
      <c r="E71" s="47" t="s">
        <v>497</v>
      </c>
      <c r="F71" s="47" t="s">
        <v>498</v>
      </c>
      <c r="G71" s="47" t="s">
        <v>499</v>
      </c>
      <c r="H71" s="48" t="s">
        <v>73</v>
      </c>
      <c r="I71" s="48" t="s">
        <v>74</v>
      </c>
      <c r="J71" s="49">
        <v>114975</v>
      </c>
      <c r="K71" s="50">
        <v>0</v>
      </c>
      <c r="L71" s="50">
        <f t="shared" ref="L71:L133" si="25">J71+K71</f>
        <v>114975</v>
      </c>
      <c r="M71" s="50">
        <v>200604.0218459614</v>
      </c>
      <c r="N71" s="51">
        <f t="shared" si="20"/>
        <v>0.57314404238757644</v>
      </c>
      <c r="O71" s="52">
        <v>116470</v>
      </c>
      <c r="P71" s="53">
        <v>0</v>
      </c>
      <c r="Q71" s="53">
        <f t="shared" ref="Q71:Q133" si="26">P71+O71</f>
        <v>116470</v>
      </c>
      <c r="R71" s="53">
        <v>200604.0218459614</v>
      </c>
      <c r="S71" s="54">
        <f t="shared" si="21"/>
        <v>0.58059653504571451</v>
      </c>
      <c r="T71" s="52">
        <v>129149</v>
      </c>
      <c r="U71" s="53">
        <v>0</v>
      </c>
      <c r="V71" s="53">
        <f t="shared" ref="V71:V133" si="27">U71+T71</f>
        <v>129149</v>
      </c>
      <c r="W71" s="53">
        <v>200604.0218459614</v>
      </c>
      <c r="X71" s="54">
        <f t="shared" si="22"/>
        <v>0.64380065170961609</v>
      </c>
      <c r="Y71" s="52">
        <v>137765</v>
      </c>
      <c r="Z71" s="53">
        <v>0</v>
      </c>
      <c r="AA71" s="53">
        <f t="shared" ref="AA71:AA133" si="28">Z71+Y71</f>
        <v>137765</v>
      </c>
      <c r="AB71" s="53">
        <v>200604.0218459614</v>
      </c>
      <c r="AC71" s="54">
        <f t="shared" si="23"/>
        <v>0.68675093715611624</v>
      </c>
      <c r="AD71" s="52">
        <v>146955</v>
      </c>
      <c r="AE71" s="53">
        <v>0</v>
      </c>
      <c r="AF71" s="53">
        <f t="shared" ref="AF71:AF133" si="29">AE71+AD71</f>
        <v>146955</v>
      </c>
      <c r="AG71" s="53">
        <v>200604.0218459614</v>
      </c>
      <c r="AH71" s="55">
        <f t="shared" ref="AH71:AH133" si="30">AF71/AG71</f>
        <v>0.73256258098774762</v>
      </c>
      <c r="AI71" s="56">
        <v>196634</v>
      </c>
      <c r="AJ71" s="54">
        <f t="shared" si="24"/>
        <v>0.74735295015104208</v>
      </c>
      <c r="AK71" s="52">
        <v>162699.58167486294</v>
      </c>
      <c r="AL71" s="53">
        <v>0</v>
      </c>
      <c r="AM71" s="53">
        <f t="shared" ref="AM71:AM133" si="31">AL71+AK71</f>
        <v>162699.58167486294</v>
      </c>
      <c r="AN71" s="53">
        <v>200604.0218459614</v>
      </c>
      <c r="AO71" s="55">
        <f t="shared" ref="AO71:AO133" si="32">AM71/AN71</f>
        <v>0.81104845345421694</v>
      </c>
      <c r="AP71" s="53">
        <v>196634</v>
      </c>
      <c r="AQ71" s="55">
        <f t="shared" ref="AQ71:AQ133" si="33">AM71/AP71</f>
        <v>0.82742344495287157</v>
      </c>
      <c r="AR71" s="52">
        <v>180131.01886411069</v>
      </c>
      <c r="AS71" s="53">
        <v>0</v>
      </c>
      <c r="AT71" s="53">
        <f t="shared" ref="AT71:AT133" si="34">AS71+AR71</f>
        <v>180131.01886411069</v>
      </c>
      <c r="AU71" s="53">
        <v>200604.0218459614</v>
      </c>
      <c r="AV71" s="55">
        <f t="shared" ref="AV71:AV133" si="35">AT71/AU71</f>
        <v>0.89794320775098224</v>
      </c>
      <c r="AW71" s="53">
        <v>196634</v>
      </c>
      <c r="AX71" s="55">
        <f t="shared" ref="AX71:AX133" si="36">AT71/AW71</f>
        <v>0.91607259611313763</v>
      </c>
      <c r="AY71" s="52">
        <v>197975.20887936937</v>
      </c>
      <c r="AZ71" s="53">
        <v>0</v>
      </c>
      <c r="BA71" s="53">
        <f t="shared" ref="BA71:BA133" si="37">AZ71+AY71</f>
        <v>197975.20887936937</v>
      </c>
      <c r="BB71" s="53">
        <v>200604.0218459614</v>
      </c>
      <c r="BC71" s="55">
        <f t="shared" ref="BC71:BC133" si="38">BA71/BB71</f>
        <v>0.98689551215174232</v>
      </c>
      <c r="BD71" s="53">
        <v>196634</v>
      </c>
      <c r="BE71" s="55">
        <f t="shared" ref="BE71:BE133" si="39">BA71/BD71</f>
        <v>1.0068208391192233</v>
      </c>
    </row>
    <row r="72" spans="1:57" s="57" customFormat="1" ht="11.25" x14ac:dyDescent="0.2">
      <c r="A72" s="44" t="s">
        <v>500</v>
      </c>
      <c r="B72" s="45" t="s">
        <v>218</v>
      </c>
      <c r="C72" s="45" t="s">
        <v>501</v>
      </c>
      <c r="D72" s="46" t="s">
        <v>502</v>
      </c>
      <c r="E72" s="47" t="s">
        <v>503</v>
      </c>
      <c r="F72" s="47" t="s">
        <v>222</v>
      </c>
      <c r="G72" s="47" t="s">
        <v>504</v>
      </c>
      <c r="H72" s="48" t="s">
        <v>98</v>
      </c>
      <c r="I72" s="48" t="s">
        <v>363</v>
      </c>
      <c r="J72" s="49">
        <v>19541</v>
      </c>
      <c r="K72" s="50">
        <v>367749</v>
      </c>
      <c r="L72" s="50">
        <f t="shared" si="25"/>
        <v>387290</v>
      </c>
      <c r="M72" s="50">
        <v>665678.1403453775</v>
      </c>
      <c r="N72" s="51">
        <f t="shared" si="20"/>
        <v>0.58179768348568595</v>
      </c>
      <c r="O72" s="52">
        <v>19775</v>
      </c>
      <c r="P72" s="53">
        <v>378928</v>
      </c>
      <c r="Q72" s="53">
        <f t="shared" si="26"/>
        <v>398703</v>
      </c>
      <c r="R72" s="53">
        <v>665678.1403453775</v>
      </c>
      <c r="S72" s="54">
        <f t="shared" si="21"/>
        <v>0.59894260579615655</v>
      </c>
      <c r="T72" s="52">
        <v>21755</v>
      </c>
      <c r="U72" s="53">
        <v>481508</v>
      </c>
      <c r="V72" s="53">
        <f t="shared" si="27"/>
        <v>503263</v>
      </c>
      <c r="W72" s="53">
        <v>665678.1403453775</v>
      </c>
      <c r="X72" s="54">
        <f t="shared" si="22"/>
        <v>0.75601551184914872</v>
      </c>
      <c r="Y72" s="52">
        <v>23092</v>
      </c>
      <c r="Z72" s="53">
        <v>559285</v>
      </c>
      <c r="AA72" s="53">
        <f t="shared" si="28"/>
        <v>582377</v>
      </c>
      <c r="AB72" s="53">
        <v>665678.1403453775</v>
      </c>
      <c r="AC72" s="54">
        <f t="shared" si="23"/>
        <v>0.87486273726495223</v>
      </c>
      <c r="AD72" s="52">
        <v>24512</v>
      </c>
      <c r="AE72" s="53">
        <v>649624</v>
      </c>
      <c r="AF72" s="53">
        <f t="shared" si="29"/>
        <v>674136</v>
      </c>
      <c r="AG72" s="53">
        <v>665678.1403453775</v>
      </c>
      <c r="AH72" s="55">
        <f t="shared" si="30"/>
        <v>1.0127056292553549</v>
      </c>
      <c r="AI72" s="56">
        <v>659592.27512854687</v>
      </c>
      <c r="AJ72" s="54">
        <f t="shared" si="24"/>
        <v>1.0220495682254902</v>
      </c>
      <c r="AK72" s="52">
        <v>27010.561587773253</v>
      </c>
      <c r="AL72" s="53">
        <v>829722.39323949174</v>
      </c>
      <c r="AM72" s="53">
        <f t="shared" si="31"/>
        <v>856732.954827265</v>
      </c>
      <c r="AN72" s="53">
        <v>665678.1403453775</v>
      </c>
      <c r="AO72" s="55">
        <f t="shared" si="32"/>
        <v>1.2870077938608011</v>
      </c>
      <c r="AP72" s="53">
        <v>659592.27512854687</v>
      </c>
      <c r="AQ72" s="55">
        <f t="shared" si="33"/>
        <v>1.2988826387639207</v>
      </c>
      <c r="AR72" s="52">
        <v>29763.807004197613</v>
      </c>
      <c r="AS72" s="53">
        <v>1059750.3322584601</v>
      </c>
      <c r="AT72" s="53">
        <f t="shared" si="34"/>
        <v>1089514.1392626576</v>
      </c>
      <c r="AU72" s="53">
        <v>665678.1403453775</v>
      </c>
      <c r="AV72" s="55">
        <f t="shared" si="35"/>
        <v>1.6366980876033859</v>
      </c>
      <c r="AW72" s="53">
        <v>659592.27512854687</v>
      </c>
      <c r="AX72" s="55">
        <f t="shared" si="36"/>
        <v>1.6517994226817225</v>
      </c>
      <c r="AY72" s="52">
        <v>32569.147846859993</v>
      </c>
      <c r="AZ72" s="53">
        <v>1333680.7852247905</v>
      </c>
      <c r="BA72" s="53">
        <f t="shared" si="37"/>
        <v>1366249.9330716503</v>
      </c>
      <c r="BB72" s="53">
        <v>665678.1403453775</v>
      </c>
      <c r="BC72" s="55">
        <f t="shared" si="38"/>
        <v>2.0524182037324996</v>
      </c>
      <c r="BD72" s="53">
        <v>659592.27512854687</v>
      </c>
      <c r="BE72" s="55">
        <f t="shared" si="39"/>
        <v>2.0713552668660107</v>
      </c>
    </row>
    <row r="73" spans="1:57" s="62" customFormat="1" ht="11.25" x14ac:dyDescent="0.2">
      <c r="A73" s="44" t="s">
        <v>505</v>
      </c>
      <c r="B73" s="45" t="s">
        <v>506</v>
      </c>
      <c r="C73" s="45" t="s">
        <v>507</v>
      </c>
      <c r="D73" s="46" t="s">
        <v>508</v>
      </c>
      <c r="E73" s="47" t="s">
        <v>509</v>
      </c>
      <c r="F73" s="47" t="s">
        <v>510</v>
      </c>
      <c r="G73" s="47" t="s">
        <v>511</v>
      </c>
      <c r="H73" s="48" t="s">
        <v>98</v>
      </c>
      <c r="I73" s="48" t="s">
        <v>363</v>
      </c>
      <c r="J73" s="58">
        <v>1960</v>
      </c>
      <c r="K73" s="59">
        <v>0</v>
      </c>
      <c r="L73" s="59">
        <f t="shared" si="25"/>
        <v>1960</v>
      </c>
      <c r="M73" s="50" t="s">
        <v>917</v>
      </c>
      <c r="N73" s="50" t="s">
        <v>917</v>
      </c>
      <c r="O73" s="60">
        <v>1970</v>
      </c>
      <c r="P73" s="61">
        <v>0</v>
      </c>
      <c r="Q73" s="61">
        <f t="shared" si="26"/>
        <v>1970</v>
      </c>
      <c r="R73" s="53" t="s">
        <v>917</v>
      </c>
      <c r="S73" s="53" t="s">
        <v>917</v>
      </c>
      <c r="T73" s="60">
        <v>2050</v>
      </c>
      <c r="U73" s="61">
        <v>0</v>
      </c>
      <c r="V73" s="61">
        <f t="shared" si="27"/>
        <v>2050</v>
      </c>
      <c r="W73" s="53" t="s">
        <v>917</v>
      </c>
      <c r="X73" s="53" t="s">
        <v>917</v>
      </c>
      <c r="Y73" s="60">
        <v>2101</v>
      </c>
      <c r="Z73" s="61">
        <v>0</v>
      </c>
      <c r="AA73" s="61">
        <f t="shared" si="28"/>
        <v>2101</v>
      </c>
      <c r="AB73" s="53" t="s">
        <v>917</v>
      </c>
      <c r="AC73" s="53" t="s">
        <v>917</v>
      </c>
      <c r="AD73" s="60">
        <v>2155</v>
      </c>
      <c r="AE73" s="61">
        <v>0</v>
      </c>
      <c r="AF73" s="61">
        <f t="shared" si="29"/>
        <v>2155</v>
      </c>
      <c r="AG73" s="53" t="s">
        <v>917</v>
      </c>
      <c r="AH73" s="53" t="s">
        <v>917</v>
      </c>
      <c r="AI73" s="53" t="s">
        <v>917</v>
      </c>
      <c r="AJ73" s="53" t="s">
        <v>917</v>
      </c>
      <c r="AK73" s="60">
        <v>2155</v>
      </c>
      <c r="AL73" s="61">
        <v>0</v>
      </c>
      <c r="AM73" s="61">
        <f t="shared" si="31"/>
        <v>2155</v>
      </c>
      <c r="AN73" s="53" t="s">
        <v>917</v>
      </c>
      <c r="AO73" s="53" t="s">
        <v>917</v>
      </c>
      <c r="AP73" s="53" t="s">
        <v>917</v>
      </c>
      <c r="AQ73" s="53" t="s">
        <v>917</v>
      </c>
      <c r="AR73" s="60">
        <v>2155</v>
      </c>
      <c r="AS73" s="61">
        <v>0</v>
      </c>
      <c r="AT73" s="61">
        <f t="shared" si="34"/>
        <v>2155</v>
      </c>
      <c r="AU73" s="53" t="s">
        <v>917</v>
      </c>
      <c r="AV73" s="53" t="s">
        <v>917</v>
      </c>
      <c r="AW73" s="53" t="s">
        <v>917</v>
      </c>
      <c r="AX73" s="53" t="s">
        <v>917</v>
      </c>
      <c r="AY73" s="60">
        <v>2155</v>
      </c>
      <c r="AZ73" s="61">
        <v>0</v>
      </c>
      <c r="BA73" s="61">
        <f t="shared" si="37"/>
        <v>2155</v>
      </c>
      <c r="BB73" s="53" t="s">
        <v>917</v>
      </c>
      <c r="BC73" s="53" t="s">
        <v>917</v>
      </c>
      <c r="BD73" s="53" t="s">
        <v>917</v>
      </c>
      <c r="BE73" s="53" t="s">
        <v>917</v>
      </c>
    </row>
    <row r="74" spans="1:57" s="57" customFormat="1" ht="11.25" x14ac:dyDescent="0.2">
      <c r="A74" s="44" t="s">
        <v>512</v>
      </c>
      <c r="B74" s="45" t="s">
        <v>513</v>
      </c>
      <c r="C74" s="45" t="s">
        <v>33</v>
      </c>
      <c r="D74" s="46" t="s">
        <v>514</v>
      </c>
      <c r="E74" s="47" t="s">
        <v>515</v>
      </c>
      <c r="F74" s="47" t="s">
        <v>516</v>
      </c>
      <c r="G74" s="47" t="s">
        <v>517</v>
      </c>
      <c r="H74" s="48" t="s">
        <v>73</v>
      </c>
      <c r="I74" s="48" t="s">
        <v>457</v>
      </c>
      <c r="J74" s="49">
        <v>21444</v>
      </c>
      <c r="K74" s="50">
        <v>0</v>
      </c>
      <c r="L74" s="50">
        <f t="shared" si="25"/>
        <v>21444</v>
      </c>
      <c r="M74" s="50">
        <v>126500</v>
      </c>
      <c r="N74" s="51">
        <f t="shared" si="20"/>
        <v>0.16951778656126482</v>
      </c>
      <c r="O74" s="52">
        <v>21873</v>
      </c>
      <c r="P74" s="53">
        <v>0</v>
      </c>
      <c r="Q74" s="53">
        <f t="shared" si="26"/>
        <v>21873</v>
      </c>
      <c r="R74" s="53">
        <v>126500</v>
      </c>
      <c r="S74" s="54">
        <f t="shared" si="21"/>
        <v>0.1729090909090909</v>
      </c>
      <c r="T74" s="52">
        <v>25628</v>
      </c>
      <c r="U74" s="53">
        <v>0</v>
      </c>
      <c r="V74" s="53">
        <f t="shared" si="27"/>
        <v>25628</v>
      </c>
      <c r="W74" s="53">
        <v>126500</v>
      </c>
      <c r="X74" s="54">
        <f t="shared" si="22"/>
        <v>0.20259288537549408</v>
      </c>
      <c r="Y74" s="52">
        <v>28296</v>
      </c>
      <c r="Z74" s="53">
        <v>0</v>
      </c>
      <c r="AA74" s="53">
        <f t="shared" si="28"/>
        <v>28296</v>
      </c>
      <c r="AB74" s="53">
        <v>126500</v>
      </c>
      <c r="AC74" s="54">
        <f t="shared" si="23"/>
        <v>0.22368379446640316</v>
      </c>
      <c r="AD74" s="52">
        <v>31241</v>
      </c>
      <c r="AE74" s="53">
        <v>0</v>
      </c>
      <c r="AF74" s="53">
        <f t="shared" si="29"/>
        <v>31241</v>
      </c>
      <c r="AG74" s="53">
        <v>126500</v>
      </c>
      <c r="AH74" s="55">
        <f t="shared" si="30"/>
        <v>0.24696442687747036</v>
      </c>
      <c r="AI74" s="56">
        <v>126500</v>
      </c>
      <c r="AJ74" s="54">
        <f t="shared" si="24"/>
        <v>0.24696442687747036</v>
      </c>
      <c r="AK74" s="52">
        <v>35674.664720836503</v>
      </c>
      <c r="AL74" s="53">
        <v>0</v>
      </c>
      <c r="AM74" s="53">
        <f t="shared" si="31"/>
        <v>35674.664720836503</v>
      </c>
      <c r="AN74" s="53">
        <v>126500</v>
      </c>
      <c r="AO74" s="55">
        <f t="shared" si="32"/>
        <v>0.28201315984850989</v>
      </c>
      <c r="AP74" s="53">
        <v>126500</v>
      </c>
      <c r="AQ74" s="55">
        <f t="shared" si="33"/>
        <v>0.28201315984850989</v>
      </c>
      <c r="AR74" s="52">
        <v>40737.54690772052</v>
      </c>
      <c r="AS74" s="53">
        <v>0</v>
      </c>
      <c r="AT74" s="53">
        <f t="shared" si="34"/>
        <v>40737.54690772052</v>
      </c>
      <c r="AU74" s="53">
        <v>126500</v>
      </c>
      <c r="AV74" s="55">
        <f t="shared" si="35"/>
        <v>0.32203594393454954</v>
      </c>
      <c r="AW74" s="53">
        <v>126500</v>
      </c>
      <c r="AX74" s="55">
        <f t="shared" si="36"/>
        <v>0.32203594393454954</v>
      </c>
      <c r="AY74" s="52">
        <v>45538.988323160374</v>
      </c>
      <c r="AZ74" s="53">
        <v>0</v>
      </c>
      <c r="BA74" s="53">
        <f t="shared" si="37"/>
        <v>45538.988323160374</v>
      </c>
      <c r="BB74" s="53">
        <v>126500</v>
      </c>
      <c r="BC74" s="55">
        <f t="shared" si="38"/>
        <v>0.35999200255462749</v>
      </c>
      <c r="BD74" s="53">
        <v>126500</v>
      </c>
      <c r="BE74" s="55">
        <f t="shared" si="39"/>
        <v>0.35999200255462749</v>
      </c>
    </row>
    <row r="75" spans="1:57" s="57" customFormat="1" ht="11.25" x14ac:dyDescent="0.2">
      <c r="A75" s="44" t="s">
        <v>518</v>
      </c>
      <c r="B75" s="45" t="s">
        <v>519</v>
      </c>
      <c r="C75" s="45" t="s">
        <v>520</v>
      </c>
      <c r="D75" s="46" t="s">
        <v>521</v>
      </c>
      <c r="E75" s="47" t="s">
        <v>522</v>
      </c>
      <c r="F75" s="47" t="s">
        <v>523</v>
      </c>
      <c r="G75" s="47" t="s">
        <v>524</v>
      </c>
      <c r="H75" s="48" t="s">
        <v>29</v>
      </c>
      <c r="I75" s="48" t="s">
        <v>268</v>
      </c>
      <c r="J75" s="49">
        <v>87997</v>
      </c>
      <c r="K75" s="50">
        <v>0</v>
      </c>
      <c r="L75" s="50">
        <f t="shared" si="25"/>
        <v>87997</v>
      </c>
      <c r="M75" s="50">
        <v>230000.00000000087</v>
      </c>
      <c r="N75" s="51">
        <f t="shared" si="20"/>
        <v>0.38259565217391162</v>
      </c>
      <c r="O75" s="52">
        <v>89845</v>
      </c>
      <c r="P75" s="53">
        <v>0</v>
      </c>
      <c r="Q75" s="53">
        <f t="shared" si="26"/>
        <v>89845</v>
      </c>
      <c r="R75" s="53">
        <v>230000.00000000087</v>
      </c>
      <c r="S75" s="54">
        <f t="shared" si="21"/>
        <v>0.39063043478260723</v>
      </c>
      <c r="T75" s="52">
        <v>106096</v>
      </c>
      <c r="U75" s="53">
        <v>0</v>
      </c>
      <c r="V75" s="53">
        <f t="shared" si="27"/>
        <v>106096</v>
      </c>
      <c r="W75" s="53">
        <v>230000.00000000087</v>
      </c>
      <c r="X75" s="54">
        <f t="shared" si="22"/>
        <v>0.4612869565217374</v>
      </c>
      <c r="Y75" s="52">
        <v>117714</v>
      </c>
      <c r="Z75" s="53">
        <v>0</v>
      </c>
      <c r="AA75" s="53">
        <f t="shared" si="28"/>
        <v>117714</v>
      </c>
      <c r="AB75" s="53">
        <v>230000.00000000087</v>
      </c>
      <c r="AC75" s="54">
        <f t="shared" si="23"/>
        <v>0.51179999999999803</v>
      </c>
      <c r="AD75" s="52">
        <v>130604</v>
      </c>
      <c r="AE75" s="53">
        <v>0</v>
      </c>
      <c r="AF75" s="53">
        <f t="shared" si="29"/>
        <v>130604</v>
      </c>
      <c r="AG75" s="53">
        <v>230000.00000000087</v>
      </c>
      <c r="AH75" s="55">
        <f t="shared" si="30"/>
        <v>0.56784347826086745</v>
      </c>
      <c r="AI75" s="56">
        <v>230000.00000000073</v>
      </c>
      <c r="AJ75" s="54">
        <f t="shared" si="24"/>
        <v>0.56784347826086778</v>
      </c>
      <c r="AK75" s="52">
        <v>151641.13184828247</v>
      </c>
      <c r="AL75" s="53">
        <v>0</v>
      </c>
      <c r="AM75" s="53">
        <f t="shared" si="31"/>
        <v>151641.13184828247</v>
      </c>
      <c r="AN75" s="53">
        <v>230000.00000000087</v>
      </c>
      <c r="AO75" s="55">
        <f t="shared" si="32"/>
        <v>0.65930926890557351</v>
      </c>
      <c r="AP75" s="53">
        <v>230000.00000000073</v>
      </c>
      <c r="AQ75" s="55">
        <f t="shared" si="33"/>
        <v>0.65930926890557384</v>
      </c>
      <c r="AR75" s="52">
        <v>176066.83461630729</v>
      </c>
      <c r="AS75" s="53">
        <v>0</v>
      </c>
      <c r="AT75" s="53">
        <f t="shared" si="34"/>
        <v>176066.83461630729</v>
      </c>
      <c r="AU75" s="53">
        <v>230000.00000000087</v>
      </c>
      <c r="AV75" s="55">
        <f t="shared" si="35"/>
        <v>0.76550797659263747</v>
      </c>
      <c r="AW75" s="53">
        <v>230000.00000000073</v>
      </c>
      <c r="AX75" s="55">
        <f t="shared" si="36"/>
        <v>0.76550797659263792</v>
      </c>
      <c r="AY75" s="52">
        <v>200273.98636781788</v>
      </c>
      <c r="AZ75" s="53">
        <v>0</v>
      </c>
      <c r="BA75" s="53">
        <f t="shared" si="37"/>
        <v>200273.98636781788</v>
      </c>
      <c r="BB75" s="53">
        <v>230000.00000000087</v>
      </c>
      <c r="BC75" s="55">
        <f t="shared" si="38"/>
        <v>0.87075646246877014</v>
      </c>
      <c r="BD75" s="53">
        <v>230000.00000000073</v>
      </c>
      <c r="BE75" s="55">
        <f t="shared" si="39"/>
        <v>0.87075646246877059</v>
      </c>
    </row>
    <row r="76" spans="1:57" s="57" customFormat="1" ht="11.25" x14ac:dyDescent="0.2">
      <c r="A76" s="44" t="s">
        <v>525</v>
      </c>
      <c r="B76" s="45" t="s">
        <v>526</v>
      </c>
      <c r="C76" s="45" t="s">
        <v>33</v>
      </c>
      <c r="D76" s="46" t="s">
        <v>527</v>
      </c>
      <c r="E76" s="47" t="s">
        <v>528</v>
      </c>
      <c r="F76" s="47" t="s">
        <v>529</v>
      </c>
      <c r="G76" s="47" t="s">
        <v>530</v>
      </c>
      <c r="H76" s="48" t="s">
        <v>376</v>
      </c>
      <c r="I76" s="48" t="s">
        <v>531</v>
      </c>
      <c r="J76" s="49">
        <v>22330</v>
      </c>
      <c r="K76" s="50">
        <v>0</v>
      </c>
      <c r="L76" s="50">
        <f t="shared" si="25"/>
        <v>22330</v>
      </c>
      <c r="M76" s="50">
        <v>126500</v>
      </c>
      <c r="N76" s="51">
        <f t="shared" si="20"/>
        <v>0.17652173913043478</v>
      </c>
      <c r="O76" s="52">
        <v>22665</v>
      </c>
      <c r="P76" s="53">
        <v>0</v>
      </c>
      <c r="Q76" s="53">
        <f t="shared" si="26"/>
        <v>22665</v>
      </c>
      <c r="R76" s="53">
        <v>126500</v>
      </c>
      <c r="S76" s="54">
        <f t="shared" si="21"/>
        <v>0.1791699604743083</v>
      </c>
      <c r="T76" s="52">
        <v>25532</v>
      </c>
      <c r="U76" s="53">
        <v>0</v>
      </c>
      <c r="V76" s="53">
        <f t="shared" si="27"/>
        <v>25532</v>
      </c>
      <c r="W76" s="53">
        <v>126500</v>
      </c>
      <c r="X76" s="54">
        <f t="shared" si="22"/>
        <v>0.20183399209486166</v>
      </c>
      <c r="Y76" s="52">
        <v>27505</v>
      </c>
      <c r="Z76" s="53">
        <v>0</v>
      </c>
      <c r="AA76" s="53">
        <f t="shared" si="28"/>
        <v>27505</v>
      </c>
      <c r="AB76" s="53">
        <v>126500</v>
      </c>
      <c r="AC76" s="54">
        <f t="shared" si="23"/>
        <v>0.21743083003952568</v>
      </c>
      <c r="AD76" s="52">
        <v>29631</v>
      </c>
      <c r="AE76" s="53">
        <v>0</v>
      </c>
      <c r="AF76" s="53">
        <f t="shared" si="29"/>
        <v>29631</v>
      </c>
      <c r="AG76" s="53">
        <v>126500</v>
      </c>
      <c r="AH76" s="55">
        <f t="shared" si="30"/>
        <v>0.23423715415019764</v>
      </c>
      <c r="AI76" s="56">
        <v>126500</v>
      </c>
      <c r="AJ76" s="54">
        <f t="shared" si="24"/>
        <v>0.23423715415019764</v>
      </c>
      <c r="AK76" s="52">
        <v>33115.60066735046</v>
      </c>
      <c r="AL76" s="53">
        <v>0</v>
      </c>
      <c r="AM76" s="53">
        <f t="shared" si="31"/>
        <v>33115.60066735046</v>
      </c>
      <c r="AN76" s="53">
        <v>126500</v>
      </c>
      <c r="AO76" s="55">
        <f t="shared" si="32"/>
        <v>0.26178340448498388</v>
      </c>
      <c r="AP76" s="53">
        <v>126500</v>
      </c>
      <c r="AQ76" s="55">
        <f t="shared" si="33"/>
        <v>0.26178340448498388</v>
      </c>
      <c r="AR76" s="52">
        <v>37009.989793102577</v>
      </c>
      <c r="AS76" s="53">
        <v>0</v>
      </c>
      <c r="AT76" s="53">
        <f t="shared" si="34"/>
        <v>37009.989793102577</v>
      </c>
      <c r="AU76" s="53">
        <v>126500</v>
      </c>
      <c r="AV76" s="55">
        <f t="shared" si="35"/>
        <v>0.29256908927353814</v>
      </c>
      <c r="AW76" s="53">
        <v>126500</v>
      </c>
      <c r="AX76" s="55">
        <f t="shared" si="36"/>
        <v>0.29256908927353814</v>
      </c>
      <c r="AY76" s="52">
        <v>40774.335692422937</v>
      </c>
      <c r="AZ76" s="53">
        <v>0</v>
      </c>
      <c r="BA76" s="53">
        <f t="shared" si="37"/>
        <v>40774.335692422937</v>
      </c>
      <c r="BB76" s="53">
        <v>126500</v>
      </c>
      <c r="BC76" s="55">
        <f t="shared" si="38"/>
        <v>0.32232676436697977</v>
      </c>
      <c r="BD76" s="53">
        <v>126500</v>
      </c>
      <c r="BE76" s="55">
        <f t="shared" si="39"/>
        <v>0.32232676436697977</v>
      </c>
    </row>
    <row r="77" spans="1:57" s="57" customFormat="1" ht="11.25" x14ac:dyDescent="0.2">
      <c r="A77" s="44" t="s">
        <v>532</v>
      </c>
      <c r="B77" s="45" t="s">
        <v>533</v>
      </c>
      <c r="C77" s="45" t="s">
        <v>534</v>
      </c>
      <c r="D77" s="46" t="s">
        <v>535</v>
      </c>
      <c r="E77" s="47" t="s">
        <v>536</v>
      </c>
      <c r="F77" s="47" t="s">
        <v>484</v>
      </c>
      <c r="G77" s="47" t="s">
        <v>537</v>
      </c>
      <c r="H77" s="48" t="s">
        <v>73</v>
      </c>
      <c r="I77" s="48" t="s">
        <v>486</v>
      </c>
      <c r="J77" s="49">
        <v>134130</v>
      </c>
      <c r="K77" s="50">
        <v>0</v>
      </c>
      <c r="L77" s="50">
        <f t="shared" si="25"/>
        <v>134130</v>
      </c>
      <c r="M77" s="50">
        <v>230000.00000000023</v>
      </c>
      <c r="N77" s="51">
        <f t="shared" si="20"/>
        <v>0.58317391304347765</v>
      </c>
      <c r="O77" s="52">
        <v>137349</v>
      </c>
      <c r="P77" s="53">
        <v>0</v>
      </c>
      <c r="Q77" s="53">
        <f t="shared" si="26"/>
        <v>137349</v>
      </c>
      <c r="R77" s="53">
        <v>230000.00000000023</v>
      </c>
      <c r="S77" s="54">
        <f t="shared" si="21"/>
        <v>0.59716956521739073</v>
      </c>
      <c r="T77" s="52">
        <v>166044</v>
      </c>
      <c r="U77" s="53">
        <v>0</v>
      </c>
      <c r="V77" s="53">
        <f t="shared" si="27"/>
        <v>166044</v>
      </c>
      <c r="W77" s="53">
        <v>230000.00000000023</v>
      </c>
      <c r="X77" s="54">
        <f t="shared" si="22"/>
        <v>0.72193043478260799</v>
      </c>
      <c r="Y77" s="52">
        <v>186949</v>
      </c>
      <c r="Z77" s="53">
        <v>0</v>
      </c>
      <c r="AA77" s="53">
        <f t="shared" si="28"/>
        <v>186949</v>
      </c>
      <c r="AB77" s="53">
        <v>230000.00000000023</v>
      </c>
      <c r="AC77" s="54">
        <f t="shared" si="23"/>
        <v>0.81282173913043398</v>
      </c>
      <c r="AD77" s="52">
        <v>210486</v>
      </c>
      <c r="AE77" s="53">
        <v>0</v>
      </c>
      <c r="AF77" s="53">
        <f t="shared" si="29"/>
        <v>210486</v>
      </c>
      <c r="AG77" s="53">
        <v>230000.00000000023</v>
      </c>
      <c r="AH77" s="55">
        <f t="shared" si="30"/>
        <v>0.91515652173912954</v>
      </c>
      <c r="AI77" s="56">
        <v>230000</v>
      </c>
      <c r="AJ77" s="54">
        <f t="shared" si="24"/>
        <v>0.91515652173913042</v>
      </c>
      <c r="AK77" s="52">
        <v>254389.24265388196</v>
      </c>
      <c r="AL77" s="53">
        <v>0</v>
      </c>
      <c r="AM77" s="53">
        <f t="shared" si="31"/>
        <v>254389.24265388196</v>
      </c>
      <c r="AN77" s="53">
        <v>230000.00000000023</v>
      </c>
      <c r="AO77" s="55">
        <f t="shared" si="32"/>
        <v>1.1060401854516595</v>
      </c>
      <c r="AP77" s="53">
        <v>230000</v>
      </c>
      <c r="AQ77" s="55">
        <f t="shared" si="33"/>
        <v>1.1060401854516606</v>
      </c>
      <c r="AR77" s="52">
        <v>307449.83883971209</v>
      </c>
      <c r="AS77" s="53">
        <v>0</v>
      </c>
      <c r="AT77" s="53">
        <f t="shared" si="34"/>
        <v>307449.83883971209</v>
      </c>
      <c r="AU77" s="53">
        <v>230000.00000000023</v>
      </c>
      <c r="AV77" s="55">
        <f t="shared" si="35"/>
        <v>1.3367384297378773</v>
      </c>
      <c r="AW77" s="53">
        <v>230000</v>
      </c>
      <c r="AX77" s="55">
        <f t="shared" si="36"/>
        <v>1.3367384297378786</v>
      </c>
      <c r="AY77" s="52">
        <v>368006.02098277881</v>
      </c>
      <c r="AZ77" s="53">
        <v>0</v>
      </c>
      <c r="BA77" s="53">
        <f t="shared" si="37"/>
        <v>368006.02098277881</v>
      </c>
      <c r="BB77" s="53">
        <v>230000.00000000023</v>
      </c>
      <c r="BC77" s="55">
        <f t="shared" si="38"/>
        <v>1.6000261781859932</v>
      </c>
      <c r="BD77" s="53">
        <v>230000</v>
      </c>
      <c r="BE77" s="55">
        <f t="shared" si="39"/>
        <v>1.6000261781859948</v>
      </c>
    </row>
    <row r="78" spans="1:57" s="57" customFormat="1" ht="11.25" x14ac:dyDescent="0.2">
      <c r="A78" s="44" t="s">
        <v>538</v>
      </c>
      <c r="B78" s="45" t="s">
        <v>539</v>
      </c>
      <c r="C78" s="45" t="s">
        <v>540</v>
      </c>
      <c r="D78" s="46" t="s">
        <v>541</v>
      </c>
      <c r="E78" s="47" t="s">
        <v>542</v>
      </c>
      <c r="F78" s="47" t="s">
        <v>543</v>
      </c>
      <c r="G78" s="47" t="s">
        <v>544</v>
      </c>
      <c r="H78" s="48" t="s">
        <v>98</v>
      </c>
      <c r="I78" s="48" t="s">
        <v>129</v>
      </c>
      <c r="J78" s="49">
        <v>98861</v>
      </c>
      <c r="K78" s="50">
        <v>0</v>
      </c>
      <c r="L78" s="50">
        <f t="shared" si="25"/>
        <v>98861</v>
      </c>
      <c r="M78" s="50">
        <v>333657.28403559938</v>
      </c>
      <c r="N78" s="51">
        <f t="shared" si="20"/>
        <v>0.29629504503624765</v>
      </c>
      <c r="O78" s="52">
        <v>100344</v>
      </c>
      <c r="P78" s="53">
        <v>0</v>
      </c>
      <c r="Q78" s="53">
        <f t="shared" si="26"/>
        <v>100344</v>
      </c>
      <c r="R78" s="53">
        <v>333657.28403559938</v>
      </c>
      <c r="S78" s="54">
        <f t="shared" si="21"/>
        <v>0.30073972546420968</v>
      </c>
      <c r="T78" s="52">
        <v>113037</v>
      </c>
      <c r="U78" s="53">
        <v>0</v>
      </c>
      <c r="V78" s="53">
        <f t="shared" si="27"/>
        <v>113037</v>
      </c>
      <c r="W78" s="53">
        <v>333657.28403559938</v>
      </c>
      <c r="X78" s="54">
        <f t="shared" si="22"/>
        <v>0.33878175423839862</v>
      </c>
      <c r="Y78" s="52">
        <v>121773</v>
      </c>
      <c r="Z78" s="53">
        <v>0</v>
      </c>
      <c r="AA78" s="53">
        <f t="shared" si="28"/>
        <v>121773</v>
      </c>
      <c r="AB78" s="53">
        <v>333657.28403559938</v>
      </c>
      <c r="AC78" s="54">
        <f t="shared" si="23"/>
        <v>0.36496430866771518</v>
      </c>
      <c r="AD78" s="52">
        <v>131184</v>
      </c>
      <c r="AE78" s="53">
        <v>0</v>
      </c>
      <c r="AF78" s="53">
        <f t="shared" si="29"/>
        <v>131184</v>
      </c>
      <c r="AG78" s="53">
        <v>333657.28403559938</v>
      </c>
      <c r="AH78" s="55">
        <f t="shared" si="30"/>
        <v>0.3931698970072639</v>
      </c>
      <c r="AI78" s="56">
        <v>280912</v>
      </c>
      <c r="AJ78" s="54">
        <f t="shared" si="24"/>
        <v>0.4669932220766646</v>
      </c>
      <c r="AK78" s="52">
        <v>147146.3266871371</v>
      </c>
      <c r="AL78" s="53">
        <v>0</v>
      </c>
      <c r="AM78" s="53">
        <f t="shared" si="31"/>
        <v>147146.3266871371</v>
      </c>
      <c r="AN78" s="53">
        <v>333657.28403559938</v>
      </c>
      <c r="AO78" s="55">
        <f t="shared" si="32"/>
        <v>0.44101038319138691</v>
      </c>
      <c r="AP78" s="53">
        <v>280912</v>
      </c>
      <c r="AQ78" s="55">
        <f t="shared" si="33"/>
        <v>0.52381645030165003</v>
      </c>
      <c r="AR78" s="52">
        <v>165050.93195448891</v>
      </c>
      <c r="AS78" s="53">
        <v>0</v>
      </c>
      <c r="AT78" s="53">
        <f t="shared" si="34"/>
        <v>165050.93195448891</v>
      </c>
      <c r="AU78" s="53">
        <v>333657.28403559938</v>
      </c>
      <c r="AV78" s="55">
        <f t="shared" si="35"/>
        <v>0.49467204779164625</v>
      </c>
      <c r="AW78" s="53">
        <v>280912</v>
      </c>
      <c r="AX78" s="55">
        <f t="shared" si="36"/>
        <v>0.58755386724130299</v>
      </c>
      <c r="AY78" s="52">
        <v>183225.35643443352</v>
      </c>
      <c r="AZ78" s="53">
        <v>0</v>
      </c>
      <c r="BA78" s="53">
        <f t="shared" si="37"/>
        <v>183225.35643443352</v>
      </c>
      <c r="BB78" s="53">
        <v>333657.28403559938</v>
      </c>
      <c r="BC78" s="55">
        <f t="shared" si="38"/>
        <v>0.54914238412036098</v>
      </c>
      <c r="BD78" s="53">
        <v>280912</v>
      </c>
      <c r="BE78" s="55">
        <f t="shared" si="39"/>
        <v>0.6522517957026881</v>
      </c>
    </row>
    <row r="79" spans="1:57" s="57" customFormat="1" ht="11.25" x14ac:dyDescent="0.2">
      <c r="A79" s="44" t="s">
        <v>545</v>
      </c>
      <c r="B79" s="45" t="s">
        <v>311</v>
      </c>
      <c r="C79" s="45" t="s">
        <v>546</v>
      </c>
      <c r="D79" s="46" t="s">
        <v>547</v>
      </c>
      <c r="E79" s="47" t="s">
        <v>548</v>
      </c>
      <c r="F79" s="47" t="s">
        <v>549</v>
      </c>
      <c r="G79" s="47" t="s">
        <v>550</v>
      </c>
      <c r="H79" s="48" t="s">
        <v>98</v>
      </c>
      <c r="I79" s="48" t="s">
        <v>260</v>
      </c>
      <c r="J79" s="49">
        <v>119849</v>
      </c>
      <c r="K79" s="50">
        <v>0</v>
      </c>
      <c r="L79" s="50">
        <f t="shared" si="25"/>
        <v>119849</v>
      </c>
      <c r="M79" s="50">
        <v>440000</v>
      </c>
      <c r="N79" s="51">
        <f t="shared" si="20"/>
        <v>0.27238409090909094</v>
      </c>
      <c r="O79" s="52">
        <v>122090</v>
      </c>
      <c r="P79" s="53">
        <v>0</v>
      </c>
      <c r="Q79" s="53">
        <f t="shared" si="26"/>
        <v>122090</v>
      </c>
      <c r="R79" s="53">
        <v>440000</v>
      </c>
      <c r="S79" s="54">
        <f t="shared" si="21"/>
        <v>0.27747727272727274</v>
      </c>
      <c r="T79" s="52">
        <v>141596</v>
      </c>
      <c r="U79" s="53">
        <v>0</v>
      </c>
      <c r="V79" s="53">
        <f t="shared" si="27"/>
        <v>141596</v>
      </c>
      <c r="W79" s="53">
        <v>440000</v>
      </c>
      <c r="X79" s="54">
        <f t="shared" si="22"/>
        <v>0.32180909090909093</v>
      </c>
      <c r="Y79" s="52">
        <v>155340</v>
      </c>
      <c r="Z79" s="53">
        <v>0</v>
      </c>
      <c r="AA79" s="53">
        <f t="shared" si="28"/>
        <v>155340</v>
      </c>
      <c r="AB79" s="53">
        <v>440000</v>
      </c>
      <c r="AC79" s="54">
        <f t="shared" si="23"/>
        <v>0.35304545454545455</v>
      </c>
      <c r="AD79" s="52">
        <v>170418</v>
      </c>
      <c r="AE79" s="53">
        <v>0</v>
      </c>
      <c r="AF79" s="53">
        <f t="shared" si="29"/>
        <v>170418</v>
      </c>
      <c r="AG79" s="53">
        <v>440000</v>
      </c>
      <c r="AH79" s="55">
        <f t="shared" si="30"/>
        <v>0.38731363636363636</v>
      </c>
      <c r="AI79" s="56">
        <v>440000</v>
      </c>
      <c r="AJ79" s="54">
        <f t="shared" si="24"/>
        <v>0.38731363636363636</v>
      </c>
      <c r="AK79" s="52">
        <v>198951.01705991136</v>
      </c>
      <c r="AL79" s="53">
        <v>0</v>
      </c>
      <c r="AM79" s="53">
        <f t="shared" si="31"/>
        <v>198951.01705991136</v>
      </c>
      <c r="AN79" s="53">
        <v>440000</v>
      </c>
      <c r="AO79" s="55">
        <f t="shared" si="32"/>
        <v>0.45216140240888947</v>
      </c>
      <c r="AP79" s="53">
        <v>440000</v>
      </c>
      <c r="AQ79" s="55">
        <f t="shared" si="33"/>
        <v>0.45216140240888947</v>
      </c>
      <c r="AR79" s="52">
        <v>232261.30566708412</v>
      </c>
      <c r="AS79" s="53">
        <v>0</v>
      </c>
      <c r="AT79" s="53">
        <f t="shared" si="34"/>
        <v>232261.30566708412</v>
      </c>
      <c r="AU79" s="53">
        <v>440000</v>
      </c>
      <c r="AV79" s="55">
        <f t="shared" si="35"/>
        <v>0.52786660378882755</v>
      </c>
      <c r="AW79" s="53">
        <v>440000</v>
      </c>
      <c r="AX79" s="55">
        <f t="shared" si="36"/>
        <v>0.52786660378882755</v>
      </c>
      <c r="AY79" s="52">
        <v>270300.23206781235</v>
      </c>
      <c r="AZ79" s="53">
        <v>0</v>
      </c>
      <c r="BA79" s="53">
        <f t="shared" si="37"/>
        <v>270300.23206781235</v>
      </c>
      <c r="BB79" s="53">
        <v>440000</v>
      </c>
      <c r="BC79" s="55">
        <f t="shared" si="38"/>
        <v>0.61431870924502807</v>
      </c>
      <c r="BD79" s="53">
        <v>440000</v>
      </c>
      <c r="BE79" s="55">
        <f t="shared" si="39"/>
        <v>0.61431870924502807</v>
      </c>
    </row>
    <row r="80" spans="1:57" s="57" customFormat="1" ht="11.25" x14ac:dyDescent="0.2">
      <c r="A80" s="44" t="s">
        <v>551</v>
      </c>
      <c r="B80" s="45" t="s">
        <v>552</v>
      </c>
      <c r="C80" s="45" t="s">
        <v>33</v>
      </c>
      <c r="D80" s="46" t="s">
        <v>553</v>
      </c>
      <c r="E80" s="47" t="s">
        <v>554</v>
      </c>
      <c r="F80" s="47" t="s">
        <v>555</v>
      </c>
      <c r="G80" s="47" t="s">
        <v>556</v>
      </c>
      <c r="H80" s="48" t="s">
        <v>55</v>
      </c>
      <c r="I80" s="48" t="s">
        <v>557</v>
      </c>
      <c r="J80" s="49">
        <v>44948</v>
      </c>
      <c r="K80" s="50">
        <v>14954</v>
      </c>
      <c r="L80" s="50">
        <f t="shared" si="25"/>
        <v>59902</v>
      </c>
      <c r="M80" s="50">
        <v>195000</v>
      </c>
      <c r="N80" s="51">
        <f t="shared" si="20"/>
        <v>0.3071897435897436</v>
      </c>
      <c r="O80" s="52">
        <v>45906</v>
      </c>
      <c r="P80" s="53">
        <v>15335</v>
      </c>
      <c r="Q80" s="53">
        <f t="shared" si="26"/>
        <v>61241</v>
      </c>
      <c r="R80" s="53">
        <v>195000</v>
      </c>
      <c r="S80" s="54">
        <f t="shared" si="21"/>
        <v>0.31405641025641023</v>
      </c>
      <c r="T80" s="52">
        <v>54337</v>
      </c>
      <c r="U80" s="53">
        <v>18757</v>
      </c>
      <c r="V80" s="53">
        <f t="shared" si="27"/>
        <v>73094</v>
      </c>
      <c r="W80" s="53">
        <v>195000</v>
      </c>
      <c r="X80" s="54">
        <f t="shared" si="22"/>
        <v>0.37484102564102562</v>
      </c>
      <c r="Y80" s="52">
        <v>60376</v>
      </c>
      <c r="Z80" s="53">
        <v>21274</v>
      </c>
      <c r="AA80" s="53">
        <f t="shared" si="28"/>
        <v>81650</v>
      </c>
      <c r="AB80" s="53">
        <v>195000</v>
      </c>
      <c r="AC80" s="54">
        <f t="shared" si="23"/>
        <v>0.41871794871794871</v>
      </c>
      <c r="AD80" s="52">
        <v>67085</v>
      </c>
      <c r="AE80" s="53">
        <v>24129</v>
      </c>
      <c r="AF80" s="53">
        <f t="shared" si="29"/>
        <v>91214</v>
      </c>
      <c r="AG80" s="53">
        <v>195000</v>
      </c>
      <c r="AH80" s="55">
        <f t="shared" si="30"/>
        <v>0.46776410256410256</v>
      </c>
      <c r="AI80" s="56">
        <v>225000</v>
      </c>
      <c r="AJ80" s="54">
        <f t="shared" si="24"/>
        <v>0.40539555555555556</v>
      </c>
      <c r="AK80" s="52">
        <v>79371.950436503612</v>
      </c>
      <c r="AL80" s="53">
        <v>29579.844962906976</v>
      </c>
      <c r="AM80" s="53">
        <f t="shared" si="31"/>
        <v>108951.79539941059</v>
      </c>
      <c r="AN80" s="53">
        <v>195000</v>
      </c>
      <c r="AO80" s="55">
        <f t="shared" si="32"/>
        <v>0.55872715589441324</v>
      </c>
      <c r="AP80" s="53">
        <v>225000</v>
      </c>
      <c r="AQ80" s="55">
        <f t="shared" si="33"/>
        <v>0.48423020177515819</v>
      </c>
      <c r="AR80" s="52">
        <v>93909.316778635868</v>
      </c>
      <c r="AS80" s="53">
        <v>36262.059266012409</v>
      </c>
      <c r="AT80" s="53">
        <f t="shared" si="34"/>
        <v>130171.37604464828</v>
      </c>
      <c r="AU80" s="53">
        <v>195000</v>
      </c>
      <c r="AV80" s="55">
        <f t="shared" si="35"/>
        <v>0.66754551817768348</v>
      </c>
      <c r="AW80" s="53">
        <v>225000</v>
      </c>
      <c r="AX80" s="55">
        <f t="shared" si="36"/>
        <v>0.57853944908732569</v>
      </c>
      <c r="AY80" s="52">
        <v>109381.71574952514</v>
      </c>
      <c r="AZ80" s="53">
        <v>43851.176581319509</v>
      </c>
      <c r="BA80" s="53">
        <f t="shared" si="37"/>
        <v>153232.89233084465</v>
      </c>
      <c r="BB80" s="53">
        <v>195000</v>
      </c>
      <c r="BC80" s="55">
        <f t="shared" si="38"/>
        <v>0.78580970426074181</v>
      </c>
      <c r="BD80" s="53">
        <v>225000</v>
      </c>
      <c r="BE80" s="55">
        <f t="shared" si="39"/>
        <v>0.68103507702597621</v>
      </c>
    </row>
    <row r="81" spans="1:57" s="57" customFormat="1" ht="11.25" x14ac:dyDescent="0.2">
      <c r="A81" s="44" t="s">
        <v>558</v>
      </c>
      <c r="B81" s="45" t="s">
        <v>108</v>
      </c>
      <c r="C81" s="45" t="s">
        <v>559</v>
      </c>
      <c r="D81" s="46" t="s">
        <v>560</v>
      </c>
      <c r="E81" s="47" t="s">
        <v>561</v>
      </c>
      <c r="F81" s="47" t="s">
        <v>562</v>
      </c>
      <c r="G81" s="47" t="s">
        <v>563</v>
      </c>
      <c r="H81" s="48" t="s">
        <v>55</v>
      </c>
      <c r="I81" s="48" t="s">
        <v>114</v>
      </c>
      <c r="J81" s="49">
        <v>0</v>
      </c>
      <c r="K81" s="50">
        <v>19032</v>
      </c>
      <c r="L81" s="50">
        <f t="shared" si="25"/>
        <v>19032</v>
      </c>
      <c r="M81" s="50">
        <v>29200</v>
      </c>
      <c r="N81" s="51">
        <f t="shared" si="20"/>
        <v>0.65178082191780817</v>
      </c>
      <c r="O81" s="52">
        <v>0</v>
      </c>
      <c r="P81" s="53">
        <v>19379</v>
      </c>
      <c r="Q81" s="53">
        <f t="shared" si="26"/>
        <v>19379</v>
      </c>
      <c r="R81" s="53">
        <v>29200</v>
      </c>
      <c r="S81" s="54">
        <f t="shared" si="21"/>
        <v>0.66366438356164381</v>
      </c>
      <c r="T81" s="52">
        <v>0</v>
      </c>
      <c r="U81" s="53">
        <v>22387</v>
      </c>
      <c r="V81" s="53">
        <f t="shared" si="27"/>
        <v>22387</v>
      </c>
      <c r="W81" s="53">
        <v>29200</v>
      </c>
      <c r="X81" s="54">
        <f t="shared" si="22"/>
        <v>0.7666780821917808</v>
      </c>
      <c r="Y81" s="52">
        <v>0</v>
      </c>
      <c r="Z81" s="53">
        <v>24499</v>
      </c>
      <c r="AA81" s="53">
        <f t="shared" si="28"/>
        <v>24499</v>
      </c>
      <c r="AB81" s="53">
        <v>29200</v>
      </c>
      <c r="AC81" s="54">
        <f t="shared" si="23"/>
        <v>0.83900684931506853</v>
      </c>
      <c r="AD81" s="52">
        <v>0</v>
      </c>
      <c r="AE81" s="53">
        <v>26811</v>
      </c>
      <c r="AF81" s="53">
        <f t="shared" si="29"/>
        <v>26811</v>
      </c>
      <c r="AG81" s="53">
        <v>29200</v>
      </c>
      <c r="AH81" s="55">
        <f t="shared" si="30"/>
        <v>0.91818493150684932</v>
      </c>
      <c r="AI81" s="56">
        <v>29200</v>
      </c>
      <c r="AJ81" s="54">
        <f t="shared" si="24"/>
        <v>0.91818493150684932</v>
      </c>
      <c r="AK81" s="52">
        <v>0</v>
      </c>
      <c r="AL81" s="53">
        <v>31018.856078523058</v>
      </c>
      <c r="AM81" s="53">
        <f t="shared" si="31"/>
        <v>31018.856078523058</v>
      </c>
      <c r="AN81" s="53">
        <v>29200</v>
      </c>
      <c r="AO81" s="55">
        <f t="shared" si="32"/>
        <v>1.0622895917302417</v>
      </c>
      <c r="AP81" s="53">
        <v>29200</v>
      </c>
      <c r="AQ81" s="55">
        <f t="shared" si="33"/>
        <v>1.0622895917302417</v>
      </c>
      <c r="AR81" s="52">
        <v>0</v>
      </c>
      <c r="AS81" s="53">
        <v>35887.114707400942</v>
      </c>
      <c r="AT81" s="53">
        <f t="shared" si="34"/>
        <v>35887.114707400942</v>
      </c>
      <c r="AU81" s="53">
        <v>29200</v>
      </c>
      <c r="AV81" s="55">
        <f t="shared" si="35"/>
        <v>1.2290107776507173</v>
      </c>
      <c r="AW81" s="53">
        <v>29200</v>
      </c>
      <c r="AX81" s="55">
        <f t="shared" si="36"/>
        <v>1.2290107776507173</v>
      </c>
      <c r="AY81" s="52">
        <v>0</v>
      </c>
      <c r="AZ81" s="53">
        <v>41114.69327627134</v>
      </c>
      <c r="BA81" s="53">
        <f t="shared" si="37"/>
        <v>41114.69327627134</v>
      </c>
      <c r="BB81" s="53">
        <v>29200</v>
      </c>
      <c r="BC81" s="55">
        <f t="shared" si="38"/>
        <v>1.4080374409681966</v>
      </c>
      <c r="BD81" s="53">
        <v>29200</v>
      </c>
      <c r="BE81" s="55">
        <f t="shared" si="39"/>
        <v>1.4080374409681966</v>
      </c>
    </row>
    <row r="82" spans="1:57" s="57" customFormat="1" ht="11.25" x14ac:dyDescent="0.2">
      <c r="A82" s="44" t="s">
        <v>564</v>
      </c>
      <c r="B82" s="45" t="s">
        <v>565</v>
      </c>
      <c r="C82" s="45" t="s">
        <v>33</v>
      </c>
      <c r="D82" s="46" t="s">
        <v>566</v>
      </c>
      <c r="E82" s="47" t="s">
        <v>567</v>
      </c>
      <c r="F82" s="47" t="s">
        <v>568</v>
      </c>
      <c r="G82" s="47" t="s">
        <v>569</v>
      </c>
      <c r="H82" s="48" t="s">
        <v>207</v>
      </c>
      <c r="I82" s="48" t="s">
        <v>303</v>
      </c>
      <c r="J82" s="49">
        <v>201</v>
      </c>
      <c r="K82" s="50">
        <v>0</v>
      </c>
      <c r="L82" s="50">
        <f t="shared" si="25"/>
        <v>201</v>
      </c>
      <c r="M82" s="50">
        <v>126500</v>
      </c>
      <c r="N82" s="51">
        <f t="shared" si="20"/>
        <v>1.5889328063241107E-3</v>
      </c>
      <c r="O82" s="52">
        <v>202</v>
      </c>
      <c r="P82" s="53">
        <v>0</v>
      </c>
      <c r="Q82" s="53">
        <f t="shared" si="26"/>
        <v>202</v>
      </c>
      <c r="R82" s="53">
        <v>126500</v>
      </c>
      <c r="S82" s="54">
        <f t="shared" si="21"/>
        <v>1.5968379446640317E-3</v>
      </c>
      <c r="T82" s="52">
        <v>210</v>
      </c>
      <c r="U82" s="53">
        <v>0</v>
      </c>
      <c r="V82" s="53">
        <f t="shared" si="27"/>
        <v>210</v>
      </c>
      <c r="W82" s="53">
        <v>126500</v>
      </c>
      <c r="X82" s="54">
        <f t="shared" si="22"/>
        <v>1.6600790513833991E-3</v>
      </c>
      <c r="Y82" s="52">
        <v>216</v>
      </c>
      <c r="Z82" s="53">
        <v>0</v>
      </c>
      <c r="AA82" s="53">
        <f t="shared" si="28"/>
        <v>216</v>
      </c>
      <c r="AB82" s="53">
        <v>126500</v>
      </c>
      <c r="AC82" s="54">
        <f t="shared" si="23"/>
        <v>1.7075098814229249E-3</v>
      </c>
      <c r="AD82" s="52">
        <v>221</v>
      </c>
      <c r="AE82" s="53">
        <v>0</v>
      </c>
      <c r="AF82" s="53">
        <f t="shared" si="29"/>
        <v>221</v>
      </c>
      <c r="AG82" s="53">
        <v>126500</v>
      </c>
      <c r="AH82" s="55">
        <f t="shared" si="30"/>
        <v>1.7470355731225296E-3</v>
      </c>
      <c r="AI82" s="56">
        <v>126500</v>
      </c>
      <c r="AJ82" s="54">
        <f t="shared" si="24"/>
        <v>1.7470355731225296E-3</v>
      </c>
      <c r="AK82" s="52">
        <v>230.13323357867958</v>
      </c>
      <c r="AL82" s="53">
        <v>0</v>
      </c>
      <c r="AM82" s="53">
        <f t="shared" si="31"/>
        <v>230.13323357867958</v>
      </c>
      <c r="AN82" s="53">
        <v>126500</v>
      </c>
      <c r="AO82" s="55">
        <f t="shared" si="32"/>
        <v>1.819235048052803E-3</v>
      </c>
      <c r="AP82" s="53">
        <v>126500</v>
      </c>
      <c r="AQ82" s="55">
        <f t="shared" si="33"/>
        <v>1.819235048052803E-3</v>
      </c>
      <c r="AR82" s="52">
        <v>239.64391492026743</v>
      </c>
      <c r="AS82" s="53">
        <v>0</v>
      </c>
      <c r="AT82" s="53">
        <f t="shared" si="34"/>
        <v>239.64391492026743</v>
      </c>
      <c r="AU82" s="53">
        <v>126500</v>
      </c>
      <c r="AV82" s="55">
        <f t="shared" si="35"/>
        <v>1.89441829976496E-3</v>
      </c>
      <c r="AW82" s="53">
        <v>126500</v>
      </c>
      <c r="AX82" s="55">
        <f t="shared" si="36"/>
        <v>1.89441829976496E-3</v>
      </c>
      <c r="AY82" s="52">
        <v>248.68623503794524</v>
      </c>
      <c r="AZ82" s="53">
        <v>0</v>
      </c>
      <c r="BA82" s="53">
        <f t="shared" si="37"/>
        <v>248.68623503794524</v>
      </c>
      <c r="BB82" s="53">
        <v>126500</v>
      </c>
      <c r="BC82" s="55">
        <f t="shared" si="38"/>
        <v>1.9658990912090534E-3</v>
      </c>
      <c r="BD82" s="53">
        <v>126500</v>
      </c>
      <c r="BE82" s="55">
        <f t="shared" si="39"/>
        <v>1.9658990912090534E-3</v>
      </c>
    </row>
    <row r="83" spans="1:57" s="57" customFormat="1" ht="11.25" x14ac:dyDescent="0.2">
      <c r="A83" s="44" t="s">
        <v>570</v>
      </c>
      <c r="B83" s="45" t="s">
        <v>571</v>
      </c>
      <c r="C83" s="45" t="s">
        <v>572</v>
      </c>
      <c r="D83" s="46" t="s">
        <v>573</v>
      </c>
      <c r="E83" s="47" t="s">
        <v>574</v>
      </c>
      <c r="F83" s="47" t="s">
        <v>575</v>
      </c>
      <c r="G83" s="47" t="s">
        <v>576</v>
      </c>
      <c r="H83" s="48" t="s">
        <v>207</v>
      </c>
      <c r="I83" s="48" t="s">
        <v>479</v>
      </c>
      <c r="J83" s="49">
        <v>19442</v>
      </c>
      <c r="K83" s="50">
        <v>0</v>
      </c>
      <c r="L83" s="50">
        <f t="shared" si="25"/>
        <v>19442</v>
      </c>
      <c r="M83" s="50">
        <v>225000.00000000012</v>
      </c>
      <c r="N83" s="51">
        <f t="shared" si="20"/>
        <v>8.6408888888888841E-2</v>
      </c>
      <c r="O83" s="52">
        <v>19831</v>
      </c>
      <c r="P83" s="53">
        <v>0</v>
      </c>
      <c r="Q83" s="53">
        <f t="shared" si="26"/>
        <v>19831</v>
      </c>
      <c r="R83" s="53">
        <v>225000.00000000012</v>
      </c>
      <c r="S83" s="54">
        <f t="shared" si="21"/>
        <v>8.8137777777777732E-2</v>
      </c>
      <c r="T83" s="52">
        <v>23235</v>
      </c>
      <c r="U83" s="53">
        <v>0</v>
      </c>
      <c r="V83" s="53">
        <f t="shared" si="27"/>
        <v>23235</v>
      </c>
      <c r="W83" s="53">
        <v>225000.00000000012</v>
      </c>
      <c r="X83" s="54">
        <f t="shared" si="22"/>
        <v>0.10326666666666662</v>
      </c>
      <c r="Y83" s="52">
        <v>25654</v>
      </c>
      <c r="Z83" s="53">
        <v>0</v>
      </c>
      <c r="AA83" s="53">
        <f t="shared" si="28"/>
        <v>25654</v>
      </c>
      <c r="AB83" s="53">
        <v>225000.00000000012</v>
      </c>
      <c r="AC83" s="54">
        <f t="shared" si="23"/>
        <v>0.11401777777777772</v>
      </c>
      <c r="AD83" s="52">
        <v>28324</v>
      </c>
      <c r="AE83" s="53">
        <v>0</v>
      </c>
      <c r="AF83" s="53">
        <f t="shared" si="29"/>
        <v>28324</v>
      </c>
      <c r="AG83" s="53">
        <v>225000.00000000012</v>
      </c>
      <c r="AH83" s="55">
        <f t="shared" si="30"/>
        <v>0.12588444444444438</v>
      </c>
      <c r="AI83" s="56">
        <v>225000</v>
      </c>
      <c r="AJ83" s="54">
        <f t="shared" si="24"/>
        <v>0.12588444444444444</v>
      </c>
      <c r="AK83" s="52">
        <v>32622.668525719193</v>
      </c>
      <c r="AL83" s="53">
        <v>0</v>
      </c>
      <c r="AM83" s="53">
        <f t="shared" si="31"/>
        <v>32622.668525719193</v>
      </c>
      <c r="AN83" s="53">
        <v>225000.00000000012</v>
      </c>
      <c r="AO83" s="55">
        <f t="shared" si="32"/>
        <v>0.14498963789208522</v>
      </c>
      <c r="AP83" s="53">
        <v>225000</v>
      </c>
      <c r="AQ83" s="55">
        <f t="shared" si="33"/>
        <v>0.1449896378920853</v>
      </c>
      <c r="AR83" s="52">
        <v>37573.736115624553</v>
      </c>
      <c r="AS83" s="53">
        <v>0</v>
      </c>
      <c r="AT83" s="53">
        <f t="shared" si="34"/>
        <v>37573.736115624553</v>
      </c>
      <c r="AU83" s="53">
        <v>225000.00000000012</v>
      </c>
      <c r="AV83" s="55">
        <f t="shared" si="35"/>
        <v>0.16699438273610903</v>
      </c>
      <c r="AW83" s="53">
        <v>225000</v>
      </c>
      <c r="AX83" s="55">
        <f t="shared" si="36"/>
        <v>0.16699438273610911</v>
      </c>
      <c r="AY83" s="52">
        <v>42413.809943635955</v>
      </c>
      <c r="AZ83" s="53">
        <v>0</v>
      </c>
      <c r="BA83" s="53">
        <f t="shared" si="37"/>
        <v>42413.809943635955</v>
      </c>
      <c r="BB83" s="53">
        <v>225000.00000000012</v>
      </c>
      <c r="BC83" s="55">
        <f t="shared" si="38"/>
        <v>0.18850582197171525</v>
      </c>
      <c r="BD83" s="53">
        <v>225000</v>
      </c>
      <c r="BE83" s="55">
        <f t="shared" si="39"/>
        <v>0.18850582197171536</v>
      </c>
    </row>
    <row r="84" spans="1:57" s="57" customFormat="1" ht="11.25" x14ac:dyDescent="0.2">
      <c r="A84" s="44" t="s">
        <v>577</v>
      </c>
      <c r="B84" s="45" t="s">
        <v>578</v>
      </c>
      <c r="C84" s="45" t="s">
        <v>579</v>
      </c>
      <c r="D84" s="46" t="s">
        <v>580</v>
      </c>
      <c r="E84" s="47" t="s">
        <v>581</v>
      </c>
      <c r="F84" s="47" t="s">
        <v>582</v>
      </c>
      <c r="G84" s="47" t="s">
        <v>583</v>
      </c>
      <c r="H84" s="48" t="s">
        <v>376</v>
      </c>
      <c r="I84" s="48" t="s">
        <v>584</v>
      </c>
      <c r="J84" s="49">
        <v>51100</v>
      </c>
      <c r="K84" s="50">
        <v>0</v>
      </c>
      <c r="L84" s="50">
        <f t="shared" si="25"/>
        <v>51100</v>
      </c>
      <c r="M84" s="50">
        <v>195500</v>
      </c>
      <c r="N84" s="51">
        <f t="shared" si="20"/>
        <v>0.26138107416879797</v>
      </c>
      <c r="O84" s="52">
        <v>52224</v>
      </c>
      <c r="P84" s="53">
        <v>0</v>
      </c>
      <c r="Q84" s="53">
        <f t="shared" si="26"/>
        <v>52224</v>
      </c>
      <c r="R84" s="53">
        <v>195500</v>
      </c>
      <c r="S84" s="54">
        <f t="shared" si="21"/>
        <v>0.26713043478260867</v>
      </c>
      <c r="T84" s="52">
        <v>62155</v>
      </c>
      <c r="U84" s="53">
        <v>0</v>
      </c>
      <c r="V84" s="53">
        <f t="shared" si="27"/>
        <v>62155</v>
      </c>
      <c r="W84" s="53">
        <v>195500</v>
      </c>
      <c r="X84" s="54">
        <f t="shared" si="22"/>
        <v>0.31792838874680307</v>
      </c>
      <c r="Y84" s="52">
        <v>69300</v>
      </c>
      <c r="Z84" s="53">
        <v>0</v>
      </c>
      <c r="AA84" s="53">
        <f t="shared" si="28"/>
        <v>69300</v>
      </c>
      <c r="AB84" s="53">
        <v>195500</v>
      </c>
      <c r="AC84" s="54">
        <f t="shared" si="23"/>
        <v>0.35447570332480821</v>
      </c>
      <c r="AD84" s="52">
        <v>77266</v>
      </c>
      <c r="AE84" s="53">
        <v>0</v>
      </c>
      <c r="AF84" s="53">
        <f t="shared" si="29"/>
        <v>77266</v>
      </c>
      <c r="AG84" s="53">
        <v>195500</v>
      </c>
      <c r="AH84" s="55">
        <f t="shared" si="30"/>
        <v>0.39522250639386192</v>
      </c>
      <c r="AI84" s="56">
        <v>195500</v>
      </c>
      <c r="AJ84" s="54">
        <f t="shared" si="24"/>
        <v>0.39522250639386192</v>
      </c>
      <c r="AK84" s="52">
        <v>91832.328978066638</v>
      </c>
      <c r="AL84" s="53">
        <v>0</v>
      </c>
      <c r="AM84" s="53">
        <f t="shared" si="31"/>
        <v>91832.328978066638</v>
      </c>
      <c r="AN84" s="53">
        <v>195500</v>
      </c>
      <c r="AO84" s="55">
        <f t="shared" si="32"/>
        <v>0.46973058300801351</v>
      </c>
      <c r="AP84" s="53">
        <v>195500</v>
      </c>
      <c r="AQ84" s="55">
        <f t="shared" si="33"/>
        <v>0.46973058300801351</v>
      </c>
      <c r="AR84" s="52">
        <v>109144.72918924049</v>
      </c>
      <c r="AS84" s="53">
        <v>0</v>
      </c>
      <c r="AT84" s="53">
        <f t="shared" si="34"/>
        <v>109144.72918924049</v>
      </c>
      <c r="AU84" s="53">
        <v>195500</v>
      </c>
      <c r="AV84" s="55">
        <f t="shared" si="35"/>
        <v>0.55828505979151144</v>
      </c>
      <c r="AW84" s="53">
        <v>195500</v>
      </c>
      <c r="AX84" s="55">
        <f t="shared" si="36"/>
        <v>0.55828505979151144</v>
      </c>
      <c r="AY84" s="52">
        <v>128254.69894606736</v>
      </c>
      <c r="AZ84" s="53">
        <v>0</v>
      </c>
      <c r="BA84" s="53">
        <f t="shared" si="37"/>
        <v>128254.69894606736</v>
      </c>
      <c r="BB84" s="53">
        <v>195500</v>
      </c>
      <c r="BC84" s="55">
        <f t="shared" si="38"/>
        <v>0.65603426570878443</v>
      </c>
      <c r="BD84" s="53">
        <v>195500</v>
      </c>
      <c r="BE84" s="55">
        <f t="shared" si="39"/>
        <v>0.65603426570878443</v>
      </c>
    </row>
    <row r="85" spans="1:57" s="57" customFormat="1" ht="11.25" x14ac:dyDescent="0.2">
      <c r="A85" s="44" t="s">
        <v>585</v>
      </c>
      <c r="B85" s="45" t="s">
        <v>218</v>
      </c>
      <c r="C85" s="45" t="s">
        <v>586</v>
      </c>
      <c r="D85" s="46" t="s">
        <v>587</v>
      </c>
      <c r="E85" s="47" t="s">
        <v>588</v>
      </c>
      <c r="F85" s="47" t="s">
        <v>222</v>
      </c>
      <c r="G85" s="47" t="s">
        <v>589</v>
      </c>
      <c r="H85" s="48" t="s">
        <v>98</v>
      </c>
      <c r="I85" s="48" t="s">
        <v>363</v>
      </c>
      <c r="J85" s="49">
        <v>121353</v>
      </c>
      <c r="K85" s="50">
        <v>0</v>
      </c>
      <c r="L85" s="50">
        <f t="shared" si="25"/>
        <v>121353</v>
      </c>
      <c r="M85" s="50">
        <v>180593.98597179176</v>
      </c>
      <c r="N85" s="51">
        <f t="shared" si="20"/>
        <v>0.67196589823846609</v>
      </c>
      <c r="O85" s="52">
        <v>121960</v>
      </c>
      <c r="P85" s="53">
        <v>0</v>
      </c>
      <c r="Q85" s="53">
        <f t="shared" si="26"/>
        <v>121960</v>
      </c>
      <c r="R85" s="53">
        <v>180593.98597179176</v>
      </c>
      <c r="S85" s="54">
        <f t="shared" si="21"/>
        <v>0.67532702899115249</v>
      </c>
      <c r="T85" s="52">
        <v>126924</v>
      </c>
      <c r="U85" s="53">
        <v>0</v>
      </c>
      <c r="V85" s="53">
        <f t="shared" si="27"/>
        <v>126924</v>
      </c>
      <c r="W85" s="53">
        <v>180593.98597179176</v>
      </c>
      <c r="X85" s="54">
        <f t="shared" si="22"/>
        <v>0.70281410157160573</v>
      </c>
      <c r="Y85" s="52">
        <v>130129</v>
      </c>
      <c r="Z85" s="53">
        <v>0</v>
      </c>
      <c r="AA85" s="53">
        <f t="shared" si="28"/>
        <v>130129</v>
      </c>
      <c r="AB85" s="53">
        <v>180593.98597179176</v>
      </c>
      <c r="AC85" s="54">
        <f t="shared" si="23"/>
        <v>0.72056109343710795</v>
      </c>
      <c r="AD85" s="52">
        <v>133415</v>
      </c>
      <c r="AE85" s="53">
        <v>0</v>
      </c>
      <c r="AF85" s="53">
        <f t="shared" si="29"/>
        <v>133415</v>
      </c>
      <c r="AG85" s="53">
        <v>180593.98597179176</v>
      </c>
      <c r="AH85" s="55">
        <f t="shared" si="30"/>
        <v>0.73875660522183184</v>
      </c>
      <c r="AI85" s="56">
        <v>165337.76764470729</v>
      </c>
      <c r="AJ85" s="54">
        <f t="shared" si="24"/>
        <v>0.80692392246818156</v>
      </c>
      <c r="AK85" s="52">
        <v>138937.05855543204</v>
      </c>
      <c r="AL85" s="53">
        <v>0</v>
      </c>
      <c r="AM85" s="53">
        <f t="shared" si="31"/>
        <v>138937.05855543204</v>
      </c>
      <c r="AN85" s="53">
        <v>180593.98597179176</v>
      </c>
      <c r="AO85" s="55">
        <f t="shared" si="32"/>
        <v>0.76933380592825273</v>
      </c>
      <c r="AP85" s="53">
        <v>165337.76764470729</v>
      </c>
      <c r="AQ85" s="55">
        <f t="shared" si="33"/>
        <v>0.84032257441622493</v>
      </c>
      <c r="AR85" s="52">
        <v>144687.67559896229</v>
      </c>
      <c r="AS85" s="53">
        <v>0</v>
      </c>
      <c r="AT85" s="53">
        <f t="shared" si="34"/>
        <v>144687.67559896229</v>
      </c>
      <c r="AU85" s="53">
        <v>180593.98597179176</v>
      </c>
      <c r="AV85" s="55">
        <f t="shared" si="35"/>
        <v>0.80117659965466448</v>
      </c>
      <c r="AW85" s="53">
        <v>165337.76764470729</v>
      </c>
      <c r="AX85" s="55">
        <f t="shared" si="36"/>
        <v>0.87510359949869543</v>
      </c>
      <c r="AY85" s="52">
        <v>150235.55719713657</v>
      </c>
      <c r="AZ85" s="53">
        <v>0</v>
      </c>
      <c r="BA85" s="53">
        <f t="shared" si="37"/>
        <v>150235.55719713657</v>
      </c>
      <c r="BB85" s="53">
        <v>180593.98597179176</v>
      </c>
      <c r="BC85" s="55">
        <f t="shared" si="38"/>
        <v>0.83189678985546567</v>
      </c>
      <c r="BD85" s="53">
        <v>165337.76764470729</v>
      </c>
      <c r="BE85" s="55">
        <f t="shared" si="39"/>
        <v>0.90865843501634957</v>
      </c>
    </row>
    <row r="86" spans="1:57" s="57" customFormat="1" ht="11.25" x14ac:dyDescent="0.2">
      <c r="A86" s="44" t="s">
        <v>590</v>
      </c>
      <c r="B86" s="45" t="s">
        <v>591</v>
      </c>
      <c r="C86" s="45" t="s">
        <v>33</v>
      </c>
      <c r="D86" s="46" t="s">
        <v>592</v>
      </c>
      <c r="E86" s="47" t="s">
        <v>593</v>
      </c>
      <c r="F86" s="47" t="s">
        <v>594</v>
      </c>
      <c r="G86" s="47" t="s">
        <v>595</v>
      </c>
      <c r="H86" s="48" t="s">
        <v>73</v>
      </c>
      <c r="I86" s="48" t="s">
        <v>121</v>
      </c>
      <c r="J86" s="49">
        <v>35022</v>
      </c>
      <c r="K86" s="50">
        <v>0</v>
      </c>
      <c r="L86" s="50">
        <f t="shared" si="25"/>
        <v>35022</v>
      </c>
      <c r="M86" s="50">
        <v>184000</v>
      </c>
      <c r="N86" s="51">
        <f t="shared" si="20"/>
        <v>0.19033695652173913</v>
      </c>
      <c r="O86" s="52">
        <v>35372</v>
      </c>
      <c r="P86" s="53">
        <v>0</v>
      </c>
      <c r="Q86" s="53">
        <f t="shared" si="26"/>
        <v>35372</v>
      </c>
      <c r="R86" s="53">
        <v>184000</v>
      </c>
      <c r="S86" s="54">
        <f t="shared" si="21"/>
        <v>0.19223913043478261</v>
      </c>
      <c r="T86" s="52">
        <v>38303</v>
      </c>
      <c r="U86" s="53">
        <v>0</v>
      </c>
      <c r="V86" s="53">
        <f t="shared" si="27"/>
        <v>38303</v>
      </c>
      <c r="W86" s="53">
        <v>184000</v>
      </c>
      <c r="X86" s="54">
        <f t="shared" si="22"/>
        <v>0.20816847826086957</v>
      </c>
      <c r="Y86" s="52">
        <v>40257</v>
      </c>
      <c r="Z86" s="53">
        <v>0</v>
      </c>
      <c r="AA86" s="53">
        <f t="shared" si="28"/>
        <v>40257</v>
      </c>
      <c r="AB86" s="53">
        <v>184000</v>
      </c>
      <c r="AC86" s="54">
        <f t="shared" si="23"/>
        <v>0.21878804347826086</v>
      </c>
      <c r="AD86" s="52">
        <v>42310</v>
      </c>
      <c r="AE86" s="53">
        <v>0</v>
      </c>
      <c r="AF86" s="53">
        <f t="shared" si="29"/>
        <v>42310</v>
      </c>
      <c r="AG86" s="53">
        <v>184000</v>
      </c>
      <c r="AH86" s="55">
        <f t="shared" si="30"/>
        <v>0.22994565217391305</v>
      </c>
      <c r="AI86" s="56">
        <v>195500</v>
      </c>
      <c r="AJ86" s="54">
        <f t="shared" si="24"/>
        <v>0.21641943734015345</v>
      </c>
      <c r="AK86" s="52">
        <v>45405.670684131379</v>
      </c>
      <c r="AL86" s="53">
        <v>0</v>
      </c>
      <c r="AM86" s="53">
        <f t="shared" si="31"/>
        <v>45405.670684131379</v>
      </c>
      <c r="AN86" s="53">
        <v>184000</v>
      </c>
      <c r="AO86" s="55">
        <f t="shared" si="32"/>
        <v>0.24676994937027924</v>
      </c>
      <c r="AP86" s="53">
        <v>195500</v>
      </c>
      <c r="AQ86" s="55">
        <f t="shared" si="33"/>
        <v>0.23225406999555692</v>
      </c>
      <c r="AR86" s="52">
        <v>48727.840469765732</v>
      </c>
      <c r="AS86" s="53">
        <v>0</v>
      </c>
      <c r="AT86" s="53">
        <f t="shared" si="34"/>
        <v>48727.840469765732</v>
      </c>
      <c r="AU86" s="53">
        <v>184000</v>
      </c>
      <c r="AV86" s="55">
        <f t="shared" si="35"/>
        <v>0.26482521994437896</v>
      </c>
      <c r="AW86" s="53">
        <v>195500</v>
      </c>
      <c r="AX86" s="55">
        <f t="shared" si="36"/>
        <v>0.24924726583000373</v>
      </c>
      <c r="AY86" s="52">
        <v>51786.653931489192</v>
      </c>
      <c r="AZ86" s="53">
        <v>0</v>
      </c>
      <c r="BA86" s="53">
        <f t="shared" si="37"/>
        <v>51786.653931489192</v>
      </c>
      <c r="BB86" s="53">
        <v>184000</v>
      </c>
      <c r="BC86" s="55">
        <f t="shared" si="38"/>
        <v>0.28144920614939778</v>
      </c>
      <c r="BD86" s="53">
        <v>195500</v>
      </c>
      <c r="BE86" s="55">
        <f t="shared" si="39"/>
        <v>0.26489337049355088</v>
      </c>
    </row>
    <row r="87" spans="1:57" s="57" customFormat="1" ht="11.25" x14ac:dyDescent="0.2">
      <c r="A87" s="44" t="s">
        <v>596</v>
      </c>
      <c r="B87" s="45" t="s">
        <v>270</v>
      </c>
      <c r="C87" s="45" t="s">
        <v>597</v>
      </c>
      <c r="D87" s="46" t="s">
        <v>598</v>
      </c>
      <c r="E87" s="47" t="s">
        <v>599</v>
      </c>
      <c r="F87" s="47" t="s">
        <v>274</v>
      </c>
      <c r="G87" s="47" t="s">
        <v>600</v>
      </c>
      <c r="H87" s="48" t="s">
        <v>73</v>
      </c>
      <c r="I87" s="48" t="s">
        <v>121</v>
      </c>
      <c r="J87" s="49">
        <v>17760</v>
      </c>
      <c r="K87" s="50">
        <v>297178</v>
      </c>
      <c r="L87" s="50">
        <f t="shared" si="25"/>
        <v>314938</v>
      </c>
      <c r="M87" s="50">
        <v>740000.00000000047</v>
      </c>
      <c r="N87" s="51">
        <f>L87/M87</f>
        <v>0.42559189189189162</v>
      </c>
      <c r="O87" s="52">
        <v>17937</v>
      </c>
      <c r="P87" s="53">
        <v>304608</v>
      </c>
      <c r="Q87" s="53">
        <f t="shared" si="26"/>
        <v>322545</v>
      </c>
      <c r="R87" s="53">
        <v>740000.00000000047</v>
      </c>
      <c r="S87" s="54">
        <f>Q87/R87</f>
        <v>0.43587162162162135</v>
      </c>
      <c r="T87" s="52">
        <v>19424</v>
      </c>
      <c r="U87" s="53">
        <v>371135</v>
      </c>
      <c r="V87" s="53">
        <f t="shared" si="27"/>
        <v>390559</v>
      </c>
      <c r="W87" s="53">
        <v>740000.00000000047</v>
      </c>
      <c r="X87" s="54">
        <f>V87/W87</f>
        <v>0.52778243243243206</v>
      </c>
      <c r="Y87" s="52">
        <v>20414</v>
      </c>
      <c r="Z87" s="53">
        <v>419905</v>
      </c>
      <c r="AA87" s="53">
        <f t="shared" si="28"/>
        <v>440319</v>
      </c>
      <c r="AB87" s="53">
        <v>740000.00000000047</v>
      </c>
      <c r="AC87" s="54">
        <f>AA87/AB87</f>
        <v>0.59502567567567533</v>
      </c>
      <c r="AD87" s="52">
        <v>21456</v>
      </c>
      <c r="AE87" s="53">
        <v>475084</v>
      </c>
      <c r="AF87" s="53">
        <f t="shared" si="29"/>
        <v>496540</v>
      </c>
      <c r="AG87" s="53">
        <v>740000.00000000047</v>
      </c>
      <c r="AH87" s="55">
        <f t="shared" si="30"/>
        <v>0.6709999999999996</v>
      </c>
      <c r="AI87" s="56">
        <v>740000.00000000035</v>
      </c>
      <c r="AJ87" s="54">
        <f>AF87/AI87</f>
        <v>0.67099999999999971</v>
      </c>
      <c r="AK87" s="52">
        <v>23025.93215634994</v>
      </c>
      <c r="AL87" s="53">
        <v>568504.12393161329</v>
      </c>
      <c r="AM87" s="53">
        <f t="shared" si="31"/>
        <v>591530.05608796328</v>
      </c>
      <c r="AN87" s="53">
        <v>740000.00000000047</v>
      </c>
      <c r="AO87" s="55">
        <f t="shared" si="32"/>
        <v>0.79936494065940933</v>
      </c>
      <c r="AP87" s="53">
        <v>740000.00000000035</v>
      </c>
      <c r="AQ87" s="55">
        <f t="shared" si="33"/>
        <v>0.79936494065940944</v>
      </c>
      <c r="AR87" s="52">
        <v>24710.736002462261</v>
      </c>
      <c r="AS87" s="53">
        <v>680294.3035910516</v>
      </c>
      <c r="AT87" s="53">
        <f t="shared" si="34"/>
        <v>705005.03959351382</v>
      </c>
      <c r="AU87" s="53">
        <v>740000.00000000047</v>
      </c>
      <c r="AV87" s="55">
        <f t="shared" si="35"/>
        <v>0.95270951296420725</v>
      </c>
      <c r="AW87" s="53">
        <v>740000.00000000035</v>
      </c>
      <c r="AX87" s="55">
        <f t="shared" si="36"/>
        <v>0.95270951296420747</v>
      </c>
      <c r="AY87" s="52">
        <v>26261.98608098457</v>
      </c>
      <c r="AZ87" s="53">
        <v>796025.88286384486</v>
      </c>
      <c r="BA87" s="53">
        <f t="shared" si="37"/>
        <v>822287.86894482945</v>
      </c>
      <c r="BB87" s="53">
        <v>740000.00000000047</v>
      </c>
      <c r="BC87" s="55">
        <f t="shared" si="38"/>
        <v>1.1111998228984175</v>
      </c>
      <c r="BD87" s="53">
        <v>740000.00000000035</v>
      </c>
      <c r="BE87" s="55">
        <f t="shared" si="39"/>
        <v>1.1111998228984177</v>
      </c>
    </row>
    <row r="88" spans="1:57" s="57" customFormat="1" ht="11.25" x14ac:dyDescent="0.2">
      <c r="A88" s="44" t="s">
        <v>601</v>
      </c>
      <c r="B88" s="45" t="s">
        <v>602</v>
      </c>
      <c r="C88" s="45" t="s">
        <v>603</v>
      </c>
      <c r="D88" s="46" t="s">
        <v>604</v>
      </c>
      <c r="E88" s="47" t="s">
        <v>605</v>
      </c>
      <c r="F88" s="47" t="s">
        <v>274</v>
      </c>
      <c r="G88" s="47" t="s">
        <v>606</v>
      </c>
      <c r="H88" s="48" t="s">
        <v>73</v>
      </c>
      <c r="I88" s="48" t="s">
        <v>607</v>
      </c>
      <c r="J88" s="49">
        <v>182989</v>
      </c>
      <c r="K88" s="50">
        <v>9534</v>
      </c>
      <c r="L88" s="50">
        <f t="shared" si="25"/>
        <v>192523</v>
      </c>
      <c r="M88" s="50">
        <v>406089.00000000664</v>
      </c>
      <c r="N88" s="51">
        <f t="shared" si="20"/>
        <v>0.47409065500419084</v>
      </c>
      <c r="O88" s="52">
        <v>185551</v>
      </c>
      <c r="P88" s="53">
        <v>9887</v>
      </c>
      <c r="Q88" s="53">
        <f t="shared" si="26"/>
        <v>195438</v>
      </c>
      <c r="R88" s="53">
        <v>406089.00000000664</v>
      </c>
      <c r="S88" s="54">
        <f t="shared" ref="S88:S134" si="40">Q88/R88</f>
        <v>0.48126888440710486</v>
      </c>
      <c r="T88" s="52">
        <v>207380</v>
      </c>
      <c r="U88" s="53">
        <v>13222</v>
      </c>
      <c r="V88" s="53">
        <f t="shared" si="27"/>
        <v>220602</v>
      </c>
      <c r="W88" s="53">
        <v>406089.00000000664</v>
      </c>
      <c r="X88" s="54">
        <f t="shared" ref="X88:X134" si="41">V88/W88</f>
        <v>0.54323559613778361</v>
      </c>
      <c r="Y88" s="52">
        <v>222309</v>
      </c>
      <c r="Z88" s="53">
        <v>15856</v>
      </c>
      <c r="AA88" s="53">
        <f t="shared" si="28"/>
        <v>238165</v>
      </c>
      <c r="AB88" s="53">
        <v>406089.00000000664</v>
      </c>
      <c r="AC88" s="54">
        <f t="shared" ref="AC88:AC134" si="42">AA88/AB88</f>
        <v>0.58648473610463747</v>
      </c>
      <c r="AD88" s="52">
        <v>238313</v>
      </c>
      <c r="AE88" s="53">
        <v>19014</v>
      </c>
      <c r="AF88" s="53">
        <f t="shared" si="29"/>
        <v>257327</v>
      </c>
      <c r="AG88" s="53">
        <v>406089.00000000664</v>
      </c>
      <c r="AH88" s="55">
        <f t="shared" si="30"/>
        <v>0.63367143655700053</v>
      </c>
      <c r="AI88" s="56">
        <v>406089</v>
      </c>
      <c r="AJ88" s="54">
        <f t="shared" ref="AJ88:AJ134" si="43">AF88/AI88</f>
        <v>0.63367143655701086</v>
      </c>
      <c r="AK88" s="52">
        <v>265417.4084103257</v>
      </c>
      <c r="AL88" s="53">
        <v>24772.410465057081</v>
      </c>
      <c r="AM88" s="53">
        <f t="shared" si="31"/>
        <v>290189.81887538277</v>
      </c>
      <c r="AN88" s="53">
        <v>406089.00000000664</v>
      </c>
      <c r="AO88" s="55">
        <f t="shared" si="32"/>
        <v>0.71459660043827344</v>
      </c>
      <c r="AP88" s="53">
        <v>406089</v>
      </c>
      <c r="AQ88" s="55">
        <f t="shared" si="33"/>
        <v>0.7145966004382851</v>
      </c>
      <c r="AR88" s="52">
        <v>295604.52298973873</v>
      </c>
      <c r="AS88" s="53">
        <v>32274.761767606476</v>
      </c>
      <c r="AT88" s="53">
        <f t="shared" si="34"/>
        <v>327879.28475734522</v>
      </c>
      <c r="AU88" s="53">
        <v>406089.00000000664</v>
      </c>
      <c r="AV88" s="55">
        <f t="shared" si="35"/>
        <v>0.80740745195595021</v>
      </c>
      <c r="AW88" s="53">
        <v>406089</v>
      </c>
      <c r="AX88" s="55">
        <f t="shared" si="36"/>
        <v>0.80740745195596342</v>
      </c>
      <c r="AY88" s="52">
        <v>326240.79265348322</v>
      </c>
      <c r="AZ88" s="53">
        <v>40688.117622353391</v>
      </c>
      <c r="BA88" s="53">
        <f t="shared" si="37"/>
        <v>366928.91027583659</v>
      </c>
      <c r="BB88" s="53">
        <v>406089.00000000664</v>
      </c>
      <c r="BC88" s="55">
        <f t="shared" si="38"/>
        <v>0.9035677161307758</v>
      </c>
      <c r="BD88" s="53">
        <v>406089</v>
      </c>
      <c r="BE88" s="55">
        <f t="shared" si="39"/>
        <v>0.90356771613079057</v>
      </c>
    </row>
    <row r="89" spans="1:57" s="57" customFormat="1" ht="11.25" x14ac:dyDescent="0.2">
      <c r="A89" s="44" t="s">
        <v>608</v>
      </c>
      <c r="B89" s="45" t="s">
        <v>609</v>
      </c>
      <c r="C89" s="45" t="s">
        <v>610</v>
      </c>
      <c r="D89" s="46" t="s">
        <v>611</v>
      </c>
      <c r="E89" s="47" t="s">
        <v>612</v>
      </c>
      <c r="F89" s="47" t="s">
        <v>613</v>
      </c>
      <c r="G89" s="47" t="s">
        <v>614</v>
      </c>
      <c r="H89" s="48" t="s">
        <v>73</v>
      </c>
      <c r="I89" s="48" t="s">
        <v>486</v>
      </c>
      <c r="J89" s="49">
        <v>129057</v>
      </c>
      <c r="K89" s="50">
        <v>0</v>
      </c>
      <c r="L89" s="50">
        <f t="shared" si="25"/>
        <v>129057</v>
      </c>
      <c r="M89" s="50">
        <v>218500</v>
      </c>
      <c r="N89" s="51">
        <f t="shared" ref="N89:N134" si="44">L89/M89</f>
        <v>0.59064988558352405</v>
      </c>
      <c r="O89" s="52">
        <v>131148</v>
      </c>
      <c r="P89" s="53">
        <v>0</v>
      </c>
      <c r="Q89" s="53">
        <f t="shared" si="26"/>
        <v>131148</v>
      </c>
      <c r="R89" s="53">
        <v>218500</v>
      </c>
      <c r="S89" s="54">
        <f t="shared" si="40"/>
        <v>0.60021967963386724</v>
      </c>
      <c r="T89" s="52">
        <v>149141</v>
      </c>
      <c r="U89" s="53">
        <v>0</v>
      </c>
      <c r="V89" s="53">
        <f t="shared" si="27"/>
        <v>149141</v>
      </c>
      <c r="W89" s="53">
        <v>218500</v>
      </c>
      <c r="X89" s="54">
        <f t="shared" si="41"/>
        <v>0.68256750572082381</v>
      </c>
      <c r="Y89" s="52">
        <v>161619</v>
      </c>
      <c r="Z89" s="53">
        <v>0</v>
      </c>
      <c r="AA89" s="53">
        <f t="shared" si="28"/>
        <v>161619</v>
      </c>
      <c r="AB89" s="53">
        <v>218500</v>
      </c>
      <c r="AC89" s="54">
        <f t="shared" si="42"/>
        <v>0.73967505720823801</v>
      </c>
      <c r="AD89" s="52">
        <v>175141</v>
      </c>
      <c r="AE89" s="53">
        <v>0</v>
      </c>
      <c r="AF89" s="53">
        <f t="shared" si="29"/>
        <v>175141</v>
      </c>
      <c r="AG89" s="53">
        <v>218500</v>
      </c>
      <c r="AH89" s="55">
        <f t="shared" si="30"/>
        <v>0.80156064073226541</v>
      </c>
      <c r="AI89" s="56">
        <v>218500</v>
      </c>
      <c r="AJ89" s="54">
        <f t="shared" si="43"/>
        <v>0.80156064073226541</v>
      </c>
      <c r="AK89" s="52">
        <v>199111.16962636044</v>
      </c>
      <c r="AL89" s="53">
        <v>0</v>
      </c>
      <c r="AM89" s="53">
        <f t="shared" si="31"/>
        <v>199111.16962636044</v>
      </c>
      <c r="AN89" s="53">
        <v>218500</v>
      </c>
      <c r="AO89" s="55">
        <f t="shared" si="32"/>
        <v>0.91126393421675256</v>
      </c>
      <c r="AP89" s="53">
        <v>218500</v>
      </c>
      <c r="AQ89" s="55">
        <f t="shared" si="33"/>
        <v>0.91126393421675256</v>
      </c>
      <c r="AR89" s="52">
        <v>226361.94763063634</v>
      </c>
      <c r="AS89" s="53">
        <v>0</v>
      </c>
      <c r="AT89" s="53">
        <f t="shared" si="34"/>
        <v>226361.94763063634</v>
      </c>
      <c r="AU89" s="53">
        <v>218500</v>
      </c>
      <c r="AV89" s="55">
        <f t="shared" si="35"/>
        <v>1.0359814536871228</v>
      </c>
      <c r="AW89" s="53">
        <v>218500</v>
      </c>
      <c r="AX89" s="55">
        <f t="shared" si="36"/>
        <v>1.0359814536871228</v>
      </c>
      <c r="AY89" s="52">
        <v>255659.94116099918</v>
      </c>
      <c r="AZ89" s="53">
        <v>0</v>
      </c>
      <c r="BA89" s="53">
        <f t="shared" si="37"/>
        <v>255659.94116099918</v>
      </c>
      <c r="BB89" s="53">
        <v>218500</v>
      </c>
      <c r="BC89" s="55">
        <f t="shared" si="38"/>
        <v>1.1700683805995387</v>
      </c>
      <c r="BD89" s="53">
        <v>218500</v>
      </c>
      <c r="BE89" s="55">
        <f t="shared" si="39"/>
        <v>1.1700683805995387</v>
      </c>
    </row>
    <row r="90" spans="1:57" s="57" customFormat="1" ht="11.25" x14ac:dyDescent="0.2">
      <c r="A90" s="44" t="s">
        <v>615</v>
      </c>
      <c r="B90" s="45" t="s">
        <v>616</v>
      </c>
      <c r="C90" s="45" t="s">
        <v>617</v>
      </c>
      <c r="D90" s="46" t="s">
        <v>618</v>
      </c>
      <c r="E90" s="47" t="s">
        <v>619</v>
      </c>
      <c r="F90" s="47" t="s">
        <v>620</v>
      </c>
      <c r="G90" s="47" t="s">
        <v>621</v>
      </c>
      <c r="H90" s="48" t="s">
        <v>29</v>
      </c>
      <c r="I90" s="48" t="s">
        <v>622</v>
      </c>
      <c r="J90" s="49">
        <v>78993</v>
      </c>
      <c r="K90" s="50">
        <v>0</v>
      </c>
      <c r="L90" s="50">
        <f t="shared" si="25"/>
        <v>78993</v>
      </c>
      <c r="M90" s="50">
        <v>210316.25050731914</v>
      </c>
      <c r="N90" s="51">
        <f t="shared" si="44"/>
        <v>0.37559151900747201</v>
      </c>
      <c r="O90" s="52">
        <v>79783</v>
      </c>
      <c r="P90" s="53">
        <v>0</v>
      </c>
      <c r="Q90" s="53">
        <f t="shared" si="26"/>
        <v>79783</v>
      </c>
      <c r="R90" s="53">
        <v>210316.25050731914</v>
      </c>
      <c r="S90" s="54">
        <f t="shared" si="40"/>
        <v>0.37934776702964995</v>
      </c>
      <c r="T90" s="52">
        <v>86394</v>
      </c>
      <c r="U90" s="53">
        <v>0</v>
      </c>
      <c r="V90" s="53">
        <f t="shared" si="27"/>
        <v>86394</v>
      </c>
      <c r="W90" s="53">
        <v>210316.25050731914</v>
      </c>
      <c r="X90" s="54">
        <f t="shared" si="41"/>
        <v>0.41078138180764795</v>
      </c>
      <c r="Y90" s="52">
        <v>90801</v>
      </c>
      <c r="Z90" s="53">
        <v>0</v>
      </c>
      <c r="AA90" s="53">
        <f t="shared" si="28"/>
        <v>90801</v>
      </c>
      <c r="AB90" s="53">
        <v>210316.25050731914</v>
      </c>
      <c r="AC90" s="54">
        <f t="shared" si="42"/>
        <v>0.4317355400782027</v>
      </c>
      <c r="AD90" s="52">
        <v>95432</v>
      </c>
      <c r="AE90" s="53">
        <v>0</v>
      </c>
      <c r="AF90" s="53">
        <f t="shared" si="29"/>
        <v>95432</v>
      </c>
      <c r="AG90" s="53">
        <v>210316.25050731914</v>
      </c>
      <c r="AH90" s="55">
        <f t="shared" si="30"/>
        <v>0.45375476107909646</v>
      </c>
      <c r="AI90" s="56">
        <v>202698.91531142712</v>
      </c>
      <c r="AJ90" s="54">
        <f t="shared" si="43"/>
        <v>0.47080666343664462</v>
      </c>
      <c r="AK90" s="52">
        <v>102046.86703225449</v>
      </c>
      <c r="AL90" s="53">
        <v>0</v>
      </c>
      <c r="AM90" s="53">
        <f t="shared" si="31"/>
        <v>102046.86703225449</v>
      </c>
      <c r="AN90" s="53">
        <v>210316.25050731914</v>
      </c>
      <c r="AO90" s="55">
        <f t="shared" si="32"/>
        <v>0.48520676260678769</v>
      </c>
      <c r="AP90" s="53">
        <v>202698.91531142712</v>
      </c>
      <c r="AQ90" s="55">
        <f t="shared" si="33"/>
        <v>0.50344061721035571</v>
      </c>
      <c r="AR90" s="52">
        <v>109120.24343091025</v>
      </c>
      <c r="AS90" s="53">
        <v>0</v>
      </c>
      <c r="AT90" s="53">
        <f t="shared" si="34"/>
        <v>109120.24343091025</v>
      </c>
      <c r="AU90" s="53">
        <v>210316.25050731914</v>
      </c>
      <c r="AV90" s="55">
        <f t="shared" si="35"/>
        <v>0.51883885894548509</v>
      </c>
      <c r="AW90" s="53">
        <v>202698.91531142712</v>
      </c>
      <c r="AX90" s="55">
        <f t="shared" si="36"/>
        <v>0.53833659278964385</v>
      </c>
      <c r="AY90" s="52">
        <v>115407.0536238786</v>
      </c>
      <c r="AZ90" s="53">
        <v>0</v>
      </c>
      <c r="BA90" s="53">
        <f t="shared" si="37"/>
        <v>115407.0536238786</v>
      </c>
      <c r="BB90" s="53">
        <v>210316.25050731914</v>
      </c>
      <c r="BC90" s="55">
        <f t="shared" si="38"/>
        <v>0.54873103407604906</v>
      </c>
      <c r="BD90" s="53">
        <v>202698.91531142712</v>
      </c>
      <c r="BE90" s="55">
        <f t="shared" si="39"/>
        <v>0.56935210258311897</v>
      </c>
    </row>
    <row r="91" spans="1:57" s="57" customFormat="1" ht="11.25" x14ac:dyDescent="0.2">
      <c r="A91" s="44" t="s">
        <v>623</v>
      </c>
      <c r="B91" s="45" t="s">
        <v>624</v>
      </c>
      <c r="C91" s="45" t="s">
        <v>625</v>
      </c>
      <c r="D91" s="46" t="s">
        <v>626</v>
      </c>
      <c r="E91" s="47" t="s">
        <v>627</v>
      </c>
      <c r="F91" s="47" t="s">
        <v>628</v>
      </c>
      <c r="G91" s="47" t="s">
        <v>629</v>
      </c>
      <c r="H91" s="48" t="s">
        <v>158</v>
      </c>
      <c r="I91" s="48" t="s">
        <v>630</v>
      </c>
      <c r="J91" s="49">
        <v>33434</v>
      </c>
      <c r="K91" s="50">
        <v>0</v>
      </c>
      <c r="L91" s="50">
        <f t="shared" si="25"/>
        <v>33434</v>
      </c>
      <c r="M91" s="50">
        <v>301750</v>
      </c>
      <c r="N91" s="51">
        <f t="shared" si="44"/>
        <v>0.11080033140016569</v>
      </c>
      <c r="O91" s="52">
        <v>34270</v>
      </c>
      <c r="P91" s="53">
        <v>0</v>
      </c>
      <c r="Q91" s="53">
        <f t="shared" si="26"/>
        <v>34270</v>
      </c>
      <c r="R91" s="53">
        <v>301750</v>
      </c>
      <c r="S91" s="54">
        <f t="shared" si="40"/>
        <v>0.11357083678541839</v>
      </c>
      <c r="T91" s="52">
        <v>41755</v>
      </c>
      <c r="U91" s="53">
        <v>0</v>
      </c>
      <c r="V91" s="53">
        <f t="shared" si="27"/>
        <v>41755</v>
      </c>
      <c r="W91" s="53">
        <v>301750</v>
      </c>
      <c r="X91" s="54">
        <f t="shared" si="41"/>
        <v>0.1383761391880696</v>
      </c>
      <c r="Y91" s="52">
        <v>47242</v>
      </c>
      <c r="Z91" s="53">
        <v>0</v>
      </c>
      <c r="AA91" s="53">
        <f t="shared" si="28"/>
        <v>47242</v>
      </c>
      <c r="AB91" s="53">
        <v>301750</v>
      </c>
      <c r="AC91" s="54">
        <f t="shared" si="42"/>
        <v>0.15656006628003313</v>
      </c>
      <c r="AD91" s="52">
        <v>53450</v>
      </c>
      <c r="AE91" s="53">
        <v>0</v>
      </c>
      <c r="AF91" s="53">
        <f t="shared" si="29"/>
        <v>53450</v>
      </c>
      <c r="AG91" s="53">
        <v>301750</v>
      </c>
      <c r="AH91" s="55">
        <f t="shared" si="30"/>
        <v>0.17713338856669428</v>
      </c>
      <c r="AI91" s="56">
        <v>319500</v>
      </c>
      <c r="AJ91" s="54">
        <f t="shared" si="43"/>
        <v>0.1672926447574335</v>
      </c>
      <c r="AK91" s="52">
        <v>66212.166979918402</v>
      </c>
      <c r="AL91" s="53">
        <v>0</v>
      </c>
      <c r="AM91" s="53">
        <f t="shared" si="31"/>
        <v>66212.166979918402</v>
      </c>
      <c r="AN91" s="53">
        <v>301750</v>
      </c>
      <c r="AO91" s="55">
        <f t="shared" si="32"/>
        <v>0.21942723108506512</v>
      </c>
      <c r="AP91" s="53">
        <v>319500</v>
      </c>
      <c r="AQ91" s="55">
        <f t="shared" si="33"/>
        <v>0.20723682935811708</v>
      </c>
      <c r="AR91" s="52">
        <v>82021.535195071934</v>
      </c>
      <c r="AS91" s="53">
        <v>0</v>
      </c>
      <c r="AT91" s="53">
        <f t="shared" si="34"/>
        <v>82021.535195071934</v>
      </c>
      <c r="AU91" s="53">
        <v>301750</v>
      </c>
      <c r="AV91" s="55">
        <f t="shared" si="35"/>
        <v>0.27181950354622014</v>
      </c>
      <c r="AW91" s="53">
        <v>319500</v>
      </c>
      <c r="AX91" s="55">
        <f t="shared" si="36"/>
        <v>0.25671842001587458</v>
      </c>
      <c r="AY91" s="52">
        <v>101260.49789246214</v>
      </c>
      <c r="AZ91" s="53">
        <v>0</v>
      </c>
      <c r="BA91" s="53">
        <f t="shared" si="37"/>
        <v>101260.49789246214</v>
      </c>
      <c r="BB91" s="53">
        <v>301750</v>
      </c>
      <c r="BC91" s="55">
        <f t="shared" si="38"/>
        <v>0.33557745780434844</v>
      </c>
      <c r="BD91" s="53">
        <v>319500</v>
      </c>
      <c r="BE91" s="55">
        <f t="shared" si="39"/>
        <v>0.31693426570410688</v>
      </c>
    </row>
    <row r="92" spans="1:57" s="57" customFormat="1" ht="11.25" x14ac:dyDescent="0.2">
      <c r="A92" s="44" t="s">
        <v>631</v>
      </c>
      <c r="B92" s="45" t="s">
        <v>539</v>
      </c>
      <c r="C92" s="45" t="s">
        <v>632</v>
      </c>
      <c r="D92" s="46" t="s">
        <v>633</v>
      </c>
      <c r="E92" s="47" t="s">
        <v>634</v>
      </c>
      <c r="F92" s="47" t="s">
        <v>635</v>
      </c>
      <c r="G92" s="47" t="s">
        <v>636</v>
      </c>
      <c r="H92" s="48" t="s">
        <v>98</v>
      </c>
      <c r="I92" s="48" t="s">
        <v>129</v>
      </c>
      <c r="J92" s="49">
        <v>35592</v>
      </c>
      <c r="K92" s="50">
        <v>0</v>
      </c>
      <c r="L92" s="50">
        <f t="shared" si="25"/>
        <v>35592</v>
      </c>
      <c r="M92" s="50">
        <v>69253.000000000015</v>
      </c>
      <c r="N92" s="51">
        <f t="shared" si="44"/>
        <v>0.513941634297431</v>
      </c>
      <c r="O92" s="52">
        <v>35948</v>
      </c>
      <c r="P92" s="53">
        <v>0</v>
      </c>
      <c r="Q92" s="53">
        <f t="shared" si="26"/>
        <v>35948</v>
      </c>
      <c r="R92" s="53">
        <v>69253.000000000015</v>
      </c>
      <c r="S92" s="54">
        <f t="shared" si="40"/>
        <v>0.51908220582501829</v>
      </c>
      <c r="T92" s="52">
        <v>38927</v>
      </c>
      <c r="U92" s="53">
        <v>0</v>
      </c>
      <c r="V92" s="53">
        <f t="shared" si="27"/>
        <v>38927</v>
      </c>
      <c r="W92" s="53">
        <v>69253.000000000015</v>
      </c>
      <c r="X92" s="54">
        <f t="shared" si="41"/>
        <v>0.5620983928494071</v>
      </c>
      <c r="Y92" s="52">
        <v>40913</v>
      </c>
      <c r="Z92" s="53">
        <v>0</v>
      </c>
      <c r="AA92" s="53">
        <f t="shared" si="28"/>
        <v>40913</v>
      </c>
      <c r="AB92" s="53">
        <v>69253.000000000015</v>
      </c>
      <c r="AC92" s="54">
        <f t="shared" si="42"/>
        <v>0.59077585086566631</v>
      </c>
      <c r="AD92" s="52">
        <v>42999</v>
      </c>
      <c r="AE92" s="53">
        <v>0</v>
      </c>
      <c r="AF92" s="53">
        <f t="shared" si="29"/>
        <v>42999</v>
      </c>
      <c r="AG92" s="53">
        <v>69253.000000000015</v>
      </c>
      <c r="AH92" s="55">
        <f t="shared" si="30"/>
        <v>0.62089728964810176</v>
      </c>
      <c r="AI92" s="56">
        <v>69253</v>
      </c>
      <c r="AJ92" s="54">
        <f t="shared" si="43"/>
        <v>0.62089728964810187</v>
      </c>
      <c r="AK92" s="52">
        <v>46426.64023367066</v>
      </c>
      <c r="AL92" s="53">
        <v>0</v>
      </c>
      <c r="AM92" s="53">
        <f t="shared" si="31"/>
        <v>46426.64023367066</v>
      </c>
      <c r="AN92" s="53">
        <v>69253.000000000015</v>
      </c>
      <c r="AO92" s="55">
        <f t="shared" si="32"/>
        <v>0.6703917553560228</v>
      </c>
      <c r="AP92" s="53">
        <v>69253</v>
      </c>
      <c r="AQ92" s="55">
        <f t="shared" si="33"/>
        <v>0.67039175535602302</v>
      </c>
      <c r="AR92" s="52">
        <v>50127.512811616245</v>
      </c>
      <c r="AS92" s="53">
        <v>0</v>
      </c>
      <c r="AT92" s="53">
        <f t="shared" si="34"/>
        <v>50127.512811616245</v>
      </c>
      <c r="AU92" s="53">
        <v>69253.000000000015</v>
      </c>
      <c r="AV92" s="55">
        <f t="shared" si="35"/>
        <v>0.72383164356224616</v>
      </c>
      <c r="AW92" s="53">
        <v>69253</v>
      </c>
      <c r="AX92" s="55">
        <f t="shared" si="36"/>
        <v>0.72383164356224627</v>
      </c>
      <c r="AY92" s="52">
        <v>53749.385156978235</v>
      </c>
      <c r="AZ92" s="53">
        <v>0</v>
      </c>
      <c r="BA92" s="53">
        <f t="shared" si="37"/>
        <v>53749.385156978235</v>
      </c>
      <c r="BB92" s="53">
        <v>69253.000000000015</v>
      </c>
      <c r="BC92" s="55">
        <f t="shared" si="38"/>
        <v>0.77613078360472798</v>
      </c>
      <c r="BD92" s="53">
        <v>69253</v>
      </c>
      <c r="BE92" s="55">
        <f t="shared" si="39"/>
        <v>0.77613078360472809</v>
      </c>
    </row>
    <row r="93" spans="1:57" s="57" customFormat="1" ht="11.25" x14ac:dyDescent="0.2">
      <c r="A93" s="44" t="s">
        <v>637</v>
      </c>
      <c r="B93" s="45" t="s">
        <v>539</v>
      </c>
      <c r="C93" s="45" t="s">
        <v>638</v>
      </c>
      <c r="D93" s="46" t="s">
        <v>639</v>
      </c>
      <c r="E93" s="47" t="s">
        <v>640</v>
      </c>
      <c r="F93" s="47" t="s">
        <v>543</v>
      </c>
      <c r="G93" s="47" t="s">
        <v>641</v>
      </c>
      <c r="H93" s="48" t="s">
        <v>98</v>
      </c>
      <c r="I93" s="48" t="s">
        <v>129</v>
      </c>
      <c r="J93" s="49">
        <v>125436</v>
      </c>
      <c r="K93" s="50">
        <v>0</v>
      </c>
      <c r="L93" s="50">
        <f t="shared" si="25"/>
        <v>125436</v>
      </c>
      <c r="M93" s="50">
        <v>447139</v>
      </c>
      <c r="N93" s="51">
        <f t="shared" si="44"/>
        <v>0.2805302154363632</v>
      </c>
      <c r="O93" s="52">
        <v>126126</v>
      </c>
      <c r="P93" s="53">
        <v>0</v>
      </c>
      <c r="Q93" s="53">
        <f t="shared" si="26"/>
        <v>126126</v>
      </c>
      <c r="R93" s="53">
        <v>447139</v>
      </c>
      <c r="S93" s="54">
        <f t="shared" si="40"/>
        <v>0.28207335973824693</v>
      </c>
      <c r="T93" s="52">
        <v>131784</v>
      </c>
      <c r="U93" s="53">
        <v>0</v>
      </c>
      <c r="V93" s="53">
        <f t="shared" si="27"/>
        <v>131784</v>
      </c>
      <c r="W93" s="53">
        <v>447139</v>
      </c>
      <c r="X93" s="54">
        <f t="shared" si="41"/>
        <v>0.29472714301369374</v>
      </c>
      <c r="Y93" s="52">
        <v>135448</v>
      </c>
      <c r="Z93" s="53">
        <v>0</v>
      </c>
      <c r="AA93" s="53">
        <f t="shared" si="28"/>
        <v>135448</v>
      </c>
      <c r="AB93" s="53">
        <v>447139</v>
      </c>
      <c r="AC93" s="54">
        <f t="shared" si="42"/>
        <v>0.30292146290079819</v>
      </c>
      <c r="AD93" s="52">
        <v>139214</v>
      </c>
      <c r="AE93" s="53">
        <v>0</v>
      </c>
      <c r="AF93" s="53">
        <f t="shared" si="29"/>
        <v>139214</v>
      </c>
      <c r="AG93" s="53">
        <v>447139</v>
      </c>
      <c r="AH93" s="55">
        <f t="shared" si="30"/>
        <v>0.31134389977165938</v>
      </c>
      <c r="AI93" s="56">
        <v>447139</v>
      </c>
      <c r="AJ93" s="54">
        <f t="shared" si="43"/>
        <v>0.31134389977165938</v>
      </c>
      <c r="AK93" s="52">
        <v>145222.85441809351</v>
      </c>
      <c r="AL93" s="53">
        <v>0</v>
      </c>
      <c r="AM93" s="53">
        <f t="shared" si="31"/>
        <v>145222.85441809351</v>
      </c>
      <c r="AN93" s="53">
        <v>447139</v>
      </c>
      <c r="AO93" s="55">
        <f t="shared" si="32"/>
        <v>0.32478234825880437</v>
      </c>
      <c r="AP93" s="53">
        <v>447139</v>
      </c>
      <c r="AQ93" s="55">
        <f t="shared" si="33"/>
        <v>0.32478234825880437</v>
      </c>
      <c r="AR93" s="52">
        <v>151491.0673160658</v>
      </c>
      <c r="AS93" s="53">
        <v>0</v>
      </c>
      <c r="AT93" s="53">
        <f t="shared" si="34"/>
        <v>151491.0673160658</v>
      </c>
      <c r="AU93" s="53">
        <v>447139</v>
      </c>
      <c r="AV93" s="55">
        <f t="shared" si="35"/>
        <v>0.33880083668851474</v>
      </c>
      <c r="AW93" s="53">
        <v>447139</v>
      </c>
      <c r="AX93" s="55">
        <f t="shared" si="36"/>
        <v>0.33880083668851474</v>
      </c>
      <c r="AY93" s="52">
        <v>157426.27506794556</v>
      </c>
      <c r="AZ93" s="53">
        <v>0</v>
      </c>
      <c r="BA93" s="53">
        <f t="shared" si="37"/>
        <v>157426.27506794556</v>
      </c>
      <c r="BB93" s="53">
        <v>447139</v>
      </c>
      <c r="BC93" s="55">
        <f t="shared" si="38"/>
        <v>0.35207457875055759</v>
      </c>
      <c r="BD93" s="53">
        <v>447139</v>
      </c>
      <c r="BE93" s="55">
        <f t="shared" si="39"/>
        <v>0.35207457875055759</v>
      </c>
    </row>
    <row r="94" spans="1:57" s="57" customFormat="1" ht="11.25" x14ac:dyDescent="0.2">
      <c r="A94" s="44" t="s">
        <v>642</v>
      </c>
      <c r="B94" s="45" t="s">
        <v>539</v>
      </c>
      <c r="C94" s="45" t="s">
        <v>643</v>
      </c>
      <c r="D94" s="46" t="s">
        <v>644</v>
      </c>
      <c r="E94" s="47" t="s">
        <v>645</v>
      </c>
      <c r="F94" s="47" t="s">
        <v>543</v>
      </c>
      <c r="G94" s="47" t="s">
        <v>646</v>
      </c>
      <c r="H94" s="48" t="s">
        <v>98</v>
      </c>
      <c r="I94" s="48" t="s">
        <v>129</v>
      </c>
      <c r="J94" s="49">
        <v>86422</v>
      </c>
      <c r="K94" s="50">
        <v>57483</v>
      </c>
      <c r="L94" s="50">
        <f t="shared" si="25"/>
        <v>143905</v>
      </c>
      <c r="M94" s="50">
        <v>263444</v>
      </c>
      <c r="N94" s="51">
        <f t="shared" si="44"/>
        <v>0.54624512230303213</v>
      </c>
      <c r="O94" s="52">
        <v>87329</v>
      </c>
      <c r="P94" s="53">
        <v>59150</v>
      </c>
      <c r="Q94" s="53">
        <f t="shared" si="26"/>
        <v>146479</v>
      </c>
      <c r="R94" s="53">
        <v>263444</v>
      </c>
      <c r="S94" s="54">
        <f t="shared" si="40"/>
        <v>0.5560156997312522</v>
      </c>
      <c r="T94" s="52">
        <v>94940</v>
      </c>
      <c r="U94" s="53">
        <v>74349</v>
      </c>
      <c r="V94" s="53">
        <f t="shared" si="27"/>
        <v>169289</v>
      </c>
      <c r="W94" s="53">
        <v>263444</v>
      </c>
      <c r="X94" s="54">
        <f t="shared" si="41"/>
        <v>0.6425995657521143</v>
      </c>
      <c r="Y94" s="52">
        <v>100031</v>
      </c>
      <c r="Z94" s="53">
        <v>85774</v>
      </c>
      <c r="AA94" s="53">
        <f t="shared" si="28"/>
        <v>185805</v>
      </c>
      <c r="AB94" s="53">
        <v>263444</v>
      </c>
      <c r="AC94" s="54">
        <f t="shared" si="42"/>
        <v>0.70529220631329614</v>
      </c>
      <c r="AD94" s="52">
        <v>105394</v>
      </c>
      <c r="AE94" s="53">
        <v>98954</v>
      </c>
      <c r="AF94" s="53">
        <f t="shared" si="29"/>
        <v>204348</v>
      </c>
      <c r="AG94" s="53">
        <v>263444</v>
      </c>
      <c r="AH94" s="55">
        <f t="shared" si="30"/>
        <v>0.77567908170237321</v>
      </c>
      <c r="AI94" s="56">
        <v>221039</v>
      </c>
      <c r="AJ94" s="54">
        <f t="shared" si="43"/>
        <v>0.92448843869181452</v>
      </c>
      <c r="AK94" s="52">
        <v>114231.06581300737</v>
      </c>
      <c r="AL94" s="53">
        <v>124987.84454430481</v>
      </c>
      <c r="AM94" s="53">
        <f t="shared" si="31"/>
        <v>239218.91035731218</v>
      </c>
      <c r="AN94" s="53">
        <v>263444</v>
      </c>
      <c r="AO94" s="55">
        <f t="shared" si="32"/>
        <v>0.90804463323253592</v>
      </c>
      <c r="AP94" s="53">
        <v>221039</v>
      </c>
      <c r="AQ94" s="55">
        <f t="shared" si="33"/>
        <v>1.082247523547031</v>
      </c>
      <c r="AR94" s="52">
        <v>123809.10105675488</v>
      </c>
      <c r="AS94" s="53">
        <v>157870.94290105812</v>
      </c>
      <c r="AT94" s="53">
        <f t="shared" si="34"/>
        <v>281680.043957813</v>
      </c>
      <c r="AU94" s="53">
        <v>263444</v>
      </c>
      <c r="AV94" s="55">
        <f t="shared" si="35"/>
        <v>1.0692217091974499</v>
      </c>
      <c r="AW94" s="53">
        <v>221039</v>
      </c>
      <c r="AX94" s="55">
        <f t="shared" si="36"/>
        <v>1.274345450159533</v>
      </c>
      <c r="AY94" s="52">
        <v>133217.06740630302</v>
      </c>
      <c r="AZ94" s="53">
        <v>196608.95467156149</v>
      </c>
      <c r="BA94" s="53">
        <f t="shared" si="37"/>
        <v>329826.0220778645</v>
      </c>
      <c r="BB94" s="53">
        <v>263444</v>
      </c>
      <c r="BC94" s="55">
        <f t="shared" si="38"/>
        <v>1.2519777337038023</v>
      </c>
      <c r="BD94" s="53">
        <v>221039</v>
      </c>
      <c r="BE94" s="55">
        <f t="shared" si="39"/>
        <v>1.492162116539907</v>
      </c>
    </row>
    <row r="95" spans="1:57" s="57" customFormat="1" ht="11.25" x14ac:dyDescent="0.2">
      <c r="A95" s="44" t="s">
        <v>647</v>
      </c>
      <c r="B95" s="45" t="s">
        <v>648</v>
      </c>
      <c r="C95" s="45" t="s">
        <v>649</v>
      </c>
      <c r="D95" s="46" t="s">
        <v>650</v>
      </c>
      <c r="E95" s="47" t="s">
        <v>651</v>
      </c>
      <c r="F95" s="47" t="s">
        <v>185</v>
      </c>
      <c r="G95" s="47" t="s">
        <v>652</v>
      </c>
      <c r="H95" s="48" t="s">
        <v>55</v>
      </c>
      <c r="I95" s="48" t="s">
        <v>653</v>
      </c>
      <c r="J95" s="49">
        <v>94719</v>
      </c>
      <c r="K95" s="50">
        <v>31443</v>
      </c>
      <c r="L95" s="50">
        <f t="shared" si="25"/>
        <v>126162</v>
      </c>
      <c r="M95" s="50">
        <v>215000</v>
      </c>
      <c r="N95" s="51">
        <f t="shared" si="44"/>
        <v>0.58679999999999999</v>
      </c>
      <c r="O95" s="52">
        <v>96045</v>
      </c>
      <c r="P95" s="53">
        <v>32071</v>
      </c>
      <c r="Q95" s="53">
        <f t="shared" si="26"/>
        <v>128116</v>
      </c>
      <c r="R95" s="53">
        <v>215000</v>
      </c>
      <c r="S95" s="54">
        <f t="shared" si="40"/>
        <v>0.59588837209302326</v>
      </c>
      <c r="T95" s="52">
        <v>107344</v>
      </c>
      <c r="U95" s="53">
        <v>37577</v>
      </c>
      <c r="V95" s="53">
        <f t="shared" si="27"/>
        <v>144921</v>
      </c>
      <c r="W95" s="53">
        <v>215000</v>
      </c>
      <c r="X95" s="54">
        <f t="shared" si="41"/>
        <v>0.67405116279069766</v>
      </c>
      <c r="Y95" s="52">
        <v>115071</v>
      </c>
      <c r="Z95" s="53">
        <v>41488</v>
      </c>
      <c r="AA95" s="53">
        <f t="shared" si="28"/>
        <v>156559</v>
      </c>
      <c r="AB95" s="53">
        <v>215000</v>
      </c>
      <c r="AC95" s="54">
        <f t="shared" si="42"/>
        <v>0.72818139534883719</v>
      </c>
      <c r="AD95" s="52">
        <v>123355</v>
      </c>
      <c r="AE95" s="53">
        <v>45806</v>
      </c>
      <c r="AF95" s="53">
        <f t="shared" si="29"/>
        <v>169161</v>
      </c>
      <c r="AG95" s="53">
        <v>215000</v>
      </c>
      <c r="AH95" s="55">
        <f t="shared" si="30"/>
        <v>0.78679534883720925</v>
      </c>
      <c r="AI95" s="56">
        <v>215000</v>
      </c>
      <c r="AJ95" s="54">
        <f t="shared" si="43"/>
        <v>0.78679534883720925</v>
      </c>
      <c r="AK95" s="52">
        <v>139460.379822577</v>
      </c>
      <c r="AL95" s="53">
        <v>53758.475354050046</v>
      </c>
      <c r="AM95" s="53">
        <f t="shared" si="31"/>
        <v>193218.85517662705</v>
      </c>
      <c r="AN95" s="53">
        <v>215000</v>
      </c>
      <c r="AO95" s="55">
        <f t="shared" si="32"/>
        <v>0.89869234965873046</v>
      </c>
      <c r="AP95" s="53">
        <v>215000</v>
      </c>
      <c r="AQ95" s="55">
        <f t="shared" si="33"/>
        <v>0.89869234965873046</v>
      </c>
      <c r="AR95" s="52">
        <v>157668.49775248219</v>
      </c>
      <c r="AS95" s="53">
        <v>63091.596567960674</v>
      </c>
      <c r="AT95" s="53">
        <f t="shared" si="34"/>
        <v>220760.09432044288</v>
      </c>
      <c r="AU95" s="53">
        <v>215000</v>
      </c>
      <c r="AV95" s="55">
        <f t="shared" si="35"/>
        <v>1.0267911363741529</v>
      </c>
      <c r="AW95" s="53">
        <v>215000</v>
      </c>
      <c r="AX95" s="55">
        <f t="shared" si="36"/>
        <v>1.0267911363741529</v>
      </c>
      <c r="AY95" s="52">
        <v>178345.82807458524</v>
      </c>
      <c r="AZ95" s="53">
        <v>73253.359970664867</v>
      </c>
      <c r="BA95" s="53">
        <f t="shared" si="37"/>
        <v>251599.18804525011</v>
      </c>
      <c r="BB95" s="53">
        <v>215000</v>
      </c>
      <c r="BC95" s="55">
        <f t="shared" si="38"/>
        <v>1.1702287816058143</v>
      </c>
      <c r="BD95" s="53">
        <v>215000</v>
      </c>
      <c r="BE95" s="55">
        <f t="shared" si="39"/>
        <v>1.1702287816058143</v>
      </c>
    </row>
    <row r="96" spans="1:57" s="57" customFormat="1" ht="11.25" x14ac:dyDescent="0.2">
      <c r="A96" s="44" t="s">
        <v>654</v>
      </c>
      <c r="B96" s="45" t="s">
        <v>655</v>
      </c>
      <c r="C96" s="45" t="s">
        <v>656</v>
      </c>
      <c r="D96" s="46" t="s">
        <v>657</v>
      </c>
      <c r="E96" s="47" t="s">
        <v>658</v>
      </c>
      <c r="F96" s="47" t="s">
        <v>659</v>
      </c>
      <c r="G96" s="47" t="s">
        <v>660</v>
      </c>
      <c r="H96" s="48" t="s">
        <v>207</v>
      </c>
      <c r="I96" s="48" t="s">
        <v>661</v>
      </c>
      <c r="J96" s="49">
        <v>18584</v>
      </c>
      <c r="K96" s="50">
        <v>0</v>
      </c>
      <c r="L96" s="50">
        <f t="shared" si="25"/>
        <v>18584</v>
      </c>
      <c r="M96" s="50">
        <v>301750</v>
      </c>
      <c r="N96" s="51">
        <f t="shared" si="44"/>
        <v>6.1587406793703399E-2</v>
      </c>
      <c r="O96" s="52">
        <v>18770</v>
      </c>
      <c r="P96" s="53">
        <v>0</v>
      </c>
      <c r="Q96" s="53">
        <f t="shared" si="26"/>
        <v>18770</v>
      </c>
      <c r="R96" s="53">
        <v>301750</v>
      </c>
      <c r="S96" s="54">
        <f t="shared" si="40"/>
        <v>6.2203811101905551E-2</v>
      </c>
      <c r="T96" s="52">
        <v>20325</v>
      </c>
      <c r="U96" s="53">
        <v>0</v>
      </c>
      <c r="V96" s="53">
        <f t="shared" si="27"/>
        <v>20325</v>
      </c>
      <c r="W96" s="53">
        <v>301750</v>
      </c>
      <c r="X96" s="54">
        <f t="shared" si="41"/>
        <v>6.7357083678541846E-2</v>
      </c>
      <c r="Y96" s="52">
        <v>21362</v>
      </c>
      <c r="Z96" s="53">
        <v>0</v>
      </c>
      <c r="AA96" s="53">
        <f t="shared" si="28"/>
        <v>21362</v>
      </c>
      <c r="AB96" s="53">
        <v>301750</v>
      </c>
      <c r="AC96" s="54">
        <f t="shared" si="42"/>
        <v>7.0793703396851704E-2</v>
      </c>
      <c r="AD96" s="52">
        <v>22451</v>
      </c>
      <c r="AE96" s="53">
        <v>0</v>
      </c>
      <c r="AF96" s="53">
        <f t="shared" si="29"/>
        <v>22451</v>
      </c>
      <c r="AG96" s="53">
        <v>301750</v>
      </c>
      <c r="AH96" s="55">
        <f t="shared" si="30"/>
        <v>7.4402651201325595E-2</v>
      </c>
      <c r="AI96" s="56">
        <v>301750</v>
      </c>
      <c r="AJ96" s="54">
        <f t="shared" si="43"/>
        <v>7.4402651201325595E-2</v>
      </c>
      <c r="AK96" s="52">
        <v>24446.079588352928</v>
      </c>
      <c r="AL96" s="53">
        <v>0</v>
      </c>
      <c r="AM96" s="53">
        <f t="shared" si="31"/>
        <v>24446.079588352928</v>
      </c>
      <c r="AN96" s="53">
        <v>301750</v>
      </c>
      <c r="AO96" s="55">
        <f t="shared" si="32"/>
        <v>8.1014348262975738E-2</v>
      </c>
      <c r="AP96" s="53">
        <v>301750</v>
      </c>
      <c r="AQ96" s="55">
        <f t="shared" si="33"/>
        <v>8.1014348262975738E-2</v>
      </c>
      <c r="AR96" s="52">
        <v>26618.4493893406</v>
      </c>
      <c r="AS96" s="53">
        <v>0</v>
      </c>
      <c r="AT96" s="53">
        <f t="shared" si="34"/>
        <v>26618.4493893406</v>
      </c>
      <c r="AU96" s="53">
        <v>301750</v>
      </c>
      <c r="AV96" s="55">
        <f t="shared" si="35"/>
        <v>8.8213585383067436E-2</v>
      </c>
      <c r="AW96" s="53">
        <v>301750</v>
      </c>
      <c r="AX96" s="55">
        <f t="shared" si="36"/>
        <v>8.8213585383067436E-2</v>
      </c>
      <c r="AY96" s="52">
        <v>28898.33649418487</v>
      </c>
      <c r="AZ96" s="53">
        <v>0</v>
      </c>
      <c r="BA96" s="53">
        <f t="shared" si="37"/>
        <v>28898.33649418487</v>
      </c>
      <c r="BB96" s="53">
        <v>301750</v>
      </c>
      <c r="BC96" s="55">
        <f t="shared" si="38"/>
        <v>9.5769135026296179E-2</v>
      </c>
      <c r="BD96" s="53">
        <v>301750</v>
      </c>
      <c r="BE96" s="55">
        <f t="shared" si="39"/>
        <v>9.5769135026296179E-2</v>
      </c>
    </row>
    <row r="97" spans="1:57" s="57" customFormat="1" ht="11.25" x14ac:dyDescent="0.2">
      <c r="A97" s="44" t="s">
        <v>662</v>
      </c>
      <c r="B97" s="45" t="s">
        <v>663</v>
      </c>
      <c r="C97" s="45" t="s">
        <v>664</v>
      </c>
      <c r="D97" s="46" t="s">
        <v>665</v>
      </c>
      <c r="E97" s="47" t="s">
        <v>666</v>
      </c>
      <c r="F97" s="47" t="s">
        <v>667</v>
      </c>
      <c r="G97" s="47" t="s">
        <v>668</v>
      </c>
      <c r="H97" s="48" t="s">
        <v>46</v>
      </c>
      <c r="I97" s="48" t="s">
        <v>669</v>
      </c>
      <c r="J97" s="49">
        <v>54204</v>
      </c>
      <c r="K97" s="50">
        <v>0</v>
      </c>
      <c r="L97" s="50">
        <f t="shared" si="25"/>
        <v>54204</v>
      </c>
      <c r="M97" s="50">
        <v>195500</v>
      </c>
      <c r="N97" s="51">
        <f t="shared" si="44"/>
        <v>0.27725831202046036</v>
      </c>
      <c r="O97" s="52">
        <v>54610</v>
      </c>
      <c r="P97" s="53">
        <v>0</v>
      </c>
      <c r="Q97" s="53">
        <f t="shared" si="26"/>
        <v>54610</v>
      </c>
      <c r="R97" s="53">
        <v>195500</v>
      </c>
      <c r="S97" s="54">
        <f t="shared" si="40"/>
        <v>0.27933503836317136</v>
      </c>
      <c r="T97" s="52">
        <v>57974</v>
      </c>
      <c r="U97" s="53">
        <v>0</v>
      </c>
      <c r="V97" s="53">
        <f t="shared" si="27"/>
        <v>57974</v>
      </c>
      <c r="W97" s="53">
        <v>195500</v>
      </c>
      <c r="X97" s="54">
        <f t="shared" si="41"/>
        <v>0.29654219948849103</v>
      </c>
      <c r="Y97" s="52">
        <v>60181</v>
      </c>
      <c r="Z97" s="53">
        <v>0</v>
      </c>
      <c r="AA97" s="53">
        <f t="shared" si="28"/>
        <v>60181</v>
      </c>
      <c r="AB97" s="53">
        <v>195500</v>
      </c>
      <c r="AC97" s="54">
        <f t="shared" si="42"/>
        <v>0.30783120204603581</v>
      </c>
      <c r="AD97" s="52">
        <v>62472</v>
      </c>
      <c r="AE97" s="53">
        <v>0</v>
      </c>
      <c r="AF97" s="53">
        <f t="shared" si="29"/>
        <v>62472</v>
      </c>
      <c r="AG97" s="53">
        <v>195500</v>
      </c>
      <c r="AH97" s="55">
        <f t="shared" si="30"/>
        <v>0.31954987212276215</v>
      </c>
      <c r="AI97" s="56">
        <v>195500</v>
      </c>
      <c r="AJ97" s="54">
        <f t="shared" si="43"/>
        <v>0.31954987212276215</v>
      </c>
      <c r="AK97" s="52">
        <v>65996.178893863995</v>
      </c>
      <c r="AL97" s="53">
        <v>0</v>
      </c>
      <c r="AM97" s="53">
        <f t="shared" si="31"/>
        <v>65996.178893863995</v>
      </c>
      <c r="AN97" s="53">
        <v>195500</v>
      </c>
      <c r="AO97" s="55">
        <f t="shared" si="32"/>
        <v>0.33757636262846036</v>
      </c>
      <c r="AP97" s="53">
        <v>195500</v>
      </c>
      <c r="AQ97" s="55">
        <f t="shared" si="33"/>
        <v>0.33757636262846036</v>
      </c>
      <c r="AR97" s="52">
        <v>69719.164243035251</v>
      </c>
      <c r="AS97" s="53">
        <v>0</v>
      </c>
      <c r="AT97" s="53">
        <f t="shared" si="34"/>
        <v>69719.164243035251</v>
      </c>
      <c r="AU97" s="53">
        <v>195500</v>
      </c>
      <c r="AV97" s="55">
        <f t="shared" si="35"/>
        <v>0.35661976594902944</v>
      </c>
      <c r="AW97" s="53">
        <v>195500</v>
      </c>
      <c r="AX97" s="55">
        <f t="shared" si="36"/>
        <v>0.35661976594902944</v>
      </c>
      <c r="AY97" s="52">
        <v>73156.79914673949</v>
      </c>
      <c r="AZ97" s="53">
        <v>0</v>
      </c>
      <c r="BA97" s="53">
        <f t="shared" si="37"/>
        <v>73156.79914673949</v>
      </c>
      <c r="BB97" s="53">
        <v>195500</v>
      </c>
      <c r="BC97" s="55">
        <f t="shared" si="38"/>
        <v>0.37420357619815597</v>
      </c>
      <c r="BD97" s="53">
        <v>195500</v>
      </c>
      <c r="BE97" s="55">
        <f t="shared" si="39"/>
        <v>0.37420357619815597</v>
      </c>
    </row>
    <row r="98" spans="1:57" s="57" customFormat="1" ht="11.25" x14ac:dyDescent="0.2">
      <c r="A98" s="44" t="s">
        <v>670</v>
      </c>
      <c r="B98" s="45" t="s">
        <v>671</v>
      </c>
      <c r="C98" s="45" t="s">
        <v>672</v>
      </c>
      <c r="D98" s="46" t="s">
        <v>673</v>
      </c>
      <c r="E98" s="47" t="s">
        <v>674</v>
      </c>
      <c r="F98" s="47" t="s">
        <v>675</v>
      </c>
      <c r="G98" s="47" t="s">
        <v>676</v>
      </c>
      <c r="H98" s="48" t="s">
        <v>55</v>
      </c>
      <c r="I98" s="48" t="s">
        <v>677</v>
      </c>
      <c r="J98" s="49">
        <v>95312</v>
      </c>
      <c r="K98" s="50">
        <v>0</v>
      </c>
      <c r="L98" s="50">
        <f t="shared" si="25"/>
        <v>95312</v>
      </c>
      <c r="M98" s="50">
        <v>195500</v>
      </c>
      <c r="N98" s="51">
        <f t="shared" si="44"/>
        <v>0.48752941176470588</v>
      </c>
      <c r="O98" s="52">
        <v>96694</v>
      </c>
      <c r="P98" s="53">
        <v>0</v>
      </c>
      <c r="Q98" s="53">
        <f t="shared" si="26"/>
        <v>96694</v>
      </c>
      <c r="R98" s="53">
        <v>195500</v>
      </c>
      <c r="S98" s="54">
        <f t="shared" si="40"/>
        <v>0.49459846547314579</v>
      </c>
      <c r="T98" s="52">
        <v>108497</v>
      </c>
      <c r="U98" s="53">
        <v>0</v>
      </c>
      <c r="V98" s="53">
        <f t="shared" si="27"/>
        <v>108497</v>
      </c>
      <c r="W98" s="53">
        <v>195500</v>
      </c>
      <c r="X98" s="54">
        <f t="shared" si="41"/>
        <v>0.55497186700767265</v>
      </c>
      <c r="Y98" s="52">
        <v>116594</v>
      </c>
      <c r="Z98" s="53">
        <v>0</v>
      </c>
      <c r="AA98" s="53">
        <f t="shared" si="28"/>
        <v>116594</v>
      </c>
      <c r="AB98" s="53">
        <v>195500</v>
      </c>
      <c r="AC98" s="54">
        <f t="shared" si="42"/>
        <v>0.59638874680306908</v>
      </c>
      <c r="AD98" s="52">
        <v>125296</v>
      </c>
      <c r="AE98" s="53">
        <v>0</v>
      </c>
      <c r="AF98" s="53">
        <f t="shared" si="29"/>
        <v>125296</v>
      </c>
      <c r="AG98" s="53">
        <v>195500</v>
      </c>
      <c r="AH98" s="55">
        <f t="shared" si="30"/>
        <v>0.64090025575447573</v>
      </c>
      <c r="AI98" s="56">
        <v>195500</v>
      </c>
      <c r="AJ98" s="54">
        <f t="shared" si="43"/>
        <v>0.64090025575447573</v>
      </c>
      <c r="AK98" s="52">
        <v>138562.49499530712</v>
      </c>
      <c r="AL98" s="53">
        <v>0</v>
      </c>
      <c r="AM98" s="53">
        <f t="shared" si="31"/>
        <v>138562.49499530712</v>
      </c>
      <c r="AN98" s="53">
        <v>195500</v>
      </c>
      <c r="AO98" s="55">
        <f t="shared" si="32"/>
        <v>0.70875956519338679</v>
      </c>
      <c r="AP98" s="53">
        <v>195500</v>
      </c>
      <c r="AQ98" s="55">
        <f t="shared" si="33"/>
        <v>0.70875956519338679</v>
      </c>
      <c r="AR98" s="52">
        <v>153233.6628409886</v>
      </c>
      <c r="AS98" s="53">
        <v>0</v>
      </c>
      <c r="AT98" s="53">
        <f t="shared" si="34"/>
        <v>153233.6628409886</v>
      </c>
      <c r="AU98" s="53">
        <v>195500</v>
      </c>
      <c r="AV98" s="55">
        <f t="shared" si="35"/>
        <v>0.78380390199994165</v>
      </c>
      <c r="AW98" s="53">
        <v>195500</v>
      </c>
      <c r="AX98" s="55">
        <f t="shared" si="36"/>
        <v>0.78380390199994165</v>
      </c>
      <c r="AY98" s="52">
        <v>167204.2623565266</v>
      </c>
      <c r="AZ98" s="53">
        <v>0</v>
      </c>
      <c r="BA98" s="53">
        <f t="shared" si="37"/>
        <v>167204.2623565266</v>
      </c>
      <c r="BB98" s="53">
        <v>195500</v>
      </c>
      <c r="BC98" s="55">
        <f t="shared" si="38"/>
        <v>0.85526476908709259</v>
      </c>
      <c r="BD98" s="53">
        <v>195500</v>
      </c>
      <c r="BE98" s="55">
        <f t="shared" si="39"/>
        <v>0.85526476908709259</v>
      </c>
    </row>
    <row r="99" spans="1:57" s="57" customFormat="1" ht="11.25" x14ac:dyDescent="0.2">
      <c r="A99" s="44" t="s">
        <v>678</v>
      </c>
      <c r="B99" s="45" t="s">
        <v>679</v>
      </c>
      <c r="C99" s="45" t="s">
        <v>33</v>
      </c>
      <c r="D99" s="46" t="s">
        <v>680</v>
      </c>
      <c r="E99" s="47" t="s">
        <v>681</v>
      </c>
      <c r="F99" s="47" t="s">
        <v>682</v>
      </c>
      <c r="G99" s="47" t="s">
        <v>683</v>
      </c>
      <c r="H99" s="48" t="s">
        <v>73</v>
      </c>
      <c r="I99" s="48" t="s">
        <v>486</v>
      </c>
      <c r="J99" s="49">
        <v>14293</v>
      </c>
      <c r="K99" s="50">
        <v>0</v>
      </c>
      <c r="L99" s="50">
        <f t="shared" si="25"/>
        <v>14293</v>
      </c>
      <c r="M99" s="50">
        <v>126500</v>
      </c>
      <c r="N99" s="51">
        <f t="shared" si="44"/>
        <v>0.11298814229249012</v>
      </c>
      <c r="O99" s="52">
        <v>14550</v>
      </c>
      <c r="P99" s="53">
        <v>0</v>
      </c>
      <c r="Q99" s="53">
        <f t="shared" si="26"/>
        <v>14550</v>
      </c>
      <c r="R99" s="53">
        <v>126500</v>
      </c>
      <c r="S99" s="54">
        <f t="shared" si="40"/>
        <v>0.1150197628458498</v>
      </c>
      <c r="T99" s="52">
        <v>16782</v>
      </c>
      <c r="U99" s="53">
        <v>0</v>
      </c>
      <c r="V99" s="53">
        <f t="shared" si="27"/>
        <v>16782</v>
      </c>
      <c r="W99" s="53">
        <v>126500</v>
      </c>
      <c r="X99" s="54">
        <f t="shared" si="41"/>
        <v>0.13266403162055335</v>
      </c>
      <c r="Y99" s="52">
        <v>18348</v>
      </c>
      <c r="Z99" s="53">
        <v>0</v>
      </c>
      <c r="AA99" s="53">
        <f t="shared" si="28"/>
        <v>18348</v>
      </c>
      <c r="AB99" s="53">
        <v>126500</v>
      </c>
      <c r="AC99" s="54">
        <f t="shared" si="42"/>
        <v>0.14504347826086955</v>
      </c>
      <c r="AD99" s="52">
        <v>20060</v>
      </c>
      <c r="AE99" s="53">
        <v>0</v>
      </c>
      <c r="AF99" s="53">
        <f t="shared" si="29"/>
        <v>20060</v>
      </c>
      <c r="AG99" s="53">
        <v>126500</v>
      </c>
      <c r="AH99" s="55">
        <f t="shared" si="30"/>
        <v>0.15857707509881422</v>
      </c>
      <c r="AI99" s="56">
        <v>126500</v>
      </c>
      <c r="AJ99" s="54">
        <f t="shared" si="43"/>
        <v>0.15857707509881422</v>
      </c>
      <c r="AK99" s="52">
        <v>23130.431433542217</v>
      </c>
      <c r="AL99" s="53">
        <v>0</v>
      </c>
      <c r="AM99" s="53">
        <f t="shared" si="31"/>
        <v>23130.431433542217</v>
      </c>
      <c r="AN99" s="53">
        <v>126500</v>
      </c>
      <c r="AO99" s="55">
        <f t="shared" si="32"/>
        <v>0.18284926034420726</v>
      </c>
      <c r="AP99" s="53">
        <v>126500</v>
      </c>
      <c r="AQ99" s="55">
        <f t="shared" si="33"/>
        <v>0.18284926034420726</v>
      </c>
      <c r="AR99" s="52">
        <v>26670.830423818443</v>
      </c>
      <c r="AS99" s="53">
        <v>0</v>
      </c>
      <c r="AT99" s="53">
        <f t="shared" si="34"/>
        <v>26670.830423818443</v>
      </c>
      <c r="AU99" s="53">
        <v>126500</v>
      </c>
      <c r="AV99" s="55">
        <f t="shared" si="35"/>
        <v>0.21083660414085725</v>
      </c>
      <c r="AW99" s="53">
        <v>126500</v>
      </c>
      <c r="AX99" s="55">
        <f t="shared" si="36"/>
        <v>0.21083660414085725</v>
      </c>
      <c r="AY99" s="52">
        <v>30530.13392443163</v>
      </c>
      <c r="AZ99" s="53">
        <v>0</v>
      </c>
      <c r="BA99" s="53">
        <f t="shared" si="37"/>
        <v>30530.13392443163</v>
      </c>
      <c r="BB99" s="53">
        <v>126500</v>
      </c>
      <c r="BC99" s="55">
        <f t="shared" si="38"/>
        <v>0.24134493220894568</v>
      </c>
      <c r="BD99" s="53">
        <v>126500</v>
      </c>
      <c r="BE99" s="55">
        <f t="shared" si="39"/>
        <v>0.24134493220894568</v>
      </c>
    </row>
    <row r="100" spans="1:57" s="57" customFormat="1" ht="11.25" x14ac:dyDescent="0.2">
      <c r="A100" s="44" t="s">
        <v>684</v>
      </c>
      <c r="B100" s="45" t="s">
        <v>685</v>
      </c>
      <c r="C100" s="45" t="s">
        <v>33</v>
      </c>
      <c r="D100" s="46" t="s">
        <v>686</v>
      </c>
      <c r="E100" s="47" t="s">
        <v>687</v>
      </c>
      <c r="F100" s="47" t="s">
        <v>347</v>
      </c>
      <c r="G100" s="47" t="s">
        <v>688</v>
      </c>
      <c r="H100" s="48" t="s">
        <v>46</v>
      </c>
      <c r="I100" s="48" t="s">
        <v>689</v>
      </c>
      <c r="J100" s="49">
        <v>14168</v>
      </c>
      <c r="K100" s="50">
        <v>0</v>
      </c>
      <c r="L100" s="50">
        <f t="shared" si="25"/>
        <v>14168</v>
      </c>
      <c r="M100" s="50">
        <v>184000</v>
      </c>
      <c r="N100" s="51">
        <f t="shared" si="44"/>
        <v>7.6999999999999999E-2</v>
      </c>
      <c r="O100" s="52">
        <v>14338</v>
      </c>
      <c r="P100" s="53">
        <v>0</v>
      </c>
      <c r="Q100" s="53">
        <f t="shared" si="26"/>
        <v>14338</v>
      </c>
      <c r="R100" s="53">
        <v>184000</v>
      </c>
      <c r="S100" s="54">
        <f t="shared" si="40"/>
        <v>7.792391304347826E-2</v>
      </c>
      <c r="T100" s="52">
        <v>15774</v>
      </c>
      <c r="U100" s="53">
        <v>0</v>
      </c>
      <c r="V100" s="53">
        <f t="shared" si="27"/>
        <v>15774</v>
      </c>
      <c r="W100" s="53">
        <v>184000</v>
      </c>
      <c r="X100" s="54">
        <f t="shared" si="41"/>
        <v>8.5728260869565212E-2</v>
      </c>
      <c r="Y100" s="52">
        <v>16743</v>
      </c>
      <c r="Z100" s="53">
        <v>0</v>
      </c>
      <c r="AA100" s="53">
        <f t="shared" si="28"/>
        <v>16743</v>
      </c>
      <c r="AB100" s="53">
        <v>184000</v>
      </c>
      <c r="AC100" s="54">
        <f t="shared" si="42"/>
        <v>9.0994565217391299E-2</v>
      </c>
      <c r="AD100" s="52">
        <v>17772</v>
      </c>
      <c r="AE100" s="53">
        <v>0</v>
      </c>
      <c r="AF100" s="53">
        <f t="shared" si="29"/>
        <v>17772</v>
      </c>
      <c r="AG100" s="53">
        <v>184000</v>
      </c>
      <c r="AH100" s="55">
        <f t="shared" si="30"/>
        <v>9.6586956521739126E-2</v>
      </c>
      <c r="AI100" s="56">
        <v>195500</v>
      </c>
      <c r="AJ100" s="54">
        <f t="shared" si="43"/>
        <v>9.0905370843989766E-2</v>
      </c>
      <c r="AK100" s="52">
        <v>19308.768148593699</v>
      </c>
      <c r="AL100" s="53">
        <v>0</v>
      </c>
      <c r="AM100" s="53">
        <f t="shared" si="31"/>
        <v>19308.768148593699</v>
      </c>
      <c r="AN100" s="53">
        <v>184000</v>
      </c>
      <c r="AO100" s="55">
        <f t="shared" si="32"/>
        <v>0.10493895732931358</v>
      </c>
      <c r="AP100" s="53">
        <v>195500</v>
      </c>
      <c r="AQ100" s="55">
        <f t="shared" si="33"/>
        <v>9.8766077486412779E-2</v>
      </c>
      <c r="AR100" s="52">
        <v>20978.422654520971</v>
      </c>
      <c r="AS100" s="53">
        <v>0</v>
      </c>
      <c r="AT100" s="53">
        <f t="shared" si="34"/>
        <v>20978.422654520971</v>
      </c>
      <c r="AU100" s="53">
        <v>184000</v>
      </c>
      <c r="AV100" s="55">
        <f t="shared" si="35"/>
        <v>0.11401316660065745</v>
      </c>
      <c r="AW100" s="53">
        <v>195500</v>
      </c>
      <c r="AX100" s="55">
        <f t="shared" si="36"/>
        <v>0.10730650974179524</v>
      </c>
      <c r="AY100" s="52">
        <v>22506.95066692679</v>
      </c>
      <c r="AZ100" s="53">
        <v>0</v>
      </c>
      <c r="BA100" s="53">
        <f t="shared" si="37"/>
        <v>22506.95066692679</v>
      </c>
      <c r="BB100" s="53">
        <v>184000</v>
      </c>
      <c r="BC100" s="55">
        <f t="shared" si="38"/>
        <v>0.12232038405938472</v>
      </c>
      <c r="BD100" s="53">
        <v>195500</v>
      </c>
      <c r="BE100" s="55">
        <f t="shared" si="39"/>
        <v>0.11512506735000916</v>
      </c>
    </row>
    <row r="101" spans="1:57" s="57" customFormat="1" ht="11.25" x14ac:dyDescent="0.2">
      <c r="A101" s="44" t="s">
        <v>690</v>
      </c>
      <c r="B101" s="45" t="s">
        <v>663</v>
      </c>
      <c r="C101" s="45" t="s">
        <v>691</v>
      </c>
      <c r="D101" s="46" t="s">
        <v>692</v>
      </c>
      <c r="E101" s="47" t="s">
        <v>693</v>
      </c>
      <c r="F101" s="47" t="s">
        <v>694</v>
      </c>
      <c r="G101" s="47" t="s">
        <v>695</v>
      </c>
      <c r="H101" s="48" t="s">
        <v>46</v>
      </c>
      <c r="I101" s="48" t="s">
        <v>669</v>
      </c>
      <c r="J101" s="49">
        <v>48743</v>
      </c>
      <c r="K101" s="50">
        <v>0</v>
      </c>
      <c r="L101" s="50">
        <f t="shared" si="25"/>
        <v>48743</v>
      </c>
      <c r="M101" s="50">
        <v>195500</v>
      </c>
      <c r="N101" s="51">
        <f t="shared" si="44"/>
        <v>0.24932480818414321</v>
      </c>
      <c r="O101" s="52">
        <v>49522</v>
      </c>
      <c r="P101" s="53">
        <v>0</v>
      </c>
      <c r="Q101" s="53">
        <f t="shared" si="26"/>
        <v>49522</v>
      </c>
      <c r="R101" s="53">
        <v>195500</v>
      </c>
      <c r="S101" s="54">
        <f t="shared" si="40"/>
        <v>0.25330946291560102</v>
      </c>
      <c r="T101" s="52">
        <v>56228</v>
      </c>
      <c r="U101" s="53">
        <v>0</v>
      </c>
      <c r="V101" s="53">
        <f t="shared" si="27"/>
        <v>56228</v>
      </c>
      <c r="W101" s="53">
        <v>195500</v>
      </c>
      <c r="X101" s="54">
        <f t="shared" si="41"/>
        <v>0.28761125319693093</v>
      </c>
      <c r="Y101" s="52">
        <v>60872</v>
      </c>
      <c r="Z101" s="53">
        <v>0</v>
      </c>
      <c r="AA101" s="53">
        <f t="shared" si="28"/>
        <v>60872</v>
      </c>
      <c r="AB101" s="53">
        <v>195500</v>
      </c>
      <c r="AC101" s="54">
        <f t="shared" si="42"/>
        <v>0.31136572890025577</v>
      </c>
      <c r="AD101" s="52">
        <v>65901</v>
      </c>
      <c r="AE101" s="53">
        <v>0</v>
      </c>
      <c r="AF101" s="53">
        <f t="shared" si="29"/>
        <v>65901</v>
      </c>
      <c r="AG101" s="53">
        <v>195500</v>
      </c>
      <c r="AH101" s="55">
        <f t="shared" si="30"/>
        <v>0.33708951406649618</v>
      </c>
      <c r="AI101" s="56">
        <v>195500</v>
      </c>
      <c r="AJ101" s="54">
        <f t="shared" si="43"/>
        <v>0.33708951406649618</v>
      </c>
      <c r="AK101" s="52">
        <v>74059.490125122058</v>
      </c>
      <c r="AL101" s="53">
        <v>0</v>
      </c>
      <c r="AM101" s="53">
        <f t="shared" si="31"/>
        <v>74059.490125122058</v>
      </c>
      <c r="AN101" s="53">
        <v>195500</v>
      </c>
      <c r="AO101" s="55">
        <f t="shared" si="32"/>
        <v>0.37882092135612305</v>
      </c>
      <c r="AP101" s="53">
        <v>195500</v>
      </c>
      <c r="AQ101" s="55">
        <f t="shared" si="33"/>
        <v>0.37882092135612305</v>
      </c>
      <c r="AR101" s="52">
        <v>83227.994682828052</v>
      </c>
      <c r="AS101" s="53">
        <v>0</v>
      </c>
      <c r="AT101" s="53">
        <f t="shared" si="34"/>
        <v>83227.994682828052</v>
      </c>
      <c r="AU101" s="53">
        <v>195500</v>
      </c>
      <c r="AV101" s="55">
        <f t="shared" si="35"/>
        <v>0.42571864287891586</v>
      </c>
      <c r="AW101" s="53">
        <v>195500</v>
      </c>
      <c r="AX101" s="55">
        <f t="shared" si="36"/>
        <v>0.42571864287891586</v>
      </c>
      <c r="AY101" s="52">
        <v>92202.282862392007</v>
      </c>
      <c r="AZ101" s="53">
        <v>0</v>
      </c>
      <c r="BA101" s="53">
        <f t="shared" si="37"/>
        <v>92202.282862392007</v>
      </c>
      <c r="BB101" s="53">
        <v>195500</v>
      </c>
      <c r="BC101" s="55">
        <f t="shared" si="38"/>
        <v>0.47162293024241436</v>
      </c>
      <c r="BD101" s="53">
        <v>195500</v>
      </c>
      <c r="BE101" s="55">
        <f t="shared" si="39"/>
        <v>0.47162293024241436</v>
      </c>
    </row>
    <row r="102" spans="1:57" s="57" customFormat="1" ht="11.25" x14ac:dyDescent="0.2">
      <c r="A102" s="44" t="s">
        <v>696</v>
      </c>
      <c r="B102" s="45" t="s">
        <v>697</v>
      </c>
      <c r="C102" s="45" t="s">
        <v>698</v>
      </c>
      <c r="D102" s="46" t="s">
        <v>699</v>
      </c>
      <c r="E102" s="47" t="s">
        <v>700</v>
      </c>
      <c r="F102" s="47" t="s">
        <v>701</v>
      </c>
      <c r="G102" s="47" t="s">
        <v>702</v>
      </c>
      <c r="H102" s="48" t="s">
        <v>98</v>
      </c>
      <c r="I102" s="48" t="s">
        <v>260</v>
      </c>
      <c r="J102" s="49">
        <v>171453</v>
      </c>
      <c r="K102" s="50">
        <v>0</v>
      </c>
      <c r="L102" s="50">
        <f t="shared" si="25"/>
        <v>171453</v>
      </c>
      <c r="M102" s="50">
        <v>230000.00000000585</v>
      </c>
      <c r="N102" s="51">
        <f t="shared" si="44"/>
        <v>0.7454478260869376</v>
      </c>
      <c r="O102" s="52">
        <v>173202</v>
      </c>
      <c r="P102" s="53">
        <v>0</v>
      </c>
      <c r="Q102" s="53">
        <f t="shared" si="26"/>
        <v>173202</v>
      </c>
      <c r="R102" s="53">
        <v>230000.00000000585</v>
      </c>
      <c r="S102" s="54">
        <f t="shared" si="40"/>
        <v>0.75305217391302437</v>
      </c>
      <c r="T102" s="52">
        <v>187850</v>
      </c>
      <c r="U102" s="53">
        <v>0</v>
      </c>
      <c r="V102" s="53">
        <f t="shared" si="27"/>
        <v>187850</v>
      </c>
      <c r="W102" s="53">
        <v>230000.00000000585</v>
      </c>
      <c r="X102" s="54">
        <f t="shared" si="41"/>
        <v>0.81673913043476187</v>
      </c>
      <c r="Y102" s="52">
        <v>197628</v>
      </c>
      <c r="Z102" s="53">
        <v>0</v>
      </c>
      <c r="AA102" s="53">
        <f t="shared" si="28"/>
        <v>197628</v>
      </c>
      <c r="AB102" s="53">
        <v>230000.00000000585</v>
      </c>
      <c r="AC102" s="54">
        <f t="shared" si="42"/>
        <v>0.85925217391302167</v>
      </c>
      <c r="AD102" s="52">
        <v>207915</v>
      </c>
      <c r="AE102" s="53">
        <v>0</v>
      </c>
      <c r="AF102" s="53">
        <f t="shared" si="29"/>
        <v>207915</v>
      </c>
      <c r="AG102" s="53">
        <v>230000.00000000585</v>
      </c>
      <c r="AH102" s="55">
        <f t="shared" si="30"/>
        <v>0.90397826086954225</v>
      </c>
      <c r="AI102" s="56">
        <v>230000</v>
      </c>
      <c r="AJ102" s="54">
        <f t="shared" si="43"/>
        <v>0.90397826086956523</v>
      </c>
      <c r="AK102" s="52">
        <v>226300.82201762203</v>
      </c>
      <c r="AL102" s="53">
        <v>0</v>
      </c>
      <c r="AM102" s="53">
        <f t="shared" si="31"/>
        <v>226300.82201762203</v>
      </c>
      <c r="AN102" s="53">
        <v>230000.00000000585</v>
      </c>
      <c r="AO102" s="55">
        <f t="shared" si="32"/>
        <v>0.98391661746789683</v>
      </c>
      <c r="AP102" s="53">
        <v>230000</v>
      </c>
      <c r="AQ102" s="55">
        <f t="shared" si="33"/>
        <v>0.98391661746792192</v>
      </c>
      <c r="AR102" s="52">
        <v>246312.49330664676</v>
      </c>
      <c r="AS102" s="53">
        <v>0</v>
      </c>
      <c r="AT102" s="53">
        <f t="shared" si="34"/>
        <v>246312.49330664676</v>
      </c>
      <c r="AU102" s="53">
        <v>230000.00000000585</v>
      </c>
      <c r="AV102" s="55">
        <f t="shared" si="35"/>
        <v>1.0709238839419153</v>
      </c>
      <c r="AW102" s="53">
        <v>230000</v>
      </c>
      <c r="AX102" s="55">
        <f t="shared" si="36"/>
        <v>1.0709238839419424</v>
      </c>
      <c r="AY102" s="52">
        <v>267632.6770686261</v>
      </c>
      <c r="AZ102" s="53">
        <v>0</v>
      </c>
      <c r="BA102" s="53">
        <f t="shared" si="37"/>
        <v>267632.6770686261</v>
      </c>
      <c r="BB102" s="53">
        <v>230000.00000000585</v>
      </c>
      <c r="BC102" s="55">
        <f t="shared" si="38"/>
        <v>1.1636203350809535</v>
      </c>
      <c r="BD102" s="53">
        <v>230000</v>
      </c>
      <c r="BE102" s="55">
        <f t="shared" si="39"/>
        <v>1.1636203350809831</v>
      </c>
    </row>
    <row r="103" spans="1:57" s="57" customFormat="1" ht="11.25" x14ac:dyDescent="0.2">
      <c r="A103" s="44" t="s">
        <v>703</v>
      </c>
      <c r="B103" s="45" t="s">
        <v>704</v>
      </c>
      <c r="C103" s="45" t="s">
        <v>705</v>
      </c>
      <c r="D103" s="46" t="s">
        <v>706</v>
      </c>
      <c r="E103" s="47" t="s">
        <v>707</v>
      </c>
      <c r="F103" s="47" t="s">
        <v>708</v>
      </c>
      <c r="G103" s="47" t="s">
        <v>709</v>
      </c>
      <c r="H103" s="48" t="s">
        <v>55</v>
      </c>
      <c r="I103" s="48" t="s">
        <v>710</v>
      </c>
      <c r="J103" s="49">
        <v>6302</v>
      </c>
      <c r="K103" s="50">
        <v>0</v>
      </c>
      <c r="L103" s="50">
        <f t="shared" si="25"/>
        <v>6302</v>
      </c>
      <c r="M103" s="50">
        <v>195500</v>
      </c>
      <c r="N103" s="51">
        <f t="shared" si="44"/>
        <v>3.2235294117647056E-2</v>
      </c>
      <c r="O103" s="52">
        <v>6365</v>
      </c>
      <c r="P103" s="53">
        <v>0</v>
      </c>
      <c r="Q103" s="53">
        <f t="shared" si="26"/>
        <v>6365</v>
      </c>
      <c r="R103" s="53">
        <v>195500</v>
      </c>
      <c r="S103" s="54">
        <f t="shared" si="40"/>
        <v>3.2557544757033249E-2</v>
      </c>
      <c r="T103" s="52">
        <v>6893</v>
      </c>
      <c r="U103" s="53">
        <v>0</v>
      </c>
      <c r="V103" s="53">
        <f t="shared" si="27"/>
        <v>6893</v>
      </c>
      <c r="W103" s="53">
        <v>195500</v>
      </c>
      <c r="X103" s="54">
        <f t="shared" si="41"/>
        <v>3.5258312020460356E-2</v>
      </c>
      <c r="Y103" s="52">
        <v>7244</v>
      </c>
      <c r="Z103" s="53">
        <v>0</v>
      </c>
      <c r="AA103" s="53">
        <f t="shared" si="28"/>
        <v>7244</v>
      </c>
      <c r="AB103" s="53">
        <v>195500</v>
      </c>
      <c r="AC103" s="54">
        <f t="shared" si="42"/>
        <v>3.7053708439897699E-2</v>
      </c>
      <c r="AD103" s="52">
        <v>7614</v>
      </c>
      <c r="AE103" s="53">
        <v>0</v>
      </c>
      <c r="AF103" s="53">
        <f t="shared" si="29"/>
        <v>7614</v>
      </c>
      <c r="AG103" s="53">
        <v>195500</v>
      </c>
      <c r="AH103" s="55">
        <f t="shared" si="30"/>
        <v>3.8946291560102299E-2</v>
      </c>
      <c r="AI103" s="56">
        <v>195500</v>
      </c>
      <c r="AJ103" s="54">
        <f t="shared" si="43"/>
        <v>3.8946291560102299E-2</v>
      </c>
      <c r="AK103" s="52">
        <v>8225.7278257209018</v>
      </c>
      <c r="AL103" s="53">
        <v>0</v>
      </c>
      <c r="AM103" s="53">
        <f t="shared" si="31"/>
        <v>8225.7278257209018</v>
      </c>
      <c r="AN103" s="53">
        <v>195500</v>
      </c>
      <c r="AO103" s="55">
        <f t="shared" si="32"/>
        <v>4.2075334146909983E-2</v>
      </c>
      <c r="AP103" s="53">
        <v>195500</v>
      </c>
      <c r="AQ103" s="55">
        <f t="shared" si="33"/>
        <v>4.2075334146909983E-2</v>
      </c>
      <c r="AR103" s="52">
        <v>8886.6033967479743</v>
      </c>
      <c r="AS103" s="53">
        <v>0</v>
      </c>
      <c r="AT103" s="53">
        <f t="shared" si="34"/>
        <v>8886.6033967479743</v>
      </c>
      <c r="AU103" s="53">
        <v>195500</v>
      </c>
      <c r="AV103" s="55">
        <f t="shared" si="35"/>
        <v>4.5455771850373271E-2</v>
      </c>
      <c r="AW103" s="53">
        <v>195500</v>
      </c>
      <c r="AX103" s="55">
        <f t="shared" si="36"/>
        <v>4.5455771850373271E-2</v>
      </c>
      <c r="AY103" s="52">
        <v>9602.4590345946945</v>
      </c>
      <c r="AZ103" s="53">
        <v>0</v>
      </c>
      <c r="BA103" s="53">
        <f t="shared" si="37"/>
        <v>9602.4590345946945</v>
      </c>
      <c r="BB103" s="53">
        <v>195500</v>
      </c>
      <c r="BC103" s="55">
        <f t="shared" si="38"/>
        <v>4.9117437517108412E-2</v>
      </c>
      <c r="BD103" s="53">
        <v>195500</v>
      </c>
      <c r="BE103" s="55">
        <f t="shared" si="39"/>
        <v>4.9117437517108412E-2</v>
      </c>
    </row>
    <row r="104" spans="1:57" s="57" customFormat="1" ht="11.25" x14ac:dyDescent="0.2">
      <c r="A104" s="44" t="s">
        <v>711</v>
      </c>
      <c r="B104" s="45" t="s">
        <v>712</v>
      </c>
      <c r="C104" s="45" t="s">
        <v>33</v>
      </c>
      <c r="D104" s="46" t="s">
        <v>713</v>
      </c>
      <c r="E104" s="47" t="s">
        <v>714</v>
      </c>
      <c r="F104" s="47" t="s">
        <v>715</v>
      </c>
      <c r="G104" s="47" t="s">
        <v>716</v>
      </c>
      <c r="H104" s="48" t="s">
        <v>64</v>
      </c>
      <c r="I104" s="48" t="s">
        <v>90</v>
      </c>
      <c r="J104" s="49">
        <v>5226</v>
      </c>
      <c r="K104" s="50">
        <v>0</v>
      </c>
      <c r="L104" s="50">
        <f t="shared" si="25"/>
        <v>5226</v>
      </c>
      <c r="M104" s="50">
        <v>161000</v>
      </c>
      <c r="N104" s="51">
        <f t="shared" si="44"/>
        <v>3.2459627329192546E-2</v>
      </c>
      <c r="O104" s="52">
        <v>5252</v>
      </c>
      <c r="P104" s="53">
        <v>0</v>
      </c>
      <c r="Q104" s="53">
        <f t="shared" si="26"/>
        <v>5252</v>
      </c>
      <c r="R104" s="53">
        <v>161000</v>
      </c>
      <c r="S104" s="54">
        <f t="shared" si="40"/>
        <v>3.2621118012422359E-2</v>
      </c>
      <c r="T104" s="52">
        <v>5466</v>
      </c>
      <c r="U104" s="53">
        <v>0</v>
      </c>
      <c r="V104" s="53">
        <f t="shared" si="27"/>
        <v>5466</v>
      </c>
      <c r="W104" s="53">
        <v>161000</v>
      </c>
      <c r="X104" s="54">
        <f t="shared" si="41"/>
        <v>3.3950310559006214E-2</v>
      </c>
      <c r="Y104" s="52">
        <v>5604</v>
      </c>
      <c r="Z104" s="53">
        <v>0</v>
      </c>
      <c r="AA104" s="53">
        <f t="shared" si="28"/>
        <v>5604</v>
      </c>
      <c r="AB104" s="53">
        <v>161000</v>
      </c>
      <c r="AC104" s="54">
        <f t="shared" si="42"/>
        <v>3.4807453416149069E-2</v>
      </c>
      <c r="AD104" s="52">
        <v>5745</v>
      </c>
      <c r="AE104" s="53">
        <v>0</v>
      </c>
      <c r="AF104" s="53">
        <f t="shared" si="29"/>
        <v>5745</v>
      </c>
      <c r="AG104" s="53">
        <v>161000</v>
      </c>
      <c r="AH104" s="55">
        <f t="shared" si="30"/>
        <v>3.5683229813664598E-2</v>
      </c>
      <c r="AI104" s="56">
        <v>172500</v>
      </c>
      <c r="AJ104" s="54">
        <f t="shared" si="43"/>
        <v>3.3304347826086954E-2</v>
      </c>
      <c r="AK104" s="52">
        <v>5959.2208303087973</v>
      </c>
      <c r="AL104" s="53">
        <v>0</v>
      </c>
      <c r="AM104" s="53">
        <f t="shared" si="31"/>
        <v>5959.2208303087973</v>
      </c>
      <c r="AN104" s="53">
        <v>161000</v>
      </c>
      <c r="AO104" s="55">
        <f t="shared" si="32"/>
        <v>3.7013793977073273E-2</v>
      </c>
      <c r="AP104" s="53">
        <v>172500</v>
      </c>
      <c r="AQ104" s="55">
        <f t="shared" si="33"/>
        <v>3.4546207711935055E-2</v>
      </c>
      <c r="AR104" s="52">
        <v>6181.4295743057028</v>
      </c>
      <c r="AS104" s="53">
        <v>0</v>
      </c>
      <c r="AT104" s="53">
        <f t="shared" si="34"/>
        <v>6181.4295743057028</v>
      </c>
      <c r="AU104" s="53">
        <v>161000</v>
      </c>
      <c r="AV104" s="55">
        <f t="shared" si="35"/>
        <v>3.8393972511215547E-2</v>
      </c>
      <c r="AW104" s="53">
        <v>172500</v>
      </c>
      <c r="AX104" s="55">
        <f t="shared" si="36"/>
        <v>3.5834374343801177E-2</v>
      </c>
      <c r="AY104" s="52">
        <v>6379.1192305655104</v>
      </c>
      <c r="AZ104" s="53">
        <v>0</v>
      </c>
      <c r="BA104" s="53">
        <f t="shared" si="37"/>
        <v>6379.1192305655104</v>
      </c>
      <c r="BB104" s="53">
        <v>161000</v>
      </c>
      <c r="BC104" s="55">
        <f t="shared" si="38"/>
        <v>3.9621858574941056E-2</v>
      </c>
      <c r="BD104" s="53">
        <v>172500</v>
      </c>
      <c r="BE104" s="55">
        <f t="shared" si="39"/>
        <v>3.6980401336611651E-2</v>
      </c>
    </row>
    <row r="105" spans="1:57" s="57" customFormat="1" ht="11.25" x14ac:dyDescent="0.2">
      <c r="A105" s="44" t="s">
        <v>717</v>
      </c>
      <c r="B105" s="45" t="s">
        <v>718</v>
      </c>
      <c r="C105" s="45" t="s">
        <v>719</v>
      </c>
      <c r="D105" s="46" t="s">
        <v>720</v>
      </c>
      <c r="E105" s="47" t="s">
        <v>721</v>
      </c>
      <c r="F105" s="47" t="s">
        <v>722</v>
      </c>
      <c r="G105" s="47" t="s">
        <v>723</v>
      </c>
      <c r="H105" s="48" t="s">
        <v>29</v>
      </c>
      <c r="I105" s="48" t="s">
        <v>136</v>
      </c>
      <c r="J105" s="49">
        <v>82647</v>
      </c>
      <c r="K105" s="50">
        <v>21152</v>
      </c>
      <c r="L105" s="50">
        <f t="shared" si="25"/>
        <v>103799</v>
      </c>
      <c r="M105" s="50">
        <v>250469.07893235126</v>
      </c>
      <c r="N105" s="51">
        <f t="shared" si="44"/>
        <v>0.41441842019962427</v>
      </c>
      <c r="O105" s="52">
        <v>83837</v>
      </c>
      <c r="P105" s="53">
        <v>21913</v>
      </c>
      <c r="Q105" s="53">
        <f t="shared" si="26"/>
        <v>105750</v>
      </c>
      <c r="R105" s="53">
        <v>250469.07893235126</v>
      </c>
      <c r="S105" s="54">
        <f t="shared" si="40"/>
        <v>0.42220780485467363</v>
      </c>
      <c r="T105" s="52">
        <v>93996</v>
      </c>
      <c r="U105" s="53">
        <v>29080</v>
      </c>
      <c r="V105" s="53">
        <f t="shared" si="27"/>
        <v>123076</v>
      </c>
      <c r="W105" s="53">
        <v>250469.07893235126</v>
      </c>
      <c r="X105" s="54">
        <f t="shared" si="41"/>
        <v>0.49138201220135991</v>
      </c>
      <c r="Y105" s="52">
        <v>100962</v>
      </c>
      <c r="Z105" s="53">
        <v>34705</v>
      </c>
      <c r="AA105" s="53">
        <f t="shared" si="28"/>
        <v>135667</v>
      </c>
      <c r="AB105" s="53">
        <v>250469.07893235126</v>
      </c>
      <c r="AC105" s="54">
        <f t="shared" si="42"/>
        <v>0.54165169041341843</v>
      </c>
      <c r="AD105" s="52">
        <v>108444</v>
      </c>
      <c r="AE105" s="53">
        <v>41418</v>
      </c>
      <c r="AF105" s="53">
        <f t="shared" si="29"/>
        <v>149862</v>
      </c>
      <c r="AG105" s="53">
        <v>250469.07893235126</v>
      </c>
      <c r="AH105" s="55">
        <f t="shared" si="30"/>
        <v>0.59832535272937204</v>
      </c>
      <c r="AI105" s="56">
        <v>243600</v>
      </c>
      <c r="AJ105" s="54">
        <f t="shared" si="43"/>
        <v>0.61519704433497535</v>
      </c>
      <c r="AK105" s="52">
        <v>121141.20767196556</v>
      </c>
      <c r="AL105" s="53">
        <v>53579.835102041929</v>
      </c>
      <c r="AM105" s="53">
        <f t="shared" si="31"/>
        <v>174721.04277400748</v>
      </c>
      <c r="AN105" s="53">
        <v>250469.07893235126</v>
      </c>
      <c r="AO105" s="55">
        <f t="shared" si="32"/>
        <v>0.69757529958896669</v>
      </c>
      <c r="AP105" s="53">
        <v>243600</v>
      </c>
      <c r="AQ105" s="55">
        <f t="shared" si="33"/>
        <v>0.71724565999182055</v>
      </c>
      <c r="AR105" s="52">
        <v>135325.07281382364</v>
      </c>
      <c r="AS105" s="53">
        <v>69312.828469795859</v>
      </c>
      <c r="AT105" s="53">
        <f t="shared" si="34"/>
        <v>204637.90128361952</v>
      </c>
      <c r="AU105" s="53">
        <v>250469.07893235126</v>
      </c>
      <c r="AV105" s="55">
        <f t="shared" si="35"/>
        <v>0.81701862024609351</v>
      </c>
      <c r="AW105" s="53">
        <v>243600</v>
      </c>
      <c r="AX105" s="55">
        <f t="shared" si="36"/>
        <v>0.84005706602471064</v>
      </c>
      <c r="AY105" s="52">
        <v>149715.97065419442</v>
      </c>
      <c r="AZ105" s="53">
        <v>86709.026842712177</v>
      </c>
      <c r="BA105" s="53">
        <f t="shared" si="37"/>
        <v>236424.99749690661</v>
      </c>
      <c r="BB105" s="53">
        <v>250469.07893235126</v>
      </c>
      <c r="BC105" s="55">
        <f t="shared" si="38"/>
        <v>0.94392888138005338</v>
      </c>
      <c r="BD105" s="53">
        <v>243600</v>
      </c>
      <c r="BE105" s="55">
        <f t="shared" si="39"/>
        <v>0.97054596673606985</v>
      </c>
    </row>
    <row r="106" spans="1:57" s="57" customFormat="1" ht="11.25" x14ac:dyDescent="0.2">
      <c r="A106" s="44" t="s">
        <v>724</v>
      </c>
      <c r="B106" s="45" t="s">
        <v>725</v>
      </c>
      <c r="C106" s="45" t="s">
        <v>726</v>
      </c>
      <c r="D106" s="46" t="s">
        <v>727</v>
      </c>
      <c r="E106" s="47" t="s">
        <v>728</v>
      </c>
      <c r="F106" s="47" t="s">
        <v>729</v>
      </c>
      <c r="G106" s="47" t="s">
        <v>730</v>
      </c>
      <c r="H106" s="48" t="s">
        <v>376</v>
      </c>
      <c r="I106" s="48" t="s">
        <v>531</v>
      </c>
      <c r="J106" s="49">
        <v>37929</v>
      </c>
      <c r="K106" s="50">
        <v>0</v>
      </c>
      <c r="L106" s="50">
        <f t="shared" si="25"/>
        <v>37929</v>
      </c>
      <c r="M106" s="50">
        <v>200313.00000000012</v>
      </c>
      <c r="N106" s="51">
        <f t="shared" si="44"/>
        <v>0.18934866933249453</v>
      </c>
      <c r="O106" s="52">
        <v>38631</v>
      </c>
      <c r="P106" s="53">
        <v>0</v>
      </c>
      <c r="Q106" s="53">
        <f t="shared" si="26"/>
        <v>38631</v>
      </c>
      <c r="R106" s="53">
        <v>200313.00000000012</v>
      </c>
      <c r="S106" s="54">
        <f t="shared" si="40"/>
        <v>0.19285318476584135</v>
      </c>
      <c r="T106" s="52">
        <v>44732</v>
      </c>
      <c r="U106" s="53">
        <v>0</v>
      </c>
      <c r="V106" s="53">
        <f t="shared" si="27"/>
        <v>44732</v>
      </c>
      <c r="W106" s="53">
        <v>200313.00000000012</v>
      </c>
      <c r="X106" s="54">
        <f t="shared" si="41"/>
        <v>0.22331051903770585</v>
      </c>
      <c r="Y106" s="52">
        <v>49026</v>
      </c>
      <c r="Z106" s="53">
        <v>0</v>
      </c>
      <c r="AA106" s="53">
        <f t="shared" si="28"/>
        <v>49026</v>
      </c>
      <c r="AB106" s="53">
        <v>200313.00000000012</v>
      </c>
      <c r="AC106" s="54">
        <f t="shared" si="42"/>
        <v>0.24474697099039988</v>
      </c>
      <c r="AD106" s="52">
        <v>53732</v>
      </c>
      <c r="AE106" s="53">
        <v>0</v>
      </c>
      <c r="AF106" s="53">
        <f t="shared" si="29"/>
        <v>53732</v>
      </c>
      <c r="AG106" s="53">
        <v>200313.00000000012</v>
      </c>
      <c r="AH106" s="55">
        <f t="shared" si="30"/>
        <v>0.26824020408061366</v>
      </c>
      <c r="AI106" s="56">
        <v>200313</v>
      </c>
      <c r="AJ106" s="54">
        <f t="shared" si="43"/>
        <v>0.26824020408061383</v>
      </c>
      <c r="AK106" s="52">
        <v>61618.162884850106</v>
      </c>
      <c r="AL106" s="53">
        <v>0</v>
      </c>
      <c r="AM106" s="53">
        <f t="shared" si="31"/>
        <v>61618.162884850106</v>
      </c>
      <c r="AN106" s="53">
        <v>200313.00000000012</v>
      </c>
      <c r="AO106" s="55">
        <f t="shared" si="32"/>
        <v>0.3076094057043231</v>
      </c>
      <c r="AP106" s="53">
        <v>200313</v>
      </c>
      <c r="AQ106" s="55">
        <f t="shared" si="33"/>
        <v>0.30760940570432327</v>
      </c>
      <c r="AR106" s="52">
        <v>70661.765750463761</v>
      </c>
      <c r="AS106" s="53">
        <v>0</v>
      </c>
      <c r="AT106" s="53">
        <f t="shared" si="34"/>
        <v>70661.765750463761</v>
      </c>
      <c r="AU106" s="53">
        <v>200313.00000000012</v>
      </c>
      <c r="AV106" s="55">
        <f t="shared" si="35"/>
        <v>0.35275676441600756</v>
      </c>
      <c r="AW106" s="53">
        <v>200313</v>
      </c>
      <c r="AX106" s="55">
        <f t="shared" si="36"/>
        <v>0.35275676441600773</v>
      </c>
      <c r="AY106" s="52">
        <v>79617.6605959999</v>
      </c>
      <c r="AZ106" s="53">
        <v>0</v>
      </c>
      <c r="BA106" s="53">
        <f t="shared" si="37"/>
        <v>79617.6605959999</v>
      </c>
      <c r="BB106" s="53">
        <v>200313.00000000012</v>
      </c>
      <c r="BC106" s="55">
        <f t="shared" si="38"/>
        <v>0.39746626827015646</v>
      </c>
      <c r="BD106" s="53">
        <v>200313</v>
      </c>
      <c r="BE106" s="55">
        <f t="shared" si="39"/>
        <v>0.39746626827015669</v>
      </c>
    </row>
    <row r="107" spans="1:57" s="57" customFormat="1" ht="11.25" x14ac:dyDescent="0.2">
      <c r="A107" s="44" t="s">
        <v>731</v>
      </c>
      <c r="B107" s="45" t="s">
        <v>732</v>
      </c>
      <c r="C107" s="45" t="s">
        <v>733</v>
      </c>
      <c r="D107" s="46" t="s">
        <v>734</v>
      </c>
      <c r="E107" s="47" t="s">
        <v>735</v>
      </c>
      <c r="F107" s="47" t="s">
        <v>736</v>
      </c>
      <c r="G107" s="47" t="s">
        <v>737</v>
      </c>
      <c r="H107" s="48" t="s">
        <v>64</v>
      </c>
      <c r="I107" s="48" t="s">
        <v>738</v>
      </c>
      <c r="J107" s="49">
        <v>104633</v>
      </c>
      <c r="K107" s="50">
        <v>0</v>
      </c>
      <c r="L107" s="50">
        <f t="shared" si="25"/>
        <v>104633</v>
      </c>
      <c r="M107" s="50">
        <v>150701</v>
      </c>
      <c r="N107" s="51">
        <f t="shared" si="44"/>
        <v>0.69430859781952348</v>
      </c>
      <c r="O107" s="52">
        <v>106203</v>
      </c>
      <c r="P107" s="53">
        <v>0</v>
      </c>
      <c r="Q107" s="53">
        <f t="shared" si="26"/>
        <v>106203</v>
      </c>
      <c r="R107" s="53">
        <v>150701</v>
      </c>
      <c r="S107" s="54">
        <f t="shared" si="40"/>
        <v>0.70472657779311354</v>
      </c>
      <c r="T107" s="52">
        <v>119637</v>
      </c>
      <c r="U107" s="53">
        <v>0</v>
      </c>
      <c r="V107" s="53">
        <f t="shared" si="27"/>
        <v>119637</v>
      </c>
      <c r="W107" s="53">
        <v>150701</v>
      </c>
      <c r="X107" s="54">
        <f t="shared" si="41"/>
        <v>0.79386998095566719</v>
      </c>
      <c r="Y107" s="52">
        <v>128883</v>
      </c>
      <c r="Z107" s="53">
        <v>0</v>
      </c>
      <c r="AA107" s="53">
        <f t="shared" si="28"/>
        <v>128883</v>
      </c>
      <c r="AB107" s="53">
        <v>150701</v>
      </c>
      <c r="AC107" s="54">
        <f t="shared" si="42"/>
        <v>0.85522325664726839</v>
      </c>
      <c r="AD107" s="52">
        <v>138843</v>
      </c>
      <c r="AE107" s="53">
        <v>0</v>
      </c>
      <c r="AF107" s="53">
        <f t="shared" si="29"/>
        <v>138843</v>
      </c>
      <c r="AG107" s="53">
        <v>150701</v>
      </c>
      <c r="AH107" s="55">
        <f t="shared" si="30"/>
        <v>0.9213143907472412</v>
      </c>
      <c r="AI107" s="56">
        <v>355000</v>
      </c>
      <c r="AJ107" s="54">
        <f t="shared" si="43"/>
        <v>0.39110704225352111</v>
      </c>
      <c r="AK107" s="52">
        <v>156287.72949431551</v>
      </c>
      <c r="AL107" s="53">
        <v>0</v>
      </c>
      <c r="AM107" s="53">
        <f t="shared" si="31"/>
        <v>156287.72949431551</v>
      </c>
      <c r="AN107" s="53">
        <v>150701</v>
      </c>
      <c r="AO107" s="55">
        <f t="shared" si="32"/>
        <v>1.0370716152800281</v>
      </c>
      <c r="AP107" s="53">
        <v>355000</v>
      </c>
      <c r="AQ107" s="55">
        <f t="shared" si="33"/>
        <v>0.44024712533610005</v>
      </c>
      <c r="AR107" s="52">
        <v>175924.27699263446</v>
      </c>
      <c r="AS107" s="53">
        <v>0</v>
      </c>
      <c r="AT107" s="53">
        <f t="shared" si="34"/>
        <v>175924.27699263446</v>
      </c>
      <c r="AU107" s="53">
        <v>150701</v>
      </c>
      <c r="AV107" s="55">
        <f t="shared" si="35"/>
        <v>1.1673729901768035</v>
      </c>
      <c r="AW107" s="53">
        <v>355000</v>
      </c>
      <c r="AX107" s="55">
        <f t="shared" si="36"/>
        <v>0.49556134364122384</v>
      </c>
      <c r="AY107" s="52">
        <v>196110.97040691655</v>
      </c>
      <c r="AZ107" s="53">
        <v>0</v>
      </c>
      <c r="BA107" s="53">
        <f t="shared" si="37"/>
        <v>196110.97040691655</v>
      </c>
      <c r="BB107" s="53">
        <v>150701</v>
      </c>
      <c r="BC107" s="55">
        <f t="shared" si="38"/>
        <v>1.3013249441404937</v>
      </c>
      <c r="BD107" s="53">
        <v>355000</v>
      </c>
      <c r="BE107" s="55">
        <f t="shared" si="39"/>
        <v>0.55242526875187759</v>
      </c>
    </row>
    <row r="108" spans="1:57" s="57" customFormat="1" ht="11.25" x14ac:dyDescent="0.2">
      <c r="A108" s="44" t="s">
        <v>739</v>
      </c>
      <c r="B108" s="45" t="s">
        <v>740</v>
      </c>
      <c r="C108" s="45" t="s">
        <v>33</v>
      </c>
      <c r="D108" s="46" t="s">
        <v>741</v>
      </c>
      <c r="E108" s="47" t="s">
        <v>742</v>
      </c>
      <c r="F108" s="47" t="s">
        <v>171</v>
      </c>
      <c r="G108" s="47" t="s">
        <v>743</v>
      </c>
      <c r="H108" s="48" t="s">
        <v>29</v>
      </c>
      <c r="I108" s="48" t="s">
        <v>744</v>
      </c>
      <c r="J108" s="49">
        <v>2201</v>
      </c>
      <c r="K108" s="50">
        <v>0</v>
      </c>
      <c r="L108" s="50">
        <f t="shared" si="25"/>
        <v>2201</v>
      </c>
      <c r="M108" s="50">
        <v>149500</v>
      </c>
      <c r="N108" s="51">
        <f t="shared" si="44"/>
        <v>1.4722408026755852E-2</v>
      </c>
      <c r="O108" s="52">
        <v>2212</v>
      </c>
      <c r="P108" s="53">
        <v>0</v>
      </c>
      <c r="Q108" s="53">
        <f t="shared" si="26"/>
        <v>2212</v>
      </c>
      <c r="R108" s="53">
        <v>149500</v>
      </c>
      <c r="S108" s="54">
        <f t="shared" si="40"/>
        <v>1.4795986622073579E-2</v>
      </c>
      <c r="T108" s="52">
        <v>2302</v>
      </c>
      <c r="U108" s="53">
        <v>0</v>
      </c>
      <c r="V108" s="53">
        <f t="shared" si="27"/>
        <v>2302</v>
      </c>
      <c r="W108" s="53">
        <v>149500</v>
      </c>
      <c r="X108" s="54">
        <f t="shared" si="41"/>
        <v>1.5397993311036789E-2</v>
      </c>
      <c r="Y108" s="52">
        <v>2360</v>
      </c>
      <c r="Z108" s="53">
        <v>0</v>
      </c>
      <c r="AA108" s="53">
        <f t="shared" si="28"/>
        <v>2360</v>
      </c>
      <c r="AB108" s="53">
        <v>149500</v>
      </c>
      <c r="AC108" s="54">
        <f t="shared" si="42"/>
        <v>1.5785953177257527E-2</v>
      </c>
      <c r="AD108" s="52">
        <v>2420</v>
      </c>
      <c r="AE108" s="53">
        <v>0</v>
      </c>
      <c r="AF108" s="53">
        <f t="shared" si="29"/>
        <v>2420</v>
      </c>
      <c r="AG108" s="53">
        <v>149500</v>
      </c>
      <c r="AH108" s="55">
        <f t="shared" si="30"/>
        <v>1.6187290969899664E-2</v>
      </c>
      <c r="AI108" s="56">
        <v>149500</v>
      </c>
      <c r="AJ108" s="54">
        <f t="shared" si="43"/>
        <v>1.6187290969899664E-2</v>
      </c>
      <c r="AK108" s="52">
        <v>2518.3916321372703</v>
      </c>
      <c r="AL108" s="53">
        <v>0</v>
      </c>
      <c r="AM108" s="53">
        <f t="shared" si="31"/>
        <v>2518.3916321372703</v>
      </c>
      <c r="AN108" s="53">
        <v>149500</v>
      </c>
      <c r="AO108" s="55">
        <f t="shared" si="32"/>
        <v>1.6845428977506825E-2</v>
      </c>
      <c r="AP108" s="53">
        <v>149500</v>
      </c>
      <c r="AQ108" s="55">
        <f t="shared" si="33"/>
        <v>1.6845428977506825E-2</v>
      </c>
      <c r="AR108" s="52">
        <v>2620.7836416607547</v>
      </c>
      <c r="AS108" s="53">
        <v>0</v>
      </c>
      <c r="AT108" s="53">
        <f t="shared" si="34"/>
        <v>2620.7836416607547</v>
      </c>
      <c r="AU108" s="53">
        <v>149500</v>
      </c>
      <c r="AV108" s="55">
        <f t="shared" si="35"/>
        <v>1.7530325362279296E-2</v>
      </c>
      <c r="AW108" s="53">
        <v>149500</v>
      </c>
      <c r="AX108" s="55">
        <f t="shared" si="36"/>
        <v>1.7530325362279296E-2</v>
      </c>
      <c r="AY108" s="52">
        <v>2718.6823092798618</v>
      </c>
      <c r="AZ108" s="53">
        <v>0</v>
      </c>
      <c r="BA108" s="53">
        <f t="shared" si="37"/>
        <v>2718.6823092798618</v>
      </c>
      <c r="BB108" s="53">
        <v>149500</v>
      </c>
      <c r="BC108" s="55">
        <f t="shared" si="38"/>
        <v>1.8185165948360279E-2</v>
      </c>
      <c r="BD108" s="53">
        <v>149500</v>
      </c>
      <c r="BE108" s="55">
        <f t="shared" si="39"/>
        <v>1.8185165948360279E-2</v>
      </c>
    </row>
    <row r="109" spans="1:57" s="57" customFormat="1" ht="11.25" x14ac:dyDescent="0.2">
      <c r="A109" s="44" t="s">
        <v>745</v>
      </c>
      <c r="B109" s="45" t="s">
        <v>746</v>
      </c>
      <c r="C109" s="45" t="s">
        <v>33</v>
      </c>
      <c r="D109" s="46" t="s">
        <v>747</v>
      </c>
      <c r="E109" s="47" t="s">
        <v>748</v>
      </c>
      <c r="F109" s="47" t="s">
        <v>448</v>
      </c>
      <c r="G109" s="47" t="s">
        <v>749</v>
      </c>
      <c r="H109" s="48" t="s">
        <v>64</v>
      </c>
      <c r="I109" s="48" t="s">
        <v>90</v>
      </c>
      <c r="J109" s="49">
        <v>3776</v>
      </c>
      <c r="K109" s="50">
        <v>0</v>
      </c>
      <c r="L109" s="50">
        <f t="shared" si="25"/>
        <v>3776</v>
      </c>
      <c r="M109" s="50">
        <v>161000</v>
      </c>
      <c r="N109" s="51">
        <f t="shared" si="44"/>
        <v>2.3453416149068321E-2</v>
      </c>
      <c r="O109" s="52">
        <v>3854</v>
      </c>
      <c r="P109" s="53">
        <v>0</v>
      </c>
      <c r="Q109" s="53">
        <f t="shared" si="26"/>
        <v>3854</v>
      </c>
      <c r="R109" s="53">
        <v>161000</v>
      </c>
      <c r="S109" s="54">
        <f t="shared" si="40"/>
        <v>2.3937888198757765E-2</v>
      </c>
      <c r="T109" s="52">
        <v>4537</v>
      </c>
      <c r="U109" s="53">
        <v>0</v>
      </c>
      <c r="V109" s="53">
        <f t="shared" si="27"/>
        <v>4537</v>
      </c>
      <c r="W109" s="53">
        <v>161000</v>
      </c>
      <c r="X109" s="54">
        <f t="shared" si="41"/>
        <v>2.8180124223602485E-2</v>
      </c>
      <c r="Y109" s="52">
        <v>5024</v>
      </c>
      <c r="Z109" s="53">
        <v>0</v>
      </c>
      <c r="AA109" s="53">
        <f t="shared" si="28"/>
        <v>5024</v>
      </c>
      <c r="AB109" s="53">
        <v>161000</v>
      </c>
      <c r="AC109" s="54">
        <f t="shared" si="42"/>
        <v>3.1204968944099378E-2</v>
      </c>
      <c r="AD109" s="52">
        <v>5563</v>
      </c>
      <c r="AE109" s="53">
        <v>0</v>
      </c>
      <c r="AF109" s="53">
        <f t="shared" si="29"/>
        <v>5563</v>
      </c>
      <c r="AG109" s="53">
        <v>161000</v>
      </c>
      <c r="AH109" s="55">
        <f t="shared" si="30"/>
        <v>3.4552795031055898E-2</v>
      </c>
      <c r="AI109" s="56">
        <v>161000</v>
      </c>
      <c r="AJ109" s="54">
        <f t="shared" si="43"/>
        <v>3.4552795031055898E-2</v>
      </c>
      <c r="AK109" s="52">
        <v>6464.0794313343067</v>
      </c>
      <c r="AL109" s="53">
        <v>0</v>
      </c>
      <c r="AM109" s="53">
        <f t="shared" si="31"/>
        <v>6464.0794313343067</v>
      </c>
      <c r="AN109" s="53">
        <v>161000</v>
      </c>
      <c r="AO109" s="55">
        <f t="shared" si="32"/>
        <v>4.014956168530625E-2</v>
      </c>
      <c r="AP109" s="53">
        <v>161000</v>
      </c>
      <c r="AQ109" s="55">
        <f t="shared" si="33"/>
        <v>4.014956168530625E-2</v>
      </c>
      <c r="AR109" s="52">
        <v>7511.113229300604</v>
      </c>
      <c r="AS109" s="53">
        <v>0</v>
      </c>
      <c r="AT109" s="53">
        <f t="shared" si="34"/>
        <v>7511.113229300604</v>
      </c>
      <c r="AU109" s="53">
        <v>161000</v>
      </c>
      <c r="AV109" s="55">
        <f t="shared" si="35"/>
        <v>4.6652877200624866E-2</v>
      </c>
      <c r="AW109" s="53">
        <v>161000</v>
      </c>
      <c r="AX109" s="55">
        <f t="shared" si="36"/>
        <v>4.6652877200624866E-2</v>
      </c>
      <c r="AY109" s="52">
        <v>8546.9588519507997</v>
      </c>
      <c r="AZ109" s="53">
        <v>0</v>
      </c>
      <c r="BA109" s="53">
        <f t="shared" si="37"/>
        <v>8546.9588519507997</v>
      </c>
      <c r="BB109" s="53">
        <v>161000</v>
      </c>
      <c r="BC109" s="55">
        <f t="shared" si="38"/>
        <v>5.3086700943793787E-2</v>
      </c>
      <c r="BD109" s="53">
        <v>161000</v>
      </c>
      <c r="BE109" s="55">
        <f t="shared" si="39"/>
        <v>5.3086700943793787E-2</v>
      </c>
    </row>
    <row r="110" spans="1:57" s="57" customFormat="1" ht="11.25" x14ac:dyDescent="0.2">
      <c r="A110" s="44" t="s">
        <v>750</v>
      </c>
      <c r="B110" s="45" t="s">
        <v>616</v>
      </c>
      <c r="C110" s="45" t="s">
        <v>751</v>
      </c>
      <c r="D110" s="46" t="s">
        <v>752</v>
      </c>
      <c r="E110" s="47" t="s">
        <v>753</v>
      </c>
      <c r="F110" s="47" t="s">
        <v>620</v>
      </c>
      <c r="G110" s="47" t="s">
        <v>754</v>
      </c>
      <c r="H110" s="48" t="s">
        <v>29</v>
      </c>
      <c r="I110" s="48" t="s">
        <v>622</v>
      </c>
      <c r="J110" s="49">
        <v>9657</v>
      </c>
      <c r="K110" s="50">
        <v>76819</v>
      </c>
      <c r="L110" s="50">
        <f t="shared" si="25"/>
        <v>86476</v>
      </c>
      <c r="M110" s="50">
        <v>214719.14719085902</v>
      </c>
      <c r="N110" s="51">
        <f t="shared" si="44"/>
        <v>0.40274004964789389</v>
      </c>
      <c r="O110" s="52">
        <v>9869</v>
      </c>
      <c r="P110" s="53">
        <v>79431</v>
      </c>
      <c r="Q110" s="53">
        <f t="shared" si="26"/>
        <v>89300</v>
      </c>
      <c r="R110" s="53">
        <v>214719.14719085902</v>
      </c>
      <c r="S110" s="54">
        <f t="shared" si="40"/>
        <v>0.41589211380680102</v>
      </c>
      <c r="T110" s="52">
        <v>11746</v>
      </c>
      <c r="U110" s="53">
        <v>103789</v>
      </c>
      <c r="V110" s="53">
        <f t="shared" si="27"/>
        <v>115535</v>
      </c>
      <c r="W110" s="53">
        <v>214719.14719085902</v>
      </c>
      <c r="X110" s="54">
        <f t="shared" si="41"/>
        <v>0.53807497613290878</v>
      </c>
      <c r="Y110" s="52">
        <v>13096</v>
      </c>
      <c r="Z110" s="53">
        <v>122675</v>
      </c>
      <c r="AA110" s="53">
        <f t="shared" si="28"/>
        <v>135771</v>
      </c>
      <c r="AB110" s="53">
        <v>214719.14719085902</v>
      </c>
      <c r="AC110" s="54">
        <f t="shared" si="42"/>
        <v>0.6323190166143694</v>
      </c>
      <c r="AD110" s="52">
        <v>14602</v>
      </c>
      <c r="AE110" s="53">
        <v>144997</v>
      </c>
      <c r="AF110" s="53">
        <f t="shared" si="29"/>
        <v>159599</v>
      </c>
      <c r="AG110" s="53">
        <v>214719.14719085902</v>
      </c>
      <c r="AH110" s="55">
        <f t="shared" si="30"/>
        <v>0.74329188657840584</v>
      </c>
      <c r="AI110" s="56">
        <v>210000</v>
      </c>
      <c r="AJ110" s="54">
        <f t="shared" si="43"/>
        <v>0.75999523809523806</v>
      </c>
      <c r="AK110" s="52">
        <v>16911.840197980961</v>
      </c>
      <c r="AL110" s="53">
        <v>190565.51688801046</v>
      </c>
      <c r="AM110" s="53">
        <f t="shared" si="31"/>
        <v>207477.35708599142</v>
      </c>
      <c r="AN110" s="53">
        <v>214719.14719085902</v>
      </c>
      <c r="AO110" s="55">
        <f t="shared" si="32"/>
        <v>0.96627319827034086</v>
      </c>
      <c r="AP110" s="53">
        <v>210000</v>
      </c>
      <c r="AQ110" s="55">
        <f t="shared" si="33"/>
        <v>0.98798741469519724</v>
      </c>
      <c r="AR110" s="52">
        <v>19587.066078759395</v>
      </c>
      <c r="AS110" s="53">
        <v>250454.94890787115</v>
      </c>
      <c r="AT110" s="53">
        <f t="shared" si="34"/>
        <v>270042.01498663053</v>
      </c>
      <c r="AU110" s="53">
        <v>214719.14719085902</v>
      </c>
      <c r="AV110" s="55">
        <f t="shared" si="35"/>
        <v>1.257652233252381</v>
      </c>
      <c r="AW110" s="53">
        <v>210000</v>
      </c>
      <c r="AX110" s="55">
        <f t="shared" si="36"/>
        <v>1.2859143570791931</v>
      </c>
      <c r="AY110" s="52">
        <v>22146.825096687146</v>
      </c>
      <c r="AZ110" s="53">
        <v>317664.63379042054</v>
      </c>
      <c r="BA110" s="53">
        <f t="shared" si="37"/>
        <v>339811.45888710767</v>
      </c>
      <c r="BB110" s="53">
        <v>214719.14719085902</v>
      </c>
      <c r="BC110" s="55">
        <f t="shared" si="38"/>
        <v>1.5825857327248831</v>
      </c>
      <c r="BD110" s="53">
        <v>210000</v>
      </c>
      <c r="BE110" s="55">
        <f t="shared" si="39"/>
        <v>1.6181498042243223</v>
      </c>
    </row>
    <row r="111" spans="1:57" s="57" customFormat="1" ht="11.25" x14ac:dyDescent="0.2">
      <c r="A111" s="44" t="s">
        <v>755</v>
      </c>
      <c r="B111" s="45" t="s">
        <v>67</v>
      </c>
      <c r="C111" s="45" t="s">
        <v>756</v>
      </c>
      <c r="D111" s="46" t="s">
        <v>757</v>
      </c>
      <c r="E111" s="47" t="s">
        <v>758</v>
      </c>
      <c r="F111" s="47" t="s">
        <v>71</v>
      </c>
      <c r="G111" s="47" t="s">
        <v>759</v>
      </c>
      <c r="H111" s="48" t="s">
        <v>73</v>
      </c>
      <c r="I111" s="48" t="s">
        <v>74</v>
      </c>
      <c r="J111" s="49">
        <v>138923</v>
      </c>
      <c r="K111" s="50">
        <v>0</v>
      </c>
      <c r="L111" s="50">
        <f t="shared" si="25"/>
        <v>138923</v>
      </c>
      <c r="M111" s="50">
        <v>354165.50809160783</v>
      </c>
      <c r="N111" s="51">
        <f t="shared" si="44"/>
        <v>0.39225445964113032</v>
      </c>
      <c r="O111" s="52">
        <v>140313</v>
      </c>
      <c r="P111" s="53">
        <v>0</v>
      </c>
      <c r="Q111" s="53">
        <f t="shared" si="26"/>
        <v>140313</v>
      </c>
      <c r="R111" s="53">
        <v>354165.50809160783</v>
      </c>
      <c r="S111" s="54">
        <f t="shared" si="40"/>
        <v>0.39617917836230082</v>
      </c>
      <c r="T111" s="52">
        <v>151939</v>
      </c>
      <c r="U111" s="53">
        <v>0</v>
      </c>
      <c r="V111" s="53">
        <f t="shared" si="27"/>
        <v>151939</v>
      </c>
      <c r="W111" s="53">
        <v>354165.50809160783</v>
      </c>
      <c r="X111" s="54">
        <f t="shared" si="41"/>
        <v>0.42900563868771696</v>
      </c>
      <c r="Y111" s="52">
        <v>159689</v>
      </c>
      <c r="Z111" s="53">
        <v>0</v>
      </c>
      <c r="AA111" s="53">
        <f t="shared" si="28"/>
        <v>159689</v>
      </c>
      <c r="AB111" s="53">
        <v>354165.50809160783</v>
      </c>
      <c r="AC111" s="54">
        <f t="shared" si="42"/>
        <v>0.4508880632122288</v>
      </c>
      <c r="AD111" s="52">
        <v>167835</v>
      </c>
      <c r="AE111" s="53">
        <v>0</v>
      </c>
      <c r="AF111" s="53">
        <f t="shared" si="29"/>
        <v>167835</v>
      </c>
      <c r="AG111" s="53">
        <v>354165.50809160783</v>
      </c>
      <c r="AH111" s="55">
        <f t="shared" si="30"/>
        <v>0.473888609041477</v>
      </c>
      <c r="AI111" s="56">
        <v>340788.75961756695</v>
      </c>
      <c r="AJ111" s="54">
        <f t="shared" si="43"/>
        <v>0.49248983501786969</v>
      </c>
      <c r="AK111" s="52">
        <v>181519.98685294125</v>
      </c>
      <c r="AL111" s="53">
        <v>0</v>
      </c>
      <c r="AM111" s="53">
        <f t="shared" si="31"/>
        <v>181519.98685294125</v>
      </c>
      <c r="AN111" s="53">
        <v>354165.50809160783</v>
      </c>
      <c r="AO111" s="55">
        <f t="shared" si="32"/>
        <v>0.51252869832256398</v>
      </c>
      <c r="AP111" s="53">
        <v>340788.75961756695</v>
      </c>
      <c r="AQ111" s="55">
        <f t="shared" si="33"/>
        <v>0.53264663733816497</v>
      </c>
      <c r="AR111" s="52">
        <v>196320.82478083813</v>
      </c>
      <c r="AS111" s="53">
        <v>0</v>
      </c>
      <c r="AT111" s="53">
        <f t="shared" si="34"/>
        <v>196320.82478083813</v>
      </c>
      <c r="AU111" s="53">
        <v>354165.50809160783</v>
      </c>
      <c r="AV111" s="55">
        <f t="shared" si="35"/>
        <v>0.55431943623956215</v>
      </c>
      <c r="AW111" s="53">
        <v>340788.75961756695</v>
      </c>
      <c r="AX111" s="55">
        <f t="shared" si="36"/>
        <v>0.5760777585538599</v>
      </c>
      <c r="AY111" s="52">
        <v>211133.31088559533</v>
      </c>
      <c r="AZ111" s="53">
        <v>0</v>
      </c>
      <c r="BA111" s="53">
        <f t="shared" si="37"/>
        <v>211133.31088559533</v>
      </c>
      <c r="BB111" s="53">
        <v>354165.50809160783</v>
      </c>
      <c r="BC111" s="55">
        <f t="shared" si="38"/>
        <v>0.59614306323410793</v>
      </c>
      <c r="BD111" s="53">
        <v>340788.75961756695</v>
      </c>
      <c r="BE111" s="55">
        <f t="shared" si="39"/>
        <v>0.61954305981960522</v>
      </c>
    </row>
    <row r="112" spans="1:57" s="57" customFormat="1" ht="11.25" x14ac:dyDescent="0.2">
      <c r="A112" s="44" t="s">
        <v>760</v>
      </c>
      <c r="B112" s="45" t="s">
        <v>761</v>
      </c>
      <c r="C112" s="45" t="s">
        <v>762</v>
      </c>
      <c r="D112" s="46" t="s">
        <v>763</v>
      </c>
      <c r="E112" s="47" t="s">
        <v>764</v>
      </c>
      <c r="F112" s="47" t="s">
        <v>765</v>
      </c>
      <c r="G112" s="47" t="s">
        <v>766</v>
      </c>
      <c r="H112" s="48" t="s">
        <v>158</v>
      </c>
      <c r="I112" s="48" t="s">
        <v>767</v>
      </c>
      <c r="J112" s="49">
        <v>99698</v>
      </c>
      <c r="K112" s="50">
        <v>0</v>
      </c>
      <c r="L112" s="50">
        <f t="shared" si="25"/>
        <v>99698</v>
      </c>
      <c r="M112" s="50">
        <v>174067.5255857009</v>
      </c>
      <c r="N112" s="51">
        <f t="shared" si="44"/>
        <v>0.57275473793596499</v>
      </c>
      <c r="O112" s="52">
        <v>102090</v>
      </c>
      <c r="P112" s="53">
        <v>0</v>
      </c>
      <c r="Q112" s="53">
        <f t="shared" si="26"/>
        <v>102090</v>
      </c>
      <c r="R112" s="53">
        <v>174067.5255857009</v>
      </c>
      <c r="S112" s="54">
        <f t="shared" si="40"/>
        <v>0.58649653148390801</v>
      </c>
      <c r="T112" s="52">
        <v>123420</v>
      </c>
      <c r="U112" s="53">
        <v>0</v>
      </c>
      <c r="V112" s="53">
        <f t="shared" si="27"/>
        <v>123420</v>
      </c>
      <c r="W112" s="53">
        <v>174067.5255857009</v>
      </c>
      <c r="X112" s="54">
        <f t="shared" si="41"/>
        <v>0.70903518381569142</v>
      </c>
      <c r="Y112" s="52">
        <v>138958</v>
      </c>
      <c r="Z112" s="53">
        <v>0</v>
      </c>
      <c r="AA112" s="53">
        <f t="shared" si="28"/>
        <v>138958</v>
      </c>
      <c r="AB112" s="53">
        <v>174067.5255857009</v>
      </c>
      <c r="AC112" s="54">
        <f t="shared" si="42"/>
        <v>0.79829939290763929</v>
      </c>
      <c r="AD112" s="52">
        <v>156453</v>
      </c>
      <c r="AE112" s="53">
        <v>0</v>
      </c>
      <c r="AF112" s="53">
        <f t="shared" si="29"/>
        <v>156453</v>
      </c>
      <c r="AG112" s="53">
        <v>174067.5255857009</v>
      </c>
      <c r="AH112" s="55">
        <f t="shared" si="30"/>
        <v>0.89880636536636171</v>
      </c>
      <c r="AI112" s="56">
        <v>188930</v>
      </c>
      <c r="AJ112" s="54">
        <f t="shared" si="43"/>
        <v>0.82810035462869847</v>
      </c>
      <c r="AK112" s="52">
        <v>181620.82522508071</v>
      </c>
      <c r="AL112" s="53">
        <v>0</v>
      </c>
      <c r="AM112" s="53">
        <f t="shared" si="31"/>
        <v>181620.82522508071</v>
      </c>
      <c r="AN112" s="53">
        <v>174067.5255857009</v>
      </c>
      <c r="AO112" s="55">
        <f t="shared" si="32"/>
        <v>1.0433929281982066</v>
      </c>
      <c r="AP112" s="53">
        <v>188930</v>
      </c>
      <c r="AQ112" s="55">
        <f t="shared" si="33"/>
        <v>0.96131278899635164</v>
      </c>
      <c r="AR112" s="52">
        <v>210837.27480738188</v>
      </c>
      <c r="AS112" s="53">
        <v>0</v>
      </c>
      <c r="AT112" s="53">
        <f t="shared" si="34"/>
        <v>210837.27480738188</v>
      </c>
      <c r="AU112" s="53">
        <v>174067.5255857009</v>
      </c>
      <c r="AV112" s="55">
        <f t="shared" si="35"/>
        <v>1.2112384208252427</v>
      </c>
      <c r="AW112" s="53">
        <v>188930</v>
      </c>
      <c r="AX112" s="55">
        <f t="shared" si="36"/>
        <v>1.1159544530110723</v>
      </c>
      <c r="AY112" s="52">
        <v>238044.07561827594</v>
      </c>
      <c r="AZ112" s="53">
        <v>0</v>
      </c>
      <c r="BA112" s="53">
        <f t="shared" si="37"/>
        <v>238044.07561827594</v>
      </c>
      <c r="BB112" s="53">
        <v>174067.5255857009</v>
      </c>
      <c r="BC112" s="55">
        <f t="shared" si="38"/>
        <v>1.3675386883182679</v>
      </c>
      <c r="BD112" s="53">
        <v>188930</v>
      </c>
      <c r="BE112" s="55">
        <f t="shared" si="39"/>
        <v>1.2599591151128775</v>
      </c>
    </row>
    <row r="113" spans="1:57" s="57" customFormat="1" ht="11.25" x14ac:dyDescent="0.2">
      <c r="A113" s="44" t="s">
        <v>768</v>
      </c>
      <c r="B113" s="45" t="s">
        <v>769</v>
      </c>
      <c r="C113" s="45" t="s">
        <v>33</v>
      </c>
      <c r="D113" s="46" t="s">
        <v>770</v>
      </c>
      <c r="E113" s="47" t="s">
        <v>771</v>
      </c>
      <c r="F113" s="47" t="s">
        <v>53</v>
      </c>
      <c r="G113" s="47" t="s">
        <v>772</v>
      </c>
      <c r="H113" s="48" t="s">
        <v>55</v>
      </c>
      <c r="I113" s="48" t="s">
        <v>773</v>
      </c>
      <c r="J113" s="49">
        <v>501</v>
      </c>
      <c r="K113" s="50">
        <v>0</v>
      </c>
      <c r="L113" s="50">
        <f t="shared" si="25"/>
        <v>501</v>
      </c>
      <c r="M113" s="50">
        <v>149500</v>
      </c>
      <c r="N113" s="51">
        <f t="shared" si="44"/>
        <v>3.351170568561873E-3</v>
      </c>
      <c r="O113" s="52">
        <v>503</v>
      </c>
      <c r="P113" s="53">
        <v>0</v>
      </c>
      <c r="Q113" s="53">
        <f t="shared" si="26"/>
        <v>503</v>
      </c>
      <c r="R113" s="53">
        <v>149500</v>
      </c>
      <c r="S113" s="54">
        <f t="shared" si="40"/>
        <v>3.3645484949832776E-3</v>
      </c>
      <c r="T113" s="52">
        <v>515</v>
      </c>
      <c r="U113" s="53">
        <v>0</v>
      </c>
      <c r="V113" s="53">
        <f t="shared" si="27"/>
        <v>515</v>
      </c>
      <c r="W113" s="53">
        <v>149500</v>
      </c>
      <c r="X113" s="54">
        <f t="shared" si="41"/>
        <v>3.4448160535117058E-3</v>
      </c>
      <c r="Y113" s="52">
        <v>523</v>
      </c>
      <c r="Z113" s="53">
        <v>0</v>
      </c>
      <c r="AA113" s="53">
        <f t="shared" si="28"/>
        <v>523</v>
      </c>
      <c r="AB113" s="53">
        <v>149500</v>
      </c>
      <c r="AC113" s="54">
        <f t="shared" si="42"/>
        <v>3.4983277591973242E-3</v>
      </c>
      <c r="AD113" s="52">
        <v>531</v>
      </c>
      <c r="AE113" s="53">
        <v>0</v>
      </c>
      <c r="AF113" s="53">
        <f t="shared" si="29"/>
        <v>531</v>
      </c>
      <c r="AG113" s="53">
        <v>149500</v>
      </c>
      <c r="AH113" s="55">
        <f t="shared" si="30"/>
        <v>3.5518394648829431E-3</v>
      </c>
      <c r="AI113" s="56">
        <v>149500</v>
      </c>
      <c r="AJ113" s="54">
        <f t="shared" si="43"/>
        <v>3.5518394648829431E-3</v>
      </c>
      <c r="AK113" s="52">
        <v>541.36987136492371</v>
      </c>
      <c r="AL113" s="53">
        <v>0</v>
      </c>
      <c r="AM113" s="53">
        <f t="shared" si="31"/>
        <v>541.36987136492371</v>
      </c>
      <c r="AN113" s="53">
        <v>149500</v>
      </c>
      <c r="AO113" s="55">
        <f t="shared" si="32"/>
        <v>3.6212031529426333E-3</v>
      </c>
      <c r="AP113" s="53">
        <v>149500</v>
      </c>
      <c r="AQ113" s="55">
        <f t="shared" si="33"/>
        <v>3.6212031529426333E-3</v>
      </c>
      <c r="AR113" s="52">
        <v>551.94225540804894</v>
      </c>
      <c r="AS113" s="53">
        <v>0</v>
      </c>
      <c r="AT113" s="53">
        <f t="shared" si="34"/>
        <v>551.94225540804894</v>
      </c>
      <c r="AU113" s="53">
        <v>149500</v>
      </c>
      <c r="AV113" s="55">
        <f t="shared" si="35"/>
        <v>3.6919214408565148E-3</v>
      </c>
      <c r="AW113" s="53">
        <v>149500</v>
      </c>
      <c r="AX113" s="55">
        <f t="shared" si="36"/>
        <v>3.6919214408565148E-3</v>
      </c>
      <c r="AY113" s="52">
        <v>562.95623936784739</v>
      </c>
      <c r="AZ113" s="53">
        <v>0</v>
      </c>
      <c r="BA113" s="53">
        <f t="shared" si="37"/>
        <v>562.95623936784739</v>
      </c>
      <c r="BB113" s="53">
        <v>149500</v>
      </c>
      <c r="BC113" s="55">
        <f t="shared" si="38"/>
        <v>3.765593574366872E-3</v>
      </c>
      <c r="BD113" s="53">
        <v>149500</v>
      </c>
      <c r="BE113" s="55">
        <f t="shared" si="39"/>
        <v>3.765593574366872E-3</v>
      </c>
    </row>
    <row r="114" spans="1:57" s="57" customFormat="1" ht="11.25" x14ac:dyDescent="0.2">
      <c r="A114" s="44" t="s">
        <v>774</v>
      </c>
      <c r="B114" s="45" t="s">
        <v>775</v>
      </c>
      <c r="C114" s="45" t="s">
        <v>776</v>
      </c>
      <c r="D114" s="46" t="s">
        <v>777</v>
      </c>
      <c r="E114" s="47" t="s">
        <v>778</v>
      </c>
      <c r="F114" s="47" t="s">
        <v>779</v>
      </c>
      <c r="G114" s="47" t="s">
        <v>780</v>
      </c>
      <c r="H114" s="48" t="s">
        <v>376</v>
      </c>
      <c r="I114" s="48" t="s">
        <v>781</v>
      </c>
      <c r="J114" s="49">
        <v>198842</v>
      </c>
      <c r="K114" s="50">
        <v>0</v>
      </c>
      <c r="L114" s="50">
        <f t="shared" si="25"/>
        <v>198842</v>
      </c>
      <c r="M114" s="50">
        <v>369192.00000000012</v>
      </c>
      <c r="N114" s="51">
        <f t="shared" si="44"/>
        <v>0.53858696829833785</v>
      </c>
      <c r="O114" s="52">
        <v>201725</v>
      </c>
      <c r="P114" s="53">
        <v>0</v>
      </c>
      <c r="Q114" s="53">
        <f t="shared" si="26"/>
        <v>201725</v>
      </c>
      <c r="R114" s="53">
        <v>369192.00000000012</v>
      </c>
      <c r="S114" s="54">
        <f t="shared" si="40"/>
        <v>0.54639591323755643</v>
      </c>
      <c r="T114" s="52">
        <v>226348</v>
      </c>
      <c r="U114" s="53">
        <v>0</v>
      </c>
      <c r="V114" s="53">
        <f t="shared" si="27"/>
        <v>226348</v>
      </c>
      <c r="W114" s="53">
        <v>369192.00000000012</v>
      </c>
      <c r="X114" s="54">
        <f t="shared" si="41"/>
        <v>0.61309020780515266</v>
      </c>
      <c r="Y114" s="52">
        <v>243241</v>
      </c>
      <c r="Z114" s="53">
        <v>0</v>
      </c>
      <c r="AA114" s="53">
        <f t="shared" si="28"/>
        <v>243241</v>
      </c>
      <c r="AB114" s="53">
        <v>369192.00000000012</v>
      </c>
      <c r="AC114" s="54">
        <f t="shared" si="42"/>
        <v>0.6588468872564951</v>
      </c>
      <c r="AD114" s="52">
        <v>261395</v>
      </c>
      <c r="AE114" s="53">
        <v>0</v>
      </c>
      <c r="AF114" s="53">
        <f t="shared" si="29"/>
        <v>261395</v>
      </c>
      <c r="AG114" s="53">
        <v>369192.00000000012</v>
      </c>
      <c r="AH114" s="55">
        <f t="shared" si="30"/>
        <v>0.70801913367570235</v>
      </c>
      <c r="AI114" s="56">
        <v>369192</v>
      </c>
      <c r="AJ114" s="54">
        <f t="shared" si="43"/>
        <v>0.70801913367570257</v>
      </c>
      <c r="AK114" s="52">
        <v>287304.33089914988</v>
      </c>
      <c r="AL114" s="53">
        <v>0</v>
      </c>
      <c r="AM114" s="53">
        <f t="shared" si="31"/>
        <v>287304.33089914988</v>
      </c>
      <c r="AN114" s="53">
        <v>369192.00000000012</v>
      </c>
      <c r="AO114" s="55">
        <f t="shared" si="32"/>
        <v>0.77819760693392537</v>
      </c>
      <c r="AP114" s="53">
        <v>369192</v>
      </c>
      <c r="AQ114" s="55">
        <f t="shared" si="33"/>
        <v>0.7781976069339257</v>
      </c>
      <c r="AR114" s="52">
        <v>315781.78065153572</v>
      </c>
      <c r="AS114" s="53">
        <v>0</v>
      </c>
      <c r="AT114" s="53">
        <f t="shared" si="34"/>
        <v>315781.78065153572</v>
      </c>
      <c r="AU114" s="53">
        <v>369192.00000000012</v>
      </c>
      <c r="AV114" s="55">
        <f t="shared" si="35"/>
        <v>0.8553321324718185</v>
      </c>
      <c r="AW114" s="53">
        <v>369192</v>
      </c>
      <c r="AX114" s="55">
        <f t="shared" si="36"/>
        <v>0.85533213247181883</v>
      </c>
      <c r="AY114" s="52">
        <v>341469.16040125588</v>
      </c>
      <c r="AZ114" s="53">
        <v>0</v>
      </c>
      <c r="BA114" s="53">
        <f t="shared" si="37"/>
        <v>341469.16040125588</v>
      </c>
      <c r="BB114" s="53">
        <v>369192.00000000012</v>
      </c>
      <c r="BC114" s="55">
        <f t="shared" si="38"/>
        <v>0.9249094249096832</v>
      </c>
      <c r="BD114" s="53">
        <v>369192</v>
      </c>
      <c r="BE114" s="55">
        <f t="shared" si="39"/>
        <v>0.92490942490968353</v>
      </c>
    </row>
    <row r="115" spans="1:57" s="57" customFormat="1" ht="11.25" x14ac:dyDescent="0.2">
      <c r="A115" s="44" t="s">
        <v>782</v>
      </c>
      <c r="B115" s="45" t="s">
        <v>783</v>
      </c>
      <c r="C115" s="45" t="s">
        <v>784</v>
      </c>
      <c r="D115" s="46" t="s">
        <v>785</v>
      </c>
      <c r="E115" s="47" t="s">
        <v>786</v>
      </c>
      <c r="F115" s="47" t="s">
        <v>787</v>
      </c>
      <c r="G115" s="47" t="s">
        <v>788</v>
      </c>
      <c r="H115" s="48" t="s">
        <v>46</v>
      </c>
      <c r="I115" s="48" t="s">
        <v>47</v>
      </c>
      <c r="J115" s="49">
        <v>114192</v>
      </c>
      <c r="K115" s="50">
        <v>14886</v>
      </c>
      <c r="L115" s="50">
        <f t="shared" si="25"/>
        <v>129078</v>
      </c>
      <c r="M115" s="50">
        <v>231552.00000000023</v>
      </c>
      <c r="N115" s="51">
        <f t="shared" si="44"/>
        <v>0.557447139303482</v>
      </c>
      <c r="O115" s="52">
        <v>116076</v>
      </c>
      <c r="P115" s="53">
        <v>15487</v>
      </c>
      <c r="Q115" s="53">
        <f t="shared" si="26"/>
        <v>131563</v>
      </c>
      <c r="R115" s="53">
        <v>231552.00000000023</v>
      </c>
      <c r="S115" s="54">
        <f t="shared" si="40"/>
        <v>0.56817906992813649</v>
      </c>
      <c r="T115" s="52">
        <v>132312</v>
      </c>
      <c r="U115" s="53">
        <v>21261</v>
      </c>
      <c r="V115" s="53">
        <f t="shared" si="27"/>
        <v>153573</v>
      </c>
      <c r="W115" s="53">
        <v>231552.00000000023</v>
      </c>
      <c r="X115" s="54">
        <f t="shared" si="41"/>
        <v>0.66323331260364771</v>
      </c>
      <c r="Y115" s="52">
        <v>143594</v>
      </c>
      <c r="Z115" s="53">
        <v>25917</v>
      </c>
      <c r="AA115" s="53">
        <f t="shared" si="28"/>
        <v>169511</v>
      </c>
      <c r="AB115" s="53">
        <v>231552.00000000023</v>
      </c>
      <c r="AC115" s="54">
        <f t="shared" si="42"/>
        <v>0.73206450386954047</v>
      </c>
      <c r="AD115" s="52">
        <v>155838</v>
      </c>
      <c r="AE115" s="53">
        <v>31593</v>
      </c>
      <c r="AF115" s="53">
        <f t="shared" si="29"/>
        <v>187431</v>
      </c>
      <c r="AG115" s="53">
        <v>231552.00000000023</v>
      </c>
      <c r="AH115" s="55">
        <f t="shared" si="30"/>
        <v>0.80945532752902072</v>
      </c>
      <c r="AI115" s="56">
        <v>231552</v>
      </c>
      <c r="AJ115" s="54">
        <f t="shared" si="43"/>
        <v>0.80945532752902161</v>
      </c>
      <c r="AK115" s="52">
        <v>166615.22961196938</v>
      </c>
      <c r="AL115" s="53">
        <v>43085.866837533598</v>
      </c>
      <c r="AM115" s="53">
        <f t="shared" si="31"/>
        <v>209701.09644950298</v>
      </c>
      <c r="AN115" s="53">
        <v>231552.00000000023</v>
      </c>
      <c r="AO115" s="55">
        <f t="shared" si="32"/>
        <v>0.90563284467205107</v>
      </c>
      <c r="AP115" s="53">
        <v>231552</v>
      </c>
      <c r="AQ115" s="55">
        <f t="shared" si="33"/>
        <v>0.90563284467205196</v>
      </c>
      <c r="AR115" s="52">
        <v>178137.77601515219</v>
      </c>
      <c r="AS115" s="53">
        <v>58759.596149200035</v>
      </c>
      <c r="AT115" s="53">
        <f t="shared" si="34"/>
        <v>236897.37216435221</v>
      </c>
      <c r="AU115" s="53">
        <v>231552.00000000023</v>
      </c>
      <c r="AV115" s="55">
        <f t="shared" si="35"/>
        <v>1.023084975143173</v>
      </c>
      <c r="AW115" s="53">
        <v>231552</v>
      </c>
      <c r="AX115" s="55">
        <f t="shared" si="36"/>
        <v>1.0230849751431739</v>
      </c>
      <c r="AY115" s="52">
        <v>178137.77601507594</v>
      </c>
      <c r="AZ115" s="53">
        <v>77771.822865972048</v>
      </c>
      <c r="BA115" s="53">
        <f t="shared" si="37"/>
        <v>255909.59888104798</v>
      </c>
      <c r="BB115" s="53">
        <v>231552.00000000023</v>
      </c>
      <c r="BC115" s="55">
        <f>BA115/BB115</f>
        <v>1.10519278123725</v>
      </c>
      <c r="BD115" s="53">
        <v>231552</v>
      </c>
      <c r="BE115" s="55">
        <f t="shared" si="39"/>
        <v>1.1051927812372511</v>
      </c>
    </row>
    <row r="116" spans="1:57" s="57" customFormat="1" ht="11.25" x14ac:dyDescent="0.2">
      <c r="A116" s="44" t="s">
        <v>789</v>
      </c>
      <c r="B116" s="45" t="s">
        <v>790</v>
      </c>
      <c r="C116" s="45" t="s">
        <v>791</v>
      </c>
      <c r="D116" s="46" t="s">
        <v>792</v>
      </c>
      <c r="E116" s="47" t="s">
        <v>793</v>
      </c>
      <c r="F116" s="47" t="s">
        <v>794</v>
      </c>
      <c r="G116" s="47" t="s">
        <v>795</v>
      </c>
      <c r="H116" s="48" t="s">
        <v>207</v>
      </c>
      <c r="I116" s="48" t="s">
        <v>796</v>
      </c>
      <c r="J116" s="49">
        <v>16528</v>
      </c>
      <c r="K116" s="50">
        <v>0</v>
      </c>
      <c r="L116" s="50">
        <f t="shared" si="25"/>
        <v>16528</v>
      </c>
      <c r="M116" s="50">
        <v>184000</v>
      </c>
      <c r="N116" s="51">
        <f t="shared" si="44"/>
        <v>8.9826086956521736E-2</v>
      </c>
      <c r="O116" s="52">
        <v>16760</v>
      </c>
      <c r="P116" s="53">
        <v>0</v>
      </c>
      <c r="Q116" s="53">
        <f t="shared" si="26"/>
        <v>16760</v>
      </c>
      <c r="R116" s="53">
        <v>184000</v>
      </c>
      <c r="S116" s="54">
        <f t="shared" si="40"/>
        <v>9.1086956521739135E-2</v>
      </c>
      <c r="T116" s="52">
        <v>18731</v>
      </c>
      <c r="U116" s="53">
        <v>0</v>
      </c>
      <c r="V116" s="53">
        <f t="shared" si="27"/>
        <v>18731</v>
      </c>
      <c r="W116" s="53">
        <v>184000</v>
      </c>
      <c r="X116" s="54">
        <f t="shared" si="41"/>
        <v>0.10179891304347827</v>
      </c>
      <c r="Y116" s="52">
        <v>20080</v>
      </c>
      <c r="Z116" s="53">
        <v>0</v>
      </c>
      <c r="AA116" s="53">
        <f t="shared" si="28"/>
        <v>20080</v>
      </c>
      <c r="AB116" s="53">
        <v>184000</v>
      </c>
      <c r="AC116" s="54">
        <f t="shared" si="42"/>
        <v>0.1091304347826087</v>
      </c>
      <c r="AD116" s="52">
        <v>21525</v>
      </c>
      <c r="AE116" s="53">
        <v>0</v>
      </c>
      <c r="AF116" s="53">
        <f t="shared" si="29"/>
        <v>21525</v>
      </c>
      <c r="AG116" s="53">
        <v>184000</v>
      </c>
      <c r="AH116" s="55">
        <f t="shared" si="30"/>
        <v>0.11698369565217391</v>
      </c>
      <c r="AI116" s="56">
        <v>195500</v>
      </c>
      <c r="AJ116" s="54">
        <f t="shared" si="43"/>
        <v>0.11010230179028133</v>
      </c>
      <c r="AK116" s="52">
        <v>23630.836240795114</v>
      </c>
      <c r="AL116" s="53">
        <v>0</v>
      </c>
      <c r="AM116" s="53">
        <f t="shared" si="31"/>
        <v>23630.836240795114</v>
      </c>
      <c r="AN116" s="53">
        <v>184000</v>
      </c>
      <c r="AO116" s="55">
        <f t="shared" si="32"/>
        <v>0.12842845783040824</v>
      </c>
      <c r="AP116" s="53">
        <v>195500</v>
      </c>
      <c r="AQ116" s="55">
        <f t="shared" si="33"/>
        <v>0.12087384266391363</v>
      </c>
      <c r="AR116" s="52">
        <v>25942.690891487844</v>
      </c>
      <c r="AS116" s="53">
        <v>0</v>
      </c>
      <c r="AT116" s="53">
        <f t="shared" si="34"/>
        <v>25942.690891487844</v>
      </c>
      <c r="AU116" s="53">
        <v>184000</v>
      </c>
      <c r="AV116" s="55">
        <f t="shared" si="35"/>
        <v>0.14099288527982523</v>
      </c>
      <c r="AW116" s="53">
        <v>195500</v>
      </c>
      <c r="AX116" s="55">
        <f t="shared" si="36"/>
        <v>0.13269918614571788</v>
      </c>
      <c r="AY116" s="52">
        <v>28226.661877045633</v>
      </c>
      <c r="AZ116" s="53">
        <v>0</v>
      </c>
      <c r="BA116" s="53">
        <f t="shared" si="37"/>
        <v>28226.661877045633</v>
      </c>
      <c r="BB116" s="53">
        <v>184000</v>
      </c>
      <c r="BC116" s="55">
        <f t="shared" si="38"/>
        <v>0.15340577107090017</v>
      </c>
      <c r="BD116" s="53">
        <v>195500</v>
      </c>
      <c r="BE116" s="55">
        <f t="shared" si="39"/>
        <v>0.14438190218437663</v>
      </c>
    </row>
    <row r="117" spans="1:57" s="57" customFormat="1" ht="11.25" x14ac:dyDescent="0.2">
      <c r="A117" s="44" t="s">
        <v>797</v>
      </c>
      <c r="B117" s="45" t="s">
        <v>798</v>
      </c>
      <c r="C117" s="45" t="s">
        <v>33</v>
      </c>
      <c r="D117" s="46" t="s">
        <v>799</v>
      </c>
      <c r="E117" s="47" t="s">
        <v>800</v>
      </c>
      <c r="F117" s="47" t="s">
        <v>801</v>
      </c>
      <c r="G117" s="47" t="s">
        <v>802</v>
      </c>
      <c r="H117" s="48" t="s">
        <v>55</v>
      </c>
      <c r="I117" s="48" t="s">
        <v>803</v>
      </c>
      <c r="J117" s="49">
        <v>2651</v>
      </c>
      <c r="K117" s="50">
        <v>0</v>
      </c>
      <c r="L117" s="50">
        <f t="shared" si="25"/>
        <v>2651</v>
      </c>
      <c r="M117" s="50">
        <v>0</v>
      </c>
      <c r="N117" s="50" t="s">
        <v>917</v>
      </c>
      <c r="O117" s="52">
        <v>0</v>
      </c>
      <c r="P117" s="53">
        <v>0</v>
      </c>
      <c r="Q117" s="53">
        <f t="shared" si="26"/>
        <v>0</v>
      </c>
      <c r="R117" s="53">
        <v>0</v>
      </c>
      <c r="S117" s="53" t="s">
        <v>917</v>
      </c>
      <c r="T117" s="52">
        <v>0</v>
      </c>
      <c r="U117" s="53">
        <v>0</v>
      </c>
      <c r="V117" s="53">
        <f t="shared" si="27"/>
        <v>0</v>
      </c>
      <c r="W117" s="53">
        <v>0</v>
      </c>
      <c r="X117" s="53" t="s">
        <v>917</v>
      </c>
      <c r="Y117" s="52">
        <v>0</v>
      </c>
      <c r="Z117" s="53">
        <v>0</v>
      </c>
      <c r="AA117" s="53">
        <f t="shared" si="28"/>
        <v>0</v>
      </c>
      <c r="AB117" s="53">
        <v>0</v>
      </c>
      <c r="AC117" s="53" t="s">
        <v>917</v>
      </c>
      <c r="AD117" s="52">
        <v>0</v>
      </c>
      <c r="AE117" s="53">
        <v>0</v>
      </c>
      <c r="AF117" s="53">
        <f t="shared" si="29"/>
        <v>0</v>
      </c>
      <c r="AG117" s="53">
        <v>0</v>
      </c>
      <c r="AH117" s="53" t="s">
        <v>917</v>
      </c>
      <c r="AI117" s="56">
        <v>0</v>
      </c>
      <c r="AJ117" s="53" t="s">
        <v>917</v>
      </c>
      <c r="AK117" s="52">
        <v>0</v>
      </c>
      <c r="AL117" s="53">
        <v>0</v>
      </c>
      <c r="AM117" s="53">
        <f t="shared" si="31"/>
        <v>0</v>
      </c>
      <c r="AN117" s="53">
        <v>0</v>
      </c>
      <c r="AO117" s="53" t="s">
        <v>917</v>
      </c>
      <c r="AP117" s="53">
        <v>0</v>
      </c>
      <c r="AQ117" s="53" t="s">
        <v>917</v>
      </c>
      <c r="AR117" s="52">
        <v>0</v>
      </c>
      <c r="AS117" s="53">
        <v>0</v>
      </c>
      <c r="AT117" s="53">
        <f t="shared" si="34"/>
        <v>0</v>
      </c>
      <c r="AU117" s="53">
        <v>0</v>
      </c>
      <c r="AV117" s="53" t="s">
        <v>917</v>
      </c>
      <c r="AW117" s="53">
        <v>0</v>
      </c>
      <c r="AX117" s="53" t="s">
        <v>917</v>
      </c>
      <c r="AY117" s="52">
        <v>0</v>
      </c>
      <c r="AZ117" s="53">
        <v>0</v>
      </c>
      <c r="BA117" s="53">
        <f t="shared" si="37"/>
        <v>0</v>
      </c>
      <c r="BB117" s="53">
        <v>0</v>
      </c>
      <c r="BC117" s="53" t="s">
        <v>917</v>
      </c>
      <c r="BD117" s="53">
        <v>0</v>
      </c>
      <c r="BE117" s="53" t="s">
        <v>917</v>
      </c>
    </row>
    <row r="118" spans="1:57" s="57" customFormat="1" ht="11.25" x14ac:dyDescent="0.2">
      <c r="A118" s="44" t="s">
        <v>804</v>
      </c>
      <c r="B118" s="45" t="s">
        <v>805</v>
      </c>
      <c r="C118" s="45" t="s">
        <v>806</v>
      </c>
      <c r="D118" s="46" t="s">
        <v>807</v>
      </c>
      <c r="E118" s="47" t="s">
        <v>808</v>
      </c>
      <c r="F118" s="47" t="s">
        <v>801</v>
      </c>
      <c r="G118" s="47" t="s">
        <v>809</v>
      </c>
      <c r="H118" s="48" t="s">
        <v>55</v>
      </c>
      <c r="I118" s="48" t="s">
        <v>803</v>
      </c>
      <c r="J118" s="49">
        <v>57286</v>
      </c>
      <c r="K118" s="50">
        <v>25031</v>
      </c>
      <c r="L118" s="50">
        <f t="shared" si="25"/>
        <v>82317</v>
      </c>
      <c r="M118" s="50">
        <v>240199.59806650953</v>
      </c>
      <c r="N118" s="51">
        <f t="shared" si="44"/>
        <v>0.34270248852459367</v>
      </c>
      <c r="O118" s="52">
        <v>58546</v>
      </c>
      <c r="P118" s="53">
        <v>25631</v>
      </c>
      <c r="Q118" s="53">
        <f t="shared" si="26"/>
        <v>84177</v>
      </c>
      <c r="R118" s="53">
        <v>240199.59806650953</v>
      </c>
      <c r="S118" s="54">
        <f t="shared" si="40"/>
        <v>0.35044604852624273</v>
      </c>
      <c r="T118" s="52">
        <v>69680</v>
      </c>
      <c r="U118" s="53">
        <v>30986</v>
      </c>
      <c r="V118" s="53">
        <f t="shared" si="27"/>
        <v>100666</v>
      </c>
      <c r="W118" s="53">
        <v>240199.59806650953</v>
      </c>
      <c r="X118" s="54">
        <f t="shared" si="41"/>
        <v>0.41909312426129169</v>
      </c>
      <c r="Y118" s="52">
        <v>77689</v>
      </c>
      <c r="Z118" s="53">
        <v>34888</v>
      </c>
      <c r="AA118" s="53">
        <f t="shared" si="28"/>
        <v>112577</v>
      </c>
      <c r="AB118" s="53">
        <v>240199.59806650953</v>
      </c>
      <c r="AC118" s="54">
        <f t="shared" si="42"/>
        <v>0.46868105070195931</v>
      </c>
      <c r="AD118" s="52">
        <v>86620</v>
      </c>
      <c r="AE118" s="53">
        <v>39280</v>
      </c>
      <c r="AF118" s="53">
        <f t="shared" si="29"/>
        <v>125900</v>
      </c>
      <c r="AG118" s="53">
        <v>240199.59806650953</v>
      </c>
      <c r="AH118" s="55">
        <f t="shared" si="30"/>
        <v>0.52414742161699701</v>
      </c>
      <c r="AI118" s="56">
        <v>235720.63020258929</v>
      </c>
      <c r="AJ118" s="54">
        <f t="shared" si="43"/>
        <v>0.53410683609574472</v>
      </c>
      <c r="AK118" s="52">
        <v>103200.47496694971</v>
      </c>
      <c r="AL118" s="53">
        <v>47584.813105958463</v>
      </c>
      <c r="AM118" s="53">
        <f t="shared" si="31"/>
        <v>150785.28807290818</v>
      </c>
      <c r="AN118" s="53">
        <v>240199.59806650953</v>
      </c>
      <c r="AO118" s="55">
        <f t="shared" si="32"/>
        <v>0.62774995997768834</v>
      </c>
      <c r="AP118" s="53">
        <v>235720.63020258929</v>
      </c>
      <c r="AQ118" s="55">
        <f t="shared" si="33"/>
        <v>0.6396779439428627</v>
      </c>
      <c r="AR118" s="52">
        <v>122954.72215890112</v>
      </c>
      <c r="AS118" s="53">
        <v>57645.479590860392</v>
      </c>
      <c r="AT118" s="53">
        <f t="shared" si="34"/>
        <v>180600.2017497615</v>
      </c>
      <c r="AU118" s="53">
        <v>240199.59806650953</v>
      </c>
      <c r="AV118" s="55">
        <f t="shared" si="35"/>
        <v>0.75187553685978536</v>
      </c>
      <c r="AW118" s="53">
        <v>235720.63020258929</v>
      </c>
      <c r="AX118" s="55">
        <f t="shared" si="36"/>
        <v>0.7661620520636877</v>
      </c>
      <c r="AY118" s="52">
        <v>144874.640548289</v>
      </c>
      <c r="AZ118" s="53">
        <v>68940.915333063487</v>
      </c>
      <c r="BA118" s="53">
        <f t="shared" si="37"/>
        <v>213815.55588135248</v>
      </c>
      <c r="BB118" s="53">
        <v>240199.59806650953</v>
      </c>
      <c r="BC118" s="55">
        <f t="shared" si="38"/>
        <v>0.89015784207161119</v>
      </c>
      <c r="BD118" s="53">
        <v>235720.63020258929</v>
      </c>
      <c r="BE118" s="55">
        <f t="shared" si="39"/>
        <v>0.90707188292170027</v>
      </c>
    </row>
    <row r="119" spans="1:57" s="57" customFormat="1" ht="11.25" x14ac:dyDescent="0.2">
      <c r="A119" s="44" t="s">
        <v>810</v>
      </c>
      <c r="B119" s="45" t="s">
        <v>663</v>
      </c>
      <c r="C119" s="45" t="s">
        <v>811</v>
      </c>
      <c r="D119" s="46" t="s">
        <v>812</v>
      </c>
      <c r="E119" s="47" t="s">
        <v>813</v>
      </c>
      <c r="F119" s="47" t="s">
        <v>667</v>
      </c>
      <c r="G119" s="47" t="s">
        <v>814</v>
      </c>
      <c r="H119" s="48" t="s">
        <v>46</v>
      </c>
      <c r="I119" s="48" t="s">
        <v>669</v>
      </c>
      <c r="J119" s="49">
        <v>99914</v>
      </c>
      <c r="K119" s="50">
        <v>0</v>
      </c>
      <c r="L119" s="50">
        <f t="shared" si="25"/>
        <v>99914</v>
      </c>
      <c r="M119" s="50">
        <v>270000.00000000006</v>
      </c>
      <c r="N119" s="51">
        <f t="shared" si="44"/>
        <v>0.3700518518518518</v>
      </c>
      <c r="O119" s="52">
        <v>101792</v>
      </c>
      <c r="P119" s="53">
        <v>0</v>
      </c>
      <c r="Q119" s="53">
        <f t="shared" si="26"/>
        <v>101792</v>
      </c>
      <c r="R119" s="53">
        <v>270000.00000000006</v>
      </c>
      <c r="S119" s="54">
        <f t="shared" si="40"/>
        <v>0.37700740740740735</v>
      </c>
      <c r="T119" s="52">
        <v>118148</v>
      </c>
      <c r="U119" s="53">
        <v>0</v>
      </c>
      <c r="V119" s="53">
        <f t="shared" si="27"/>
        <v>118148</v>
      </c>
      <c r="W119" s="53">
        <v>270000.00000000006</v>
      </c>
      <c r="X119" s="54">
        <f t="shared" si="41"/>
        <v>0.43758518518518508</v>
      </c>
      <c r="Y119" s="52">
        <v>129679</v>
      </c>
      <c r="Z119" s="53">
        <v>0</v>
      </c>
      <c r="AA119" s="53">
        <f t="shared" si="28"/>
        <v>129679</v>
      </c>
      <c r="AB119" s="53">
        <v>270000.00000000006</v>
      </c>
      <c r="AC119" s="54">
        <f t="shared" si="42"/>
        <v>0.48029259259259249</v>
      </c>
      <c r="AD119" s="52">
        <v>142336</v>
      </c>
      <c r="AE119" s="53">
        <v>0</v>
      </c>
      <c r="AF119" s="53">
        <f t="shared" si="29"/>
        <v>142336</v>
      </c>
      <c r="AG119" s="53">
        <v>270000.00000000006</v>
      </c>
      <c r="AH119" s="55">
        <f t="shared" si="30"/>
        <v>0.52717037037037029</v>
      </c>
      <c r="AI119" s="56">
        <v>270000.00000000058</v>
      </c>
      <c r="AJ119" s="54">
        <f t="shared" si="43"/>
        <v>0.52717037037036918</v>
      </c>
      <c r="AK119" s="52">
        <v>163234.99539252141</v>
      </c>
      <c r="AL119" s="53">
        <v>0</v>
      </c>
      <c r="AM119" s="53">
        <f t="shared" si="31"/>
        <v>163234.99539252141</v>
      </c>
      <c r="AN119" s="53">
        <v>270000.00000000006</v>
      </c>
      <c r="AO119" s="55">
        <f t="shared" si="32"/>
        <v>0.60457405700933842</v>
      </c>
      <c r="AP119" s="53">
        <v>270000.00000000058</v>
      </c>
      <c r="AQ119" s="55">
        <f t="shared" si="33"/>
        <v>0.6045740570093372</v>
      </c>
      <c r="AR119" s="52">
        <v>187202.56098805979</v>
      </c>
      <c r="AS119" s="53">
        <v>0</v>
      </c>
      <c r="AT119" s="53">
        <f t="shared" si="34"/>
        <v>187202.56098805979</v>
      </c>
      <c r="AU119" s="53">
        <v>270000.00000000006</v>
      </c>
      <c r="AV119" s="55">
        <f t="shared" si="35"/>
        <v>0.69334281847429535</v>
      </c>
      <c r="AW119" s="53">
        <v>270000.00000000058</v>
      </c>
      <c r="AX119" s="55">
        <f t="shared" si="36"/>
        <v>0.69334281847429402</v>
      </c>
      <c r="AY119" s="52">
        <v>211115.38120522219</v>
      </c>
      <c r="AZ119" s="53">
        <v>0</v>
      </c>
      <c r="BA119" s="53">
        <f t="shared" si="37"/>
        <v>211115.38120522219</v>
      </c>
      <c r="BB119" s="53">
        <v>270000.00000000006</v>
      </c>
      <c r="BC119" s="55">
        <f t="shared" si="38"/>
        <v>0.78190881927860056</v>
      </c>
      <c r="BD119" s="53">
        <v>270000.00000000058</v>
      </c>
      <c r="BE119" s="55">
        <f t="shared" si="39"/>
        <v>0.78190881927859901</v>
      </c>
    </row>
    <row r="120" spans="1:57" s="57" customFormat="1" ht="11.25" x14ac:dyDescent="0.2">
      <c r="A120" s="44" t="s">
        <v>815</v>
      </c>
      <c r="B120" s="45" t="s">
        <v>663</v>
      </c>
      <c r="C120" s="45" t="s">
        <v>816</v>
      </c>
      <c r="D120" s="46" t="s">
        <v>817</v>
      </c>
      <c r="E120" s="47" t="s">
        <v>818</v>
      </c>
      <c r="F120" s="47" t="s">
        <v>667</v>
      </c>
      <c r="G120" s="47" t="s">
        <v>819</v>
      </c>
      <c r="H120" s="48" t="s">
        <v>46</v>
      </c>
      <c r="I120" s="48" t="s">
        <v>669</v>
      </c>
      <c r="J120" s="49">
        <v>26557</v>
      </c>
      <c r="K120" s="50">
        <v>173007</v>
      </c>
      <c r="L120" s="50">
        <f t="shared" si="25"/>
        <v>199564</v>
      </c>
      <c r="M120" s="50">
        <v>450000.00000000012</v>
      </c>
      <c r="N120" s="51">
        <f t="shared" si="44"/>
        <v>0.44347555555555546</v>
      </c>
      <c r="O120" s="52">
        <v>26876</v>
      </c>
      <c r="P120" s="53">
        <v>176986</v>
      </c>
      <c r="Q120" s="53">
        <f t="shared" si="26"/>
        <v>203862</v>
      </c>
      <c r="R120" s="53">
        <v>450000.00000000012</v>
      </c>
      <c r="S120" s="54">
        <f t="shared" si="40"/>
        <v>0.45302666666666652</v>
      </c>
      <c r="T120" s="52">
        <v>29567</v>
      </c>
      <c r="U120" s="53">
        <v>212297</v>
      </c>
      <c r="V120" s="53">
        <f t="shared" si="27"/>
        <v>241864</v>
      </c>
      <c r="W120" s="53">
        <v>450000.00000000012</v>
      </c>
      <c r="X120" s="54">
        <f t="shared" si="41"/>
        <v>0.53747555555555537</v>
      </c>
      <c r="Y120" s="52">
        <v>31384</v>
      </c>
      <c r="Z120" s="53">
        <v>237860</v>
      </c>
      <c r="AA120" s="53">
        <f t="shared" si="28"/>
        <v>269244</v>
      </c>
      <c r="AB120" s="53">
        <v>450000.00000000012</v>
      </c>
      <c r="AC120" s="54">
        <f t="shared" si="42"/>
        <v>0.59831999999999985</v>
      </c>
      <c r="AD120" s="52">
        <v>33312</v>
      </c>
      <c r="AE120" s="53">
        <v>266502</v>
      </c>
      <c r="AF120" s="53">
        <f t="shared" si="29"/>
        <v>299814</v>
      </c>
      <c r="AG120" s="53">
        <v>450000.00000000012</v>
      </c>
      <c r="AH120" s="55">
        <f t="shared" si="30"/>
        <v>0.66625333333333314</v>
      </c>
      <c r="AI120" s="56">
        <v>575000</v>
      </c>
      <c r="AJ120" s="54">
        <f t="shared" si="43"/>
        <v>0.52141565217391306</v>
      </c>
      <c r="AK120" s="52">
        <v>36363.835714031695</v>
      </c>
      <c r="AL120" s="53">
        <v>318362.06347146333</v>
      </c>
      <c r="AM120" s="53">
        <f t="shared" si="31"/>
        <v>354725.89918549504</v>
      </c>
      <c r="AN120" s="53">
        <v>450000.00000000012</v>
      </c>
      <c r="AO120" s="55">
        <f t="shared" si="32"/>
        <v>0.78827977596776655</v>
      </c>
      <c r="AP120" s="53">
        <v>575000</v>
      </c>
      <c r="AQ120" s="55">
        <f t="shared" si="33"/>
        <v>0.61691460727912184</v>
      </c>
      <c r="AR120" s="52">
        <v>39695.261402410157</v>
      </c>
      <c r="AS120" s="53">
        <v>380313.85677333764</v>
      </c>
      <c r="AT120" s="53">
        <f t="shared" si="34"/>
        <v>420009.1181757478</v>
      </c>
      <c r="AU120" s="53">
        <v>450000.00000000012</v>
      </c>
      <c r="AV120" s="55">
        <f t="shared" si="35"/>
        <v>0.93335359594610601</v>
      </c>
      <c r="AW120" s="53">
        <v>575000</v>
      </c>
      <c r="AX120" s="55">
        <f t="shared" si="36"/>
        <v>0.73045064030564832</v>
      </c>
      <c r="AY120" s="52">
        <v>42867.96962673602</v>
      </c>
      <c r="AZ120" s="53">
        <v>446547.78826701076</v>
      </c>
      <c r="BA120" s="53">
        <f t="shared" si="37"/>
        <v>489415.75789374678</v>
      </c>
      <c r="BB120" s="53">
        <v>450000.00000000012</v>
      </c>
      <c r="BC120" s="55">
        <f t="shared" si="38"/>
        <v>1.0875905730972149</v>
      </c>
      <c r="BD120" s="53">
        <v>575000</v>
      </c>
      <c r="BE120" s="55">
        <f t="shared" si="39"/>
        <v>0.85115783981521176</v>
      </c>
    </row>
    <row r="121" spans="1:57" s="57" customFormat="1" ht="11.25" x14ac:dyDescent="0.2">
      <c r="A121" s="44" t="s">
        <v>820</v>
      </c>
      <c r="B121" s="45" t="s">
        <v>821</v>
      </c>
      <c r="C121" s="45" t="s">
        <v>33</v>
      </c>
      <c r="D121" s="46" t="s">
        <v>822</v>
      </c>
      <c r="E121" s="47" t="s">
        <v>823</v>
      </c>
      <c r="F121" s="47" t="s">
        <v>667</v>
      </c>
      <c r="G121" s="47" t="s">
        <v>824</v>
      </c>
      <c r="H121" s="48" t="s">
        <v>46</v>
      </c>
      <c r="I121" s="48" t="s">
        <v>689</v>
      </c>
      <c r="J121" s="49">
        <v>11061</v>
      </c>
      <c r="K121" s="50">
        <v>0</v>
      </c>
      <c r="L121" s="50">
        <f t="shared" si="25"/>
        <v>11061</v>
      </c>
      <c r="M121" s="50">
        <v>161000</v>
      </c>
      <c r="N121" s="51">
        <f t="shared" si="44"/>
        <v>6.8701863354037274E-2</v>
      </c>
      <c r="O121" s="52">
        <v>11121</v>
      </c>
      <c r="P121" s="53">
        <v>0</v>
      </c>
      <c r="Q121" s="53">
        <f t="shared" si="26"/>
        <v>11121</v>
      </c>
      <c r="R121" s="53">
        <v>161000</v>
      </c>
      <c r="S121" s="54">
        <f t="shared" si="40"/>
        <v>6.9074534161490689E-2</v>
      </c>
      <c r="T121" s="52">
        <v>11620</v>
      </c>
      <c r="U121" s="53">
        <v>0</v>
      </c>
      <c r="V121" s="53">
        <f t="shared" si="27"/>
        <v>11620</v>
      </c>
      <c r="W121" s="53">
        <v>161000</v>
      </c>
      <c r="X121" s="54">
        <f t="shared" si="41"/>
        <v>7.2173913043478255E-2</v>
      </c>
      <c r="Y121" s="52">
        <v>11943</v>
      </c>
      <c r="Z121" s="53">
        <v>0</v>
      </c>
      <c r="AA121" s="53">
        <f t="shared" si="28"/>
        <v>11943</v>
      </c>
      <c r="AB121" s="53">
        <v>161000</v>
      </c>
      <c r="AC121" s="54">
        <f t="shared" si="42"/>
        <v>7.4180124223602484E-2</v>
      </c>
      <c r="AD121" s="52">
        <v>12275</v>
      </c>
      <c r="AE121" s="53">
        <v>0</v>
      </c>
      <c r="AF121" s="53">
        <f t="shared" si="29"/>
        <v>12275</v>
      </c>
      <c r="AG121" s="53">
        <v>161000</v>
      </c>
      <c r="AH121" s="55">
        <f t="shared" si="30"/>
        <v>7.6242236024844715E-2</v>
      </c>
      <c r="AI121" s="56">
        <v>161000</v>
      </c>
      <c r="AJ121" s="54">
        <f t="shared" si="43"/>
        <v>7.6242236024844715E-2</v>
      </c>
      <c r="AK121" s="52">
        <v>12751.329583209243</v>
      </c>
      <c r="AL121" s="53">
        <v>0</v>
      </c>
      <c r="AM121" s="53">
        <f t="shared" si="31"/>
        <v>12751.329583209243</v>
      </c>
      <c r="AN121" s="53">
        <v>161000</v>
      </c>
      <c r="AO121" s="55">
        <f t="shared" si="32"/>
        <v>7.9200804864653682E-2</v>
      </c>
      <c r="AP121" s="53">
        <v>161000</v>
      </c>
      <c r="AQ121" s="55">
        <f t="shared" si="33"/>
        <v>7.9200804864653682E-2</v>
      </c>
      <c r="AR121" s="52">
        <v>13246.143066364744</v>
      </c>
      <c r="AS121" s="53">
        <v>0</v>
      </c>
      <c r="AT121" s="53">
        <f t="shared" si="34"/>
        <v>13246.143066364744</v>
      </c>
      <c r="AU121" s="53">
        <v>161000</v>
      </c>
      <c r="AV121" s="55">
        <f t="shared" si="35"/>
        <v>8.2274180536426988E-2</v>
      </c>
      <c r="AW121" s="53">
        <v>161000</v>
      </c>
      <c r="AX121" s="55">
        <f t="shared" si="36"/>
        <v>8.2274180536426988E-2</v>
      </c>
      <c r="AY121" s="52">
        <v>13680.615086368058</v>
      </c>
      <c r="AZ121" s="53">
        <v>0</v>
      </c>
      <c r="BA121" s="53">
        <f t="shared" si="37"/>
        <v>13680.615086368058</v>
      </c>
      <c r="BB121" s="53">
        <v>161000</v>
      </c>
      <c r="BC121" s="55">
        <f t="shared" si="38"/>
        <v>8.497276451160285E-2</v>
      </c>
      <c r="BD121" s="53">
        <v>161000</v>
      </c>
      <c r="BE121" s="55">
        <f t="shared" si="39"/>
        <v>8.497276451160285E-2</v>
      </c>
    </row>
    <row r="122" spans="1:57" s="57" customFormat="1" ht="11.25" x14ac:dyDescent="0.2">
      <c r="A122" s="44" t="s">
        <v>825</v>
      </c>
      <c r="B122" s="45" t="s">
        <v>401</v>
      </c>
      <c r="C122" s="45" t="s">
        <v>826</v>
      </c>
      <c r="D122" s="46" t="s">
        <v>827</v>
      </c>
      <c r="E122" s="47" t="s">
        <v>828</v>
      </c>
      <c r="F122" s="47" t="s">
        <v>829</v>
      </c>
      <c r="G122" s="47" t="s">
        <v>830</v>
      </c>
      <c r="H122" s="48" t="s">
        <v>98</v>
      </c>
      <c r="I122" s="48" t="s">
        <v>831</v>
      </c>
      <c r="J122" s="49">
        <v>67696</v>
      </c>
      <c r="K122" s="50">
        <v>0</v>
      </c>
      <c r="L122" s="50">
        <f t="shared" si="25"/>
        <v>67696</v>
      </c>
      <c r="M122" s="50">
        <v>195500</v>
      </c>
      <c r="N122" s="51">
        <f t="shared" si="44"/>
        <v>0.34627109974424553</v>
      </c>
      <c r="O122" s="52">
        <v>68542</v>
      </c>
      <c r="P122" s="53">
        <v>0</v>
      </c>
      <c r="Q122" s="53">
        <f t="shared" si="26"/>
        <v>68542</v>
      </c>
      <c r="R122" s="53">
        <v>195500</v>
      </c>
      <c r="S122" s="54">
        <f t="shared" si="40"/>
        <v>0.35059846547314577</v>
      </c>
      <c r="T122" s="52">
        <v>75704</v>
      </c>
      <c r="U122" s="53">
        <v>0</v>
      </c>
      <c r="V122" s="53">
        <f t="shared" si="27"/>
        <v>75704</v>
      </c>
      <c r="W122" s="53">
        <v>195500</v>
      </c>
      <c r="X122" s="54">
        <f t="shared" si="41"/>
        <v>0.38723273657289004</v>
      </c>
      <c r="Y122" s="52">
        <v>80555</v>
      </c>
      <c r="Z122" s="53">
        <v>0</v>
      </c>
      <c r="AA122" s="53">
        <f t="shared" si="28"/>
        <v>80555</v>
      </c>
      <c r="AB122" s="53">
        <v>195500</v>
      </c>
      <c r="AC122" s="54">
        <f t="shared" si="42"/>
        <v>0.4120460358056266</v>
      </c>
      <c r="AD122" s="52">
        <v>85717</v>
      </c>
      <c r="AE122" s="53">
        <v>0</v>
      </c>
      <c r="AF122" s="53">
        <f t="shared" si="29"/>
        <v>85717</v>
      </c>
      <c r="AG122" s="53">
        <v>195500</v>
      </c>
      <c r="AH122" s="55">
        <f t="shared" si="30"/>
        <v>0.43845012787723786</v>
      </c>
      <c r="AI122" s="56">
        <v>195500</v>
      </c>
      <c r="AJ122" s="54">
        <f t="shared" si="43"/>
        <v>0.43845012787723786</v>
      </c>
      <c r="AK122" s="52">
        <v>90538.699258835841</v>
      </c>
      <c r="AL122" s="53">
        <v>0</v>
      </c>
      <c r="AM122" s="53">
        <f t="shared" si="31"/>
        <v>90538.699258835841</v>
      </c>
      <c r="AN122" s="53">
        <v>195500</v>
      </c>
      <c r="AO122" s="55">
        <f t="shared" si="32"/>
        <v>0.46311355119609127</v>
      </c>
      <c r="AP122" s="53">
        <v>195500</v>
      </c>
      <c r="AQ122" s="55">
        <f t="shared" si="33"/>
        <v>0.46311355119609127</v>
      </c>
      <c r="AR122" s="52">
        <v>95631.625739140683</v>
      </c>
      <c r="AS122" s="53">
        <v>0</v>
      </c>
      <c r="AT122" s="53">
        <f t="shared" si="34"/>
        <v>95631.625739140683</v>
      </c>
      <c r="AU122" s="53">
        <v>195500</v>
      </c>
      <c r="AV122" s="55">
        <f t="shared" si="35"/>
        <v>0.48916432603141013</v>
      </c>
      <c r="AW122" s="53">
        <v>195500</v>
      </c>
      <c r="AX122" s="55">
        <f t="shared" si="36"/>
        <v>0.48916432603141013</v>
      </c>
      <c r="AY122" s="52">
        <v>95631.625739138501</v>
      </c>
      <c r="AZ122" s="53">
        <v>0</v>
      </c>
      <c r="BA122" s="53">
        <f t="shared" si="37"/>
        <v>95631.625739138501</v>
      </c>
      <c r="BB122" s="53">
        <v>195500</v>
      </c>
      <c r="BC122" s="55">
        <f t="shared" si="38"/>
        <v>0.48916432603139898</v>
      </c>
      <c r="BD122" s="53">
        <v>195500</v>
      </c>
      <c r="BE122" s="55">
        <f t="shared" si="39"/>
        <v>0.48916432603139898</v>
      </c>
    </row>
    <row r="123" spans="1:57" s="57" customFormat="1" ht="11.25" x14ac:dyDescent="0.2">
      <c r="A123" s="44" t="s">
        <v>832</v>
      </c>
      <c r="B123" s="45" t="s">
        <v>833</v>
      </c>
      <c r="C123" s="45" t="s">
        <v>834</v>
      </c>
      <c r="D123" s="46" t="s">
        <v>835</v>
      </c>
      <c r="E123" s="47" t="s">
        <v>836</v>
      </c>
      <c r="F123" s="47" t="s">
        <v>837</v>
      </c>
      <c r="G123" s="47" t="s">
        <v>838</v>
      </c>
      <c r="H123" s="48" t="s">
        <v>55</v>
      </c>
      <c r="I123" s="48" t="s">
        <v>839</v>
      </c>
      <c r="J123" s="49">
        <v>28702</v>
      </c>
      <c r="K123" s="50">
        <v>0</v>
      </c>
      <c r="L123" s="50">
        <f t="shared" si="25"/>
        <v>28702</v>
      </c>
      <c r="M123" s="50">
        <v>184000</v>
      </c>
      <c r="N123" s="51">
        <f t="shared" si="44"/>
        <v>0.1559891304347826</v>
      </c>
      <c r="O123" s="52">
        <v>29032</v>
      </c>
      <c r="P123" s="53">
        <v>0</v>
      </c>
      <c r="Q123" s="53">
        <f t="shared" si="26"/>
        <v>29032</v>
      </c>
      <c r="R123" s="53">
        <v>184000</v>
      </c>
      <c r="S123" s="54">
        <f t="shared" si="40"/>
        <v>0.15778260869565217</v>
      </c>
      <c r="T123" s="52">
        <v>31813</v>
      </c>
      <c r="U123" s="53">
        <v>0</v>
      </c>
      <c r="V123" s="53">
        <f t="shared" si="27"/>
        <v>31813</v>
      </c>
      <c r="W123" s="53">
        <v>184000</v>
      </c>
      <c r="X123" s="54">
        <f t="shared" si="41"/>
        <v>0.1728967391304348</v>
      </c>
      <c r="Y123" s="52">
        <v>33685</v>
      </c>
      <c r="Z123" s="53">
        <v>0</v>
      </c>
      <c r="AA123" s="53">
        <f t="shared" si="28"/>
        <v>33685</v>
      </c>
      <c r="AB123" s="53">
        <v>184000</v>
      </c>
      <c r="AC123" s="54">
        <f t="shared" si="42"/>
        <v>0.18307065217391305</v>
      </c>
      <c r="AD123" s="52">
        <v>35667</v>
      </c>
      <c r="AE123" s="53">
        <v>0</v>
      </c>
      <c r="AF123" s="53">
        <f t="shared" si="29"/>
        <v>35667</v>
      </c>
      <c r="AG123" s="53">
        <v>184000</v>
      </c>
      <c r="AH123" s="55">
        <f t="shared" si="30"/>
        <v>0.19384239130434783</v>
      </c>
      <c r="AI123" s="56">
        <v>195500</v>
      </c>
      <c r="AJ123" s="54">
        <f t="shared" si="43"/>
        <v>0.18243989769820973</v>
      </c>
      <c r="AK123" s="52">
        <v>39359.304675920801</v>
      </c>
      <c r="AL123" s="53">
        <v>0</v>
      </c>
      <c r="AM123" s="53">
        <f t="shared" si="31"/>
        <v>39359.304675920801</v>
      </c>
      <c r="AN123" s="53">
        <v>184000</v>
      </c>
      <c r="AO123" s="55">
        <f t="shared" si="32"/>
        <v>0.21390926454304784</v>
      </c>
      <c r="AP123" s="53">
        <v>195500</v>
      </c>
      <c r="AQ123" s="55">
        <f t="shared" si="33"/>
        <v>0.20132636662875089</v>
      </c>
      <c r="AR123" s="52">
        <v>43433.842615638016</v>
      </c>
      <c r="AS123" s="53">
        <v>0</v>
      </c>
      <c r="AT123" s="53">
        <f t="shared" si="34"/>
        <v>43433.842615638016</v>
      </c>
      <c r="AU123" s="53">
        <v>184000</v>
      </c>
      <c r="AV123" s="55">
        <f t="shared" si="35"/>
        <v>0.23605349247629356</v>
      </c>
      <c r="AW123" s="53">
        <v>195500</v>
      </c>
      <c r="AX123" s="55">
        <f t="shared" si="36"/>
        <v>0.22216799291886452</v>
      </c>
      <c r="AY123" s="52">
        <v>47756.32269372126</v>
      </c>
      <c r="AZ123" s="53">
        <v>0</v>
      </c>
      <c r="BA123" s="53">
        <f t="shared" si="37"/>
        <v>47756.32269372126</v>
      </c>
      <c r="BB123" s="53">
        <v>184000</v>
      </c>
      <c r="BC123" s="55">
        <f t="shared" si="38"/>
        <v>0.25954523203109381</v>
      </c>
      <c r="BD123" s="53">
        <v>195500</v>
      </c>
      <c r="BE123" s="55">
        <f t="shared" si="39"/>
        <v>0.24427786544102947</v>
      </c>
    </row>
    <row r="124" spans="1:57" s="57" customFormat="1" ht="11.25" x14ac:dyDescent="0.2">
      <c r="A124" s="44" t="s">
        <v>840</v>
      </c>
      <c r="B124" s="45" t="s">
        <v>841</v>
      </c>
      <c r="C124" s="45" t="s">
        <v>842</v>
      </c>
      <c r="D124" s="46" t="s">
        <v>843</v>
      </c>
      <c r="E124" s="47" t="s">
        <v>844</v>
      </c>
      <c r="F124" s="47" t="s">
        <v>845</v>
      </c>
      <c r="G124" s="47" t="s">
        <v>846</v>
      </c>
      <c r="H124" s="48" t="s">
        <v>73</v>
      </c>
      <c r="I124" s="48" t="s">
        <v>847</v>
      </c>
      <c r="J124" s="49">
        <v>5038</v>
      </c>
      <c r="K124" s="50">
        <v>0</v>
      </c>
      <c r="L124" s="50">
        <f t="shared" si="25"/>
        <v>5038</v>
      </c>
      <c r="M124" s="50">
        <v>172500</v>
      </c>
      <c r="N124" s="51">
        <f t="shared" si="44"/>
        <v>2.9205797101449275E-2</v>
      </c>
      <c r="O124" s="52">
        <v>5075</v>
      </c>
      <c r="P124" s="53">
        <v>0</v>
      </c>
      <c r="Q124" s="53">
        <f t="shared" si="26"/>
        <v>5075</v>
      </c>
      <c r="R124" s="53">
        <v>172500</v>
      </c>
      <c r="S124" s="54">
        <f t="shared" si="40"/>
        <v>2.9420289855072463E-2</v>
      </c>
      <c r="T124" s="52">
        <v>5388</v>
      </c>
      <c r="U124" s="53">
        <v>0</v>
      </c>
      <c r="V124" s="53">
        <f t="shared" si="27"/>
        <v>5388</v>
      </c>
      <c r="W124" s="53">
        <v>172500</v>
      </c>
      <c r="X124" s="54">
        <f t="shared" si="41"/>
        <v>3.1234782608695652E-2</v>
      </c>
      <c r="Y124" s="52">
        <v>5593</v>
      </c>
      <c r="Z124" s="53">
        <v>0</v>
      </c>
      <c r="AA124" s="53">
        <f t="shared" si="28"/>
        <v>5593</v>
      </c>
      <c r="AB124" s="53">
        <v>172500</v>
      </c>
      <c r="AC124" s="54">
        <f t="shared" si="42"/>
        <v>3.2423188405797103E-2</v>
      </c>
      <c r="AD124" s="52">
        <v>5806</v>
      </c>
      <c r="AE124" s="53">
        <v>0</v>
      </c>
      <c r="AF124" s="53">
        <f t="shared" si="29"/>
        <v>5806</v>
      </c>
      <c r="AG124" s="53">
        <v>172500</v>
      </c>
      <c r="AH124" s="55">
        <f t="shared" si="30"/>
        <v>3.3657971014492756E-2</v>
      </c>
      <c r="AI124" s="56">
        <v>195500</v>
      </c>
      <c r="AJ124" s="54">
        <f t="shared" si="43"/>
        <v>2.9698209718670078E-2</v>
      </c>
      <c r="AK124" s="52">
        <v>6103.2991334117805</v>
      </c>
      <c r="AL124" s="53">
        <v>0</v>
      </c>
      <c r="AM124" s="53">
        <f t="shared" si="31"/>
        <v>6103.2991334117805</v>
      </c>
      <c r="AN124" s="53">
        <v>172500</v>
      </c>
      <c r="AO124" s="55">
        <f t="shared" si="32"/>
        <v>3.5381444251662494E-2</v>
      </c>
      <c r="AP124" s="53">
        <v>195500</v>
      </c>
      <c r="AQ124" s="55">
        <f t="shared" si="33"/>
        <v>3.121892139852573E-2</v>
      </c>
      <c r="AR124" s="52">
        <v>6415.8216176205651</v>
      </c>
      <c r="AS124" s="53">
        <v>0</v>
      </c>
      <c r="AT124" s="53">
        <f t="shared" si="34"/>
        <v>6415.8216176205651</v>
      </c>
      <c r="AU124" s="53">
        <v>172500</v>
      </c>
      <c r="AV124" s="55">
        <f t="shared" si="35"/>
        <v>3.719316879780038E-2</v>
      </c>
      <c r="AW124" s="53">
        <v>195500</v>
      </c>
      <c r="AX124" s="55">
        <f t="shared" si="36"/>
        <v>3.2817501880412096E-2</v>
      </c>
      <c r="AY124" s="52">
        <v>6690.3437379291727</v>
      </c>
      <c r="AZ124" s="53">
        <v>0</v>
      </c>
      <c r="BA124" s="53">
        <f t="shared" si="37"/>
        <v>6690.3437379291727</v>
      </c>
      <c r="BB124" s="53">
        <v>172500</v>
      </c>
      <c r="BC124" s="55">
        <f t="shared" si="38"/>
        <v>3.8784601379299552E-2</v>
      </c>
      <c r="BD124" s="53">
        <v>195500</v>
      </c>
      <c r="BE124" s="55">
        <f t="shared" si="39"/>
        <v>3.4221707099381958E-2</v>
      </c>
    </row>
    <row r="125" spans="1:57" s="57" customFormat="1" ht="11.25" x14ac:dyDescent="0.2">
      <c r="A125" s="44" t="s">
        <v>848</v>
      </c>
      <c r="B125" s="45" t="s">
        <v>849</v>
      </c>
      <c r="C125" s="45" t="s">
        <v>850</v>
      </c>
      <c r="D125" s="46" t="s">
        <v>851</v>
      </c>
      <c r="E125" s="47" t="s">
        <v>852</v>
      </c>
      <c r="F125" s="47" t="s">
        <v>853</v>
      </c>
      <c r="G125" s="47" t="s">
        <v>854</v>
      </c>
      <c r="H125" s="48" t="s">
        <v>73</v>
      </c>
      <c r="I125" s="48" t="s">
        <v>74</v>
      </c>
      <c r="J125" s="49">
        <v>33266</v>
      </c>
      <c r="K125" s="50">
        <v>0</v>
      </c>
      <c r="L125" s="50">
        <f t="shared" si="25"/>
        <v>33266</v>
      </c>
      <c r="M125" s="50">
        <v>230000</v>
      </c>
      <c r="N125" s="51">
        <f t="shared" si="44"/>
        <v>0.14463478260869564</v>
      </c>
      <c r="O125" s="52">
        <v>33432</v>
      </c>
      <c r="P125" s="53">
        <v>0</v>
      </c>
      <c r="Q125" s="53">
        <f t="shared" si="26"/>
        <v>33432</v>
      </c>
      <c r="R125" s="53">
        <v>230000</v>
      </c>
      <c r="S125" s="54">
        <f t="shared" si="40"/>
        <v>0.14535652173913044</v>
      </c>
      <c r="T125" s="52">
        <v>34793</v>
      </c>
      <c r="U125" s="53">
        <v>0</v>
      </c>
      <c r="V125" s="53">
        <f t="shared" si="27"/>
        <v>34793</v>
      </c>
      <c r="W125" s="53">
        <v>230000</v>
      </c>
      <c r="X125" s="54">
        <f t="shared" si="41"/>
        <v>0.15127391304347826</v>
      </c>
      <c r="Y125" s="52">
        <v>35671</v>
      </c>
      <c r="Z125" s="53">
        <v>0</v>
      </c>
      <c r="AA125" s="53">
        <f t="shared" si="28"/>
        <v>35671</v>
      </c>
      <c r="AB125" s="53">
        <v>230000</v>
      </c>
      <c r="AC125" s="54">
        <f t="shared" si="42"/>
        <v>0.15509130434782609</v>
      </c>
      <c r="AD125" s="52">
        <v>36572</v>
      </c>
      <c r="AE125" s="53">
        <v>0</v>
      </c>
      <c r="AF125" s="53">
        <f t="shared" si="29"/>
        <v>36572</v>
      </c>
      <c r="AG125" s="53">
        <v>230000</v>
      </c>
      <c r="AH125" s="55">
        <f t="shared" si="30"/>
        <v>0.1590086956521739</v>
      </c>
      <c r="AI125" s="56">
        <v>230000</v>
      </c>
      <c r="AJ125" s="54">
        <f t="shared" si="43"/>
        <v>0.1590086956521739</v>
      </c>
      <c r="AK125" s="52">
        <v>38036.419551759238</v>
      </c>
      <c r="AL125" s="53">
        <v>0</v>
      </c>
      <c r="AM125" s="53">
        <f t="shared" si="31"/>
        <v>38036.419551759238</v>
      </c>
      <c r="AN125" s="53">
        <v>230000</v>
      </c>
      <c r="AO125" s="55">
        <f t="shared" si="32"/>
        <v>0.1653757371815619</v>
      </c>
      <c r="AP125" s="53">
        <v>230000</v>
      </c>
      <c r="AQ125" s="55">
        <f t="shared" si="33"/>
        <v>0.1653757371815619</v>
      </c>
      <c r="AR125" s="52">
        <v>39559.477532468904</v>
      </c>
      <c r="AS125" s="53">
        <v>0</v>
      </c>
      <c r="AT125" s="53">
        <f t="shared" si="34"/>
        <v>39559.477532468904</v>
      </c>
      <c r="AU125" s="53">
        <v>230000</v>
      </c>
      <c r="AV125" s="55">
        <f t="shared" si="35"/>
        <v>0.17199772840203872</v>
      </c>
      <c r="AW125" s="53">
        <v>230000</v>
      </c>
      <c r="AX125" s="55">
        <f t="shared" si="36"/>
        <v>0.17199772840203872</v>
      </c>
      <c r="AY125" s="52">
        <v>41027.146629173134</v>
      </c>
      <c r="AZ125" s="53">
        <v>0</v>
      </c>
      <c r="BA125" s="53">
        <f t="shared" si="37"/>
        <v>41027.146629173134</v>
      </c>
      <c r="BB125" s="53">
        <v>230000</v>
      </c>
      <c r="BC125" s="55">
        <f t="shared" si="38"/>
        <v>0.17837889838770929</v>
      </c>
      <c r="BD125" s="53">
        <v>230000</v>
      </c>
      <c r="BE125" s="55">
        <f t="shared" si="39"/>
        <v>0.17837889838770929</v>
      </c>
    </row>
    <row r="126" spans="1:57" s="57" customFormat="1" ht="11.25" x14ac:dyDescent="0.2">
      <c r="A126" s="44" t="s">
        <v>855</v>
      </c>
      <c r="B126" s="45" t="s">
        <v>856</v>
      </c>
      <c r="C126" s="45" t="s">
        <v>857</v>
      </c>
      <c r="D126" s="46" t="s">
        <v>858</v>
      </c>
      <c r="E126" s="47" t="s">
        <v>859</v>
      </c>
      <c r="F126" s="63" t="s">
        <v>860</v>
      </c>
      <c r="G126" s="63" t="s">
        <v>861</v>
      </c>
      <c r="H126" s="64" t="s">
        <v>29</v>
      </c>
      <c r="I126" s="64" t="s">
        <v>136</v>
      </c>
      <c r="J126" s="49">
        <v>60731</v>
      </c>
      <c r="K126" s="50">
        <v>0</v>
      </c>
      <c r="L126" s="50">
        <f t="shared" si="25"/>
        <v>60731</v>
      </c>
      <c r="M126" s="50">
        <v>184000</v>
      </c>
      <c r="N126" s="51">
        <f t="shared" si="44"/>
        <v>0.33005978260869567</v>
      </c>
      <c r="O126" s="52">
        <v>61678</v>
      </c>
      <c r="P126" s="53">
        <v>0</v>
      </c>
      <c r="Q126" s="53">
        <f t="shared" si="26"/>
        <v>61678</v>
      </c>
      <c r="R126" s="53">
        <v>184000</v>
      </c>
      <c r="S126" s="54">
        <f t="shared" si="40"/>
        <v>0.33520652173913046</v>
      </c>
      <c r="T126" s="52">
        <v>69809</v>
      </c>
      <c r="U126" s="53">
        <v>0</v>
      </c>
      <c r="V126" s="53">
        <f t="shared" si="27"/>
        <v>69809</v>
      </c>
      <c r="W126" s="53">
        <v>184000</v>
      </c>
      <c r="X126" s="54">
        <f t="shared" si="41"/>
        <v>0.37939673913043476</v>
      </c>
      <c r="Y126" s="52">
        <v>75427</v>
      </c>
      <c r="Z126" s="53">
        <v>0</v>
      </c>
      <c r="AA126" s="53">
        <f t="shared" si="28"/>
        <v>75427</v>
      </c>
      <c r="AB126" s="53">
        <v>184000</v>
      </c>
      <c r="AC126" s="54">
        <f t="shared" si="42"/>
        <v>0.40992934782608698</v>
      </c>
      <c r="AD126" s="52">
        <v>81497</v>
      </c>
      <c r="AE126" s="53">
        <v>0</v>
      </c>
      <c r="AF126" s="53">
        <f t="shared" si="29"/>
        <v>81497</v>
      </c>
      <c r="AG126" s="53">
        <v>184000</v>
      </c>
      <c r="AH126" s="55">
        <f t="shared" si="30"/>
        <v>0.44291847826086955</v>
      </c>
      <c r="AI126" s="56">
        <v>230000</v>
      </c>
      <c r="AJ126" s="54">
        <f t="shared" si="43"/>
        <v>0.35433478260869566</v>
      </c>
      <c r="AK126" s="52">
        <v>91877.677840846445</v>
      </c>
      <c r="AL126" s="53">
        <v>0</v>
      </c>
      <c r="AM126" s="53">
        <f t="shared" si="31"/>
        <v>91877.677840846445</v>
      </c>
      <c r="AN126" s="53">
        <v>184000</v>
      </c>
      <c r="AO126" s="55">
        <f t="shared" si="32"/>
        <v>0.49933520565677414</v>
      </c>
      <c r="AP126" s="53">
        <v>230000</v>
      </c>
      <c r="AQ126" s="55">
        <f t="shared" si="33"/>
        <v>0.39946816452541933</v>
      </c>
      <c r="AR126" s="52">
        <v>103580.59419888297</v>
      </c>
      <c r="AS126" s="53">
        <v>0</v>
      </c>
      <c r="AT126" s="53">
        <f t="shared" si="34"/>
        <v>103580.59419888297</v>
      </c>
      <c r="AU126" s="53">
        <v>184000</v>
      </c>
      <c r="AV126" s="55">
        <f t="shared" si="35"/>
        <v>0.5629380119504509</v>
      </c>
      <c r="AW126" s="53">
        <v>230000</v>
      </c>
      <c r="AX126" s="55">
        <f t="shared" si="36"/>
        <v>0.45035040956036076</v>
      </c>
      <c r="AY126" s="52">
        <v>115559.23620281609</v>
      </c>
      <c r="AZ126" s="53">
        <v>0</v>
      </c>
      <c r="BA126" s="53">
        <f t="shared" si="37"/>
        <v>115559.23620281609</v>
      </c>
      <c r="BB126" s="53">
        <v>184000</v>
      </c>
      <c r="BC126" s="55">
        <f t="shared" si="38"/>
        <v>0.62803932718921784</v>
      </c>
      <c r="BD126" s="53">
        <v>230000</v>
      </c>
      <c r="BE126" s="55">
        <f t="shared" si="39"/>
        <v>0.50243146175137432</v>
      </c>
    </row>
    <row r="127" spans="1:57" s="57" customFormat="1" ht="11.25" x14ac:dyDescent="0.2">
      <c r="A127" s="44" t="s">
        <v>862</v>
      </c>
      <c r="B127" s="45" t="s">
        <v>863</v>
      </c>
      <c r="C127" s="45" t="s">
        <v>864</v>
      </c>
      <c r="D127" s="46" t="s">
        <v>865</v>
      </c>
      <c r="E127" s="47" t="s">
        <v>866</v>
      </c>
      <c r="F127" s="63" t="s">
        <v>529</v>
      </c>
      <c r="G127" s="47" t="s">
        <v>867</v>
      </c>
      <c r="H127" s="48" t="s">
        <v>376</v>
      </c>
      <c r="I127" s="48" t="s">
        <v>531</v>
      </c>
      <c r="J127" s="49">
        <v>161181</v>
      </c>
      <c r="K127" s="50">
        <v>0</v>
      </c>
      <c r="L127" s="50">
        <f t="shared" si="25"/>
        <v>161181</v>
      </c>
      <c r="M127" s="50">
        <v>337250</v>
      </c>
      <c r="N127" s="51">
        <f t="shared" si="44"/>
        <v>0.47792735359525573</v>
      </c>
      <c r="O127" s="52">
        <v>163196</v>
      </c>
      <c r="P127" s="53">
        <v>0</v>
      </c>
      <c r="Q127" s="53">
        <f t="shared" si="26"/>
        <v>163196</v>
      </c>
      <c r="R127" s="53">
        <v>337250</v>
      </c>
      <c r="S127" s="54">
        <f t="shared" si="40"/>
        <v>0.48390214974054857</v>
      </c>
      <c r="T127" s="52">
        <v>180247</v>
      </c>
      <c r="U127" s="53">
        <v>0</v>
      </c>
      <c r="V127" s="53">
        <f t="shared" si="27"/>
        <v>180247</v>
      </c>
      <c r="W127" s="53">
        <v>337250</v>
      </c>
      <c r="X127" s="54">
        <f t="shared" si="41"/>
        <v>0.53446108228317268</v>
      </c>
      <c r="Y127" s="52">
        <v>191798</v>
      </c>
      <c r="Z127" s="53">
        <v>0</v>
      </c>
      <c r="AA127" s="53">
        <f t="shared" si="28"/>
        <v>191798</v>
      </c>
      <c r="AB127" s="53">
        <v>337250</v>
      </c>
      <c r="AC127" s="54">
        <f t="shared" si="42"/>
        <v>0.56871163825055593</v>
      </c>
      <c r="AD127" s="52">
        <v>204089</v>
      </c>
      <c r="AE127" s="53">
        <v>0</v>
      </c>
      <c r="AF127" s="53">
        <f t="shared" si="29"/>
        <v>204089</v>
      </c>
      <c r="AG127" s="53">
        <v>337250</v>
      </c>
      <c r="AH127" s="55">
        <f t="shared" si="30"/>
        <v>0.60515641215715343</v>
      </c>
      <c r="AI127" s="56">
        <v>337250</v>
      </c>
      <c r="AJ127" s="54">
        <f t="shared" si="43"/>
        <v>0.60515641215715343</v>
      </c>
      <c r="AK127" s="52">
        <v>223920.85180558427</v>
      </c>
      <c r="AL127" s="53">
        <v>0</v>
      </c>
      <c r="AM127" s="53">
        <f t="shared" si="31"/>
        <v>223920.85180558427</v>
      </c>
      <c r="AN127" s="53">
        <v>337250</v>
      </c>
      <c r="AO127" s="55">
        <f t="shared" si="32"/>
        <v>0.66396101350803338</v>
      </c>
      <c r="AP127" s="53">
        <v>337250</v>
      </c>
      <c r="AQ127" s="55">
        <f t="shared" si="33"/>
        <v>0.66396101350803338</v>
      </c>
      <c r="AR127" s="52">
        <v>245679.81553801734</v>
      </c>
      <c r="AS127" s="53">
        <v>0</v>
      </c>
      <c r="AT127" s="53">
        <f t="shared" si="34"/>
        <v>245679.81553801734</v>
      </c>
      <c r="AU127" s="53">
        <v>337250</v>
      </c>
      <c r="AV127" s="55">
        <f t="shared" si="35"/>
        <v>0.72847980885994768</v>
      </c>
      <c r="AW127" s="53">
        <v>337250</v>
      </c>
      <c r="AX127" s="55">
        <f t="shared" si="36"/>
        <v>0.72847980885994768</v>
      </c>
      <c r="AY127" s="52">
        <v>266350.53563592571</v>
      </c>
      <c r="AZ127" s="53">
        <v>0</v>
      </c>
      <c r="BA127" s="53">
        <f t="shared" si="37"/>
        <v>266350.53563592571</v>
      </c>
      <c r="BB127" s="53">
        <v>337250</v>
      </c>
      <c r="BC127" s="55">
        <f t="shared" si="38"/>
        <v>0.78977178839414597</v>
      </c>
      <c r="BD127" s="53">
        <v>337250</v>
      </c>
      <c r="BE127" s="55">
        <f t="shared" si="39"/>
        <v>0.78977178839414597</v>
      </c>
    </row>
    <row r="128" spans="1:57" s="57" customFormat="1" ht="11.25" x14ac:dyDescent="0.2">
      <c r="A128" s="44" t="s">
        <v>868</v>
      </c>
      <c r="B128" s="45" t="s">
        <v>869</v>
      </c>
      <c r="C128" s="45" t="s">
        <v>33</v>
      </c>
      <c r="D128" s="46" t="s">
        <v>870</v>
      </c>
      <c r="E128" s="47" t="s">
        <v>871</v>
      </c>
      <c r="F128" s="63" t="s">
        <v>872</v>
      </c>
      <c r="G128" s="47" t="s">
        <v>873</v>
      </c>
      <c r="H128" s="48" t="s">
        <v>55</v>
      </c>
      <c r="I128" s="48" t="s">
        <v>874</v>
      </c>
      <c r="J128" s="49">
        <v>5523</v>
      </c>
      <c r="K128" s="50">
        <v>0</v>
      </c>
      <c r="L128" s="50">
        <f t="shared" si="25"/>
        <v>5523</v>
      </c>
      <c r="M128" s="50">
        <v>126500</v>
      </c>
      <c r="N128" s="51">
        <f t="shared" si="44"/>
        <v>4.3660079051383402E-2</v>
      </c>
      <c r="O128" s="52">
        <v>5571</v>
      </c>
      <c r="P128" s="53">
        <v>0</v>
      </c>
      <c r="Q128" s="53">
        <f t="shared" si="26"/>
        <v>5571</v>
      </c>
      <c r="R128" s="53">
        <v>126500</v>
      </c>
      <c r="S128" s="54">
        <f t="shared" si="40"/>
        <v>4.4039525691699603E-2</v>
      </c>
      <c r="T128" s="52">
        <v>5970</v>
      </c>
      <c r="U128" s="53">
        <v>0</v>
      </c>
      <c r="V128" s="53">
        <f t="shared" si="27"/>
        <v>5970</v>
      </c>
      <c r="W128" s="53">
        <v>126500</v>
      </c>
      <c r="X128" s="54">
        <f t="shared" si="41"/>
        <v>4.719367588932806E-2</v>
      </c>
      <c r="Y128" s="52">
        <v>6235</v>
      </c>
      <c r="Z128" s="53">
        <v>0</v>
      </c>
      <c r="AA128" s="53">
        <f t="shared" si="28"/>
        <v>6235</v>
      </c>
      <c r="AB128" s="53">
        <v>126500</v>
      </c>
      <c r="AC128" s="54">
        <f t="shared" si="42"/>
        <v>4.9288537549407117E-2</v>
      </c>
      <c r="AD128" s="52">
        <v>6511</v>
      </c>
      <c r="AE128" s="53">
        <v>0</v>
      </c>
      <c r="AF128" s="53">
        <f t="shared" si="29"/>
        <v>6511</v>
      </c>
      <c r="AG128" s="53">
        <v>126500</v>
      </c>
      <c r="AH128" s="55">
        <f t="shared" si="30"/>
        <v>5.1470355731225298E-2</v>
      </c>
      <c r="AI128" s="56">
        <v>126500</v>
      </c>
      <c r="AJ128" s="54">
        <f t="shared" si="43"/>
        <v>5.1470355731225298E-2</v>
      </c>
      <c r="AK128" s="52">
        <v>6938.3549570209434</v>
      </c>
      <c r="AL128" s="53">
        <v>0</v>
      </c>
      <c r="AM128" s="53">
        <f t="shared" si="31"/>
        <v>6938.3549570209434</v>
      </c>
      <c r="AN128" s="53">
        <v>126500</v>
      </c>
      <c r="AO128" s="55">
        <f t="shared" si="32"/>
        <v>5.4848655786726826E-2</v>
      </c>
      <c r="AP128" s="53">
        <v>126500</v>
      </c>
      <c r="AQ128" s="55">
        <f t="shared" si="33"/>
        <v>5.4848655786726826E-2</v>
      </c>
      <c r="AR128" s="52">
        <v>7393.7597158066501</v>
      </c>
      <c r="AS128" s="53">
        <v>0</v>
      </c>
      <c r="AT128" s="53">
        <f t="shared" si="34"/>
        <v>7393.7597158066501</v>
      </c>
      <c r="AU128" s="53">
        <v>126500</v>
      </c>
      <c r="AV128" s="55">
        <f t="shared" si="35"/>
        <v>5.8448693405586165E-2</v>
      </c>
      <c r="AW128" s="53">
        <v>126500</v>
      </c>
      <c r="AX128" s="55">
        <f t="shared" si="36"/>
        <v>5.8448693405586165E-2</v>
      </c>
      <c r="AY128" s="52">
        <v>7814.3304776778714</v>
      </c>
      <c r="AZ128" s="53">
        <v>0</v>
      </c>
      <c r="BA128" s="53">
        <f t="shared" si="37"/>
        <v>7814.3304776778714</v>
      </c>
      <c r="BB128" s="53">
        <v>126500</v>
      </c>
      <c r="BC128" s="55">
        <f t="shared" si="38"/>
        <v>6.177336345990412E-2</v>
      </c>
      <c r="BD128" s="53">
        <v>126500</v>
      </c>
      <c r="BE128" s="55">
        <f t="shared" si="39"/>
        <v>6.177336345990412E-2</v>
      </c>
    </row>
    <row r="129" spans="1:57" s="57" customFormat="1" ht="11.25" x14ac:dyDescent="0.2">
      <c r="A129" s="44" t="s">
        <v>875</v>
      </c>
      <c r="B129" s="45" t="s">
        <v>876</v>
      </c>
      <c r="C129" s="45" t="s">
        <v>877</v>
      </c>
      <c r="D129" s="46" t="s">
        <v>878</v>
      </c>
      <c r="E129" s="47" t="s">
        <v>879</v>
      </c>
      <c r="F129" s="63" t="s">
        <v>880</v>
      </c>
      <c r="G129" s="47" t="s">
        <v>881</v>
      </c>
      <c r="H129" s="48" t="s">
        <v>64</v>
      </c>
      <c r="I129" s="48" t="s">
        <v>882</v>
      </c>
      <c r="J129" s="49">
        <v>8274</v>
      </c>
      <c r="K129" s="50">
        <v>0</v>
      </c>
      <c r="L129" s="50">
        <f t="shared" si="25"/>
        <v>8274</v>
      </c>
      <c r="M129" s="50">
        <v>195500</v>
      </c>
      <c r="N129" s="51">
        <f t="shared" si="44"/>
        <v>4.2322250639386189E-2</v>
      </c>
      <c r="O129" s="52">
        <v>8348</v>
      </c>
      <c r="P129" s="53">
        <v>0</v>
      </c>
      <c r="Q129" s="53">
        <f t="shared" si="26"/>
        <v>8348</v>
      </c>
      <c r="R129" s="53">
        <v>195500</v>
      </c>
      <c r="S129" s="54">
        <f t="shared" si="40"/>
        <v>4.2700767263427107E-2</v>
      </c>
      <c r="T129" s="52">
        <v>8969</v>
      </c>
      <c r="U129" s="53">
        <v>0</v>
      </c>
      <c r="V129" s="53">
        <f t="shared" si="27"/>
        <v>8969</v>
      </c>
      <c r="W129" s="53">
        <v>195500</v>
      </c>
      <c r="X129" s="54">
        <f t="shared" si="41"/>
        <v>4.5877237851662402E-2</v>
      </c>
      <c r="Y129" s="52">
        <v>9380</v>
      </c>
      <c r="Z129" s="53">
        <v>0</v>
      </c>
      <c r="AA129" s="53">
        <f t="shared" si="28"/>
        <v>9380</v>
      </c>
      <c r="AB129" s="53">
        <v>195500</v>
      </c>
      <c r="AC129" s="54">
        <f t="shared" si="42"/>
        <v>4.7979539641943736E-2</v>
      </c>
      <c r="AD129" s="52">
        <v>9809</v>
      </c>
      <c r="AE129" s="53">
        <v>0</v>
      </c>
      <c r="AF129" s="53">
        <f t="shared" si="29"/>
        <v>9809</v>
      </c>
      <c r="AG129" s="53">
        <v>195500</v>
      </c>
      <c r="AH129" s="55">
        <f t="shared" si="30"/>
        <v>5.0173913043478263E-2</v>
      </c>
      <c r="AI129" s="56">
        <v>195500</v>
      </c>
      <c r="AJ129" s="54">
        <f t="shared" si="43"/>
        <v>5.0173913043478263E-2</v>
      </c>
      <c r="AK129" s="52">
        <v>10704.833092016555</v>
      </c>
      <c r="AL129" s="53">
        <v>0</v>
      </c>
      <c r="AM129" s="53">
        <f t="shared" si="31"/>
        <v>10704.833092016555</v>
      </c>
      <c r="AN129" s="53">
        <v>195500</v>
      </c>
      <c r="AO129" s="55">
        <f t="shared" si="32"/>
        <v>5.4756179498805908E-2</v>
      </c>
      <c r="AP129" s="53">
        <v>195500</v>
      </c>
      <c r="AQ129" s="55">
        <f t="shared" si="33"/>
        <v>5.4756179498805908E-2</v>
      </c>
      <c r="AR129" s="52">
        <v>11682.480530934117</v>
      </c>
      <c r="AS129" s="53">
        <v>0</v>
      </c>
      <c r="AT129" s="53">
        <f t="shared" si="34"/>
        <v>11682.480530934117</v>
      </c>
      <c r="AU129" s="53">
        <v>195500</v>
      </c>
      <c r="AV129" s="55">
        <f t="shared" si="35"/>
        <v>5.9756933662067094E-2</v>
      </c>
      <c r="AW129" s="53">
        <v>195500</v>
      </c>
      <c r="AX129" s="55">
        <f t="shared" si="36"/>
        <v>5.9756933662067094E-2</v>
      </c>
      <c r="AY129" s="52">
        <v>12714.984981057332</v>
      </c>
      <c r="AZ129" s="53">
        <v>0</v>
      </c>
      <c r="BA129" s="53">
        <f t="shared" si="37"/>
        <v>12714.984981057332</v>
      </c>
      <c r="BB129" s="53">
        <v>195500</v>
      </c>
      <c r="BC129" s="55">
        <f t="shared" si="38"/>
        <v>6.5038286348119353E-2</v>
      </c>
      <c r="BD129" s="53">
        <v>195500</v>
      </c>
      <c r="BE129" s="55">
        <f t="shared" si="39"/>
        <v>6.5038286348119353E-2</v>
      </c>
    </row>
    <row r="130" spans="1:57" s="57" customFormat="1" ht="11.25" x14ac:dyDescent="0.2">
      <c r="A130" s="44" t="s">
        <v>883</v>
      </c>
      <c r="B130" s="45" t="s">
        <v>884</v>
      </c>
      <c r="C130" s="45" t="s">
        <v>885</v>
      </c>
      <c r="D130" s="46" t="s">
        <v>886</v>
      </c>
      <c r="E130" s="47" t="s">
        <v>887</v>
      </c>
      <c r="F130" s="63" t="s">
        <v>888</v>
      </c>
      <c r="G130" s="47" t="s">
        <v>889</v>
      </c>
      <c r="H130" s="48" t="s">
        <v>207</v>
      </c>
      <c r="I130" s="48" t="s">
        <v>336</v>
      </c>
      <c r="J130" s="49">
        <v>16372</v>
      </c>
      <c r="K130" s="50">
        <v>0</v>
      </c>
      <c r="L130" s="50">
        <f t="shared" si="25"/>
        <v>16372</v>
      </c>
      <c r="M130" s="50">
        <v>208000</v>
      </c>
      <c r="N130" s="51">
        <f t="shared" si="44"/>
        <v>7.8711538461538458E-2</v>
      </c>
      <c r="O130" s="52">
        <v>16495</v>
      </c>
      <c r="P130" s="53">
        <v>0</v>
      </c>
      <c r="Q130" s="53">
        <f t="shared" si="26"/>
        <v>16495</v>
      </c>
      <c r="R130" s="53">
        <v>208000</v>
      </c>
      <c r="S130" s="54">
        <f t="shared" si="40"/>
        <v>7.9302884615384622E-2</v>
      </c>
      <c r="T130" s="52">
        <v>17511</v>
      </c>
      <c r="U130" s="53">
        <v>0</v>
      </c>
      <c r="V130" s="53">
        <f t="shared" si="27"/>
        <v>17511</v>
      </c>
      <c r="W130" s="53">
        <v>208000</v>
      </c>
      <c r="X130" s="54">
        <f t="shared" si="41"/>
        <v>8.4187499999999998E-2</v>
      </c>
      <c r="Y130" s="52">
        <v>18177</v>
      </c>
      <c r="Z130" s="53">
        <v>0</v>
      </c>
      <c r="AA130" s="53">
        <f t="shared" si="28"/>
        <v>18177</v>
      </c>
      <c r="AB130" s="53">
        <v>208000</v>
      </c>
      <c r="AC130" s="54">
        <f t="shared" si="42"/>
        <v>8.7389423076923073E-2</v>
      </c>
      <c r="AD130" s="52">
        <v>18869</v>
      </c>
      <c r="AE130" s="53">
        <v>0</v>
      </c>
      <c r="AF130" s="53">
        <f t="shared" si="29"/>
        <v>18869</v>
      </c>
      <c r="AG130" s="53">
        <v>208000</v>
      </c>
      <c r="AH130" s="55">
        <f t="shared" si="30"/>
        <v>9.0716346153846147E-2</v>
      </c>
      <c r="AI130" s="56">
        <v>221000</v>
      </c>
      <c r="AJ130" s="54">
        <f t="shared" si="43"/>
        <v>8.5380090497737551E-2</v>
      </c>
      <c r="AK130" s="52">
        <v>19951.861488125342</v>
      </c>
      <c r="AL130" s="53">
        <v>0</v>
      </c>
      <c r="AM130" s="53">
        <f t="shared" si="31"/>
        <v>19951.861488125342</v>
      </c>
      <c r="AN130" s="53">
        <v>208000</v>
      </c>
      <c r="AO130" s="55">
        <f t="shared" si="32"/>
        <v>9.59224110006026E-2</v>
      </c>
      <c r="AP130" s="53">
        <v>221000</v>
      </c>
      <c r="AQ130" s="55">
        <f t="shared" si="33"/>
        <v>9.0279916235861277E-2</v>
      </c>
      <c r="AR130" s="52">
        <v>21096.866651191849</v>
      </c>
      <c r="AS130" s="53">
        <v>0</v>
      </c>
      <c r="AT130" s="53">
        <f t="shared" si="34"/>
        <v>21096.866651191849</v>
      </c>
      <c r="AU130" s="53">
        <v>208000</v>
      </c>
      <c r="AV130" s="55">
        <f t="shared" si="35"/>
        <v>0.10142724351534543</v>
      </c>
      <c r="AW130" s="53">
        <v>221000</v>
      </c>
      <c r="AX130" s="55">
        <f t="shared" si="36"/>
        <v>9.5460935073266279E-2</v>
      </c>
      <c r="AY130" s="52">
        <v>22173.288007250474</v>
      </c>
      <c r="AZ130" s="53">
        <v>0</v>
      </c>
      <c r="BA130" s="53">
        <f t="shared" si="37"/>
        <v>22173.288007250474</v>
      </c>
      <c r="BB130" s="53">
        <v>208000</v>
      </c>
      <c r="BC130" s="55">
        <f t="shared" si="38"/>
        <v>0.10660234618870421</v>
      </c>
      <c r="BD130" s="53">
        <v>221000</v>
      </c>
      <c r="BE130" s="55">
        <f t="shared" si="39"/>
        <v>0.10033161994230984</v>
      </c>
    </row>
    <row r="131" spans="1:57" s="57" customFormat="1" ht="11.25" x14ac:dyDescent="0.2">
      <c r="A131" s="44" t="s">
        <v>890</v>
      </c>
      <c r="B131" s="45" t="s">
        <v>891</v>
      </c>
      <c r="C131" s="45" t="s">
        <v>892</v>
      </c>
      <c r="D131" s="46" t="s">
        <v>893</v>
      </c>
      <c r="E131" s="47" t="s">
        <v>894</v>
      </c>
      <c r="F131" s="63" t="s">
        <v>895</v>
      </c>
      <c r="G131" s="47" t="s">
        <v>896</v>
      </c>
      <c r="H131" s="48" t="s">
        <v>64</v>
      </c>
      <c r="I131" s="48" t="s">
        <v>90</v>
      </c>
      <c r="J131" s="49">
        <v>82984</v>
      </c>
      <c r="K131" s="50">
        <v>0</v>
      </c>
      <c r="L131" s="50">
        <f t="shared" si="25"/>
        <v>82984</v>
      </c>
      <c r="M131" s="50">
        <v>208896.00000000017</v>
      </c>
      <c r="N131" s="51">
        <f t="shared" si="44"/>
        <v>0.39725030637254871</v>
      </c>
      <c r="O131" s="52">
        <v>83980</v>
      </c>
      <c r="P131" s="53">
        <v>0</v>
      </c>
      <c r="Q131" s="53">
        <f t="shared" si="26"/>
        <v>83980</v>
      </c>
      <c r="R131" s="53">
        <v>208896.00000000017</v>
      </c>
      <c r="S131" s="54">
        <f t="shared" si="40"/>
        <v>0.40201822916666635</v>
      </c>
      <c r="T131" s="52">
        <v>92389</v>
      </c>
      <c r="U131" s="53">
        <v>0</v>
      </c>
      <c r="V131" s="53">
        <f t="shared" si="27"/>
        <v>92389</v>
      </c>
      <c r="W131" s="53">
        <v>208896.00000000017</v>
      </c>
      <c r="X131" s="54">
        <f t="shared" si="41"/>
        <v>0.44227270986519573</v>
      </c>
      <c r="Y131" s="52">
        <v>98067</v>
      </c>
      <c r="Z131" s="53">
        <v>0</v>
      </c>
      <c r="AA131" s="53">
        <f t="shared" si="28"/>
        <v>98067</v>
      </c>
      <c r="AB131" s="53">
        <v>208896.00000000017</v>
      </c>
      <c r="AC131" s="54">
        <f t="shared" si="42"/>
        <v>0.46945369944852899</v>
      </c>
      <c r="AD131" s="52">
        <v>104094</v>
      </c>
      <c r="AE131" s="53">
        <v>0</v>
      </c>
      <c r="AF131" s="53">
        <f t="shared" si="29"/>
        <v>104094</v>
      </c>
      <c r="AG131" s="53">
        <v>208896.00000000017</v>
      </c>
      <c r="AH131" s="55">
        <f t="shared" si="30"/>
        <v>0.49830537683823489</v>
      </c>
      <c r="AI131" s="56">
        <v>208896.00000000061</v>
      </c>
      <c r="AJ131" s="54">
        <f t="shared" si="43"/>
        <v>0.49830537683823384</v>
      </c>
      <c r="AK131" s="52">
        <v>113636.94885464592</v>
      </c>
      <c r="AL131" s="53">
        <v>0</v>
      </c>
      <c r="AM131" s="53">
        <f t="shared" si="31"/>
        <v>113636.94885464592</v>
      </c>
      <c r="AN131" s="53">
        <v>208896.00000000017</v>
      </c>
      <c r="AO131" s="55">
        <f t="shared" si="32"/>
        <v>0.54398815130326006</v>
      </c>
      <c r="AP131" s="53">
        <v>208896.00000000061</v>
      </c>
      <c r="AQ131" s="55">
        <f t="shared" si="33"/>
        <v>0.54398815130325895</v>
      </c>
      <c r="AR131" s="52">
        <v>124054.75959222831</v>
      </c>
      <c r="AS131" s="53">
        <v>0</v>
      </c>
      <c r="AT131" s="53">
        <f t="shared" si="34"/>
        <v>124054.75959222831</v>
      </c>
      <c r="AU131" s="53">
        <v>208896.00000000017</v>
      </c>
      <c r="AV131" s="55">
        <f t="shared" si="35"/>
        <v>0.59385895178571257</v>
      </c>
      <c r="AW131" s="53">
        <v>208896.00000000061</v>
      </c>
      <c r="AX131" s="55">
        <f t="shared" si="36"/>
        <v>0.59385895178571124</v>
      </c>
      <c r="AY131" s="52">
        <v>133777.08236771703</v>
      </c>
      <c r="AZ131" s="53">
        <v>0</v>
      </c>
      <c r="BA131" s="53">
        <f t="shared" si="37"/>
        <v>133777.08236771703</v>
      </c>
      <c r="BB131" s="53">
        <v>208896.00000000017</v>
      </c>
      <c r="BC131" s="55">
        <f t="shared" si="38"/>
        <v>0.64040040195942916</v>
      </c>
      <c r="BD131" s="53">
        <v>208896.00000000061</v>
      </c>
      <c r="BE131" s="55">
        <f t="shared" si="39"/>
        <v>0.64040040195942782</v>
      </c>
    </row>
    <row r="132" spans="1:57" s="57" customFormat="1" ht="11.25" x14ac:dyDescent="0.2">
      <c r="A132" s="44" t="s">
        <v>897</v>
      </c>
      <c r="B132" s="45" t="s">
        <v>898</v>
      </c>
      <c r="C132" s="45" t="s">
        <v>899</v>
      </c>
      <c r="D132" s="46" t="s">
        <v>900</v>
      </c>
      <c r="E132" s="47" t="s">
        <v>901</v>
      </c>
      <c r="F132" s="63" t="s">
        <v>902</v>
      </c>
      <c r="G132" s="47" t="s">
        <v>903</v>
      </c>
      <c r="H132" s="48" t="s">
        <v>376</v>
      </c>
      <c r="I132" s="48" t="s">
        <v>377</v>
      </c>
      <c r="J132" s="49">
        <v>64809</v>
      </c>
      <c r="K132" s="50">
        <v>0</v>
      </c>
      <c r="L132" s="50">
        <f t="shared" si="25"/>
        <v>64809</v>
      </c>
      <c r="M132" s="50">
        <v>221840</v>
      </c>
      <c r="N132" s="51">
        <f t="shared" si="44"/>
        <v>0.29214298593580962</v>
      </c>
      <c r="O132" s="52">
        <v>65833</v>
      </c>
      <c r="P132" s="53">
        <v>0</v>
      </c>
      <c r="Q132" s="53">
        <f t="shared" si="26"/>
        <v>65833</v>
      </c>
      <c r="R132" s="53">
        <v>221840</v>
      </c>
      <c r="S132" s="54">
        <f t="shared" si="40"/>
        <v>0.29675892535160475</v>
      </c>
      <c r="T132" s="52">
        <v>74629</v>
      </c>
      <c r="U132" s="53">
        <v>0</v>
      </c>
      <c r="V132" s="53">
        <f t="shared" si="27"/>
        <v>74629</v>
      </c>
      <c r="W132" s="53">
        <v>221840</v>
      </c>
      <c r="X132" s="54">
        <f t="shared" si="41"/>
        <v>0.33640912369275155</v>
      </c>
      <c r="Y132" s="52">
        <v>80714</v>
      </c>
      <c r="Z132" s="53">
        <v>0</v>
      </c>
      <c r="AA132" s="53">
        <f t="shared" si="28"/>
        <v>80714</v>
      </c>
      <c r="AB132" s="53">
        <v>221840</v>
      </c>
      <c r="AC132" s="54">
        <f t="shared" si="42"/>
        <v>0.36383880274071401</v>
      </c>
      <c r="AD132" s="52">
        <v>87295</v>
      </c>
      <c r="AE132" s="53">
        <v>0</v>
      </c>
      <c r="AF132" s="53">
        <f t="shared" si="29"/>
        <v>87295</v>
      </c>
      <c r="AG132" s="53">
        <v>221840</v>
      </c>
      <c r="AH132" s="55">
        <f t="shared" si="30"/>
        <v>0.3935043274432023</v>
      </c>
      <c r="AI132" s="56">
        <v>221840</v>
      </c>
      <c r="AJ132" s="54">
        <f t="shared" si="43"/>
        <v>0.3935043274432023</v>
      </c>
      <c r="AK132" s="52">
        <v>98563.590706527233</v>
      </c>
      <c r="AL132" s="53">
        <v>0</v>
      </c>
      <c r="AM132" s="53">
        <f t="shared" si="31"/>
        <v>98563.590706527233</v>
      </c>
      <c r="AN132" s="53">
        <v>221840</v>
      </c>
      <c r="AO132" s="55">
        <f t="shared" si="32"/>
        <v>0.44430035478961066</v>
      </c>
      <c r="AP132" s="53">
        <v>221840</v>
      </c>
      <c r="AQ132" s="55">
        <f t="shared" si="33"/>
        <v>0.44430035478961066</v>
      </c>
      <c r="AR132" s="52">
        <v>111286.80237085537</v>
      </c>
      <c r="AS132" s="53">
        <v>0</v>
      </c>
      <c r="AT132" s="53">
        <f t="shared" si="34"/>
        <v>111286.80237085537</v>
      </c>
      <c r="AU132" s="53">
        <v>221840</v>
      </c>
      <c r="AV132" s="55">
        <f t="shared" si="35"/>
        <v>0.5016534546107797</v>
      </c>
      <c r="AW132" s="53">
        <v>221840</v>
      </c>
      <c r="AX132" s="55">
        <f t="shared" si="36"/>
        <v>0.5016534546107797</v>
      </c>
      <c r="AY132" s="52">
        <v>124393.86682846975</v>
      </c>
      <c r="AZ132" s="53">
        <v>0</v>
      </c>
      <c r="BA132" s="53">
        <f t="shared" si="37"/>
        <v>124393.86682846975</v>
      </c>
      <c r="BB132" s="53">
        <v>221840</v>
      </c>
      <c r="BC132" s="55">
        <f t="shared" si="38"/>
        <v>0.56073686814131696</v>
      </c>
      <c r="BD132" s="53">
        <v>221840</v>
      </c>
      <c r="BE132" s="55">
        <f t="shared" si="39"/>
        <v>0.56073686814131696</v>
      </c>
    </row>
    <row r="133" spans="1:57" s="57" customFormat="1" thickBot="1" x14ac:dyDescent="0.25">
      <c r="A133" s="65" t="s">
        <v>904</v>
      </c>
      <c r="B133" s="66" t="s">
        <v>905</v>
      </c>
      <c r="C133" s="66" t="s">
        <v>906</v>
      </c>
      <c r="D133" s="67" t="s">
        <v>907</v>
      </c>
      <c r="E133" s="68" t="s">
        <v>908</v>
      </c>
      <c r="F133" s="69" t="s">
        <v>909</v>
      </c>
      <c r="G133" s="69" t="s">
        <v>910</v>
      </c>
      <c r="H133" s="70" t="s">
        <v>46</v>
      </c>
      <c r="I133" s="70" t="s">
        <v>689</v>
      </c>
      <c r="J133" s="71">
        <v>38505</v>
      </c>
      <c r="K133" s="50">
        <v>0</v>
      </c>
      <c r="L133" s="72">
        <f t="shared" si="25"/>
        <v>38505</v>
      </c>
      <c r="M133" s="50">
        <v>226200.00000000023</v>
      </c>
      <c r="N133" s="51">
        <f t="shared" si="44"/>
        <v>0.17022546419098125</v>
      </c>
      <c r="O133" s="52">
        <v>39275</v>
      </c>
      <c r="P133" s="53">
        <v>0</v>
      </c>
      <c r="Q133" s="53">
        <f t="shared" si="26"/>
        <v>39275</v>
      </c>
      <c r="R133" s="53">
        <v>226200.00000000023</v>
      </c>
      <c r="S133" s="54">
        <f t="shared" si="40"/>
        <v>0.1736295313881519</v>
      </c>
      <c r="T133" s="52">
        <v>46017</v>
      </c>
      <c r="U133" s="53">
        <v>0</v>
      </c>
      <c r="V133" s="53">
        <f t="shared" si="27"/>
        <v>46017</v>
      </c>
      <c r="W133" s="53">
        <v>226200.00000000023</v>
      </c>
      <c r="X133" s="54">
        <f t="shared" si="41"/>
        <v>0.20343501326259927</v>
      </c>
      <c r="Y133" s="52">
        <v>50807</v>
      </c>
      <c r="Z133" s="53">
        <v>0</v>
      </c>
      <c r="AA133" s="53">
        <f t="shared" si="28"/>
        <v>50807</v>
      </c>
      <c r="AB133" s="53">
        <v>226200.00000000023</v>
      </c>
      <c r="AC133" s="54">
        <f t="shared" si="42"/>
        <v>0.22461096374889455</v>
      </c>
      <c r="AD133" s="52">
        <v>56095</v>
      </c>
      <c r="AE133" s="53">
        <v>0</v>
      </c>
      <c r="AF133" s="53">
        <f t="shared" si="29"/>
        <v>56095</v>
      </c>
      <c r="AG133" s="53">
        <v>226200.00000000023</v>
      </c>
      <c r="AH133" s="55">
        <f t="shared" si="30"/>
        <v>0.24798850574712619</v>
      </c>
      <c r="AI133" s="56">
        <v>226200</v>
      </c>
      <c r="AJ133" s="54">
        <f t="shared" si="43"/>
        <v>0.24798850574712644</v>
      </c>
      <c r="AK133" s="52">
        <v>64386.124626771583</v>
      </c>
      <c r="AL133" s="53">
        <v>0</v>
      </c>
      <c r="AM133" s="53">
        <f t="shared" si="31"/>
        <v>64386.124626771583</v>
      </c>
      <c r="AN133" s="53">
        <v>226200.00000000023</v>
      </c>
      <c r="AO133" s="55">
        <f t="shared" si="32"/>
        <v>0.28464246077264155</v>
      </c>
      <c r="AP133" s="73">
        <v>226200</v>
      </c>
      <c r="AQ133" s="74">
        <f t="shared" si="33"/>
        <v>0.28464246077264183</v>
      </c>
      <c r="AR133" s="52">
        <v>73902.719394850923</v>
      </c>
      <c r="AS133" s="53">
        <v>0</v>
      </c>
      <c r="AT133" s="53">
        <f t="shared" si="34"/>
        <v>73902.719394850923</v>
      </c>
      <c r="AU133" s="53">
        <v>226200.00000000023</v>
      </c>
      <c r="AV133" s="55">
        <f t="shared" si="35"/>
        <v>0.32671405568015405</v>
      </c>
      <c r="AW133" s="73">
        <v>226200</v>
      </c>
      <c r="AX133" s="74">
        <f t="shared" si="36"/>
        <v>0.32671405568015438</v>
      </c>
      <c r="AY133" s="52">
        <v>83071.165478879033</v>
      </c>
      <c r="AZ133" s="53">
        <v>0</v>
      </c>
      <c r="BA133" s="53">
        <f t="shared" si="37"/>
        <v>83071.165478879033</v>
      </c>
      <c r="BB133" s="53">
        <v>226200.00000000023</v>
      </c>
      <c r="BC133" s="55">
        <f t="shared" si="38"/>
        <v>0.36724653173686539</v>
      </c>
      <c r="BD133" s="73">
        <v>226200</v>
      </c>
      <c r="BE133" s="74">
        <f t="shared" si="39"/>
        <v>0.36724653173686578</v>
      </c>
    </row>
    <row r="134" spans="1:57" s="10" customFormat="1" thickBot="1" x14ac:dyDescent="0.25">
      <c r="A134" s="75"/>
      <c r="B134" s="75"/>
      <c r="C134" s="75"/>
      <c r="D134" s="75"/>
      <c r="F134" s="76"/>
      <c r="G134" s="76"/>
      <c r="H134" s="77"/>
      <c r="I134" s="78" t="s">
        <v>911</v>
      </c>
      <c r="J134" s="79">
        <f>SUM(J6:J133)</f>
        <v>6873273</v>
      </c>
      <c r="K134" s="79">
        <f>SUM(K6:K133)</f>
        <v>1466032</v>
      </c>
      <c r="L134" s="79">
        <f>SUM(L6:L133)</f>
        <v>8339305</v>
      </c>
      <c r="M134" s="79">
        <f>SUM(M6:M133)</f>
        <v>27319140.876514088</v>
      </c>
      <c r="N134" s="80">
        <f t="shared" si="44"/>
        <v>0.30525502385652226</v>
      </c>
      <c r="O134" s="81">
        <f>SUM(O6:O133)</f>
        <v>6969442</v>
      </c>
      <c r="P134" s="79">
        <f>SUM(P6:P133)</f>
        <v>1504215</v>
      </c>
      <c r="Q134" s="79">
        <f>SUM(Q6:Q133)</f>
        <v>8473657</v>
      </c>
      <c r="R134" s="79">
        <f>SUM(R6:R133)</f>
        <v>27319140.876514088</v>
      </c>
      <c r="S134" s="82">
        <f t="shared" si="40"/>
        <v>0.31017289446626389</v>
      </c>
      <c r="T134" s="81">
        <f>SUM(T6:T133)</f>
        <v>7818867</v>
      </c>
      <c r="U134" s="79">
        <f>SUM(U6:U133)</f>
        <v>1849218</v>
      </c>
      <c r="V134" s="79">
        <f>SUM(V6:V133)</f>
        <v>9668085</v>
      </c>
      <c r="W134" s="79">
        <f>SUM(W6:W133)</f>
        <v>27579140.876514088</v>
      </c>
      <c r="X134" s="82">
        <f t="shared" si="41"/>
        <v>0.35055787427494417</v>
      </c>
      <c r="Y134" s="81">
        <f>SUM(Y6:Y133)</f>
        <v>8407323</v>
      </c>
      <c r="Z134" s="79">
        <f>SUM(Z6:Z133)</f>
        <v>2105478</v>
      </c>
      <c r="AA134" s="79">
        <f>SUM(AA6:AA133)</f>
        <v>10512801</v>
      </c>
      <c r="AB134" s="79">
        <f>SUM(AB6:AB133)</f>
        <v>27579140.876514088</v>
      </c>
      <c r="AC134" s="82">
        <f t="shared" si="42"/>
        <v>0.38118667463468803</v>
      </c>
      <c r="AD134" s="81">
        <f>SUM(AD6:AD133)</f>
        <v>9044882</v>
      </c>
      <c r="AE134" s="79">
        <f>SUM(AE6:AE133)</f>
        <v>2398589</v>
      </c>
      <c r="AF134" s="79">
        <f>SUM(AF6:AF133)</f>
        <v>11443471</v>
      </c>
      <c r="AG134" s="79">
        <f>SUM(AG6:AG133)</f>
        <v>27319140.876514088</v>
      </c>
      <c r="AH134" s="83">
        <f>AF134/AG134</f>
        <v>0.41888107139700737</v>
      </c>
      <c r="AI134" s="84">
        <f>SUM(AI6:AI133)</f>
        <v>28309296.433301993</v>
      </c>
      <c r="AJ134" s="82">
        <f t="shared" si="43"/>
        <v>0.40423014492646769</v>
      </c>
      <c r="AK134" s="85">
        <f>SUM(AK6:AK133)</f>
        <v>10102611.991388025</v>
      </c>
      <c r="AL134" s="85">
        <f>SUM(AL6:AL133)</f>
        <v>2949917.5041266675</v>
      </c>
      <c r="AM134" s="85">
        <f>SUM(AM6:AM133)</f>
        <v>13052529.495514696</v>
      </c>
      <c r="AN134" s="85">
        <f>SUM(AN6:AN133)</f>
        <v>27319140.876514088</v>
      </c>
      <c r="AO134" s="86">
        <f>AM134/AN134</f>
        <v>0.47777964740962214</v>
      </c>
      <c r="AP134" s="85">
        <f>SUM(AP6:AP133)</f>
        <v>28309296.433301993</v>
      </c>
      <c r="AQ134" s="86">
        <f>AM134/AP134</f>
        <v>0.46106866436144245</v>
      </c>
      <c r="AR134" s="85">
        <f>SUM(AR6:AR133)</f>
        <v>11300988.371680921</v>
      </c>
      <c r="AS134" s="85">
        <f>SUM(AS6:AS133)</f>
        <v>3634004.5167601053</v>
      </c>
      <c r="AT134" s="85">
        <f>SUM(AT6:AT133)</f>
        <v>14934992.888441032</v>
      </c>
      <c r="AU134" s="85">
        <f>SUM(AU6:AU133)</f>
        <v>27319140.876514088</v>
      </c>
      <c r="AV134" s="86">
        <f>AT134/AU134</f>
        <v>0.54668603804010729</v>
      </c>
      <c r="AW134" s="85">
        <f>SUM(AW6:AW133)</f>
        <v>28309296.433301993</v>
      </c>
      <c r="AX134" s="86">
        <f>AT134/AW134</f>
        <v>0.52756496169477629</v>
      </c>
      <c r="AY134" s="85">
        <f>SUM(AY6:AY133)</f>
        <v>12509583.8629885</v>
      </c>
      <c r="AZ134" s="85">
        <f>SUM(AZ6:AZ133)</f>
        <v>4403266.2289216537</v>
      </c>
      <c r="BA134" s="85">
        <f>SUM(BA6:BA133)</f>
        <v>16912850.091910154</v>
      </c>
      <c r="BB134" s="85">
        <f>SUM(BB6:BB133)</f>
        <v>27319140.876514088</v>
      </c>
      <c r="BC134" s="86">
        <f>BA134/BB134</f>
        <v>0.61908425921438515</v>
      </c>
      <c r="BD134" s="85">
        <f>SUM(BD6:BD133)</f>
        <v>28309296.433301993</v>
      </c>
      <c r="BE134" s="86">
        <f>BA134/BD134</f>
        <v>0.5974309581220999</v>
      </c>
    </row>
    <row r="135" spans="1:57" s="57" customFormat="1" ht="11.25" x14ac:dyDescent="0.2">
      <c r="A135" s="62"/>
      <c r="B135" s="62"/>
      <c r="C135" s="62"/>
      <c r="D135" s="62"/>
      <c r="F135" s="4"/>
      <c r="G135" s="4"/>
      <c r="H135" s="5"/>
      <c r="I135" s="5"/>
    </row>
    <row r="136" spans="1:57" s="57" customFormat="1" ht="11.25" x14ac:dyDescent="0.2">
      <c r="A136" s="62"/>
      <c r="B136" s="62"/>
      <c r="C136" s="62"/>
      <c r="D136" s="62"/>
      <c r="E136" s="87"/>
      <c r="F136" s="4"/>
      <c r="G136" s="4"/>
      <c r="H136" s="5"/>
      <c r="I136" s="5"/>
    </row>
    <row r="137" spans="1:57" s="57" customFormat="1" ht="11.25" x14ac:dyDescent="0.2">
      <c r="A137" s="62"/>
      <c r="B137" s="62"/>
      <c r="C137" s="62"/>
      <c r="D137" s="62"/>
      <c r="E137" s="87"/>
      <c r="F137" s="4"/>
      <c r="G137" s="4"/>
      <c r="H137" s="5"/>
      <c r="I137" s="5"/>
      <c r="J137" s="88" t="s">
        <v>912</v>
      </c>
      <c r="K137" s="4"/>
      <c r="L137" s="4"/>
      <c r="M137" s="89"/>
    </row>
    <row r="138" spans="1:57" s="57" customFormat="1" ht="11.25" x14ac:dyDescent="0.2">
      <c r="A138" s="62"/>
      <c r="B138" s="62"/>
      <c r="C138" s="62"/>
      <c r="D138" s="62"/>
      <c r="E138" s="87"/>
      <c r="F138" s="4"/>
      <c r="G138" s="4"/>
      <c r="H138" s="5"/>
      <c r="I138" s="5"/>
      <c r="J138" s="90"/>
      <c r="K138" s="4" t="s">
        <v>913</v>
      </c>
      <c r="L138" s="4"/>
      <c r="M138" s="89"/>
    </row>
    <row r="139" spans="1:57" s="57" customFormat="1" ht="11.25" x14ac:dyDescent="0.2">
      <c r="A139" s="62"/>
      <c r="B139" s="62"/>
      <c r="C139" s="62"/>
      <c r="D139" s="62"/>
      <c r="E139" s="87"/>
      <c r="F139" s="4"/>
      <c r="G139" s="4"/>
      <c r="H139" s="5"/>
      <c r="I139" s="5"/>
      <c r="J139" s="91"/>
      <c r="K139" s="4"/>
      <c r="L139" s="4"/>
      <c r="M139" s="89"/>
    </row>
    <row r="140" spans="1:57" s="57" customFormat="1" ht="11.25" x14ac:dyDescent="0.2">
      <c r="A140" s="62"/>
      <c r="B140" s="62"/>
      <c r="C140" s="62"/>
      <c r="D140" s="62"/>
      <c r="E140" s="87"/>
      <c r="F140" s="4"/>
      <c r="G140" s="4"/>
      <c r="H140" s="5"/>
      <c r="I140" s="5"/>
      <c r="J140" s="92"/>
      <c r="K140" s="4" t="s">
        <v>914</v>
      </c>
      <c r="L140" s="4"/>
      <c r="M140" s="89"/>
    </row>
    <row r="141" spans="1:57" x14ac:dyDescent="0.2">
      <c r="E141" s="94"/>
      <c r="F141" s="95"/>
      <c r="G141" s="95"/>
      <c r="H141" s="96"/>
      <c r="J141" s="91"/>
      <c r="K141" s="4"/>
      <c r="L141" s="4"/>
      <c r="M141" s="89"/>
    </row>
    <row r="142" spans="1:57" x14ac:dyDescent="0.2">
      <c r="E142" s="94"/>
      <c r="F142" s="95"/>
      <c r="G142" s="95"/>
      <c r="H142" s="96"/>
      <c r="J142" s="98"/>
      <c r="K142" s="4" t="s">
        <v>915</v>
      </c>
      <c r="L142" s="4"/>
      <c r="M142" s="89"/>
    </row>
    <row r="143" spans="1:57" x14ac:dyDescent="0.2">
      <c r="E143" s="94"/>
      <c r="F143" s="95"/>
      <c r="G143" s="95"/>
      <c r="H143" s="96"/>
      <c r="J143" s="4"/>
      <c r="K143" s="5"/>
      <c r="L143" s="5"/>
      <c r="M143" s="5"/>
    </row>
    <row r="144" spans="1:57" x14ac:dyDescent="0.2">
      <c r="E144" s="94"/>
      <c r="F144" s="95"/>
      <c r="G144" s="95"/>
      <c r="H144" s="96"/>
      <c r="J144" s="99"/>
      <c r="K144" s="4" t="s">
        <v>916</v>
      </c>
      <c r="L144" s="4"/>
      <c r="M144" s="89"/>
    </row>
    <row r="145" spans="5:8" x14ac:dyDescent="0.2">
      <c r="E145" s="94"/>
      <c r="F145" s="95"/>
      <c r="G145" s="95"/>
      <c r="H145" s="96"/>
    </row>
    <row r="146" spans="5:8" x14ac:dyDescent="0.2">
      <c r="E146" s="94"/>
      <c r="F146" s="95"/>
      <c r="G146" s="95"/>
      <c r="H146" s="96"/>
    </row>
    <row r="147" spans="5:8" x14ac:dyDescent="0.2">
      <c r="E147" s="94"/>
      <c r="F147" s="95"/>
      <c r="G147" s="95"/>
      <c r="H147" s="96"/>
    </row>
    <row r="148" spans="5:8" x14ac:dyDescent="0.2">
      <c r="E148" s="94"/>
      <c r="F148" s="95"/>
      <c r="G148" s="95"/>
      <c r="H148" s="96"/>
    </row>
    <row r="149" spans="5:8" x14ac:dyDescent="0.2">
      <c r="E149" s="94"/>
      <c r="F149" s="95"/>
      <c r="G149" s="95"/>
      <c r="H149" s="96"/>
    </row>
    <row r="150" spans="5:8" x14ac:dyDescent="0.2">
      <c r="E150" s="94"/>
      <c r="F150" s="95"/>
      <c r="G150" s="95"/>
      <c r="H150" s="96"/>
    </row>
    <row r="151" spans="5:8" x14ac:dyDescent="0.2">
      <c r="E151" s="94"/>
      <c r="F151" s="95"/>
      <c r="G151" s="95"/>
      <c r="H151" s="96"/>
    </row>
    <row r="152" spans="5:8" x14ac:dyDescent="0.2">
      <c r="E152" s="94"/>
      <c r="F152" s="95"/>
      <c r="G152" s="95"/>
      <c r="H152" s="96"/>
    </row>
    <row r="153" spans="5:8" x14ac:dyDescent="0.2">
      <c r="E153" s="94"/>
    </row>
    <row r="154" spans="5:8" x14ac:dyDescent="0.2">
      <c r="E154" s="94"/>
    </row>
    <row r="155" spans="5:8" x14ac:dyDescent="0.2">
      <c r="E155" s="94"/>
    </row>
    <row r="156" spans="5:8" x14ac:dyDescent="0.2">
      <c r="E156" s="94"/>
    </row>
  </sheetData>
  <mergeCells count="19">
    <mergeCell ref="AW4:AX4"/>
    <mergeCell ref="BB4:BC4"/>
    <mergeCell ref="BD4:BE4"/>
    <mergeCell ref="AG4:AH4"/>
    <mergeCell ref="AI4:AJ4"/>
    <mergeCell ref="AN4:AO4"/>
    <mergeCell ref="AP4:AQ4"/>
    <mergeCell ref="AU4:AV4"/>
    <mergeCell ref="J2:N2"/>
    <mergeCell ref="O2:AJ2"/>
    <mergeCell ref="AK2:BE2"/>
    <mergeCell ref="J3:N3"/>
    <mergeCell ref="O3:S3"/>
    <mergeCell ref="T3:X3"/>
    <mergeCell ref="Y3:AC3"/>
    <mergeCell ref="AD3:AJ3"/>
    <mergeCell ref="AK3:AQ3"/>
    <mergeCell ref="AR3:AX3"/>
    <mergeCell ref="AY3:BE3"/>
  </mergeCells>
  <conditionalFormatting sqref="AQ118:AQ134 BE118:BE134 S118:S134 X118:X134 AC118:AC134 AJ118:AJ134 AV118:AV134 BC118:BC134 AO118:AO134 AH118:AH134 AX118:AX134 N23:N35 S23:S35 X23:X35 AC23:AC35 AH6:AH35 AJ6:AJ35 AO6:AO35 AQ6:AQ35 AV6:AV35 AX6:AX35 BC6:BC35 BE6:BE35 N37:N54 S37:S54 X37:X54 AC37:AC54 AH37:AH54 AJ37:AJ54 AO37:AO54 X56:X72 AC56:AC72 AH56:AH72 AJ56:AJ72 AO56:AO72 AQ37:AQ72 AV37:AV72 AX37:AX72 BC37:BC72 BE37:BE72 BE74:BE116 BC74:BC116 AX74:AX116 AV74:AV116 AQ74:AQ116 AO74:AO116 AJ74:AJ116 AH74:AH116 AC74:AC116 X74:X116 N74:N116 N118:N134 N56:N72 S56:S72 S74:S116">
    <cfRule type="cellIs" dxfId="5" priority="4" operator="greaterThanOrEqual">
      <formula>1</formula>
    </cfRule>
    <cfRule type="cellIs" dxfId="4" priority="5" operator="between">
      <formula>0.599999</formula>
      <formula>0.8</formula>
    </cfRule>
    <cfRule type="cellIs" dxfId="3" priority="6" operator="between">
      <formula>0.7999</formula>
      <formula>1</formula>
    </cfRule>
  </conditionalFormatting>
  <conditionalFormatting sqref="J138">
    <cfRule type="cellIs" dxfId="2" priority="1" operator="greaterThanOrEqual">
      <formula>1</formula>
    </cfRule>
    <cfRule type="cellIs" dxfId="1" priority="2" operator="between">
      <formula>0.599999</formula>
      <formula>0.8</formula>
    </cfRule>
    <cfRule type="cellIs" dxfId="0" priority="3" operator="between">
      <formula>0.7999</formula>
      <formula>1</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Demand Capacity Summary</vt:lpstr>
    </vt:vector>
  </TitlesOfParts>
  <Company>Wilbur Smith Associates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Downing</dc:creator>
  <cp:lastModifiedBy>John</cp:lastModifiedBy>
  <dcterms:created xsi:type="dcterms:W3CDTF">2012-05-29T19:07:02Z</dcterms:created>
  <dcterms:modified xsi:type="dcterms:W3CDTF">2012-06-06T18:24:59Z</dcterms:modified>
</cp:coreProperties>
</file>