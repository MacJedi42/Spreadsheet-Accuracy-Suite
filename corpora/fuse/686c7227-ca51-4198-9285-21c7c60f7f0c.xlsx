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440" windowHeight="7935" firstSheet="2" activeTab="5"/>
  </bookViews>
  <sheets>
    <sheet name="Discharge Field Sheet" sheetId="3" r:id="rId1"/>
    <sheet name="Discharge Qual Eval Directions" sheetId="5" r:id="rId2"/>
    <sheet name="Discharge Qual Eval Form" sheetId="4" r:id="rId3"/>
    <sheet name="Data Input Directions" sheetId="2" r:id="rId4"/>
    <sheet name="Discharge Data Input" sheetId="1" r:id="rId5"/>
    <sheet name="Angled Velocity Adjustment" sheetId="6" r:id="rId6"/>
  </sheets>
  <definedNames>
    <definedName name="_xlnm.Print_Area" localSheetId="4">'Discharge Data Input'!$A$1:$J$163</definedName>
    <definedName name="_xlnm.Print_Area" localSheetId="2">'Discharge Qual Eval Form'!$A$1:$K$17</definedName>
  </definedNames>
  <calcPr calcId="145621"/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I23" i="1"/>
  <c r="I24" i="1"/>
  <c r="J24" i="1"/>
  <c r="I25" i="1"/>
  <c r="J25" i="1"/>
  <c r="I26" i="1"/>
  <c r="I27" i="1"/>
  <c r="I28" i="1"/>
  <c r="J28" i="1"/>
  <c r="I29" i="1"/>
  <c r="J29" i="1"/>
  <c r="I30" i="1"/>
  <c r="I31" i="1"/>
  <c r="I32" i="1"/>
  <c r="I33" i="1"/>
  <c r="J33" i="1"/>
  <c r="I34" i="1"/>
  <c r="J34" i="1"/>
  <c r="I35" i="1"/>
  <c r="I36" i="1"/>
  <c r="I37" i="1"/>
  <c r="J37" i="1"/>
  <c r="I38" i="1"/>
  <c r="I39" i="1"/>
  <c r="I40" i="1"/>
  <c r="I41" i="1"/>
  <c r="I42" i="1"/>
  <c r="I43" i="1"/>
  <c r="I44" i="1"/>
  <c r="J44" i="1"/>
  <c r="I45" i="1"/>
  <c r="J45" i="1"/>
  <c r="I46" i="1"/>
  <c r="I47" i="1"/>
  <c r="I48" i="1"/>
  <c r="I49" i="1"/>
  <c r="I50" i="1"/>
  <c r="I51" i="1"/>
  <c r="I52" i="1"/>
  <c r="I53" i="1"/>
  <c r="J53" i="1"/>
  <c r="I54" i="1"/>
  <c r="I55" i="1"/>
  <c r="I56" i="1"/>
  <c r="I57" i="1"/>
  <c r="I58" i="1"/>
  <c r="J58" i="1"/>
  <c r="I59" i="1"/>
  <c r="I60" i="1"/>
  <c r="J60" i="1"/>
  <c r="I61" i="1"/>
  <c r="J61" i="1"/>
  <c r="I62" i="1"/>
  <c r="I63" i="1"/>
  <c r="I64" i="1"/>
  <c r="I65" i="1"/>
  <c r="J65" i="1"/>
  <c r="I66" i="1"/>
  <c r="I67" i="1"/>
  <c r="I68" i="1"/>
  <c r="J68" i="1"/>
  <c r="I69" i="1"/>
  <c r="J69" i="1"/>
  <c r="I70" i="1"/>
  <c r="I71" i="1"/>
  <c r="I72" i="1"/>
  <c r="I73" i="1"/>
  <c r="I74" i="1"/>
  <c r="I75" i="1"/>
  <c r="I76" i="1"/>
  <c r="J76" i="1"/>
  <c r="I77" i="1"/>
  <c r="J77" i="1"/>
  <c r="I78" i="1"/>
  <c r="I79" i="1"/>
  <c r="I80" i="1"/>
  <c r="J80" i="1"/>
  <c r="I81" i="1"/>
  <c r="J81" i="1"/>
  <c r="I82" i="1"/>
  <c r="I83" i="1"/>
  <c r="I84" i="1"/>
  <c r="J84" i="1"/>
  <c r="I85" i="1"/>
  <c r="J85" i="1"/>
  <c r="I86" i="1"/>
  <c r="I87" i="1"/>
  <c r="I88" i="1"/>
  <c r="I89" i="1"/>
  <c r="I90" i="1"/>
  <c r="I91" i="1"/>
  <c r="I92" i="1"/>
  <c r="I93" i="1"/>
  <c r="J93" i="1"/>
  <c r="I94" i="1"/>
  <c r="I95" i="1"/>
  <c r="I96" i="1"/>
  <c r="I97" i="1"/>
  <c r="J97" i="1"/>
  <c r="I98" i="1"/>
  <c r="I99" i="1"/>
  <c r="I100" i="1"/>
  <c r="J100" i="1"/>
  <c r="I101" i="1"/>
  <c r="J101" i="1"/>
  <c r="I102" i="1"/>
  <c r="I103" i="1"/>
  <c r="I104" i="1"/>
  <c r="I105" i="1"/>
  <c r="I106" i="1"/>
  <c r="I107" i="1"/>
  <c r="I108" i="1"/>
  <c r="J108" i="1"/>
  <c r="I109" i="1"/>
  <c r="J109" i="1"/>
  <c r="I110" i="1"/>
  <c r="I111" i="1"/>
  <c r="I112" i="1"/>
  <c r="J112" i="1"/>
  <c r="I113" i="1"/>
  <c r="J113" i="1"/>
  <c r="I114" i="1"/>
  <c r="I115" i="1"/>
  <c r="I116" i="1"/>
  <c r="J116" i="1"/>
  <c r="I117" i="1"/>
  <c r="J117" i="1"/>
  <c r="I118" i="1"/>
  <c r="I119" i="1"/>
  <c r="I120" i="1"/>
  <c r="I121" i="1"/>
  <c r="J121" i="1"/>
  <c r="I122" i="1"/>
  <c r="I123" i="1"/>
  <c r="I124" i="1"/>
  <c r="I125" i="1"/>
  <c r="I126" i="1"/>
  <c r="I127" i="1"/>
  <c r="I128" i="1"/>
  <c r="I129" i="1"/>
  <c r="J129" i="1"/>
  <c r="I130" i="1"/>
  <c r="I131" i="1"/>
  <c r="I132" i="1"/>
  <c r="J132" i="1"/>
  <c r="I133" i="1"/>
  <c r="J133" i="1"/>
  <c r="I134" i="1"/>
  <c r="I135" i="1"/>
  <c r="I136" i="1"/>
  <c r="I137" i="1"/>
  <c r="J137" i="1"/>
  <c r="I138" i="1"/>
  <c r="I139" i="1"/>
  <c r="I140" i="1"/>
  <c r="J140" i="1"/>
  <c r="I141" i="1"/>
  <c r="J141" i="1"/>
  <c r="I142" i="1"/>
  <c r="J142" i="1"/>
  <c r="I143" i="1"/>
  <c r="I144" i="1"/>
  <c r="I145" i="1"/>
  <c r="I146" i="1"/>
  <c r="I147" i="1"/>
  <c r="I148" i="1"/>
  <c r="J148" i="1"/>
  <c r="I149" i="1"/>
  <c r="J149" i="1"/>
  <c r="I150" i="1"/>
  <c r="I151" i="1"/>
  <c r="I152" i="1"/>
  <c r="I153" i="1"/>
  <c r="J153" i="1"/>
  <c r="I154" i="1"/>
  <c r="I155" i="1"/>
  <c r="I156" i="1"/>
  <c r="J156" i="1"/>
  <c r="I157" i="1"/>
  <c r="J157" i="1"/>
  <c r="I158" i="1"/>
  <c r="I159" i="1"/>
  <c r="I160" i="1"/>
  <c r="I161" i="1"/>
  <c r="I162" i="1"/>
  <c r="J21" i="1"/>
  <c r="J26" i="1"/>
  <c r="J36" i="1"/>
  <c r="J52" i="1"/>
  <c r="J66" i="1"/>
  <c r="J74" i="1"/>
  <c r="J92" i="1"/>
  <c r="J98" i="1"/>
  <c r="J103" i="1"/>
  <c r="J106" i="1"/>
  <c r="J110" i="1"/>
  <c r="J114" i="1"/>
  <c r="J118" i="1"/>
  <c r="J122" i="1"/>
  <c r="J125" i="1"/>
  <c r="J138" i="1"/>
  <c r="J139" i="1"/>
  <c r="J145" i="1"/>
  <c r="J146" i="1"/>
  <c r="J158" i="1"/>
  <c r="J162" i="1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/>
  <c r="J92" i="6"/>
  <c r="K92" i="6"/>
  <c r="J93" i="6"/>
  <c r="K93" i="6"/>
  <c r="J94" i="6"/>
  <c r="K94" i="6"/>
  <c r="J95" i="6"/>
  <c r="K95" i="6"/>
  <c r="J96" i="6"/>
  <c r="K96" i="6"/>
  <c r="J97" i="6"/>
  <c r="K97" i="6"/>
  <c r="J98" i="6"/>
  <c r="K98" i="6"/>
  <c r="J99" i="6"/>
  <c r="K99" i="6"/>
  <c r="J100" i="6"/>
  <c r="K100" i="6"/>
  <c r="J101" i="6"/>
  <c r="K101" i="6"/>
  <c r="J102" i="6"/>
  <c r="K102" i="6"/>
  <c r="J103" i="6"/>
  <c r="K103" i="6"/>
  <c r="J104" i="6"/>
  <c r="K104" i="6"/>
  <c r="J105" i="6"/>
  <c r="K105" i="6"/>
  <c r="J106" i="6"/>
  <c r="K106" i="6"/>
  <c r="J107" i="6"/>
  <c r="K107" i="6"/>
  <c r="J108" i="6"/>
  <c r="K108" i="6"/>
  <c r="J109" i="6"/>
  <c r="K109" i="6"/>
  <c r="J110" i="6"/>
  <c r="K110" i="6"/>
  <c r="J111" i="6"/>
  <c r="K111" i="6"/>
  <c r="J112" i="6"/>
  <c r="K112" i="6"/>
  <c r="J113" i="6"/>
  <c r="K113" i="6"/>
  <c r="J114" i="6"/>
  <c r="K114" i="6"/>
  <c r="J115" i="6"/>
  <c r="K115" i="6"/>
  <c r="J116" i="6"/>
  <c r="K116" i="6"/>
  <c r="J117" i="6"/>
  <c r="K117" i="6"/>
  <c r="J118" i="6"/>
  <c r="K118" i="6"/>
  <c r="J119" i="6"/>
  <c r="K119" i="6"/>
  <c r="J120" i="6"/>
  <c r="K120" i="6"/>
  <c r="J121" i="6"/>
  <c r="K121" i="6"/>
  <c r="J122" i="6"/>
  <c r="K122" i="6"/>
  <c r="J123" i="6"/>
  <c r="K123" i="6"/>
  <c r="J124" i="6"/>
  <c r="K124" i="6"/>
  <c r="J125" i="6"/>
  <c r="K125" i="6"/>
  <c r="J126" i="6"/>
  <c r="K126" i="6"/>
  <c r="J127" i="6"/>
  <c r="K127" i="6"/>
  <c r="J128" i="6"/>
  <c r="K128" i="6"/>
  <c r="J129" i="6"/>
  <c r="K129" i="6"/>
  <c r="J130" i="6"/>
  <c r="K130" i="6"/>
  <c r="J131" i="6"/>
  <c r="K131" i="6"/>
  <c r="J132" i="6"/>
  <c r="K132" i="6"/>
  <c r="J133" i="6"/>
  <c r="K133" i="6"/>
  <c r="J134" i="6"/>
  <c r="K134" i="6"/>
  <c r="J135" i="6"/>
  <c r="K135" i="6"/>
  <c r="J136" i="6"/>
  <c r="K136" i="6"/>
  <c r="J137" i="6"/>
  <c r="K137" i="6"/>
  <c r="J138" i="6"/>
  <c r="K138" i="6"/>
  <c r="J139" i="6"/>
  <c r="K139" i="6"/>
  <c r="J140" i="6"/>
  <c r="K140" i="6"/>
  <c r="J141" i="6"/>
  <c r="K141" i="6"/>
  <c r="J142" i="6"/>
  <c r="K142" i="6"/>
  <c r="J143" i="6"/>
  <c r="K143" i="6"/>
  <c r="J144" i="6"/>
  <c r="K144" i="6"/>
  <c r="J145" i="6"/>
  <c r="K145" i="6"/>
  <c r="J146" i="6"/>
  <c r="K146" i="6"/>
  <c r="J147" i="6"/>
  <c r="K147" i="6"/>
  <c r="J148" i="6"/>
  <c r="K148" i="6"/>
  <c r="J149" i="6"/>
  <c r="K149" i="6"/>
  <c r="J150" i="6"/>
  <c r="K150" i="6"/>
  <c r="J151" i="6"/>
  <c r="K151" i="6"/>
  <c r="J152" i="6"/>
  <c r="K152" i="6"/>
  <c r="J153" i="6"/>
  <c r="K153" i="6"/>
  <c r="J154" i="6"/>
  <c r="K154" i="6"/>
  <c r="J155" i="6"/>
  <c r="K155" i="6"/>
  <c r="J156" i="6"/>
  <c r="K156" i="6"/>
  <c r="J157" i="6"/>
  <c r="K157" i="6"/>
  <c r="J158" i="6"/>
  <c r="K158" i="6"/>
  <c r="J159" i="6"/>
  <c r="K159" i="6"/>
  <c r="J160" i="6"/>
  <c r="K160" i="6"/>
  <c r="J161" i="6"/>
  <c r="K161" i="6"/>
  <c r="J162" i="6"/>
  <c r="K162" i="6"/>
  <c r="J163" i="6"/>
  <c r="K163" i="6"/>
  <c r="J164" i="6"/>
  <c r="K164" i="6"/>
  <c r="J165" i="6"/>
  <c r="K165" i="6"/>
  <c r="J166" i="6"/>
  <c r="K166" i="6"/>
  <c r="J167" i="6"/>
  <c r="K167" i="6"/>
  <c r="J168" i="6"/>
  <c r="K168" i="6"/>
  <c r="J169" i="6"/>
  <c r="K169" i="6"/>
  <c r="J170" i="6"/>
  <c r="K170" i="6"/>
  <c r="J171" i="6"/>
  <c r="K171" i="6"/>
  <c r="J172" i="6"/>
  <c r="K172" i="6"/>
  <c r="J173" i="6"/>
  <c r="K173" i="6"/>
  <c r="J174" i="6"/>
  <c r="K174" i="6"/>
  <c r="J175" i="6"/>
  <c r="K175" i="6"/>
  <c r="J176" i="6"/>
  <c r="K176" i="6"/>
  <c r="J177" i="6"/>
  <c r="K177" i="6"/>
  <c r="J178" i="6"/>
  <c r="K178" i="6"/>
  <c r="J179" i="6"/>
  <c r="K179" i="6"/>
  <c r="J180" i="6"/>
  <c r="K180" i="6"/>
  <c r="J181" i="6"/>
  <c r="K181" i="6"/>
  <c r="J182" i="6"/>
  <c r="K182" i="6"/>
  <c r="J183" i="6"/>
  <c r="K183" i="6"/>
  <c r="J184" i="6"/>
  <c r="K184" i="6"/>
  <c r="J185" i="6"/>
  <c r="K185" i="6"/>
  <c r="J186" i="6"/>
  <c r="K186" i="6"/>
  <c r="J187" i="6"/>
  <c r="K187" i="6"/>
  <c r="J188" i="6"/>
  <c r="K188" i="6"/>
  <c r="J189" i="6"/>
  <c r="K189" i="6"/>
  <c r="J190" i="6"/>
  <c r="K190" i="6"/>
  <c r="J191" i="6"/>
  <c r="K191" i="6"/>
  <c r="J192" i="6"/>
  <c r="K192" i="6"/>
  <c r="J193" i="6"/>
  <c r="K193" i="6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/>
  <c r="J202" i="6"/>
  <c r="K202" i="6"/>
  <c r="J203" i="6"/>
  <c r="K203" i="6"/>
  <c r="J204" i="6"/>
  <c r="K204" i="6"/>
  <c r="J205" i="6"/>
  <c r="K205" i="6"/>
  <c r="J206" i="6"/>
  <c r="K206" i="6"/>
  <c r="J207" i="6"/>
  <c r="K207" i="6"/>
  <c r="J208" i="6"/>
  <c r="K208" i="6"/>
  <c r="J209" i="6"/>
  <c r="K209" i="6"/>
  <c r="J210" i="6"/>
  <c r="K210" i="6"/>
  <c r="J211" i="6"/>
  <c r="K211" i="6"/>
  <c r="J212" i="6"/>
  <c r="K212" i="6"/>
  <c r="J213" i="6"/>
  <c r="K213" i="6"/>
  <c r="J214" i="6"/>
  <c r="K214" i="6"/>
  <c r="J215" i="6"/>
  <c r="K215" i="6"/>
  <c r="J216" i="6"/>
  <c r="K216" i="6"/>
  <c r="J217" i="6"/>
  <c r="K217" i="6"/>
  <c r="J218" i="6"/>
  <c r="K218" i="6"/>
  <c r="J219" i="6"/>
  <c r="K219" i="6"/>
  <c r="J220" i="6"/>
  <c r="K220" i="6"/>
  <c r="J221" i="6"/>
  <c r="K221" i="6"/>
  <c r="J222" i="6"/>
  <c r="K222" i="6"/>
  <c r="J223" i="6"/>
  <c r="K223" i="6"/>
  <c r="J224" i="6"/>
  <c r="K224" i="6"/>
  <c r="J225" i="6"/>
  <c r="K225" i="6"/>
  <c r="J226" i="6"/>
  <c r="K226" i="6"/>
  <c r="J227" i="6"/>
  <c r="K227" i="6"/>
  <c r="J228" i="6"/>
  <c r="K228" i="6"/>
  <c r="J229" i="6"/>
  <c r="K229" i="6"/>
  <c r="J230" i="6"/>
  <c r="K230" i="6"/>
  <c r="J231" i="6"/>
  <c r="K231" i="6"/>
  <c r="J232" i="6"/>
  <c r="K232" i="6"/>
  <c r="J233" i="6"/>
  <c r="K233" i="6"/>
  <c r="J234" i="6"/>
  <c r="K234" i="6"/>
  <c r="J235" i="6"/>
  <c r="K235" i="6"/>
  <c r="J236" i="6"/>
  <c r="K236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19" i="6"/>
  <c r="K19" i="6"/>
  <c r="J18" i="6"/>
  <c r="K18" i="6"/>
  <c r="J17" i="6"/>
  <c r="K17" i="6"/>
  <c r="J16" i="6"/>
  <c r="K16" i="6"/>
  <c r="J15" i="6"/>
  <c r="K15" i="6"/>
  <c r="J14" i="6"/>
  <c r="K14" i="6"/>
  <c r="J13" i="6"/>
  <c r="K13" i="6"/>
  <c r="J12" i="6"/>
  <c r="K12" i="6"/>
  <c r="J11" i="6"/>
  <c r="K11" i="6"/>
  <c r="J10" i="6"/>
  <c r="K10" i="6"/>
  <c r="J9" i="6"/>
  <c r="K9" i="6"/>
  <c r="D16" i="1"/>
  <c r="D18" i="1"/>
  <c r="D19" i="1"/>
  <c r="D20" i="1"/>
  <c r="D21" i="1"/>
  <c r="D22" i="1"/>
  <c r="D23" i="1"/>
  <c r="J23" i="1"/>
  <c r="D24" i="1"/>
  <c r="D25" i="1"/>
  <c r="D26" i="1"/>
  <c r="D27" i="1"/>
  <c r="D28" i="1"/>
  <c r="D29" i="1"/>
  <c r="D30" i="1"/>
  <c r="D31" i="1"/>
  <c r="J31" i="1"/>
  <c r="D32" i="1"/>
  <c r="D33" i="1"/>
  <c r="D34" i="1"/>
  <c r="D35" i="1"/>
  <c r="J35" i="1"/>
  <c r="D36" i="1"/>
  <c r="D37" i="1"/>
  <c r="D38" i="1"/>
  <c r="D39" i="1"/>
  <c r="J39" i="1"/>
  <c r="D40" i="1"/>
  <c r="D41" i="1"/>
  <c r="D42" i="1"/>
  <c r="D43" i="1"/>
  <c r="D44" i="1"/>
  <c r="D45" i="1"/>
  <c r="D46" i="1"/>
  <c r="D47" i="1"/>
  <c r="D48" i="1"/>
  <c r="D49" i="1"/>
  <c r="J49" i="1"/>
  <c r="D50" i="1"/>
  <c r="D51" i="1"/>
  <c r="D52" i="1"/>
  <c r="D53" i="1"/>
  <c r="D54" i="1"/>
  <c r="D55" i="1"/>
  <c r="J55" i="1"/>
  <c r="D56" i="1"/>
  <c r="D57" i="1"/>
  <c r="D58" i="1"/>
  <c r="D59" i="1"/>
  <c r="J59" i="1"/>
  <c r="D60" i="1"/>
  <c r="D61" i="1"/>
  <c r="D62" i="1"/>
  <c r="D63" i="1"/>
  <c r="J63" i="1"/>
  <c r="D64" i="1"/>
  <c r="D65" i="1"/>
  <c r="D66" i="1"/>
  <c r="D67" i="1"/>
  <c r="D68" i="1"/>
  <c r="D69" i="1"/>
  <c r="D70" i="1"/>
  <c r="D71" i="1"/>
  <c r="J71" i="1"/>
  <c r="D72" i="1"/>
  <c r="D73" i="1"/>
  <c r="D74" i="1"/>
  <c r="D75" i="1"/>
  <c r="J75" i="1"/>
  <c r="D76" i="1"/>
  <c r="D77" i="1"/>
  <c r="D78" i="1"/>
  <c r="D79" i="1"/>
  <c r="D80" i="1"/>
  <c r="D81" i="1"/>
  <c r="D82" i="1"/>
  <c r="J82" i="1"/>
  <c r="D83" i="1"/>
  <c r="J83" i="1"/>
  <c r="D84" i="1"/>
  <c r="D85" i="1"/>
  <c r="D86" i="1"/>
  <c r="D87" i="1"/>
  <c r="J87" i="1"/>
  <c r="D88" i="1"/>
  <c r="D89" i="1"/>
  <c r="D90" i="1"/>
  <c r="D91" i="1"/>
  <c r="D92" i="1"/>
  <c r="D93" i="1"/>
  <c r="D94" i="1"/>
  <c r="D95" i="1"/>
  <c r="J95" i="1"/>
  <c r="D96" i="1"/>
  <c r="D97" i="1"/>
  <c r="D98" i="1"/>
  <c r="D99" i="1"/>
  <c r="J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J119" i="1"/>
  <c r="D120" i="1"/>
  <c r="D121" i="1"/>
  <c r="D122" i="1"/>
  <c r="D123" i="1"/>
  <c r="D124" i="1"/>
  <c r="J124" i="1"/>
  <c r="D125" i="1"/>
  <c r="D126" i="1"/>
  <c r="D127" i="1"/>
  <c r="J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J147" i="1"/>
  <c r="D148" i="1"/>
  <c r="D149" i="1"/>
  <c r="D150" i="1"/>
  <c r="J150" i="1"/>
  <c r="D151" i="1"/>
  <c r="J151" i="1"/>
  <c r="D152" i="1"/>
  <c r="D153" i="1"/>
  <c r="D154" i="1"/>
  <c r="D155" i="1"/>
  <c r="J155" i="1"/>
  <c r="D156" i="1"/>
  <c r="D157" i="1"/>
  <c r="D158" i="1"/>
  <c r="D159" i="1"/>
  <c r="D160" i="1"/>
  <c r="D161" i="1"/>
  <c r="D162" i="1"/>
  <c r="D17" i="1"/>
  <c r="I16" i="1"/>
  <c r="J16" i="1"/>
  <c r="I17" i="1"/>
  <c r="J20" i="1"/>
  <c r="J22" i="1"/>
  <c r="J27" i="1"/>
  <c r="J32" i="1"/>
  <c r="J38" i="1"/>
  <c r="J40" i="1"/>
  <c r="J46" i="1"/>
  <c r="J47" i="1"/>
  <c r="J48" i="1"/>
  <c r="J51" i="1"/>
  <c r="J56" i="1"/>
  <c r="J62" i="1"/>
  <c r="J64" i="1"/>
  <c r="J72" i="1"/>
  <c r="J73" i="1"/>
  <c r="J78" i="1"/>
  <c r="J79" i="1"/>
  <c r="J86" i="1"/>
  <c r="J88" i="1"/>
  <c r="J91" i="1"/>
  <c r="J96" i="1"/>
  <c r="J102" i="1"/>
  <c r="J104" i="1"/>
  <c r="J111" i="1"/>
  <c r="J115" i="1"/>
  <c r="J120" i="1"/>
  <c r="J123" i="1"/>
  <c r="J126" i="1"/>
  <c r="J128" i="1"/>
  <c r="J136" i="1"/>
  <c r="J143" i="1"/>
  <c r="J144" i="1"/>
  <c r="J152" i="1"/>
  <c r="J159" i="1"/>
  <c r="J160" i="1"/>
  <c r="J161" i="1"/>
  <c r="J30" i="1"/>
  <c r="J54" i="1"/>
  <c r="J70" i="1"/>
  <c r="J94" i="1"/>
  <c r="J134" i="1"/>
  <c r="J135" i="1"/>
  <c r="F11" i="1"/>
  <c r="J41" i="1"/>
  <c r="J42" i="1"/>
  <c r="J43" i="1"/>
  <c r="J50" i="1"/>
  <c r="J57" i="1"/>
  <c r="J67" i="1"/>
  <c r="J89" i="1"/>
  <c r="J90" i="1"/>
  <c r="J105" i="1"/>
  <c r="J107" i="1"/>
  <c r="J130" i="1"/>
  <c r="J131" i="1"/>
  <c r="J154" i="1"/>
  <c r="J19" i="1"/>
  <c r="J18" i="1"/>
  <c r="J17" i="1"/>
</calcChain>
</file>

<file path=xl/sharedStrings.xml><?xml version="1.0" encoding="utf-8"?>
<sst xmlns="http://schemas.openxmlformats.org/spreadsheetml/2006/main" count="152" uniqueCount="100">
  <si>
    <t>Location:</t>
  </si>
  <si>
    <t>Station</t>
  </si>
  <si>
    <t>Data Entry Staff:</t>
  </si>
  <si>
    <t>Field Staff:</t>
  </si>
  <si>
    <t>Site Description:</t>
  </si>
  <si>
    <t>GPS Coordinates:</t>
  </si>
  <si>
    <t xml:space="preserve">Date: </t>
  </si>
  <si>
    <t xml:space="preserve">Time Start: </t>
  </si>
  <si>
    <t xml:space="preserve">Time Stop: </t>
  </si>
  <si>
    <t>LBWE:</t>
  </si>
  <si>
    <t>RBWE:</t>
  </si>
  <si>
    <t>Photo File Name:</t>
  </si>
  <si>
    <t>Notes:</t>
  </si>
  <si>
    <t>Staff Gage Start:</t>
  </si>
  <si>
    <t>End:</t>
  </si>
  <si>
    <t>Meter Number:</t>
  </si>
  <si>
    <t>Avg. Vel.</t>
  </si>
  <si>
    <t>Site Name:</t>
  </si>
  <si>
    <t>** #DIV/0! notices appear as they are formulas that incorporate fields that are yet to be filled **</t>
  </si>
  <si>
    <t># of Pages</t>
  </si>
  <si>
    <t>*Must sum Q manually - do not include unfilled cells*</t>
  </si>
  <si>
    <t>Distance (ft)</t>
  </si>
  <si>
    <t>Depth (ft)</t>
  </si>
  <si>
    <t>Unit Width (ft)</t>
  </si>
  <si>
    <t>Velocity (ft/s)</t>
  </si>
  <si>
    <t>Discharge (cfs): (sum of all Q cells)</t>
  </si>
  <si>
    <t>Standard Operating Procedure CDFW-IFP-002</t>
  </si>
  <si>
    <t>Page</t>
  </si>
  <si>
    <t>of</t>
  </si>
  <si>
    <t>Discharge (cfs):</t>
  </si>
  <si>
    <t>(calculated)</t>
  </si>
  <si>
    <t>(sum of all Q cells)</t>
  </si>
  <si>
    <t>Q (cfs)*</t>
  </si>
  <si>
    <t>Avg. Vel.*</t>
  </si>
  <si>
    <t>*Must be calculated</t>
  </si>
  <si>
    <t>Discharge Measurements Field Sheet</t>
  </si>
  <si>
    <t>Data Input Form for Discharge Measurements</t>
  </si>
  <si>
    <t>Qualitative Evaluation Form for Discharge Measurements</t>
  </si>
  <si>
    <t>NOTES for using discharge data input form:</t>
  </si>
  <si>
    <r>
      <rPr>
        <b/>
        <i/>
        <sz val="12"/>
        <rFont val="Arial"/>
        <family val="2"/>
      </rPr>
      <t>Remarks:</t>
    </r>
    <r>
      <rPr>
        <sz val="12"/>
        <rFont val="Arial"/>
        <family val="2"/>
      </rPr>
      <t xml:space="preserve"> Describe information about equipment, weather, and any other conditions affecting the qualitative evaluation result.</t>
    </r>
  </si>
  <si>
    <t>NOTES for conducting qualitative evaluations on discharge transects:</t>
  </si>
  <si>
    <r>
      <t xml:space="preserve">Flow and Spacing of Observation Verticals: </t>
    </r>
    <r>
      <rPr>
        <sz val="12"/>
        <rFont val="Arial"/>
        <family val="2"/>
      </rPr>
      <t xml:space="preserve">A minimum of 20 vertical "cell" measurements are required per discharge transect, </t>
    </r>
  </si>
  <si>
    <r>
      <t>Measuring Section:</t>
    </r>
    <r>
      <rPr>
        <sz val="12"/>
        <rFont val="Arial"/>
        <family val="2"/>
      </rPr>
      <t xml:space="preserve"> Consider the conditions in the transect that could affect the accuracy of the discharge measurement. Such </t>
    </r>
  </si>
  <si>
    <t xml:space="preserve">  with no more than 5% of the total flow occurring in any one cell or between</t>
  </si>
  <si>
    <t xml:space="preserve">  any two vertical measurement points, as outlined in Section 3.2, Step 6. Using fewer </t>
  </si>
  <si>
    <t xml:space="preserve">  vertical measurements may reduce the accuracy of the discharge measurement. </t>
  </si>
  <si>
    <t>conditions include: uniformity of depths, smoothness of the streambed, composition and uniformity of the streambed</t>
  </si>
  <si>
    <t xml:space="preserve">(silt, gravel, cobbles, detritus), presence of bridge piers or other obstructions, and the ability to accurately measure depth. </t>
  </si>
  <si>
    <r>
      <t xml:space="preserve">Velocity Conditions: </t>
    </r>
    <r>
      <rPr>
        <sz val="12"/>
        <rFont val="Arial"/>
        <family val="2"/>
      </rPr>
      <t xml:space="preserve">Consider the factors present that could affect the accuracy of measuring velocity. Such conditions could include: </t>
    </r>
  </si>
  <si>
    <r>
      <t xml:space="preserve">Rapidly Changing State: </t>
    </r>
    <r>
      <rPr>
        <sz val="12"/>
        <rFont val="Arial"/>
        <family val="2"/>
      </rPr>
      <t>Rapidly changing states can negatively affect the accuracy of discharge measurements, and should be avoided</t>
    </r>
  </si>
  <si>
    <r>
      <t xml:space="preserve">Ice: </t>
    </r>
    <r>
      <rPr>
        <sz val="12"/>
        <rFont val="Arial"/>
        <family val="2"/>
      </rPr>
      <t xml:space="preserve">The presence of ice generally decreases the accuracy of velocity and depth measurements. Ice affects velocity distribution and may </t>
    </r>
  </si>
  <si>
    <t xml:space="preserve">         negatively affect equipment.</t>
  </si>
  <si>
    <r>
      <t xml:space="preserve">Wind: </t>
    </r>
    <r>
      <rPr>
        <sz val="12"/>
        <rFont val="Arial"/>
        <family val="2"/>
      </rPr>
      <t xml:space="preserve">Wind can affect accuracy of discharge measurements by changing the vertical distributions of velocities, and may obscure the angle </t>
    </r>
  </si>
  <si>
    <t xml:space="preserve"> of the current or produce waves that complicate depth readings. </t>
  </si>
  <si>
    <t xml:space="preserve"> smoothness of velocity, very slow or very high velocity, turbulence, factors that could affect the vertical distribution</t>
  </si>
  <si>
    <t>Transect ID:</t>
  </si>
  <si>
    <t>Date:</t>
  </si>
  <si>
    <t>Evaluator Name:</t>
  </si>
  <si>
    <t>Flow and Spacing of Observation Verticals:</t>
  </si>
  <si>
    <t>Measuring  Section:</t>
  </si>
  <si>
    <t>Velocity Conditions:</t>
  </si>
  <si>
    <t>Equipment:</t>
  </si>
  <si>
    <t>Rapidly Changing State:</t>
  </si>
  <si>
    <t>Ice:</t>
  </si>
  <si>
    <t>Wind:</t>
  </si>
  <si>
    <t>Remarks:</t>
  </si>
  <si>
    <t xml:space="preserve">Specifiy conditions that could affect the quality of discharge measurements as outlined in the following fields: </t>
  </si>
  <si>
    <t xml:space="preserve">    measurements, as fully outlined in CDFW-IFP-002, Section 3.3. Specifiy conditions that could affect the quality of discharge measurements </t>
  </si>
  <si>
    <t>COS</t>
  </si>
  <si>
    <t>Degree</t>
  </si>
  <si>
    <t>Adjusted Velocity (ft/s)</t>
  </si>
  <si>
    <t>3) Copy &amp; paste the adjusted velocity values into the data input table</t>
  </si>
  <si>
    <t>To adjust angled velocities:</t>
  </si>
  <si>
    <t>1) Enter velocity values and degree values into the table below</t>
  </si>
  <si>
    <t>2) Adjusted velocities will be automatically calculated (last column)</t>
  </si>
  <si>
    <t>Sub-section Q (cfs)</t>
  </si>
  <si>
    <t>Total Q (cfs)</t>
  </si>
  <si>
    <t xml:space="preserve"> DO NOT include infilled cells with "#DIV/0!" in them. </t>
  </si>
  <si>
    <t xml:space="preserve"> of velocity, and the use of the one-point, two-point or three-point method. The Discharge Data Input form provided does not </t>
  </si>
  <si>
    <t>Time Stop:</t>
  </si>
  <si>
    <t>Page _______  of  ________</t>
  </si>
  <si>
    <r>
      <t xml:space="preserve">MEASUREMENT NOTES: </t>
    </r>
    <r>
      <rPr>
        <b/>
        <sz val="10"/>
        <rFont val="Arial"/>
        <family val="2"/>
      </rPr>
      <t>Distance</t>
    </r>
    <r>
      <rPr>
        <sz val="10"/>
        <rFont val="Arial"/>
        <family val="2"/>
      </rPr>
      <t xml:space="preserve"> = whole number or 0.1 ft, </t>
    </r>
    <r>
      <rPr>
        <b/>
        <sz val="10"/>
        <rFont val="Arial"/>
        <family val="2"/>
      </rPr>
      <t>Unit Width</t>
    </r>
    <r>
      <rPr>
        <sz val="10"/>
        <rFont val="Arial"/>
        <family val="2"/>
      </rPr>
      <t xml:space="preserve"> = whole or 0.1 ft, </t>
    </r>
    <r>
      <rPr>
        <b/>
        <sz val="10"/>
        <rFont val="Arial"/>
        <family val="2"/>
      </rPr>
      <t>Depth</t>
    </r>
    <r>
      <rPr>
        <sz val="10"/>
        <rFont val="Arial"/>
        <family val="2"/>
      </rPr>
      <t xml:space="preserve"> = whole, 0.1 or 0.01 ft (use OW for cells out of water, OW = zero discharge), </t>
    </r>
    <r>
      <rPr>
        <b/>
        <sz val="10"/>
        <rFont val="Arial"/>
        <family val="2"/>
      </rPr>
      <t>Velocity</t>
    </r>
    <r>
      <rPr>
        <sz val="10"/>
        <rFont val="Arial"/>
        <family val="2"/>
      </rPr>
      <t xml:space="preserve"> = to be measured at 0.6 (6/10th) of the water column using top setting rod if depth &lt; 2.5ft; or measured at 0.2 (2/10th) and 0.8 (8/10th) using top setting rod if depth &gt; 2.5ft, </t>
    </r>
    <r>
      <rPr>
        <b/>
        <sz val="10"/>
        <rFont val="Arial"/>
        <family val="2"/>
      </rPr>
      <t>Q</t>
    </r>
    <r>
      <rPr>
        <sz val="10"/>
        <rFont val="Arial"/>
        <family val="2"/>
      </rPr>
      <t xml:space="preserve"> = width x depth x veolcity, </t>
    </r>
    <r>
      <rPr>
        <b/>
        <sz val="10"/>
        <rFont val="Arial"/>
        <family val="2"/>
      </rPr>
      <t>Discharge</t>
    </r>
    <r>
      <rPr>
        <sz val="10"/>
        <rFont val="Arial"/>
        <family val="2"/>
      </rPr>
      <t xml:space="preserve"> = total of all Q cells</t>
    </r>
  </si>
  <si>
    <t>MEASUREMENT NOTES: Distance = whole number or 0.1 ft, Unit Width = whole or 0.1 ft, Depth = whole, 0.1 or 0.01 ft (use OW for cells out of water, OW = zero discharge), Velocity = to be measured at 0.6 (6/10th) of the water column using top setting rod if depth &lt; 2.5ft; or measured at 0.2 (2/10th) and 0.8 (8/10th) using top setting rod if depth &gt; 2.5ft, Q = width x depth x veolcity, Discharge = total of all Q cells</t>
  </si>
  <si>
    <r>
      <t xml:space="preserve">4. In the </t>
    </r>
    <r>
      <rPr>
        <b/>
        <sz val="12"/>
        <rFont val="Arial"/>
        <family val="2"/>
      </rPr>
      <t>"Velocity (ft/s)"</t>
    </r>
    <r>
      <rPr>
        <sz val="12"/>
        <rFont val="Arial"/>
        <family val="2"/>
      </rPr>
      <t xml:space="preserve"> columns, manually enter velocities taken at each transect length in ft/s to the nearest 0.001. All "OW's" should be entered as zero velocity.</t>
    </r>
  </si>
  <si>
    <r>
      <t xml:space="preserve">5. In the </t>
    </r>
    <r>
      <rPr>
        <b/>
        <sz val="12"/>
        <rFont val="Arial"/>
        <family val="2"/>
      </rPr>
      <t>"Avg. Vel."</t>
    </r>
    <r>
      <rPr>
        <sz val="12"/>
        <rFont val="Arial"/>
        <family val="2"/>
      </rPr>
      <t xml:space="preserve"> column, velocities are automatically averaged together. This column will not avaerage three-point velocities.</t>
    </r>
  </si>
  <si>
    <r>
      <t xml:space="preserve">7. In the </t>
    </r>
    <r>
      <rPr>
        <b/>
        <sz val="12"/>
        <rFont val="Arial"/>
        <family val="2"/>
      </rPr>
      <t>"Total Q (cfs)"</t>
    </r>
    <r>
      <rPr>
        <sz val="12"/>
        <rFont val="Arial"/>
        <family val="2"/>
      </rPr>
      <t xml:space="preserve"> box at the bottom of the form, manually total all sub-section Q values by using the "=SUM(range)" function.</t>
    </r>
  </si>
  <si>
    <t>This form is set up for only one or two point velocities. Development of a three-point velocity form is planned for future revisions.</t>
  </si>
  <si>
    <r>
      <t xml:space="preserve">1. In the </t>
    </r>
    <r>
      <rPr>
        <b/>
        <sz val="12"/>
        <rFont val="Arial"/>
        <family val="2"/>
      </rPr>
      <t>"Distance (ft)"</t>
    </r>
    <r>
      <rPr>
        <sz val="12"/>
        <rFont val="Arial"/>
        <family val="2"/>
      </rPr>
      <t xml:space="preserve"> column, manually enter distance along the transect in feet to nearest 0.1.</t>
    </r>
  </si>
  <si>
    <r>
      <t xml:space="preserve">2. In the </t>
    </r>
    <r>
      <rPr>
        <b/>
        <sz val="12"/>
        <rFont val="Arial"/>
        <family val="2"/>
      </rPr>
      <t>"Unit Width (ft)"</t>
    </r>
    <r>
      <rPr>
        <sz val="12"/>
        <rFont val="Arial"/>
        <family val="2"/>
      </rPr>
      <t xml:space="preserve"> column, each segment width is automatically calculated. In the last unit width cell, manually enter a zero.</t>
    </r>
  </si>
  <si>
    <r>
      <t xml:space="preserve">3. In the </t>
    </r>
    <r>
      <rPr>
        <b/>
        <sz val="12"/>
        <rFont val="Arial"/>
        <family val="2"/>
      </rPr>
      <t>"Depth (ft)"</t>
    </r>
    <r>
      <rPr>
        <sz val="12"/>
        <rFont val="Arial"/>
        <family val="2"/>
      </rPr>
      <t xml:space="preserve"> column, manually enter depth at each transect distance in feet to the nearest 0.01.</t>
    </r>
  </si>
  <si>
    <r>
      <t xml:space="preserve">6. In the </t>
    </r>
    <r>
      <rPr>
        <b/>
        <sz val="12"/>
        <rFont val="Arial"/>
        <family val="2"/>
      </rPr>
      <t>"Sub-section Q (cfs)"</t>
    </r>
    <r>
      <rPr>
        <sz val="12"/>
        <rFont val="Arial"/>
        <family val="2"/>
      </rPr>
      <t xml:space="preserve"> column, each segment's flow (Q) in cfs is automatically calculated.</t>
    </r>
  </si>
  <si>
    <r>
      <t xml:space="preserve">8. The </t>
    </r>
    <r>
      <rPr>
        <b/>
        <sz val="12"/>
        <rFont val="Arial"/>
        <family val="2"/>
      </rPr>
      <t>"Discharge (cfs)"</t>
    </r>
    <r>
      <rPr>
        <sz val="12"/>
        <rFont val="Arial"/>
        <family val="2"/>
      </rPr>
      <t xml:space="preserve"> value will automatically populate at the top of the form once sub-section Q's are manually summed. This represents total discharge (cfs).</t>
    </r>
  </si>
  <si>
    <t xml:space="preserve"> calculate three-point velocities.</t>
  </si>
  <si>
    <r>
      <t xml:space="preserve">Equipment: </t>
    </r>
    <r>
      <rPr>
        <sz val="12"/>
        <rFont val="Arial"/>
        <family val="2"/>
      </rPr>
      <t>Consider the working condition of the velocity meter being used to conduct field work.</t>
    </r>
  </si>
  <si>
    <t>Full background information is found in CDFW Discharge SOP: CDFW-IFP-002</t>
  </si>
  <si>
    <t>1. When conducting the qualitative evaluation, the hydrographer should consider factors that could affect the quality of discharge</t>
  </si>
  <si>
    <t xml:space="preserve">    as outlined below: </t>
  </si>
  <si>
    <t xml:space="preserve"> when determining where to conduct discharge measurements. Consider effects of any change in staff gage level</t>
  </si>
  <si>
    <t xml:space="preserve"> that occurred over the duration of the discharge measurement.</t>
  </si>
  <si>
    <t>CDFW-IFP-002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</si>
</sst>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8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MS Sans Serif"/>
      <family val="2"/>
    </font>
    <font>
      <sz val="10"/>
      <name val="Microsoft Sans Serif"/>
      <family val="2"/>
    </font>
    <font>
      <b/>
      <sz val="10"/>
      <name val="Microsoft Sans Serif"/>
      <family val="2"/>
    </font>
    <font>
      <sz val="10"/>
      <color indexed="10"/>
      <name val="Microsoft Sans Serif"/>
      <family val="2"/>
    </font>
    <font>
      <sz val="8"/>
      <name val="Arial"/>
    </font>
    <font>
      <b/>
      <sz val="13.5"/>
      <name val="MS Sans Serif"/>
      <family val="2"/>
    </font>
    <font>
      <sz val="12"/>
      <name val="Arial"/>
    </font>
    <font>
      <sz val="12"/>
      <name val="Microsoft Sans Serif"/>
      <family val="2"/>
    </font>
    <font>
      <b/>
      <sz val="12"/>
      <name val="Microsoft Sans Serif"/>
      <family val="2"/>
    </font>
    <font>
      <sz val="11"/>
      <name val="MS Sans Serif"/>
      <family val="2"/>
    </font>
    <font>
      <sz val="11"/>
      <name val="Arial"/>
    </font>
    <font>
      <sz val="8"/>
      <color indexed="10"/>
      <name val="Arial"/>
    </font>
    <font>
      <b/>
      <sz val="11"/>
      <name val="Microsoft Sans Serif"/>
      <family val="2"/>
    </font>
    <font>
      <b/>
      <sz val="11"/>
      <name val="MS Sans Serif"/>
      <family val="2"/>
    </font>
    <font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b/>
      <sz val="12"/>
      <color theme="1"/>
      <name val="Arial"/>
      <family val="2"/>
    </font>
    <font>
      <sz val="10"/>
      <color rgb="FFFF0000"/>
      <name val="Microsoft Sans Serif"/>
      <family val="2"/>
    </font>
    <font>
      <b/>
      <sz val="18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lightDown">
        <fgColor indexed="2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/>
    <xf numFmtId="0" fontId="15" fillId="0" borderId="0"/>
    <xf numFmtId="0" fontId="16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62">
    <xf numFmtId="0" fontId="0" fillId="0" borderId="0" xfId="0"/>
    <xf numFmtId="0" fontId="6" fillId="0" borderId="0" xfId="38" applyFont="1"/>
    <xf numFmtId="0" fontId="22" fillId="0" borderId="0" xfId="38" applyFont="1" applyBorder="1"/>
    <xf numFmtId="164" fontId="22" fillId="0" borderId="0" xfId="38" applyNumberFormat="1" applyFont="1" applyBorder="1"/>
    <xf numFmtId="9" fontId="22" fillId="0" borderId="0" xfId="38" applyNumberFormat="1" applyFont="1" applyBorder="1" applyAlignment="1">
      <alignment horizontal="center"/>
    </xf>
    <xf numFmtId="0" fontId="6" fillId="0" borderId="0" xfId="37" applyFont="1" applyBorder="1" applyAlignment="1">
      <alignment horizontal="center" wrapText="1"/>
    </xf>
    <xf numFmtId="0" fontId="23" fillId="0" borderId="0" xfId="38" applyFont="1" applyFill="1" applyBorder="1" applyAlignment="1">
      <alignment horizontal="center" vertical="center"/>
    </xf>
    <xf numFmtId="164" fontId="22" fillId="0" borderId="0" xfId="38" applyNumberFormat="1" applyFont="1" applyFill="1" applyBorder="1" applyAlignment="1">
      <alignment horizontal="center" vertical="center"/>
    </xf>
    <xf numFmtId="0" fontId="23" fillId="0" borderId="0" xfId="38" applyFont="1" applyFill="1" applyBorder="1" applyAlignment="1">
      <alignment vertical="center"/>
    </xf>
    <xf numFmtId="0" fontId="6" fillId="0" borderId="0" xfId="38" applyFont="1" applyBorder="1" applyAlignment="1">
      <alignment horizontal="left"/>
    </xf>
    <xf numFmtId="164" fontId="21" fillId="0" borderId="0" xfId="37" applyNumberFormat="1" applyFont="1" applyBorder="1" applyAlignment="1">
      <alignment vertical="center"/>
    </xf>
    <xf numFmtId="164" fontId="24" fillId="0" borderId="0" xfId="38" applyNumberFormat="1" applyFont="1" applyBorder="1" applyAlignment="1">
      <alignment horizontal="center"/>
    </xf>
    <xf numFmtId="0" fontId="0" fillId="0" borderId="0" xfId="0" applyBorder="1"/>
    <xf numFmtId="0" fontId="6" fillId="0" borderId="0" xfId="37" applyFont="1" applyBorder="1" applyAlignment="1" applyProtection="1">
      <alignment horizontal="left"/>
      <protection locked="0"/>
    </xf>
    <xf numFmtId="2" fontId="23" fillId="0" borderId="0" xfId="38" applyNumberFormat="1" applyFont="1" applyFill="1" applyBorder="1" applyAlignment="1">
      <alignment horizontal="center" vertical="center"/>
    </xf>
    <xf numFmtId="164" fontId="23" fillId="0" borderId="0" xfId="38" applyNumberFormat="1" applyFont="1" applyFill="1" applyBorder="1" applyAlignment="1">
      <alignment horizontal="center" vertical="center"/>
    </xf>
    <xf numFmtId="0" fontId="22" fillId="0" borderId="0" xfId="38" applyFont="1" applyFill="1" applyBorder="1" applyAlignment="1">
      <alignment horizontal="center" vertical="center"/>
    </xf>
    <xf numFmtId="1" fontId="22" fillId="0" borderId="0" xfId="38" applyNumberFormat="1" applyFont="1" applyFill="1" applyBorder="1" applyAlignment="1">
      <alignment horizontal="center" vertical="center"/>
    </xf>
    <xf numFmtId="2" fontId="22" fillId="0" borderId="0" xfId="38" applyNumberFormat="1" applyFont="1" applyFill="1" applyBorder="1" applyAlignment="1">
      <alignment horizontal="center" vertical="center"/>
    </xf>
    <xf numFmtId="164" fontId="23" fillId="0" borderId="0" xfId="38" applyNumberFormat="1" applyFont="1" applyFill="1" applyBorder="1" applyAlignment="1">
      <alignment vertical="center"/>
    </xf>
    <xf numFmtId="164" fontId="26" fillId="0" borderId="0" xfId="37" applyNumberFormat="1" applyFont="1" applyBorder="1" applyAlignment="1">
      <alignment vertical="center"/>
    </xf>
    <xf numFmtId="0" fontId="27" fillId="0" borderId="0" xfId="0" applyFont="1"/>
    <xf numFmtId="0" fontId="21" fillId="0" borderId="0" xfId="37" applyFont="1" applyBorder="1" applyAlignment="1" applyProtection="1">
      <alignment horizontal="left" wrapText="1"/>
      <protection locked="0"/>
    </xf>
    <xf numFmtId="0" fontId="28" fillId="0" borderId="0" xfId="38" applyFont="1"/>
    <xf numFmtId="164" fontId="28" fillId="0" borderId="0" xfId="38" applyNumberFormat="1" applyFont="1"/>
    <xf numFmtId="164" fontId="28" fillId="0" borderId="0" xfId="38" applyNumberFormat="1" applyFont="1" applyAlignment="1"/>
    <xf numFmtId="0" fontId="28" fillId="0" borderId="10" xfId="38" applyFont="1" applyBorder="1" applyAlignment="1">
      <alignment horizontal="center" vertical="center"/>
    </xf>
    <xf numFmtId="2" fontId="28" fillId="0" borderId="11" xfId="38" applyNumberFormat="1" applyFont="1" applyBorder="1" applyAlignment="1">
      <alignment horizontal="center" vertical="center"/>
    </xf>
    <xf numFmtId="2" fontId="28" fillId="0" borderId="12" xfId="38" applyNumberFormat="1" applyFont="1" applyBorder="1" applyAlignment="1">
      <alignment horizontal="center" vertical="center"/>
    </xf>
    <xf numFmtId="2" fontId="28" fillId="0" borderId="13" xfId="38" applyNumberFormat="1" applyFont="1" applyBorder="1" applyAlignment="1">
      <alignment horizontal="center" vertical="center"/>
    </xf>
    <xf numFmtId="2" fontId="28" fillId="0" borderId="14" xfId="38" applyNumberFormat="1" applyFont="1" applyBorder="1" applyAlignment="1">
      <alignment horizontal="center" vertical="center"/>
    </xf>
    <xf numFmtId="0" fontId="28" fillId="0" borderId="15" xfId="38" applyFont="1" applyBorder="1" applyAlignment="1">
      <alignment horizontal="center" vertical="center"/>
    </xf>
    <xf numFmtId="0" fontId="21" fillId="0" borderId="0" xfId="37" applyFont="1" applyBorder="1" applyAlignment="1" applyProtection="1">
      <alignment wrapText="1"/>
      <protection locked="0"/>
    </xf>
    <xf numFmtId="2" fontId="28" fillId="0" borderId="16" xfId="38" applyNumberFormat="1" applyFont="1" applyBorder="1" applyAlignment="1">
      <alignment horizontal="center" vertical="center"/>
    </xf>
    <xf numFmtId="2" fontId="28" fillId="0" borderId="17" xfId="38" applyNumberFormat="1" applyFont="1" applyBorder="1" applyAlignment="1">
      <alignment horizontal="center" vertical="center"/>
    </xf>
    <xf numFmtId="164" fontId="28" fillId="0" borderId="14" xfId="38" applyNumberFormat="1" applyFont="1" applyBorder="1" applyAlignment="1">
      <alignment horizontal="center" vertical="center"/>
    </xf>
    <xf numFmtId="164" fontId="28" fillId="0" borderId="12" xfId="38" applyNumberFormat="1" applyFont="1" applyBorder="1" applyAlignment="1">
      <alignment horizontal="center" vertical="center"/>
    </xf>
    <xf numFmtId="164" fontId="29" fillId="24" borderId="12" xfId="38" applyNumberFormat="1" applyFont="1" applyFill="1" applyBorder="1" applyAlignment="1">
      <alignment horizontal="center" vertical="center"/>
    </xf>
    <xf numFmtId="2" fontId="29" fillId="24" borderId="12" xfId="38" applyNumberFormat="1" applyFont="1" applyFill="1" applyBorder="1" applyAlignment="1">
      <alignment horizontal="center" vertical="center"/>
    </xf>
    <xf numFmtId="0" fontId="30" fillId="0" borderId="0" xfId="38" applyFont="1" applyBorder="1"/>
    <xf numFmtId="0" fontId="31" fillId="0" borderId="0" xfId="0" applyFont="1" applyAlignment="1">
      <alignment horizontal="center"/>
    </xf>
    <xf numFmtId="0" fontId="30" fillId="0" borderId="18" xfId="38" applyFont="1" applyBorder="1" applyAlignment="1">
      <alignment horizontal="left"/>
    </xf>
    <xf numFmtId="0" fontId="30" fillId="0" borderId="0" xfId="37" applyFont="1" applyBorder="1" applyAlignment="1" applyProtection="1">
      <alignment horizontal="right" wrapText="1"/>
      <protection locked="0"/>
    </xf>
    <xf numFmtId="14" fontId="30" fillId="0" borderId="19" xfId="37" applyNumberFormat="1" applyFont="1" applyBorder="1" applyAlignment="1" applyProtection="1">
      <alignment horizontal="left"/>
      <protection locked="0"/>
    </xf>
    <xf numFmtId="0" fontId="30" fillId="0" borderId="19" xfId="37" applyFont="1" applyBorder="1" applyAlignment="1" applyProtection="1">
      <alignment horizontal="left"/>
      <protection locked="0"/>
    </xf>
    <xf numFmtId="0" fontId="30" fillId="0" borderId="19" xfId="38" applyFont="1" applyBorder="1" applyAlignment="1">
      <alignment horizontal="left"/>
    </xf>
    <xf numFmtId="0" fontId="30" fillId="0" borderId="0" xfId="38" applyFont="1" applyBorder="1" applyAlignment="1">
      <alignment horizontal="left"/>
    </xf>
    <xf numFmtId="0" fontId="30" fillId="0" borderId="0" xfId="38" applyFont="1" applyBorder="1" applyAlignment="1">
      <alignment horizontal="right"/>
    </xf>
    <xf numFmtId="0" fontId="30" fillId="0" borderId="0" xfId="38" applyFont="1" applyAlignment="1">
      <alignment horizontal="right"/>
    </xf>
    <xf numFmtId="164" fontId="30" fillId="0" borderId="0" xfId="38" applyNumberFormat="1" applyFont="1" applyBorder="1" applyAlignment="1">
      <alignment horizontal="right"/>
    </xf>
    <xf numFmtId="0" fontId="22" fillId="0" borderId="20" xfId="38" applyFont="1" applyFill="1" applyBorder="1" applyAlignment="1">
      <alignment horizontal="center" vertical="center"/>
    </xf>
    <xf numFmtId="2" fontId="29" fillId="0" borderId="21" xfId="0" applyNumberFormat="1" applyFont="1" applyBorder="1" applyAlignment="1">
      <alignment horizontal="center" vertical="center"/>
    </xf>
    <xf numFmtId="0" fontId="0" fillId="0" borderId="0" xfId="0" applyAlignment="1"/>
    <xf numFmtId="0" fontId="31" fillId="0" borderId="19" xfId="0" applyFont="1" applyBorder="1" applyAlignment="1">
      <alignment horizontal="center"/>
    </xf>
    <xf numFmtId="0" fontId="30" fillId="0" borderId="19" xfId="38" applyFont="1" applyBorder="1" applyAlignment="1">
      <alignment horizontal="center"/>
    </xf>
    <xf numFmtId="20" fontId="30" fillId="0" borderId="19" xfId="38" applyNumberFormat="1" applyFont="1" applyBorder="1" applyAlignment="1">
      <alignment horizontal="center"/>
    </xf>
    <xf numFmtId="164" fontId="30" fillId="0" borderId="18" xfId="38" applyNumberFormat="1" applyFont="1" applyBorder="1" applyAlignment="1">
      <alignment horizontal="center"/>
    </xf>
    <xf numFmtId="0" fontId="30" fillId="0" borderId="0" xfId="38" applyFont="1" applyAlignment="1">
      <alignment horizontal="left"/>
    </xf>
    <xf numFmtId="0" fontId="31" fillId="0" borderId="18" xfId="0" applyFont="1" applyBorder="1" applyAlignment="1">
      <alignment horizontal="left"/>
    </xf>
    <xf numFmtId="0" fontId="30" fillId="0" borderId="19" xfId="37" applyFont="1" applyBorder="1" applyAlignment="1" applyProtection="1">
      <alignment horizontal="left" wrapText="1"/>
      <protection locked="0"/>
    </xf>
    <xf numFmtId="0" fontId="30" fillId="0" borderId="19" xfId="37" applyFont="1" applyBorder="1" applyAlignment="1">
      <alignment horizontal="left" wrapText="1"/>
    </xf>
    <xf numFmtId="0" fontId="31" fillId="0" borderId="0" xfId="0" applyFont="1" applyBorder="1" applyAlignment="1">
      <alignment horizontal="center"/>
    </xf>
    <xf numFmtId="2" fontId="21" fillId="0" borderId="0" xfId="37" applyNumberFormat="1" applyFont="1" applyBorder="1" applyAlignment="1" applyProtection="1">
      <alignment horizontal="center" wrapText="1"/>
      <protection locked="0"/>
    </xf>
    <xf numFmtId="0" fontId="21" fillId="0" borderId="0" xfId="37" applyFont="1" applyBorder="1" applyAlignment="1" applyProtection="1">
      <alignment horizontal="center" wrapText="1"/>
      <protection locked="0"/>
    </xf>
    <xf numFmtId="0" fontId="36" fillId="26" borderId="0" xfId="0" applyFont="1" applyFill="1"/>
    <xf numFmtId="0" fontId="36" fillId="0" borderId="0" xfId="0" applyFont="1" applyFill="1"/>
    <xf numFmtId="0" fontId="36" fillId="0" borderId="0" xfId="0" applyFont="1"/>
    <xf numFmtId="0" fontId="37" fillId="26" borderId="0" xfId="0" applyFont="1" applyFill="1"/>
    <xf numFmtId="0" fontId="38" fillId="26" borderId="0" xfId="0" applyFont="1" applyFill="1"/>
    <xf numFmtId="0" fontId="35" fillId="0" borderId="0" xfId="0" applyFont="1"/>
    <xf numFmtId="0" fontId="36" fillId="0" borderId="0" xfId="0" applyFont="1" applyBorder="1"/>
    <xf numFmtId="0" fontId="36" fillId="0" borderId="19" xfId="0" applyFont="1" applyBorder="1"/>
    <xf numFmtId="0" fontId="36" fillId="0" borderId="0" xfId="0" applyFont="1" applyFill="1" applyBorder="1"/>
    <xf numFmtId="0" fontId="38" fillId="0" borderId="0" xfId="0" applyFont="1" applyFill="1" applyBorder="1" applyAlignment="1">
      <alignment horizontal="right"/>
    </xf>
    <xf numFmtId="0" fontId="45" fillId="0" borderId="19" xfId="0" applyFont="1" applyBorder="1" applyAlignment="1">
      <alignment horizontal="left" vertical="center"/>
    </xf>
    <xf numFmtId="0" fontId="45" fillId="0" borderId="19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18" xfId="0" applyFont="1" applyBorder="1" applyAlignment="1">
      <alignment horizontal="left" vertical="center"/>
    </xf>
    <xf numFmtId="0" fontId="45" fillId="0" borderId="18" xfId="0" applyFont="1" applyBorder="1" applyAlignment="1">
      <alignment vertical="center"/>
    </xf>
    <xf numFmtId="0" fontId="45" fillId="0" borderId="11" xfId="0" applyFont="1" applyBorder="1" applyAlignment="1">
      <alignment horizontal="center" vertical="center"/>
    </xf>
    <xf numFmtId="0" fontId="45" fillId="0" borderId="0" xfId="0" applyFont="1" applyFill="1" applyBorder="1" applyAlignment="1">
      <alignment horizontal="left" vertical="center"/>
    </xf>
    <xf numFmtId="0" fontId="45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5" fillId="0" borderId="0" xfId="0" applyFont="1" applyBorder="1" applyAlignment="1">
      <alignment horizontal="left" vertical="center"/>
    </xf>
    <xf numFmtId="0" fontId="45" fillId="0" borderId="0" xfId="0" applyFont="1" applyBorder="1" applyAlignment="1">
      <alignment vertical="center"/>
    </xf>
    <xf numFmtId="0" fontId="36" fillId="0" borderId="23" xfId="0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0" fontId="36" fillId="0" borderId="24" xfId="0" applyFont="1" applyBorder="1" applyAlignment="1">
      <alignment horizontal="center" vertical="center"/>
    </xf>
    <xf numFmtId="0" fontId="36" fillId="0" borderId="24" xfId="0" applyFont="1" applyBorder="1" applyAlignment="1">
      <alignment vertical="center"/>
    </xf>
    <xf numFmtId="0" fontId="36" fillId="0" borderId="25" xfId="0" applyFont="1" applyBorder="1" applyAlignment="1">
      <alignment vertical="center"/>
    </xf>
    <xf numFmtId="0" fontId="45" fillId="0" borderId="20" xfId="0" applyFont="1" applyBorder="1" applyAlignment="1">
      <alignment horizontal="left" vertical="center"/>
    </xf>
    <xf numFmtId="0" fontId="45" fillId="0" borderId="26" xfId="0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6" fillId="0" borderId="26" xfId="0" applyFont="1" applyBorder="1"/>
    <xf numFmtId="0" fontId="45" fillId="27" borderId="10" xfId="0" applyFont="1" applyFill="1" applyBorder="1" applyAlignment="1">
      <alignment horizontal="right"/>
    </xf>
    <xf numFmtId="0" fontId="45" fillId="27" borderId="10" xfId="0" applyFont="1" applyFill="1" applyBorder="1" applyAlignment="1">
      <alignment horizontal="center" vertical="top" wrapText="1"/>
    </xf>
    <xf numFmtId="0" fontId="45" fillId="27" borderId="10" xfId="0" applyFont="1" applyFill="1" applyBorder="1" applyAlignment="1">
      <alignment horizontal="right" vertical="top"/>
    </xf>
    <xf numFmtId="0" fontId="45" fillId="27" borderId="27" xfId="0" applyFont="1" applyFill="1" applyBorder="1" applyAlignment="1">
      <alignment horizontal="right" vertical="top" wrapText="1"/>
    </xf>
    <xf numFmtId="0" fontId="45" fillId="27" borderId="15" xfId="0" applyFont="1" applyFill="1" applyBorder="1" applyAlignment="1">
      <alignment horizontal="right" vertical="top"/>
    </xf>
    <xf numFmtId="0" fontId="30" fillId="0" borderId="0" xfId="0" applyFont="1" applyAlignment="1">
      <alignment horizontal="right"/>
    </xf>
    <xf numFmtId="0" fontId="28" fillId="0" borderId="28" xfId="38" applyFont="1" applyBorder="1" applyAlignment="1">
      <alignment horizontal="center" vertical="center"/>
    </xf>
    <xf numFmtId="164" fontId="28" fillId="0" borderId="29" xfId="38" applyNumberFormat="1" applyFont="1" applyBorder="1" applyAlignment="1">
      <alignment horizontal="center" vertical="center"/>
    </xf>
    <xf numFmtId="2" fontId="28" fillId="0" borderId="22" xfId="38" applyNumberFormat="1" applyFont="1" applyBorder="1" applyAlignment="1">
      <alignment horizontal="center" vertical="center"/>
    </xf>
    <xf numFmtId="2" fontId="28" fillId="0" borderId="29" xfId="38" applyNumberFormat="1" applyFont="1" applyBorder="1" applyAlignment="1">
      <alignment horizontal="center" vertical="center"/>
    </xf>
    <xf numFmtId="2" fontId="28" fillId="0" borderId="30" xfId="38" applyNumberFormat="1" applyFont="1" applyBorder="1" applyAlignment="1">
      <alignment horizontal="center" vertical="center"/>
    </xf>
    <xf numFmtId="164" fontId="28" fillId="0" borderId="0" xfId="38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29" xfId="0" applyFont="1" applyBorder="1" applyAlignment="1">
      <alignment horizontal="center"/>
    </xf>
    <xf numFmtId="1" fontId="39" fillId="0" borderId="29" xfId="0" applyNumberFormat="1" applyFont="1" applyBorder="1" applyAlignment="1">
      <alignment horizontal="center"/>
    </xf>
    <xf numFmtId="1" fontId="39" fillId="0" borderId="12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/>
    </xf>
    <xf numFmtId="2" fontId="39" fillId="0" borderId="28" xfId="0" applyNumberFormat="1" applyFont="1" applyBorder="1" applyAlignment="1">
      <alignment horizontal="center"/>
    </xf>
    <xf numFmtId="2" fontId="39" fillId="0" borderId="10" xfId="0" applyNumberFormat="1" applyFont="1" applyBorder="1" applyAlignment="1">
      <alignment horizontal="center"/>
    </xf>
    <xf numFmtId="2" fontId="39" fillId="0" borderId="15" xfId="0" applyNumberFormat="1" applyFont="1" applyBorder="1" applyAlignment="1">
      <alignment horizontal="center"/>
    </xf>
    <xf numFmtId="2" fontId="39" fillId="0" borderId="30" xfId="0" applyNumberFormat="1" applyFont="1" applyBorder="1" applyAlignment="1">
      <alignment horizontal="center"/>
    </xf>
    <xf numFmtId="2" fontId="39" fillId="0" borderId="16" xfId="0" applyNumberFormat="1" applyFont="1" applyBorder="1" applyAlignment="1">
      <alignment horizontal="center"/>
    </xf>
    <xf numFmtId="2" fontId="39" fillId="0" borderId="17" xfId="0" applyNumberFormat="1" applyFont="1" applyBorder="1" applyAlignment="1">
      <alignment horizontal="center"/>
    </xf>
    <xf numFmtId="0" fontId="40" fillId="27" borderId="31" xfId="0" applyFont="1" applyFill="1" applyBorder="1" applyAlignment="1">
      <alignment horizontal="center" vertical="center" wrapText="1"/>
    </xf>
    <xf numFmtId="0" fontId="40" fillId="27" borderId="32" xfId="0" applyFont="1" applyFill="1" applyBorder="1" applyAlignment="1">
      <alignment horizontal="center" vertical="center"/>
    </xf>
    <xf numFmtId="0" fontId="40" fillId="27" borderId="33" xfId="0" applyFont="1" applyFill="1" applyBorder="1" applyAlignment="1">
      <alignment horizontal="center" wrapText="1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164" fontId="21" fillId="0" borderId="0" xfId="37" applyNumberFormat="1" applyFont="1" applyBorder="1" applyAlignment="1">
      <alignment horizontal="right" vertical="center"/>
    </xf>
    <xf numFmtId="0" fontId="6" fillId="0" borderId="0" xfId="37" applyFont="1" applyBorder="1" applyAlignment="1" applyProtection="1">
      <alignment horizontal="right"/>
      <protection locked="0"/>
    </xf>
    <xf numFmtId="0" fontId="6" fillId="0" borderId="0" xfId="38" applyFont="1" applyBorder="1" applyAlignment="1">
      <alignment horizontal="right"/>
    </xf>
    <xf numFmtId="20" fontId="6" fillId="0" borderId="0" xfId="38" applyNumberFormat="1" applyFont="1" applyBorder="1" applyAlignment="1">
      <alignment horizontal="right"/>
    </xf>
    <xf numFmtId="164" fontId="6" fillId="0" borderId="0" xfId="38" applyNumberFormat="1" applyFont="1" applyBorder="1" applyAlignment="1">
      <alignment horizontal="right"/>
    </xf>
    <xf numFmtId="0" fontId="0" fillId="0" borderId="0" xfId="0" applyAlignment="1">
      <alignment horizontal="right"/>
    </xf>
    <xf numFmtId="2" fontId="22" fillId="0" borderId="0" xfId="38" applyNumberFormat="1" applyFont="1" applyFill="1" applyBorder="1" applyAlignment="1">
      <alignment horizontal="right" vertical="center"/>
    </xf>
    <xf numFmtId="9" fontId="22" fillId="0" borderId="0" xfId="38" applyNumberFormat="1" applyFont="1" applyBorder="1" applyAlignment="1">
      <alignment horizontal="right"/>
    </xf>
    <xf numFmtId="0" fontId="22" fillId="0" borderId="0" xfId="38" applyFont="1" applyBorder="1" applyAlignment="1">
      <alignment horizontal="right"/>
    </xf>
    <xf numFmtId="0" fontId="23" fillId="0" borderId="0" xfId="38" applyFont="1" applyFill="1" applyBorder="1" applyAlignment="1">
      <alignment horizontal="left" vertical="center"/>
    </xf>
    <xf numFmtId="0" fontId="22" fillId="0" borderId="0" xfId="38" applyFont="1" applyFill="1" applyBorder="1" applyAlignment="1">
      <alignment horizontal="left" vertical="center"/>
    </xf>
    <xf numFmtId="164" fontId="21" fillId="0" borderId="0" xfId="37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37" applyFont="1" applyBorder="1" applyAlignment="1">
      <alignment horizontal="left" wrapText="1"/>
    </xf>
    <xf numFmtId="164" fontId="22" fillId="0" borderId="0" xfId="38" applyNumberFormat="1" applyFont="1" applyFill="1" applyBorder="1" applyAlignment="1">
      <alignment horizontal="left" vertical="center"/>
    </xf>
    <xf numFmtId="164" fontId="22" fillId="0" borderId="0" xfId="38" applyNumberFormat="1" applyFont="1" applyBorder="1" applyAlignment="1">
      <alignment horizontal="left"/>
    </xf>
    <xf numFmtId="9" fontId="22" fillId="0" borderId="0" xfId="38" applyNumberFormat="1" applyFont="1" applyBorder="1" applyAlignment="1">
      <alignment horizontal="left"/>
    </xf>
    <xf numFmtId="0" fontId="22" fillId="0" borderId="0" xfId="38" applyFont="1" applyBorder="1" applyAlignment="1">
      <alignment horizontal="left"/>
    </xf>
    <xf numFmtId="164" fontId="46" fillId="0" borderId="0" xfId="38" applyNumberFormat="1" applyFont="1" applyFill="1" applyBorder="1" applyAlignment="1">
      <alignment horizontal="left" vertical="center"/>
    </xf>
    <xf numFmtId="2" fontId="29" fillId="0" borderId="12" xfId="38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15" fillId="0" borderId="0" xfId="38" applyBorder="1"/>
    <xf numFmtId="0" fontId="15" fillId="0" borderId="0" xfId="38" applyBorder="1" applyAlignment="1">
      <alignment horizontal="right"/>
    </xf>
    <xf numFmtId="0" fontId="15" fillId="0" borderId="0" xfId="38" applyBorder="1" applyAlignment="1">
      <alignment horizontal="left"/>
    </xf>
    <xf numFmtId="0" fontId="43" fillId="0" borderId="0" xfId="0" applyFont="1" applyBorder="1" applyAlignment="1">
      <alignment horizontal="center"/>
    </xf>
    <xf numFmtId="0" fontId="36" fillId="0" borderId="19" xfId="38" applyFont="1" applyBorder="1"/>
    <xf numFmtId="0" fontId="36" fillId="0" borderId="0" xfId="38" applyFont="1" applyBorder="1"/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/>
    </xf>
    <xf numFmtId="0" fontId="36" fillId="0" borderId="18" xfId="38" applyFont="1" applyBorder="1" applyAlignment="1">
      <alignment horizontal="left"/>
    </xf>
    <xf numFmtId="0" fontId="36" fillId="0" borderId="0" xfId="37" applyFont="1" applyBorder="1" applyAlignment="1" applyProtection="1">
      <alignment horizontal="right" wrapText="1"/>
      <protection locked="0"/>
    </xf>
    <xf numFmtId="0" fontId="36" fillId="0" borderId="19" xfId="37" applyFont="1" applyBorder="1" applyAlignment="1" applyProtection="1">
      <alignment horizontal="right" wrapText="1"/>
      <protection locked="0"/>
    </xf>
    <xf numFmtId="14" fontId="36" fillId="0" borderId="19" xfId="37" applyNumberFormat="1" applyFont="1" applyBorder="1" applyAlignment="1" applyProtection="1">
      <alignment horizontal="left"/>
      <protection locked="0"/>
    </xf>
    <xf numFmtId="0" fontId="36" fillId="0" borderId="19" xfId="37" applyFont="1" applyBorder="1" applyAlignment="1" applyProtection="1">
      <alignment horizontal="left"/>
      <protection locked="0"/>
    </xf>
    <xf numFmtId="0" fontId="36" fillId="0" borderId="19" xfId="38" applyFont="1" applyBorder="1" applyAlignment="1">
      <alignment horizontal="left"/>
    </xf>
    <xf numFmtId="0" fontId="36" fillId="0" borderId="0" xfId="38" applyFont="1" applyBorder="1" applyAlignment="1">
      <alignment horizontal="left"/>
    </xf>
    <xf numFmtId="0" fontId="36" fillId="0" borderId="19" xfId="37" applyFont="1" applyBorder="1" applyAlignment="1">
      <alignment horizontal="right" wrapText="1"/>
    </xf>
    <xf numFmtId="0" fontId="36" fillId="0" borderId="0" xfId="38" applyFont="1" applyBorder="1" applyAlignment="1">
      <alignment horizontal="right"/>
    </xf>
    <xf numFmtId="0" fontId="36" fillId="0" borderId="0" xfId="38" applyFont="1" applyAlignment="1"/>
    <xf numFmtId="0" fontId="36" fillId="0" borderId="0" xfId="38" applyFont="1" applyAlignment="1">
      <alignment horizontal="right"/>
    </xf>
    <xf numFmtId="20" fontId="36" fillId="0" borderId="19" xfId="38" applyNumberFormat="1" applyFont="1" applyBorder="1"/>
    <xf numFmtId="0" fontId="36" fillId="0" borderId="18" xfId="0" applyFont="1" applyBorder="1"/>
    <xf numFmtId="164" fontId="36" fillId="0" borderId="18" xfId="38" applyNumberFormat="1" applyFont="1" applyBorder="1"/>
    <xf numFmtId="164" fontId="36" fillId="0" borderId="0" xfId="38" applyNumberFormat="1" applyFont="1" applyBorder="1" applyAlignment="1">
      <alignment horizontal="right"/>
    </xf>
    <xf numFmtId="0" fontId="38" fillId="0" borderId="19" xfId="37" applyFont="1" applyBorder="1" applyAlignment="1" applyProtection="1">
      <alignment wrapText="1"/>
      <protection locked="0"/>
    </xf>
    <xf numFmtId="0" fontId="38" fillId="0" borderId="19" xfId="37" applyFont="1" applyBorder="1" applyAlignment="1" applyProtection="1">
      <alignment horizontal="right" wrapText="1"/>
      <protection locked="0"/>
    </xf>
    <xf numFmtId="0" fontId="39" fillId="0" borderId="0" xfId="37" applyFont="1" applyBorder="1" applyAlignment="1" applyProtection="1">
      <alignment wrapText="1"/>
      <protection locked="0"/>
    </xf>
    <xf numFmtId="0" fontId="38" fillId="0" borderId="0" xfId="37" applyFont="1" applyBorder="1" applyAlignment="1" applyProtection="1">
      <alignment horizontal="left" wrapText="1"/>
      <protection locked="0"/>
    </xf>
    <xf numFmtId="0" fontId="38" fillId="0" borderId="0" xfId="37" applyFont="1" applyBorder="1" applyAlignment="1" applyProtection="1">
      <alignment horizontal="right" wrapText="1"/>
      <protection locked="0"/>
    </xf>
    <xf numFmtId="0" fontId="38" fillId="0" borderId="0" xfId="37" applyFont="1" applyBorder="1" applyAlignment="1" applyProtection="1">
      <alignment wrapText="1"/>
      <protection locked="0"/>
    </xf>
    <xf numFmtId="0" fontId="36" fillId="0" borderId="0" xfId="38" applyFont="1"/>
    <xf numFmtId="164" fontId="36" fillId="0" borderId="0" xfId="38" applyNumberFormat="1" applyFont="1"/>
    <xf numFmtId="164" fontId="36" fillId="0" borderId="0" xfId="38" applyNumberFormat="1" applyFont="1" applyAlignment="1"/>
    <xf numFmtId="164" fontId="38" fillId="24" borderId="12" xfId="38" applyNumberFormat="1" applyFont="1" applyFill="1" applyBorder="1" applyAlignment="1">
      <alignment horizontal="center" vertical="center"/>
    </xf>
    <xf numFmtId="2" fontId="38" fillId="24" borderId="12" xfId="38" applyNumberFormat="1" applyFont="1" applyFill="1" applyBorder="1" applyAlignment="1">
      <alignment horizontal="center" vertical="center"/>
    </xf>
    <xf numFmtId="0" fontId="36" fillId="0" borderId="10" xfId="38" applyFont="1" applyBorder="1" applyAlignment="1">
      <alignment horizontal="center" vertical="center"/>
    </xf>
    <xf numFmtId="1" fontId="36" fillId="0" borderId="12" xfId="38" applyNumberFormat="1" applyFont="1" applyBorder="1" applyAlignment="1">
      <alignment horizontal="center" vertical="center"/>
    </xf>
    <xf numFmtId="2" fontId="36" fillId="0" borderId="11" xfId="38" applyNumberFormat="1" applyFont="1" applyBorder="1" applyAlignment="1">
      <alignment horizontal="center" vertical="center"/>
    </xf>
    <xf numFmtId="2" fontId="36" fillId="0" borderId="12" xfId="38" applyNumberFormat="1" applyFont="1" applyBorder="1" applyAlignment="1">
      <alignment horizontal="center" vertical="center"/>
    </xf>
    <xf numFmtId="2" fontId="36" fillId="25" borderId="12" xfId="38" applyNumberFormat="1" applyFont="1" applyFill="1" applyBorder="1" applyAlignment="1">
      <alignment horizontal="center" vertical="center"/>
    </xf>
    <xf numFmtId="0" fontId="36" fillId="25" borderId="16" xfId="38" applyFont="1" applyFill="1" applyBorder="1" applyAlignment="1">
      <alignment horizontal="center" vertical="center"/>
    </xf>
    <xf numFmtId="0" fontId="36" fillId="0" borderId="15" xfId="38" applyFont="1" applyBorder="1" applyAlignment="1">
      <alignment horizontal="center" vertical="center"/>
    </xf>
    <xf numFmtId="1" fontId="36" fillId="0" borderId="14" xfId="38" applyNumberFormat="1" applyFont="1" applyBorder="1" applyAlignment="1">
      <alignment horizontal="center" vertical="center"/>
    </xf>
    <xf numFmtId="2" fontId="36" fillId="0" borderId="13" xfId="38" applyNumberFormat="1" applyFont="1" applyBorder="1" applyAlignment="1">
      <alignment horizontal="center" vertical="center"/>
    </xf>
    <xf numFmtId="2" fontId="36" fillId="0" borderId="14" xfId="38" applyNumberFormat="1" applyFont="1" applyBorder="1" applyAlignment="1">
      <alignment horizontal="center" vertical="center"/>
    </xf>
    <xf numFmtId="2" fontId="36" fillId="25" borderId="14" xfId="38" applyNumberFormat="1" applyFont="1" applyFill="1" applyBorder="1" applyAlignment="1">
      <alignment horizontal="center" vertical="center"/>
    </xf>
    <xf numFmtId="0" fontId="36" fillId="25" borderId="17" xfId="38" applyFont="1" applyFill="1" applyBorder="1" applyAlignment="1">
      <alignment horizontal="center" vertical="center"/>
    </xf>
    <xf numFmtId="0" fontId="35" fillId="0" borderId="0" xfId="38" applyFont="1" applyBorder="1" applyAlignment="1">
      <alignment horizontal="left" vertical="center"/>
    </xf>
    <xf numFmtId="1" fontId="36" fillId="0" borderId="0" xfId="38" applyNumberFormat="1" applyFont="1" applyBorder="1" applyAlignment="1">
      <alignment horizontal="center" vertical="center"/>
    </xf>
    <xf numFmtId="2" fontId="36" fillId="0" borderId="0" xfId="38" applyNumberFormat="1" applyFont="1" applyBorder="1" applyAlignment="1">
      <alignment horizontal="center" vertical="center"/>
    </xf>
    <xf numFmtId="0" fontId="36" fillId="0" borderId="0" xfId="38" applyFont="1" applyBorder="1" applyAlignment="1">
      <alignment horizontal="center" vertical="center"/>
    </xf>
    <xf numFmtId="0" fontId="35" fillId="0" borderId="0" xfId="38" applyFont="1" applyBorder="1" applyAlignment="1">
      <alignment horizontal="left" vertical="center" wrapText="1"/>
    </xf>
    <xf numFmtId="2" fontId="36" fillId="0" borderId="0" xfId="38" applyNumberFormat="1" applyFont="1" applyBorder="1" applyAlignment="1">
      <alignment horizontal="right" vertical="center"/>
    </xf>
    <xf numFmtId="0" fontId="38" fillId="24" borderId="34" xfId="38" applyFont="1" applyFill="1" applyBorder="1" applyAlignment="1">
      <alignment horizontal="center" vertical="center"/>
    </xf>
    <xf numFmtId="0" fontId="38" fillId="24" borderId="10" xfId="38" applyFont="1" applyFill="1" applyBorder="1" applyAlignment="1">
      <alignment horizontal="center" vertical="center"/>
    </xf>
    <xf numFmtId="0" fontId="38" fillId="24" borderId="35" xfId="38" applyFont="1" applyFill="1" applyBorder="1" applyAlignment="1">
      <alignment horizontal="center" vertical="center" wrapText="1"/>
    </xf>
    <xf numFmtId="0" fontId="38" fillId="24" borderId="29" xfId="38" applyFont="1" applyFill="1" applyBorder="1" applyAlignment="1">
      <alignment horizontal="center" vertical="center" wrapText="1"/>
    </xf>
    <xf numFmtId="2" fontId="38" fillId="24" borderId="36" xfId="38" applyNumberFormat="1" applyFont="1" applyFill="1" applyBorder="1" applyAlignment="1">
      <alignment horizontal="center" vertical="center"/>
    </xf>
    <xf numFmtId="2" fontId="38" fillId="24" borderId="11" xfId="38" applyNumberFormat="1" applyFont="1" applyFill="1" applyBorder="1" applyAlignment="1">
      <alignment horizontal="center" vertical="center"/>
    </xf>
    <xf numFmtId="164" fontId="38" fillId="24" borderId="37" xfId="38" applyNumberFormat="1" applyFont="1" applyFill="1" applyBorder="1" applyAlignment="1">
      <alignment horizontal="center" vertical="center"/>
    </xf>
    <xf numFmtId="164" fontId="38" fillId="24" borderId="38" xfId="38" applyNumberFormat="1" applyFont="1" applyFill="1" applyBorder="1" applyAlignment="1">
      <alignment horizontal="center" vertical="center"/>
    </xf>
    <xf numFmtId="164" fontId="38" fillId="24" borderId="30" xfId="38" applyNumberFormat="1" applyFont="1" applyFill="1" applyBorder="1" applyAlignment="1">
      <alignment horizontal="center" vertical="center"/>
    </xf>
    <xf numFmtId="0" fontId="38" fillId="0" borderId="39" xfId="37" applyFont="1" applyBorder="1" applyAlignment="1" applyProtection="1">
      <alignment horizontal="right" wrapText="1"/>
      <protection locked="0"/>
    </xf>
    <xf numFmtId="0" fontId="38" fillId="0" borderId="0" xfId="37" applyFont="1" applyBorder="1" applyAlignment="1" applyProtection="1">
      <alignment horizontal="right" wrapText="1"/>
      <protection locked="0"/>
    </xf>
    <xf numFmtId="0" fontId="36" fillId="0" borderId="0" xfId="37" applyFont="1" applyFill="1" applyBorder="1" applyAlignment="1" applyProtection="1">
      <alignment horizontal="right" wrapText="1"/>
      <protection locked="0"/>
    </xf>
    <xf numFmtId="0" fontId="36" fillId="0" borderId="0" xfId="37" applyFont="1" applyBorder="1" applyAlignment="1">
      <alignment horizontal="right" wrapText="1"/>
    </xf>
    <xf numFmtId="0" fontId="36" fillId="0" borderId="0" xfId="38" applyFont="1" applyBorder="1" applyAlignment="1">
      <alignment horizontal="right" wrapText="1"/>
    </xf>
    <xf numFmtId="0" fontId="36" fillId="0" borderId="0" xfId="38" applyFont="1" applyAlignment="1">
      <alignment horizontal="right" wrapText="1"/>
    </xf>
    <xf numFmtId="0" fontId="36" fillId="0" borderId="0" xfId="38" applyFont="1" applyBorder="1" applyAlignment="1">
      <alignment horizontal="right"/>
    </xf>
    <xf numFmtId="164" fontId="44" fillId="0" borderId="0" xfId="37" applyNumberFormat="1" applyFont="1" applyBorder="1" applyAlignment="1">
      <alignment horizontal="center" vertical="center"/>
    </xf>
    <xf numFmtId="164" fontId="38" fillId="0" borderId="0" xfId="37" applyNumberFormat="1" applyFont="1" applyBorder="1" applyAlignment="1">
      <alignment horizontal="center" vertical="center"/>
    </xf>
    <xf numFmtId="0" fontId="36" fillId="0" borderId="0" xfId="37" applyFont="1" applyBorder="1" applyAlignment="1" applyProtection="1">
      <alignment horizontal="right"/>
      <protection locked="0"/>
    </xf>
    <xf numFmtId="0" fontId="45" fillId="0" borderId="11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41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38" fillId="27" borderId="11" xfId="0" applyFont="1" applyFill="1" applyBorder="1" applyAlignment="1">
      <alignment horizontal="right"/>
    </xf>
    <xf numFmtId="0" fontId="38" fillId="27" borderId="43" xfId="0" applyFont="1" applyFill="1" applyBorder="1" applyAlignment="1">
      <alignment horizontal="right"/>
    </xf>
    <xf numFmtId="0" fontId="45" fillId="0" borderId="44" xfId="0" applyFont="1" applyFill="1" applyBorder="1" applyAlignment="1">
      <alignment horizontal="center" vertical="center"/>
    </xf>
    <xf numFmtId="0" fontId="45" fillId="0" borderId="18" xfId="0" applyFont="1" applyFill="1" applyBorder="1" applyAlignment="1">
      <alignment horizontal="center" vertical="center"/>
    </xf>
    <xf numFmtId="0" fontId="45" fillId="0" borderId="40" xfId="0" applyFont="1" applyFill="1" applyBorder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45" fillId="27" borderId="44" xfId="0" applyFont="1" applyFill="1" applyBorder="1" applyAlignment="1">
      <alignment horizontal="center" vertical="center"/>
    </xf>
    <xf numFmtId="0" fontId="45" fillId="27" borderId="18" xfId="0" applyFont="1" applyFill="1" applyBorder="1" applyAlignment="1">
      <alignment horizontal="center" vertical="center"/>
    </xf>
    <xf numFmtId="0" fontId="45" fillId="27" borderId="40" xfId="0" applyFont="1" applyFill="1" applyBorder="1" applyAlignment="1">
      <alignment horizontal="center" vertical="center"/>
    </xf>
    <xf numFmtId="164" fontId="29" fillId="24" borderId="37" xfId="38" applyNumberFormat="1" applyFont="1" applyFill="1" applyBorder="1" applyAlignment="1">
      <alignment horizontal="center" vertical="center"/>
    </xf>
    <xf numFmtId="0" fontId="30" fillId="0" borderId="0" xfId="37" applyFont="1" applyBorder="1" applyAlignment="1" applyProtection="1">
      <alignment horizontal="right"/>
      <protection locked="0"/>
    </xf>
    <xf numFmtId="0" fontId="30" fillId="0" borderId="0" xfId="37" applyFont="1" applyBorder="1" applyAlignment="1">
      <alignment horizontal="right" wrapText="1"/>
    </xf>
    <xf numFmtId="0" fontId="32" fillId="0" borderId="0" xfId="0" applyFont="1" applyBorder="1" applyAlignment="1">
      <alignment horizontal="center"/>
    </xf>
    <xf numFmtId="0" fontId="30" fillId="0" borderId="0" xfId="37" applyFont="1" applyFill="1" applyBorder="1" applyAlignment="1" applyProtection="1">
      <alignment horizontal="right" wrapText="1"/>
      <protection locked="0"/>
    </xf>
    <xf numFmtId="0" fontId="30" fillId="0" borderId="0" xfId="38" applyFont="1" applyBorder="1" applyAlignment="1">
      <alignment horizontal="right" wrapText="1"/>
    </xf>
    <xf numFmtId="0" fontId="30" fillId="0" borderId="0" xfId="38" applyFont="1" applyAlignment="1">
      <alignment horizontal="right" wrapText="1"/>
    </xf>
    <xf numFmtId="164" fontId="29" fillId="24" borderId="38" xfId="38" applyNumberFormat="1" applyFont="1" applyFill="1" applyBorder="1" applyAlignment="1">
      <alignment horizontal="center" vertical="center" wrapText="1"/>
    </xf>
    <xf numFmtId="164" fontId="29" fillId="24" borderId="30" xfId="38" applyNumberFormat="1" applyFont="1" applyFill="1" applyBorder="1" applyAlignment="1">
      <alignment horizontal="center" vertical="center" wrapText="1"/>
    </xf>
    <xf numFmtId="0" fontId="34" fillId="0" borderId="39" xfId="37" applyFont="1" applyBorder="1" applyAlignment="1" applyProtection="1">
      <alignment horizontal="right" vertical="center" wrapText="1"/>
      <protection locked="0"/>
    </xf>
    <xf numFmtId="0" fontId="34" fillId="0" borderId="0" xfId="37" applyFont="1" applyBorder="1" applyAlignment="1" applyProtection="1">
      <alignment horizontal="right" vertical="center" wrapText="1"/>
      <protection locked="0"/>
    </xf>
    <xf numFmtId="2" fontId="29" fillId="24" borderId="35" xfId="38" applyNumberFormat="1" applyFont="1" applyFill="1" applyBorder="1" applyAlignment="1">
      <alignment horizontal="center" vertical="center" wrapText="1"/>
    </xf>
    <xf numFmtId="2" fontId="29" fillId="24" borderId="29" xfId="38" applyNumberFormat="1" applyFont="1" applyFill="1" applyBorder="1" applyAlignment="1">
      <alignment horizontal="center" vertical="center" wrapText="1"/>
    </xf>
    <xf numFmtId="0" fontId="29" fillId="24" borderId="35" xfId="38" applyFont="1" applyFill="1" applyBorder="1" applyAlignment="1">
      <alignment horizontal="center" vertical="center" wrapText="1"/>
    </xf>
    <xf numFmtId="0" fontId="29" fillId="24" borderId="29" xfId="38" applyFont="1" applyFill="1" applyBorder="1" applyAlignment="1">
      <alignment horizontal="center" vertical="center" wrapText="1"/>
    </xf>
    <xf numFmtId="164" fontId="26" fillId="0" borderId="0" xfId="37" applyNumberFormat="1" applyFont="1" applyBorder="1" applyAlignment="1">
      <alignment horizontal="center" vertical="center"/>
    </xf>
    <xf numFmtId="164" fontId="21" fillId="0" borderId="0" xfId="37" applyNumberFormat="1" applyFont="1" applyBorder="1" applyAlignment="1">
      <alignment horizontal="center" vertical="center"/>
    </xf>
    <xf numFmtId="0" fontId="30" fillId="0" borderId="0" xfId="38" applyFont="1" applyBorder="1" applyAlignment="1">
      <alignment horizontal="right"/>
    </xf>
    <xf numFmtId="2" fontId="34" fillId="0" borderId="19" xfId="37" applyNumberFormat="1" applyFont="1" applyBorder="1" applyAlignment="1" applyProtection="1">
      <alignment horizontal="center" wrapText="1"/>
      <protection locked="0"/>
    </xf>
    <xf numFmtId="0" fontId="34" fillId="0" borderId="19" xfId="37" applyFont="1" applyBorder="1" applyAlignment="1" applyProtection="1">
      <alignment horizontal="center" wrapText="1"/>
      <protection locked="0"/>
    </xf>
    <xf numFmtId="0" fontId="29" fillId="24" borderId="34" xfId="38" applyFont="1" applyFill="1" applyBorder="1" applyAlignment="1">
      <alignment horizontal="center" vertical="center"/>
    </xf>
    <xf numFmtId="0" fontId="29" fillId="24" borderId="10" xfId="38" applyFont="1" applyFill="1" applyBorder="1" applyAlignment="1">
      <alignment horizontal="center" vertical="center"/>
    </xf>
    <xf numFmtId="0" fontId="33" fillId="24" borderId="35" xfId="38" applyFont="1" applyFill="1" applyBorder="1" applyAlignment="1">
      <alignment horizontal="center" vertical="center" wrapText="1"/>
    </xf>
    <xf numFmtId="0" fontId="33" fillId="24" borderId="29" xfId="38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ORMethodForm" xfId="37"/>
    <cellStyle name="Normal_Sheet1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workbookViewId="0">
      <selection activeCell="C16" sqref="C16"/>
    </sheetView>
  </sheetViews>
  <sheetFormatPr defaultRowHeight="12.75"/>
  <cols>
    <col min="1" max="2" width="9.140625" style="69"/>
    <col min="3" max="3" width="12" style="69" customWidth="1"/>
    <col min="4" max="4" width="9.140625" style="69"/>
    <col min="5" max="5" width="11.5703125" style="69" customWidth="1"/>
    <col min="6" max="6" width="11" style="69" customWidth="1"/>
    <col min="7" max="7" width="11.28515625" style="69" customWidth="1"/>
    <col min="8" max="8" width="11.85546875" style="69" customWidth="1"/>
    <col min="9" max="9" width="12" style="69" customWidth="1"/>
    <col min="10" max="10" width="10.28515625" style="69" customWidth="1"/>
    <col min="11" max="16384" width="9.140625" style="69"/>
  </cols>
  <sheetData>
    <row r="1" spans="1:10" ht="21.75" customHeight="1">
      <c r="B1" s="215" t="s">
        <v>35</v>
      </c>
      <c r="C1" s="215"/>
      <c r="D1" s="215"/>
      <c r="E1" s="215"/>
      <c r="F1" s="215"/>
      <c r="G1" s="215"/>
      <c r="H1" s="215"/>
      <c r="I1" s="215"/>
      <c r="J1" s="215"/>
    </row>
    <row r="2" spans="1:10" ht="21.75" customHeight="1">
      <c r="B2" s="215" t="s">
        <v>26</v>
      </c>
      <c r="C2" s="215"/>
      <c r="D2" s="215"/>
      <c r="E2" s="215"/>
      <c r="F2" s="215"/>
      <c r="G2" s="215"/>
      <c r="H2" s="215"/>
      <c r="I2" s="215"/>
      <c r="J2" s="215"/>
    </row>
    <row r="3" spans="1:10" ht="15.75">
      <c r="B3" s="216"/>
      <c r="C3" s="216"/>
      <c r="D3" s="216"/>
      <c r="E3" s="216"/>
      <c r="F3" s="216"/>
      <c r="G3" s="216"/>
      <c r="H3" s="216"/>
      <c r="I3" s="216"/>
      <c r="J3" s="216"/>
    </row>
    <row r="4" spans="1:10" ht="15">
      <c r="A4" s="217" t="s">
        <v>0</v>
      </c>
      <c r="B4" s="217"/>
      <c r="C4" s="151"/>
      <c r="D4" s="151"/>
      <c r="E4" s="151"/>
      <c r="F4" s="152"/>
      <c r="G4" s="153" t="s">
        <v>27</v>
      </c>
      <c r="H4" s="71"/>
      <c r="I4" s="154" t="s">
        <v>28</v>
      </c>
      <c r="J4" s="71"/>
    </row>
    <row r="5" spans="1:10" ht="15">
      <c r="A5" s="217" t="s">
        <v>17</v>
      </c>
      <c r="B5" s="217"/>
      <c r="C5" s="155"/>
      <c r="D5" s="155"/>
      <c r="E5" s="155"/>
      <c r="F5" s="152"/>
      <c r="G5" s="156" t="s">
        <v>6</v>
      </c>
      <c r="H5" s="157"/>
      <c r="I5" s="158"/>
      <c r="J5" s="159"/>
    </row>
    <row r="6" spans="1:10" ht="30">
      <c r="A6" s="211" t="s">
        <v>4</v>
      </c>
      <c r="B6" s="211"/>
      <c r="C6" s="155"/>
      <c r="D6" s="155"/>
      <c r="E6" s="155"/>
      <c r="F6" s="152"/>
      <c r="G6" s="156" t="s">
        <v>3</v>
      </c>
      <c r="H6" s="157"/>
      <c r="I6" s="160"/>
      <c r="J6" s="160"/>
    </row>
    <row r="7" spans="1:10" ht="15">
      <c r="A7" s="210" t="s">
        <v>5</v>
      </c>
      <c r="B7" s="210"/>
      <c r="C7" s="161"/>
      <c r="D7" s="161"/>
      <c r="E7" s="161"/>
      <c r="F7" s="211" t="s">
        <v>2</v>
      </c>
      <c r="G7" s="211"/>
      <c r="H7" s="162"/>
      <c r="I7" s="160"/>
      <c r="J7" s="160"/>
    </row>
    <row r="8" spans="1:10" ht="15">
      <c r="A8" s="212" t="s">
        <v>15</v>
      </c>
      <c r="B8" s="212"/>
      <c r="C8" s="155"/>
      <c r="D8" s="155"/>
      <c r="E8" s="155"/>
      <c r="F8" s="213" t="s">
        <v>13</v>
      </c>
      <c r="G8" s="213"/>
      <c r="H8" s="151"/>
      <c r="I8" s="163" t="s">
        <v>14</v>
      </c>
      <c r="J8" s="151"/>
    </row>
    <row r="9" spans="1:10" ht="15">
      <c r="A9" s="213" t="s">
        <v>11</v>
      </c>
      <c r="B9" s="213"/>
      <c r="C9" s="164"/>
      <c r="D9" s="155"/>
      <c r="E9" s="155"/>
      <c r="F9" s="152"/>
      <c r="G9" s="165" t="s">
        <v>7</v>
      </c>
      <c r="H9" s="166"/>
      <c r="I9" s="163" t="s">
        <v>79</v>
      </c>
      <c r="J9" s="166"/>
    </row>
    <row r="10" spans="1:10" ht="15">
      <c r="A10" s="214" t="s">
        <v>12</v>
      </c>
      <c r="B10" s="214"/>
      <c r="C10" s="167"/>
      <c r="D10" s="167"/>
      <c r="E10" s="167"/>
      <c r="F10" s="152"/>
      <c r="G10" s="163" t="s">
        <v>9</v>
      </c>
      <c r="H10" s="168"/>
      <c r="I10" s="169" t="s">
        <v>10</v>
      </c>
      <c r="J10" s="168"/>
    </row>
    <row r="11" spans="1:10" ht="15.75">
      <c r="B11" s="66"/>
      <c r="C11" s="66"/>
      <c r="D11" s="208" t="s">
        <v>29</v>
      </c>
      <c r="E11" s="208"/>
      <c r="F11" s="170"/>
      <c r="G11" s="171"/>
      <c r="H11" s="172" t="s">
        <v>30</v>
      </c>
      <c r="I11" s="66"/>
      <c r="J11" s="173"/>
    </row>
    <row r="12" spans="1:10" ht="15.75">
      <c r="B12" s="66"/>
      <c r="C12" s="66"/>
      <c r="D12" s="209" t="s">
        <v>31</v>
      </c>
      <c r="E12" s="209"/>
      <c r="F12" s="175"/>
      <c r="G12" s="174"/>
      <c r="H12" s="175"/>
      <c r="I12" s="66"/>
      <c r="J12" s="173"/>
    </row>
    <row r="13" spans="1:10" ht="15.75" thickBot="1">
      <c r="B13" s="176"/>
      <c r="C13" s="177"/>
      <c r="D13" s="177"/>
      <c r="E13" s="177"/>
      <c r="F13" s="177"/>
      <c r="G13" s="177"/>
      <c r="H13" s="177"/>
      <c r="I13" s="177"/>
      <c r="J13" s="178"/>
    </row>
    <row r="14" spans="1:10" ht="15.75">
      <c r="B14" s="199" t="s">
        <v>1</v>
      </c>
      <c r="C14" s="201" t="s">
        <v>21</v>
      </c>
      <c r="D14" s="201" t="s">
        <v>23</v>
      </c>
      <c r="E14" s="203" t="s">
        <v>22</v>
      </c>
      <c r="F14" s="205" t="s">
        <v>24</v>
      </c>
      <c r="G14" s="205"/>
      <c r="H14" s="205"/>
      <c r="I14" s="205"/>
      <c r="J14" s="206" t="s">
        <v>32</v>
      </c>
    </row>
    <row r="15" spans="1:10" ht="15.75">
      <c r="B15" s="200"/>
      <c r="C15" s="202"/>
      <c r="D15" s="202"/>
      <c r="E15" s="204"/>
      <c r="F15" s="179">
        <v>0.6</v>
      </c>
      <c r="G15" s="179">
        <v>0.2</v>
      </c>
      <c r="H15" s="179">
        <v>0.8</v>
      </c>
      <c r="I15" s="180" t="s">
        <v>33</v>
      </c>
      <c r="J15" s="207"/>
    </row>
    <row r="16" spans="1:10" ht="15">
      <c r="B16" s="181">
        <v>1</v>
      </c>
      <c r="C16" s="182"/>
      <c r="D16" s="182"/>
      <c r="E16" s="183"/>
      <c r="F16" s="184"/>
      <c r="G16" s="184"/>
      <c r="H16" s="184"/>
      <c r="I16" s="185"/>
      <c r="J16" s="186"/>
    </row>
    <row r="17" spans="2:10" ht="15">
      <c r="B17" s="181">
        <v>2</v>
      </c>
      <c r="C17" s="182"/>
      <c r="D17" s="182"/>
      <c r="E17" s="183"/>
      <c r="F17" s="184"/>
      <c r="G17" s="184"/>
      <c r="H17" s="184"/>
      <c r="I17" s="185"/>
      <c r="J17" s="186"/>
    </row>
    <row r="18" spans="2:10" ht="15">
      <c r="B18" s="181">
        <v>3</v>
      </c>
      <c r="C18" s="182"/>
      <c r="D18" s="182"/>
      <c r="E18" s="183"/>
      <c r="F18" s="184"/>
      <c r="G18" s="184"/>
      <c r="H18" s="184"/>
      <c r="I18" s="185"/>
      <c r="J18" s="186"/>
    </row>
    <row r="19" spans="2:10" ht="15">
      <c r="B19" s="181">
        <v>4</v>
      </c>
      <c r="C19" s="182"/>
      <c r="D19" s="182"/>
      <c r="E19" s="183"/>
      <c r="F19" s="184"/>
      <c r="G19" s="184"/>
      <c r="H19" s="184"/>
      <c r="I19" s="185"/>
      <c r="J19" s="186"/>
    </row>
    <row r="20" spans="2:10" ht="15">
      <c r="B20" s="181">
        <v>5</v>
      </c>
      <c r="C20" s="182"/>
      <c r="D20" s="182"/>
      <c r="E20" s="183"/>
      <c r="F20" s="184"/>
      <c r="G20" s="184"/>
      <c r="H20" s="184"/>
      <c r="I20" s="185"/>
      <c r="J20" s="186"/>
    </row>
    <row r="21" spans="2:10" ht="15">
      <c r="B21" s="181">
        <v>6</v>
      </c>
      <c r="C21" s="182"/>
      <c r="D21" s="182"/>
      <c r="E21" s="183"/>
      <c r="F21" s="184"/>
      <c r="G21" s="184"/>
      <c r="H21" s="184"/>
      <c r="I21" s="185"/>
      <c r="J21" s="186"/>
    </row>
    <row r="22" spans="2:10" ht="15">
      <c r="B22" s="181">
        <v>7</v>
      </c>
      <c r="C22" s="182"/>
      <c r="D22" s="182"/>
      <c r="E22" s="183"/>
      <c r="F22" s="184"/>
      <c r="G22" s="184"/>
      <c r="H22" s="184"/>
      <c r="I22" s="185"/>
      <c r="J22" s="186"/>
    </row>
    <row r="23" spans="2:10" ht="15">
      <c r="B23" s="181">
        <v>8</v>
      </c>
      <c r="C23" s="182"/>
      <c r="D23" s="182"/>
      <c r="E23" s="183"/>
      <c r="F23" s="184"/>
      <c r="G23" s="184"/>
      <c r="H23" s="184"/>
      <c r="I23" s="185"/>
      <c r="J23" s="186"/>
    </row>
    <row r="24" spans="2:10" ht="15">
      <c r="B24" s="181">
        <v>9</v>
      </c>
      <c r="C24" s="182"/>
      <c r="D24" s="182"/>
      <c r="E24" s="183"/>
      <c r="F24" s="184"/>
      <c r="G24" s="184"/>
      <c r="H24" s="184"/>
      <c r="I24" s="185"/>
      <c r="J24" s="186"/>
    </row>
    <row r="25" spans="2:10" ht="15">
      <c r="B25" s="181">
        <v>10</v>
      </c>
      <c r="C25" s="182"/>
      <c r="D25" s="182"/>
      <c r="E25" s="183"/>
      <c r="F25" s="184"/>
      <c r="G25" s="184"/>
      <c r="H25" s="184"/>
      <c r="I25" s="185"/>
      <c r="J25" s="186"/>
    </row>
    <row r="26" spans="2:10" ht="15">
      <c r="B26" s="181">
        <v>11</v>
      </c>
      <c r="C26" s="182"/>
      <c r="D26" s="182"/>
      <c r="E26" s="183"/>
      <c r="F26" s="184"/>
      <c r="G26" s="184"/>
      <c r="H26" s="184"/>
      <c r="I26" s="185"/>
      <c r="J26" s="186"/>
    </row>
    <row r="27" spans="2:10" ht="15">
      <c r="B27" s="181">
        <v>12</v>
      </c>
      <c r="C27" s="182"/>
      <c r="D27" s="182"/>
      <c r="E27" s="183"/>
      <c r="F27" s="184"/>
      <c r="G27" s="184"/>
      <c r="H27" s="184"/>
      <c r="I27" s="185"/>
      <c r="J27" s="186"/>
    </row>
    <row r="28" spans="2:10" ht="15">
      <c r="B28" s="181">
        <v>13</v>
      </c>
      <c r="C28" s="182"/>
      <c r="D28" s="182"/>
      <c r="E28" s="183"/>
      <c r="F28" s="184"/>
      <c r="G28" s="184"/>
      <c r="H28" s="184"/>
      <c r="I28" s="185"/>
      <c r="J28" s="186"/>
    </row>
    <row r="29" spans="2:10" ht="15">
      <c r="B29" s="181">
        <v>14</v>
      </c>
      <c r="C29" s="182"/>
      <c r="D29" s="182"/>
      <c r="E29" s="183"/>
      <c r="F29" s="184"/>
      <c r="G29" s="184"/>
      <c r="H29" s="184"/>
      <c r="I29" s="185"/>
      <c r="J29" s="186"/>
    </row>
    <row r="30" spans="2:10" ht="15">
      <c r="B30" s="181">
        <v>15</v>
      </c>
      <c r="C30" s="182"/>
      <c r="D30" s="182"/>
      <c r="E30" s="183"/>
      <c r="F30" s="184"/>
      <c r="G30" s="184"/>
      <c r="H30" s="184"/>
      <c r="I30" s="185"/>
      <c r="J30" s="186"/>
    </row>
    <row r="31" spans="2:10" ht="15">
      <c r="B31" s="181">
        <v>16</v>
      </c>
      <c r="C31" s="182"/>
      <c r="D31" s="182"/>
      <c r="E31" s="183"/>
      <c r="F31" s="184"/>
      <c r="G31" s="184"/>
      <c r="H31" s="184"/>
      <c r="I31" s="185"/>
      <c r="J31" s="186"/>
    </row>
    <row r="32" spans="2:10" ht="15">
      <c r="B32" s="181">
        <v>17</v>
      </c>
      <c r="C32" s="182"/>
      <c r="D32" s="182"/>
      <c r="E32" s="183"/>
      <c r="F32" s="184"/>
      <c r="G32" s="184"/>
      <c r="H32" s="184"/>
      <c r="I32" s="185"/>
      <c r="J32" s="186"/>
    </row>
    <row r="33" spans="2:10" ht="15">
      <c r="B33" s="181">
        <v>18</v>
      </c>
      <c r="C33" s="182"/>
      <c r="D33" s="182"/>
      <c r="E33" s="183"/>
      <c r="F33" s="184"/>
      <c r="G33" s="184"/>
      <c r="H33" s="184"/>
      <c r="I33" s="185"/>
      <c r="J33" s="186"/>
    </row>
    <row r="34" spans="2:10" ht="15">
      <c r="B34" s="181">
        <v>19</v>
      </c>
      <c r="C34" s="182"/>
      <c r="D34" s="182"/>
      <c r="E34" s="183"/>
      <c r="F34" s="184"/>
      <c r="G34" s="184"/>
      <c r="H34" s="184"/>
      <c r="I34" s="185"/>
      <c r="J34" s="186"/>
    </row>
    <row r="35" spans="2:10" ht="15">
      <c r="B35" s="181">
        <v>20</v>
      </c>
      <c r="C35" s="182"/>
      <c r="D35" s="182"/>
      <c r="E35" s="183"/>
      <c r="F35" s="184"/>
      <c r="G35" s="184"/>
      <c r="H35" s="184"/>
      <c r="I35" s="185"/>
      <c r="J35" s="186"/>
    </row>
    <row r="36" spans="2:10" ht="15">
      <c r="B36" s="181">
        <v>21</v>
      </c>
      <c r="C36" s="182"/>
      <c r="D36" s="182"/>
      <c r="E36" s="183"/>
      <c r="F36" s="184"/>
      <c r="G36" s="184"/>
      <c r="H36" s="184"/>
      <c r="I36" s="185"/>
      <c r="J36" s="186"/>
    </row>
    <row r="37" spans="2:10" ht="15">
      <c r="B37" s="181">
        <v>22</v>
      </c>
      <c r="C37" s="182"/>
      <c r="D37" s="182"/>
      <c r="E37" s="183"/>
      <c r="F37" s="184"/>
      <c r="G37" s="184"/>
      <c r="H37" s="184"/>
      <c r="I37" s="185"/>
      <c r="J37" s="186"/>
    </row>
    <row r="38" spans="2:10" ht="15">
      <c r="B38" s="181">
        <v>23</v>
      </c>
      <c r="C38" s="182"/>
      <c r="D38" s="182"/>
      <c r="E38" s="183"/>
      <c r="F38" s="184"/>
      <c r="G38" s="184"/>
      <c r="H38" s="184"/>
      <c r="I38" s="185"/>
      <c r="J38" s="186"/>
    </row>
    <row r="39" spans="2:10" ht="15">
      <c r="B39" s="181">
        <v>24</v>
      </c>
      <c r="C39" s="182"/>
      <c r="D39" s="182"/>
      <c r="E39" s="183"/>
      <c r="F39" s="184"/>
      <c r="G39" s="184"/>
      <c r="H39" s="184"/>
      <c r="I39" s="185"/>
      <c r="J39" s="186"/>
    </row>
    <row r="40" spans="2:10" ht="15">
      <c r="B40" s="181">
        <v>25</v>
      </c>
      <c r="C40" s="182"/>
      <c r="D40" s="182"/>
      <c r="E40" s="183"/>
      <c r="F40" s="184"/>
      <c r="G40" s="184"/>
      <c r="H40" s="184"/>
      <c r="I40" s="185"/>
      <c r="J40" s="186"/>
    </row>
    <row r="41" spans="2:10" ht="15">
      <c r="B41" s="181">
        <v>26</v>
      </c>
      <c r="C41" s="182"/>
      <c r="D41" s="182"/>
      <c r="E41" s="183"/>
      <c r="F41" s="184"/>
      <c r="G41" s="184"/>
      <c r="H41" s="184"/>
      <c r="I41" s="185"/>
      <c r="J41" s="186"/>
    </row>
    <row r="42" spans="2:10" ht="15">
      <c r="B42" s="181">
        <v>27</v>
      </c>
      <c r="C42" s="182"/>
      <c r="D42" s="182"/>
      <c r="E42" s="183"/>
      <c r="F42" s="184"/>
      <c r="G42" s="184"/>
      <c r="H42" s="184"/>
      <c r="I42" s="185"/>
      <c r="J42" s="186"/>
    </row>
    <row r="43" spans="2:10" ht="15">
      <c r="B43" s="181">
        <v>28</v>
      </c>
      <c r="C43" s="182"/>
      <c r="D43" s="182"/>
      <c r="E43" s="183"/>
      <c r="F43" s="184"/>
      <c r="G43" s="184"/>
      <c r="H43" s="184"/>
      <c r="I43" s="185"/>
      <c r="J43" s="186"/>
    </row>
    <row r="44" spans="2:10" ht="15">
      <c r="B44" s="181">
        <v>29</v>
      </c>
      <c r="C44" s="182"/>
      <c r="D44" s="182"/>
      <c r="E44" s="183"/>
      <c r="F44" s="184"/>
      <c r="G44" s="184"/>
      <c r="H44" s="184"/>
      <c r="I44" s="185"/>
      <c r="J44" s="186"/>
    </row>
    <row r="45" spans="2:10" ht="15.75" thickBot="1">
      <c r="B45" s="187">
        <v>30</v>
      </c>
      <c r="C45" s="188"/>
      <c r="D45" s="188"/>
      <c r="E45" s="189"/>
      <c r="F45" s="190"/>
      <c r="G45" s="190"/>
      <c r="H45" s="190"/>
      <c r="I45" s="191"/>
      <c r="J45" s="192"/>
    </row>
    <row r="46" spans="2:10" ht="15">
      <c r="B46" s="193" t="s">
        <v>34</v>
      </c>
      <c r="C46" s="194"/>
      <c r="D46" s="194"/>
      <c r="E46" s="195"/>
      <c r="F46" s="195"/>
      <c r="G46" s="195"/>
      <c r="H46" s="195"/>
      <c r="I46" s="195"/>
      <c r="J46" s="196"/>
    </row>
    <row r="47" spans="2:10" ht="55.5" customHeight="1">
      <c r="B47" s="197" t="s">
        <v>81</v>
      </c>
      <c r="C47" s="197"/>
      <c r="D47" s="197"/>
      <c r="E47" s="197"/>
      <c r="F47" s="197"/>
      <c r="G47" s="197"/>
      <c r="H47" s="197"/>
      <c r="I47" s="197"/>
      <c r="J47" s="197"/>
    </row>
    <row r="48" spans="2:10" ht="19.5" customHeight="1" thickBot="1">
      <c r="B48" s="196"/>
      <c r="C48" s="194"/>
      <c r="D48" s="194"/>
      <c r="E48" s="195"/>
      <c r="F48" s="195"/>
      <c r="G48" s="195"/>
      <c r="H48" s="198" t="s">
        <v>80</v>
      </c>
      <c r="I48" s="198"/>
      <c r="J48" s="198"/>
    </row>
    <row r="49" spans="2:10" ht="15.75">
      <c r="B49" s="199" t="s">
        <v>1</v>
      </c>
      <c r="C49" s="201" t="s">
        <v>21</v>
      </c>
      <c r="D49" s="201" t="s">
        <v>23</v>
      </c>
      <c r="E49" s="203" t="s">
        <v>22</v>
      </c>
      <c r="F49" s="205" t="s">
        <v>24</v>
      </c>
      <c r="G49" s="205"/>
      <c r="H49" s="205"/>
      <c r="I49" s="205"/>
      <c r="J49" s="206" t="s">
        <v>32</v>
      </c>
    </row>
    <row r="50" spans="2:10" ht="15.75">
      <c r="B50" s="200"/>
      <c r="C50" s="202"/>
      <c r="D50" s="202"/>
      <c r="E50" s="204"/>
      <c r="F50" s="179">
        <v>0.6</v>
      </c>
      <c r="G50" s="179">
        <v>0.2</v>
      </c>
      <c r="H50" s="179">
        <v>0.8</v>
      </c>
      <c r="I50" s="180" t="s">
        <v>33</v>
      </c>
      <c r="J50" s="207"/>
    </row>
    <row r="51" spans="2:10" ht="15">
      <c r="B51" s="181">
        <v>31</v>
      </c>
      <c r="C51" s="182"/>
      <c r="D51" s="182"/>
      <c r="E51" s="183"/>
      <c r="F51" s="184"/>
      <c r="G51" s="184"/>
      <c r="H51" s="184"/>
      <c r="I51" s="185"/>
      <c r="J51" s="186"/>
    </row>
    <row r="52" spans="2:10" ht="15">
      <c r="B52" s="181">
        <v>32</v>
      </c>
      <c r="C52" s="182"/>
      <c r="D52" s="182"/>
      <c r="E52" s="183"/>
      <c r="F52" s="184"/>
      <c r="G52" s="184"/>
      <c r="H52" s="184"/>
      <c r="I52" s="185"/>
      <c r="J52" s="186"/>
    </row>
    <row r="53" spans="2:10" ht="15">
      <c r="B53" s="181">
        <v>33</v>
      </c>
      <c r="C53" s="182"/>
      <c r="D53" s="182"/>
      <c r="E53" s="183"/>
      <c r="F53" s="184"/>
      <c r="G53" s="184"/>
      <c r="H53" s="184"/>
      <c r="I53" s="185"/>
      <c r="J53" s="186"/>
    </row>
    <row r="54" spans="2:10" ht="15">
      <c r="B54" s="181">
        <v>34</v>
      </c>
      <c r="C54" s="182"/>
      <c r="D54" s="182"/>
      <c r="E54" s="183"/>
      <c r="F54" s="184"/>
      <c r="G54" s="184"/>
      <c r="H54" s="184"/>
      <c r="I54" s="185"/>
      <c r="J54" s="186"/>
    </row>
    <row r="55" spans="2:10" ht="15">
      <c r="B55" s="181">
        <v>35</v>
      </c>
      <c r="C55" s="182"/>
      <c r="D55" s="182"/>
      <c r="E55" s="183"/>
      <c r="F55" s="184"/>
      <c r="G55" s="184"/>
      <c r="H55" s="184"/>
      <c r="I55" s="185"/>
      <c r="J55" s="186"/>
    </row>
    <row r="56" spans="2:10" ht="15">
      <c r="B56" s="181">
        <v>36</v>
      </c>
      <c r="C56" s="182"/>
      <c r="D56" s="182"/>
      <c r="E56" s="183"/>
      <c r="F56" s="184"/>
      <c r="G56" s="184"/>
      <c r="H56" s="184"/>
      <c r="I56" s="185"/>
      <c r="J56" s="186"/>
    </row>
    <row r="57" spans="2:10" ht="15">
      <c r="B57" s="181">
        <v>37</v>
      </c>
      <c r="C57" s="182"/>
      <c r="D57" s="182"/>
      <c r="E57" s="183"/>
      <c r="F57" s="184"/>
      <c r="G57" s="184"/>
      <c r="H57" s="184"/>
      <c r="I57" s="185"/>
      <c r="J57" s="186"/>
    </row>
    <row r="58" spans="2:10" ht="15">
      <c r="B58" s="181">
        <v>38</v>
      </c>
      <c r="C58" s="182"/>
      <c r="D58" s="182"/>
      <c r="E58" s="183"/>
      <c r="F58" s="184"/>
      <c r="G58" s="184"/>
      <c r="H58" s="184"/>
      <c r="I58" s="185"/>
      <c r="J58" s="186"/>
    </row>
    <row r="59" spans="2:10" ht="15">
      <c r="B59" s="181">
        <v>39</v>
      </c>
      <c r="C59" s="182"/>
      <c r="D59" s="182"/>
      <c r="E59" s="183"/>
      <c r="F59" s="184"/>
      <c r="G59" s="184"/>
      <c r="H59" s="184"/>
      <c r="I59" s="185"/>
      <c r="J59" s="186"/>
    </row>
    <row r="60" spans="2:10" ht="15">
      <c r="B60" s="181">
        <v>40</v>
      </c>
      <c r="C60" s="182"/>
      <c r="D60" s="182"/>
      <c r="E60" s="183"/>
      <c r="F60" s="184"/>
      <c r="G60" s="184"/>
      <c r="H60" s="184"/>
      <c r="I60" s="185"/>
      <c r="J60" s="186"/>
    </row>
    <row r="61" spans="2:10" ht="15">
      <c r="B61" s="181">
        <v>41</v>
      </c>
      <c r="C61" s="182"/>
      <c r="D61" s="182"/>
      <c r="E61" s="183"/>
      <c r="F61" s="184"/>
      <c r="G61" s="184"/>
      <c r="H61" s="184"/>
      <c r="I61" s="185"/>
      <c r="J61" s="186"/>
    </row>
    <row r="62" spans="2:10" ht="15">
      <c r="B62" s="181">
        <v>42</v>
      </c>
      <c r="C62" s="182"/>
      <c r="D62" s="182"/>
      <c r="E62" s="183"/>
      <c r="F62" s="184"/>
      <c r="G62" s="184"/>
      <c r="H62" s="184"/>
      <c r="I62" s="185"/>
      <c r="J62" s="186"/>
    </row>
    <row r="63" spans="2:10" ht="15">
      <c r="B63" s="181">
        <v>43</v>
      </c>
      <c r="C63" s="182"/>
      <c r="D63" s="182"/>
      <c r="E63" s="183"/>
      <c r="F63" s="184"/>
      <c r="G63" s="184"/>
      <c r="H63" s="184"/>
      <c r="I63" s="185"/>
      <c r="J63" s="186"/>
    </row>
    <row r="64" spans="2:10" ht="15">
      <c r="B64" s="181">
        <v>44</v>
      </c>
      <c r="C64" s="182"/>
      <c r="D64" s="182"/>
      <c r="E64" s="183"/>
      <c r="F64" s="184"/>
      <c r="G64" s="184"/>
      <c r="H64" s="184"/>
      <c r="I64" s="185"/>
      <c r="J64" s="186"/>
    </row>
    <row r="65" spans="2:10" ht="15">
      <c r="B65" s="181">
        <v>45</v>
      </c>
      <c r="C65" s="182"/>
      <c r="D65" s="182"/>
      <c r="E65" s="183"/>
      <c r="F65" s="184"/>
      <c r="G65" s="184"/>
      <c r="H65" s="184"/>
      <c r="I65" s="185"/>
      <c r="J65" s="186"/>
    </row>
    <row r="66" spans="2:10" ht="15">
      <c r="B66" s="181">
        <v>46</v>
      </c>
      <c r="C66" s="182"/>
      <c r="D66" s="182"/>
      <c r="E66" s="183"/>
      <c r="F66" s="184"/>
      <c r="G66" s="184"/>
      <c r="H66" s="184"/>
      <c r="I66" s="185"/>
      <c r="J66" s="186"/>
    </row>
    <row r="67" spans="2:10" ht="15">
      <c r="B67" s="181">
        <v>47</v>
      </c>
      <c r="C67" s="182"/>
      <c r="D67" s="182"/>
      <c r="E67" s="183"/>
      <c r="F67" s="184"/>
      <c r="G67" s="184"/>
      <c r="H67" s="184"/>
      <c r="I67" s="185"/>
      <c r="J67" s="186"/>
    </row>
    <row r="68" spans="2:10" ht="15">
      <c r="B68" s="181">
        <v>48</v>
      </c>
      <c r="C68" s="182"/>
      <c r="D68" s="182"/>
      <c r="E68" s="183"/>
      <c r="F68" s="184"/>
      <c r="G68" s="184"/>
      <c r="H68" s="184"/>
      <c r="I68" s="185"/>
      <c r="J68" s="186"/>
    </row>
    <row r="69" spans="2:10" ht="15">
      <c r="B69" s="181">
        <v>49</v>
      </c>
      <c r="C69" s="182"/>
      <c r="D69" s="182"/>
      <c r="E69" s="183"/>
      <c r="F69" s="184"/>
      <c r="G69" s="184"/>
      <c r="H69" s="184"/>
      <c r="I69" s="185"/>
      <c r="J69" s="186"/>
    </row>
    <row r="70" spans="2:10" ht="15">
      <c r="B70" s="181">
        <v>50</v>
      </c>
      <c r="C70" s="182"/>
      <c r="D70" s="182"/>
      <c r="E70" s="183"/>
      <c r="F70" s="184"/>
      <c r="G70" s="184"/>
      <c r="H70" s="184"/>
      <c r="I70" s="185"/>
      <c r="J70" s="186"/>
    </row>
    <row r="71" spans="2:10" ht="15">
      <c r="B71" s="181">
        <v>51</v>
      </c>
      <c r="C71" s="182"/>
      <c r="D71" s="182"/>
      <c r="E71" s="183"/>
      <c r="F71" s="184"/>
      <c r="G71" s="184"/>
      <c r="H71" s="184"/>
      <c r="I71" s="185"/>
      <c r="J71" s="186"/>
    </row>
    <row r="72" spans="2:10" ht="15">
      <c r="B72" s="181">
        <v>52</v>
      </c>
      <c r="C72" s="182"/>
      <c r="D72" s="182"/>
      <c r="E72" s="183"/>
      <c r="F72" s="184"/>
      <c r="G72" s="184"/>
      <c r="H72" s="184"/>
      <c r="I72" s="185"/>
      <c r="J72" s="186"/>
    </row>
    <row r="73" spans="2:10" ht="15">
      <c r="B73" s="181">
        <v>53</v>
      </c>
      <c r="C73" s="182"/>
      <c r="D73" s="182"/>
      <c r="E73" s="183"/>
      <c r="F73" s="184"/>
      <c r="G73" s="184"/>
      <c r="H73" s="184"/>
      <c r="I73" s="185"/>
      <c r="J73" s="186"/>
    </row>
    <row r="74" spans="2:10" ht="15">
      <c r="B74" s="181">
        <v>54</v>
      </c>
      <c r="C74" s="182"/>
      <c r="D74" s="182"/>
      <c r="E74" s="183"/>
      <c r="F74" s="184"/>
      <c r="G74" s="184"/>
      <c r="H74" s="184"/>
      <c r="I74" s="185"/>
      <c r="J74" s="186"/>
    </row>
    <row r="75" spans="2:10" ht="15">
      <c r="B75" s="181">
        <v>55</v>
      </c>
      <c r="C75" s="182"/>
      <c r="D75" s="182"/>
      <c r="E75" s="183"/>
      <c r="F75" s="184"/>
      <c r="G75" s="184"/>
      <c r="H75" s="184"/>
      <c r="I75" s="185"/>
      <c r="J75" s="186"/>
    </row>
    <row r="76" spans="2:10" ht="15">
      <c r="B76" s="181">
        <v>56</v>
      </c>
      <c r="C76" s="182"/>
      <c r="D76" s="182"/>
      <c r="E76" s="183"/>
      <c r="F76" s="184"/>
      <c r="G76" s="184"/>
      <c r="H76" s="184"/>
      <c r="I76" s="185"/>
      <c r="J76" s="186"/>
    </row>
    <row r="77" spans="2:10" ht="15">
      <c r="B77" s="181">
        <v>57</v>
      </c>
      <c r="C77" s="182"/>
      <c r="D77" s="182"/>
      <c r="E77" s="183"/>
      <c r="F77" s="184"/>
      <c r="G77" s="184"/>
      <c r="H77" s="184"/>
      <c r="I77" s="185"/>
      <c r="J77" s="186"/>
    </row>
    <row r="78" spans="2:10" ht="15">
      <c r="B78" s="181">
        <v>58</v>
      </c>
      <c r="C78" s="182"/>
      <c r="D78" s="182"/>
      <c r="E78" s="183"/>
      <c r="F78" s="184"/>
      <c r="G78" s="184"/>
      <c r="H78" s="184"/>
      <c r="I78" s="185"/>
      <c r="J78" s="186"/>
    </row>
    <row r="79" spans="2:10" ht="15">
      <c r="B79" s="181">
        <v>59</v>
      </c>
      <c r="C79" s="182"/>
      <c r="D79" s="182"/>
      <c r="E79" s="183"/>
      <c r="F79" s="184"/>
      <c r="G79" s="184"/>
      <c r="H79" s="184"/>
      <c r="I79" s="185"/>
      <c r="J79" s="186"/>
    </row>
    <row r="80" spans="2:10" ht="15">
      <c r="B80" s="181">
        <v>60</v>
      </c>
      <c r="C80" s="182"/>
      <c r="D80" s="182"/>
      <c r="E80" s="183"/>
      <c r="F80" s="184"/>
      <c r="G80" s="184"/>
      <c r="H80" s="184"/>
      <c r="I80" s="185"/>
      <c r="J80" s="186"/>
    </row>
    <row r="81" spans="2:10" ht="15">
      <c r="B81" s="181">
        <v>61</v>
      </c>
      <c r="C81" s="182"/>
      <c r="D81" s="182"/>
      <c r="E81" s="183"/>
      <c r="F81" s="184"/>
      <c r="G81" s="184"/>
      <c r="H81" s="184"/>
      <c r="I81" s="185"/>
      <c r="J81" s="186"/>
    </row>
    <row r="82" spans="2:10" ht="15">
      <c r="B82" s="181">
        <v>62</v>
      </c>
      <c r="C82" s="182"/>
      <c r="D82" s="182"/>
      <c r="E82" s="183"/>
      <c r="F82" s="184"/>
      <c r="G82" s="184"/>
      <c r="H82" s="184"/>
      <c r="I82" s="185"/>
      <c r="J82" s="186"/>
    </row>
    <row r="83" spans="2:10" ht="15">
      <c r="B83" s="181">
        <v>63</v>
      </c>
      <c r="C83" s="182"/>
      <c r="D83" s="182"/>
      <c r="E83" s="183"/>
      <c r="F83" s="184"/>
      <c r="G83" s="184"/>
      <c r="H83" s="184"/>
      <c r="I83" s="185"/>
      <c r="J83" s="186"/>
    </row>
    <row r="84" spans="2:10" ht="15">
      <c r="B84" s="181">
        <v>64</v>
      </c>
      <c r="C84" s="182"/>
      <c r="D84" s="182"/>
      <c r="E84" s="183"/>
      <c r="F84" s="184"/>
      <c r="G84" s="184"/>
      <c r="H84" s="184"/>
      <c r="I84" s="185"/>
      <c r="J84" s="186"/>
    </row>
    <row r="85" spans="2:10" ht="15">
      <c r="B85" s="181">
        <v>65</v>
      </c>
      <c r="C85" s="182"/>
      <c r="D85" s="182"/>
      <c r="E85" s="183"/>
      <c r="F85" s="184"/>
      <c r="G85" s="184"/>
      <c r="H85" s="184"/>
      <c r="I85" s="185"/>
      <c r="J85" s="186"/>
    </row>
    <row r="86" spans="2:10" ht="15">
      <c r="B86" s="181">
        <v>66</v>
      </c>
      <c r="C86" s="182"/>
      <c r="D86" s="182"/>
      <c r="E86" s="183"/>
      <c r="F86" s="184"/>
      <c r="G86" s="184"/>
      <c r="H86" s="184"/>
      <c r="I86" s="185"/>
      <c r="J86" s="186"/>
    </row>
    <row r="87" spans="2:10" ht="15">
      <c r="B87" s="181">
        <v>67</v>
      </c>
      <c r="C87" s="182"/>
      <c r="D87" s="182"/>
      <c r="E87" s="183"/>
      <c r="F87" s="184"/>
      <c r="G87" s="184"/>
      <c r="H87" s="184"/>
      <c r="I87" s="185"/>
      <c r="J87" s="186"/>
    </row>
    <row r="88" spans="2:10" ht="15">
      <c r="B88" s="181">
        <v>68</v>
      </c>
      <c r="C88" s="182"/>
      <c r="D88" s="182"/>
      <c r="E88" s="183"/>
      <c r="F88" s="184"/>
      <c r="G88" s="184"/>
      <c r="H88" s="184"/>
      <c r="I88" s="185"/>
      <c r="J88" s="186"/>
    </row>
    <row r="89" spans="2:10" ht="15.75" thickBot="1">
      <c r="B89" s="187">
        <v>69</v>
      </c>
      <c r="C89" s="188"/>
      <c r="D89" s="188"/>
      <c r="E89" s="189"/>
      <c r="F89" s="190"/>
      <c r="G89" s="190"/>
      <c r="H89" s="190"/>
      <c r="I89" s="191"/>
      <c r="J89" s="192"/>
    </row>
    <row r="90" spans="2:10" ht="15">
      <c r="B90" s="193" t="s">
        <v>34</v>
      </c>
      <c r="C90" s="194"/>
      <c r="D90" s="194"/>
      <c r="E90" s="195"/>
      <c r="F90" s="195"/>
      <c r="G90" s="195"/>
      <c r="H90" s="195"/>
      <c r="I90" s="195"/>
      <c r="J90" s="196"/>
    </row>
    <row r="91" spans="2:10" ht="51.75" customHeight="1">
      <c r="B91" s="197" t="s">
        <v>82</v>
      </c>
      <c r="C91" s="197"/>
      <c r="D91" s="197"/>
      <c r="E91" s="197"/>
      <c r="F91" s="197"/>
      <c r="G91" s="197"/>
      <c r="H91" s="197"/>
      <c r="I91" s="197"/>
      <c r="J91" s="197"/>
    </row>
    <row r="92" spans="2:10" ht="20.25" customHeight="1" thickBot="1">
      <c r="B92" s="196"/>
      <c r="C92" s="194"/>
      <c r="D92" s="194"/>
      <c r="E92" s="195"/>
      <c r="F92" s="195"/>
      <c r="G92" s="195"/>
      <c r="H92" s="198" t="s">
        <v>80</v>
      </c>
      <c r="I92" s="198"/>
      <c r="J92" s="198"/>
    </row>
    <row r="93" spans="2:10" ht="15.75">
      <c r="B93" s="199" t="s">
        <v>1</v>
      </c>
      <c r="C93" s="201" t="s">
        <v>21</v>
      </c>
      <c r="D93" s="201" t="s">
        <v>23</v>
      </c>
      <c r="E93" s="203" t="s">
        <v>22</v>
      </c>
      <c r="F93" s="205" t="s">
        <v>24</v>
      </c>
      <c r="G93" s="205"/>
      <c r="H93" s="205"/>
      <c r="I93" s="205"/>
      <c r="J93" s="206" t="s">
        <v>32</v>
      </c>
    </row>
    <row r="94" spans="2:10" ht="15.75">
      <c r="B94" s="200"/>
      <c r="C94" s="202"/>
      <c r="D94" s="202"/>
      <c r="E94" s="204"/>
      <c r="F94" s="179">
        <v>0.6</v>
      </c>
      <c r="G94" s="179">
        <v>0.2</v>
      </c>
      <c r="H94" s="179">
        <v>0.8</v>
      </c>
      <c r="I94" s="180" t="s">
        <v>33</v>
      </c>
      <c r="J94" s="207"/>
    </row>
    <row r="95" spans="2:10" ht="15">
      <c r="B95" s="181">
        <v>70</v>
      </c>
      <c r="C95" s="182"/>
      <c r="D95" s="182"/>
      <c r="E95" s="183"/>
      <c r="F95" s="184"/>
      <c r="G95" s="184"/>
      <c r="H95" s="184"/>
      <c r="I95" s="185"/>
      <c r="J95" s="186"/>
    </row>
    <row r="96" spans="2:10" ht="15">
      <c r="B96" s="181">
        <v>71</v>
      </c>
      <c r="C96" s="182"/>
      <c r="D96" s="182"/>
      <c r="E96" s="183"/>
      <c r="F96" s="184"/>
      <c r="G96" s="184"/>
      <c r="H96" s="184"/>
      <c r="I96" s="185"/>
      <c r="J96" s="186"/>
    </row>
    <row r="97" spans="2:10" ht="15">
      <c r="B97" s="181">
        <v>72</v>
      </c>
      <c r="C97" s="182"/>
      <c r="D97" s="182"/>
      <c r="E97" s="183"/>
      <c r="F97" s="184"/>
      <c r="G97" s="184"/>
      <c r="H97" s="184"/>
      <c r="I97" s="185"/>
      <c r="J97" s="186"/>
    </row>
    <row r="98" spans="2:10" ht="15">
      <c r="B98" s="181">
        <v>73</v>
      </c>
      <c r="C98" s="182"/>
      <c r="D98" s="182"/>
      <c r="E98" s="183"/>
      <c r="F98" s="184"/>
      <c r="G98" s="184"/>
      <c r="H98" s="184"/>
      <c r="I98" s="185"/>
      <c r="J98" s="186"/>
    </row>
    <row r="99" spans="2:10" ht="15">
      <c r="B99" s="181">
        <v>74</v>
      </c>
      <c r="C99" s="182"/>
      <c r="D99" s="182"/>
      <c r="E99" s="183"/>
      <c r="F99" s="184"/>
      <c r="G99" s="184"/>
      <c r="H99" s="184"/>
      <c r="I99" s="185"/>
      <c r="J99" s="186"/>
    </row>
    <row r="100" spans="2:10" ht="15">
      <c r="B100" s="181">
        <v>75</v>
      </c>
      <c r="C100" s="182"/>
      <c r="D100" s="182"/>
      <c r="E100" s="183"/>
      <c r="F100" s="184"/>
      <c r="G100" s="184"/>
      <c r="H100" s="184"/>
      <c r="I100" s="185"/>
      <c r="J100" s="186"/>
    </row>
    <row r="101" spans="2:10" ht="15">
      <c r="B101" s="181">
        <v>76</v>
      </c>
      <c r="C101" s="182"/>
      <c r="D101" s="182"/>
      <c r="E101" s="183"/>
      <c r="F101" s="184"/>
      <c r="G101" s="184"/>
      <c r="H101" s="184"/>
      <c r="I101" s="185"/>
      <c r="J101" s="186"/>
    </row>
    <row r="102" spans="2:10" ht="15">
      <c r="B102" s="181">
        <v>77</v>
      </c>
      <c r="C102" s="182"/>
      <c r="D102" s="182"/>
      <c r="E102" s="183"/>
      <c r="F102" s="184"/>
      <c r="G102" s="184"/>
      <c r="H102" s="184"/>
      <c r="I102" s="185"/>
      <c r="J102" s="186"/>
    </row>
    <row r="103" spans="2:10" ht="15">
      <c r="B103" s="181">
        <v>78</v>
      </c>
      <c r="C103" s="182"/>
      <c r="D103" s="182"/>
      <c r="E103" s="183"/>
      <c r="F103" s="184"/>
      <c r="G103" s="184"/>
      <c r="H103" s="184"/>
      <c r="I103" s="185"/>
      <c r="J103" s="186"/>
    </row>
    <row r="104" spans="2:10" ht="15">
      <c r="B104" s="181">
        <v>79</v>
      </c>
      <c r="C104" s="182"/>
      <c r="D104" s="182"/>
      <c r="E104" s="183"/>
      <c r="F104" s="184"/>
      <c r="G104" s="184"/>
      <c r="H104" s="184"/>
      <c r="I104" s="185"/>
      <c r="J104" s="186"/>
    </row>
    <row r="105" spans="2:10" ht="15">
      <c r="B105" s="181">
        <v>80</v>
      </c>
      <c r="C105" s="182"/>
      <c r="D105" s="182"/>
      <c r="E105" s="183"/>
      <c r="F105" s="184"/>
      <c r="G105" s="184"/>
      <c r="H105" s="184"/>
      <c r="I105" s="185"/>
      <c r="J105" s="186"/>
    </row>
    <row r="106" spans="2:10" ht="15">
      <c r="B106" s="181">
        <v>81</v>
      </c>
      <c r="C106" s="182"/>
      <c r="D106" s="182"/>
      <c r="E106" s="183"/>
      <c r="F106" s="184"/>
      <c r="G106" s="184"/>
      <c r="H106" s="184"/>
      <c r="I106" s="185"/>
      <c r="J106" s="186"/>
    </row>
    <row r="107" spans="2:10" ht="15">
      <c r="B107" s="181">
        <v>82</v>
      </c>
      <c r="C107" s="182"/>
      <c r="D107" s="182"/>
      <c r="E107" s="183"/>
      <c r="F107" s="184"/>
      <c r="G107" s="184"/>
      <c r="H107" s="184"/>
      <c r="I107" s="185"/>
      <c r="J107" s="186"/>
    </row>
    <row r="108" spans="2:10" ht="15">
      <c r="B108" s="181">
        <v>83</v>
      </c>
      <c r="C108" s="182"/>
      <c r="D108" s="182"/>
      <c r="E108" s="183"/>
      <c r="F108" s="184"/>
      <c r="G108" s="184"/>
      <c r="H108" s="184"/>
      <c r="I108" s="185"/>
      <c r="J108" s="186"/>
    </row>
    <row r="109" spans="2:10" ht="15">
      <c r="B109" s="181">
        <v>84</v>
      </c>
      <c r="C109" s="182"/>
      <c r="D109" s="182"/>
      <c r="E109" s="183"/>
      <c r="F109" s="184"/>
      <c r="G109" s="184"/>
      <c r="H109" s="184"/>
      <c r="I109" s="185"/>
      <c r="J109" s="186"/>
    </row>
    <row r="110" spans="2:10" ht="15">
      <c r="B110" s="181">
        <v>85</v>
      </c>
      <c r="C110" s="182"/>
      <c r="D110" s="182"/>
      <c r="E110" s="183"/>
      <c r="F110" s="184"/>
      <c r="G110" s="184"/>
      <c r="H110" s="184"/>
      <c r="I110" s="185"/>
      <c r="J110" s="186"/>
    </row>
    <row r="111" spans="2:10" ht="15">
      <c r="B111" s="181">
        <v>86</v>
      </c>
      <c r="C111" s="182"/>
      <c r="D111" s="182"/>
      <c r="E111" s="183"/>
      <c r="F111" s="184"/>
      <c r="G111" s="184"/>
      <c r="H111" s="184"/>
      <c r="I111" s="185"/>
      <c r="J111" s="186"/>
    </row>
    <row r="112" spans="2:10" ht="15">
      <c r="B112" s="181">
        <v>87</v>
      </c>
      <c r="C112" s="182"/>
      <c r="D112" s="182"/>
      <c r="E112" s="183"/>
      <c r="F112" s="184"/>
      <c r="G112" s="184"/>
      <c r="H112" s="184"/>
      <c r="I112" s="185"/>
      <c r="J112" s="186"/>
    </row>
    <row r="113" spans="2:10" ht="15">
      <c r="B113" s="181">
        <v>88</v>
      </c>
      <c r="C113" s="182"/>
      <c r="D113" s="182"/>
      <c r="E113" s="183"/>
      <c r="F113" s="184"/>
      <c r="G113" s="184"/>
      <c r="H113" s="184"/>
      <c r="I113" s="185"/>
      <c r="J113" s="186"/>
    </row>
    <row r="114" spans="2:10" ht="15">
      <c r="B114" s="181">
        <v>89</v>
      </c>
      <c r="C114" s="182"/>
      <c r="D114" s="182"/>
      <c r="E114" s="183"/>
      <c r="F114" s="184"/>
      <c r="G114" s="184"/>
      <c r="H114" s="184"/>
      <c r="I114" s="185"/>
      <c r="J114" s="186"/>
    </row>
    <row r="115" spans="2:10" ht="15">
      <c r="B115" s="181">
        <v>90</v>
      </c>
      <c r="C115" s="182"/>
      <c r="D115" s="182"/>
      <c r="E115" s="183"/>
      <c r="F115" s="184"/>
      <c r="G115" s="184"/>
      <c r="H115" s="184"/>
      <c r="I115" s="185"/>
      <c r="J115" s="186"/>
    </row>
    <row r="116" spans="2:10" ht="15">
      <c r="B116" s="181">
        <v>91</v>
      </c>
      <c r="C116" s="182"/>
      <c r="D116" s="182"/>
      <c r="E116" s="183"/>
      <c r="F116" s="184"/>
      <c r="G116" s="184"/>
      <c r="H116" s="184"/>
      <c r="I116" s="185"/>
      <c r="J116" s="186"/>
    </row>
    <row r="117" spans="2:10" ht="15">
      <c r="B117" s="181">
        <v>92</v>
      </c>
      <c r="C117" s="182"/>
      <c r="D117" s="182"/>
      <c r="E117" s="183"/>
      <c r="F117" s="184"/>
      <c r="G117" s="184"/>
      <c r="H117" s="184"/>
      <c r="I117" s="185"/>
      <c r="J117" s="186"/>
    </row>
    <row r="118" spans="2:10" ht="15">
      <c r="B118" s="181">
        <v>93</v>
      </c>
      <c r="C118" s="182"/>
      <c r="D118" s="182"/>
      <c r="E118" s="183"/>
      <c r="F118" s="184"/>
      <c r="G118" s="184"/>
      <c r="H118" s="184"/>
      <c r="I118" s="185"/>
      <c r="J118" s="186"/>
    </row>
    <row r="119" spans="2:10" ht="15">
      <c r="B119" s="181">
        <v>94</v>
      </c>
      <c r="C119" s="182"/>
      <c r="D119" s="182"/>
      <c r="E119" s="183"/>
      <c r="F119" s="184"/>
      <c r="G119" s="184"/>
      <c r="H119" s="184"/>
      <c r="I119" s="185"/>
      <c r="J119" s="186"/>
    </row>
    <row r="120" spans="2:10" ht="15">
      <c r="B120" s="181">
        <v>95</v>
      </c>
      <c r="C120" s="182"/>
      <c r="D120" s="182"/>
      <c r="E120" s="183"/>
      <c r="F120" s="184"/>
      <c r="G120" s="184"/>
      <c r="H120" s="184"/>
      <c r="I120" s="185"/>
      <c r="J120" s="186"/>
    </row>
    <row r="121" spans="2:10" ht="15">
      <c r="B121" s="181">
        <v>96</v>
      </c>
      <c r="C121" s="182"/>
      <c r="D121" s="182"/>
      <c r="E121" s="183"/>
      <c r="F121" s="184"/>
      <c r="G121" s="184"/>
      <c r="H121" s="184"/>
      <c r="I121" s="185"/>
      <c r="J121" s="186"/>
    </row>
    <row r="122" spans="2:10" ht="15">
      <c r="B122" s="181">
        <v>97</v>
      </c>
      <c r="C122" s="182"/>
      <c r="D122" s="182"/>
      <c r="E122" s="183"/>
      <c r="F122" s="184"/>
      <c r="G122" s="184"/>
      <c r="H122" s="184"/>
      <c r="I122" s="185"/>
      <c r="J122" s="186"/>
    </row>
    <row r="123" spans="2:10" ht="15">
      <c r="B123" s="181">
        <v>98</v>
      </c>
      <c r="C123" s="182"/>
      <c r="D123" s="182"/>
      <c r="E123" s="183"/>
      <c r="F123" s="184"/>
      <c r="G123" s="184"/>
      <c r="H123" s="184"/>
      <c r="I123" s="185"/>
      <c r="J123" s="186"/>
    </row>
    <row r="124" spans="2:10" ht="15">
      <c r="B124" s="181">
        <v>99</v>
      </c>
      <c r="C124" s="182"/>
      <c r="D124" s="182"/>
      <c r="E124" s="183"/>
      <c r="F124" s="184"/>
      <c r="G124" s="184"/>
      <c r="H124" s="184"/>
      <c r="I124" s="185"/>
      <c r="J124" s="186"/>
    </row>
    <row r="125" spans="2:10" ht="15">
      <c r="B125" s="181">
        <v>100</v>
      </c>
      <c r="C125" s="182"/>
      <c r="D125" s="182"/>
      <c r="E125" s="183"/>
      <c r="F125" s="184"/>
      <c r="G125" s="184"/>
      <c r="H125" s="184"/>
      <c r="I125" s="185"/>
      <c r="J125" s="186"/>
    </row>
    <row r="126" spans="2:10" ht="15">
      <c r="B126" s="181">
        <v>101</v>
      </c>
      <c r="C126" s="182"/>
      <c r="D126" s="182"/>
      <c r="E126" s="183"/>
      <c r="F126" s="184"/>
      <c r="G126" s="184"/>
      <c r="H126" s="184"/>
      <c r="I126" s="185"/>
      <c r="J126" s="186"/>
    </row>
    <row r="127" spans="2:10" ht="15">
      <c r="B127" s="181">
        <v>102</v>
      </c>
      <c r="C127" s="182"/>
      <c r="D127" s="182"/>
      <c r="E127" s="183"/>
      <c r="F127" s="184"/>
      <c r="G127" s="184"/>
      <c r="H127" s="184"/>
      <c r="I127" s="185"/>
      <c r="J127" s="186"/>
    </row>
    <row r="128" spans="2:10" ht="15">
      <c r="B128" s="181">
        <v>103</v>
      </c>
      <c r="C128" s="182"/>
      <c r="D128" s="182"/>
      <c r="E128" s="183"/>
      <c r="F128" s="184"/>
      <c r="G128" s="184"/>
      <c r="H128" s="184"/>
      <c r="I128" s="185"/>
      <c r="J128" s="186"/>
    </row>
    <row r="129" spans="2:10" ht="15">
      <c r="B129" s="181">
        <v>104</v>
      </c>
      <c r="C129" s="182"/>
      <c r="D129" s="182"/>
      <c r="E129" s="183"/>
      <c r="F129" s="184"/>
      <c r="G129" s="184"/>
      <c r="H129" s="184"/>
      <c r="I129" s="185"/>
      <c r="J129" s="186"/>
    </row>
    <row r="130" spans="2:10" ht="15">
      <c r="B130" s="181">
        <v>105</v>
      </c>
      <c r="C130" s="182"/>
      <c r="D130" s="182"/>
      <c r="E130" s="183"/>
      <c r="F130" s="184"/>
      <c r="G130" s="184"/>
      <c r="H130" s="184"/>
      <c r="I130" s="185"/>
      <c r="J130" s="186"/>
    </row>
    <row r="131" spans="2:10" ht="15">
      <c r="B131" s="181">
        <v>106</v>
      </c>
      <c r="C131" s="182"/>
      <c r="D131" s="182"/>
      <c r="E131" s="183"/>
      <c r="F131" s="184"/>
      <c r="G131" s="184"/>
      <c r="H131" s="184"/>
      <c r="I131" s="185"/>
      <c r="J131" s="186"/>
    </row>
    <row r="132" spans="2:10" ht="15">
      <c r="B132" s="181">
        <v>107</v>
      </c>
      <c r="C132" s="182"/>
      <c r="D132" s="182"/>
      <c r="E132" s="183"/>
      <c r="F132" s="184"/>
      <c r="G132" s="184"/>
      <c r="H132" s="184"/>
      <c r="I132" s="185"/>
      <c r="J132" s="186"/>
    </row>
    <row r="133" spans="2:10" ht="15.75" thickBot="1">
      <c r="B133" s="187">
        <v>108</v>
      </c>
      <c r="C133" s="188"/>
      <c r="D133" s="188"/>
      <c r="E133" s="189"/>
      <c r="F133" s="190"/>
      <c r="G133" s="190"/>
      <c r="H133" s="190"/>
      <c r="I133" s="191"/>
      <c r="J133" s="192"/>
    </row>
    <row r="134" spans="2:10" ht="15">
      <c r="B134" s="193" t="s">
        <v>34</v>
      </c>
      <c r="C134" s="194"/>
      <c r="D134" s="194"/>
      <c r="E134" s="195"/>
      <c r="F134" s="195"/>
      <c r="G134" s="195"/>
      <c r="H134" s="195"/>
      <c r="I134" s="195"/>
      <c r="J134" s="196"/>
    </row>
    <row r="135" spans="2:10" ht="54" customHeight="1">
      <c r="B135" s="197" t="s">
        <v>82</v>
      </c>
      <c r="C135" s="197"/>
      <c r="D135" s="197"/>
      <c r="E135" s="197"/>
      <c r="F135" s="197"/>
      <c r="G135" s="197"/>
      <c r="H135" s="197"/>
      <c r="I135" s="197"/>
      <c r="J135" s="197"/>
    </row>
    <row r="136" spans="2:10" ht="18.75" customHeight="1" thickBot="1">
      <c r="B136" s="196"/>
      <c r="C136" s="194"/>
      <c r="D136" s="194"/>
      <c r="E136" s="195"/>
      <c r="F136" s="195"/>
      <c r="G136" s="195"/>
      <c r="H136" s="198" t="s">
        <v>80</v>
      </c>
      <c r="I136" s="198"/>
      <c r="J136" s="198"/>
    </row>
    <row r="137" spans="2:10" ht="15.75">
      <c r="B137" s="199" t="s">
        <v>1</v>
      </c>
      <c r="C137" s="201" t="s">
        <v>21</v>
      </c>
      <c r="D137" s="201" t="s">
        <v>23</v>
      </c>
      <c r="E137" s="203" t="s">
        <v>22</v>
      </c>
      <c r="F137" s="205" t="s">
        <v>24</v>
      </c>
      <c r="G137" s="205"/>
      <c r="H137" s="205"/>
      <c r="I137" s="205"/>
      <c r="J137" s="206" t="s">
        <v>32</v>
      </c>
    </row>
    <row r="138" spans="2:10" ht="15.75">
      <c r="B138" s="200"/>
      <c r="C138" s="202"/>
      <c r="D138" s="202"/>
      <c r="E138" s="204"/>
      <c r="F138" s="179">
        <v>0.6</v>
      </c>
      <c r="G138" s="179">
        <v>0.2</v>
      </c>
      <c r="H138" s="179">
        <v>0.8</v>
      </c>
      <c r="I138" s="180" t="s">
        <v>33</v>
      </c>
      <c r="J138" s="207"/>
    </row>
    <row r="139" spans="2:10" ht="15">
      <c r="B139" s="181">
        <v>109</v>
      </c>
      <c r="C139" s="182"/>
      <c r="D139" s="182"/>
      <c r="E139" s="183"/>
      <c r="F139" s="184"/>
      <c r="G139" s="184"/>
      <c r="H139" s="184"/>
      <c r="I139" s="185"/>
      <c r="J139" s="186"/>
    </row>
    <row r="140" spans="2:10" ht="15">
      <c r="B140" s="181">
        <v>110</v>
      </c>
      <c r="C140" s="182"/>
      <c r="D140" s="182"/>
      <c r="E140" s="183"/>
      <c r="F140" s="184"/>
      <c r="G140" s="184"/>
      <c r="H140" s="184"/>
      <c r="I140" s="185"/>
      <c r="J140" s="186"/>
    </row>
    <row r="141" spans="2:10" ht="15">
      <c r="B141" s="181">
        <v>111</v>
      </c>
      <c r="C141" s="182"/>
      <c r="D141" s="182"/>
      <c r="E141" s="183"/>
      <c r="F141" s="184"/>
      <c r="G141" s="184"/>
      <c r="H141" s="184"/>
      <c r="I141" s="185"/>
      <c r="J141" s="186"/>
    </row>
    <row r="142" spans="2:10" ht="15">
      <c r="B142" s="181">
        <v>112</v>
      </c>
      <c r="C142" s="182"/>
      <c r="D142" s="182"/>
      <c r="E142" s="183"/>
      <c r="F142" s="184"/>
      <c r="G142" s="184"/>
      <c r="H142" s="184"/>
      <c r="I142" s="185"/>
      <c r="J142" s="186"/>
    </row>
    <row r="143" spans="2:10" ht="15">
      <c r="B143" s="181">
        <v>113</v>
      </c>
      <c r="C143" s="182"/>
      <c r="D143" s="182"/>
      <c r="E143" s="183"/>
      <c r="F143" s="184"/>
      <c r="G143" s="184"/>
      <c r="H143" s="184"/>
      <c r="I143" s="185"/>
      <c r="J143" s="186"/>
    </row>
    <row r="144" spans="2:10" ht="15">
      <c r="B144" s="181">
        <v>114</v>
      </c>
      <c r="C144" s="182"/>
      <c r="D144" s="182"/>
      <c r="E144" s="183"/>
      <c r="F144" s="184"/>
      <c r="G144" s="184"/>
      <c r="H144" s="184"/>
      <c r="I144" s="185"/>
      <c r="J144" s="186"/>
    </row>
    <row r="145" spans="2:10" ht="15">
      <c r="B145" s="181">
        <v>115</v>
      </c>
      <c r="C145" s="182"/>
      <c r="D145" s="182"/>
      <c r="E145" s="183"/>
      <c r="F145" s="184"/>
      <c r="G145" s="184"/>
      <c r="H145" s="184"/>
      <c r="I145" s="185"/>
      <c r="J145" s="186"/>
    </row>
    <row r="146" spans="2:10" ht="15">
      <c r="B146" s="181">
        <v>116</v>
      </c>
      <c r="C146" s="182"/>
      <c r="D146" s="182"/>
      <c r="E146" s="183"/>
      <c r="F146" s="184"/>
      <c r="G146" s="184"/>
      <c r="H146" s="184"/>
      <c r="I146" s="185"/>
      <c r="J146" s="186"/>
    </row>
    <row r="147" spans="2:10" ht="15">
      <c r="B147" s="181">
        <v>117</v>
      </c>
      <c r="C147" s="182"/>
      <c r="D147" s="182"/>
      <c r="E147" s="183"/>
      <c r="F147" s="184"/>
      <c r="G147" s="184"/>
      <c r="H147" s="184"/>
      <c r="I147" s="185"/>
      <c r="J147" s="186"/>
    </row>
    <row r="148" spans="2:10" ht="15">
      <c r="B148" s="181">
        <v>118</v>
      </c>
      <c r="C148" s="182"/>
      <c r="D148" s="182"/>
      <c r="E148" s="183"/>
      <c r="F148" s="184"/>
      <c r="G148" s="184"/>
      <c r="H148" s="184"/>
      <c r="I148" s="185"/>
      <c r="J148" s="186"/>
    </row>
    <row r="149" spans="2:10" ht="15">
      <c r="B149" s="181">
        <v>119</v>
      </c>
      <c r="C149" s="182"/>
      <c r="D149" s="182"/>
      <c r="E149" s="183"/>
      <c r="F149" s="184"/>
      <c r="G149" s="184"/>
      <c r="H149" s="184"/>
      <c r="I149" s="185"/>
      <c r="J149" s="186"/>
    </row>
    <row r="150" spans="2:10" ht="15">
      <c r="B150" s="181">
        <v>120</v>
      </c>
      <c r="C150" s="182"/>
      <c r="D150" s="182"/>
      <c r="E150" s="183"/>
      <c r="F150" s="184"/>
      <c r="G150" s="184"/>
      <c r="H150" s="184"/>
      <c r="I150" s="185"/>
      <c r="J150" s="186"/>
    </row>
    <row r="151" spans="2:10" ht="15">
      <c r="B151" s="181">
        <v>121</v>
      </c>
      <c r="C151" s="182"/>
      <c r="D151" s="182"/>
      <c r="E151" s="183"/>
      <c r="F151" s="184"/>
      <c r="G151" s="184"/>
      <c r="H151" s="184"/>
      <c r="I151" s="185"/>
      <c r="J151" s="186"/>
    </row>
    <row r="152" spans="2:10" ht="15">
      <c r="B152" s="181">
        <v>122</v>
      </c>
      <c r="C152" s="182"/>
      <c r="D152" s="182"/>
      <c r="E152" s="183"/>
      <c r="F152" s="184"/>
      <c r="G152" s="184"/>
      <c r="H152" s="184"/>
      <c r="I152" s="185"/>
      <c r="J152" s="186"/>
    </row>
    <row r="153" spans="2:10" ht="15">
      <c r="B153" s="181">
        <v>123</v>
      </c>
      <c r="C153" s="182"/>
      <c r="D153" s="182"/>
      <c r="E153" s="183"/>
      <c r="F153" s="184"/>
      <c r="G153" s="184"/>
      <c r="H153" s="184"/>
      <c r="I153" s="185"/>
      <c r="J153" s="186"/>
    </row>
    <row r="154" spans="2:10" ht="15">
      <c r="B154" s="181">
        <v>124</v>
      </c>
      <c r="C154" s="182"/>
      <c r="D154" s="182"/>
      <c r="E154" s="183"/>
      <c r="F154" s="184"/>
      <c r="G154" s="184"/>
      <c r="H154" s="184"/>
      <c r="I154" s="185"/>
      <c r="J154" s="186"/>
    </row>
    <row r="155" spans="2:10" ht="15">
      <c r="B155" s="181">
        <v>125</v>
      </c>
      <c r="C155" s="182"/>
      <c r="D155" s="182"/>
      <c r="E155" s="183"/>
      <c r="F155" s="184"/>
      <c r="G155" s="184"/>
      <c r="H155" s="184"/>
      <c r="I155" s="185"/>
      <c r="J155" s="186"/>
    </row>
    <row r="156" spans="2:10" ht="15">
      <c r="B156" s="181">
        <v>126</v>
      </c>
      <c r="C156" s="182"/>
      <c r="D156" s="182"/>
      <c r="E156" s="183"/>
      <c r="F156" s="184"/>
      <c r="G156" s="184"/>
      <c r="H156" s="184"/>
      <c r="I156" s="185"/>
      <c r="J156" s="186"/>
    </row>
    <row r="157" spans="2:10" ht="15">
      <c r="B157" s="181">
        <v>127</v>
      </c>
      <c r="C157" s="182"/>
      <c r="D157" s="182"/>
      <c r="E157" s="183"/>
      <c r="F157" s="184"/>
      <c r="G157" s="184"/>
      <c r="H157" s="184"/>
      <c r="I157" s="185"/>
      <c r="J157" s="186"/>
    </row>
    <row r="158" spans="2:10" ht="15">
      <c r="B158" s="181">
        <v>128</v>
      </c>
      <c r="C158" s="182"/>
      <c r="D158" s="182"/>
      <c r="E158" s="183"/>
      <c r="F158" s="184"/>
      <c r="G158" s="184"/>
      <c r="H158" s="184"/>
      <c r="I158" s="185"/>
      <c r="J158" s="186"/>
    </row>
    <row r="159" spans="2:10" ht="15">
      <c r="B159" s="181">
        <v>129</v>
      </c>
      <c r="C159" s="182"/>
      <c r="D159" s="182"/>
      <c r="E159" s="183"/>
      <c r="F159" s="184"/>
      <c r="G159" s="184"/>
      <c r="H159" s="184"/>
      <c r="I159" s="185"/>
      <c r="J159" s="186"/>
    </row>
    <row r="160" spans="2:10" ht="15">
      <c r="B160" s="181">
        <v>130</v>
      </c>
      <c r="C160" s="182"/>
      <c r="D160" s="182"/>
      <c r="E160" s="183"/>
      <c r="F160" s="184"/>
      <c r="G160" s="184"/>
      <c r="H160" s="184"/>
      <c r="I160" s="185"/>
      <c r="J160" s="186"/>
    </row>
    <row r="161" spans="2:10" ht="15">
      <c r="B161" s="181">
        <v>131</v>
      </c>
      <c r="C161" s="182"/>
      <c r="D161" s="182"/>
      <c r="E161" s="183"/>
      <c r="F161" s="184"/>
      <c r="G161" s="184"/>
      <c r="H161" s="184"/>
      <c r="I161" s="185"/>
      <c r="J161" s="186"/>
    </row>
    <row r="162" spans="2:10" ht="15">
      <c r="B162" s="181">
        <v>132</v>
      </c>
      <c r="C162" s="182"/>
      <c r="D162" s="182"/>
      <c r="E162" s="183"/>
      <c r="F162" s="184"/>
      <c r="G162" s="184"/>
      <c r="H162" s="184"/>
      <c r="I162" s="185"/>
      <c r="J162" s="186"/>
    </row>
    <row r="163" spans="2:10" ht="15">
      <c r="B163" s="181">
        <v>133</v>
      </c>
      <c r="C163" s="182"/>
      <c r="D163" s="182"/>
      <c r="E163" s="183"/>
      <c r="F163" s="184"/>
      <c r="G163" s="184"/>
      <c r="H163" s="184"/>
      <c r="I163" s="185"/>
      <c r="J163" s="186"/>
    </row>
    <row r="164" spans="2:10" ht="15">
      <c r="B164" s="181">
        <v>134</v>
      </c>
      <c r="C164" s="182"/>
      <c r="D164" s="182"/>
      <c r="E164" s="183"/>
      <c r="F164" s="184"/>
      <c r="G164" s="184"/>
      <c r="H164" s="184"/>
      <c r="I164" s="185"/>
      <c r="J164" s="186"/>
    </row>
    <row r="165" spans="2:10" ht="15">
      <c r="B165" s="181">
        <v>135</v>
      </c>
      <c r="C165" s="182"/>
      <c r="D165" s="182"/>
      <c r="E165" s="183"/>
      <c r="F165" s="184"/>
      <c r="G165" s="184"/>
      <c r="H165" s="184"/>
      <c r="I165" s="185"/>
      <c r="J165" s="186"/>
    </row>
    <row r="166" spans="2:10" ht="15">
      <c r="B166" s="181">
        <v>136</v>
      </c>
      <c r="C166" s="182"/>
      <c r="D166" s="182"/>
      <c r="E166" s="183"/>
      <c r="F166" s="184"/>
      <c r="G166" s="184"/>
      <c r="H166" s="184"/>
      <c r="I166" s="185"/>
      <c r="J166" s="186"/>
    </row>
    <row r="167" spans="2:10" ht="15">
      <c r="B167" s="181">
        <v>137</v>
      </c>
      <c r="C167" s="182"/>
      <c r="D167" s="182"/>
      <c r="E167" s="183"/>
      <c r="F167" s="184"/>
      <c r="G167" s="184"/>
      <c r="H167" s="184"/>
      <c r="I167" s="185"/>
      <c r="J167" s="186"/>
    </row>
    <row r="168" spans="2:10" ht="15">
      <c r="B168" s="181">
        <v>138</v>
      </c>
      <c r="C168" s="182"/>
      <c r="D168" s="182"/>
      <c r="E168" s="183"/>
      <c r="F168" s="184"/>
      <c r="G168" s="184"/>
      <c r="H168" s="184"/>
      <c r="I168" s="185"/>
      <c r="J168" s="186"/>
    </row>
    <row r="169" spans="2:10" ht="15">
      <c r="B169" s="181">
        <v>139</v>
      </c>
      <c r="C169" s="182"/>
      <c r="D169" s="182"/>
      <c r="E169" s="183"/>
      <c r="F169" s="184"/>
      <c r="G169" s="184"/>
      <c r="H169" s="184"/>
      <c r="I169" s="185"/>
      <c r="J169" s="186"/>
    </row>
    <row r="170" spans="2:10" ht="15">
      <c r="B170" s="181">
        <v>140</v>
      </c>
      <c r="C170" s="182"/>
      <c r="D170" s="182"/>
      <c r="E170" s="183"/>
      <c r="F170" s="184"/>
      <c r="G170" s="184"/>
      <c r="H170" s="184"/>
      <c r="I170" s="185"/>
      <c r="J170" s="186"/>
    </row>
    <row r="171" spans="2:10" ht="15">
      <c r="B171" s="181">
        <v>141</v>
      </c>
      <c r="C171" s="182"/>
      <c r="D171" s="182"/>
      <c r="E171" s="183"/>
      <c r="F171" s="184"/>
      <c r="G171" s="184"/>
      <c r="H171" s="184"/>
      <c r="I171" s="185"/>
      <c r="J171" s="186"/>
    </row>
    <row r="172" spans="2:10" ht="15">
      <c r="B172" s="181">
        <v>142</v>
      </c>
      <c r="C172" s="182"/>
      <c r="D172" s="182"/>
      <c r="E172" s="183"/>
      <c r="F172" s="184"/>
      <c r="G172" s="184"/>
      <c r="H172" s="184"/>
      <c r="I172" s="185"/>
      <c r="J172" s="186"/>
    </row>
    <row r="173" spans="2:10" ht="15">
      <c r="B173" s="181">
        <v>143</v>
      </c>
      <c r="C173" s="182"/>
      <c r="D173" s="182"/>
      <c r="E173" s="183"/>
      <c r="F173" s="184"/>
      <c r="G173" s="184"/>
      <c r="H173" s="184"/>
      <c r="I173" s="185"/>
      <c r="J173" s="186"/>
    </row>
    <row r="174" spans="2:10" ht="15">
      <c r="B174" s="181">
        <v>144</v>
      </c>
      <c r="C174" s="182"/>
      <c r="D174" s="182"/>
      <c r="E174" s="183"/>
      <c r="F174" s="184"/>
      <c r="G174" s="184"/>
      <c r="H174" s="184"/>
      <c r="I174" s="185"/>
      <c r="J174" s="186"/>
    </row>
    <row r="175" spans="2:10" ht="15">
      <c r="B175" s="181">
        <v>145</v>
      </c>
      <c r="C175" s="182"/>
      <c r="D175" s="182"/>
      <c r="E175" s="183"/>
      <c r="F175" s="184"/>
      <c r="G175" s="184"/>
      <c r="H175" s="184"/>
      <c r="I175" s="185"/>
      <c r="J175" s="186"/>
    </row>
    <row r="176" spans="2:10" ht="15">
      <c r="B176" s="181">
        <v>146</v>
      </c>
      <c r="C176" s="182"/>
      <c r="D176" s="182"/>
      <c r="E176" s="183"/>
      <c r="F176" s="184"/>
      <c r="G176" s="184"/>
      <c r="H176" s="184"/>
      <c r="I176" s="185"/>
      <c r="J176" s="186"/>
    </row>
    <row r="177" spans="2:10" ht="15.75" thickBot="1">
      <c r="B177" s="187">
        <v>147</v>
      </c>
      <c r="C177" s="188"/>
      <c r="D177" s="188"/>
      <c r="E177" s="189"/>
      <c r="F177" s="190"/>
      <c r="G177" s="190"/>
      <c r="H177" s="190"/>
      <c r="I177" s="191"/>
      <c r="J177" s="192"/>
    </row>
    <row r="178" spans="2:10" ht="15">
      <c r="B178" s="193" t="s">
        <v>34</v>
      </c>
      <c r="C178" s="194"/>
      <c r="D178" s="194"/>
      <c r="E178" s="195"/>
      <c r="F178" s="195"/>
      <c r="G178" s="195"/>
      <c r="H178" s="195"/>
      <c r="I178" s="195"/>
      <c r="J178" s="196"/>
    </row>
    <row r="179" spans="2:10" ht="57" customHeight="1">
      <c r="B179" s="197" t="s">
        <v>82</v>
      </c>
      <c r="C179" s="197"/>
      <c r="D179" s="197"/>
      <c r="E179" s="197"/>
      <c r="F179" s="197"/>
      <c r="G179" s="197"/>
      <c r="H179" s="197"/>
      <c r="I179" s="197"/>
      <c r="J179" s="197"/>
    </row>
  </sheetData>
  <mergeCells count="45">
    <mergeCell ref="A10:B10"/>
    <mergeCell ref="B1:J1"/>
    <mergeCell ref="B2:J2"/>
    <mergeCell ref="B3:J3"/>
    <mergeCell ref="A4:B4"/>
    <mergeCell ref="A5:B5"/>
    <mergeCell ref="A6:B6"/>
    <mergeCell ref="A7:B7"/>
    <mergeCell ref="F7:G7"/>
    <mergeCell ref="A8:B8"/>
    <mergeCell ref="F8:G8"/>
    <mergeCell ref="A9:B9"/>
    <mergeCell ref="D11:E11"/>
    <mergeCell ref="D12:E12"/>
    <mergeCell ref="B14:B15"/>
    <mergeCell ref="C14:C15"/>
    <mergeCell ref="D14:D15"/>
    <mergeCell ref="E14:E15"/>
    <mergeCell ref="F14:I14"/>
    <mergeCell ref="J14:J15"/>
    <mergeCell ref="B47:J47"/>
    <mergeCell ref="H48:J48"/>
    <mergeCell ref="B49:B50"/>
    <mergeCell ref="C49:C50"/>
    <mergeCell ref="D49:D50"/>
    <mergeCell ref="E49:E50"/>
    <mergeCell ref="F49:I49"/>
    <mergeCell ref="J49:J50"/>
    <mergeCell ref="B91:J91"/>
    <mergeCell ref="H92:J92"/>
    <mergeCell ref="B93:B94"/>
    <mergeCell ref="C93:C94"/>
    <mergeCell ref="D93:D94"/>
    <mergeCell ref="E93:E94"/>
    <mergeCell ref="F93:I93"/>
    <mergeCell ref="J93:J94"/>
    <mergeCell ref="B179:J179"/>
    <mergeCell ref="B135:J135"/>
    <mergeCell ref="H136:J136"/>
    <mergeCell ref="B137:B138"/>
    <mergeCell ref="C137:C138"/>
    <mergeCell ref="D137:D138"/>
    <mergeCell ref="E137:E138"/>
    <mergeCell ref="F137:I137"/>
    <mergeCell ref="J137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3"/>
  <sheetViews>
    <sheetView topLeftCell="A12" workbookViewId="0">
      <selection activeCell="D38" sqref="D38"/>
    </sheetView>
  </sheetViews>
  <sheetFormatPr defaultRowHeight="15"/>
  <cols>
    <col min="1" max="1" width="7" style="66" customWidth="1"/>
    <col min="2" max="2" width="15" style="66" customWidth="1"/>
    <col min="3" max="3" width="3.85546875" style="66" customWidth="1"/>
    <col min="4" max="4" width="9.140625" style="66"/>
    <col min="5" max="5" width="10.5703125" style="66" customWidth="1"/>
    <col min="6" max="15" width="9.140625" style="66"/>
    <col min="16" max="16" width="7.85546875" style="66" customWidth="1"/>
    <col min="17" max="23" width="9.140625" style="65"/>
    <col min="24" max="16384" width="9.140625" style="66"/>
  </cols>
  <sheetData>
    <row r="1" spans="1:16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15.75">
      <c r="A2" s="68" t="s">
        <v>40</v>
      </c>
      <c r="B2" s="68"/>
      <c r="C2" s="68"/>
      <c r="D2" s="68"/>
      <c r="E2" s="68"/>
      <c r="F2" s="68"/>
      <c r="G2" s="68"/>
      <c r="H2" s="68"/>
      <c r="I2" s="64"/>
      <c r="J2" s="64"/>
      <c r="K2" s="64"/>
      <c r="L2" s="64"/>
      <c r="M2" s="64"/>
      <c r="N2" s="64"/>
      <c r="O2" s="64"/>
      <c r="P2" s="64"/>
    </row>
    <row r="3" spans="1:16" ht="15.75">
      <c r="A3" s="67" t="s">
        <v>94</v>
      </c>
      <c r="B3" s="68"/>
      <c r="C3" s="68"/>
      <c r="D3" s="68"/>
      <c r="E3" s="68"/>
      <c r="F3" s="68"/>
      <c r="G3" s="68"/>
      <c r="H3" s="68"/>
      <c r="I3" s="64"/>
      <c r="J3" s="64"/>
      <c r="K3" s="64"/>
      <c r="L3" s="64"/>
      <c r="M3" s="64"/>
      <c r="N3" s="64"/>
      <c r="O3" s="64"/>
      <c r="P3" s="64"/>
    </row>
    <row r="4" spans="1:16" ht="21.7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 t="s">
        <v>95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67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>
      <c r="A7" s="64" t="s">
        <v>96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ht="21.75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7" t="s">
        <v>41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</row>
    <row r="10" spans="1:16">
      <c r="A10" s="67"/>
      <c r="B10" s="64"/>
      <c r="C10" s="64"/>
      <c r="D10" s="64"/>
      <c r="E10" s="64"/>
      <c r="F10" s="64" t="s">
        <v>43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7"/>
      <c r="B11" s="64"/>
      <c r="C11" s="64"/>
      <c r="D11" s="64"/>
      <c r="E11" s="64"/>
      <c r="F11" s="64" t="s">
        <v>44</v>
      </c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7"/>
      <c r="B12" s="64"/>
      <c r="C12" s="64"/>
      <c r="D12" s="64"/>
      <c r="E12" s="64"/>
      <c r="F12" s="64" t="s">
        <v>45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</row>
    <row r="13" spans="1:16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7" t="s">
        <v>42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7"/>
      <c r="B15" s="64"/>
      <c r="C15" s="64" t="s">
        <v>46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</row>
    <row r="16" spans="1:16">
      <c r="A16" s="67"/>
      <c r="B16" s="64"/>
      <c r="C16" s="64" t="s">
        <v>47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>
      <c r="A18" s="67" t="s">
        <v>48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>
      <c r="A19" s="67"/>
      <c r="B19" s="64"/>
      <c r="C19" s="64" t="s">
        <v>54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</row>
    <row r="20" spans="1:16">
      <c r="A20" s="67"/>
      <c r="B20" s="64"/>
      <c r="C20" s="64" t="s">
        <v>78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>
      <c r="A21" s="67"/>
      <c r="B21" s="64"/>
      <c r="C21" s="64" t="s">
        <v>92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16">
      <c r="A22" s="67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>
      <c r="A23" s="67" t="s">
        <v>93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16">
      <c r="A24" s="67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>
      <c r="A25" s="67" t="s">
        <v>49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spans="1:16">
      <c r="A26" s="67"/>
      <c r="B26" s="64"/>
      <c r="C26" s="64"/>
      <c r="D26" s="64" t="s">
        <v>97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>
      <c r="A27" s="67"/>
      <c r="B27" s="64"/>
      <c r="C27" s="64"/>
      <c r="D27" s="64" t="s">
        <v>98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spans="1:16">
      <c r="A28" s="67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>
      <c r="A29" s="67" t="s">
        <v>50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>
      <c r="A30" s="64" t="s">
        <v>51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6">
      <c r="A31" s="67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</row>
    <row r="32" spans="1:16">
      <c r="A32" s="67" t="s">
        <v>52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3" spans="1:16">
      <c r="A33" s="67"/>
      <c r="B33" s="64" t="s">
        <v>53</v>
      </c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</row>
    <row r="35" spans="1:16">
      <c r="A35" s="64" t="s">
        <v>39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</row>
    <row r="36" spans="1:1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43" spans="1:16">
      <c r="D43" s="93"/>
    </row>
  </sheetData>
  <printOptions horizontalCentered="1" verticalCentered="1"/>
  <pageMargins left="0.2" right="0.2" top="0.2" bottom="0.2" header="0" footer="0"/>
  <pageSetup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7"/>
  <sheetViews>
    <sheetView workbookViewId="0">
      <selection activeCell="B3" sqref="B3:K3"/>
    </sheetView>
  </sheetViews>
  <sheetFormatPr defaultRowHeight="12.75"/>
  <cols>
    <col min="1" max="1" width="2.42578125" style="69" customWidth="1"/>
    <col min="2" max="2" width="26.85546875" style="69" customWidth="1"/>
    <col min="3" max="3" width="9.140625" style="69"/>
    <col min="4" max="4" width="25.140625" style="69" customWidth="1"/>
    <col min="5" max="5" width="23" style="69" customWidth="1"/>
    <col min="6" max="6" width="10.28515625" style="69" customWidth="1"/>
    <col min="7" max="7" width="11.5703125" style="69" customWidth="1"/>
    <col min="8" max="8" width="9.5703125" style="69" customWidth="1"/>
    <col min="9" max="9" width="21" style="69" customWidth="1"/>
    <col min="10" max="10" width="12.85546875" style="69" customWidth="1"/>
    <col min="11" max="11" width="21.42578125" style="69" customWidth="1"/>
    <col min="12" max="16384" width="9.140625" style="69"/>
  </cols>
  <sheetData>
    <row r="1" spans="2:15" ht="23.25">
      <c r="B1" s="229" t="s">
        <v>37</v>
      </c>
      <c r="C1" s="230"/>
      <c r="D1" s="230"/>
      <c r="E1" s="230"/>
      <c r="F1" s="230"/>
      <c r="G1" s="230"/>
      <c r="H1" s="230"/>
      <c r="I1" s="230"/>
      <c r="J1" s="230"/>
      <c r="K1" s="231"/>
    </row>
    <row r="2" spans="2:15" s="66" customFormat="1" ht="15.75">
      <c r="B2" s="232" t="s">
        <v>99</v>
      </c>
      <c r="C2" s="233"/>
      <c r="D2" s="233"/>
      <c r="E2" s="233"/>
      <c r="F2" s="233"/>
      <c r="G2" s="233"/>
      <c r="H2" s="233"/>
      <c r="I2" s="233"/>
      <c r="J2" s="233"/>
      <c r="K2" s="234"/>
    </row>
    <row r="3" spans="2:15" s="66" customFormat="1" ht="16.5" thickBot="1">
      <c r="B3" s="232"/>
      <c r="C3" s="233"/>
      <c r="D3" s="233"/>
      <c r="E3" s="233"/>
      <c r="F3" s="233"/>
      <c r="G3" s="233"/>
      <c r="H3" s="233"/>
      <c r="I3" s="233"/>
      <c r="J3" s="233"/>
      <c r="K3" s="234"/>
    </row>
    <row r="4" spans="2:15" s="66" customFormat="1" ht="15">
      <c r="B4" s="85"/>
      <c r="C4" s="86"/>
      <c r="D4" s="87"/>
      <c r="E4" s="87"/>
      <c r="F4" s="87"/>
      <c r="G4" s="87"/>
      <c r="H4" s="88"/>
      <c r="I4" s="88"/>
      <c r="J4" s="88"/>
      <c r="K4" s="89"/>
    </row>
    <row r="5" spans="2:15" s="66" customFormat="1" ht="24.75" customHeight="1">
      <c r="B5" s="95" t="s">
        <v>17</v>
      </c>
      <c r="C5" s="74"/>
      <c r="D5" s="75"/>
      <c r="E5" s="92"/>
      <c r="F5" s="224" t="s">
        <v>56</v>
      </c>
      <c r="G5" s="225"/>
      <c r="H5" s="76"/>
      <c r="I5" s="71"/>
      <c r="K5" s="94"/>
    </row>
    <row r="6" spans="2:15" s="66" customFormat="1" ht="27" customHeight="1">
      <c r="B6" s="95" t="s">
        <v>55</v>
      </c>
      <c r="C6" s="77"/>
      <c r="D6" s="78"/>
      <c r="E6" s="84"/>
      <c r="F6" s="224" t="s">
        <v>57</v>
      </c>
      <c r="G6" s="225"/>
      <c r="H6" s="79"/>
      <c r="I6" s="78"/>
      <c r="K6" s="91"/>
      <c r="M6" s="72"/>
      <c r="N6" s="72"/>
      <c r="O6" s="72"/>
    </row>
    <row r="7" spans="2:15" s="66" customFormat="1" ht="17.25" customHeight="1">
      <c r="B7" s="90"/>
      <c r="C7" s="83"/>
      <c r="D7" s="92"/>
      <c r="E7" s="92"/>
      <c r="F7" s="92"/>
      <c r="G7" s="92"/>
      <c r="H7" s="84"/>
      <c r="I7" s="84"/>
      <c r="J7" s="84"/>
      <c r="K7" s="91"/>
      <c r="M7" s="72"/>
      <c r="N7" s="73"/>
      <c r="O7" s="80"/>
    </row>
    <row r="8" spans="2:15" s="66" customFormat="1" ht="27.75" customHeight="1">
      <c r="B8" s="235" t="s">
        <v>66</v>
      </c>
      <c r="C8" s="236"/>
      <c r="D8" s="236"/>
      <c r="E8" s="236"/>
      <c r="F8" s="236"/>
      <c r="G8" s="236"/>
      <c r="H8" s="236"/>
      <c r="I8" s="236"/>
      <c r="J8" s="236"/>
      <c r="K8" s="237"/>
      <c r="M8" s="72"/>
      <c r="N8" s="81"/>
      <c r="O8" s="82"/>
    </row>
    <row r="9" spans="2:15" s="66" customFormat="1" ht="18.75" customHeight="1">
      <c r="B9" s="226"/>
      <c r="C9" s="227"/>
      <c r="D9" s="227"/>
      <c r="E9" s="227"/>
      <c r="F9" s="227"/>
      <c r="G9" s="227"/>
      <c r="H9" s="227"/>
      <c r="I9" s="227"/>
      <c r="J9" s="227"/>
      <c r="K9" s="228"/>
      <c r="M9" s="70"/>
      <c r="N9" s="70"/>
      <c r="O9" s="70"/>
    </row>
    <row r="10" spans="2:15" s="66" customFormat="1" ht="63" customHeight="1">
      <c r="B10" s="96" t="s">
        <v>58</v>
      </c>
      <c r="C10" s="218"/>
      <c r="D10" s="219"/>
      <c r="E10" s="219"/>
      <c r="F10" s="219"/>
      <c r="G10" s="219"/>
      <c r="H10" s="219"/>
      <c r="I10" s="219"/>
      <c r="J10" s="219"/>
      <c r="K10" s="220"/>
    </row>
    <row r="11" spans="2:15" s="66" customFormat="1" ht="63" customHeight="1">
      <c r="B11" s="97" t="s">
        <v>59</v>
      </c>
      <c r="C11" s="218"/>
      <c r="D11" s="219"/>
      <c r="E11" s="219"/>
      <c r="F11" s="219"/>
      <c r="G11" s="219"/>
      <c r="H11" s="219"/>
      <c r="I11" s="219"/>
      <c r="J11" s="219"/>
      <c r="K11" s="220"/>
    </row>
    <row r="12" spans="2:15" s="66" customFormat="1" ht="63" customHeight="1">
      <c r="B12" s="97" t="s">
        <v>60</v>
      </c>
      <c r="C12" s="218"/>
      <c r="D12" s="219"/>
      <c r="E12" s="219"/>
      <c r="F12" s="219"/>
      <c r="G12" s="219"/>
      <c r="H12" s="219"/>
      <c r="I12" s="219"/>
      <c r="J12" s="219"/>
      <c r="K12" s="220"/>
    </row>
    <row r="13" spans="2:15" s="66" customFormat="1" ht="63" customHeight="1">
      <c r="B13" s="97" t="s">
        <v>61</v>
      </c>
      <c r="C13" s="218"/>
      <c r="D13" s="219"/>
      <c r="E13" s="219"/>
      <c r="F13" s="219"/>
      <c r="G13" s="219"/>
      <c r="H13" s="219"/>
      <c r="I13" s="219"/>
      <c r="J13" s="219"/>
      <c r="K13" s="220"/>
      <c r="O13" s="65"/>
    </row>
    <row r="14" spans="2:15" s="66" customFormat="1" ht="63" customHeight="1">
      <c r="B14" s="98" t="s">
        <v>62</v>
      </c>
      <c r="C14" s="218"/>
      <c r="D14" s="219"/>
      <c r="E14" s="219"/>
      <c r="F14" s="219"/>
      <c r="G14" s="219"/>
      <c r="H14" s="219"/>
      <c r="I14" s="219"/>
      <c r="J14" s="219"/>
      <c r="K14" s="220"/>
      <c r="L14" s="70"/>
    </row>
    <row r="15" spans="2:15" s="66" customFormat="1" ht="63" customHeight="1">
      <c r="B15" s="97" t="s">
        <v>63</v>
      </c>
      <c r="C15" s="218"/>
      <c r="D15" s="219"/>
      <c r="E15" s="219"/>
      <c r="F15" s="219"/>
      <c r="G15" s="219"/>
      <c r="H15" s="219"/>
      <c r="I15" s="219"/>
      <c r="J15" s="219"/>
      <c r="K15" s="220"/>
    </row>
    <row r="16" spans="2:15" s="66" customFormat="1" ht="63" customHeight="1">
      <c r="B16" s="97" t="s">
        <v>64</v>
      </c>
      <c r="C16" s="218"/>
      <c r="D16" s="219"/>
      <c r="E16" s="219"/>
      <c r="F16" s="219"/>
      <c r="G16" s="219"/>
      <c r="H16" s="219"/>
      <c r="I16" s="219"/>
      <c r="J16" s="219"/>
      <c r="K16" s="220"/>
    </row>
    <row r="17" spans="2:11" s="66" customFormat="1" ht="63" customHeight="1" thickBot="1">
      <c r="B17" s="99" t="s">
        <v>65</v>
      </c>
      <c r="C17" s="221"/>
      <c r="D17" s="222"/>
      <c r="E17" s="222"/>
      <c r="F17" s="222"/>
      <c r="G17" s="222"/>
      <c r="H17" s="222"/>
      <c r="I17" s="222"/>
      <c r="J17" s="222"/>
      <c r="K17" s="223"/>
    </row>
  </sheetData>
  <mergeCells count="15">
    <mergeCell ref="B1:K1"/>
    <mergeCell ref="B2:K2"/>
    <mergeCell ref="B3:K3"/>
    <mergeCell ref="B8:K8"/>
    <mergeCell ref="C14:K14"/>
    <mergeCell ref="C16:K16"/>
    <mergeCell ref="C17:K17"/>
    <mergeCell ref="F5:G5"/>
    <mergeCell ref="F6:G6"/>
    <mergeCell ref="C10:K10"/>
    <mergeCell ref="B9:K9"/>
    <mergeCell ref="C11:K11"/>
    <mergeCell ref="C12:K12"/>
    <mergeCell ref="C13:K13"/>
    <mergeCell ref="C15:K15"/>
  </mergeCells>
  <printOptions horizontalCentered="1" verticalCentered="1"/>
  <pageMargins left="0.2" right="0.2" top="0.2" bottom="0.2" header="0" footer="0"/>
  <pageSetup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opLeftCell="A3" workbookViewId="0">
      <selection activeCell="N33" sqref="N33"/>
    </sheetView>
  </sheetViews>
  <sheetFormatPr defaultRowHeight="15"/>
  <cols>
    <col min="1" max="1" width="7.7109375" style="66" customWidth="1"/>
    <col min="2" max="14" width="9.140625" style="66"/>
    <col min="15" max="15" width="16.28515625" style="66" customWidth="1"/>
    <col min="16" max="16384" width="9.140625" style="66"/>
  </cols>
  <sheetData>
    <row r="1" spans="1:19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5"/>
      <c r="S1" s="65"/>
    </row>
    <row r="2" spans="1:19" ht="15.75">
      <c r="A2" s="67" t="s">
        <v>38</v>
      </c>
      <c r="B2" s="68"/>
      <c r="C2" s="68"/>
      <c r="D2" s="68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  <c r="S2" s="65"/>
    </row>
    <row r="3" spans="1:19">
      <c r="A3" s="67" t="s">
        <v>26</v>
      </c>
      <c r="B3" s="67"/>
      <c r="C3" s="67"/>
      <c r="D3" s="67"/>
      <c r="E3" s="67"/>
      <c r="F3" s="67"/>
      <c r="G3" s="67"/>
      <c r="H3" s="67"/>
      <c r="I3" s="67"/>
      <c r="J3" s="64"/>
      <c r="K3" s="64"/>
      <c r="L3" s="64"/>
      <c r="M3" s="64"/>
      <c r="N3" s="64"/>
      <c r="O3" s="64"/>
      <c r="P3" s="64"/>
      <c r="Q3" s="64"/>
      <c r="R3" s="65"/>
      <c r="S3" s="65"/>
    </row>
    <row r="4" spans="1:19">
      <c r="A4" s="67"/>
      <c r="B4" s="67"/>
      <c r="C4" s="67"/>
      <c r="D4" s="67"/>
      <c r="E4" s="67"/>
      <c r="F4" s="67"/>
      <c r="G4" s="67"/>
      <c r="H4" s="67"/>
      <c r="I4" s="67"/>
      <c r="J4" s="64"/>
      <c r="K4" s="64"/>
      <c r="L4" s="64"/>
      <c r="M4" s="64"/>
      <c r="N4" s="64"/>
      <c r="O4" s="64"/>
      <c r="P4" s="64"/>
      <c r="Q4" s="64"/>
      <c r="R4" s="65"/>
      <c r="S4" s="65"/>
    </row>
    <row r="5" spans="1:19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5"/>
      <c r="S5" s="65"/>
    </row>
    <row r="6" spans="1:19">
      <c r="A6" s="64" t="s">
        <v>18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5"/>
      <c r="S6" s="65"/>
    </row>
    <row r="7" spans="1:19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5"/>
      <c r="S7" s="65"/>
    </row>
    <row r="8" spans="1:19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5"/>
      <c r="S8" s="65"/>
    </row>
    <row r="9" spans="1:19" ht="15.75">
      <c r="A9" s="64" t="s">
        <v>87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5"/>
      <c r="S9" s="65"/>
    </row>
    <row r="10" spans="1:19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5"/>
      <c r="S10" s="65"/>
    </row>
    <row r="11" spans="1:19" ht="15.75">
      <c r="A11" s="64" t="s">
        <v>88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5"/>
      <c r="S11" s="65"/>
    </row>
    <row r="12" spans="1:19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5"/>
      <c r="S12" s="65"/>
    </row>
    <row r="13" spans="1:19" ht="15.75">
      <c r="A13" s="64" t="s">
        <v>89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5"/>
      <c r="S13" s="65"/>
    </row>
    <row r="14" spans="1:19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  <c r="S14" s="65"/>
    </row>
    <row r="15" spans="1:19" ht="15.75">
      <c r="A15" s="64" t="s">
        <v>83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5"/>
    </row>
    <row r="16" spans="1:19">
      <c r="A16" s="64"/>
      <c r="B16" s="64" t="s">
        <v>86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5"/>
      <c r="S16" s="65"/>
    </row>
    <row r="17" spans="1:19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65"/>
    </row>
    <row r="18" spans="1:19" ht="15.75">
      <c r="A18" s="64" t="s">
        <v>84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65"/>
    </row>
    <row r="19" spans="1: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  <c r="S19" s="65"/>
    </row>
    <row r="20" spans="1:19" ht="15.75">
      <c r="A20" s="64" t="s">
        <v>90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S20" s="65"/>
    </row>
    <row r="21" spans="1:19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65"/>
    </row>
    <row r="22" spans="1:19" ht="15.75">
      <c r="A22" s="64" t="s">
        <v>85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5"/>
      <c r="S22" s="65"/>
    </row>
    <row r="23" spans="1:19">
      <c r="A23" s="64"/>
      <c r="B23" s="64" t="s">
        <v>77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5"/>
      <c r="S23" s="65"/>
    </row>
    <row r="24" spans="1:19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  <c r="S24" s="65"/>
    </row>
    <row r="25" spans="1:19" ht="15.75">
      <c r="A25" s="64" t="s">
        <v>91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65"/>
    </row>
    <row r="26" spans="1:19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5"/>
      <c r="S26" s="65"/>
    </row>
    <row r="27" spans="1:19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</row>
    <row r="28" spans="1:19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>
      <c r="M29" s="65"/>
      <c r="N29" s="65"/>
      <c r="O29" s="65"/>
      <c r="P29" s="65"/>
      <c r="Q29" s="65"/>
      <c r="R29" s="65"/>
      <c r="S29" s="65"/>
    </row>
  </sheetData>
  <phoneticPr fontId="2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5"/>
  <sheetViews>
    <sheetView zoomScaleNormal="100" workbookViewId="0">
      <selection activeCell="B3" sqref="B3:J3"/>
    </sheetView>
  </sheetViews>
  <sheetFormatPr defaultRowHeight="12.75"/>
  <cols>
    <col min="1" max="1" width="9.42578125" customWidth="1"/>
    <col min="2" max="2" width="10.7109375" customWidth="1"/>
    <col min="3" max="3" width="11.140625" customWidth="1"/>
    <col min="4" max="8" width="10.7109375" customWidth="1"/>
    <col min="9" max="9" width="15.140625" customWidth="1"/>
    <col min="10" max="10" width="14" customWidth="1"/>
    <col min="11" max="11" width="16.28515625" customWidth="1"/>
    <col min="12" max="15" width="11.7109375" customWidth="1"/>
    <col min="16" max="16" width="5.5703125" style="130" customWidth="1"/>
    <col min="17" max="17" width="13.140625" style="137" customWidth="1"/>
  </cols>
  <sheetData>
    <row r="1" spans="1:22" ht="19.5">
      <c r="B1" s="253" t="s">
        <v>36</v>
      </c>
      <c r="C1" s="253"/>
      <c r="D1" s="253"/>
      <c r="E1" s="253"/>
      <c r="F1" s="253"/>
      <c r="G1" s="253"/>
      <c r="H1" s="253"/>
      <c r="I1" s="253"/>
      <c r="J1" s="253"/>
      <c r="K1" s="20"/>
      <c r="L1" s="20"/>
      <c r="M1" s="20"/>
      <c r="N1" s="20"/>
      <c r="O1" s="20"/>
      <c r="P1" s="125"/>
      <c r="Q1" s="136"/>
      <c r="R1" s="10"/>
    </row>
    <row r="2" spans="1:22" ht="19.5">
      <c r="B2" s="253" t="s">
        <v>99</v>
      </c>
      <c r="C2" s="253"/>
      <c r="D2" s="253"/>
      <c r="E2" s="253"/>
      <c r="F2" s="253"/>
      <c r="G2" s="253"/>
      <c r="H2" s="253"/>
      <c r="I2" s="253"/>
      <c r="J2" s="253"/>
      <c r="K2" s="20"/>
      <c r="L2" s="20"/>
      <c r="M2" s="20"/>
      <c r="N2" s="20"/>
      <c r="O2" s="20"/>
      <c r="P2" s="125"/>
      <c r="Q2" s="136"/>
      <c r="R2" s="10"/>
    </row>
    <row r="3" spans="1:22" ht="10.5" customHeight="1">
      <c r="B3" s="254"/>
      <c r="C3" s="254"/>
      <c r="D3" s="254"/>
      <c r="E3" s="254"/>
      <c r="F3" s="254"/>
      <c r="G3" s="254"/>
      <c r="H3" s="254"/>
      <c r="I3" s="254"/>
      <c r="J3" s="254"/>
      <c r="K3" s="10"/>
      <c r="L3" s="10"/>
      <c r="M3" s="10"/>
      <c r="N3" s="10"/>
      <c r="O3" s="10"/>
      <c r="P3" s="125"/>
      <c r="Q3" s="136"/>
      <c r="R3" s="10"/>
    </row>
    <row r="4" spans="1:22" ht="20.100000000000001" customHeight="1">
      <c r="A4" s="239" t="s">
        <v>0</v>
      </c>
      <c r="B4" s="239"/>
      <c r="C4" s="45"/>
      <c r="D4" s="45"/>
      <c r="E4" s="45"/>
      <c r="F4" s="39"/>
      <c r="G4" s="100" t="s">
        <v>19</v>
      </c>
      <c r="H4" s="53"/>
      <c r="I4" s="40"/>
      <c r="J4" s="61"/>
      <c r="K4" s="13"/>
      <c r="L4" s="12"/>
      <c r="P4" s="126"/>
      <c r="R4" s="1"/>
    </row>
    <row r="5" spans="1:22" ht="20.100000000000001" customHeight="1">
      <c r="A5" s="239" t="s">
        <v>17</v>
      </c>
      <c r="B5" s="239"/>
      <c r="C5" s="41"/>
      <c r="D5" s="41"/>
      <c r="E5" s="41"/>
      <c r="F5" s="39"/>
      <c r="G5" s="42" t="s">
        <v>6</v>
      </c>
      <c r="H5" s="59"/>
      <c r="I5" s="43"/>
      <c r="J5" s="44"/>
      <c r="K5" s="9"/>
      <c r="L5" s="12"/>
      <c r="P5" s="127"/>
      <c r="R5" s="1"/>
    </row>
    <row r="6" spans="1:22" ht="20.100000000000001" customHeight="1">
      <c r="A6" s="240" t="s">
        <v>4</v>
      </c>
      <c r="B6" s="240"/>
      <c r="C6" s="41"/>
      <c r="D6" s="41"/>
      <c r="E6" s="41"/>
      <c r="F6" s="39"/>
      <c r="G6" s="42" t="s">
        <v>3</v>
      </c>
      <c r="H6" s="59"/>
      <c r="I6" s="45"/>
      <c r="J6" s="45"/>
      <c r="K6" s="9"/>
      <c r="L6" s="12"/>
      <c r="P6" s="127"/>
      <c r="R6" s="1"/>
    </row>
    <row r="7" spans="1:22" ht="20.100000000000001" customHeight="1">
      <c r="A7" s="242" t="s">
        <v>5</v>
      </c>
      <c r="B7" s="242"/>
      <c r="C7" s="46"/>
      <c r="D7" s="46"/>
      <c r="E7" s="46"/>
      <c r="F7" s="240" t="s">
        <v>2</v>
      </c>
      <c r="G7" s="240"/>
      <c r="H7" s="60"/>
      <c r="I7" s="45"/>
      <c r="J7" s="45"/>
      <c r="P7" s="127"/>
      <c r="R7" s="1"/>
    </row>
    <row r="8" spans="1:22" ht="20.100000000000001" customHeight="1">
      <c r="A8" s="243" t="s">
        <v>15</v>
      </c>
      <c r="B8" s="243"/>
      <c r="C8" s="41"/>
      <c r="D8" s="41"/>
      <c r="E8" s="41"/>
      <c r="F8" s="244" t="s">
        <v>13</v>
      </c>
      <c r="G8" s="244"/>
      <c r="H8" s="54"/>
      <c r="I8" s="47" t="s">
        <v>14</v>
      </c>
      <c r="J8" s="54"/>
      <c r="P8" s="127"/>
      <c r="R8" s="1"/>
    </row>
    <row r="9" spans="1:22" ht="20.100000000000001" customHeight="1">
      <c r="A9" s="244" t="s">
        <v>11</v>
      </c>
      <c r="B9" s="244"/>
      <c r="C9" s="57"/>
      <c r="D9" s="41"/>
      <c r="E9" s="41"/>
      <c r="F9" s="39"/>
      <c r="G9" s="48" t="s">
        <v>7</v>
      </c>
      <c r="H9" s="55"/>
      <c r="I9" s="47" t="s">
        <v>8</v>
      </c>
      <c r="J9" s="55"/>
      <c r="P9" s="128"/>
    </row>
    <row r="10" spans="1:22" ht="27" customHeight="1">
      <c r="A10" s="255" t="s">
        <v>12</v>
      </c>
      <c r="B10" s="255"/>
      <c r="C10" s="58"/>
      <c r="D10" s="58"/>
      <c r="E10" s="58"/>
      <c r="F10" s="39"/>
      <c r="G10" s="47" t="s">
        <v>9</v>
      </c>
      <c r="H10" s="56"/>
      <c r="I10" s="49" t="s">
        <v>10</v>
      </c>
      <c r="J10" s="56"/>
      <c r="P10" s="129"/>
      <c r="R10" s="1"/>
    </row>
    <row r="11" spans="1:22" ht="21" customHeight="1">
      <c r="B11" s="21"/>
      <c r="C11" s="21"/>
      <c r="D11" s="247" t="s">
        <v>25</v>
      </c>
      <c r="E11" s="247"/>
      <c r="F11" s="256">
        <f>J163</f>
        <v>0</v>
      </c>
      <c r="G11" s="257"/>
      <c r="H11" s="32"/>
      <c r="I11" s="21"/>
      <c r="J11" s="22"/>
      <c r="O11" s="12"/>
      <c r="P11" s="145"/>
      <c r="Q11" s="138"/>
      <c r="R11" s="5"/>
      <c r="S11" s="12"/>
      <c r="T11" s="12"/>
      <c r="U11" s="12"/>
      <c r="V11" s="12"/>
    </row>
    <row r="12" spans="1:22" ht="18.75" customHeight="1">
      <c r="B12" s="21"/>
      <c r="C12" s="21"/>
      <c r="D12" s="248"/>
      <c r="E12" s="248"/>
      <c r="F12" s="62"/>
      <c r="G12" s="63"/>
      <c r="H12" s="32"/>
      <c r="I12" s="21"/>
      <c r="J12" s="22"/>
      <c r="O12" s="12"/>
      <c r="P12" s="145"/>
      <c r="Q12" s="146"/>
      <c r="R12" s="5"/>
      <c r="S12" s="12"/>
      <c r="T12" s="12"/>
      <c r="U12" s="12"/>
      <c r="V12" s="12"/>
    </row>
    <row r="13" spans="1:22" ht="11.25" customHeight="1" thickBot="1">
      <c r="B13" s="23"/>
      <c r="C13" s="24"/>
      <c r="D13" s="24"/>
      <c r="E13" s="24"/>
      <c r="F13" s="24"/>
      <c r="G13" s="24"/>
      <c r="H13" s="24"/>
      <c r="I13" s="24"/>
      <c r="J13" s="25"/>
      <c r="O13" s="147"/>
      <c r="P13" s="148"/>
      <c r="Q13" s="149"/>
      <c r="R13" s="147"/>
      <c r="S13" s="12"/>
      <c r="T13" s="12"/>
      <c r="U13" s="12"/>
      <c r="V13" s="12"/>
    </row>
    <row r="14" spans="1:22" ht="20.100000000000001" customHeight="1">
      <c r="B14" s="258" t="s">
        <v>1</v>
      </c>
      <c r="C14" s="251" t="s">
        <v>21</v>
      </c>
      <c r="D14" s="260" t="s">
        <v>23</v>
      </c>
      <c r="E14" s="249" t="s">
        <v>22</v>
      </c>
      <c r="F14" s="238" t="s">
        <v>24</v>
      </c>
      <c r="G14" s="238"/>
      <c r="H14" s="238"/>
      <c r="I14" s="238"/>
      <c r="J14" s="245" t="s">
        <v>75</v>
      </c>
      <c r="K14" s="19"/>
      <c r="L14" s="19"/>
      <c r="M14" s="19"/>
      <c r="N14" s="14"/>
      <c r="O14" s="15"/>
      <c r="P14" s="150"/>
      <c r="Q14" s="138"/>
      <c r="R14" s="8"/>
      <c r="S14" s="12"/>
      <c r="T14" s="12"/>
      <c r="U14" s="12"/>
      <c r="V14" s="12"/>
    </row>
    <row r="15" spans="1:22" ht="26.25" customHeight="1">
      <c r="B15" s="259"/>
      <c r="C15" s="252"/>
      <c r="D15" s="261"/>
      <c r="E15" s="250"/>
      <c r="F15" s="37">
        <v>0.6</v>
      </c>
      <c r="G15" s="37">
        <v>0.2</v>
      </c>
      <c r="H15" s="37">
        <v>0.8</v>
      </c>
      <c r="I15" s="38" t="s">
        <v>16</v>
      </c>
      <c r="J15" s="246"/>
      <c r="K15" s="16"/>
      <c r="L15" s="16"/>
      <c r="M15" s="17"/>
      <c r="N15" s="18"/>
      <c r="O15" s="18"/>
      <c r="P15" s="14"/>
      <c r="Q15" s="135"/>
      <c r="R15" s="6"/>
      <c r="S15" s="12"/>
      <c r="T15" s="12"/>
      <c r="U15" s="12"/>
      <c r="V15" s="12"/>
    </row>
    <row r="16" spans="1:22" ht="20.100000000000001" customHeight="1">
      <c r="B16" s="26">
        <v>1</v>
      </c>
      <c r="C16" s="36"/>
      <c r="D16" s="36">
        <f>C17-C16</f>
        <v>0</v>
      </c>
      <c r="E16" s="27"/>
      <c r="F16" s="28"/>
      <c r="G16" s="28"/>
      <c r="H16" s="28"/>
      <c r="I16" s="28" t="e">
        <f t="shared" ref="I16:I79" si="0">IF(AND(F16=""),AVERAGE(G16:H16),F16)</f>
        <v>#DIV/0!</v>
      </c>
      <c r="J16" s="33" t="e">
        <f>D16*E16*I16</f>
        <v>#DIV/0!</v>
      </c>
      <c r="K16" s="16"/>
      <c r="L16" s="16"/>
      <c r="M16" s="17"/>
      <c r="N16" s="18"/>
      <c r="O16" s="18"/>
      <c r="P16" s="150"/>
      <c r="Q16" s="143"/>
      <c r="R16" s="7"/>
      <c r="S16" s="12"/>
      <c r="T16" s="12"/>
      <c r="U16" s="12"/>
      <c r="V16" s="12"/>
    </row>
    <row r="17" spans="2:22" ht="20.100000000000001" customHeight="1">
      <c r="B17" s="26">
        <v>2</v>
      </c>
      <c r="C17" s="36"/>
      <c r="D17" s="36">
        <f>C18-C17</f>
        <v>0</v>
      </c>
      <c r="E17" s="27"/>
      <c r="F17" s="28"/>
      <c r="G17" s="28"/>
      <c r="H17" s="28"/>
      <c r="I17" s="28" t="e">
        <f t="shared" si="0"/>
        <v>#DIV/0!</v>
      </c>
      <c r="J17" s="33" t="e">
        <f t="shared" ref="J17:J45" si="1">D17*E17*I17</f>
        <v>#DIV/0!</v>
      </c>
      <c r="K17" s="16"/>
      <c r="L17" s="16"/>
      <c r="M17" s="17"/>
      <c r="N17" s="18"/>
      <c r="O17" s="18"/>
      <c r="P17" s="14"/>
      <c r="Q17" s="143"/>
      <c r="R17" s="7"/>
      <c r="S17" s="12"/>
      <c r="T17" s="12"/>
      <c r="U17" s="12"/>
      <c r="V17" s="12"/>
    </row>
    <row r="18" spans="2:22" ht="20.100000000000001" customHeight="1">
      <c r="B18" s="26">
        <v>3</v>
      </c>
      <c r="C18" s="36"/>
      <c r="D18" s="36">
        <f t="shared" ref="D18:D81" si="2">C19-C18</f>
        <v>0</v>
      </c>
      <c r="E18" s="27"/>
      <c r="F18" s="28"/>
      <c r="G18" s="28"/>
      <c r="H18" s="28"/>
      <c r="I18" s="28" t="e">
        <f t="shared" si="0"/>
        <v>#DIV/0!</v>
      </c>
      <c r="J18" s="33" t="e">
        <f t="shared" si="1"/>
        <v>#DIV/0!</v>
      </c>
      <c r="K18" s="16"/>
      <c r="L18" s="16"/>
      <c r="M18" s="17"/>
      <c r="N18" s="18"/>
      <c r="O18" s="18"/>
      <c r="P18" s="150"/>
      <c r="Q18" s="139"/>
      <c r="R18" s="7"/>
      <c r="S18" s="12"/>
      <c r="T18" s="12"/>
      <c r="U18" s="12"/>
      <c r="V18" s="12"/>
    </row>
    <row r="19" spans="2:22" ht="20.100000000000001" customHeight="1">
      <c r="B19" s="26">
        <v>4</v>
      </c>
      <c r="C19" s="36"/>
      <c r="D19" s="36">
        <f t="shared" si="2"/>
        <v>0</v>
      </c>
      <c r="E19" s="27"/>
      <c r="F19" s="28"/>
      <c r="G19" s="28"/>
      <c r="H19" s="28"/>
      <c r="I19" s="28" t="e">
        <f t="shared" si="0"/>
        <v>#DIV/0!</v>
      </c>
      <c r="J19" s="33" t="e">
        <f t="shared" si="1"/>
        <v>#DIV/0!</v>
      </c>
      <c r="K19" s="16"/>
      <c r="L19" s="16"/>
      <c r="M19" s="17"/>
      <c r="N19" s="18"/>
      <c r="O19" s="18"/>
      <c r="P19" s="14"/>
      <c r="Q19" s="143"/>
      <c r="R19" s="7"/>
      <c r="S19" s="12"/>
      <c r="T19" s="12"/>
      <c r="U19" s="12"/>
      <c r="V19" s="12"/>
    </row>
    <row r="20" spans="2:22" ht="20.100000000000001" customHeight="1">
      <c r="B20" s="26">
        <v>5</v>
      </c>
      <c r="C20" s="36"/>
      <c r="D20" s="36">
        <f t="shared" si="2"/>
        <v>0</v>
      </c>
      <c r="E20" s="27"/>
      <c r="F20" s="28"/>
      <c r="G20" s="28"/>
      <c r="H20" s="28"/>
      <c r="I20" s="28" t="e">
        <f t="shared" si="0"/>
        <v>#DIV/0!</v>
      </c>
      <c r="J20" s="33" t="e">
        <f t="shared" si="1"/>
        <v>#DIV/0!</v>
      </c>
      <c r="K20" s="16"/>
      <c r="L20" s="16"/>
      <c r="M20" s="17"/>
      <c r="N20" s="18"/>
      <c r="O20" s="18"/>
      <c r="P20" s="131"/>
      <c r="Q20" s="139"/>
      <c r="R20" s="7"/>
      <c r="S20" s="12"/>
      <c r="T20" s="12"/>
      <c r="U20" s="12"/>
      <c r="V20" s="12"/>
    </row>
    <row r="21" spans="2:22" ht="20.100000000000001" customHeight="1">
      <c r="B21" s="26">
        <v>6</v>
      </c>
      <c r="C21" s="36"/>
      <c r="D21" s="36">
        <f t="shared" si="2"/>
        <v>0</v>
      </c>
      <c r="E21" s="27"/>
      <c r="F21" s="28"/>
      <c r="G21" s="28"/>
      <c r="H21" s="28"/>
      <c r="I21" s="28" t="e">
        <f t="shared" si="0"/>
        <v>#DIV/0!</v>
      </c>
      <c r="J21" s="33" t="e">
        <f t="shared" si="1"/>
        <v>#DIV/0!</v>
      </c>
      <c r="K21" s="16"/>
      <c r="L21" s="16"/>
      <c r="M21" s="17"/>
      <c r="N21" s="18"/>
      <c r="O21" s="18"/>
      <c r="P21" s="131"/>
      <c r="Q21" s="139"/>
      <c r="R21" s="7"/>
      <c r="S21" s="12"/>
      <c r="T21" s="12"/>
      <c r="U21" s="12"/>
      <c r="V21" s="12"/>
    </row>
    <row r="22" spans="2:22" ht="20.100000000000001" customHeight="1">
      <c r="B22" s="26">
        <v>7</v>
      </c>
      <c r="C22" s="36"/>
      <c r="D22" s="36">
        <f t="shared" si="2"/>
        <v>0</v>
      </c>
      <c r="E22" s="27"/>
      <c r="F22" s="28"/>
      <c r="G22" s="28"/>
      <c r="H22" s="28"/>
      <c r="I22" s="28" t="e">
        <f t="shared" si="0"/>
        <v>#DIV/0!</v>
      </c>
      <c r="J22" s="33" t="e">
        <f t="shared" si="1"/>
        <v>#DIV/0!</v>
      </c>
      <c r="K22" s="16"/>
      <c r="L22" s="16"/>
      <c r="M22" s="17"/>
      <c r="N22" s="18"/>
      <c r="O22" s="18"/>
      <c r="P22" s="131"/>
      <c r="Q22" s="139"/>
      <c r="R22" s="7"/>
      <c r="S22" s="12"/>
      <c r="T22" s="12"/>
      <c r="U22" s="12"/>
      <c r="V22" s="12"/>
    </row>
    <row r="23" spans="2:22" ht="20.100000000000001" customHeight="1">
      <c r="B23" s="26">
        <v>8</v>
      </c>
      <c r="C23" s="36"/>
      <c r="D23" s="36">
        <f t="shared" si="2"/>
        <v>0</v>
      </c>
      <c r="E23" s="27"/>
      <c r="F23" s="28"/>
      <c r="G23" s="28"/>
      <c r="H23" s="28"/>
      <c r="I23" s="28" t="e">
        <f t="shared" si="0"/>
        <v>#DIV/0!</v>
      </c>
      <c r="J23" s="33" t="e">
        <f t="shared" si="1"/>
        <v>#DIV/0!</v>
      </c>
      <c r="K23" s="16"/>
      <c r="L23" s="16"/>
      <c r="M23" s="17"/>
      <c r="N23" s="18"/>
      <c r="O23" s="18"/>
      <c r="P23" s="131"/>
      <c r="Q23" s="139"/>
      <c r="R23" s="7"/>
    </row>
    <row r="24" spans="2:22" ht="20.100000000000001" customHeight="1">
      <c r="B24" s="26">
        <v>9</v>
      </c>
      <c r="C24" s="36"/>
      <c r="D24" s="36">
        <f t="shared" si="2"/>
        <v>0</v>
      </c>
      <c r="E24" s="27"/>
      <c r="F24" s="28"/>
      <c r="G24" s="28"/>
      <c r="H24" s="28"/>
      <c r="I24" s="28" t="e">
        <f t="shared" si="0"/>
        <v>#DIV/0!</v>
      </c>
      <c r="J24" s="33" t="e">
        <f t="shared" si="1"/>
        <v>#DIV/0!</v>
      </c>
      <c r="K24" s="16"/>
      <c r="L24" s="16"/>
      <c r="M24" s="17"/>
      <c r="N24" s="18"/>
      <c r="O24" s="18"/>
      <c r="P24" s="131"/>
      <c r="Q24" s="139"/>
      <c r="R24" s="7"/>
    </row>
    <row r="25" spans="2:22" ht="20.100000000000001" customHeight="1">
      <c r="B25" s="26">
        <v>10</v>
      </c>
      <c r="C25" s="36"/>
      <c r="D25" s="36">
        <f t="shared" si="2"/>
        <v>0</v>
      </c>
      <c r="E25" s="27"/>
      <c r="F25" s="28"/>
      <c r="G25" s="28"/>
      <c r="H25" s="28"/>
      <c r="I25" s="28" t="e">
        <f t="shared" si="0"/>
        <v>#DIV/0!</v>
      </c>
      <c r="J25" s="33" t="e">
        <f t="shared" si="1"/>
        <v>#DIV/0!</v>
      </c>
      <c r="K25" s="16"/>
      <c r="L25" s="16"/>
      <c r="M25" s="17"/>
      <c r="N25" s="18"/>
      <c r="O25" s="18"/>
      <c r="P25" s="131"/>
      <c r="Q25" s="139"/>
      <c r="R25" s="7"/>
    </row>
    <row r="26" spans="2:22" ht="20.100000000000001" customHeight="1">
      <c r="B26" s="26">
        <v>11</v>
      </c>
      <c r="C26" s="36"/>
      <c r="D26" s="36">
        <f t="shared" si="2"/>
        <v>0</v>
      </c>
      <c r="E26" s="27"/>
      <c r="F26" s="28"/>
      <c r="G26" s="28"/>
      <c r="H26" s="28"/>
      <c r="I26" s="28" t="e">
        <f t="shared" si="0"/>
        <v>#DIV/0!</v>
      </c>
      <c r="J26" s="33" t="e">
        <f t="shared" si="1"/>
        <v>#DIV/0!</v>
      </c>
      <c r="K26" s="16"/>
      <c r="L26" s="16"/>
      <c r="M26" s="17"/>
      <c r="N26" s="18"/>
      <c r="O26" s="18"/>
      <c r="P26" s="131"/>
      <c r="Q26" s="139"/>
      <c r="R26" s="7"/>
    </row>
    <row r="27" spans="2:22" ht="20.100000000000001" customHeight="1">
      <c r="B27" s="26">
        <v>12</v>
      </c>
      <c r="C27" s="36"/>
      <c r="D27" s="36">
        <f t="shared" si="2"/>
        <v>0</v>
      </c>
      <c r="E27" s="27"/>
      <c r="F27" s="28"/>
      <c r="G27" s="28"/>
      <c r="H27" s="28"/>
      <c r="I27" s="28" t="e">
        <f t="shared" si="0"/>
        <v>#DIV/0!</v>
      </c>
      <c r="J27" s="33" t="e">
        <f t="shared" si="1"/>
        <v>#DIV/0!</v>
      </c>
      <c r="K27" s="16"/>
      <c r="L27" s="16"/>
      <c r="M27" s="17"/>
      <c r="N27" s="18"/>
      <c r="O27" s="18"/>
      <c r="P27" s="131"/>
      <c r="Q27" s="139"/>
      <c r="R27" s="7"/>
    </row>
    <row r="28" spans="2:22" ht="20.100000000000001" customHeight="1">
      <c r="B28" s="26">
        <v>13</v>
      </c>
      <c r="C28" s="36"/>
      <c r="D28" s="36">
        <f t="shared" si="2"/>
        <v>0</v>
      </c>
      <c r="E28" s="27"/>
      <c r="F28" s="28"/>
      <c r="G28" s="28"/>
      <c r="H28" s="28"/>
      <c r="I28" s="28" t="e">
        <f t="shared" si="0"/>
        <v>#DIV/0!</v>
      </c>
      <c r="J28" s="33" t="e">
        <f t="shared" si="1"/>
        <v>#DIV/0!</v>
      </c>
      <c r="K28" s="16"/>
      <c r="L28" s="16"/>
      <c r="M28" s="17"/>
      <c r="N28" s="18"/>
      <c r="O28" s="18"/>
      <c r="P28" s="131"/>
      <c r="Q28" s="139"/>
      <c r="R28" s="7"/>
    </row>
    <row r="29" spans="2:22" ht="20.100000000000001" customHeight="1">
      <c r="B29" s="26">
        <v>14</v>
      </c>
      <c r="C29" s="36"/>
      <c r="D29" s="36">
        <f t="shared" si="2"/>
        <v>0</v>
      </c>
      <c r="E29" s="27"/>
      <c r="F29" s="28"/>
      <c r="G29" s="28"/>
      <c r="H29" s="28"/>
      <c r="I29" s="28" t="e">
        <f t="shared" si="0"/>
        <v>#DIV/0!</v>
      </c>
      <c r="J29" s="33" t="e">
        <f t="shared" si="1"/>
        <v>#DIV/0!</v>
      </c>
      <c r="K29" s="16"/>
      <c r="L29" s="16"/>
      <c r="M29" s="17"/>
      <c r="N29" s="18"/>
      <c r="O29" s="18"/>
      <c r="P29" s="131"/>
      <c r="Q29" s="139"/>
      <c r="R29" s="7"/>
    </row>
    <row r="30" spans="2:22" ht="20.100000000000001" customHeight="1">
      <c r="B30" s="26">
        <v>15</v>
      </c>
      <c r="C30" s="36"/>
      <c r="D30" s="36">
        <f t="shared" si="2"/>
        <v>0</v>
      </c>
      <c r="E30" s="27"/>
      <c r="F30" s="28"/>
      <c r="G30" s="28"/>
      <c r="H30" s="28"/>
      <c r="I30" s="28" t="e">
        <f t="shared" si="0"/>
        <v>#DIV/0!</v>
      </c>
      <c r="J30" s="33" t="e">
        <f t="shared" si="1"/>
        <v>#DIV/0!</v>
      </c>
      <c r="K30" s="16"/>
      <c r="L30" s="16"/>
      <c r="M30" s="17"/>
      <c r="N30" s="18"/>
      <c r="O30" s="18"/>
      <c r="P30" s="131"/>
      <c r="Q30" s="139"/>
      <c r="R30" s="7"/>
    </row>
    <row r="31" spans="2:22" ht="20.100000000000001" customHeight="1">
      <c r="B31" s="26">
        <v>16</v>
      </c>
      <c r="C31" s="36"/>
      <c r="D31" s="36">
        <f t="shared" si="2"/>
        <v>0</v>
      </c>
      <c r="E31" s="27"/>
      <c r="F31" s="28"/>
      <c r="G31" s="28"/>
      <c r="H31" s="28"/>
      <c r="I31" s="28" t="e">
        <f t="shared" si="0"/>
        <v>#DIV/0!</v>
      </c>
      <c r="J31" s="33" t="e">
        <f t="shared" si="1"/>
        <v>#DIV/0!</v>
      </c>
      <c r="K31" s="16"/>
      <c r="L31" s="16"/>
      <c r="M31" s="17"/>
      <c r="N31" s="18"/>
      <c r="O31" s="18"/>
      <c r="P31" s="131"/>
      <c r="Q31" s="139"/>
      <c r="R31" s="7"/>
    </row>
    <row r="32" spans="2:22" ht="20.100000000000001" customHeight="1">
      <c r="B32" s="26">
        <v>17</v>
      </c>
      <c r="C32" s="36"/>
      <c r="D32" s="36">
        <f t="shared" si="2"/>
        <v>0</v>
      </c>
      <c r="E32" s="27"/>
      <c r="F32" s="28"/>
      <c r="G32" s="28"/>
      <c r="H32" s="28"/>
      <c r="I32" s="28" t="e">
        <f t="shared" si="0"/>
        <v>#DIV/0!</v>
      </c>
      <c r="J32" s="33" t="e">
        <f t="shared" si="1"/>
        <v>#DIV/0!</v>
      </c>
      <c r="K32" s="16"/>
      <c r="L32" s="16"/>
      <c r="M32" s="17"/>
      <c r="N32" s="18"/>
      <c r="O32" s="18"/>
      <c r="P32" s="131"/>
      <c r="Q32" s="139"/>
      <c r="R32" s="7"/>
    </row>
    <row r="33" spans="2:18" ht="20.100000000000001" customHeight="1">
      <c r="B33" s="26">
        <v>18</v>
      </c>
      <c r="C33" s="36"/>
      <c r="D33" s="36">
        <f t="shared" si="2"/>
        <v>0</v>
      </c>
      <c r="E33" s="27"/>
      <c r="F33" s="28"/>
      <c r="G33" s="28"/>
      <c r="H33" s="28"/>
      <c r="I33" s="28" t="e">
        <f t="shared" si="0"/>
        <v>#DIV/0!</v>
      </c>
      <c r="J33" s="33" t="e">
        <f t="shared" si="1"/>
        <v>#DIV/0!</v>
      </c>
      <c r="K33" s="16"/>
      <c r="L33" s="16"/>
      <c r="M33" s="17"/>
      <c r="N33" s="18"/>
      <c r="O33" s="18"/>
      <c r="P33" s="131"/>
      <c r="Q33" s="139"/>
      <c r="R33" s="7"/>
    </row>
    <row r="34" spans="2:18" ht="20.100000000000001" customHeight="1">
      <c r="B34" s="26">
        <v>19</v>
      </c>
      <c r="C34" s="36"/>
      <c r="D34" s="36">
        <f t="shared" si="2"/>
        <v>0</v>
      </c>
      <c r="E34" s="27"/>
      <c r="F34" s="28"/>
      <c r="G34" s="28"/>
      <c r="H34" s="28"/>
      <c r="I34" s="28" t="e">
        <f t="shared" si="0"/>
        <v>#DIV/0!</v>
      </c>
      <c r="J34" s="33" t="e">
        <f t="shared" si="1"/>
        <v>#DIV/0!</v>
      </c>
      <c r="K34" s="16"/>
      <c r="L34" s="16"/>
      <c r="M34" s="17"/>
      <c r="N34" s="18"/>
      <c r="O34" s="18"/>
      <c r="P34" s="131"/>
      <c r="Q34" s="139"/>
      <c r="R34" s="7"/>
    </row>
    <row r="35" spans="2:18" ht="20.100000000000001" customHeight="1">
      <c r="B35" s="26">
        <v>20</v>
      </c>
      <c r="C35" s="36"/>
      <c r="D35" s="36">
        <f t="shared" si="2"/>
        <v>0</v>
      </c>
      <c r="E35" s="27"/>
      <c r="F35" s="28"/>
      <c r="G35" s="28"/>
      <c r="H35" s="28"/>
      <c r="I35" s="28" t="e">
        <f t="shared" si="0"/>
        <v>#DIV/0!</v>
      </c>
      <c r="J35" s="33" t="e">
        <f t="shared" si="1"/>
        <v>#DIV/0!</v>
      </c>
      <c r="K35" s="16"/>
      <c r="L35" s="16"/>
      <c r="M35" s="17"/>
      <c r="N35" s="18"/>
      <c r="O35" s="18"/>
      <c r="P35" s="131"/>
      <c r="Q35" s="139"/>
      <c r="R35" s="7"/>
    </row>
    <row r="36" spans="2:18" ht="20.100000000000001" customHeight="1">
      <c r="B36" s="26">
        <v>21</v>
      </c>
      <c r="C36" s="36"/>
      <c r="D36" s="36">
        <f t="shared" si="2"/>
        <v>0</v>
      </c>
      <c r="E36" s="27"/>
      <c r="F36" s="28"/>
      <c r="G36" s="28"/>
      <c r="H36" s="28"/>
      <c r="I36" s="28" t="e">
        <f t="shared" si="0"/>
        <v>#DIV/0!</v>
      </c>
      <c r="J36" s="33" t="e">
        <f t="shared" si="1"/>
        <v>#DIV/0!</v>
      </c>
      <c r="K36" s="16"/>
      <c r="L36" s="16"/>
      <c r="M36" s="17"/>
      <c r="N36" s="18"/>
      <c r="O36" s="18"/>
      <c r="P36" s="131"/>
      <c r="Q36" s="139"/>
      <c r="R36" s="7"/>
    </row>
    <row r="37" spans="2:18" ht="20.100000000000001" customHeight="1">
      <c r="B37" s="26">
        <v>22</v>
      </c>
      <c r="C37" s="36"/>
      <c r="D37" s="36">
        <f t="shared" si="2"/>
        <v>0</v>
      </c>
      <c r="E37" s="27"/>
      <c r="F37" s="28"/>
      <c r="G37" s="28"/>
      <c r="H37" s="28"/>
      <c r="I37" s="28" t="e">
        <f t="shared" si="0"/>
        <v>#DIV/0!</v>
      </c>
      <c r="J37" s="33" t="e">
        <f t="shared" si="1"/>
        <v>#DIV/0!</v>
      </c>
      <c r="K37" s="16"/>
      <c r="L37" s="16"/>
      <c r="M37" s="17"/>
      <c r="N37" s="18"/>
      <c r="O37" s="18"/>
      <c r="P37" s="131"/>
      <c r="Q37" s="139"/>
      <c r="R37" s="7"/>
    </row>
    <row r="38" spans="2:18" ht="20.100000000000001" customHeight="1">
      <c r="B38" s="26">
        <v>23</v>
      </c>
      <c r="C38" s="36"/>
      <c r="D38" s="36">
        <f t="shared" si="2"/>
        <v>0</v>
      </c>
      <c r="E38" s="27"/>
      <c r="F38" s="28"/>
      <c r="G38" s="28"/>
      <c r="H38" s="28"/>
      <c r="I38" s="28" t="e">
        <f t="shared" si="0"/>
        <v>#DIV/0!</v>
      </c>
      <c r="J38" s="33" t="e">
        <f t="shared" si="1"/>
        <v>#DIV/0!</v>
      </c>
      <c r="K38" s="16"/>
      <c r="L38" s="16"/>
      <c r="M38" s="17"/>
      <c r="N38" s="18"/>
      <c r="O38" s="18"/>
      <c r="P38" s="131"/>
      <c r="Q38" s="139"/>
      <c r="R38" s="7"/>
    </row>
    <row r="39" spans="2:18" ht="20.100000000000001" customHeight="1">
      <c r="B39" s="26">
        <v>24</v>
      </c>
      <c r="C39" s="36"/>
      <c r="D39" s="36">
        <f t="shared" si="2"/>
        <v>0</v>
      </c>
      <c r="E39" s="27"/>
      <c r="F39" s="28"/>
      <c r="G39" s="28"/>
      <c r="H39" s="28"/>
      <c r="I39" s="28" t="e">
        <f t="shared" si="0"/>
        <v>#DIV/0!</v>
      </c>
      <c r="J39" s="33" t="e">
        <f t="shared" si="1"/>
        <v>#DIV/0!</v>
      </c>
      <c r="K39" s="16"/>
      <c r="L39" s="16"/>
      <c r="M39" s="17"/>
      <c r="N39" s="18"/>
      <c r="O39" s="18"/>
      <c r="P39" s="131"/>
      <c r="Q39" s="139"/>
      <c r="R39" s="7"/>
    </row>
    <row r="40" spans="2:18" ht="20.100000000000001" customHeight="1">
      <c r="B40" s="26">
        <v>25</v>
      </c>
      <c r="C40" s="36"/>
      <c r="D40" s="36">
        <f t="shared" si="2"/>
        <v>0</v>
      </c>
      <c r="E40" s="27"/>
      <c r="F40" s="28"/>
      <c r="G40" s="28"/>
      <c r="H40" s="28"/>
      <c r="I40" s="28" t="e">
        <f t="shared" si="0"/>
        <v>#DIV/0!</v>
      </c>
      <c r="J40" s="33" t="e">
        <f t="shared" si="1"/>
        <v>#DIV/0!</v>
      </c>
      <c r="K40" s="16"/>
      <c r="L40" s="16"/>
      <c r="M40" s="17"/>
      <c r="N40" s="18"/>
      <c r="O40" s="18"/>
      <c r="P40" s="131"/>
      <c r="Q40" s="139"/>
      <c r="R40" s="7"/>
    </row>
    <row r="41" spans="2:18" ht="20.100000000000001" customHeight="1">
      <c r="B41" s="26">
        <v>26</v>
      </c>
      <c r="C41" s="36"/>
      <c r="D41" s="36">
        <f t="shared" si="2"/>
        <v>0</v>
      </c>
      <c r="E41" s="27"/>
      <c r="F41" s="28"/>
      <c r="G41" s="28"/>
      <c r="H41" s="28"/>
      <c r="I41" s="28" t="e">
        <f t="shared" si="0"/>
        <v>#DIV/0!</v>
      </c>
      <c r="J41" s="33" t="e">
        <f t="shared" si="1"/>
        <v>#DIV/0!</v>
      </c>
      <c r="K41" s="16"/>
      <c r="L41" s="16"/>
      <c r="M41" s="17"/>
      <c r="N41" s="18"/>
      <c r="O41" s="18"/>
      <c r="P41" s="131"/>
      <c r="Q41" s="139"/>
      <c r="R41" s="7"/>
    </row>
    <row r="42" spans="2:18" ht="20.100000000000001" customHeight="1">
      <c r="B42" s="26">
        <v>27</v>
      </c>
      <c r="C42" s="36"/>
      <c r="D42" s="36">
        <f t="shared" si="2"/>
        <v>0</v>
      </c>
      <c r="E42" s="27"/>
      <c r="F42" s="28"/>
      <c r="G42" s="28"/>
      <c r="H42" s="28"/>
      <c r="I42" s="28" t="e">
        <f t="shared" si="0"/>
        <v>#DIV/0!</v>
      </c>
      <c r="J42" s="33" t="e">
        <f t="shared" si="1"/>
        <v>#DIV/0!</v>
      </c>
      <c r="K42" s="16"/>
      <c r="L42" s="16"/>
      <c r="M42" s="17"/>
      <c r="N42" s="18"/>
      <c r="O42" s="18"/>
      <c r="P42" s="131"/>
      <c r="Q42" s="139"/>
      <c r="R42" s="7"/>
    </row>
    <row r="43" spans="2:18" ht="20.100000000000001" customHeight="1">
      <c r="B43" s="26">
        <v>28</v>
      </c>
      <c r="C43" s="36"/>
      <c r="D43" s="36">
        <f t="shared" si="2"/>
        <v>0</v>
      </c>
      <c r="E43" s="27"/>
      <c r="F43" s="28"/>
      <c r="G43" s="28"/>
      <c r="H43" s="28"/>
      <c r="I43" s="28" t="e">
        <f t="shared" si="0"/>
        <v>#DIV/0!</v>
      </c>
      <c r="J43" s="33" t="e">
        <f t="shared" si="1"/>
        <v>#DIV/0!</v>
      </c>
      <c r="K43" s="16"/>
      <c r="L43" s="16"/>
      <c r="M43" s="17"/>
      <c r="N43" s="18"/>
      <c r="O43" s="18"/>
      <c r="P43" s="131"/>
      <c r="Q43" s="139"/>
      <c r="R43" s="7"/>
    </row>
    <row r="44" spans="2:18" ht="20.100000000000001" customHeight="1">
      <c r="B44" s="26">
        <v>29</v>
      </c>
      <c r="C44" s="36"/>
      <c r="D44" s="36">
        <f t="shared" si="2"/>
        <v>0</v>
      </c>
      <c r="E44" s="27"/>
      <c r="F44" s="28"/>
      <c r="G44" s="28"/>
      <c r="H44" s="28"/>
      <c r="I44" s="28" t="e">
        <f t="shared" si="0"/>
        <v>#DIV/0!</v>
      </c>
      <c r="J44" s="33" t="e">
        <f t="shared" si="1"/>
        <v>#DIV/0!</v>
      </c>
      <c r="K44" s="16"/>
      <c r="L44" s="16"/>
      <c r="M44" s="17"/>
      <c r="N44" s="18"/>
      <c r="O44" s="18"/>
      <c r="P44" s="131"/>
      <c r="Q44" s="139"/>
      <c r="R44" s="7"/>
    </row>
    <row r="45" spans="2:18" ht="20.100000000000001" customHeight="1">
      <c r="B45" s="26">
        <v>30</v>
      </c>
      <c r="C45" s="36"/>
      <c r="D45" s="36">
        <f t="shared" si="2"/>
        <v>0</v>
      </c>
      <c r="E45" s="28"/>
      <c r="F45" s="28"/>
      <c r="G45" s="28"/>
      <c r="H45" s="28"/>
      <c r="I45" s="28" t="e">
        <f t="shared" si="0"/>
        <v>#DIV/0!</v>
      </c>
      <c r="J45" s="33" t="e">
        <f t="shared" si="1"/>
        <v>#DIV/0!</v>
      </c>
      <c r="K45" s="16"/>
      <c r="L45" s="16"/>
      <c r="M45" s="17"/>
      <c r="N45" s="18"/>
      <c r="O45" s="18"/>
      <c r="P45" s="131"/>
      <c r="Q45" s="139"/>
      <c r="R45" s="7"/>
    </row>
    <row r="46" spans="2:18" ht="20.100000000000001" customHeight="1">
      <c r="B46" s="101">
        <v>31</v>
      </c>
      <c r="C46" s="102"/>
      <c r="D46" s="102">
        <f t="shared" si="2"/>
        <v>0</v>
      </c>
      <c r="E46" s="103"/>
      <c r="F46" s="104"/>
      <c r="G46" s="104"/>
      <c r="H46" s="104"/>
      <c r="I46" s="28" t="e">
        <f t="shared" si="0"/>
        <v>#DIV/0!</v>
      </c>
      <c r="J46" s="105" t="e">
        <f>D46*E46*I46</f>
        <v>#DIV/0!</v>
      </c>
      <c r="K46" s="16"/>
      <c r="L46" s="16"/>
      <c r="M46" s="17"/>
      <c r="N46" s="18"/>
      <c r="O46" s="18"/>
      <c r="P46" s="131"/>
      <c r="Q46" s="134"/>
      <c r="R46" s="8"/>
    </row>
    <row r="47" spans="2:18" ht="20.100000000000001" customHeight="1">
      <c r="B47" s="26">
        <v>32</v>
      </c>
      <c r="C47" s="36"/>
      <c r="D47" s="36">
        <f t="shared" si="2"/>
        <v>0</v>
      </c>
      <c r="E47" s="27"/>
      <c r="F47" s="28"/>
      <c r="G47" s="28"/>
      <c r="H47" s="28"/>
      <c r="I47" s="28" t="e">
        <f t="shared" si="0"/>
        <v>#DIV/0!</v>
      </c>
      <c r="J47" s="33" t="e">
        <f t="shared" ref="J47:J75" si="3">D47*E47*I47</f>
        <v>#DIV/0!</v>
      </c>
      <c r="K47" s="16"/>
      <c r="L47" s="16"/>
      <c r="M47" s="17"/>
      <c r="N47" s="18"/>
      <c r="O47" s="18"/>
      <c r="P47" s="131"/>
      <c r="Q47" s="134"/>
      <c r="R47" s="6"/>
    </row>
    <row r="48" spans="2:18" ht="20.100000000000001" customHeight="1">
      <c r="B48" s="26">
        <v>33</v>
      </c>
      <c r="C48" s="36"/>
      <c r="D48" s="36">
        <f t="shared" si="2"/>
        <v>0</v>
      </c>
      <c r="E48" s="27"/>
      <c r="F48" s="28"/>
      <c r="G48" s="28"/>
      <c r="H48" s="28"/>
      <c r="I48" s="28" t="e">
        <f t="shared" si="0"/>
        <v>#DIV/0!</v>
      </c>
      <c r="J48" s="33" t="e">
        <f t="shared" si="3"/>
        <v>#DIV/0!</v>
      </c>
      <c r="K48" s="16"/>
      <c r="L48" s="16"/>
      <c r="M48" s="17"/>
      <c r="N48" s="18"/>
      <c r="O48" s="18"/>
      <c r="P48" s="131"/>
      <c r="Q48" s="139"/>
      <c r="R48" s="7"/>
    </row>
    <row r="49" spans="2:18" ht="20.100000000000001" customHeight="1">
      <c r="B49" s="26">
        <v>34</v>
      </c>
      <c r="C49" s="36"/>
      <c r="D49" s="36">
        <f t="shared" si="2"/>
        <v>0</v>
      </c>
      <c r="E49" s="27"/>
      <c r="F49" s="28"/>
      <c r="G49" s="28"/>
      <c r="H49" s="28"/>
      <c r="I49" s="28" t="e">
        <f t="shared" si="0"/>
        <v>#DIV/0!</v>
      </c>
      <c r="J49" s="33" t="e">
        <f t="shared" si="3"/>
        <v>#DIV/0!</v>
      </c>
      <c r="K49" s="16"/>
      <c r="L49" s="16"/>
      <c r="M49" s="17"/>
      <c r="N49" s="18"/>
      <c r="O49" s="18"/>
      <c r="P49" s="131"/>
      <c r="Q49" s="139"/>
      <c r="R49" s="7"/>
    </row>
    <row r="50" spans="2:18" ht="20.100000000000001" customHeight="1">
      <c r="B50" s="26">
        <v>35</v>
      </c>
      <c r="C50" s="36"/>
      <c r="D50" s="36">
        <f t="shared" si="2"/>
        <v>0</v>
      </c>
      <c r="E50" s="27"/>
      <c r="F50" s="28"/>
      <c r="G50" s="28"/>
      <c r="H50" s="28"/>
      <c r="I50" s="28" t="e">
        <f t="shared" si="0"/>
        <v>#DIV/0!</v>
      </c>
      <c r="J50" s="33" t="e">
        <f t="shared" si="3"/>
        <v>#DIV/0!</v>
      </c>
      <c r="K50" s="16"/>
      <c r="L50" s="16"/>
      <c r="M50" s="17"/>
      <c r="N50" s="18"/>
      <c r="O50" s="18"/>
      <c r="P50" s="131"/>
      <c r="Q50" s="139"/>
      <c r="R50" s="7"/>
    </row>
    <row r="51" spans="2:18" ht="20.100000000000001" customHeight="1">
      <c r="B51" s="26">
        <v>36</v>
      </c>
      <c r="C51" s="36"/>
      <c r="D51" s="36">
        <f t="shared" si="2"/>
        <v>0</v>
      </c>
      <c r="E51" s="27"/>
      <c r="F51" s="28"/>
      <c r="G51" s="28"/>
      <c r="H51" s="28"/>
      <c r="I51" s="28" t="e">
        <f t="shared" si="0"/>
        <v>#DIV/0!</v>
      </c>
      <c r="J51" s="33" t="e">
        <f t="shared" si="3"/>
        <v>#DIV/0!</v>
      </c>
      <c r="K51" s="16"/>
      <c r="L51" s="16"/>
      <c r="M51" s="17"/>
      <c r="N51" s="18"/>
      <c r="O51" s="18"/>
      <c r="P51" s="131"/>
      <c r="Q51" s="139"/>
      <c r="R51" s="7"/>
    </row>
    <row r="52" spans="2:18" ht="20.100000000000001" customHeight="1">
      <c r="B52" s="26">
        <v>37</v>
      </c>
      <c r="C52" s="36"/>
      <c r="D52" s="36">
        <f t="shared" si="2"/>
        <v>0</v>
      </c>
      <c r="E52" s="27"/>
      <c r="F52" s="28"/>
      <c r="G52" s="28"/>
      <c r="H52" s="28"/>
      <c r="I52" s="28" t="e">
        <f t="shared" si="0"/>
        <v>#DIV/0!</v>
      </c>
      <c r="J52" s="33" t="e">
        <f t="shared" si="3"/>
        <v>#DIV/0!</v>
      </c>
      <c r="K52" s="16"/>
      <c r="L52" s="16"/>
      <c r="M52" s="17"/>
      <c r="N52" s="18"/>
      <c r="O52" s="18"/>
      <c r="P52" s="131"/>
      <c r="Q52" s="139"/>
      <c r="R52" s="7"/>
    </row>
    <row r="53" spans="2:18" ht="20.100000000000001" customHeight="1">
      <c r="B53" s="26">
        <v>38</v>
      </c>
      <c r="C53" s="36"/>
      <c r="D53" s="36">
        <f t="shared" si="2"/>
        <v>0</v>
      </c>
      <c r="E53" s="27"/>
      <c r="F53" s="28"/>
      <c r="G53" s="28"/>
      <c r="H53" s="28"/>
      <c r="I53" s="28" t="e">
        <f t="shared" si="0"/>
        <v>#DIV/0!</v>
      </c>
      <c r="J53" s="33" t="e">
        <f t="shared" si="3"/>
        <v>#DIV/0!</v>
      </c>
      <c r="K53" s="16"/>
      <c r="L53" s="16"/>
      <c r="M53" s="17"/>
      <c r="N53" s="18"/>
      <c r="O53" s="18"/>
      <c r="P53" s="131"/>
      <c r="Q53" s="139"/>
      <c r="R53" s="7"/>
    </row>
    <row r="54" spans="2:18" ht="20.100000000000001" customHeight="1">
      <c r="B54" s="26">
        <v>39</v>
      </c>
      <c r="C54" s="36"/>
      <c r="D54" s="36">
        <f t="shared" si="2"/>
        <v>0</v>
      </c>
      <c r="E54" s="27"/>
      <c r="F54" s="28"/>
      <c r="G54" s="28"/>
      <c r="H54" s="28"/>
      <c r="I54" s="28" t="e">
        <f t="shared" si="0"/>
        <v>#DIV/0!</v>
      </c>
      <c r="J54" s="33" t="e">
        <f t="shared" si="3"/>
        <v>#DIV/0!</v>
      </c>
      <c r="K54" s="16"/>
      <c r="L54" s="16"/>
      <c r="M54" s="17"/>
      <c r="N54" s="18"/>
      <c r="O54" s="18"/>
      <c r="P54" s="131"/>
      <c r="Q54" s="139"/>
      <c r="R54" s="7"/>
    </row>
    <row r="55" spans="2:18" ht="20.100000000000001" customHeight="1">
      <c r="B55" s="26">
        <v>40</v>
      </c>
      <c r="C55" s="36"/>
      <c r="D55" s="36">
        <f t="shared" si="2"/>
        <v>0</v>
      </c>
      <c r="E55" s="27"/>
      <c r="F55" s="28"/>
      <c r="G55" s="28"/>
      <c r="H55" s="28"/>
      <c r="I55" s="28" t="e">
        <f t="shared" si="0"/>
        <v>#DIV/0!</v>
      </c>
      <c r="J55" s="33" t="e">
        <f t="shared" si="3"/>
        <v>#DIV/0!</v>
      </c>
      <c r="K55" s="16"/>
      <c r="L55" s="16"/>
      <c r="M55" s="17"/>
      <c r="N55" s="18"/>
      <c r="O55" s="18"/>
      <c r="P55" s="131"/>
      <c r="Q55" s="139"/>
      <c r="R55" s="7"/>
    </row>
    <row r="56" spans="2:18" ht="20.100000000000001" customHeight="1">
      <c r="B56" s="26">
        <v>41</v>
      </c>
      <c r="C56" s="36"/>
      <c r="D56" s="36">
        <f t="shared" si="2"/>
        <v>0</v>
      </c>
      <c r="E56" s="27"/>
      <c r="F56" s="28"/>
      <c r="G56" s="28"/>
      <c r="H56" s="28"/>
      <c r="I56" s="28" t="e">
        <f t="shared" si="0"/>
        <v>#DIV/0!</v>
      </c>
      <c r="J56" s="33" t="e">
        <f t="shared" si="3"/>
        <v>#DIV/0!</v>
      </c>
      <c r="K56" s="16"/>
      <c r="L56" s="16"/>
      <c r="M56" s="17"/>
      <c r="N56" s="18"/>
      <c r="O56" s="18"/>
      <c r="P56" s="131"/>
      <c r="Q56" s="139"/>
      <c r="R56" s="7"/>
    </row>
    <row r="57" spans="2:18" ht="20.100000000000001" customHeight="1">
      <c r="B57" s="26">
        <v>42</v>
      </c>
      <c r="C57" s="36"/>
      <c r="D57" s="36">
        <f t="shared" si="2"/>
        <v>0</v>
      </c>
      <c r="E57" s="27"/>
      <c r="F57" s="28"/>
      <c r="G57" s="28"/>
      <c r="H57" s="28"/>
      <c r="I57" s="28" t="e">
        <f t="shared" si="0"/>
        <v>#DIV/0!</v>
      </c>
      <c r="J57" s="33" t="e">
        <f t="shared" si="3"/>
        <v>#DIV/0!</v>
      </c>
      <c r="K57" s="16"/>
      <c r="L57" s="16"/>
      <c r="M57" s="17"/>
      <c r="N57" s="18"/>
      <c r="O57" s="18"/>
      <c r="P57" s="131"/>
      <c r="Q57" s="139"/>
      <c r="R57" s="7"/>
    </row>
    <row r="58" spans="2:18" ht="20.100000000000001" customHeight="1">
      <c r="B58" s="26">
        <v>43</v>
      </c>
      <c r="C58" s="36"/>
      <c r="D58" s="36">
        <f t="shared" si="2"/>
        <v>0</v>
      </c>
      <c r="E58" s="27"/>
      <c r="F58" s="28"/>
      <c r="G58" s="28"/>
      <c r="H58" s="28"/>
      <c r="I58" s="28" t="e">
        <f t="shared" si="0"/>
        <v>#DIV/0!</v>
      </c>
      <c r="J58" s="33" t="e">
        <f t="shared" si="3"/>
        <v>#DIV/0!</v>
      </c>
      <c r="K58" s="16"/>
      <c r="L58" s="16"/>
      <c r="M58" s="17"/>
      <c r="N58" s="18"/>
      <c r="O58" s="18"/>
      <c r="P58" s="131"/>
      <c r="Q58" s="139"/>
      <c r="R58" s="7"/>
    </row>
    <row r="59" spans="2:18" ht="20.100000000000001" customHeight="1">
      <c r="B59" s="26">
        <v>44</v>
      </c>
      <c r="C59" s="36"/>
      <c r="D59" s="36">
        <f t="shared" si="2"/>
        <v>0</v>
      </c>
      <c r="E59" s="27"/>
      <c r="F59" s="28"/>
      <c r="G59" s="28"/>
      <c r="H59" s="28"/>
      <c r="I59" s="28" t="e">
        <f t="shared" si="0"/>
        <v>#DIV/0!</v>
      </c>
      <c r="J59" s="33" t="e">
        <f t="shared" si="3"/>
        <v>#DIV/0!</v>
      </c>
      <c r="K59" s="16"/>
      <c r="L59" s="16"/>
      <c r="M59" s="17"/>
      <c r="N59" s="18"/>
      <c r="O59" s="18"/>
      <c r="P59" s="131"/>
      <c r="Q59" s="139"/>
      <c r="R59" s="7"/>
    </row>
    <row r="60" spans="2:18" ht="20.100000000000001" customHeight="1">
      <c r="B60" s="26">
        <v>45</v>
      </c>
      <c r="C60" s="36"/>
      <c r="D60" s="36">
        <f t="shared" si="2"/>
        <v>0</v>
      </c>
      <c r="E60" s="27"/>
      <c r="F60" s="28"/>
      <c r="G60" s="28"/>
      <c r="H60" s="28"/>
      <c r="I60" s="28" t="e">
        <f t="shared" si="0"/>
        <v>#DIV/0!</v>
      </c>
      <c r="J60" s="33" t="e">
        <f t="shared" si="3"/>
        <v>#DIV/0!</v>
      </c>
      <c r="K60" s="16"/>
      <c r="L60" s="16"/>
      <c r="M60" s="17"/>
      <c r="N60" s="18"/>
      <c r="O60" s="18"/>
      <c r="P60" s="131"/>
      <c r="Q60" s="139"/>
      <c r="R60" s="7"/>
    </row>
    <row r="61" spans="2:18" ht="20.100000000000001" customHeight="1">
      <c r="B61" s="26">
        <v>46</v>
      </c>
      <c r="C61" s="36"/>
      <c r="D61" s="36">
        <f t="shared" si="2"/>
        <v>0</v>
      </c>
      <c r="E61" s="27"/>
      <c r="F61" s="28"/>
      <c r="G61" s="28"/>
      <c r="H61" s="28"/>
      <c r="I61" s="28" t="e">
        <f t="shared" si="0"/>
        <v>#DIV/0!</v>
      </c>
      <c r="J61" s="33" t="e">
        <f t="shared" si="3"/>
        <v>#DIV/0!</v>
      </c>
      <c r="K61" s="16"/>
      <c r="L61" s="16"/>
      <c r="M61" s="17"/>
      <c r="N61" s="18"/>
      <c r="O61" s="18"/>
      <c r="P61" s="131"/>
      <c r="Q61" s="139"/>
      <c r="R61" s="7"/>
    </row>
    <row r="62" spans="2:18" ht="20.100000000000001" customHeight="1">
      <c r="B62" s="26">
        <v>47</v>
      </c>
      <c r="C62" s="36"/>
      <c r="D62" s="36">
        <f t="shared" si="2"/>
        <v>0</v>
      </c>
      <c r="E62" s="27"/>
      <c r="F62" s="28"/>
      <c r="G62" s="28"/>
      <c r="H62" s="28"/>
      <c r="I62" s="28" t="e">
        <f t="shared" si="0"/>
        <v>#DIV/0!</v>
      </c>
      <c r="J62" s="33" t="e">
        <f t="shared" si="3"/>
        <v>#DIV/0!</v>
      </c>
      <c r="K62" s="16"/>
      <c r="L62" s="16"/>
      <c r="M62" s="17"/>
      <c r="N62" s="18"/>
      <c r="O62" s="18"/>
      <c r="P62" s="131"/>
      <c r="Q62" s="139"/>
      <c r="R62" s="7"/>
    </row>
    <row r="63" spans="2:18" ht="20.100000000000001" customHeight="1">
      <c r="B63" s="26">
        <v>48</v>
      </c>
      <c r="C63" s="36"/>
      <c r="D63" s="36">
        <f t="shared" si="2"/>
        <v>0</v>
      </c>
      <c r="E63" s="27"/>
      <c r="F63" s="28"/>
      <c r="G63" s="28"/>
      <c r="H63" s="28"/>
      <c r="I63" s="28" t="e">
        <f t="shared" si="0"/>
        <v>#DIV/0!</v>
      </c>
      <c r="J63" s="33" t="e">
        <f t="shared" si="3"/>
        <v>#DIV/0!</v>
      </c>
      <c r="K63" s="16"/>
      <c r="L63" s="16"/>
      <c r="M63" s="17"/>
      <c r="N63" s="18"/>
      <c r="O63" s="18"/>
      <c r="P63" s="131"/>
      <c r="Q63" s="139"/>
      <c r="R63" s="7"/>
    </row>
    <row r="64" spans="2:18" ht="20.100000000000001" customHeight="1">
      <c r="B64" s="26">
        <v>49</v>
      </c>
      <c r="C64" s="36"/>
      <c r="D64" s="36">
        <f t="shared" si="2"/>
        <v>0</v>
      </c>
      <c r="E64" s="27"/>
      <c r="F64" s="28"/>
      <c r="G64" s="28"/>
      <c r="H64" s="28"/>
      <c r="I64" s="28" t="e">
        <f t="shared" si="0"/>
        <v>#DIV/0!</v>
      </c>
      <c r="J64" s="33" t="e">
        <f t="shared" si="3"/>
        <v>#DIV/0!</v>
      </c>
      <c r="K64" s="16"/>
      <c r="L64" s="16"/>
      <c r="M64" s="17"/>
      <c r="N64" s="18"/>
      <c r="O64" s="18"/>
      <c r="P64" s="131"/>
      <c r="Q64" s="139"/>
      <c r="R64" s="7"/>
    </row>
    <row r="65" spans="2:18" ht="20.100000000000001" customHeight="1">
      <c r="B65" s="26">
        <v>50</v>
      </c>
      <c r="C65" s="36"/>
      <c r="D65" s="36">
        <f t="shared" si="2"/>
        <v>0</v>
      </c>
      <c r="E65" s="27"/>
      <c r="F65" s="28"/>
      <c r="G65" s="28"/>
      <c r="H65" s="28"/>
      <c r="I65" s="28" t="e">
        <f t="shared" si="0"/>
        <v>#DIV/0!</v>
      </c>
      <c r="J65" s="33" t="e">
        <f t="shared" si="3"/>
        <v>#DIV/0!</v>
      </c>
      <c r="K65" s="16"/>
      <c r="L65" s="16"/>
      <c r="M65" s="17"/>
      <c r="N65" s="18"/>
      <c r="O65" s="18"/>
      <c r="P65" s="131"/>
      <c r="Q65" s="139"/>
      <c r="R65" s="7"/>
    </row>
    <row r="66" spans="2:18" ht="20.100000000000001" customHeight="1">
      <c r="B66" s="26">
        <v>51</v>
      </c>
      <c r="C66" s="36"/>
      <c r="D66" s="36">
        <f t="shared" si="2"/>
        <v>0</v>
      </c>
      <c r="E66" s="27"/>
      <c r="F66" s="28"/>
      <c r="G66" s="28"/>
      <c r="H66" s="28"/>
      <c r="I66" s="28" t="e">
        <f t="shared" si="0"/>
        <v>#DIV/0!</v>
      </c>
      <c r="J66" s="33" t="e">
        <f t="shared" si="3"/>
        <v>#DIV/0!</v>
      </c>
      <c r="K66" s="16"/>
      <c r="L66" s="16"/>
      <c r="M66" s="17"/>
      <c r="N66" s="18"/>
      <c r="O66" s="18"/>
      <c r="P66" s="131"/>
      <c r="Q66" s="139"/>
      <c r="R66" s="7"/>
    </row>
    <row r="67" spans="2:18" ht="20.100000000000001" customHeight="1">
      <c r="B67" s="26">
        <v>52</v>
      </c>
      <c r="C67" s="36"/>
      <c r="D67" s="36">
        <f t="shared" si="2"/>
        <v>0</v>
      </c>
      <c r="E67" s="27"/>
      <c r="F67" s="28"/>
      <c r="G67" s="28"/>
      <c r="H67" s="28"/>
      <c r="I67" s="28" t="e">
        <f t="shared" si="0"/>
        <v>#DIV/0!</v>
      </c>
      <c r="J67" s="33" t="e">
        <f t="shared" si="3"/>
        <v>#DIV/0!</v>
      </c>
      <c r="K67" s="16"/>
      <c r="L67" s="16"/>
      <c r="M67" s="17"/>
      <c r="N67" s="18"/>
      <c r="O67" s="18"/>
      <c r="P67" s="131"/>
      <c r="Q67" s="139"/>
      <c r="R67" s="7"/>
    </row>
    <row r="68" spans="2:18" ht="20.100000000000001" customHeight="1">
      <c r="B68" s="26">
        <v>53</v>
      </c>
      <c r="C68" s="36"/>
      <c r="D68" s="36">
        <f t="shared" si="2"/>
        <v>0</v>
      </c>
      <c r="E68" s="27"/>
      <c r="F68" s="28"/>
      <c r="G68" s="28"/>
      <c r="H68" s="28"/>
      <c r="I68" s="28" t="e">
        <f t="shared" si="0"/>
        <v>#DIV/0!</v>
      </c>
      <c r="J68" s="33" t="e">
        <f t="shared" si="3"/>
        <v>#DIV/0!</v>
      </c>
      <c r="K68" s="16"/>
      <c r="L68" s="16"/>
      <c r="M68" s="17"/>
      <c r="N68" s="18"/>
      <c r="O68" s="18"/>
      <c r="P68" s="131"/>
      <c r="Q68" s="139"/>
      <c r="R68" s="7"/>
    </row>
    <row r="69" spans="2:18" ht="20.100000000000001" customHeight="1">
      <c r="B69" s="26">
        <v>54</v>
      </c>
      <c r="C69" s="36"/>
      <c r="D69" s="36">
        <f t="shared" si="2"/>
        <v>0</v>
      </c>
      <c r="E69" s="27"/>
      <c r="F69" s="28"/>
      <c r="G69" s="28"/>
      <c r="H69" s="28"/>
      <c r="I69" s="28" t="e">
        <f t="shared" si="0"/>
        <v>#DIV/0!</v>
      </c>
      <c r="J69" s="33" t="e">
        <f t="shared" si="3"/>
        <v>#DIV/0!</v>
      </c>
      <c r="K69" s="16"/>
      <c r="L69" s="16"/>
      <c r="M69" s="17"/>
      <c r="N69" s="18"/>
      <c r="O69" s="18"/>
      <c r="P69" s="131"/>
      <c r="Q69" s="139"/>
      <c r="R69" s="7"/>
    </row>
    <row r="70" spans="2:18" ht="20.100000000000001" customHeight="1">
      <c r="B70" s="26">
        <v>55</v>
      </c>
      <c r="C70" s="36"/>
      <c r="D70" s="36">
        <f t="shared" si="2"/>
        <v>0</v>
      </c>
      <c r="E70" s="27"/>
      <c r="F70" s="28"/>
      <c r="G70" s="28"/>
      <c r="H70" s="28"/>
      <c r="I70" s="28" t="e">
        <f t="shared" si="0"/>
        <v>#DIV/0!</v>
      </c>
      <c r="J70" s="33" t="e">
        <f t="shared" si="3"/>
        <v>#DIV/0!</v>
      </c>
      <c r="K70" s="16"/>
      <c r="L70" s="16"/>
      <c r="M70" s="17"/>
      <c r="N70" s="18"/>
      <c r="O70" s="18"/>
      <c r="P70" s="131"/>
      <c r="Q70" s="139"/>
      <c r="R70" s="7"/>
    </row>
    <row r="71" spans="2:18" ht="20.100000000000001" customHeight="1">
      <c r="B71" s="26">
        <v>56</v>
      </c>
      <c r="C71" s="36"/>
      <c r="D71" s="36">
        <f t="shared" si="2"/>
        <v>0</v>
      </c>
      <c r="E71" s="27"/>
      <c r="F71" s="28"/>
      <c r="G71" s="28"/>
      <c r="H71" s="28"/>
      <c r="I71" s="28" t="e">
        <f t="shared" si="0"/>
        <v>#DIV/0!</v>
      </c>
      <c r="J71" s="33" t="e">
        <f t="shared" si="3"/>
        <v>#DIV/0!</v>
      </c>
      <c r="K71" s="16"/>
      <c r="L71" s="16"/>
      <c r="M71" s="17"/>
      <c r="N71" s="18"/>
      <c r="O71" s="18"/>
      <c r="P71" s="131"/>
      <c r="Q71" s="139"/>
      <c r="R71" s="7"/>
    </row>
    <row r="72" spans="2:18" ht="20.100000000000001" customHeight="1">
      <c r="B72" s="26">
        <v>57</v>
      </c>
      <c r="C72" s="36"/>
      <c r="D72" s="36">
        <f t="shared" si="2"/>
        <v>0</v>
      </c>
      <c r="E72" s="27"/>
      <c r="F72" s="28"/>
      <c r="G72" s="28"/>
      <c r="H72" s="28"/>
      <c r="I72" s="28" t="e">
        <f t="shared" si="0"/>
        <v>#DIV/0!</v>
      </c>
      <c r="J72" s="33" t="e">
        <f t="shared" si="3"/>
        <v>#DIV/0!</v>
      </c>
      <c r="K72" s="16"/>
      <c r="L72" s="16"/>
      <c r="M72" s="17"/>
      <c r="N72" s="18"/>
      <c r="O72" s="18"/>
      <c r="P72" s="131"/>
      <c r="Q72" s="139"/>
      <c r="R72" s="7"/>
    </row>
    <row r="73" spans="2:18" ht="20.100000000000001" customHeight="1">
      <c r="B73" s="26">
        <v>58</v>
      </c>
      <c r="C73" s="36"/>
      <c r="D73" s="36">
        <f t="shared" si="2"/>
        <v>0</v>
      </c>
      <c r="E73" s="27"/>
      <c r="F73" s="28"/>
      <c r="G73" s="28"/>
      <c r="H73" s="28"/>
      <c r="I73" s="28" t="e">
        <f t="shared" si="0"/>
        <v>#DIV/0!</v>
      </c>
      <c r="J73" s="33" t="e">
        <f t="shared" si="3"/>
        <v>#DIV/0!</v>
      </c>
      <c r="K73" s="16"/>
      <c r="L73" s="16"/>
      <c r="M73" s="17"/>
      <c r="N73" s="18"/>
      <c r="O73" s="18"/>
      <c r="P73" s="131"/>
      <c r="Q73" s="139"/>
      <c r="R73" s="7"/>
    </row>
    <row r="74" spans="2:18" ht="20.100000000000001" customHeight="1">
      <c r="B74" s="26">
        <v>59</v>
      </c>
      <c r="C74" s="36"/>
      <c r="D74" s="36">
        <f t="shared" si="2"/>
        <v>0</v>
      </c>
      <c r="E74" s="27"/>
      <c r="F74" s="28"/>
      <c r="G74" s="28"/>
      <c r="H74" s="28"/>
      <c r="I74" s="28" t="e">
        <f t="shared" si="0"/>
        <v>#DIV/0!</v>
      </c>
      <c r="J74" s="33" t="e">
        <f t="shared" si="3"/>
        <v>#DIV/0!</v>
      </c>
      <c r="K74" s="16"/>
      <c r="L74" s="16"/>
      <c r="M74" s="17"/>
      <c r="N74" s="18"/>
      <c r="O74" s="18"/>
      <c r="P74" s="131"/>
      <c r="Q74" s="139"/>
      <c r="R74" s="7"/>
    </row>
    <row r="75" spans="2:18" ht="20.100000000000001" customHeight="1">
      <c r="B75" s="26">
        <v>60</v>
      </c>
      <c r="C75" s="36"/>
      <c r="D75" s="36">
        <f t="shared" si="2"/>
        <v>0</v>
      </c>
      <c r="E75" s="27"/>
      <c r="F75" s="28"/>
      <c r="G75" s="28"/>
      <c r="H75" s="28"/>
      <c r="I75" s="28" t="e">
        <f t="shared" si="0"/>
        <v>#DIV/0!</v>
      </c>
      <c r="J75" s="33" t="e">
        <f t="shared" si="3"/>
        <v>#DIV/0!</v>
      </c>
      <c r="K75" s="16"/>
      <c r="L75" s="16"/>
      <c r="M75" s="17"/>
      <c r="N75" s="18"/>
      <c r="O75" s="18"/>
      <c r="P75" s="131"/>
      <c r="Q75" s="139"/>
      <c r="R75" s="7"/>
    </row>
    <row r="76" spans="2:18" ht="20.100000000000001" customHeight="1">
      <c r="B76" s="26">
        <v>61</v>
      </c>
      <c r="C76" s="36"/>
      <c r="D76" s="36">
        <f t="shared" si="2"/>
        <v>0</v>
      </c>
      <c r="E76" s="27"/>
      <c r="F76" s="28"/>
      <c r="G76" s="28"/>
      <c r="H76" s="28"/>
      <c r="I76" s="28" t="e">
        <f t="shared" si="0"/>
        <v>#DIV/0!</v>
      </c>
      <c r="J76" s="33" t="e">
        <f>D76*E76*I76</f>
        <v>#DIV/0!</v>
      </c>
      <c r="K76" s="16"/>
      <c r="L76" s="16"/>
      <c r="M76" s="17"/>
      <c r="N76" s="18"/>
      <c r="O76" s="18"/>
      <c r="P76" s="131"/>
      <c r="Q76" s="139"/>
      <c r="R76" s="7"/>
    </row>
    <row r="77" spans="2:18" ht="20.100000000000001" customHeight="1">
      <c r="B77" s="26">
        <v>62</v>
      </c>
      <c r="C77" s="36"/>
      <c r="D77" s="36">
        <f t="shared" si="2"/>
        <v>0</v>
      </c>
      <c r="E77" s="27"/>
      <c r="F77" s="28"/>
      <c r="G77" s="28"/>
      <c r="H77" s="28"/>
      <c r="I77" s="28" t="e">
        <f t="shared" si="0"/>
        <v>#DIV/0!</v>
      </c>
      <c r="J77" s="33" t="e">
        <f t="shared" ref="J77:J84" si="4">D77*E77*I77</f>
        <v>#DIV/0!</v>
      </c>
      <c r="K77" s="16"/>
      <c r="L77" s="16"/>
      <c r="M77" s="17"/>
      <c r="N77" s="18"/>
      <c r="O77" s="18"/>
      <c r="P77" s="131"/>
      <c r="Q77" s="139"/>
      <c r="R77" s="7"/>
    </row>
    <row r="78" spans="2:18" ht="20.100000000000001" customHeight="1">
      <c r="B78" s="26">
        <v>63</v>
      </c>
      <c r="C78" s="36"/>
      <c r="D78" s="36">
        <f t="shared" si="2"/>
        <v>0</v>
      </c>
      <c r="E78" s="27"/>
      <c r="F78" s="28"/>
      <c r="G78" s="28"/>
      <c r="H78" s="28"/>
      <c r="I78" s="28" t="e">
        <f t="shared" si="0"/>
        <v>#DIV/0!</v>
      </c>
      <c r="J78" s="33" t="e">
        <f t="shared" si="4"/>
        <v>#DIV/0!</v>
      </c>
      <c r="K78" s="16"/>
      <c r="L78" s="16"/>
      <c r="M78" s="17"/>
      <c r="N78" s="18"/>
      <c r="O78" s="18"/>
      <c r="P78" s="131"/>
      <c r="Q78" s="139"/>
      <c r="R78" s="7"/>
    </row>
    <row r="79" spans="2:18" ht="20.100000000000001" customHeight="1">
      <c r="B79" s="26">
        <v>64</v>
      </c>
      <c r="C79" s="36"/>
      <c r="D79" s="36">
        <f t="shared" si="2"/>
        <v>0</v>
      </c>
      <c r="E79" s="27"/>
      <c r="F79" s="28"/>
      <c r="G79" s="28"/>
      <c r="H79" s="28"/>
      <c r="I79" s="28" t="e">
        <f t="shared" si="0"/>
        <v>#DIV/0!</v>
      </c>
      <c r="J79" s="33" t="e">
        <f t="shared" si="4"/>
        <v>#DIV/0!</v>
      </c>
      <c r="K79" s="16"/>
      <c r="L79" s="16"/>
      <c r="M79" s="17"/>
      <c r="N79" s="18"/>
      <c r="O79" s="18"/>
      <c r="P79" s="131"/>
      <c r="Q79" s="139"/>
      <c r="R79" s="7"/>
    </row>
    <row r="80" spans="2:18" ht="20.100000000000001" customHeight="1">
      <c r="B80" s="26">
        <v>65</v>
      </c>
      <c r="C80" s="36"/>
      <c r="D80" s="36">
        <f t="shared" si="2"/>
        <v>0</v>
      </c>
      <c r="E80" s="27"/>
      <c r="F80" s="28"/>
      <c r="G80" s="28"/>
      <c r="H80" s="28"/>
      <c r="I80" s="28" t="e">
        <f t="shared" ref="I80:I143" si="5">IF(AND(F80=""),AVERAGE(G80:H80),F80)</f>
        <v>#DIV/0!</v>
      </c>
      <c r="J80" s="33" t="e">
        <f t="shared" si="4"/>
        <v>#DIV/0!</v>
      </c>
      <c r="K80" s="16"/>
      <c r="L80" s="16"/>
      <c r="M80" s="17"/>
      <c r="N80" s="18"/>
      <c r="O80" s="18"/>
      <c r="P80" s="131"/>
      <c r="Q80" s="139"/>
      <c r="R80" s="7"/>
    </row>
    <row r="81" spans="2:18" ht="20.100000000000001" customHeight="1">
      <c r="B81" s="26">
        <v>66</v>
      </c>
      <c r="C81" s="36"/>
      <c r="D81" s="36">
        <f t="shared" si="2"/>
        <v>0</v>
      </c>
      <c r="E81" s="27"/>
      <c r="F81" s="28"/>
      <c r="G81" s="28"/>
      <c r="H81" s="28"/>
      <c r="I81" s="28" t="e">
        <f t="shared" si="5"/>
        <v>#DIV/0!</v>
      </c>
      <c r="J81" s="33" t="e">
        <f t="shared" si="4"/>
        <v>#DIV/0!</v>
      </c>
      <c r="K81" s="16"/>
      <c r="L81" s="16"/>
      <c r="M81" s="17"/>
      <c r="N81" s="18"/>
      <c r="O81" s="18"/>
      <c r="P81" s="131"/>
      <c r="Q81" s="139"/>
      <c r="R81" s="7"/>
    </row>
    <row r="82" spans="2:18" ht="20.100000000000001" customHeight="1">
      <c r="B82" s="26">
        <v>67</v>
      </c>
      <c r="C82" s="36"/>
      <c r="D82" s="36">
        <f t="shared" ref="D82:D145" si="6">C83-C82</f>
        <v>0</v>
      </c>
      <c r="E82" s="27"/>
      <c r="F82" s="28"/>
      <c r="G82" s="28"/>
      <c r="H82" s="28"/>
      <c r="I82" s="28" t="e">
        <f t="shared" si="5"/>
        <v>#DIV/0!</v>
      </c>
      <c r="J82" s="33" t="e">
        <f t="shared" si="4"/>
        <v>#DIV/0!</v>
      </c>
      <c r="K82" s="16"/>
      <c r="L82" s="16"/>
      <c r="M82" s="17"/>
      <c r="N82" s="18"/>
      <c r="O82" s="18"/>
      <c r="P82" s="131"/>
      <c r="Q82" s="139"/>
      <c r="R82" s="7"/>
    </row>
    <row r="83" spans="2:18" ht="20.100000000000001" customHeight="1">
      <c r="B83" s="26">
        <v>68</v>
      </c>
      <c r="C83" s="36"/>
      <c r="D83" s="36">
        <f t="shared" si="6"/>
        <v>0</v>
      </c>
      <c r="E83" s="27"/>
      <c r="F83" s="28"/>
      <c r="G83" s="28"/>
      <c r="H83" s="28"/>
      <c r="I83" s="28" t="e">
        <f t="shared" si="5"/>
        <v>#DIV/0!</v>
      </c>
      <c r="J83" s="33" t="e">
        <f t="shared" si="4"/>
        <v>#DIV/0!</v>
      </c>
      <c r="K83" s="16"/>
      <c r="L83" s="16"/>
      <c r="M83" s="17"/>
      <c r="N83" s="18"/>
      <c r="O83" s="18"/>
      <c r="P83" s="131"/>
      <c r="Q83" s="139"/>
      <c r="R83" s="7"/>
    </row>
    <row r="84" spans="2:18" ht="20.100000000000001" customHeight="1">
      <c r="B84" s="26">
        <v>69</v>
      </c>
      <c r="C84" s="36"/>
      <c r="D84" s="36">
        <f t="shared" si="6"/>
        <v>0</v>
      </c>
      <c r="E84" s="27"/>
      <c r="F84" s="28"/>
      <c r="G84" s="28"/>
      <c r="H84" s="28"/>
      <c r="I84" s="28" t="e">
        <f t="shared" si="5"/>
        <v>#DIV/0!</v>
      </c>
      <c r="J84" s="33" t="e">
        <f t="shared" si="4"/>
        <v>#DIV/0!</v>
      </c>
      <c r="K84" s="16"/>
      <c r="L84" s="16"/>
      <c r="M84" s="17"/>
      <c r="N84" s="18"/>
      <c r="O84" s="18"/>
      <c r="P84" s="131"/>
      <c r="Q84" s="139"/>
      <c r="R84" s="7"/>
    </row>
    <row r="85" spans="2:18" ht="20.100000000000001" customHeight="1">
      <c r="B85" s="101">
        <v>70</v>
      </c>
      <c r="C85" s="102"/>
      <c r="D85" s="102">
        <f t="shared" si="6"/>
        <v>0</v>
      </c>
      <c r="E85" s="103"/>
      <c r="F85" s="104"/>
      <c r="G85" s="104"/>
      <c r="H85" s="104"/>
      <c r="I85" s="28" t="e">
        <f t="shared" si="5"/>
        <v>#DIV/0!</v>
      </c>
      <c r="J85" s="105" t="e">
        <f>D85*E85*I85</f>
        <v>#DIV/0!</v>
      </c>
      <c r="K85" s="4"/>
      <c r="L85" s="4"/>
      <c r="M85" s="4"/>
      <c r="N85" s="4"/>
      <c r="O85" s="4"/>
      <c r="P85" s="132"/>
      <c r="Q85" s="140"/>
      <c r="R85" s="11"/>
    </row>
    <row r="86" spans="2:18" ht="20.100000000000001" customHeight="1">
      <c r="B86" s="26">
        <v>71</v>
      </c>
      <c r="C86" s="36"/>
      <c r="D86" s="36">
        <f t="shared" si="6"/>
        <v>0</v>
      </c>
      <c r="E86" s="27"/>
      <c r="F86" s="28"/>
      <c r="G86" s="28"/>
      <c r="H86" s="28"/>
      <c r="I86" s="28" t="e">
        <f t="shared" si="5"/>
        <v>#DIV/0!</v>
      </c>
      <c r="J86" s="33" t="e">
        <f t="shared" ref="J86:J114" si="7">D86*E86*I86</f>
        <v>#DIV/0!</v>
      </c>
      <c r="K86" s="4"/>
      <c r="L86" s="4"/>
      <c r="M86" s="4"/>
      <c r="N86" s="4"/>
      <c r="O86" s="4"/>
      <c r="P86" s="132"/>
      <c r="Q86" s="141"/>
      <c r="R86" s="4"/>
    </row>
    <row r="87" spans="2:18" ht="20.100000000000001" customHeight="1">
      <c r="B87" s="26">
        <v>72</v>
      </c>
      <c r="C87" s="36"/>
      <c r="D87" s="36">
        <f t="shared" si="6"/>
        <v>0</v>
      </c>
      <c r="E87" s="27"/>
      <c r="F87" s="28"/>
      <c r="G87" s="28"/>
      <c r="H87" s="28"/>
      <c r="I87" s="28" t="e">
        <f t="shared" si="5"/>
        <v>#DIV/0!</v>
      </c>
      <c r="J87" s="33" t="e">
        <f t="shared" si="7"/>
        <v>#DIV/0!</v>
      </c>
      <c r="K87" s="3"/>
      <c r="L87" s="3"/>
      <c r="M87" s="2"/>
      <c r="N87" s="2"/>
      <c r="O87" s="2"/>
      <c r="P87" s="133"/>
      <c r="Q87" s="141"/>
      <c r="R87" s="4"/>
    </row>
    <row r="88" spans="2:18" ht="20.100000000000001" customHeight="1">
      <c r="B88" s="26">
        <v>73</v>
      </c>
      <c r="C88" s="36"/>
      <c r="D88" s="36">
        <f t="shared" si="6"/>
        <v>0</v>
      </c>
      <c r="E88" s="27"/>
      <c r="F88" s="28"/>
      <c r="G88" s="28"/>
      <c r="H88" s="28"/>
      <c r="I88" s="28" t="e">
        <f t="shared" si="5"/>
        <v>#DIV/0!</v>
      </c>
      <c r="J88" s="33" t="e">
        <f t="shared" si="7"/>
        <v>#DIV/0!</v>
      </c>
      <c r="Q88" s="142"/>
      <c r="R88" s="2"/>
    </row>
    <row r="89" spans="2:18" ht="20.100000000000001" customHeight="1">
      <c r="B89" s="26">
        <v>74</v>
      </c>
      <c r="C89" s="36"/>
      <c r="D89" s="36">
        <f t="shared" si="6"/>
        <v>0</v>
      </c>
      <c r="E89" s="27"/>
      <c r="F89" s="28"/>
      <c r="G89" s="28"/>
      <c r="H89" s="28"/>
      <c r="I89" s="28" t="e">
        <f t="shared" si="5"/>
        <v>#DIV/0!</v>
      </c>
      <c r="J89" s="33" t="e">
        <f t="shared" si="7"/>
        <v>#DIV/0!</v>
      </c>
    </row>
    <row r="90" spans="2:18" ht="20.100000000000001" customHeight="1">
      <c r="B90" s="26">
        <v>75</v>
      </c>
      <c r="C90" s="36"/>
      <c r="D90" s="36">
        <f t="shared" si="6"/>
        <v>0</v>
      </c>
      <c r="E90" s="27"/>
      <c r="F90" s="28"/>
      <c r="G90" s="28"/>
      <c r="H90" s="28"/>
      <c r="I90" s="28" t="e">
        <f t="shared" si="5"/>
        <v>#DIV/0!</v>
      </c>
      <c r="J90" s="33" t="e">
        <f t="shared" si="7"/>
        <v>#DIV/0!</v>
      </c>
    </row>
    <row r="91" spans="2:18" ht="20.100000000000001" customHeight="1">
      <c r="B91" s="26">
        <v>76</v>
      </c>
      <c r="C91" s="36"/>
      <c r="D91" s="36">
        <f t="shared" si="6"/>
        <v>0</v>
      </c>
      <c r="E91" s="27"/>
      <c r="F91" s="28"/>
      <c r="G91" s="28"/>
      <c r="H91" s="28"/>
      <c r="I91" s="28" t="e">
        <f t="shared" si="5"/>
        <v>#DIV/0!</v>
      </c>
      <c r="J91" s="33" t="e">
        <f t="shared" si="7"/>
        <v>#DIV/0!</v>
      </c>
    </row>
    <row r="92" spans="2:18" ht="20.100000000000001" customHeight="1">
      <c r="B92" s="26">
        <v>77</v>
      </c>
      <c r="C92" s="36"/>
      <c r="D92" s="36">
        <f t="shared" si="6"/>
        <v>0</v>
      </c>
      <c r="E92" s="27"/>
      <c r="F92" s="28"/>
      <c r="G92" s="28"/>
      <c r="H92" s="28"/>
      <c r="I92" s="28" t="e">
        <f t="shared" si="5"/>
        <v>#DIV/0!</v>
      </c>
      <c r="J92" s="33" t="e">
        <f t="shared" si="7"/>
        <v>#DIV/0!</v>
      </c>
    </row>
    <row r="93" spans="2:18" ht="20.100000000000001" customHeight="1">
      <c r="B93" s="26">
        <v>78</v>
      </c>
      <c r="C93" s="36"/>
      <c r="D93" s="36">
        <f t="shared" si="6"/>
        <v>0</v>
      </c>
      <c r="E93" s="27"/>
      <c r="F93" s="28"/>
      <c r="G93" s="28"/>
      <c r="H93" s="28"/>
      <c r="I93" s="28" t="e">
        <f t="shared" si="5"/>
        <v>#DIV/0!</v>
      </c>
      <c r="J93" s="33" t="e">
        <f t="shared" si="7"/>
        <v>#DIV/0!</v>
      </c>
    </row>
    <row r="94" spans="2:18" ht="20.100000000000001" customHeight="1">
      <c r="B94" s="26">
        <v>79</v>
      </c>
      <c r="C94" s="36"/>
      <c r="D94" s="36">
        <f t="shared" si="6"/>
        <v>0</v>
      </c>
      <c r="E94" s="27"/>
      <c r="F94" s="28"/>
      <c r="G94" s="28"/>
      <c r="H94" s="28"/>
      <c r="I94" s="28" t="e">
        <f t="shared" si="5"/>
        <v>#DIV/0!</v>
      </c>
      <c r="J94" s="33" t="e">
        <f t="shared" si="7"/>
        <v>#DIV/0!</v>
      </c>
    </row>
    <row r="95" spans="2:18" ht="20.100000000000001" customHeight="1">
      <c r="B95" s="26">
        <v>80</v>
      </c>
      <c r="C95" s="36"/>
      <c r="D95" s="36">
        <f t="shared" si="6"/>
        <v>0</v>
      </c>
      <c r="E95" s="27"/>
      <c r="F95" s="28"/>
      <c r="G95" s="28"/>
      <c r="H95" s="28"/>
      <c r="I95" s="28" t="e">
        <f t="shared" si="5"/>
        <v>#DIV/0!</v>
      </c>
      <c r="J95" s="33" t="e">
        <f t="shared" si="7"/>
        <v>#DIV/0!</v>
      </c>
    </row>
    <row r="96" spans="2:18" ht="20.100000000000001" customHeight="1">
      <c r="B96" s="26">
        <v>81</v>
      </c>
      <c r="C96" s="36"/>
      <c r="D96" s="36">
        <f t="shared" si="6"/>
        <v>0</v>
      </c>
      <c r="E96" s="27"/>
      <c r="F96" s="28"/>
      <c r="G96" s="28"/>
      <c r="H96" s="28"/>
      <c r="I96" s="28" t="e">
        <f t="shared" si="5"/>
        <v>#DIV/0!</v>
      </c>
      <c r="J96" s="33" t="e">
        <f t="shared" si="7"/>
        <v>#DIV/0!</v>
      </c>
    </row>
    <row r="97" spans="2:10" ht="20.100000000000001" customHeight="1">
      <c r="B97" s="26">
        <v>82</v>
      </c>
      <c r="C97" s="36"/>
      <c r="D97" s="36">
        <f t="shared" si="6"/>
        <v>0</v>
      </c>
      <c r="E97" s="27"/>
      <c r="F97" s="28"/>
      <c r="G97" s="28"/>
      <c r="H97" s="28"/>
      <c r="I97" s="28" t="e">
        <f t="shared" si="5"/>
        <v>#DIV/0!</v>
      </c>
      <c r="J97" s="33" t="e">
        <f t="shared" si="7"/>
        <v>#DIV/0!</v>
      </c>
    </row>
    <row r="98" spans="2:10" ht="20.100000000000001" customHeight="1">
      <c r="B98" s="26">
        <v>83</v>
      </c>
      <c r="C98" s="36"/>
      <c r="D98" s="36">
        <f t="shared" si="6"/>
        <v>0</v>
      </c>
      <c r="E98" s="27"/>
      <c r="F98" s="28"/>
      <c r="G98" s="28"/>
      <c r="H98" s="28"/>
      <c r="I98" s="28" t="e">
        <f t="shared" si="5"/>
        <v>#DIV/0!</v>
      </c>
      <c r="J98" s="33" t="e">
        <f t="shared" si="7"/>
        <v>#DIV/0!</v>
      </c>
    </row>
    <row r="99" spans="2:10" ht="20.100000000000001" customHeight="1">
      <c r="B99" s="26">
        <v>84</v>
      </c>
      <c r="C99" s="36"/>
      <c r="D99" s="36">
        <f t="shared" si="6"/>
        <v>0</v>
      </c>
      <c r="E99" s="27"/>
      <c r="F99" s="28"/>
      <c r="G99" s="28"/>
      <c r="H99" s="28"/>
      <c r="I99" s="28" t="e">
        <f t="shared" si="5"/>
        <v>#DIV/0!</v>
      </c>
      <c r="J99" s="33" t="e">
        <f t="shared" si="7"/>
        <v>#DIV/0!</v>
      </c>
    </row>
    <row r="100" spans="2:10" ht="20.100000000000001" customHeight="1">
      <c r="B100" s="26">
        <v>85</v>
      </c>
      <c r="C100" s="36"/>
      <c r="D100" s="36">
        <f t="shared" si="6"/>
        <v>0</v>
      </c>
      <c r="E100" s="27"/>
      <c r="F100" s="28"/>
      <c r="G100" s="28"/>
      <c r="H100" s="28"/>
      <c r="I100" s="28" t="e">
        <f t="shared" si="5"/>
        <v>#DIV/0!</v>
      </c>
      <c r="J100" s="33" t="e">
        <f t="shared" si="7"/>
        <v>#DIV/0!</v>
      </c>
    </row>
    <row r="101" spans="2:10" ht="20.100000000000001" customHeight="1">
      <c r="B101" s="26">
        <v>86</v>
      </c>
      <c r="C101" s="36"/>
      <c r="D101" s="36">
        <f t="shared" si="6"/>
        <v>0</v>
      </c>
      <c r="E101" s="27"/>
      <c r="F101" s="28"/>
      <c r="G101" s="28"/>
      <c r="H101" s="28"/>
      <c r="I101" s="28" t="e">
        <f t="shared" si="5"/>
        <v>#DIV/0!</v>
      </c>
      <c r="J101" s="33" t="e">
        <f t="shared" si="7"/>
        <v>#DIV/0!</v>
      </c>
    </row>
    <row r="102" spans="2:10" ht="20.100000000000001" customHeight="1">
      <c r="B102" s="26">
        <v>87</v>
      </c>
      <c r="C102" s="36"/>
      <c r="D102" s="36">
        <f t="shared" si="6"/>
        <v>0</v>
      </c>
      <c r="E102" s="27"/>
      <c r="F102" s="28"/>
      <c r="G102" s="28"/>
      <c r="H102" s="28"/>
      <c r="I102" s="28" t="e">
        <f t="shared" si="5"/>
        <v>#DIV/0!</v>
      </c>
      <c r="J102" s="33" t="e">
        <f t="shared" si="7"/>
        <v>#DIV/0!</v>
      </c>
    </row>
    <row r="103" spans="2:10" ht="20.100000000000001" customHeight="1">
      <c r="B103" s="26">
        <v>88</v>
      </c>
      <c r="C103" s="36"/>
      <c r="D103" s="36">
        <f t="shared" si="6"/>
        <v>0</v>
      </c>
      <c r="E103" s="27"/>
      <c r="F103" s="28"/>
      <c r="G103" s="28"/>
      <c r="H103" s="28"/>
      <c r="I103" s="28" t="e">
        <f t="shared" si="5"/>
        <v>#DIV/0!</v>
      </c>
      <c r="J103" s="33" t="e">
        <f t="shared" si="7"/>
        <v>#DIV/0!</v>
      </c>
    </row>
    <row r="104" spans="2:10" ht="20.100000000000001" customHeight="1">
      <c r="B104" s="26">
        <v>89</v>
      </c>
      <c r="C104" s="36"/>
      <c r="D104" s="36">
        <f t="shared" si="6"/>
        <v>0</v>
      </c>
      <c r="E104" s="27"/>
      <c r="F104" s="28"/>
      <c r="G104" s="28"/>
      <c r="H104" s="28"/>
      <c r="I104" s="28" t="e">
        <f t="shared" si="5"/>
        <v>#DIV/0!</v>
      </c>
      <c r="J104" s="33" t="e">
        <f t="shared" si="7"/>
        <v>#DIV/0!</v>
      </c>
    </row>
    <row r="105" spans="2:10" ht="20.100000000000001" customHeight="1">
      <c r="B105" s="26">
        <v>90</v>
      </c>
      <c r="C105" s="36"/>
      <c r="D105" s="36">
        <f t="shared" si="6"/>
        <v>0</v>
      </c>
      <c r="E105" s="27"/>
      <c r="F105" s="28"/>
      <c r="G105" s="28"/>
      <c r="H105" s="28"/>
      <c r="I105" s="28" t="e">
        <f t="shared" si="5"/>
        <v>#DIV/0!</v>
      </c>
      <c r="J105" s="33" t="e">
        <f t="shared" si="7"/>
        <v>#DIV/0!</v>
      </c>
    </row>
    <row r="106" spans="2:10" ht="20.100000000000001" customHeight="1">
      <c r="B106" s="26">
        <v>91</v>
      </c>
      <c r="C106" s="36"/>
      <c r="D106" s="36">
        <f t="shared" si="6"/>
        <v>0</v>
      </c>
      <c r="E106" s="27"/>
      <c r="F106" s="28"/>
      <c r="G106" s="28"/>
      <c r="H106" s="28"/>
      <c r="I106" s="28" t="e">
        <f t="shared" si="5"/>
        <v>#DIV/0!</v>
      </c>
      <c r="J106" s="33" t="e">
        <f t="shared" si="7"/>
        <v>#DIV/0!</v>
      </c>
    </row>
    <row r="107" spans="2:10" ht="20.100000000000001" customHeight="1">
      <c r="B107" s="26">
        <v>92</v>
      </c>
      <c r="C107" s="36"/>
      <c r="D107" s="36">
        <f t="shared" si="6"/>
        <v>0</v>
      </c>
      <c r="E107" s="27"/>
      <c r="F107" s="28"/>
      <c r="G107" s="28"/>
      <c r="H107" s="28"/>
      <c r="I107" s="28" t="e">
        <f t="shared" si="5"/>
        <v>#DIV/0!</v>
      </c>
      <c r="J107" s="33" t="e">
        <f t="shared" si="7"/>
        <v>#DIV/0!</v>
      </c>
    </row>
    <row r="108" spans="2:10" ht="20.100000000000001" customHeight="1">
      <c r="B108" s="26">
        <v>93</v>
      </c>
      <c r="C108" s="36"/>
      <c r="D108" s="36">
        <f t="shared" si="6"/>
        <v>0</v>
      </c>
      <c r="E108" s="27"/>
      <c r="F108" s="28"/>
      <c r="G108" s="28"/>
      <c r="H108" s="28"/>
      <c r="I108" s="28" t="e">
        <f t="shared" si="5"/>
        <v>#DIV/0!</v>
      </c>
      <c r="J108" s="33" t="e">
        <f t="shared" si="7"/>
        <v>#DIV/0!</v>
      </c>
    </row>
    <row r="109" spans="2:10" ht="20.100000000000001" customHeight="1">
      <c r="B109" s="26">
        <v>94</v>
      </c>
      <c r="C109" s="36"/>
      <c r="D109" s="36">
        <f t="shared" si="6"/>
        <v>0</v>
      </c>
      <c r="E109" s="27"/>
      <c r="F109" s="28"/>
      <c r="G109" s="28"/>
      <c r="H109" s="28"/>
      <c r="I109" s="28" t="e">
        <f t="shared" si="5"/>
        <v>#DIV/0!</v>
      </c>
      <c r="J109" s="33" t="e">
        <f t="shared" si="7"/>
        <v>#DIV/0!</v>
      </c>
    </row>
    <row r="110" spans="2:10" ht="20.100000000000001" customHeight="1">
      <c r="B110" s="26">
        <v>95</v>
      </c>
      <c r="C110" s="36"/>
      <c r="D110" s="36">
        <f t="shared" si="6"/>
        <v>0</v>
      </c>
      <c r="E110" s="27"/>
      <c r="F110" s="28"/>
      <c r="G110" s="28"/>
      <c r="H110" s="28"/>
      <c r="I110" s="28" t="e">
        <f t="shared" si="5"/>
        <v>#DIV/0!</v>
      </c>
      <c r="J110" s="33" t="e">
        <f t="shared" si="7"/>
        <v>#DIV/0!</v>
      </c>
    </row>
    <row r="111" spans="2:10" ht="20.100000000000001" customHeight="1">
      <c r="B111" s="26">
        <v>96</v>
      </c>
      <c r="C111" s="36"/>
      <c r="D111" s="36">
        <f t="shared" si="6"/>
        <v>0</v>
      </c>
      <c r="E111" s="27"/>
      <c r="F111" s="28"/>
      <c r="G111" s="28"/>
      <c r="H111" s="28"/>
      <c r="I111" s="28" t="e">
        <f t="shared" si="5"/>
        <v>#DIV/0!</v>
      </c>
      <c r="J111" s="33" t="e">
        <f t="shared" si="7"/>
        <v>#DIV/0!</v>
      </c>
    </row>
    <row r="112" spans="2:10" ht="20.100000000000001" customHeight="1">
      <c r="B112" s="26">
        <v>97</v>
      </c>
      <c r="C112" s="36"/>
      <c r="D112" s="36">
        <f t="shared" si="6"/>
        <v>0</v>
      </c>
      <c r="E112" s="27"/>
      <c r="F112" s="28"/>
      <c r="G112" s="28"/>
      <c r="H112" s="28"/>
      <c r="I112" s="28" t="e">
        <f t="shared" si="5"/>
        <v>#DIV/0!</v>
      </c>
      <c r="J112" s="33" t="e">
        <f t="shared" si="7"/>
        <v>#DIV/0!</v>
      </c>
    </row>
    <row r="113" spans="2:10" ht="20.100000000000001" customHeight="1">
      <c r="B113" s="26">
        <v>98</v>
      </c>
      <c r="C113" s="36"/>
      <c r="D113" s="36">
        <f t="shared" si="6"/>
        <v>0</v>
      </c>
      <c r="E113" s="27"/>
      <c r="F113" s="28"/>
      <c r="G113" s="28"/>
      <c r="H113" s="28"/>
      <c r="I113" s="28" t="e">
        <f t="shared" si="5"/>
        <v>#DIV/0!</v>
      </c>
      <c r="J113" s="33" t="e">
        <f t="shared" si="7"/>
        <v>#DIV/0!</v>
      </c>
    </row>
    <row r="114" spans="2:10" ht="20.100000000000001" customHeight="1">
      <c r="B114" s="26">
        <v>99</v>
      </c>
      <c r="C114" s="36"/>
      <c r="D114" s="36">
        <f t="shared" si="6"/>
        <v>0</v>
      </c>
      <c r="E114" s="27"/>
      <c r="F114" s="28"/>
      <c r="G114" s="28"/>
      <c r="H114" s="28"/>
      <c r="I114" s="28" t="e">
        <f t="shared" si="5"/>
        <v>#DIV/0!</v>
      </c>
      <c r="J114" s="33" t="e">
        <f t="shared" si="7"/>
        <v>#DIV/0!</v>
      </c>
    </row>
    <row r="115" spans="2:10" ht="20.100000000000001" customHeight="1">
      <c r="B115" s="26">
        <v>100</v>
      </c>
      <c r="C115" s="36"/>
      <c r="D115" s="36">
        <f t="shared" si="6"/>
        <v>0</v>
      </c>
      <c r="E115" s="27"/>
      <c r="F115" s="28"/>
      <c r="G115" s="28"/>
      <c r="H115" s="28"/>
      <c r="I115" s="28" t="e">
        <f t="shared" si="5"/>
        <v>#DIV/0!</v>
      </c>
      <c r="J115" s="33" t="e">
        <f>D115*E115*I115</f>
        <v>#DIV/0!</v>
      </c>
    </row>
    <row r="116" spans="2:10" ht="20.100000000000001" customHeight="1">
      <c r="B116" s="26">
        <v>101</v>
      </c>
      <c r="C116" s="36"/>
      <c r="D116" s="36">
        <f t="shared" si="6"/>
        <v>0</v>
      </c>
      <c r="E116" s="27"/>
      <c r="F116" s="28"/>
      <c r="G116" s="28"/>
      <c r="H116" s="28"/>
      <c r="I116" s="28" t="e">
        <f t="shared" si="5"/>
        <v>#DIV/0!</v>
      </c>
      <c r="J116" s="33" t="e">
        <f t="shared" ref="J116:J123" si="8">D116*E116*I116</f>
        <v>#DIV/0!</v>
      </c>
    </row>
    <row r="117" spans="2:10" ht="20.100000000000001" customHeight="1">
      <c r="B117" s="26">
        <v>102</v>
      </c>
      <c r="C117" s="36"/>
      <c r="D117" s="36">
        <f t="shared" si="6"/>
        <v>0</v>
      </c>
      <c r="E117" s="27"/>
      <c r="F117" s="28"/>
      <c r="G117" s="28"/>
      <c r="H117" s="28"/>
      <c r="I117" s="28" t="e">
        <f t="shared" si="5"/>
        <v>#DIV/0!</v>
      </c>
      <c r="J117" s="33" t="e">
        <f t="shared" si="8"/>
        <v>#DIV/0!</v>
      </c>
    </row>
    <row r="118" spans="2:10" ht="20.100000000000001" customHeight="1">
      <c r="B118" s="26">
        <v>103</v>
      </c>
      <c r="C118" s="36"/>
      <c r="D118" s="36">
        <f t="shared" si="6"/>
        <v>0</v>
      </c>
      <c r="E118" s="27"/>
      <c r="F118" s="28"/>
      <c r="G118" s="28"/>
      <c r="H118" s="28"/>
      <c r="I118" s="28" t="e">
        <f t="shared" si="5"/>
        <v>#DIV/0!</v>
      </c>
      <c r="J118" s="33" t="e">
        <f t="shared" si="8"/>
        <v>#DIV/0!</v>
      </c>
    </row>
    <row r="119" spans="2:10" ht="20.100000000000001" customHeight="1">
      <c r="B119" s="26">
        <v>104</v>
      </c>
      <c r="C119" s="36"/>
      <c r="D119" s="36">
        <f t="shared" si="6"/>
        <v>0</v>
      </c>
      <c r="E119" s="27"/>
      <c r="F119" s="28"/>
      <c r="G119" s="28"/>
      <c r="H119" s="28"/>
      <c r="I119" s="28" t="e">
        <f t="shared" si="5"/>
        <v>#DIV/0!</v>
      </c>
      <c r="J119" s="33" t="e">
        <f t="shared" si="8"/>
        <v>#DIV/0!</v>
      </c>
    </row>
    <row r="120" spans="2:10" ht="20.100000000000001" customHeight="1">
      <c r="B120" s="26">
        <v>105</v>
      </c>
      <c r="C120" s="36"/>
      <c r="D120" s="36">
        <f t="shared" si="6"/>
        <v>0</v>
      </c>
      <c r="E120" s="27"/>
      <c r="F120" s="28"/>
      <c r="G120" s="28"/>
      <c r="H120" s="28"/>
      <c r="I120" s="28" t="e">
        <f t="shared" si="5"/>
        <v>#DIV/0!</v>
      </c>
      <c r="J120" s="33" t="e">
        <f t="shared" si="8"/>
        <v>#DIV/0!</v>
      </c>
    </row>
    <row r="121" spans="2:10" ht="20.100000000000001" customHeight="1">
      <c r="B121" s="26">
        <v>106</v>
      </c>
      <c r="C121" s="36"/>
      <c r="D121" s="36">
        <f t="shared" si="6"/>
        <v>0</v>
      </c>
      <c r="E121" s="27"/>
      <c r="F121" s="28"/>
      <c r="G121" s="28"/>
      <c r="H121" s="28"/>
      <c r="I121" s="28" t="e">
        <f t="shared" si="5"/>
        <v>#DIV/0!</v>
      </c>
      <c r="J121" s="33" t="e">
        <f t="shared" si="8"/>
        <v>#DIV/0!</v>
      </c>
    </row>
    <row r="122" spans="2:10" ht="20.100000000000001" customHeight="1">
      <c r="B122" s="26">
        <v>107</v>
      </c>
      <c r="C122" s="36"/>
      <c r="D122" s="36">
        <f t="shared" si="6"/>
        <v>0</v>
      </c>
      <c r="E122" s="27"/>
      <c r="F122" s="28"/>
      <c r="G122" s="28"/>
      <c r="H122" s="28"/>
      <c r="I122" s="28" t="e">
        <f t="shared" si="5"/>
        <v>#DIV/0!</v>
      </c>
      <c r="J122" s="33" t="e">
        <f t="shared" si="8"/>
        <v>#DIV/0!</v>
      </c>
    </row>
    <row r="123" spans="2:10" ht="20.100000000000001" customHeight="1">
      <c r="B123" s="26">
        <v>108</v>
      </c>
      <c r="C123" s="36"/>
      <c r="D123" s="36">
        <f t="shared" si="6"/>
        <v>0</v>
      </c>
      <c r="E123" s="27"/>
      <c r="F123" s="28"/>
      <c r="G123" s="28"/>
      <c r="H123" s="28"/>
      <c r="I123" s="28" t="e">
        <f t="shared" si="5"/>
        <v>#DIV/0!</v>
      </c>
      <c r="J123" s="33" t="e">
        <f t="shared" si="8"/>
        <v>#DIV/0!</v>
      </c>
    </row>
    <row r="124" spans="2:10" ht="20.100000000000001" customHeight="1">
      <c r="B124" s="101">
        <v>109</v>
      </c>
      <c r="C124" s="102"/>
      <c r="D124" s="102">
        <f t="shared" si="6"/>
        <v>0</v>
      </c>
      <c r="E124" s="103"/>
      <c r="F124" s="104"/>
      <c r="G124" s="104"/>
      <c r="H124" s="104"/>
      <c r="I124" s="28" t="e">
        <f t="shared" si="5"/>
        <v>#DIV/0!</v>
      </c>
      <c r="J124" s="105" t="e">
        <f>D124*E124*I124</f>
        <v>#DIV/0!</v>
      </c>
    </row>
    <row r="125" spans="2:10" ht="20.100000000000001" customHeight="1">
      <c r="B125" s="26">
        <v>110</v>
      </c>
      <c r="C125" s="36"/>
      <c r="D125" s="36">
        <f t="shared" si="6"/>
        <v>0</v>
      </c>
      <c r="E125" s="27"/>
      <c r="F125" s="28"/>
      <c r="G125" s="28"/>
      <c r="H125" s="28"/>
      <c r="I125" s="28" t="e">
        <f t="shared" si="5"/>
        <v>#DIV/0!</v>
      </c>
      <c r="J125" s="33" t="e">
        <f t="shared" ref="J125:J153" si="9">D125*E125*I125</f>
        <v>#DIV/0!</v>
      </c>
    </row>
    <row r="126" spans="2:10" ht="20.100000000000001" customHeight="1">
      <c r="B126" s="26">
        <v>111</v>
      </c>
      <c r="C126" s="36"/>
      <c r="D126" s="36">
        <f t="shared" si="6"/>
        <v>0</v>
      </c>
      <c r="E126" s="27"/>
      <c r="F126" s="28"/>
      <c r="G126" s="28"/>
      <c r="H126" s="28"/>
      <c r="I126" s="28" t="e">
        <f t="shared" si="5"/>
        <v>#DIV/0!</v>
      </c>
      <c r="J126" s="33" t="e">
        <f t="shared" si="9"/>
        <v>#DIV/0!</v>
      </c>
    </row>
    <row r="127" spans="2:10" ht="20.100000000000001" customHeight="1">
      <c r="B127" s="26">
        <v>112</v>
      </c>
      <c r="C127" s="36"/>
      <c r="D127" s="36">
        <f t="shared" si="6"/>
        <v>0</v>
      </c>
      <c r="E127" s="27"/>
      <c r="F127" s="28"/>
      <c r="G127" s="28"/>
      <c r="H127" s="28"/>
      <c r="I127" s="28" t="e">
        <f t="shared" si="5"/>
        <v>#DIV/0!</v>
      </c>
      <c r="J127" s="33" t="e">
        <f t="shared" si="9"/>
        <v>#DIV/0!</v>
      </c>
    </row>
    <row r="128" spans="2:10" ht="20.100000000000001" customHeight="1">
      <c r="B128" s="26">
        <v>113</v>
      </c>
      <c r="C128" s="36"/>
      <c r="D128" s="36">
        <f t="shared" si="6"/>
        <v>0</v>
      </c>
      <c r="E128" s="27"/>
      <c r="F128" s="28"/>
      <c r="G128" s="28"/>
      <c r="H128" s="28"/>
      <c r="I128" s="28" t="e">
        <f t="shared" si="5"/>
        <v>#DIV/0!</v>
      </c>
      <c r="J128" s="33" t="e">
        <f t="shared" si="9"/>
        <v>#DIV/0!</v>
      </c>
    </row>
    <row r="129" spans="2:10" ht="20.100000000000001" customHeight="1">
      <c r="B129" s="26">
        <v>114</v>
      </c>
      <c r="C129" s="36"/>
      <c r="D129" s="36">
        <f t="shared" si="6"/>
        <v>0</v>
      </c>
      <c r="E129" s="27"/>
      <c r="F129" s="28"/>
      <c r="G129" s="28"/>
      <c r="H129" s="28"/>
      <c r="I129" s="28" t="e">
        <f t="shared" si="5"/>
        <v>#DIV/0!</v>
      </c>
      <c r="J129" s="33" t="e">
        <f t="shared" si="9"/>
        <v>#DIV/0!</v>
      </c>
    </row>
    <row r="130" spans="2:10" ht="20.100000000000001" customHeight="1">
      <c r="B130" s="26">
        <v>115</v>
      </c>
      <c r="C130" s="36"/>
      <c r="D130" s="36">
        <f t="shared" si="6"/>
        <v>0</v>
      </c>
      <c r="E130" s="27"/>
      <c r="F130" s="28"/>
      <c r="G130" s="28"/>
      <c r="H130" s="28"/>
      <c r="I130" s="28" t="e">
        <f t="shared" si="5"/>
        <v>#DIV/0!</v>
      </c>
      <c r="J130" s="33" t="e">
        <f t="shared" si="9"/>
        <v>#DIV/0!</v>
      </c>
    </row>
    <row r="131" spans="2:10" ht="20.100000000000001" customHeight="1">
      <c r="B131" s="26">
        <v>116</v>
      </c>
      <c r="C131" s="36"/>
      <c r="D131" s="36">
        <f t="shared" si="6"/>
        <v>0</v>
      </c>
      <c r="E131" s="27"/>
      <c r="F131" s="28"/>
      <c r="G131" s="28"/>
      <c r="H131" s="28"/>
      <c r="I131" s="28" t="e">
        <f t="shared" si="5"/>
        <v>#DIV/0!</v>
      </c>
      <c r="J131" s="33" t="e">
        <f t="shared" si="9"/>
        <v>#DIV/0!</v>
      </c>
    </row>
    <row r="132" spans="2:10" ht="20.100000000000001" customHeight="1">
      <c r="B132" s="26">
        <v>117</v>
      </c>
      <c r="C132" s="36"/>
      <c r="D132" s="36">
        <f t="shared" si="6"/>
        <v>0</v>
      </c>
      <c r="E132" s="27"/>
      <c r="F132" s="28"/>
      <c r="G132" s="28"/>
      <c r="H132" s="28"/>
      <c r="I132" s="28" t="e">
        <f t="shared" si="5"/>
        <v>#DIV/0!</v>
      </c>
      <c r="J132" s="33" t="e">
        <f t="shared" si="9"/>
        <v>#DIV/0!</v>
      </c>
    </row>
    <row r="133" spans="2:10" ht="20.100000000000001" customHeight="1">
      <c r="B133" s="26">
        <v>118</v>
      </c>
      <c r="C133" s="36"/>
      <c r="D133" s="36">
        <f t="shared" si="6"/>
        <v>0</v>
      </c>
      <c r="E133" s="27"/>
      <c r="F133" s="28"/>
      <c r="G133" s="28"/>
      <c r="H133" s="28"/>
      <c r="I133" s="28" t="e">
        <f t="shared" si="5"/>
        <v>#DIV/0!</v>
      </c>
      <c r="J133" s="33" t="e">
        <f t="shared" si="9"/>
        <v>#DIV/0!</v>
      </c>
    </row>
    <row r="134" spans="2:10" ht="20.100000000000001" customHeight="1">
      <c r="B134" s="26">
        <v>119</v>
      </c>
      <c r="C134" s="36"/>
      <c r="D134" s="36">
        <f t="shared" si="6"/>
        <v>0</v>
      </c>
      <c r="E134" s="27"/>
      <c r="F134" s="28"/>
      <c r="G134" s="28"/>
      <c r="H134" s="28"/>
      <c r="I134" s="28" t="e">
        <f t="shared" si="5"/>
        <v>#DIV/0!</v>
      </c>
      <c r="J134" s="33" t="e">
        <f t="shared" si="9"/>
        <v>#DIV/0!</v>
      </c>
    </row>
    <row r="135" spans="2:10" ht="20.100000000000001" customHeight="1">
      <c r="B135" s="26">
        <v>120</v>
      </c>
      <c r="C135" s="36"/>
      <c r="D135" s="36">
        <f t="shared" si="6"/>
        <v>0</v>
      </c>
      <c r="E135" s="27"/>
      <c r="F135" s="28"/>
      <c r="G135" s="28"/>
      <c r="H135" s="28"/>
      <c r="I135" s="28" t="e">
        <f t="shared" si="5"/>
        <v>#DIV/0!</v>
      </c>
      <c r="J135" s="33" t="e">
        <f t="shared" si="9"/>
        <v>#DIV/0!</v>
      </c>
    </row>
    <row r="136" spans="2:10" ht="20.100000000000001" customHeight="1">
      <c r="B136" s="26">
        <v>121</v>
      </c>
      <c r="C136" s="36"/>
      <c r="D136" s="36">
        <f t="shared" si="6"/>
        <v>0</v>
      </c>
      <c r="E136" s="27"/>
      <c r="F136" s="28"/>
      <c r="G136" s="28"/>
      <c r="H136" s="28"/>
      <c r="I136" s="28" t="e">
        <f t="shared" si="5"/>
        <v>#DIV/0!</v>
      </c>
      <c r="J136" s="33" t="e">
        <f t="shared" si="9"/>
        <v>#DIV/0!</v>
      </c>
    </row>
    <row r="137" spans="2:10" ht="20.100000000000001" customHeight="1">
      <c r="B137" s="26">
        <v>122</v>
      </c>
      <c r="C137" s="36"/>
      <c r="D137" s="36">
        <f t="shared" si="6"/>
        <v>0</v>
      </c>
      <c r="E137" s="27"/>
      <c r="F137" s="28"/>
      <c r="G137" s="28"/>
      <c r="H137" s="28"/>
      <c r="I137" s="28" t="e">
        <f t="shared" si="5"/>
        <v>#DIV/0!</v>
      </c>
      <c r="J137" s="33" t="e">
        <f t="shared" si="9"/>
        <v>#DIV/0!</v>
      </c>
    </row>
    <row r="138" spans="2:10" ht="20.100000000000001" customHeight="1">
      <c r="B138" s="26">
        <v>123</v>
      </c>
      <c r="C138" s="36"/>
      <c r="D138" s="36">
        <f t="shared" si="6"/>
        <v>0</v>
      </c>
      <c r="E138" s="27"/>
      <c r="F138" s="28"/>
      <c r="G138" s="28"/>
      <c r="H138" s="28"/>
      <c r="I138" s="28" t="e">
        <f t="shared" si="5"/>
        <v>#DIV/0!</v>
      </c>
      <c r="J138" s="33" t="e">
        <f t="shared" si="9"/>
        <v>#DIV/0!</v>
      </c>
    </row>
    <row r="139" spans="2:10" ht="20.100000000000001" customHeight="1">
      <c r="B139" s="26">
        <v>124</v>
      </c>
      <c r="C139" s="36"/>
      <c r="D139" s="36">
        <f t="shared" si="6"/>
        <v>0</v>
      </c>
      <c r="E139" s="27"/>
      <c r="F139" s="28"/>
      <c r="G139" s="28"/>
      <c r="H139" s="28"/>
      <c r="I139" s="28" t="e">
        <f t="shared" si="5"/>
        <v>#DIV/0!</v>
      </c>
      <c r="J139" s="33" t="e">
        <f t="shared" si="9"/>
        <v>#DIV/0!</v>
      </c>
    </row>
    <row r="140" spans="2:10" ht="20.100000000000001" customHeight="1">
      <c r="B140" s="26">
        <v>125</v>
      </c>
      <c r="C140" s="36"/>
      <c r="D140" s="36">
        <f t="shared" si="6"/>
        <v>0</v>
      </c>
      <c r="E140" s="27"/>
      <c r="F140" s="28"/>
      <c r="G140" s="28"/>
      <c r="H140" s="28"/>
      <c r="I140" s="28" t="e">
        <f t="shared" si="5"/>
        <v>#DIV/0!</v>
      </c>
      <c r="J140" s="33" t="e">
        <f t="shared" si="9"/>
        <v>#DIV/0!</v>
      </c>
    </row>
    <row r="141" spans="2:10" ht="20.100000000000001" customHeight="1">
      <c r="B141" s="26">
        <v>126</v>
      </c>
      <c r="C141" s="36"/>
      <c r="D141" s="36">
        <f t="shared" si="6"/>
        <v>0</v>
      </c>
      <c r="E141" s="27"/>
      <c r="F141" s="28"/>
      <c r="G141" s="28"/>
      <c r="H141" s="28"/>
      <c r="I141" s="28" t="e">
        <f t="shared" si="5"/>
        <v>#DIV/0!</v>
      </c>
      <c r="J141" s="33" t="e">
        <f t="shared" si="9"/>
        <v>#DIV/0!</v>
      </c>
    </row>
    <row r="142" spans="2:10" ht="20.100000000000001" customHeight="1">
      <c r="B142" s="26">
        <v>127</v>
      </c>
      <c r="C142" s="36"/>
      <c r="D142" s="36">
        <f t="shared" si="6"/>
        <v>0</v>
      </c>
      <c r="E142" s="27"/>
      <c r="F142" s="28"/>
      <c r="G142" s="28"/>
      <c r="H142" s="28"/>
      <c r="I142" s="28" t="e">
        <f t="shared" si="5"/>
        <v>#DIV/0!</v>
      </c>
      <c r="J142" s="33" t="e">
        <f t="shared" si="9"/>
        <v>#DIV/0!</v>
      </c>
    </row>
    <row r="143" spans="2:10" ht="20.100000000000001" customHeight="1">
      <c r="B143" s="26">
        <v>128</v>
      </c>
      <c r="C143" s="36"/>
      <c r="D143" s="36">
        <f t="shared" si="6"/>
        <v>0</v>
      </c>
      <c r="E143" s="27"/>
      <c r="F143" s="28"/>
      <c r="G143" s="28"/>
      <c r="H143" s="28"/>
      <c r="I143" s="28" t="e">
        <f t="shared" si="5"/>
        <v>#DIV/0!</v>
      </c>
      <c r="J143" s="33" t="e">
        <f t="shared" si="9"/>
        <v>#DIV/0!</v>
      </c>
    </row>
    <row r="144" spans="2:10" ht="20.100000000000001" customHeight="1">
      <c r="B144" s="26">
        <v>129</v>
      </c>
      <c r="C144" s="36"/>
      <c r="D144" s="36">
        <f t="shared" si="6"/>
        <v>0</v>
      </c>
      <c r="E144" s="27"/>
      <c r="F144" s="28"/>
      <c r="G144" s="28"/>
      <c r="H144" s="28"/>
      <c r="I144" s="28" t="e">
        <f t="shared" ref="I144:I162" si="10">IF(AND(F144=""),AVERAGE(G144:H144),F144)</f>
        <v>#DIV/0!</v>
      </c>
      <c r="J144" s="33" t="e">
        <f t="shared" si="9"/>
        <v>#DIV/0!</v>
      </c>
    </row>
    <row r="145" spans="2:10" ht="20.100000000000001" customHeight="1">
      <c r="B145" s="26">
        <v>130</v>
      </c>
      <c r="C145" s="36"/>
      <c r="D145" s="36">
        <f t="shared" si="6"/>
        <v>0</v>
      </c>
      <c r="E145" s="27"/>
      <c r="F145" s="28"/>
      <c r="G145" s="28"/>
      <c r="H145" s="28"/>
      <c r="I145" s="28" t="e">
        <f t="shared" si="10"/>
        <v>#DIV/0!</v>
      </c>
      <c r="J145" s="33" t="e">
        <f t="shared" si="9"/>
        <v>#DIV/0!</v>
      </c>
    </row>
    <row r="146" spans="2:10" ht="20.100000000000001" customHeight="1">
      <c r="B146" s="26">
        <v>131</v>
      </c>
      <c r="C146" s="36"/>
      <c r="D146" s="36">
        <f t="shared" ref="D146:D162" si="11">C147-C146</f>
        <v>0</v>
      </c>
      <c r="E146" s="27"/>
      <c r="F146" s="28"/>
      <c r="G146" s="28"/>
      <c r="H146" s="28"/>
      <c r="I146" s="28" t="e">
        <f t="shared" si="10"/>
        <v>#DIV/0!</v>
      </c>
      <c r="J146" s="33" t="e">
        <f t="shared" si="9"/>
        <v>#DIV/0!</v>
      </c>
    </row>
    <row r="147" spans="2:10" ht="20.100000000000001" customHeight="1">
      <c r="B147" s="26">
        <v>132</v>
      </c>
      <c r="C147" s="36"/>
      <c r="D147" s="36">
        <f t="shared" si="11"/>
        <v>0</v>
      </c>
      <c r="E147" s="27"/>
      <c r="F147" s="28"/>
      <c r="G147" s="28"/>
      <c r="H147" s="28"/>
      <c r="I147" s="28" t="e">
        <f t="shared" si="10"/>
        <v>#DIV/0!</v>
      </c>
      <c r="J147" s="33" t="e">
        <f t="shared" si="9"/>
        <v>#DIV/0!</v>
      </c>
    </row>
    <row r="148" spans="2:10" ht="20.100000000000001" customHeight="1">
      <c r="B148" s="26">
        <v>133</v>
      </c>
      <c r="C148" s="36"/>
      <c r="D148" s="36">
        <f t="shared" si="11"/>
        <v>0</v>
      </c>
      <c r="E148" s="27"/>
      <c r="F148" s="28"/>
      <c r="G148" s="28"/>
      <c r="H148" s="28"/>
      <c r="I148" s="28" t="e">
        <f t="shared" si="10"/>
        <v>#DIV/0!</v>
      </c>
      <c r="J148" s="33" t="e">
        <f t="shared" si="9"/>
        <v>#DIV/0!</v>
      </c>
    </row>
    <row r="149" spans="2:10" ht="20.100000000000001" customHeight="1">
      <c r="B149" s="26">
        <v>134</v>
      </c>
      <c r="C149" s="36"/>
      <c r="D149" s="36">
        <f t="shared" si="11"/>
        <v>0</v>
      </c>
      <c r="E149" s="27"/>
      <c r="F149" s="28"/>
      <c r="G149" s="28"/>
      <c r="H149" s="28"/>
      <c r="I149" s="28" t="e">
        <f t="shared" si="10"/>
        <v>#DIV/0!</v>
      </c>
      <c r="J149" s="33" t="e">
        <f t="shared" si="9"/>
        <v>#DIV/0!</v>
      </c>
    </row>
    <row r="150" spans="2:10" ht="20.100000000000001" customHeight="1">
      <c r="B150" s="26">
        <v>135</v>
      </c>
      <c r="C150" s="36"/>
      <c r="D150" s="36">
        <f t="shared" si="11"/>
        <v>0</v>
      </c>
      <c r="E150" s="27"/>
      <c r="F150" s="28"/>
      <c r="G150" s="28"/>
      <c r="H150" s="28"/>
      <c r="I150" s="28" t="e">
        <f t="shared" si="10"/>
        <v>#DIV/0!</v>
      </c>
      <c r="J150" s="33" t="e">
        <f t="shared" si="9"/>
        <v>#DIV/0!</v>
      </c>
    </row>
    <row r="151" spans="2:10" ht="20.100000000000001" customHeight="1">
      <c r="B151" s="26">
        <v>136</v>
      </c>
      <c r="C151" s="36"/>
      <c r="D151" s="36">
        <f t="shared" si="11"/>
        <v>0</v>
      </c>
      <c r="E151" s="27"/>
      <c r="F151" s="28"/>
      <c r="G151" s="28"/>
      <c r="H151" s="28"/>
      <c r="I151" s="28" t="e">
        <f t="shared" si="10"/>
        <v>#DIV/0!</v>
      </c>
      <c r="J151" s="33" t="e">
        <f t="shared" si="9"/>
        <v>#DIV/0!</v>
      </c>
    </row>
    <row r="152" spans="2:10" ht="20.100000000000001" customHeight="1">
      <c r="B152" s="26">
        <v>137</v>
      </c>
      <c r="C152" s="36"/>
      <c r="D152" s="36">
        <f t="shared" si="11"/>
        <v>0</v>
      </c>
      <c r="E152" s="27"/>
      <c r="F152" s="28"/>
      <c r="G152" s="28"/>
      <c r="H152" s="28"/>
      <c r="I152" s="28" t="e">
        <f t="shared" si="10"/>
        <v>#DIV/0!</v>
      </c>
      <c r="J152" s="33" t="e">
        <f t="shared" si="9"/>
        <v>#DIV/0!</v>
      </c>
    </row>
    <row r="153" spans="2:10" ht="20.100000000000001" customHeight="1">
      <c r="B153" s="26">
        <v>138</v>
      </c>
      <c r="C153" s="36"/>
      <c r="D153" s="36">
        <f t="shared" si="11"/>
        <v>0</v>
      </c>
      <c r="E153" s="27"/>
      <c r="F153" s="28"/>
      <c r="G153" s="28"/>
      <c r="H153" s="28"/>
      <c r="I153" s="28" t="e">
        <f t="shared" si="10"/>
        <v>#DIV/0!</v>
      </c>
      <c r="J153" s="33" t="e">
        <f t="shared" si="9"/>
        <v>#DIV/0!</v>
      </c>
    </row>
    <row r="154" spans="2:10" ht="20.100000000000001" customHeight="1">
      <c r="B154" s="26">
        <v>139</v>
      </c>
      <c r="C154" s="36"/>
      <c r="D154" s="36">
        <f t="shared" si="11"/>
        <v>0</v>
      </c>
      <c r="E154" s="27"/>
      <c r="F154" s="28"/>
      <c r="G154" s="28"/>
      <c r="H154" s="28"/>
      <c r="I154" s="28" t="e">
        <f t="shared" si="10"/>
        <v>#DIV/0!</v>
      </c>
      <c r="J154" s="33" t="e">
        <f>D154*E154*I154</f>
        <v>#DIV/0!</v>
      </c>
    </row>
    <row r="155" spans="2:10" ht="20.100000000000001" customHeight="1">
      <c r="B155" s="26">
        <v>140</v>
      </c>
      <c r="C155" s="36"/>
      <c r="D155" s="36">
        <f t="shared" si="11"/>
        <v>0</v>
      </c>
      <c r="E155" s="27"/>
      <c r="F155" s="28"/>
      <c r="G155" s="28"/>
      <c r="H155" s="28"/>
      <c r="I155" s="28" t="e">
        <f t="shared" si="10"/>
        <v>#DIV/0!</v>
      </c>
      <c r="J155" s="33" t="e">
        <f t="shared" ref="J155:J162" si="12">D155*E155*I155</f>
        <v>#DIV/0!</v>
      </c>
    </row>
    <row r="156" spans="2:10" ht="20.100000000000001" customHeight="1">
      <c r="B156" s="26">
        <v>141</v>
      </c>
      <c r="C156" s="36"/>
      <c r="D156" s="36">
        <f t="shared" si="11"/>
        <v>0</v>
      </c>
      <c r="E156" s="27"/>
      <c r="F156" s="28"/>
      <c r="G156" s="28"/>
      <c r="H156" s="28"/>
      <c r="I156" s="28" t="e">
        <f t="shared" si="10"/>
        <v>#DIV/0!</v>
      </c>
      <c r="J156" s="33" t="e">
        <f t="shared" si="12"/>
        <v>#DIV/0!</v>
      </c>
    </row>
    <row r="157" spans="2:10" ht="20.100000000000001" customHeight="1">
      <c r="B157" s="26">
        <v>142</v>
      </c>
      <c r="C157" s="36"/>
      <c r="D157" s="36">
        <f t="shared" si="11"/>
        <v>0</v>
      </c>
      <c r="E157" s="27"/>
      <c r="F157" s="28"/>
      <c r="G157" s="28"/>
      <c r="H157" s="28"/>
      <c r="I157" s="28" t="e">
        <f t="shared" si="10"/>
        <v>#DIV/0!</v>
      </c>
      <c r="J157" s="33" t="e">
        <f t="shared" si="12"/>
        <v>#DIV/0!</v>
      </c>
    </row>
    <row r="158" spans="2:10" ht="20.100000000000001" customHeight="1">
      <c r="B158" s="26">
        <v>143</v>
      </c>
      <c r="C158" s="36"/>
      <c r="D158" s="36">
        <f t="shared" si="11"/>
        <v>0</v>
      </c>
      <c r="E158" s="27"/>
      <c r="F158" s="28"/>
      <c r="G158" s="28"/>
      <c r="H158" s="28"/>
      <c r="I158" s="28" t="e">
        <f t="shared" si="10"/>
        <v>#DIV/0!</v>
      </c>
      <c r="J158" s="33" t="e">
        <f t="shared" si="12"/>
        <v>#DIV/0!</v>
      </c>
    </row>
    <row r="159" spans="2:10" ht="20.100000000000001" customHeight="1">
      <c r="B159" s="26">
        <v>144</v>
      </c>
      <c r="C159" s="36"/>
      <c r="D159" s="36">
        <f t="shared" si="11"/>
        <v>0</v>
      </c>
      <c r="E159" s="27"/>
      <c r="F159" s="28"/>
      <c r="G159" s="28"/>
      <c r="H159" s="28"/>
      <c r="I159" s="28" t="e">
        <f t="shared" si="10"/>
        <v>#DIV/0!</v>
      </c>
      <c r="J159" s="33" t="e">
        <f t="shared" si="12"/>
        <v>#DIV/0!</v>
      </c>
    </row>
    <row r="160" spans="2:10" ht="20.100000000000001" customHeight="1">
      <c r="B160" s="26">
        <v>145</v>
      </c>
      <c r="C160" s="36"/>
      <c r="D160" s="36">
        <f t="shared" si="11"/>
        <v>0</v>
      </c>
      <c r="E160" s="27"/>
      <c r="F160" s="28"/>
      <c r="G160" s="28"/>
      <c r="H160" s="28"/>
      <c r="I160" s="28" t="e">
        <f t="shared" si="10"/>
        <v>#DIV/0!</v>
      </c>
      <c r="J160" s="33" t="e">
        <f t="shared" si="12"/>
        <v>#DIV/0!</v>
      </c>
    </row>
    <row r="161" spans="2:11" ht="20.100000000000001" customHeight="1">
      <c r="B161" s="26">
        <v>146</v>
      </c>
      <c r="C161" s="36"/>
      <c r="D161" s="36">
        <f t="shared" si="11"/>
        <v>0</v>
      </c>
      <c r="E161" s="27"/>
      <c r="F161" s="28"/>
      <c r="G161" s="28"/>
      <c r="H161" s="28"/>
      <c r="I161" s="28" t="e">
        <f t="shared" si="10"/>
        <v>#DIV/0!</v>
      </c>
      <c r="J161" s="33" t="e">
        <f t="shared" si="12"/>
        <v>#DIV/0!</v>
      </c>
    </row>
    <row r="162" spans="2:11" ht="20.100000000000001" customHeight="1" thickBot="1">
      <c r="B162" s="31">
        <v>147</v>
      </c>
      <c r="C162" s="35"/>
      <c r="D162" s="35">
        <f t="shared" si="11"/>
        <v>0</v>
      </c>
      <c r="E162" s="29"/>
      <c r="F162" s="30"/>
      <c r="G162" s="30"/>
      <c r="H162" s="30"/>
      <c r="I162" s="28" t="e">
        <f t="shared" si="10"/>
        <v>#DIV/0!</v>
      </c>
      <c r="J162" s="34" t="e">
        <f t="shared" si="12"/>
        <v>#DIV/0!</v>
      </c>
    </row>
    <row r="163" spans="2:11" ht="20.100000000000001" customHeight="1" thickBot="1">
      <c r="D163" s="106"/>
      <c r="I163" s="144" t="s">
        <v>76</v>
      </c>
      <c r="J163" s="51"/>
      <c r="K163" s="50"/>
    </row>
    <row r="164" spans="2:11" ht="15.75">
      <c r="D164" s="106"/>
      <c r="H164" s="241" t="s">
        <v>20</v>
      </c>
      <c r="I164" s="241"/>
      <c r="J164" s="241"/>
      <c r="K164" s="241"/>
    </row>
    <row r="165" spans="2:11">
      <c r="I165" s="52"/>
      <c r="J165" s="52"/>
    </row>
  </sheetData>
  <mergeCells count="21">
    <mergeCell ref="B1:J1"/>
    <mergeCell ref="B2:J2"/>
    <mergeCell ref="B3:J3"/>
    <mergeCell ref="A10:B10"/>
    <mergeCell ref="F11:G11"/>
    <mergeCell ref="F14:I14"/>
    <mergeCell ref="A4:B4"/>
    <mergeCell ref="F7:G7"/>
    <mergeCell ref="A5:B5"/>
    <mergeCell ref="H164:K164"/>
    <mergeCell ref="A7:B7"/>
    <mergeCell ref="A8:B8"/>
    <mergeCell ref="A9:B9"/>
    <mergeCell ref="J14:J15"/>
    <mergeCell ref="F8:G8"/>
    <mergeCell ref="D11:E12"/>
    <mergeCell ref="A6:B6"/>
    <mergeCell ref="E14:E15"/>
    <mergeCell ref="C14:C15"/>
    <mergeCell ref="B14:B15"/>
    <mergeCell ref="D14:D15"/>
  </mergeCells>
  <phoneticPr fontId="25" type="noConversion"/>
  <printOptions horizontalCentered="1" verticalCentered="1"/>
  <pageMargins left="0.25" right="0.25" top="0.25" bottom="0.25" header="0" footer="0"/>
  <pageSetup scale="63" fitToHeight="2" orientation="portrait" r:id="rId1"/>
  <headerFooter alignWithMargins="0"/>
  <cellWatches>
    <cellWatch r="I16"/>
  </cellWatches>
  <ignoredErrors>
    <ignoredError sqref="F11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K236"/>
  <sheetViews>
    <sheetView tabSelected="1" workbookViewId="0">
      <selection activeCell="H9" sqref="H9"/>
    </sheetView>
  </sheetViews>
  <sheetFormatPr defaultRowHeight="14.25"/>
  <cols>
    <col min="1" max="5" width="9.140625" style="107"/>
    <col min="6" max="6" width="11.85546875" style="107" customWidth="1"/>
    <col min="7" max="7" width="12.7109375" style="107" customWidth="1"/>
    <col min="8" max="8" width="11.42578125" style="107" customWidth="1"/>
    <col min="9" max="9" width="11.7109375" style="107" customWidth="1"/>
    <col min="10" max="10" width="12.5703125" style="107" customWidth="1"/>
    <col min="11" max="11" width="13.42578125" style="107" customWidth="1"/>
    <col min="12" max="12" width="10.140625" style="107" customWidth="1"/>
    <col min="13" max="13" width="7.7109375" style="107" customWidth="1"/>
    <col min="14" max="16384" width="9.140625" style="107"/>
  </cols>
  <sheetData>
    <row r="2" spans="7:11" ht="16.5">
      <c r="G2" s="124" t="s">
        <v>72</v>
      </c>
    </row>
    <row r="4" spans="7:11" ht="16.5">
      <c r="G4" s="124" t="s">
        <v>73</v>
      </c>
    </row>
    <row r="5" spans="7:11" ht="16.5">
      <c r="G5" s="124" t="s">
        <v>74</v>
      </c>
    </row>
    <row r="6" spans="7:11" ht="16.5">
      <c r="G6" s="124" t="s">
        <v>71</v>
      </c>
    </row>
    <row r="7" spans="7:11" ht="13.5" customHeight="1" thickBot="1">
      <c r="G7" s="123"/>
    </row>
    <row r="8" spans="7:11" ht="48" customHeight="1" thickBot="1">
      <c r="H8" s="120" t="s">
        <v>24</v>
      </c>
      <c r="I8" s="121" t="s">
        <v>69</v>
      </c>
      <c r="J8" s="121" t="s">
        <v>68</v>
      </c>
      <c r="K8" s="122" t="s">
        <v>70</v>
      </c>
    </row>
    <row r="9" spans="7:11">
      <c r="H9" s="114"/>
      <c r="I9" s="111"/>
      <c r="J9" s="110">
        <f>COS(I9*(PI()/180))</f>
        <v>1</v>
      </c>
      <c r="K9" s="117">
        <f>J9*H9</f>
        <v>0</v>
      </c>
    </row>
    <row r="10" spans="7:11">
      <c r="H10" s="115"/>
      <c r="I10" s="112"/>
      <c r="J10" s="108">
        <f t="shared" ref="J10:J19" si="0">COS(I10*(PI()/180))</f>
        <v>1</v>
      </c>
      <c r="K10" s="118">
        <f t="shared" ref="K10:K19" si="1">J10*H10</f>
        <v>0</v>
      </c>
    </row>
    <row r="11" spans="7:11">
      <c r="H11" s="115"/>
      <c r="I11" s="112"/>
      <c r="J11" s="108">
        <f t="shared" si="0"/>
        <v>1</v>
      </c>
      <c r="K11" s="118">
        <f t="shared" si="1"/>
        <v>0</v>
      </c>
    </row>
    <row r="12" spans="7:11">
      <c r="H12" s="115"/>
      <c r="I12" s="112"/>
      <c r="J12" s="108">
        <f t="shared" si="0"/>
        <v>1</v>
      </c>
      <c r="K12" s="118">
        <f t="shared" si="1"/>
        <v>0</v>
      </c>
    </row>
    <row r="13" spans="7:11">
      <c r="H13" s="115"/>
      <c r="I13" s="112"/>
      <c r="J13" s="108">
        <f t="shared" si="0"/>
        <v>1</v>
      </c>
      <c r="K13" s="118">
        <f t="shared" si="1"/>
        <v>0</v>
      </c>
    </row>
    <row r="14" spans="7:11">
      <c r="H14" s="115"/>
      <c r="I14" s="112"/>
      <c r="J14" s="108">
        <f t="shared" si="0"/>
        <v>1</v>
      </c>
      <c r="K14" s="118">
        <f t="shared" si="1"/>
        <v>0</v>
      </c>
    </row>
    <row r="15" spans="7:11">
      <c r="H15" s="115"/>
      <c r="I15" s="112"/>
      <c r="J15" s="108">
        <f t="shared" si="0"/>
        <v>1</v>
      </c>
      <c r="K15" s="118">
        <f t="shared" si="1"/>
        <v>0</v>
      </c>
    </row>
    <row r="16" spans="7:11">
      <c r="H16" s="115"/>
      <c r="I16" s="112"/>
      <c r="J16" s="108">
        <f t="shared" si="0"/>
        <v>1</v>
      </c>
      <c r="K16" s="118">
        <f t="shared" si="1"/>
        <v>0</v>
      </c>
    </row>
    <row r="17" spans="8:11">
      <c r="H17" s="115"/>
      <c r="I17" s="112"/>
      <c r="J17" s="108">
        <f t="shared" si="0"/>
        <v>1</v>
      </c>
      <c r="K17" s="118">
        <f t="shared" si="1"/>
        <v>0</v>
      </c>
    </row>
    <row r="18" spans="8:11">
      <c r="H18" s="115"/>
      <c r="I18" s="112"/>
      <c r="J18" s="108">
        <f t="shared" si="0"/>
        <v>1</v>
      </c>
      <c r="K18" s="118">
        <f t="shared" si="1"/>
        <v>0</v>
      </c>
    </row>
    <row r="19" spans="8:11">
      <c r="H19" s="115"/>
      <c r="I19" s="112"/>
      <c r="J19" s="108">
        <f t="shared" si="0"/>
        <v>1</v>
      </c>
      <c r="K19" s="118">
        <f t="shared" si="1"/>
        <v>0</v>
      </c>
    </row>
    <row r="20" spans="8:11">
      <c r="H20" s="115"/>
      <c r="I20" s="112"/>
      <c r="J20" s="108">
        <f t="shared" ref="J20:J40" si="2">COS(I20*(PI()/180))</f>
        <v>1</v>
      </c>
      <c r="K20" s="118">
        <f t="shared" ref="K20:K40" si="3">J20*H20</f>
        <v>0</v>
      </c>
    </row>
    <row r="21" spans="8:11">
      <c r="H21" s="115"/>
      <c r="I21" s="112"/>
      <c r="J21" s="108">
        <f t="shared" si="2"/>
        <v>1</v>
      </c>
      <c r="K21" s="118">
        <f t="shared" si="3"/>
        <v>0</v>
      </c>
    </row>
    <row r="22" spans="8:11">
      <c r="H22" s="115"/>
      <c r="I22" s="112"/>
      <c r="J22" s="108">
        <f t="shared" si="2"/>
        <v>1</v>
      </c>
      <c r="K22" s="118">
        <f t="shared" si="3"/>
        <v>0</v>
      </c>
    </row>
    <row r="23" spans="8:11">
      <c r="H23" s="115"/>
      <c r="I23" s="112"/>
      <c r="J23" s="108">
        <f t="shared" si="2"/>
        <v>1</v>
      </c>
      <c r="K23" s="118">
        <f t="shared" si="3"/>
        <v>0</v>
      </c>
    </row>
    <row r="24" spans="8:11">
      <c r="H24" s="115"/>
      <c r="I24" s="112"/>
      <c r="J24" s="108">
        <f t="shared" si="2"/>
        <v>1</v>
      </c>
      <c r="K24" s="118">
        <f t="shared" si="3"/>
        <v>0</v>
      </c>
    </row>
    <row r="25" spans="8:11">
      <c r="H25" s="115"/>
      <c r="I25" s="112"/>
      <c r="J25" s="108">
        <f t="shared" si="2"/>
        <v>1</v>
      </c>
      <c r="K25" s="118">
        <f t="shared" si="3"/>
        <v>0</v>
      </c>
    </row>
    <row r="26" spans="8:11">
      <c r="H26" s="115"/>
      <c r="I26" s="112"/>
      <c r="J26" s="108">
        <f t="shared" si="2"/>
        <v>1</v>
      </c>
      <c r="K26" s="118">
        <f t="shared" si="3"/>
        <v>0</v>
      </c>
    </row>
    <row r="27" spans="8:11">
      <c r="H27" s="115"/>
      <c r="I27" s="112"/>
      <c r="J27" s="108">
        <f t="shared" si="2"/>
        <v>1</v>
      </c>
      <c r="K27" s="118">
        <f t="shared" si="3"/>
        <v>0</v>
      </c>
    </row>
    <row r="28" spans="8:11">
      <c r="H28" s="115"/>
      <c r="I28" s="112"/>
      <c r="J28" s="108">
        <f t="shared" si="2"/>
        <v>1</v>
      </c>
      <c r="K28" s="118">
        <f t="shared" si="3"/>
        <v>0</v>
      </c>
    </row>
    <row r="29" spans="8:11">
      <c r="H29" s="115"/>
      <c r="I29" s="112"/>
      <c r="J29" s="108">
        <f t="shared" si="2"/>
        <v>1</v>
      </c>
      <c r="K29" s="118">
        <f t="shared" si="3"/>
        <v>0</v>
      </c>
    </row>
    <row r="30" spans="8:11">
      <c r="H30" s="115"/>
      <c r="I30" s="112"/>
      <c r="J30" s="108">
        <f t="shared" si="2"/>
        <v>1</v>
      </c>
      <c r="K30" s="118">
        <f t="shared" si="3"/>
        <v>0</v>
      </c>
    </row>
    <row r="31" spans="8:11">
      <c r="H31" s="115"/>
      <c r="I31" s="112"/>
      <c r="J31" s="108">
        <f t="shared" si="2"/>
        <v>1</v>
      </c>
      <c r="K31" s="118">
        <f t="shared" si="3"/>
        <v>0</v>
      </c>
    </row>
    <row r="32" spans="8:11">
      <c r="H32" s="115"/>
      <c r="I32" s="112"/>
      <c r="J32" s="108">
        <f t="shared" si="2"/>
        <v>1</v>
      </c>
      <c r="K32" s="118">
        <f t="shared" si="3"/>
        <v>0</v>
      </c>
    </row>
    <row r="33" spans="8:11">
      <c r="H33" s="115"/>
      <c r="I33" s="112"/>
      <c r="J33" s="108">
        <f t="shared" si="2"/>
        <v>1</v>
      </c>
      <c r="K33" s="118">
        <f t="shared" si="3"/>
        <v>0</v>
      </c>
    </row>
    <row r="34" spans="8:11">
      <c r="H34" s="115"/>
      <c r="I34" s="112"/>
      <c r="J34" s="108">
        <f t="shared" si="2"/>
        <v>1</v>
      </c>
      <c r="K34" s="118">
        <f t="shared" si="3"/>
        <v>0</v>
      </c>
    </row>
    <row r="35" spans="8:11">
      <c r="H35" s="115"/>
      <c r="I35" s="112"/>
      <c r="J35" s="108">
        <f t="shared" si="2"/>
        <v>1</v>
      </c>
      <c r="K35" s="118">
        <f t="shared" si="3"/>
        <v>0</v>
      </c>
    </row>
    <row r="36" spans="8:11">
      <c r="H36" s="115"/>
      <c r="I36" s="112"/>
      <c r="J36" s="108">
        <f t="shared" si="2"/>
        <v>1</v>
      </c>
      <c r="K36" s="118">
        <f t="shared" si="3"/>
        <v>0</v>
      </c>
    </row>
    <row r="37" spans="8:11">
      <c r="H37" s="115"/>
      <c r="I37" s="112"/>
      <c r="J37" s="108">
        <f t="shared" si="2"/>
        <v>1</v>
      </c>
      <c r="K37" s="118">
        <f t="shared" si="3"/>
        <v>0</v>
      </c>
    </row>
    <row r="38" spans="8:11">
      <c r="H38" s="115"/>
      <c r="I38" s="112"/>
      <c r="J38" s="108">
        <f t="shared" si="2"/>
        <v>1</v>
      </c>
      <c r="K38" s="118">
        <f t="shared" si="3"/>
        <v>0</v>
      </c>
    </row>
    <row r="39" spans="8:11">
      <c r="H39" s="115"/>
      <c r="I39" s="112"/>
      <c r="J39" s="108">
        <f t="shared" si="2"/>
        <v>1</v>
      </c>
      <c r="K39" s="118">
        <f t="shared" si="3"/>
        <v>0</v>
      </c>
    </row>
    <row r="40" spans="8:11">
      <c r="H40" s="115"/>
      <c r="I40" s="112"/>
      <c r="J40" s="108">
        <f t="shared" si="2"/>
        <v>1</v>
      </c>
      <c r="K40" s="118">
        <f t="shared" si="3"/>
        <v>0</v>
      </c>
    </row>
    <row r="41" spans="8:11">
      <c r="H41" s="115"/>
      <c r="I41" s="112"/>
      <c r="J41" s="108">
        <f t="shared" ref="J41:J104" si="4">COS(I41*(PI()/180))</f>
        <v>1</v>
      </c>
      <c r="K41" s="118">
        <f t="shared" ref="K41:K104" si="5">J41*H41</f>
        <v>0</v>
      </c>
    </row>
    <row r="42" spans="8:11">
      <c r="H42" s="115"/>
      <c r="I42" s="112"/>
      <c r="J42" s="108">
        <f t="shared" si="4"/>
        <v>1</v>
      </c>
      <c r="K42" s="118">
        <f t="shared" si="5"/>
        <v>0</v>
      </c>
    </row>
    <row r="43" spans="8:11">
      <c r="H43" s="115"/>
      <c r="I43" s="112"/>
      <c r="J43" s="108">
        <f t="shared" si="4"/>
        <v>1</v>
      </c>
      <c r="K43" s="118">
        <f t="shared" si="5"/>
        <v>0</v>
      </c>
    </row>
    <row r="44" spans="8:11">
      <c r="H44" s="115"/>
      <c r="I44" s="112"/>
      <c r="J44" s="108">
        <f t="shared" si="4"/>
        <v>1</v>
      </c>
      <c r="K44" s="118">
        <f t="shared" si="5"/>
        <v>0</v>
      </c>
    </row>
    <row r="45" spans="8:11">
      <c r="H45" s="115"/>
      <c r="I45" s="112"/>
      <c r="J45" s="108">
        <f t="shared" si="4"/>
        <v>1</v>
      </c>
      <c r="K45" s="118">
        <f t="shared" si="5"/>
        <v>0</v>
      </c>
    </row>
    <row r="46" spans="8:11">
      <c r="H46" s="115"/>
      <c r="I46" s="112"/>
      <c r="J46" s="108">
        <f t="shared" si="4"/>
        <v>1</v>
      </c>
      <c r="K46" s="118">
        <f t="shared" si="5"/>
        <v>0</v>
      </c>
    </row>
    <row r="47" spans="8:11">
      <c r="H47" s="115"/>
      <c r="I47" s="112"/>
      <c r="J47" s="108">
        <f t="shared" si="4"/>
        <v>1</v>
      </c>
      <c r="K47" s="118">
        <f t="shared" si="5"/>
        <v>0</v>
      </c>
    </row>
    <row r="48" spans="8:11">
      <c r="H48" s="115"/>
      <c r="I48" s="112"/>
      <c r="J48" s="108">
        <f t="shared" si="4"/>
        <v>1</v>
      </c>
      <c r="K48" s="118">
        <f t="shared" si="5"/>
        <v>0</v>
      </c>
    </row>
    <row r="49" spans="8:11">
      <c r="H49" s="115"/>
      <c r="I49" s="112"/>
      <c r="J49" s="108">
        <f t="shared" si="4"/>
        <v>1</v>
      </c>
      <c r="K49" s="118">
        <f t="shared" si="5"/>
        <v>0</v>
      </c>
    </row>
    <row r="50" spans="8:11">
      <c r="H50" s="115"/>
      <c r="I50" s="112"/>
      <c r="J50" s="108">
        <f t="shared" si="4"/>
        <v>1</v>
      </c>
      <c r="K50" s="118">
        <f t="shared" si="5"/>
        <v>0</v>
      </c>
    </row>
    <row r="51" spans="8:11">
      <c r="H51" s="115"/>
      <c r="I51" s="112"/>
      <c r="J51" s="108">
        <f t="shared" si="4"/>
        <v>1</v>
      </c>
      <c r="K51" s="118">
        <f t="shared" si="5"/>
        <v>0</v>
      </c>
    </row>
    <row r="52" spans="8:11">
      <c r="H52" s="115"/>
      <c r="I52" s="112"/>
      <c r="J52" s="108">
        <f t="shared" si="4"/>
        <v>1</v>
      </c>
      <c r="K52" s="118">
        <f t="shared" si="5"/>
        <v>0</v>
      </c>
    </row>
    <row r="53" spans="8:11">
      <c r="H53" s="115"/>
      <c r="I53" s="112"/>
      <c r="J53" s="108">
        <f t="shared" si="4"/>
        <v>1</v>
      </c>
      <c r="K53" s="118">
        <f t="shared" si="5"/>
        <v>0</v>
      </c>
    </row>
    <row r="54" spans="8:11">
      <c r="H54" s="115"/>
      <c r="I54" s="112"/>
      <c r="J54" s="108">
        <f t="shared" si="4"/>
        <v>1</v>
      </c>
      <c r="K54" s="118">
        <f t="shared" si="5"/>
        <v>0</v>
      </c>
    </row>
    <row r="55" spans="8:11">
      <c r="H55" s="115"/>
      <c r="I55" s="112"/>
      <c r="J55" s="108">
        <f t="shared" si="4"/>
        <v>1</v>
      </c>
      <c r="K55" s="118">
        <f t="shared" si="5"/>
        <v>0</v>
      </c>
    </row>
    <row r="56" spans="8:11">
      <c r="H56" s="115"/>
      <c r="I56" s="112"/>
      <c r="J56" s="108">
        <f t="shared" si="4"/>
        <v>1</v>
      </c>
      <c r="K56" s="118">
        <f t="shared" si="5"/>
        <v>0</v>
      </c>
    </row>
    <row r="57" spans="8:11">
      <c r="H57" s="115"/>
      <c r="I57" s="112"/>
      <c r="J57" s="108">
        <f t="shared" si="4"/>
        <v>1</v>
      </c>
      <c r="K57" s="118">
        <f t="shared" si="5"/>
        <v>0</v>
      </c>
    </row>
    <row r="58" spans="8:11">
      <c r="H58" s="115"/>
      <c r="I58" s="112"/>
      <c r="J58" s="108">
        <f t="shared" si="4"/>
        <v>1</v>
      </c>
      <c r="K58" s="118">
        <f t="shared" si="5"/>
        <v>0</v>
      </c>
    </row>
    <row r="59" spans="8:11">
      <c r="H59" s="115"/>
      <c r="I59" s="112"/>
      <c r="J59" s="108">
        <f t="shared" si="4"/>
        <v>1</v>
      </c>
      <c r="K59" s="118">
        <f t="shared" si="5"/>
        <v>0</v>
      </c>
    </row>
    <row r="60" spans="8:11">
      <c r="H60" s="115"/>
      <c r="I60" s="112"/>
      <c r="J60" s="108">
        <f t="shared" si="4"/>
        <v>1</v>
      </c>
      <c r="K60" s="118">
        <f t="shared" si="5"/>
        <v>0</v>
      </c>
    </row>
    <row r="61" spans="8:11">
      <c r="H61" s="115"/>
      <c r="I61" s="112"/>
      <c r="J61" s="108">
        <f t="shared" si="4"/>
        <v>1</v>
      </c>
      <c r="K61" s="118">
        <f t="shared" si="5"/>
        <v>0</v>
      </c>
    </row>
    <row r="62" spans="8:11">
      <c r="H62" s="115"/>
      <c r="I62" s="112"/>
      <c r="J62" s="108">
        <f t="shared" si="4"/>
        <v>1</v>
      </c>
      <c r="K62" s="118">
        <f t="shared" si="5"/>
        <v>0</v>
      </c>
    </row>
    <row r="63" spans="8:11">
      <c r="H63" s="115"/>
      <c r="I63" s="112"/>
      <c r="J63" s="108">
        <f t="shared" si="4"/>
        <v>1</v>
      </c>
      <c r="K63" s="118">
        <f t="shared" si="5"/>
        <v>0</v>
      </c>
    </row>
    <row r="64" spans="8:11">
      <c r="H64" s="115"/>
      <c r="I64" s="112"/>
      <c r="J64" s="108">
        <f t="shared" si="4"/>
        <v>1</v>
      </c>
      <c r="K64" s="118">
        <f t="shared" si="5"/>
        <v>0</v>
      </c>
    </row>
    <row r="65" spans="8:11">
      <c r="H65" s="115"/>
      <c r="I65" s="112"/>
      <c r="J65" s="108">
        <f t="shared" si="4"/>
        <v>1</v>
      </c>
      <c r="K65" s="118">
        <f t="shared" si="5"/>
        <v>0</v>
      </c>
    </row>
    <row r="66" spans="8:11">
      <c r="H66" s="115"/>
      <c r="I66" s="112"/>
      <c r="J66" s="108">
        <f t="shared" si="4"/>
        <v>1</v>
      </c>
      <c r="K66" s="118">
        <f t="shared" si="5"/>
        <v>0</v>
      </c>
    </row>
    <row r="67" spans="8:11">
      <c r="H67" s="115"/>
      <c r="I67" s="112"/>
      <c r="J67" s="108">
        <f t="shared" si="4"/>
        <v>1</v>
      </c>
      <c r="K67" s="118">
        <f t="shared" si="5"/>
        <v>0</v>
      </c>
    </row>
    <row r="68" spans="8:11">
      <c r="H68" s="115"/>
      <c r="I68" s="112"/>
      <c r="J68" s="108">
        <f t="shared" si="4"/>
        <v>1</v>
      </c>
      <c r="K68" s="118">
        <f t="shared" si="5"/>
        <v>0</v>
      </c>
    </row>
    <row r="69" spans="8:11">
      <c r="H69" s="115"/>
      <c r="I69" s="112"/>
      <c r="J69" s="108">
        <f t="shared" si="4"/>
        <v>1</v>
      </c>
      <c r="K69" s="118">
        <f t="shared" si="5"/>
        <v>0</v>
      </c>
    </row>
    <row r="70" spans="8:11">
      <c r="H70" s="115"/>
      <c r="I70" s="112"/>
      <c r="J70" s="108">
        <f t="shared" si="4"/>
        <v>1</v>
      </c>
      <c r="K70" s="118">
        <f t="shared" si="5"/>
        <v>0</v>
      </c>
    </row>
    <row r="71" spans="8:11">
      <c r="H71" s="115"/>
      <c r="I71" s="112"/>
      <c r="J71" s="108">
        <f t="shared" si="4"/>
        <v>1</v>
      </c>
      <c r="K71" s="118">
        <f t="shared" si="5"/>
        <v>0</v>
      </c>
    </row>
    <row r="72" spans="8:11">
      <c r="H72" s="115"/>
      <c r="I72" s="112"/>
      <c r="J72" s="108">
        <f t="shared" si="4"/>
        <v>1</v>
      </c>
      <c r="K72" s="118">
        <f t="shared" si="5"/>
        <v>0</v>
      </c>
    </row>
    <row r="73" spans="8:11">
      <c r="H73" s="115"/>
      <c r="I73" s="112"/>
      <c r="J73" s="108">
        <f t="shared" si="4"/>
        <v>1</v>
      </c>
      <c r="K73" s="118">
        <f t="shared" si="5"/>
        <v>0</v>
      </c>
    </row>
    <row r="74" spans="8:11">
      <c r="H74" s="115"/>
      <c r="I74" s="112"/>
      <c r="J74" s="108">
        <f t="shared" si="4"/>
        <v>1</v>
      </c>
      <c r="K74" s="118">
        <f t="shared" si="5"/>
        <v>0</v>
      </c>
    </row>
    <row r="75" spans="8:11">
      <c r="H75" s="115"/>
      <c r="I75" s="112"/>
      <c r="J75" s="108">
        <f t="shared" si="4"/>
        <v>1</v>
      </c>
      <c r="K75" s="118">
        <f t="shared" si="5"/>
        <v>0</v>
      </c>
    </row>
    <row r="76" spans="8:11">
      <c r="H76" s="115"/>
      <c r="I76" s="112"/>
      <c r="J76" s="108">
        <f t="shared" si="4"/>
        <v>1</v>
      </c>
      <c r="K76" s="118">
        <f t="shared" si="5"/>
        <v>0</v>
      </c>
    </row>
    <row r="77" spans="8:11">
      <c r="H77" s="115"/>
      <c r="I77" s="112"/>
      <c r="J77" s="108">
        <f t="shared" si="4"/>
        <v>1</v>
      </c>
      <c r="K77" s="118">
        <f t="shared" si="5"/>
        <v>0</v>
      </c>
    </row>
    <row r="78" spans="8:11">
      <c r="H78" s="115"/>
      <c r="I78" s="112"/>
      <c r="J78" s="108">
        <f t="shared" si="4"/>
        <v>1</v>
      </c>
      <c r="K78" s="118">
        <f t="shared" si="5"/>
        <v>0</v>
      </c>
    </row>
    <row r="79" spans="8:11">
      <c r="H79" s="115"/>
      <c r="I79" s="112"/>
      <c r="J79" s="108">
        <f t="shared" si="4"/>
        <v>1</v>
      </c>
      <c r="K79" s="118">
        <f t="shared" si="5"/>
        <v>0</v>
      </c>
    </row>
    <row r="80" spans="8:11">
      <c r="H80" s="115"/>
      <c r="I80" s="112"/>
      <c r="J80" s="108">
        <f t="shared" si="4"/>
        <v>1</v>
      </c>
      <c r="K80" s="118">
        <f t="shared" si="5"/>
        <v>0</v>
      </c>
    </row>
    <row r="81" spans="8:11">
      <c r="H81" s="115"/>
      <c r="I81" s="112"/>
      <c r="J81" s="108">
        <f t="shared" si="4"/>
        <v>1</v>
      </c>
      <c r="K81" s="118">
        <f t="shared" si="5"/>
        <v>0</v>
      </c>
    </row>
    <row r="82" spans="8:11">
      <c r="H82" s="115"/>
      <c r="I82" s="112"/>
      <c r="J82" s="108">
        <f t="shared" si="4"/>
        <v>1</v>
      </c>
      <c r="K82" s="118">
        <f t="shared" si="5"/>
        <v>0</v>
      </c>
    </row>
    <row r="83" spans="8:11">
      <c r="H83" s="115"/>
      <c r="I83" s="112"/>
      <c r="J83" s="108">
        <f t="shared" si="4"/>
        <v>1</v>
      </c>
      <c r="K83" s="118">
        <f t="shared" si="5"/>
        <v>0</v>
      </c>
    </row>
    <row r="84" spans="8:11">
      <c r="H84" s="115"/>
      <c r="I84" s="112"/>
      <c r="J84" s="108">
        <f t="shared" si="4"/>
        <v>1</v>
      </c>
      <c r="K84" s="118">
        <f t="shared" si="5"/>
        <v>0</v>
      </c>
    </row>
    <row r="85" spans="8:11">
      <c r="H85" s="115"/>
      <c r="I85" s="112"/>
      <c r="J85" s="108">
        <f t="shared" si="4"/>
        <v>1</v>
      </c>
      <c r="K85" s="118">
        <f t="shared" si="5"/>
        <v>0</v>
      </c>
    </row>
    <row r="86" spans="8:11">
      <c r="H86" s="115"/>
      <c r="I86" s="112"/>
      <c r="J86" s="108">
        <f t="shared" si="4"/>
        <v>1</v>
      </c>
      <c r="K86" s="118">
        <f t="shared" si="5"/>
        <v>0</v>
      </c>
    </row>
    <row r="87" spans="8:11">
      <c r="H87" s="115"/>
      <c r="I87" s="112"/>
      <c r="J87" s="108">
        <f t="shared" si="4"/>
        <v>1</v>
      </c>
      <c r="K87" s="118">
        <f t="shared" si="5"/>
        <v>0</v>
      </c>
    </row>
    <row r="88" spans="8:11">
      <c r="H88" s="115"/>
      <c r="I88" s="112"/>
      <c r="J88" s="108">
        <f t="shared" si="4"/>
        <v>1</v>
      </c>
      <c r="K88" s="118">
        <f t="shared" si="5"/>
        <v>0</v>
      </c>
    </row>
    <row r="89" spans="8:11">
      <c r="H89" s="115"/>
      <c r="I89" s="112"/>
      <c r="J89" s="108">
        <f t="shared" si="4"/>
        <v>1</v>
      </c>
      <c r="K89" s="118">
        <f t="shared" si="5"/>
        <v>0</v>
      </c>
    </row>
    <row r="90" spans="8:11">
      <c r="H90" s="115"/>
      <c r="I90" s="112"/>
      <c r="J90" s="108">
        <f t="shared" si="4"/>
        <v>1</v>
      </c>
      <c r="K90" s="118">
        <f t="shared" si="5"/>
        <v>0</v>
      </c>
    </row>
    <row r="91" spans="8:11">
      <c r="H91" s="115"/>
      <c r="I91" s="112"/>
      <c r="J91" s="108">
        <f t="shared" si="4"/>
        <v>1</v>
      </c>
      <c r="K91" s="118">
        <f t="shared" si="5"/>
        <v>0</v>
      </c>
    </row>
    <row r="92" spans="8:11">
      <c r="H92" s="115"/>
      <c r="I92" s="112"/>
      <c r="J92" s="108">
        <f t="shared" si="4"/>
        <v>1</v>
      </c>
      <c r="K92" s="118">
        <f t="shared" si="5"/>
        <v>0</v>
      </c>
    </row>
    <row r="93" spans="8:11">
      <c r="H93" s="115"/>
      <c r="I93" s="112"/>
      <c r="J93" s="108">
        <f t="shared" si="4"/>
        <v>1</v>
      </c>
      <c r="K93" s="118">
        <f t="shared" si="5"/>
        <v>0</v>
      </c>
    </row>
    <row r="94" spans="8:11">
      <c r="H94" s="115"/>
      <c r="I94" s="112"/>
      <c r="J94" s="108">
        <f t="shared" si="4"/>
        <v>1</v>
      </c>
      <c r="K94" s="118">
        <f t="shared" si="5"/>
        <v>0</v>
      </c>
    </row>
    <row r="95" spans="8:11">
      <c r="H95" s="115"/>
      <c r="I95" s="112"/>
      <c r="J95" s="108">
        <f t="shared" si="4"/>
        <v>1</v>
      </c>
      <c r="K95" s="118">
        <f t="shared" si="5"/>
        <v>0</v>
      </c>
    </row>
    <row r="96" spans="8:11">
      <c r="H96" s="115"/>
      <c r="I96" s="112"/>
      <c r="J96" s="108">
        <f t="shared" si="4"/>
        <v>1</v>
      </c>
      <c r="K96" s="118">
        <f t="shared" si="5"/>
        <v>0</v>
      </c>
    </row>
    <row r="97" spans="8:11">
      <c r="H97" s="115"/>
      <c r="I97" s="112"/>
      <c r="J97" s="108">
        <f t="shared" si="4"/>
        <v>1</v>
      </c>
      <c r="K97" s="118">
        <f t="shared" si="5"/>
        <v>0</v>
      </c>
    </row>
    <row r="98" spans="8:11">
      <c r="H98" s="115"/>
      <c r="I98" s="112"/>
      <c r="J98" s="108">
        <f t="shared" si="4"/>
        <v>1</v>
      </c>
      <c r="K98" s="118">
        <f t="shared" si="5"/>
        <v>0</v>
      </c>
    </row>
    <row r="99" spans="8:11">
      <c r="H99" s="115"/>
      <c r="I99" s="112"/>
      <c r="J99" s="108">
        <f t="shared" si="4"/>
        <v>1</v>
      </c>
      <c r="K99" s="118">
        <f t="shared" si="5"/>
        <v>0</v>
      </c>
    </row>
    <row r="100" spans="8:11">
      <c r="H100" s="115"/>
      <c r="I100" s="112"/>
      <c r="J100" s="108">
        <f t="shared" si="4"/>
        <v>1</v>
      </c>
      <c r="K100" s="118">
        <f t="shared" si="5"/>
        <v>0</v>
      </c>
    </row>
    <row r="101" spans="8:11">
      <c r="H101" s="115"/>
      <c r="I101" s="112"/>
      <c r="J101" s="108">
        <f t="shared" si="4"/>
        <v>1</v>
      </c>
      <c r="K101" s="118">
        <f t="shared" si="5"/>
        <v>0</v>
      </c>
    </row>
    <row r="102" spans="8:11">
      <c r="H102" s="115"/>
      <c r="I102" s="112"/>
      <c r="J102" s="108">
        <f t="shared" si="4"/>
        <v>1</v>
      </c>
      <c r="K102" s="118">
        <f t="shared" si="5"/>
        <v>0</v>
      </c>
    </row>
    <row r="103" spans="8:11">
      <c r="H103" s="115"/>
      <c r="I103" s="112"/>
      <c r="J103" s="108">
        <f t="shared" si="4"/>
        <v>1</v>
      </c>
      <c r="K103" s="118">
        <f t="shared" si="5"/>
        <v>0</v>
      </c>
    </row>
    <row r="104" spans="8:11">
      <c r="H104" s="115"/>
      <c r="I104" s="112"/>
      <c r="J104" s="108">
        <f t="shared" si="4"/>
        <v>1</v>
      </c>
      <c r="K104" s="118">
        <f t="shared" si="5"/>
        <v>0</v>
      </c>
    </row>
    <row r="105" spans="8:11">
      <c r="H105" s="115"/>
      <c r="I105" s="112"/>
      <c r="J105" s="108">
        <f t="shared" ref="J105:J168" si="6">COS(I105*(PI()/180))</f>
        <v>1</v>
      </c>
      <c r="K105" s="118">
        <f t="shared" ref="K105:K168" si="7">J105*H105</f>
        <v>0</v>
      </c>
    </row>
    <row r="106" spans="8:11">
      <c r="H106" s="115"/>
      <c r="I106" s="112"/>
      <c r="J106" s="108">
        <f t="shared" si="6"/>
        <v>1</v>
      </c>
      <c r="K106" s="118">
        <f t="shared" si="7"/>
        <v>0</v>
      </c>
    </row>
    <row r="107" spans="8:11">
      <c r="H107" s="115"/>
      <c r="I107" s="112"/>
      <c r="J107" s="108">
        <f t="shared" si="6"/>
        <v>1</v>
      </c>
      <c r="K107" s="118">
        <f t="shared" si="7"/>
        <v>0</v>
      </c>
    </row>
    <row r="108" spans="8:11">
      <c r="H108" s="115"/>
      <c r="I108" s="112"/>
      <c r="J108" s="108">
        <f t="shared" si="6"/>
        <v>1</v>
      </c>
      <c r="K108" s="118">
        <f t="shared" si="7"/>
        <v>0</v>
      </c>
    </row>
    <row r="109" spans="8:11">
      <c r="H109" s="115"/>
      <c r="I109" s="112"/>
      <c r="J109" s="108">
        <f t="shared" si="6"/>
        <v>1</v>
      </c>
      <c r="K109" s="118">
        <f t="shared" si="7"/>
        <v>0</v>
      </c>
    </row>
    <row r="110" spans="8:11">
      <c r="H110" s="115"/>
      <c r="I110" s="112"/>
      <c r="J110" s="108">
        <f t="shared" si="6"/>
        <v>1</v>
      </c>
      <c r="K110" s="118">
        <f t="shared" si="7"/>
        <v>0</v>
      </c>
    </row>
    <row r="111" spans="8:11">
      <c r="H111" s="115"/>
      <c r="I111" s="112"/>
      <c r="J111" s="108">
        <f t="shared" si="6"/>
        <v>1</v>
      </c>
      <c r="K111" s="118">
        <f t="shared" si="7"/>
        <v>0</v>
      </c>
    </row>
    <row r="112" spans="8:11">
      <c r="H112" s="115"/>
      <c r="I112" s="112"/>
      <c r="J112" s="108">
        <f t="shared" si="6"/>
        <v>1</v>
      </c>
      <c r="K112" s="118">
        <f t="shared" si="7"/>
        <v>0</v>
      </c>
    </row>
    <row r="113" spans="8:11">
      <c r="H113" s="115"/>
      <c r="I113" s="112"/>
      <c r="J113" s="108">
        <f t="shared" si="6"/>
        <v>1</v>
      </c>
      <c r="K113" s="118">
        <f t="shared" si="7"/>
        <v>0</v>
      </c>
    </row>
    <row r="114" spans="8:11">
      <c r="H114" s="115"/>
      <c r="I114" s="112"/>
      <c r="J114" s="108">
        <f t="shared" si="6"/>
        <v>1</v>
      </c>
      <c r="K114" s="118">
        <f t="shared" si="7"/>
        <v>0</v>
      </c>
    </row>
    <row r="115" spans="8:11">
      <c r="H115" s="115"/>
      <c r="I115" s="112"/>
      <c r="J115" s="108">
        <f t="shared" si="6"/>
        <v>1</v>
      </c>
      <c r="K115" s="118">
        <f t="shared" si="7"/>
        <v>0</v>
      </c>
    </row>
    <row r="116" spans="8:11">
      <c r="H116" s="115"/>
      <c r="I116" s="112"/>
      <c r="J116" s="108">
        <f t="shared" si="6"/>
        <v>1</v>
      </c>
      <c r="K116" s="118">
        <f t="shared" si="7"/>
        <v>0</v>
      </c>
    </row>
    <row r="117" spans="8:11">
      <c r="H117" s="115"/>
      <c r="I117" s="112"/>
      <c r="J117" s="108">
        <f t="shared" si="6"/>
        <v>1</v>
      </c>
      <c r="K117" s="118">
        <f t="shared" si="7"/>
        <v>0</v>
      </c>
    </row>
    <row r="118" spans="8:11">
      <c r="H118" s="115"/>
      <c r="I118" s="112"/>
      <c r="J118" s="108">
        <f t="shared" si="6"/>
        <v>1</v>
      </c>
      <c r="K118" s="118">
        <f t="shared" si="7"/>
        <v>0</v>
      </c>
    </row>
    <row r="119" spans="8:11">
      <c r="H119" s="115"/>
      <c r="I119" s="112"/>
      <c r="J119" s="108">
        <f t="shared" si="6"/>
        <v>1</v>
      </c>
      <c r="K119" s="118">
        <f t="shared" si="7"/>
        <v>0</v>
      </c>
    </row>
    <row r="120" spans="8:11">
      <c r="H120" s="115"/>
      <c r="I120" s="112"/>
      <c r="J120" s="108">
        <f t="shared" si="6"/>
        <v>1</v>
      </c>
      <c r="K120" s="118">
        <f t="shared" si="7"/>
        <v>0</v>
      </c>
    </row>
    <row r="121" spans="8:11">
      <c r="H121" s="115"/>
      <c r="I121" s="112"/>
      <c r="J121" s="108">
        <f t="shared" si="6"/>
        <v>1</v>
      </c>
      <c r="K121" s="118">
        <f t="shared" si="7"/>
        <v>0</v>
      </c>
    </row>
    <row r="122" spans="8:11">
      <c r="H122" s="115"/>
      <c r="I122" s="112"/>
      <c r="J122" s="108">
        <f t="shared" si="6"/>
        <v>1</v>
      </c>
      <c r="K122" s="118">
        <f t="shared" si="7"/>
        <v>0</v>
      </c>
    </row>
    <row r="123" spans="8:11">
      <c r="H123" s="115"/>
      <c r="I123" s="112"/>
      <c r="J123" s="108">
        <f t="shared" si="6"/>
        <v>1</v>
      </c>
      <c r="K123" s="118">
        <f t="shared" si="7"/>
        <v>0</v>
      </c>
    </row>
    <row r="124" spans="8:11">
      <c r="H124" s="115"/>
      <c r="I124" s="112"/>
      <c r="J124" s="108">
        <f t="shared" si="6"/>
        <v>1</v>
      </c>
      <c r="K124" s="118">
        <f t="shared" si="7"/>
        <v>0</v>
      </c>
    </row>
    <row r="125" spans="8:11">
      <c r="H125" s="115"/>
      <c r="I125" s="112"/>
      <c r="J125" s="108">
        <f t="shared" si="6"/>
        <v>1</v>
      </c>
      <c r="K125" s="118">
        <f t="shared" si="7"/>
        <v>0</v>
      </c>
    </row>
    <row r="126" spans="8:11">
      <c r="H126" s="115"/>
      <c r="I126" s="112"/>
      <c r="J126" s="108">
        <f t="shared" si="6"/>
        <v>1</v>
      </c>
      <c r="K126" s="118">
        <f t="shared" si="7"/>
        <v>0</v>
      </c>
    </row>
    <row r="127" spans="8:11">
      <c r="H127" s="115"/>
      <c r="I127" s="112"/>
      <c r="J127" s="108">
        <f t="shared" si="6"/>
        <v>1</v>
      </c>
      <c r="K127" s="118">
        <f t="shared" si="7"/>
        <v>0</v>
      </c>
    </row>
    <row r="128" spans="8:11">
      <c r="H128" s="115"/>
      <c r="I128" s="112"/>
      <c r="J128" s="108">
        <f t="shared" si="6"/>
        <v>1</v>
      </c>
      <c r="K128" s="118">
        <f t="shared" si="7"/>
        <v>0</v>
      </c>
    </row>
    <row r="129" spans="8:11">
      <c r="H129" s="115"/>
      <c r="I129" s="112"/>
      <c r="J129" s="108">
        <f t="shared" si="6"/>
        <v>1</v>
      </c>
      <c r="K129" s="118">
        <f t="shared" si="7"/>
        <v>0</v>
      </c>
    </row>
    <row r="130" spans="8:11">
      <c r="H130" s="115"/>
      <c r="I130" s="112"/>
      <c r="J130" s="108">
        <f t="shared" si="6"/>
        <v>1</v>
      </c>
      <c r="K130" s="118">
        <f t="shared" si="7"/>
        <v>0</v>
      </c>
    </row>
    <row r="131" spans="8:11">
      <c r="H131" s="115"/>
      <c r="I131" s="112"/>
      <c r="J131" s="108">
        <f t="shared" si="6"/>
        <v>1</v>
      </c>
      <c r="K131" s="118">
        <f t="shared" si="7"/>
        <v>0</v>
      </c>
    </row>
    <row r="132" spans="8:11">
      <c r="H132" s="115"/>
      <c r="I132" s="112"/>
      <c r="J132" s="108">
        <f t="shared" si="6"/>
        <v>1</v>
      </c>
      <c r="K132" s="118">
        <f t="shared" si="7"/>
        <v>0</v>
      </c>
    </row>
    <row r="133" spans="8:11">
      <c r="H133" s="115"/>
      <c r="I133" s="112"/>
      <c r="J133" s="108">
        <f t="shared" si="6"/>
        <v>1</v>
      </c>
      <c r="K133" s="118">
        <f t="shared" si="7"/>
        <v>0</v>
      </c>
    </row>
    <row r="134" spans="8:11">
      <c r="H134" s="115"/>
      <c r="I134" s="112"/>
      <c r="J134" s="108">
        <f t="shared" si="6"/>
        <v>1</v>
      </c>
      <c r="K134" s="118">
        <f t="shared" si="7"/>
        <v>0</v>
      </c>
    </row>
    <row r="135" spans="8:11">
      <c r="H135" s="115"/>
      <c r="I135" s="112"/>
      <c r="J135" s="108">
        <f t="shared" si="6"/>
        <v>1</v>
      </c>
      <c r="K135" s="118">
        <f t="shared" si="7"/>
        <v>0</v>
      </c>
    </row>
    <row r="136" spans="8:11">
      <c r="H136" s="115"/>
      <c r="I136" s="112"/>
      <c r="J136" s="108">
        <f t="shared" si="6"/>
        <v>1</v>
      </c>
      <c r="K136" s="118">
        <f t="shared" si="7"/>
        <v>0</v>
      </c>
    </row>
    <row r="137" spans="8:11">
      <c r="H137" s="115"/>
      <c r="I137" s="112"/>
      <c r="J137" s="108">
        <f t="shared" si="6"/>
        <v>1</v>
      </c>
      <c r="K137" s="118">
        <f t="shared" si="7"/>
        <v>0</v>
      </c>
    </row>
    <row r="138" spans="8:11">
      <c r="H138" s="115"/>
      <c r="I138" s="112"/>
      <c r="J138" s="108">
        <f t="shared" si="6"/>
        <v>1</v>
      </c>
      <c r="K138" s="118">
        <f t="shared" si="7"/>
        <v>0</v>
      </c>
    </row>
    <row r="139" spans="8:11">
      <c r="H139" s="115"/>
      <c r="I139" s="112"/>
      <c r="J139" s="108">
        <f t="shared" si="6"/>
        <v>1</v>
      </c>
      <c r="K139" s="118">
        <f t="shared" si="7"/>
        <v>0</v>
      </c>
    </row>
    <row r="140" spans="8:11">
      <c r="H140" s="115"/>
      <c r="I140" s="112"/>
      <c r="J140" s="108">
        <f t="shared" si="6"/>
        <v>1</v>
      </c>
      <c r="K140" s="118">
        <f t="shared" si="7"/>
        <v>0</v>
      </c>
    </row>
    <row r="141" spans="8:11">
      <c r="H141" s="115"/>
      <c r="I141" s="112"/>
      <c r="J141" s="108">
        <f t="shared" si="6"/>
        <v>1</v>
      </c>
      <c r="K141" s="118">
        <f t="shared" si="7"/>
        <v>0</v>
      </c>
    </row>
    <row r="142" spans="8:11">
      <c r="H142" s="115"/>
      <c r="I142" s="112"/>
      <c r="J142" s="108">
        <f t="shared" si="6"/>
        <v>1</v>
      </c>
      <c r="K142" s="118">
        <f t="shared" si="7"/>
        <v>0</v>
      </c>
    </row>
    <row r="143" spans="8:11">
      <c r="H143" s="115"/>
      <c r="I143" s="112"/>
      <c r="J143" s="108">
        <f t="shared" si="6"/>
        <v>1</v>
      </c>
      <c r="K143" s="118">
        <f t="shared" si="7"/>
        <v>0</v>
      </c>
    </row>
    <row r="144" spans="8:11">
      <c r="H144" s="115"/>
      <c r="I144" s="112"/>
      <c r="J144" s="108">
        <f t="shared" si="6"/>
        <v>1</v>
      </c>
      <c r="K144" s="118">
        <f t="shared" si="7"/>
        <v>0</v>
      </c>
    </row>
    <row r="145" spans="8:11">
      <c r="H145" s="115"/>
      <c r="I145" s="112"/>
      <c r="J145" s="108">
        <f t="shared" si="6"/>
        <v>1</v>
      </c>
      <c r="K145" s="118">
        <f t="shared" si="7"/>
        <v>0</v>
      </c>
    </row>
    <row r="146" spans="8:11">
      <c r="H146" s="115"/>
      <c r="I146" s="112"/>
      <c r="J146" s="108">
        <f t="shared" si="6"/>
        <v>1</v>
      </c>
      <c r="K146" s="118">
        <f t="shared" si="7"/>
        <v>0</v>
      </c>
    </row>
    <row r="147" spans="8:11">
      <c r="H147" s="115"/>
      <c r="I147" s="112"/>
      <c r="J147" s="108">
        <f t="shared" si="6"/>
        <v>1</v>
      </c>
      <c r="K147" s="118">
        <f t="shared" si="7"/>
        <v>0</v>
      </c>
    </row>
    <row r="148" spans="8:11">
      <c r="H148" s="115"/>
      <c r="I148" s="112"/>
      <c r="J148" s="108">
        <f t="shared" si="6"/>
        <v>1</v>
      </c>
      <c r="K148" s="118">
        <f t="shared" si="7"/>
        <v>0</v>
      </c>
    </row>
    <row r="149" spans="8:11">
      <c r="H149" s="115"/>
      <c r="I149" s="112"/>
      <c r="J149" s="108">
        <f t="shared" si="6"/>
        <v>1</v>
      </c>
      <c r="K149" s="118">
        <f t="shared" si="7"/>
        <v>0</v>
      </c>
    </row>
    <row r="150" spans="8:11">
      <c r="H150" s="115"/>
      <c r="I150" s="112"/>
      <c r="J150" s="108">
        <f t="shared" si="6"/>
        <v>1</v>
      </c>
      <c r="K150" s="118">
        <f t="shared" si="7"/>
        <v>0</v>
      </c>
    </row>
    <row r="151" spans="8:11">
      <c r="H151" s="115"/>
      <c r="I151" s="112"/>
      <c r="J151" s="108">
        <f t="shared" si="6"/>
        <v>1</v>
      </c>
      <c r="K151" s="118">
        <f t="shared" si="7"/>
        <v>0</v>
      </c>
    </row>
    <row r="152" spans="8:11">
      <c r="H152" s="115"/>
      <c r="I152" s="112"/>
      <c r="J152" s="108">
        <f t="shared" si="6"/>
        <v>1</v>
      </c>
      <c r="K152" s="118">
        <f t="shared" si="7"/>
        <v>0</v>
      </c>
    </row>
    <row r="153" spans="8:11">
      <c r="H153" s="115"/>
      <c r="I153" s="112"/>
      <c r="J153" s="108">
        <f t="shared" si="6"/>
        <v>1</v>
      </c>
      <c r="K153" s="118">
        <f t="shared" si="7"/>
        <v>0</v>
      </c>
    </row>
    <row r="154" spans="8:11">
      <c r="H154" s="115"/>
      <c r="I154" s="112"/>
      <c r="J154" s="108">
        <f t="shared" si="6"/>
        <v>1</v>
      </c>
      <c r="K154" s="118">
        <f t="shared" si="7"/>
        <v>0</v>
      </c>
    </row>
    <row r="155" spans="8:11">
      <c r="H155" s="115"/>
      <c r="I155" s="112"/>
      <c r="J155" s="108">
        <f t="shared" si="6"/>
        <v>1</v>
      </c>
      <c r="K155" s="118">
        <f t="shared" si="7"/>
        <v>0</v>
      </c>
    </row>
    <row r="156" spans="8:11">
      <c r="H156" s="115"/>
      <c r="I156" s="112"/>
      <c r="J156" s="108">
        <f t="shared" si="6"/>
        <v>1</v>
      </c>
      <c r="K156" s="118">
        <f t="shared" si="7"/>
        <v>0</v>
      </c>
    </row>
    <row r="157" spans="8:11">
      <c r="H157" s="115"/>
      <c r="I157" s="112"/>
      <c r="J157" s="108">
        <f t="shared" si="6"/>
        <v>1</v>
      </c>
      <c r="K157" s="118">
        <f t="shared" si="7"/>
        <v>0</v>
      </c>
    </row>
    <row r="158" spans="8:11">
      <c r="H158" s="115"/>
      <c r="I158" s="112"/>
      <c r="J158" s="108">
        <f t="shared" si="6"/>
        <v>1</v>
      </c>
      <c r="K158" s="118">
        <f t="shared" si="7"/>
        <v>0</v>
      </c>
    </row>
    <row r="159" spans="8:11">
      <c r="H159" s="115"/>
      <c r="I159" s="112"/>
      <c r="J159" s="108">
        <f t="shared" si="6"/>
        <v>1</v>
      </c>
      <c r="K159" s="118">
        <f t="shared" si="7"/>
        <v>0</v>
      </c>
    </row>
    <row r="160" spans="8:11">
      <c r="H160" s="115"/>
      <c r="I160" s="112"/>
      <c r="J160" s="108">
        <f t="shared" si="6"/>
        <v>1</v>
      </c>
      <c r="K160" s="118">
        <f t="shared" si="7"/>
        <v>0</v>
      </c>
    </row>
    <row r="161" spans="8:11">
      <c r="H161" s="115"/>
      <c r="I161" s="112"/>
      <c r="J161" s="108">
        <f t="shared" si="6"/>
        <v>1</v>
      </c>
      <c r="K161" s="118">
        <f t="shared" si="7"/>
        <v>0</v>
      </c>
    </row>
    <row r="162" spans="8:11">
      <c r="H162" s="115"/>
      <c r="I162" s="112"/>
      <c r="J162" s="108">
        <f t="shared" si="6"/>
        <v>1</v>
      </c>
      <c r="K162" s="118">
        <f t="shared" si="7"/>
        <v>0</v>
      </c>
    </row>
    <row r="163" spans="8:11">
      <c r="H163" s="115"/>
      <c r="I163" s="112"/>
      <c r="J163" s="108">
        <f t="shared" si="6"/>
        <v>1</v>
      </c>
      <c r="K163" s="118">
        <f t="shared" si="7"/>
        <v>0</v>
      </c>
    </row>
    <row r="164" spans="8:11">
      <c r="H164" s="115"/>
      <c r="I164" s="112"/>
      <c r="J164" s="108">
        <f t="shared" si="6"/>
        <v>1</v>
      </c>
      <c r="K164" s="118">
        <f t="shared" si="7"/>
        <v>0</v>
      </c>
    </row>
    <row r="165" spans="8:11">
      <c r="H165" s="115"/>
      <c r="I165" s="112"/>
      <c r="J165" s="108">
        <f t="shared" si="6"/>
        <v>1</v>
      </c>
      <c r="K165" s="118">
        <f t="shared" si="7"/>
        <v>0</v>
      </c>
    </row>
    <row r="166" spans="8:11">
      <c r="H166" s="115"/>
      <c r="I166" s="112"/>
      <c r="J166" s="108">
        <f t="shared" si="6"/>
        <v>1</v>
      </c>
      <c r="K166" s="118">
        <f t="shared" si="7"/>
        <v>0</v>
      </c>
    </row>
    <row r="167" spans="8:11">
      <c r="H167" s="115"/>
      <c r="I167" s="112"/>
      <c r="J167" s="108">
        <f t="shared" si="6"/>
        <v>1</v>
      </c>
      <c r="K167" s="118">
        <f t="shared" si="7"/>
        <v>0</v>
      </c>
    </row>
    <row r="168" spans="8:11">
      <c r="H168" s="115"/>
      <c r="I168" s="112"/>
      <c r="J168" s="108">
        <f t="shared" si="6"/>
        <v>1</v>
      </c>
      <c r="K168" s="118">
        <f t="shared" si="7"/>
        <v>0</v>
      </c>
    </row>
    <row r="169" spans="8:11">
      <c r="H169" s="115"/>
      <c r="I169" s="112"/>
      <c r="J169" s="108">
        <f t="shared" ref="J169:J232" si="8">COS(I169*(PI()/180))</f>
        <v>1</v>
      </c>
      <c r="K169" s="118">
        <f t="shared" ref="K169:K232" si="9">J169*H169</f>
        <v>0</v>
      </c>
    </row>
    <row r="170" spans="8:11">
      <c r="H170" s="115"/>
      <c r="I170" s="112"/>
      <c r="J170" s="108">
        <f t="shared" si="8"/>
        <v>1</v>
      </c>
      <c r="K170" s="118">
        <f t="shared" si="9"/>
        <v>0</v>
      </c>
    </row>
    <row r="171" spans="8:11">
      <c r="H171" s="115"/>
      <c r="I171" s="112"/>
      <c r="J171" s="108">
        <f t="shared" si="8"/>
        <v>1</v>
      </c>
      <c r="K171" s="118">
        <f t="shared" si="9"/>
        <v>0</v>
      </c>
    </row>
    <row r="172" spans="8:11">
      <c r="H172" s="115"/>
      <c r="I172" s="112"/>
      <c r="J172" s="108">
        <f t="shared" si="8"/>
        <v>1</v>
      </c>
      <c r="K172" s="118">
        <f t="shared" si="9"/>
        <v>0</v>
      </c>
    </row>
    <row r="173" spans="8:11">
      <c r="H173" s="115"/>
      <c r="I173" s="112"/>
      <c r="J173" s="108">
        <f t="shared" si="8"/>
        <v>1</v>
      </c>
      <c r="K173" s="118">
        <f t="shared" si="9"/>
        <v>0</v>
      </c>
    </row>
    <row r="174" spans="8:11">
      <c r="H174" s="115"/>
      <c r="I174" s="112"/>
      <c r="J174" s="108">
        <f t="shared" si="8"/>
        <v>1</v>
      </c>
      <c r="K174" s="118">
        <f t="shared" si="9"/>
        <v>0</v>
      </c>
    </row>
    <row r="175" spans="8:11">
      <c r="H175" s="115"/>
      <c r="I175" s="112"/>
      <c r="J175" s="108">
        <f t="shared" si="8"/>
        <v>1</v>
      </c>
      <c r="K175" s="118">
        <f t="shared" si="9"/>
        <v>0</v>
      </c>
    </row>
    <row r="176" spans="8:11">
      <c r="H176" s="115"/>
      <c r="I176" s="112"/>
      <c r="J176" s="108">
        <f t="shared" si="8"/>
        <v>1</v>
      </c>
      <c r="K176" s="118">
        <f t="shared" si="9"/>
        <v>0</v>
      </c>
    </row>
    <row r="177" spans="8:11">
      <c r="H177" s="115"/>
      <c r="I177" s="112"/>
      <c r="J177" s="108">
        <f t="shared" si="8"/>
        <v>1</v>
      </c>
      <c r="K177" s="118">
        <f t="shared" si="9"/>
        <v>0</v>
      </c>
    </row>
    <row r="178" spans="8:11">
      <c r="H178" s="115"/>
      <c r="I178" s="112"/>
      <c r="J178" s="108">
        <f t="shared" si="8"/>
        <v>1</v>
      </c>
      <c r="K178" s="118">
        <f t="shared" si="9"/>
        <v>0</v>
      </c>
    </row>
    <row r="179" spans="8:11">
      <c r="H179" s="115"/>
      <c r="I179" s="112"/>
      <c r="J179" s="108">
        <f t="shared" si="8"/>
        <v>1</v>
      </c>
      <c r="K179" s="118">
        <f t="shared" si="9"/>
        <v>0</v>
      </c>
    </row>
    <row r="180" spans="8:11">
      <c r="H180" s="115"/>
      <c r="I180" s="112"/>
      <c r="J180" s="108">
        <f t="shared" si="8"/>
        <v>1</v>
      </c>
      <c r="K180" s="118">
        <f t="shared" si="9"/>
        <v>0</v>
      </c>
    </row>
    <row r="181" spans="8:11">
      <c r="H181" s="115"/>
      <c r="I181" s="112"/>
      <c r="J181" s="108">
        <f t="shared" si="8"/>
        <v>1</v>
      </c>
      <c r="K181" s="118">
        <f t="shared" si="9"/>
        <v>0</v>
      </c>
    </row>
    <row r="182" spans="8:11">
      <c r="H182" s="115"/>
      <c r="I182" s="112"/>
      <c r="J182" s="108">
        <f t="shared" si="8"/>
        <v>1</v>
      </c>
      <c r="K182" s="118">
        <f t="shared" si="9"/>
        <v>0</v>
      </c>
    </row>
    <row r="183" spans="8:11">
      <c r="H183" s="115"/>
      <c r="I183" s="112"/>
      <c r="J183" s="108">
        <f t="shared" si="8"/>
        <v>1</v>
      </c>
      <c r="K183" s="118">
        <f t="shared" si="9"/>
        <v>0</v>
      </c>
    </row>
    <row r="184" spans="8:11">
      <c r="H184" s="115"/>
      <c r="I184" s="112"/>
      <c r="J184" s="108">
        <f t="shared" si="8"/>
        <v>1</v>
      </c>
      <c r="K184" s="118">
        <f t="shared" si="9"/>
        <v>0</v>
      </c>
    </row>
    <row r="185" spans="8:11">
      <c r="H185" s="115"/>
      <c r="I185" s="112"/>
      <c r="J185" s="108">
        <f t="shared" si="8"/>
        <v>1</v>
      </c>
      <c r="K185" s="118">
        <f t="shared" si="9"/>
        <v>0</v>
      </c>
    </row>
    <row r="186" spans="8:11">
      <c r="H186" s="115"/>
      <c r="I186" s="112"/>
      <c r="J186" s="108">
        <f t="shared" si="8"/>
        <v>1</v>
      </c>
      <c r="K186" s="118">
        <f t="shared" si="9"/>
        <v>0</v>
      </c>
    </row>
    <row r="187" spans="8:11">
      <c r="H187" s="115"/>
      <c r="I187" s="112"/>
      <c r="J187" s="108">
        <f t="shared" si="8"/>
        <v>1</v>
      </c>
      <c r="K187" s="118">
        <f t="shared" si="9"/>
        <v>0</v>
      </c>
    </row>
    <row r="188" spans="8:11">
      <c r="H188" s="115"/>
      <c r="I188" s="112"/>
      <c r="J188" s="108">
        <f t="shared" si="8"/>
        <v>1</v>
      </c>
      <c r="K188" s="118">
        <f t="shared" si="9"/>
        <v>0</v>
      </c>
    </row>
    <row r="189" spans="8:11">
      <c r="H189" s="115"/>
      <c r="I189" s="112"/>
      <c r="J189" s="108">
        <f t="shared" si="8"/>
        <v>1</v>
      </c>
      <c r="K189" s="118">
        <f t="shared" si="9"/>
        <v>0</v>
      </c>
    </row>
    <row r="190" spans="8:11">
      <c r="H190" s="115"/>
      <c r="I190" s="112"/>
      <c r="J190" s="108">
        <f t="shared" si="8"/>
        <v>1</v>
      </c>
      <c r="K190" s="118">
        <f t="shared" si="9"/>
        <v>0</v>
      </c>
    </row>
    <row r="191" spans="8:11">
      <c r="H191" s="115"/>
      <c r="I191" s="112"/>
      <c r="J191" s="108">
        <f t="shared" si="8"/>
        <v>1</v>
      </c>
      <c r="K191" s="118">
        <f t="shared" si="9"/>
        <v>0</v>
      </c>
    </row>
    <row r="192" spans="8:11">
      <c r="H192" s="115"/>
      <c r="I192" s="112"/>
      <c r="J192" s="108">
        <f t="shared" si="8"/>
        <v>1</v>
      </c>
      <c r="K192" s="118">
        <f t="shared" si="9"/>
        <v>0</v>
      </c>
    </row>
    <row r="193" spans="8:11">
      <c r="H193" s="115"/>
      <c r="I193" s="112"/>
      <c r="J193" s="108">
        <f t="shared" si="8"/>
        <v>1</v>
      </c>
      <c r="K193" s="118">
        <f t="shared" si="9"/>
        <v>0</v>
      </c>
    </row>
    <row r="194" spans="8:11">
      <c r="H194" s="115"/>
      <c r="I194" s="112"/>
      <c r="J194" s="108">
        <f t="shared" si="8"/>
        <v>1</v>
      </c>
      <c r="K194" s="118">
        <f t="shared" si="9"/>
        <v>0</v>
      </c>
    </row>
    <row r="195" spans="8:11">
      <c r="H195" s="115"/>
      <c r="I195" s="112"/>
      <c r="J195" s="108">
        <f t="shared" si="8"/>
        <v>1</v>
      </c>
      <c r="K195" s="118">
        <f t="shared" si="9"/>
        <v>0</v>
      </c>
    </row>
    <row r="196" spans="8:11">
      <c r="H196" s="115"/>
      <c r="I196" s="112"/>
      <c r="J196" s="108">
        <f t="shared" si="8"/>
        <v>1</v>
      </c>
      <c r="K196" s="118">
        <f t="shared" si="9"/>
        <v>0</v>
      </c>
    </row>
    <row r="197" spans="8:11">
      <c r="H197" s="115"/>
      <c r="I197" s="112"/>
      <c r="J197" s="108">
        <f t="shared" si="8"/>
        <v>1</v>
      </c>
      <c r="K197" s="118">
        <f t="shared" si="9"/>
        <v>0</v>
      </c>
    </row>
    <row r="198" spans="8:11">
      <c r="H198" s="115"/>
      <c r="I198" s="112"/>
      <c r="J198" s="108">
        <f t="shared" si="8"/>
        <v>1</v>
      </c>
      <c r="K198" s="118">
        <f t="shared" si="9"/>
        <v>0</v>
      </c>
    </row>
    <row r="199" spans="8:11">
      <c r="H199" s="115"/>
      <c r="I199" s="112"/>
      <c r="J199" s="108">
        <f t="shared" si="8"/>
        <v>1</v>
      </c>
      <c r="K199" s="118">
        <f t="shared" si="9"/>
        <v>0</v>
      </c>
    </row>
    <row r="200" spans="8:11">
      <c r="H200" s="115"/>
      <c r="I200" s="112"/>
      <c r="J200" s="108">
        <f t="shared" si="8"/>
        <v>1</v>
      </c>
      <c r="K200" s="118">
        <f t="shared" si="9"/>
        <v>0</v>
      </c>
    </row>
    <row r="201" spans="8:11">
      <c r="H201" s="115"/>
      <c r="I201" s="112"/>
      <c r="J201" s="108">
        <f t="shared" si="8"/>
        <v>1</v>
      </c>
      <c r="K201" s="118">
        <f t="shared" si="9"/>
        <v>0</v>
      </c>
    </row>
    <row r="202" spans="8:11">
      <c r="H202" s="115"/>
      <c r="I202" s="112"/>
      <c r="J202" s="108">
        <f t="shared" si="8"/>
        <v>1</v>
      </c>
      <c r="K202" s="118">
        <f t="shared" si="9"/>
        <v>0</v>
      </c>
    </row>
    <row r="203" spans="8:11">
      <c r="H203" s="115"/>
      <c r="I203" s="112"/>
      <c r="J203" s="108">
        <f t="shared" si="8"/>
        <v>1</v>
      </c>
      <c r="K203" s="118">
        <f t="shared" si="9"/>
        <v>0</v>
      </c>
    </row>
    <row r="204" spans="8:11">
      <c r="H204" s="115"/>
      <c r="I204" s="112"/>
      <c r="J204" s="108">
        <f t="shared" si="8"/>
        <v>1</v>
      </c>
      <c r="K204" s="118">
        <f t="shared" si="9"/>
        <v>0</v>
      </c>
    </row>
    <row r="205" spans="8:11">
      <c r="H205" s="115"/>
      <c r="I205" s="112"/>
      <c r="J205" s="108">
        <f t="shared" si="8"/>
        <v>1</v>
      </c>
      <c r="K205" s="118">
        <f t="shared" si="9"/>
        <v>0</v>
      </c>
    </row>
    <row r="206" spans="8:11">
      <c r="H206" s="115"/>
      <c r="I206" s="112"/>
      <c r="J206" s="108">
        <f t="shared" si="8"/>
        <v>1</v>
      </c>
      <c r="K206" s="118">
        <f t="shared" si="9"/>
        <v>0</v>
      </c>
    </row>
    <row r="207" spans="8:11">
      <c r="H207" s="115"/>
      <c r="I207" s="112"/>
      <c r="J207" s="108">
        <f t="shared" si="8"/>
        <v>1</v>
      </c>
      <c r="K207" s="118">
        <f t="shared" si="9"/>
        <v>0</v>
      </c>
    </row>
    <row r="208" spans="8:11">
      <c r="H208" s="115"/>
      <c r="I208" s="112"/>
      <c r="J208" s="108">
        <f t="shared" si="8"/>
        <v>1</v>
      </c>
      <c r="K208" s="118">
        <f t="shared" si="9"/>
        <v>0</v>
      </c>
    </row>
    <row r="209" spans="8:11">
      <c r="H209" s="115"/>
      <c r="I209" s="112"/>
      <c r="J209" s="108">
        <f t="shared" si="8"/>
        <v>1</v>
      </c>
      <c r="K209" s="118">
        <f t="shared" si="9"/>
        <v>0</v>
      </c>
    </row>
    <row r="210" spans="8:11">
      <c r="H210" s="115"/>
      <c r="I210" s="112"/>
      <c r="J210" s="108">
        <f t="shared" si="8"/>
        <v>1</v>
      </c>
      <c r="K210" s="118">
        <f t="shared" si="9"/>
        <v>0</v>
      </c>
    </row>
    <row r="211" spans="8:11">
      <c r="H211" s="115"/>
      <c r="I211" s="112"/>
      <c r="J211" s="108">
        <f t="shared" si="8"/>
        <v>1</v>
      </c>
      <c r="K211" s="118">
        <f t="shared" si="9"/>
        <v>0</v>
      </c>
    </row>
    <row r="212" spans="8:11">
      <c r="H212" s="115"/>
      <c r="I212" s="112"/>
      <c r="J212" s="108">
        <f t="shared" si="8"/>
        <v>1</v>
      </c>
      <c r="K212" s="118">
        <f t="shared" si="9"/>
        <v>0</v>
      </c>
    </row>
    <row r="213" spans="8:11">
      <c r="H213" s="115"/>
      <c r="I213" s="112"/>
      <c r="J213" s="108">
        <f t="shared" si="8"/>
        <v>1</v>
      </c>
      <c r="K213" s="118">
        <f t="shared" si="9"/>
        <v>0</v>
      </c>
    </row>
    <row r="214" spans="8:11">
      <c r="H214" s="115"/>
      <c r="I214" s="112"/>
      <c r="J214" s="108">
        <f t="shared" si="8"/>
        <v>1</v>
      </c>
      <c r="K214" s="118">
        <f t="shared" si="9"/>
        <v>0</v>
      </c>
    </row>
    <row r="215" spans="8:11">
      <c r="H215" s="115"/>
      <c r="I215" s="112"/>
      <c r="J215" s="108">
        <f t="shared" si="8"/>
        <v>1</v>
      </c>
      <c r="K215" s="118">
        <f t="shared" si="9"/>
        <v>0</v>
      </c>
    </row>
    <row r="216" spans="8:11">
      <c r="H216" s="115"/>
      <c r="I216" s="112"/>
      <c r="J216" s="108">
        <f t="shared" si="8"/>
        <v>1</v>
      </c>
      <c r="K216" s="118">
        <f t="shared" si="9"/>
        <v>0</v>
      </c>
    </row>
    <row r="217" spans="8:11">
      <c r="H217" s="115"/>
      <c r="I217" s="112"/>
      <c r="J217" s="108">
        <f t="shared" si="8"/>
        <v>1</v>
      </c>
      <c r="K217" s="118">
        <f t="shared" si="9"/>
        <v>0</v>
      </c>
    </row>
    <row r="218" spans="8:11">
      <c r="H218" s="115"/>
      <c r="I218" s="112"/>
      <c r="J218" s="108">
        <f t="shared" si="8"/>
        <v>1</v>
      </c>
      <c r="K218" s="118">
        <f t="shared" si="9"/>
        <v>0</v>
      </c>
    </row>
    <row r="219" spans="8:11">
      <c r="H219" s="115"/>
      <c r="I219" s="112"/>
      <c r="J219" s="108">
        <f t="shared" si="8"/>
        <v>1</v>
      </c>
      <c r="K219" s="118">
        <f t="shared" si="9"/>
        <v>0</v>
      </c>
    </row>
    <row r="220" spans="8:11">
      <c r="H220" s="115"/>
      <c r="I220" s="112"/>
      <c r="J220" s="108">
        <f t="shared" si="8"/>
        <v>1</v>
      </c>
      <c r="K220" s="118">
        <f t="shared" si="9"/>
        <v>0</v>
      </c>
    </row>
    <row r="221" spans="8:11">
      <c r="H221" s="115"/>
      <c r="I221" s="112"/>
      <c r="J221" s="108">
        <f t="shared" si="8"/>
        <v>1</v>
      </c>
      <c r="K221" s="118">
        <f t="shared" si="9"/>
        <v>0</v>
      </c>
    </row>
    <row r="222" spans="8:11">
      <c r="H222" s="115"/>
      <c r="I222" s="112"/>
      <c r="J222" s="108">
        <f t="shared" si="8"/>
        <v>1</v>
      </c>
      <c r="K222" s="118">
        <f t="shared" si="9"/>
        <v>0</v>
      </c>
    </row>
    <row r="223" spans="8:11">
      <c r="H223" s="115"/>
      <c r="I223" s="112"/>
      <c r="J223" s="108">
        <f t="shared" si="8"/>
        <v>1</v>
      </c>
      <c r="K223" s="118">
        <f t="shared" si="9"/>
        <v>0</v>
      </c>
    </row>
    <row r="224" spans="8:11">
      <c r="H224" s="115"/>
      <c r="I224" s="112"/>
      <c r="J224" s="108">
        <f t="shared" si="8"/>
        <v>1</v>
      </c>
      <c r="K224" s="118">
        <f t="shared" si="9"/>
        <v>0</v>
      </c>
    </row>
    <row r="225" spans="8:11">
      <c r="H225" s="115"/>
      <c r="I225" s="112"/>
      <c r="J225" s="108">
        <f t="shared" si="8"/>
        <v>1</v>
      </c>
      <c r="K225" s="118">
        <f t="shared" si="9"/>
        <v>0</v>
      </c>
    </row>
    <row r="226" spans="8:11">
      <c r="H226" s="115"/>
      <c r="I226" s="112"/>
      <c r="J226" s="108">
        <f t="shared" si="8"/>
        <v>1</v>
      </c>
      <c r="K226" s="118">
        <f t="shared" si="9"/>
        <v>0</v>
      </c>
    </row>
    <row r="227" spans="8:11">
      <c r="H227" s="115"/>
      <c r="I227" s="112"/>
      <c r="J227" s="108">
        <f t="shared" si="8"/>
        <v>1</v>
      </c>
      <c r="K227" s="118">
        <f t="shared" si="9"/>
        <v>0</v>
      </c>
    </row>
    <row r="228" spans="8:11">
      <c r="H228" s="115"/>
      <c r="I228" s="112"/>
      <c r="J228" s="108">
        <f t="shared" si="8"/>
        <v>1</v>
      </c>
      <c r="K228" s="118">
        <f t="shared" si="9"/>
        <v>0</v>
      </c>
    </row>
    <row r="229" spans="8:11">
      <c r="H229" s="115"/>
      <c r="I229" s="112"/>
      <c r="J229" s="108">
        <f t="shared" si="8"/>
        <v>1</v>
      </c>
      <c r="K229" s="118">
        <f t="shared" si="9"/>
        <v>0</v>
      </c>
    </row>
    <row r="230" spans="8:11">
      <c r="H230" s="115"/>
      <c r="I230" s="112"/>
      <c r="J230" s="108">
        <f t="shared" si="8"/>
        <v>1</v>
      </c>
      <c r="K230" s="118">
        <f t="shared" si="9"/>
        <v>0</v>
      </c>
    </row>
    <row r="231" spans="8:11">
      <c r="H231" s="115"/>
      <c r="I231" s="112"/>
      <c r="J231" s="108">
        <f t="shared" si="8"/>
        <v>1</v>
      </c>
      <c r="K231" s="118">
        <f t="shared" si="9"/>
        <v>0</v>
      </c>
    </row>
    <row r="232" spans="8:11">
      <c r="H232" s="115"/>
      <c r="I232" s="112"/>
      <c r="J232" s="108">
        <f t="shared" si="8"/>
        <v>1</v>
      </c>
      <c r="K232" s="118">
        <f t="shared" si="9"/>
        <v>0</v>
      </c>
    </row>
    <row r="233" spans="8:11">
      <c r="H233" s="115"/>
      <c r="I233" s="112"/>
      <c r="J233" s="108">
        <f>COS(I233*(PI()/180))</f>
        <v>1</v>
      </c>
      <c r="K233" s="118">
        <f>J233*H233</f>
        <v>0</v>
      </c>
    </row>
    <row r="234" spans="8:11">
      <c r="H234" s="115"/>
      <c r="I234" s="112"/>
      <c r="J234" s="108">
        <f>COS(I234*(PI()/180))</f>
        <v>1</v>
      </c>
      <c r="K234" s="118">
        <f>J234*H234</f>
        <v>0</v>
      </c>
    </row>
    <row r="235" spans="8:11">
      <c r="H235" s="115"/>
      <c r="I235" s="112"/>
      <c r="J235" s="108">
        <f>COS(I235*(PI()/180))</f>
        <v>1</v>
      </c>
      <c r="K235" s="118">
        <f>J235*H235</f>
        <v>0</v>
      </c>
    </row>
    <row r="236" spans="8:11" ht="15" thickBot="1">
      <c r="H236" s="116"/>
      <c r="I236" s="113"/>
      <c r="J236" s="109">
        <f>COS(I236*(PI()/180))</f>
        <v>1</v>
      </c>
      <c r="K236" s="119">
        <f>J236*H236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Discharge Field Sheet</vt:lpstr>
      <vt:lpstr>Discharge Qual Eval Directions</vt:lpstr>
      <vt:lpstr>Discharge Qual Eval Form</vt:lpstr>
      <vt:lpstr>Data Input Directions</vt:lpstr>
      <vt:lpstr>Discharge Data Input</vt:lpstr>
      <vt:lpstr>Angled Velocity Adjustment</vt:lpstr>
      <vt:lpstr>'Discharge Data Input'!Print_Area</vt:lpstr>
      <vt:lpstr>'Discharge Qual Eval Form'!Print_Area</vt:lpstr>
    </vt:vector>
  </TitlesOfParts>
  <Company>California Department of Fish and Game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CHEINZ</dc:creator>
  <cp:lastModifiedBy>Melinda</cp:lastModifiedBy>
  <cp:lastPrinted>2013-04-30T19:23:26Z</cp:lastPrinted>
  <dcterms:created xsi:type="dcterms:W3CDTF">2012-09-11T18:21:18Z</dcterms:created>
  <dcterms:modified xsi:type="dcterms:W3CDTF">2013-08-27T17:05:59Z</dcterms:modified>
</cp:coreProperties>
</file>