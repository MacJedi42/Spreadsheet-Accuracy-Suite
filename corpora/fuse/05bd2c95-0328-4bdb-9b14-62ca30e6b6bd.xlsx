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7875" yWindow="15" windowWidth="7500" windowHeight="8310"/>
  </bookViews>
  <sheets>
    <sheet name="2011-12" sheetId="16" r:id="rId1"/>
    <sheet name="2010-11" sheetId="15" r:id="rId2"/>
    <sheet name="2009-10" sheetId="14" r:id="rId3"/>
    <sheet name="2008-09" sheetId="13" r:id="rId4"/>
    <sheet name="2007-08" sheetId="12" r:id="rId5"/>
    <sheet name="2006-07" sheetId="5" r:id="rId6"/>
    <sheet name="2005-06" sheetId="4" r:id="rId7"/>
    <sheet name="2004-05" sheetId="1" r:id="rId8"/>
  </sheets>
  <definedNames>
    <definedName name="_xlnm.Print_Titles" localSheetId="7">'2004-05'!$5:$5</definedName>
    <definedName name="_xlnm.Print_Titles" localSheetId="6">'2005-06'!$5:$5</definedName>
    <definedName name="_xlnm.Print_Titles" localSheetId="5">'2006-07'!$5:$5</definedName>
    <definedName name="_xlnm.Print_Titles" localSheetId="4">'2007-08'!$5:$5</definedName>
    <definedName name="_xlnm.Print_Titles" localSheetId="3">'2008-09'!$5:$5</definedName>
    <definedName name="_xlnm.Print_Titles" localSheetId="2">'2009-10'!$5:$5</definedName>
    <definedName name="_xlnm.Print_Titles" localSheetId="1">'2010-11'!$5:$5</definedName>
    <definedName name="_xlnm.Print_Titles" localSheetId="0">'2011-12'!$5:$5</definedName>
  </definedNames>
  <calcPr calcId="145621"/>
</workbook>
</file>

<file path=xl/calcChain.xml><?xml version="1.0" encoding="utf-8"?>
<calcChain xmlns="http://schemas.openxmlformats.org/spreadsheetml/2006/main">
  <c r="C17" i="16" l="1"/>
  <c r="B17" i="16"/>
  <c r="D16" i="16"/>
  <c r="D15" i="16"/>
  <c r="D14" i="16"/>
  <c r="D13" i="16"/>
  <c r="D12" i="16"/>
  <c r="D11" i="16"/>
  <c r="D10" i="16"/>
  <c r="D9" i="16"/>
  <c r="D8" i="16"/>
  <c r="D7" i="16"/>
  <c r="D6" i="16"/>
  <c r="D12" i="15"/>
  <c r="C17" i="15"/>
  <c r="B17" i="15"/>
  <c r="D16" i="15"/>
  <c r="D15" i="15"/>
  <c r="D14" i="15"/>
  <c r="D13" i="15"/>
  <c r="D11" i="15"/>
  <c r="D10" i="15"/>
  <c r="D9" i="15"/>
  <c r="D8" i="15"/>
  <c r="D7" i="15"/>
  <c r="D6" i="15"/>
  <c r="D7" i="14"/>
  <c r="D8" i="14"/>
  <c r="D9" i="14"/>
  <c r="D10" i="14"/>
  <c r="D11" i="14"/>
  <c r="D12" i="14"/>
  <c r="D13" i="14"/>
  <c r="D14" i="14"/>
  <c r="D15" i="14"/>
  <c r="D16" i="14"/>
  <c r="C17" i="14"/>
  <c r="B17" i="14"/>
  <c r="D6" i="14"/>
  <c r="D7" i="13"/>
  <c r="D8" i="13"/>
  <c r="D9" i="13"/>
  <c r="D10" i="13"/>
  <c r="D11" i="13"/>
  <c r="D12" i="13"/>
  <c r="D13" i="13"/>
  <c r="D14" i="13"/>
  <c r="D15" i="13"/>
  <c r="D16" i="13"/>
  <c r="C17" i="13"/>
  <c r="B17" i="13"/>
  <c r="D6" i="13"/>
  <c r="D12" i="12"/>
  <c r="C18" i="12"/>
  <c r="B18" i="12"/>
  <c r="D17" i="12"/>
  <c r="D16" i="12"/>
  <c r="D15" i="12"/>
  <c r="D14" i="12"/>
  <c r="D13" i="12"/>
  <c r="D11" i="12"/>
  <c r="D10" i="12"/>
  <c r="D9" i="12"/>
  <c r="D8" i="12"/>
  <c r="D7" i="12"/>
  <c r="D6" i="12"/>
  <c r="C17" i="5"/>
  <c r="B17" i="5"/>
  <c r="D16" i="5"/>
  <c r="D15" i="5"/>
  <c r="D14" i="5"/>
  <c r="D13" i="5"/>
  <c r="D12" i="5"/>
  <c r="D11" i="5"/>
  <c r="D10" i="5"/>
  <c r="D9" i="5"/>
  <c r="D8" i="5"/>
  <c r="D7" i="5"/>
  <c r="D6" i="5"/>
  <c r="D7" i="4"/>
  <c r="D8" i="4"/>
  <c r="C17" i="4"/>
  <c r="B17" i="4"/>
  <c r="D16" i="4"/>
  <c r="D15" i="4"/>
  <c r="D14" i="4"/>
  <c r="D13" i="4"/>
  <c r="D12" i="4"/>
  <c r="D11" i="4"/>
  <c r="D10" i="4"/>
  <c r="D9" i="4"/>
  <c r="D6" i="4"/>
  <c r="D17" i="16" l="1"/>
  <c r="D17" i="15"/>
  <c r="D17" i="14"/>
  <c r="D17" i="13"/>
  <c r="D18" i="12"/>
  <c r="D17" i="5"/>
  <c r="D17" i="4"/>
  <c r="C16" i="1"/>
  <c r="D15" i="1"/>
  <c r="D7" i="1"/>
  <c r="D8" i="1"/>
  <c r="D9" i="1"/>
  <c r="D10" i="1"/>
  <c r="D11" i="1"/>
  <c r="D12" i="1"/>
  <c r="D13" i="1"/>
  <c r="D14" i="1"/>
  <c r="D16" i="1"/>
  <c r="B16" i="1"/>
  <c r="D6" i="1" l="1"/>
</calcChain>
</file>

<file path=xl/sharedStrings.xml><?xml version="1.0" encoding="utf-8"?>
<sst xmlns="http://schemas.openxmlformats.org/spreadsheetml/2006/main" count="160" uniqueCount="30">
  <si>
    <t>Total</t>
  </si>
  <si>
    <t>Undergraduate</t>
  </si>
  <si>
    <t>Graduate</t>
  </si>
  <si>
    <t>Not Known</t>
  </si>
  <si>
    <t>The data in this table reflects disability information voluntarily provided by students at the time of application. Students who do not wish to declare their disability or subsequently develop or are diagnosed as having a disability while studying at UCL will remain in the "No Known Disability" or "Not Known" categories. Therefore, the actual number of students with disabilities registered at UCL will be higher than indicated in this table.</t>
  </si>
  <si>
    <t>Table U</t>
  </si>
  <si>
    <t>Blind / Are Partially Sighted</t>
  </si>
  <si>
    <t>Deaf / Have a Hearing Impairment</t>
  </si>
  <si>
    <t>Dyslexia</t>
  </si>
  <si>
    <t>Mental Health Difficulties</t>
  </si>
  <si>
    <t>Multiple Disabilities</t>
  </si>
  <si>
    <t>Unseen Disability eg Diabetes, Epilepsy, Asthma</t>
  </si>
  <si>
    <t>Wheelchair User / Have Mobility Difficulties</t>
  </si>
  <si>
    <t>Disability Not Listed Elsewhere</t>
  </si>
  <si>
    <t>No Known Disability</t>
  </si>
  <si>
    <t>Student Numbers by Disability</t>
  </si>
  <si>
    <t>Disability</t>
  </si>
  <si>
    <t>Autistic Spectrum Disorder</t>
  </si>
  <si>
    <t>Personal Care Support</t>
  </si>
  <si>
    <t>Specific Learning Disability - e.g Dyslexia</t>
  </si>
  <si>
    <t>Other Disability</t>
  </si>
  <si>
    <t xml:space="preserve">Not Known </t>
  </si>
  <si>
    <t>2004-05</t>
  </si>
  <si>
    <t>2005-06</t>
  </si>
  <si>
    <t>2006-07</t>
  </si>
  <si>
    <t>2007-08</t>
  </si>
  <si>
    <t>2008-09</t>
  </si>
  <si>
    <t>2009-10</t>
  </si>
  <si>
    <t>2010-11</t>
  </si>
  <si>
    <t>2011-12</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</si>
</sst>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4"/>
      <name val="Arial"/>
      <family val="2"/>
    </font>
    <font>
      <b/>
      <sz val="11"/>
      <name val="Arial"/>
      <family val="2"/>
    </font>
    <font>
      <sz val="11"/>
      <color theme="1"/>
      <name val="Arial"/>
      <family val="2"/>
    </font>
    <font>
      <sz val="10"/>
      <color theme="1"/>
      <name val="Arial"/>
      <family val="2"/>
    </font>
    <font>
      <b/>
      <sz val="10"/>
      <color theme="0"/>
      <name val="Arial"/>
      <family val="2"/>
    </font>
    <font>
      <sz val="8.5"/>
      <color theme="1"/>
      <name val="Arial"/>
      <family val="2"/>
    </font>
    <font>
      <b/>
      <sz val="8.5"/>
      <color theme="1"/>
      <name val="Arial"/>
      <family val="2"/>
    </font>
  </fonts>
  <fills count="3">
    <fill>
      <patternFill patternType="none"/>
    </fill>
    <fill>
      <patternFill patternType="gray125"/>
    </fill>
    <fill>
      <patternFill patternType="solid">
        <fgColor rgb="FF66CCFF"/>
        <bgColor indexed="64"/>
      </patternFill>
    </fill>
  </fills>
  <borders count="9">
    <border>
      <left/>
      <right/>
      <top/>
      <bottom/>
      <diagonal/>
    </border>
    <border>
      <left style="medium">
        <color indexed="64"/>
      </left>
      <right style="thin">
        <color indexed="64"/>
      </right>
      <top/>
      <bottom/>
      <diagonal/>
    </border>
    <border>
      <left style="medium">
        <color indexed="64"/>
      </left>
      <right/>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double">
        <color indexed="64"/>
      </top>
      <bottom style="medium">
        <color indexed="64"/>
      </bottom>
      <diagonal/>
    </border>
    <border>
      <left style="medium">
        <color indexed="64"/>
      </left>
      <right style="thin">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4" fillId="0" borderId="3" xfId="0" applyFont="1" applyBorder="1"/>
    <xf numFmtId="0" fontId="6" fillId="0" borderId="2" xfId="0" applyFont="1" applyBorder="1"/>
    <xf numFmtId="0" fontId="5" fillId="2" borderId="4" xfId="0" applyFont="1" applyFill="1" applyBorder="1" applyAlignment="1"/>
    <xf numFmtId="0" fontId="0" fillId="0" borderId="0" xfId="0" applyAlignment="1">
      <alignment wrapText="1"/>
    </xf>
    <xf numFmtId="0" fontId="5" fillId="2" borderId="5" xfId="0" applyFont="1" applyFill="1" applyBorder="1" applyAlignment="1"/>
    <xf numFmtId="0" fontId="5" fillId="2" borderId="5" xfId="0" applyFont="1" applyFill="1" applyBorder="1" applyAlignment="1">
      <alignment horizontal="center"/>
    </xf>
    <xf numFmtId="0" fontId="7" fillId="0" borderId="6" xfId="0" applyFont="1" applyBorder="1"/>
    <xf numFmtId="0" fontId="4" fillId="0" borderId="7" xfId="0" applyFont="1" applyBorder="1"/>
    <xf numFmtId="0" fontId="4" fillId="0" borderId="8" xfId="0" applyFont="1" applyBorder="1"/>
    <xf numFmtId="0" fontId="2" fillId="0" borderId="0" xfId="0" applyFont="1"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19"/>
  <sheetViews>
    <sheetView tabSelected="1" view="pageLayout" zoomScale="70" zoomScaleNormal="100" zoomScalePageLayoutView="70" workbookViewId="0">
      <selection activeCell="A22" sqref="A21:A22"/>
    </sheetView>
  </sheetViews>
  <sheetFormatPr defaultRowHeight="15" x14ac:dyDescent="0.25"/>
  <cols>
    <col min="1" max="1" width="33.28515625" bestFit="1" customWidth="1"/>
    <col min="2" max="4" width="14.7109375" customWidth="1"/>
  </cols>
  <sheetData>
    <row r="1" spans="1:4" ht="18" x14ac:dyDescent="0.25">
      <c r="A1" s="1" t="s">
        <v>5</v>
      </c>
      <c r="B1" s="3"/>
    </row>
    <row r="2" spans="1:4" x14ac:dyDescent="0.25">
      <c r="A2" s="14" t="s">
        <v>15</v>
      </c>
      <c r="B2" s="14"/>
      <c r="C2" s="14"/>
      <c r="D2" s="14"/>
    </row>
    <row r="3" spans="1:4" x14ac:dyDescent="0.25">
      <c r="A3" s="2" t="s">
        <v>29</v>
      </c>
      <c r="B3" s="3"/>
    </row>
    <row r="4" spans="1:4" ht="12.75" customHeight="1" thickBot="1" x14ac:dyDescent="0.3">
      <c r="A4" s="3"/>
      <c r="B4" s="3"/>
    </row>
    <row r="5" spans="1:4" ht="15" customHeight="1" x14ac:dyDescent="0.25">
      <c r="A5" s="9" t="s">
        <v>16</v>
      </c>
      <c r="B5" s="7" t="s">
        <v>1</v>
      </c>
      <c r="C5" s="7" t="s">
        <v>2</v>
      </c>
      <c r="D5" s="10" t="s">
        <v>0</v>
      </c>
    </row>
    <row r="6" spans="1:4" x14ac:dyDescent="0.25">
      <c r="A6" s="6" t="s">
        <v>17</v>
      </c>
      <c r="B6" s="4">
        <v>25</v>
      </c>
      <c r="C6" s="4">
        <v>12</v>
      </c>
      <c r="D6" s="5">
        <f>B6+C6</f>
        <v>37</v>
      </c>
    </row>
    <row r="7" spans="1:4" x14ac:dyDescent="0.25">
      <c r="A7" s="6" t="s">
        <v>6</v>
      </c>
      <c r="B7" s="4">
        <v>15</v>
      </c>
      <c r="C7" s="4">
        <v>15</v>
      </c>
      <c r="D7" s="5">
        <f t="shared" ref="D7:D16" si="0">B7+C7</f>
        <v>30</v>
      </c>
    </row>
    <row r="8" spans="1:4" x14ac:dyDescent="0.25">
      <c r="A8" s="6" t="s">
        <v>7</v>
      </c>
      <c r="B8" s="4">
        <v>18</v>
      </c>
      <c r="C8" s="4">
        <v>29</v>
      </c>
      <c r="D8" s="5">
        <f t="shared" si="0"/>
        <v>47</v>
      </c>
    </row>
    <row r="9" spans="1:4" x14ac:dyDescent="0.25">
      <c r="A9" s="6" t="s">
        <v>19</v>
      </c>
      <c r="B9" s="4">
        <v>351</v>
      </c>
      <c r="C9" s="4">
        <v>201</v>
      </c>
      <c r="D9" s="5">
        <f t="shared" si="0"/>
        <v>552</v>
      </c>
    </row>
    <row r="10" spans="1:4" x14ac:dyDescent="0.25">
      <c r="A10" s="6" t="s">
        <v>9</v>
      </c>
      <c r="B10" s="4">
        <v>59</v>
      </c>
      <c r="C10" s="4">
        <v>40</v>
      </c>
      <c r="D10" s="5">
        <f t="shared" si="0"/>
        <v>99</v>
      </c>
    </row>
    <row r="11" spans="1:4" x14ac:dyDescent="0.25">
      <c r="A11" s="6" t="s">
        <v>10</v>
      </c>
      <c r="B11" s="4">
        <v>14</v>
      </c>
      <c r="C11" s="4">
        <v>24</v>
      </c>
      <c r="D11" s="5">
        <f t="shared" si="0"/>
        <v>38</v>
      </c>
    </row>
    <row r="12" spans="1:4" x14ac:dyDescent="0.25">
      <c r="A12" s="6" t="s">
        <v>11</v>
      </c>
      <c r="B12" s="4">
        <v>82</v>
      </c>
      <c r="C12" s="4">
        <v>100</v>
      </c>
      <c r="D12" s="5">
        <f t="shared" si="0"/>
        <v>182</v>
      </c>
    </row>
    <row r="13" spans="1:4" x14ac:dyDescent="0.25">
      <c r="A13" s="6" t="s">
        <v>12</v>
      </c>
      <c r="B13" s="4">
        <v>20</v>
      </c>
      <c r="C13" s="4">
        <v>20</v>
      </c>
      <c r="D13" s="5">
        <f t="shared" si="0"/>
        <v>40</v>
      </c>
    </row>
    <row r="14" spans="1:4" x14ac:dyDescent="0.25">
      <c r="A14" s="6" t="s">
        <v>20</v>
      </c>
      <c r="B14" s="4">
        <v>65</v>
      </c>
      <c r="C14" s="4">
        <v>58</v>
      </c>
      <c r="D14" s="5">
        <f t="shared" si="0"/>
        <v>123</v>
      </c>
    </row>
    <row r="15" spans="1:4" x14ac:dyDescent="0.25">
      <c r="A15" s="6" t="s">
        <v>14</v>
      </c>
      <c r="B15" s="4">
        <v>13019</v>
      </c>
      <c r="C15" s="4">
        <v>10213</v>
      </c>
      <c r="D15" s="5">
        <f t="shared" si="0"/>
        <v>23232</v>
      </c>
    </row>
    <row r="16" spans="1:4" ht="15.75" thickBot="1" x14ac:dyDescent="0.3">
      <c r="A16" s="6" t="s">
        <v>21</v>
      </c>
      <c r="B16" s="4">
        <v>104</v>
      </c>
      <c r="C16" s="4">
        <v>375</v>
      </c>
      <c r="D16" s="5">
        <f t="shared" si="0"/>
        <v>479</v>
      </c>
    </row>
    <row r="17" spans="1:5" ht="16.5" thickTop="1" thickBot="1" x14ac:dyDescent="0.3">
      <c r="A17" s="11" t="s">
        <v>0</v>
      </c>
      <c r="B17" s="12">
        <f>SUM(B6:B16)</f>
        <v>13772</v>
      </c>
      <c r="C17" s="12">
        <f>SUM(C6:C16)</f>
        <v>11087</v>
      </c>
      <c r="D17" s="13">
        <f>SUM(D6:D16)</f>
        <v>24859</v>
      </c>
    </row>
    <row r="18" spans="1:5" x14ac:dyDescent="0.25">
      <c r="E18" s="8"/>
    </row>
    <row r="19" spans="1:5" ht="77.25" customHeight="1" x14ac:dyDescent="0.25">
      <c r="A19" s="15" t="s">
        <v>4</v>
      </c>
      <c r="B19" s="15"/>
      <c r="C19" s="15"/>
      <c r="D19" s="15"/>
    </row>
  </sheetData>
  <mergeCells count="2">
    <mergeCell ref="A2:D2"/>
    <mergeCell ref="A19:D19"/>
  </mergeCells>
  <pageMargins left="0.70866141732283472" right="0.70866141732283472" top="0.74803149606299213" bottom="0.74803149606299213" header="0.31496062992125984" footer="0.31496062992125984"/>
  <pageSetup paperSize="9" orientation="portrait" r:id="rId1"/>
  <headerFooter>
    <oddHeader>&amp;CUCL Student Data Statistics</oddHeader>
    <oddFooter>&amp;L&amp;F - &amp;A&amp;RPage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E19"/>
  <sheetViews>
    <sheetView view="pageLayout" zoomScale="70" zoomScaleNormal="100" zoomScalePageLayoutView="70" workbookViewId="0">
      <selection activeCell="C21" sqref="C21"/>
    </sheetView>
  </sheetViews>
  <sheetFormatPr defaultRowHeight="15" x14ac:dyDescent="0.25"/>
  <cols>
    <col min="1" max="1" width="33.28515625" bestFit="1" customWidth="1"/>
    <col min="2" max="4" width="14.7109375" customWidth="1"/>
  </cols>
  <sheetData>
    <row r="1" spans="1:4" ht="18" x14ac:dyDescent="0.25">
      <c r="A1" s="1" t="s">
        <v>5</v>
      </c>
      <c r="B1" s="3"/>
    </row>
    <row r="2" spans="1:4" x14ac:dyDescent="0.25">
      <c r="A2" s="14" t="s">
        <v>15</v>
      </c>
      <c r="B2" s="14"/>
      <c r="C2" s="14"/>
      <c r="D2" s="14"/>
    </row>
    <row r="3" spans="1:4" x14ac:dyDescent="0.25">
      <c r="A3" s="2" t="s">
        <v>28</v>
      </c>
      <c r="B3" s="3"/>
    </row>
    <row r="4" spans="1:4" ht="12.75" customHeight="1" thickBot="1" x14ac:dyDescent="0.3">
      <c r="A4" s="3"/>
      <c r="B4" s="3"/>
    </row>
    <row r="5" spans="1:4" ht="15" customHeight="1" x14ac:dyDescent="0.25">
      <c r="A5" s="9" t="s">
        <v>16</v>
      </c>
      <c r="B5" s="7" t="s">
        <v>1</v>
      </c>
      <c r="C5" s="7" t="s">
        <v>2</v>
      </c>
      <c r="D5" s="10" t="s">
        <v>0</v>
      </c>
    </row>
    <row r="6" spans="1:4" x14ac:dyDescent="0.25">
      <c r="A6" s="6" t="s">
        <v>17</v>
      </c>
      <c r="B6" s="4">
        <v>19</v>
      </c>
      <c r="C6" s="4">
        <v>5</v>
      </c>
      <c r="D6" s="5">
        <f>B6+C6</f>
        <v>24</v>
      </c>
    </row>
    <row r="7" spans="1:4" x14ac:dyDescent="0.25">
      <c r="A7" s="6" t="s">
        <v>6</v>
      </c>
      <c r="B7" s="4">
        <v>16</v>
      </c>
      <c r="C7" s="4">
        <v>10</v>
      </c>
      <c r="D7" s="5">
        <f t="shared" ref="D7:D16" si="0">B7+C7</f>
        <v>26</v>
      </c>
    </row>
    <row r="8" spans="1:4" x14ac:dyDescent="0.25">
      <c r="A8" s="6" t="s">
        <v>7</v>
      </c>
      <c r="B8" s="4">
        <v>12</v>
      </c>
      <c r="C8" s="4">
        <v>33</v>
      </c>
      <c r="D8" s="5">
        <f t="shared" si="0"/>
        <v>45</v>
      </c>
    </row>
    <row r="9" spans="1:4" x14ac:dyDescent="0.25">
      <c r="A9" s="6" t="s">
        <v>19</v>
      </c>
      <c r="B9" s="4">
        <v>321</v>
      </c>
      <c r="C9" s="4">
        <v>206</v>
      </c>
      <c r="D9" s="5">
        <f t="shared" si="0"/>
        <v>527</v>
      </c>
    </row>
    <row r="10" spans="1:4" x14ac:dyDescent="0.25">
      <c r="A10" s="6" t="s">
        <v>9</v>
      </c>
      <c r="B10" s="4">
        <v>44</v>
      </c>
      <c r="C10" s="4">
        <v>41</v>
      </c>
      <c r="D10" s="5">
        <f t="shared" si="0"/>
        <v>85</v>
      </c>
    </row>
    <row r="11" spans="1:4" x14ac:dyDescent="0.25">
      <c r="A11" s="6" t="s">
        <v>10</v>
      </c>
      <c r="B11" s="4">
        <v>10</v>
      </c>
      <c r="C11" s="4">
        <v>14</v>
      </c>
      <c r="D11" s="5">
        <f t="shared" si="0"/>
        <v>24</v>
      </c>
    </row>
    <row r="12" spans="1:4" x14ac:dyDescent="0.25">
      <c r="A12" s="6" t="s">
        <v>11</v>
      </c>
      <c r="B12" s="4">
        <v>95</v>
      </c>
      <c r="C12" s="4">
        <v>94</v>
      </c>
      <c r="D12" s="5">
        <f t="shared" si="0"/>
        <v>189</v>
      </c>
    </row>
    <row r="13" spans="1:4" x14ac:dyDescent="0.25">
      <c r="A13" s="6" t="s">
        <v>12</v>
      </c>
      <c r="B13" s="4">
        <v>14</v>
      </c>
      <c r="C13" s="4">
        <v>13</v>
      </c>
      <c r="D13" s="5">
        <f t="shared" si="0"/>
        <v>27</v>
      </c>
    </row>
    <row r="14" spans="1:4" x14ac:dyDescent="0.25">
      <c r="A14" s="6" t="s">
        <v>20</v>
      </c>
      <c r="B14" s="4">
        <v>56</v>
      </c>
      <c r="C14" s="4">
        <v>45</v>
      </c>
      <c r="D14" s="5">
        <f t="shared" si="0"/>
        <v>101</v>
      </c>
    </row>
    <row r="15" spans="1:4" x14ac:dyDescent="0.25">
      <c r="A15" s="6" t="s">
        <v>14</v>
      </c>
      <c r="B15" s="4">
        <v>12853</v>
      </c>
      <c r="C15" s="4">
        <v>9319</v>
      </c>
      <c r="D15" s="5">
        <f t="shared" si="0"/>
        <v>22172</v>
      </c>
    </row>
    <row r="16" spans="1:4" ht="15.75" thickBot="1" x14ac:dyDescent="0.3">
      <c r="A16" s="6" t="s">
        <v>21</v>
      </c>
      <c r="B16" s="4">
        <v>172</v>
      </c>
      <c r="C16" s="4">
        <v>685</v>
      </c>
      <c r="D16" s="5">
        <f t="shared" si="0"/>
        <v>857</v>
      </c>
    </row>
    <row r="17" spans="1:5" ht="16.5" thickTop="1" thickBot="1" x14ac:dyDescent="0.3">
      <c r="A17" s="11" t="s">
        <v>0</v>
      </c>
      <c r="B17" s="12">
        <f>SUM(B6:B16)</f>
        <v>13612</v>
      </c>
      <c r="C17" s="12">
        <f>SUM(C6:C16)</f>
        <v>10465</v>
      </c>
      <c r="D17" s="13">
        <f>SUM(D6:D16)</f>
        <v>24077</v>
      </c>
    </row>
    <row r="18" spans="1:5" x14ac:dyDescent="0.25">
      <c r="E18" s="8"/>
    </row>
    <row r="19" spans="1:5" ht="77.25" customHeight="1" x14ac:dyDescent="0.25">
      <c r="A19" s="15" t="s">
        <v>4</v>
      </c>
      <c r="B19" s="15"/>
      <c r="C19" s="15"/>
      <c r="D19" s="15"/>
    </row>
  </sheetData>
  <mergeCells count="2">
    <mergeCell ref="A2:D2"/>
    <mergeCell ref="A19:D19"/>
  </mergeCells>
  <pageMargins left="0.70866141732283472" right="0.70866141732283472" top="0.74803149606299213" bottom="0.74803149606299213" header="0.31496062992125984" footer="0.31496062992125984"/>
  <pageSetup paperSize="9" orientation="portrait" r:id="rId1"/>
  <headerFooter>
    <oddHeader>&amp;CUCL Student Data Statistics</oddHeader>
    <oddFooter>&amp;L&amp;F - &amp;A&amp;RPage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0000"/>
  </sheetPr>
  <dimension ref="A1:E19"/>
  <sheetViews>
    <sheetView view="pageLayout" zoomScale="70" zoomScaleNormal="100" zoomScalePageLayoutView="70" workbookViewId="0">
      <selection activeCell="A23" sqref="A23"/>
    </sheetView>
  </sheetViews>
  <sheetFormatPr defaultRowHeight="15" x14ac:dyDescent="0.25"/>
  <cols>
    <col min="1" max="1" width="33.28515625" bestFit="1" customWidth="1"/>
    <col min="2" max="4" width="14.7109375" customWidth="1"/>
  </cols>
  <sheetData>
    <row r="1" spans="1:4" ht="18" x14ac:dyDescent="0.25">
      <c r="A1" s="1" t="s">
        <v>5</v>
      </c>
      <c r="B1" s="3"/>
    </row>
    <row r="2" spans="1:4" x14ac:dyDescent="0.25">
      <c r="A2" s="14" t="s">
        <v>15</v>
      </c>
      <c r="B2" s="14"/>
      <c r="C2" s="14"/>
      <c r="D2" s="14"/>
    </row>
    <row r="3" spans="1:4" x14ac:dyDescent="0.25">
      <c r="A3" s="2" t="s">
        <v>27</v>
      </c>
      <c r="B3" s="3"/>
    </row>
    <row r="4" spans="1:4" ht="12.75" customHeight="1" thickBot="1" x14ac:dyDescent="0.3">
      <c r="A4" s="3"/>
      <c r="B4" s="3"/>
    </row>
    <row r="5" spans="1:4" ht="15" customHeight="1" x14ac:dyDescent="0.25">
      <c r="A5" s="9" t="s">
        <v>16</v>
      </c>
      <c r="B5" s="7" t="s">
        <v>1</v>
      </c>
      <c r="C5" s="7" t="s">
        <v>2</v>
      </c>
      <c r="D5" s="10" t="s">
        <v>0</v>
      </c>
    </row>
    <row r="6" spans="1:4" x14ac:dyDescent="0.25">
      <c r="A6" s="6" t="s">
        <v>17</v>
      </c>
      <c r="B6" s="4">
        <v>15</v>
      </c>
      <c r="C6" s="4">
        <v>5</v>
      </c>
      <c r="D6" s="5">
        <f>B6+C6</f>
        <v>20</v>
      </c>
    </row>
    <row r="7" spans="1:4" x14ac:dyDescent="0.25">
      <c r="A7" s="6" t="s">
        <v>6</v>
      </c>
      <c r="B7" s="4">
        <v>11</v>
      </c>
      <c r="C7" s="4">
        <v>10</v>
      </c>
      <c r="D7" s="5">
        <f t="shared" ref="D7:D16" si="0">B7+C7</f>
        <v>21</v>
      </c>
    </row>
    <row r="8" spans="1:4" x14ac:dyDescent="0.25">
      <c r="A8" s="6" t="s">
        <v>7</v>
      </c>
      <c r="B8" s="4">
        <v>17</v>
      </c>
      <c r="C8" s="4">
        <v>21</v>
      </c>
      <c r="D8" s="5">
        <f t="shared" si="0"/>
        <v>38</v>
      </c>
    </row>
    <row r="9" spans="1:4" x14ac:dyDescent="0.25">
      <c r="A9" s="6" t="s">
        <v>19</v>
      </c>
      <c r="B9" s="4">
        <v>302</v>
      </c>
      <c r="C9" s="4">
        <v>170</v>
      </c>
      <c r="D9" s="5">
        <f t="shared" si="0"/>
        <v>472</v>
      </c>
    </row>
    <row r="10" spans="1:4" x14ac:dyDescent="0.25">
      <c r="A10" s="6" t="s">
        <v>9</v>
      </c>
      <c r="B10" s="4">
        <v>18</v>
      </c>
      <c r="C10" s="4">
        <v>25</v>
      </c>
      <c r="D10" s="5">
        <f t="shared" si="0"/>
        <v>43</v>
      </c>
    </row>
    <row r="11" spans="1:4" x14ac:dyDescent="0.25">
      <c r="A11" s="6" t="s">
        <v>10</v>
      </c>
      <c r="B11" s="4">
        <v>11</v>
      </c>
      <c r="C11" s="4">
        <v>11</v>
      </c>
      <c r="D11" s="5">
        <f t="shared" si="0"/>
        <v>22</v>
      </c>
    </row>
    <row r="12" spans="1:4" x14ac:dyDescent="0.25">
      <c r="A12" s="6" t="s">
        <v>18</v>
      </c>
      <c r="B12" s="4">
        <v>1</v>
      </c>
      <c r="C12" s="4">
        <v>0</v>
      </c>
      <c r="D12" s="5">
        <f t="shared" si="0"/>
        <v>1</v>
      </c>
    </row>
    <row r="13" spans="1:4" x14ac:dyDescent="0.25">
      <c r="A13" s="6" t="s">
        <v>11</v>
      </c>
      <c r="B13" s="4">
        <v>59</v>
      </c>
      <c r="C13" s="4">
        <v>94</v>
      </c>
      <c r="D13" s="5">
        <f t="shared" si="0"/>
        <v>153</v>
      </c>
    </row>
    <row r="14" spans="1:4" x14ac:dyDescent="0.25">
      <c r="A14" s="6" t="s">
        <v>12</v>
      </c>
      <c r="B14" s="4">
        <v>9</v>
      </c>
      <c r="C14" s="4">
        <v>14</v>
      </c>
      <c r="D14" s="5">
        <f t="shared" si="0"/>
        <v>23</v>
      </c>
    </row>
    <row r="15" spans="1:4" x14ac:dyDescent="0.25">
      <c r="A15" s="6" t="s">
        <v>20</v>
      </c>
      <c r="B15" s="4">
        <v>53</v>
      </c>
      <c r="C15" s="4">
        <v>25</v>
      </c>
      <c r="D15" s="5">
        <f t="shared" si="0"/>
        <v>78</v>
      </c>
    </row>
    <row r="16" spans="1:4" ht="15.75" thickBot="1" x14ac:dyDescent="0.3">
      <c r="A16" s="6" t="s">
        <v>14</v>
      </c>
      <c r="B16" s="4">
        <v>12378</v>
      </c>
      <c r="C16" s="4">
        <v>8469</v>
      </c>
      <c r="D16" s="5">
        <f t="shared" si="0"/>
        <v>20847</v>
      </c>
    </row>
    <row r="17" spans="1:5" ht="16.5" thickTop="1" thickBot="1" x14ac:dyDescent="0.3">
      <c r="A17" s="11" t="s">
        <v>0</v>
      </c>
      <c r="B17" s="12">
        <f>SUM(B6:B16)</f>
        <v>12874</v>
      </c>
      <c r="C17" s="12">
        <f>SUM(C6:C16)</f>
        <v>8844</v>
      </c>
      <c r="D17" s="13">
        <f>SUM(D6:D16)</f>
        <v>21718</v>
      </c>
    </row>
    <row r="18" spans="1:5" x14ac:dyDescent="0.25">
      <c r="E18" s="8"/>
    </row>
    <row r="19" spans="1:5" ht="77.25" customHeight="1" x14ac:dyDescent="0.25">
      <c r="A19" s="15" t="s">
        <v>4</v>
      </c>
      <c r="B19" s="15"/>
      <c r="C19" s="15"/>
      <c r="D19" s="15"/>
    </row>
  </sheetData>
  <mergeCells count="2">
    <mergeCell ref="A2:D2"/>
    <mergeCell ref="A19:D19"/>
  </mergeCells>
  <pageMargins left="0.70866141732283472" right="0.70866141732283472" top="0.74803149606299213" bottom="0.74803149606299213" header="0.31496062992125984" footer="0.31496062992125984"/>
  <pageSetup paperSize="9" orientation="portrait" r:id="rId1"/>
  <headerFooter>
    <oddHeader>&amp;CUCL Student Data Statistics</oddHeader>
    <oddFooter>&amp;L&amp;F - &amp;A&amp;RPage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19"/>
  <sheetViews>
    <sheetView view="pageLayout" zoomScale="70" zoomScaleNormal="100" zoomScalePageLayoutView="70" workbookViewId="0">
      <selection activeCell="A23" sqref="A23"/>
    </sheetView>
  </sheetViews>
  <sheetFormatPr defaultRowHeight="15" x14ac:dyDescent="0.25"/>
  <cols>
    <col min="1" max="1" width="33.28515625" bestFit="1" customWidth="1"/>
    <col min="2" max="4" width="14.7109375" customWidth="1"/>
  </cols>
  <sheetData>
    <row r="1" spans="1:4" ht="18" x14ac:dyDescent="0.25">
      <c r="A1" s="1" t="s">
        <v>5</v>
      </c>
      <c r="B1" s="3"/>
    </row>
    <row r="2" spans="1:4" x14ac:dyDescent="0.25">
      <c r="A2" s="14" t="s">
        <v>15</v>
      </c>
      <c r="B2" s="14"/>
      <c r="C2" s="14"/>
      <c r="D2" s="14"/>
    </row>
    <row r="3" spans="1:4" x14ac:dyDescent="0.25">
      <c r="A3" s="2" t="s">
        <v>26</v>
      </c>
      <c r="B3" s="3"/>
    </row>
    <row r="4" spans="1:4" ht="12.75" customHeight="1" thickBot="1" x14ac:dyDescent="0.3">
      <c r="A4" s="3"/>
      <c r="B4" s="3"/>
    </row>
    <row r="5" spans="1:4" ht="15" customHeight="1" x14ac:dyDescent="0.25">
      <c r="A5" s="9" t="s">
        <v>16</v>
      </c>
      <c r="B5" s="7" t="s">
        <v>1</v>
      </c>
      <c r="C5" s="7" t="s">
        <v>2</v>
      </c>
      <c r="D5" s="10" t="s">
        <v>0</v>
      </c>
    </row>
    <row r="6" spans="1:4" x14ac:dyDescent="0.25">
      <c r="A6" s="6" t="s">
        <v>17</v>
      </c>
      <c r="B6" s="4">
        <v>7</v>
      </c>
      <c r="C6" s="4">
        <v>3</v>
      </c>
      <c r="D6" s="5">
        <f>B6+C6</f>
        <v>10</v>
      </c>
    </row>
    <row r="7" spans="1:4" x14ac:dyDescent="0.25">
      <c r="A7" s="6" t="s">
        <v>6</v>
      </c>
      <c r="B7" s="4">
        <v>9</v>
      </c>
      <c r="C7" s="4">
        <v>5</v>
      </c>
      <c r="D7" s="5">
        <f t="shared" ref="D7:D16" si="0">B7+C7</f>
        <v>14</v>
      </c>
    </row>
    <row r="8" spans="1:4" x14ac:dyDescent="0.25">
      <c r="A8" s="6" t="s">
        <v>7</v>
      </c>
      <c r="B8" s="4">
        <v>19</v>
      </c>
      <c r="C8" s="4">
        <v>16</v>
      </c>
      <c r="D8" s="5">
        <f t="shared" si="0"/>
        <v>35</v>
      </c>
    </row>
    <row r="9" spans="1:4" x14ac:dyDescent="0.25">
      <c r="A9" s="6" t="s">
        <v>8</v>
      </c>
      <c r="B9" s="4">
        <v>270</v>
      </c>
      <c r="C9" s="4">
        <v>121</v>
      </c>
      <c r="D9" s="5">
        <f t="shared" si="0"/>
        <v>391</v>
      </c>
    </row>
    <row r="10" spans="1:4" x14ac:dyDescent="0.25">
      <c r="A10" s="6" t="s">
        <v>9</v>
      </c>
      <c r="B10" s="4">
        <v>12</v>
      </c>
      <c r="C10" s="4">
        <v>19</v>
      </c>
      <c r="D10" s="5">
        <f t="shared" si="0"/>
        <v>31</v>
      </c>
    </row>
    <row r="11" spans="1:4" x14ac:dyDescent="0.25">
      <c r="A11" s="6" t="s">
        <v>10</v>
      </c>
      <c r="B11" s="4">
        <v>11</v>
      </c>
      <c r="C11" s="4">
        <v>13</v>
      </c>
      <c r="D11" s="5">
        <f t="shared" si="0"/>
        <v>24</v>
      </c>
    </row>
    <row r="12" spans="1:4" x14ac:dyDescent="0.25">
      <c r="A12" s="6" t="s">
        <v>11</v>
      </c>
      <c r="B12" s="4">
        <v>53</v>
      </c>
      <c r="C12" s="4">
        <v>50</v>
      </c>
      <c r="D12" s="5">
        <f t="shared" si="0"/>
        <v>103</v>
      </c>
    </row>
    <row r="13" spans="1:4" x14ac:dyDescent="0.25">
      <c r="A13" s="6" t="s">
        <v>12</v>
      </c>
      <c r="B13" s="4">
        <v>5</v>
      </c>
      <c r="C13" s="4">
        <v>9</v>
      </c>
      <c r="D13" s="5">
        <f t="shared" si="0"/>
        <v>14</v>
      </c>
    </row>
    <row r="14" spans="1:4" x14ac:dyDescent="0.25">
      <c r="A14" s="6" t="s">
        <v>13</v>
      </c>
      <c r="B14" s="4">
        <v>57</v>
      </c>
      <c r="C14" s="4">
        <v>21</v>
      </c>
      <c r="D14" s="5">
        <f t="shared" si="0"/>
        <v>78</v>
      </c>
    </row>
    <row r="15" spans="1:4" ht="15.75" customHeight="1" x14ac:dyDescent="0.25">
      <c r="A15" s="6" t="s">
        <v>14</v>
      </c>
      <c r="B15" s="4">
        <v>12043</v>
      </c>
      <c r="C15" s="4">
        <v>7687</v>
      </c>
      <c r="D15" s="5">
        <f t="shared" si="0"/>
        <v>19730</v>
      </c>
    </row>
    <row r="16" spans="1:4" ht="15.75" thickBot="1" x14ac:dyDescent="0.3">
      <c r="A16" s="6" t="s">
        <v>3</v>
      </c>
      <c r="B16" s="4">
        <v>148</v>
      </c>
      <c r="C16" s="4">
        <v>548</v>
      </c>
      <c r="D16" s="5">
        <f t="shared" si="0"/>
        <v>696</v>
      </c>
    </row>
    <row r="17" spans="1:5" ht="16.5" thickTop="1" thickBot="1" x14ac:dyDescent="0.3">
      <c r="A17" s="11" t="s">
        <v>0</v>
      </c>
      <c r="B17" s="12">
        <f>SUM(B6:B16)</f>
        <v>12634</v>
      </c>
      <c r="C17" s="12">
        <f>SUM(C6:C16)</f>
        <v>8492</v>
      </c>
      <c r="D17" s="13">
        <f>SUM(D6:D16)</f>
        <v>21126</v>
      </c>
    </row>
    <row r="18" spans="1:5" x14ac:dyDescent="0.25">
      <c r="E18" s="8"/>
    </row>
    <row r="19" spans="1:5" ht="77.25" customHeight="1" x14ac:dyDescent="0.25">
      <c r="A19" s="15" t="s">
        <v>4</v>
      </c>
      <c r="B19" s="15"/>
      <c r="C19" s="15"/>
      <c r="D19" s="15"/>
    </row>
  </sheetData>
  <mergeCells count="2">
    <mergeCell ref="A2:D2"/>
    <mergeCell ref="A19:D19"/>
  </mergeCells>
  <pageMargins left="0.70866141732283472" right="0.70866141732283472" top="0.74803149606299213" bottom="0.74803149606299213" header="0.31496062992125984" footer="0.31496062992125984"/>
  <pageSetup paperSize="9" orientation="portrait" r:id="rId1"/>
  <headerFooter>
    <oddHeader>&amp;CUCL Student Data Statistics</oddHeader>
    <oddFooter>&amp;L&amp;F - &amp;A&amp;RPage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E20"/>
  <sheetViews>
    <sheetView view="pageLayout" zoomScale="70" zoomScaleNormal="100" zoomScalePageLayoutView="70" workbookViewId="0">
      <selection activeCell="A24" sqref="A24"/>
    </sheetView>
  </sheetViews>
  <sheetFormatPr defaultRowHeight="15" x14ac:dyDescent="0.25"/>
  <cols>
    <col min="1" max="1" width="33.28515625" bestFit="1" customWidth="1"/>
    <col min="2" max="4" width="14.7109375" customWidth="1"/>
  </cols>
  <sheetData>
    <row r="1" spans="1:4" ht="18" x14ac:dyDescent="0.25">
      <c r="A1" s="1" t="s">
        <v>5</v>
      </c>
      <c r="B1" s="3"/>
    </row>
    <row r="2" spans="1:4" x14ac:dyDescent="0.25">
      <c r="A2" s="14" t="s">
        <v>15</v>
      </c>
      <c r="B2" s="14"/>
      <c r="C2" s="14"/>
      <c r="D2" s="14"/>
    </row>
    <row r="3" spans="1:4" x14ac:dyDescent="0.25">
      <c r="A3" s="2" t="s">
        <v>25</v>
      </c>
      <c r="B3" s="3"/>
    </row>
    <row r="4" spans="1:4" ht="12.75" customHeight="1" thickBot="1" x14ac:dyDescent="0.3">
      <c r="A4" s="3"/>
      <c r="B4" s="3"/>
    </row>
    <row r="5" spans="1:4" ht="15" customHeight="1" x14ac:dyDescent="0.25">
      <c r="A5" s="9" t="s">
        <v>16</v>
      </c>
      <c r="B5" s="7" t="s">
        <v>1</v>
      </c>
      <c r="C5" s="7" t="s">
        <v>2</v>
      </c>
      <c r="D5" s="10" t="s">
        <v>0</v>
      </c>
    </row>
    <row r="6" spans="1:4" x14ac:dyDescent="0.25">
      <c r="A6" s="6" t="s">
        <v>17</v>
      </c>
      <c r="B6" s="4">
        <v>6</v>
      </c>
      <c r="C6" s="4">
        <v>1</v>
      </c>
      <c r="D6" s="5">
        <f>B6+C6</f>
        <v>7</v>
      </c>
    </row>
    <row r="7" spans="1:4" x14ac:dyDescent="0.25">
      <c r="A7" s="6" t="s">
        <v>6</v>
      </c>
      <c r="B7" s="4">
        <v>10</v>
      </c>
      <c r="C7" s="4">
        <v>9</v>
      </c>
      <c r="D7" s="5">
        <f t="shared" ref="D7:D17" si="0">B7+C7</f>
        <v>19</v>
      </c>
    </row>
    <row r="8" spans="1:4" x14ac:dyDescent="0.25">
      <c r="A8" s="6" t="s">
        <v>7</v>
      </c>
      <c r="B8" s="4">
        <v>17</v>
      </c>
      <c r="C8" s="4">
        <v>18</v>
      </c>
      <c r="D8" s="5">
        <f t="shared" si="0"/>
        <v>35</v>
      </c>
    </row>
    <row r="9" spans="1:4" x14ac:dyDescent="0.25">
      <c r="A9" s="6" t="s">
        <v>8</v>
      </c>
      <c r="B9" s="4">
        <v>256</v>
      </c>
      <c r="C9" s="4">
        <v>109</v>
      </c>
      <c r="D9" s="5">
        <f t="shared" si="0"/>
        <v>365</v>
      </c>
    </row>
    <row r="10" spans="1:4" x14ac:dyDescent="0.25">
      <c r="A10" s="6" t="s">
        <v>9</v>
      </c>
      <c r="B10" s="4">
        <v>13</v>
      </c>
      <c r="C10" s="4">
        <v>14</v>
      </c>
      <c r="D10" s="5">
        <f t="shared" si="0"/>
        <v>27</v>
      </c>
    </row>
    <row r="11" spans="1:4" x14ac:dyDescent="0.25">
      <c r="A11" s="6" t="s">
        <v>10</v>
      </c>
      <c r="B11" s="4">
        <v>13</v>
      </c>
      <c r="C11" s="4">
        <v>8</v>
      </c>
      <c r="D11" s="5">
        <f t="shared" si="0"/>
        <v>21</v>
      </c>
    </row>
    <row r="12" spans="1:4" x14ac:dyDescent="0.25">
      <c r="A12" s="6" t="s">
        <v>18</v>
      </c>
      <c r="B12" s="4">
        <v>1</v>
      </c>
      <c r="C12" s="4">
        <v>3</v>
      </c>
      <c r="D12" s="5">
        <f t="shared" si="0"/>
        <v>4</v>
      </c>
    </row>
    <row r="13" spans="1:4" x14ac:dyDescent="0.25">
      <c r="A13" s="6" t="s">
        <v>11</v>
      </c>
      <c r="B13" s="4">
        <v>62</v>
      </c>
      <c r="C13" s="4">
        <v>47</v>
      </c>
      <c r="D13" s="5">
        <f t="shared" si="0"/>
        <v>109</v>
      </c>
    </row>
    <row r="14" spans="1:4" x14ac:dyDescent="0.25">
      <c r="A14" s="6" t="s">
        <v>12</v>
      </c>
      <c r="B14" s="4">
        <v>5</v>
      </c>
      <c r="C14" s="4">
        <v>11</v>
      </c>
      <c r="D14" s="5">
        <f t="shared" si="0"/>
        <v>16</v>
      </c>
    </row>
    <row r="15" spans="1:4" x14ac:dyDescent="0.25">
      <c r="A15" s="6" t="s">
        <v>13</v>
      </c>
      <c r="B15" s="4">
        <v>66</v>
      </c>
      <c r="C15" s="4">
        <v>21</v>
      </c>
      <c r="D15" s="5">
        <f t="shared" si="0"/>
        <v>87</v>
      </c>
    </row>
    <row r="16" spans="1:4" ht="15.75" customHeight="1" x14ac:dyDescent="0.25">
      <c r="A16" s="6" t="s">
        <v>14</v>
      </c>
      <c r="B16" s="4">
        <v>11607</v>
      </c>
      <c r="C16" s="4">
        <v>7224</v>
      </c>
      <c r="D16" s="5">
        <f t="shared" si="0"/>
        <v>18831</v>
      </c>
    </row>
    <row r="17" spans="1:5" ht="15.75" thickBot="1" x14ac:dyDescent="0.3">
      <c r="A17" s="6" t="s">
        <v>3</v>
      </c>
      <c r="B17" s="4">
        <v>100</v>
      </c>
      <c r="C17" s="4">
        <v>549</v>
      </c>
      <c r="D17" s="5">
        <f t="shared" si="0"/>
        <v>649</v>
      </c>
    </row>
    <row r="18" spans="1:5" ht="16.5" thickTop="1" thickBot="1" x14ac:dyDescent="0.3">
      <c r="A18" s="11" t="s">
        <v>0</v>
      </c>
      <c r="B18" s="12">
        <f>SUM(B6:B17)</f>
        <v>12156</v>
      </c>
      <c r="C18" s="12">
        <f>SUM(C6:C17)</f>
        <v>8014</v>
      </c>
      <c r="D18" s="13">
        <f>SUM(D6:D17)</f>
        <v>20170</v>
      </c>
    </row>
    <row r="19" spans="1:5" x14ac:dyDescent="0.25">
      <c r="E19" s="8"/>
    </row>
    <row r="20" spans="1:5" ht="77.25" customHeight="1" x14ac:dyDescent="0.25">
      <c r="A20" s="15" t="s">
        <v>4</v>
      </c>
      <c r="B20" s="15"/>
      <c r="C20" s="15"/>
      <c r="D20" s="15"/>
    </row>
  </sheetData>
  <mergeCells count="2">
    <mergeCell ref="A2:D2"/>
    <mergeCell ref="A20:D20"/>
  </mergeCells>
  <pageMargins left="0.70866141732283472" right="0.70866141732283472" top="0.74803149606299213" bottom="0.74803149606299213" header="0.31496062992125984" footer="0.31496062992125984"/>
  <pageSetup paperSize="9" orientation="portrait" r:id="rId1"/>
  <headerFooter>
    <oddHeader>&amp;CUCL Student Data Statistics</oddHeader>
    <oddFooter>&amp;L&amp;F - &amp;A&amp;RPage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19"/>
  <sheetViews>
    <sheetView view="pageLayout" zoomScale="70" zoomScaleNormal="100" zoomScalePageLayoutView="70" workbookViewId="0">
      <selection activeCell="A21" sqref="A21"/>
    </sheetView>
  </sheetViews>
  <sheetFormatPr defaultRowHeight="15" x14ac:dyDescent="0.25"/>
  <cols>
    <col min="1" max="1" width="33.28515625" bestFit="1" customWidth="1"/>
    <col min="2" max="4" width="14.7109375" customWidth="1"/>
  </cols>
  <sheetData>
    <row r="1" spans="1:4" ht="18" x14ac:dyDescent="0.25">
      <c r="A1" s="1" t="s">
        <v>5</v>
      </c>
      <c r="B1" s="3"/>
    </row>
    <row r="2" spans="1:4" x14ac:dyDescent="0.25">
      <c r="A2" s="14" t="s">
        <v>15</v>
      </c>
      <c r="B2" s="14"/>
      <c r="C2" s="14"/>
      <c r="D2" s="14"/>
    </row>
    <row r="3" spans="1:4" x14ac:dyDescent="0.25">
      <c r="A3" s="2" t="s">
        <v>24</v>
      </c>
      <c r="B3" s="3"/>
    </row>
    <row r="4" spans="1:4" ht="12.75" customHeight="1" thickBot="1" x14ac:dyDescent="0.3">
      <c r="A4" s="3"/>
      <c r="B4" s="3"/>
    </row>
    <row r="5" spans="1:4" ht="15" customHeight="1" x14ac:dyDescent="0.25">
      <c r="A5" s="9" t="s">
        <v>16</v>
      </c>
      <c r="B5" s="7" t="s">
        <v>1</v>
      </c>
      <c r="C5" s="7" t="s">
        <v>2</v>
      </c>
      <c r="D5" s="10" t="s">
        <v>0</v>
      </c>
    </row>
    <row r="6" spans="1:4" x14ac:dyDescent="0.25">
      <c r="A6" s="6" t="s">
        <v>17</v>
      </c>
      <c r="B6" s="4">
        <v>3</v>
      </c>
      <c r="C6" s="4">
        <v>0</v>
      </c>
      <c r="D6" s="5">
        <f>B6+C6</f>
        <v>3</v>
      </c>
    </row>
    <row r="7" spans="1:4" x14ac:dyDescent="0.25">
      <c r="A7" s="6" t="s">
        <v>6</v>
      </c>
      <c r="B7" s="4">
        <v>9</v>
      </c>
      <c r="C7" s="4">
        <v>6</v>
      </c>
      <c r="D7" s="5">
        <f t="shared" ref="D7:D16" si="0">B7+C7</f>
        <v>15</v>
      </c>
    </row>
    <row r="8" spans="1:4" x14ac:dyDescent="0.25">
      <c r="A8" s="6" t="s">
        <v>7</v>
      </c>
      <c r="B8" s="4">
        <v>22</v>
      </c>
      <c r="C8" s="4">
        <v>14</v>
      </c>
      <c r="D8" s="5">
        <f t="shared" si="0"/>
        <v>36</v>
      </c>
    </row>
    <row r="9" spans="1:4" x14ac:dyDescent="0.25">
      <c r="A9" s="6" t="s">
        <v>8</v>
      </c>
      <c r="B9" s="4">
        <v>266</v>
      </c>
      <c r="C9" s="4">
        <v>80</v>
      </c>
      <c r="D9" s="5">
        <f t="shared" si="0"/>
        <v>346</v>
      </c>
    </row>
    <row r="10" spans="1:4" x14ac:dyDescent="0.25">
      <c r="A10" s="6" t="s">
        <v>9</v>
      </c>
      <c r="B10" s="4">
        <v>13</v>
      </c>
      <c r="C10" s="4">
        <v>9</v>
      </c>
      <c r="D10" s="5">
        <f t="shared" si="0"/>
        <v>22</v>
      </c>
    </row>
    <row r="11" spans="1:4" x14ac:dyDescent="0.25">
      <c r="A11" s="6" t="s">
        <v>10</v>
      </c>
      <c r="B11" s="4">
        <v>12</v>
      </c>
      <c r="C11" s="4">
        <v>3</v>
      </c>
      <c r="D11" s="5">
        <f t="shared" si="0"/>
        <v>15</v>
      </c>
    </row>
    <row r="12" spans="1:4" x14ac:dyDescent="0.25">
      <c r="A12" s="6" t="s">
        <v>11</v>
      </c>
      <c r="B12" s="4">
        <v>59</v>
      </c>
      <c r="C12" s="4">
        <v>36</v>
      </c>
      <c r="D12" s="5">
        <f t="shared" si="0"/>
        <v>95</v>
      </c>
    </row>
    <row r="13" spans="1:4" x14ac:dyDescent="0.25">
      <c r="A13" s="6" t="s">
        <v>12</v>
      </c>
      <c r="B13" s="4">
        <v>5</v>
      </c>
      <c r="C13" s="4">
        <v>13</v>
      </c>
      <c r="D13" s="5">
        <f t="shared" si="0"/>
        <v>18</v>
      </c>
    </row>
    <row r="14" spans="1:4" x14ac:dyDescent="0.25">
      <c r="A14" s="6" t="s">
        <v>13</v>
      </c>
      <c r="B14" s="4">
        <v>64</v>
      </c>
      <c r="C14" s="4">
        <v>18</v>
      </c>
      <c r="D14" s="5">
        <f t="shared" si="0"/>
        <v>82</v>
      </c>
    </row>
    <row r="15" spans="1:4" ht="15.75" customHeight="1" x14ac:dyDescent="0.25">
      <c r="A15" s="6" t="s">
        <v>14</v>
      </c>
      <c r="B15" s="4">
        <v>11393</v>
      </c>
      <c r="C15" s="4">
        <v>6853</v>
      </c>
      <c r="D15" s="5">
        <f t="shared" si="0"/>
        <v>18246</v>
      </c>
    </row>
    <row r="16" spans="1:4" ht="15.75" thickBot="1" x14ac:dyDescent="0.3">
      <c r="A16" s="6" t="s">
        <v>3</v>
      </c>
      <c r="B16" s="4">
        <v>84</v>
      </c>
      <c r="C16" s="4">
        <v>403</v>
      </c>
      <c r="D16" s="5">
        <f t="shared" si="0"/>
        <v>487</v>
      </c>
    </row>
    <row r="17" spans="1:5" ht="16.5" thickTop="1" thickBot="1" x14ac:dyDescent="0.3">
      <c r="A17" s="11" t="s">
        <v>0</v>
      </c>
      <c r="B17" s="12">
        <f>SUM(B6:B16)</f>
        <v>11930</v>
      </c>
      <c r="C17" s="12">
        <f>SUM(C6:C16)</f>
        <v>7435</v>
      </c>
      <c r="D17" s="13">
        <f>SUM(D6:D16)</f>
        <v>19365</v>
      </c>
    </row>
    <row r="18" spans="1:5" x14ac:dyDescent="0.25">
      <c r="E18" s="8"/>
    </row>
    <row r="19" spans="1:5" ht="77.25" customHeight="1" x14ac:dyDescent="0.25">
      <c r="A19" s="15" t="s">
        <v>4</v>
      </c>
      <c r="B19" s="15"/>
      <c r="C19" s="15"/>
      <c r="D19" s="15"/>
    </row>
  </sheetData>
  <mergeCells count="2">
    <mergeCell ref="A2:D2"/>
    <mergeCell ref="A19:D19"/>
  </mergeCells>
  <pageMargins left="0.70866141732283472" right="0.70866141732283472" top="0.74803149606299213" bottom="0.74803149606299213" header="0.31496062992125984" footer="0.31496062992125984"/>
  <pageSetup paperSize="9" orientation="portrait" r:id="rId1"/>
  <headerFooter>
    <oddHeader>&amp;CUCL Student Data Statistics</oddHeader>
    <oddFooter>&amp;L&amp;F - &amp;A&amp;RPage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19"/>
  <sheetViews>
    <sheetView view="pageLayout" zoomScale="70" zoomScaleNormal="100" zoomScalePageLayoutView="70" workbookViewId="0">
      <selection activeCell="A22" sqref="A22"/>
    </sheetView>
  </sheetViews>
  <sheetFormatPr defaultRowHeight="15" x14ac:dyDescent="0.25"/>
  <cols>
    <col min="1" max="1" width="33.28515625" bestFit="1" customWidth="1"/>
    <col min="2" max="4" width="14.7109375" customWidth="1"/>
  </cols>
  <sheetData>
    <row r="1" spans="1:4" ht="18" x14ac:dyDescent="0.25">
      <c r="A1" s="1" t="s">
        <v>5</v>
      </c>
      <c r="B1" s="3"/>
    </row>
    <row r="2" spans="1:4" x14ac:dyDescent="0.25">
      <c r="A2" s="14" t="s">
        <v>15</v>
      </c>
      <c r="B2" s="14"/>
      <c r="C2" s="14"/>
      <c r="D2" s="14"/>
    </row>
    <row r="3" spans="1:4" x14ac:dyDescent="0.25">
      <c r="A3" s="2" t="s">
        <v>23</v>
      </c>
      <c r="B3" s="3"/>
    </row>
    <row r="4" spans="1:4" ht="12.75" customHeight="1" thickBot="1" x14ac:dyDescent="0.3">
      <c r="A4" s="3"/>
      <c r="B4" s="3"/>
    </row>
    <row r="5" spans="1:4" ht="15" customHeight="1" x14ac:dyDescent="0.25">
      <c r="A5" s="9" t="s">
        <v>16</v>
      </c>
      <c r="B5" s="7" t="s">
        <v>1</v>
      </c>
      <c r="C5" s="7" t="s">
        <v>2</v>
      </c>
      <c r="D5" s="10" t="s">
        <v>0</v>
      </c>
    </row>
    <row r="6" spans="1:4" x14ac:dyDescent="0.25">
      <c r="A6" s="6" t="s">
        <v>17</v>
      </c>
      <c r="B6" s="4">
        <v>3</v>
      </c>
      <c r="C6" s="4">
        <v>0</v>
      </c>
      <c r="D6" s="5">
        <f>B6+C6</f>
        <v>3</v>
      </c>
    </row>
    <row r="7" spans="1:4" x14ac:dyDescent="0.25">
      <c r="A7" s="6" t="s">
        <v>6</v>
      </c>
      <c r="B7" s="4">
        <v>3</v>
      </c>
      <c r="C7" s="4">
        <v>1</v>
      </c>
      <c r="D7" s="5">
        <f t="shared" ref="D7:D8" si="0">B7+C7</f>
        <v>4</v>
      </c>
    </row>
    <row r="8" spans="1:4" x14ac:dyDescent="0.25">
      <c r="A8" s="6" t="s">
        <v>7</v>
      </c>
      <c r="B8" s="4">
        <v>23</v>
      </c>
      <c r="C8" s="4">
        <v>19</v>
      </c>
      <c r="D8" s="5">
        <f t="shared" si="0"/>
        <v>42</v>
      </c>
    </row>
    <row r="9" spans="1:4" x14ac:dyDescent="0.25">
      <c r="A9" s="6" t="s">
        <v>8</v>
      </c>
      <c r="B9" s="4">
        <v>222</v>
      </c>
      <c r="C9" s="4">
        <v>79</v>
      </c>
      <c r="D9" s="5">
        <f t="shared" ref="D9:D16" si="1">B9+C9</f>
        <v>301</v>
      </c>
    </row>
    <row r="10" spans="1:4" x14ac:dyDescent="0.25">
      <c r="A10" s="6" t="s">
        <v>9</v>
      </c>
      <c r="B10" s="4">
        <v>13</v>
      </c>
      <c r="C10" s="4">
        <v>5</v>
      </c>
      <c r="D10" s="5">
        <f t="shared" si="1"/>
        <v>18</v>
      </c>
    </row>
    <row r="11" spans="1:4" x14ac:dyDescent="0.25">
      <c r="A11" s="6" t="s">
        <v>10</v>
      </c>
      <c r="B11" s="4">
        <v>11</v>
      </c>
      <c r="C11" s="4">
        <v>3</v>
      </c>
      <c r="D11" s="5">
        <f t="shared" si="1"/>
        <v>14</v>
      </c>
    </row>
    <row r="12" spans="1:4" x14ac:dyDescent="0.25">
      <c r="A12" s="6" t="s">
        <v>11</v>
      </c>
      <c r="B12" s="4">
        <v>58</v>
      </c>
      <c r="C12" s="4">
        <v>36</v>
      </c>
      <c r="D12" s="5">
        <f t="shared" si="1"/>
        <v>94</v>
      </c>
    </row>
    <row r="13" spans="1:4" x14ac:dyDescent="0.25">
      <c r="A13" s="6" t="s">
        <v>12</v>
      </c>
      <c r="B13" s="4">
        <v>5</v>
      </c>
      <c r="C13" s="4">
        <v>11</v>
      </c>
      <c r="D13" s="5">
        <f t="shared" si="1"/>
        <v>16</v>
      </c>
    </row>
    <row r="14" spans="1:4" x14ac:dyDescent="0.25">
      <c r="A14" s="6" t="s">
        <v>13</v>
      </c>
      <c r="B14" s="4">
        <v>42</v>
      </c>
      <c r="C14" s="4">
        <v>18</v>
      </c>
      <c r="D14" s="5">
        <f t="shared" si="1"/>
        <v>60</v>
      </c>
    </row>
    <row r="15" spans="1:4" x14ac:dyDescent="0.25">
      <c r="A15" s="6" t="s">
        <v>14</v>
      </c>
      <c r="B15" s="4">
        <v>11638</v>
      </c>
      <c r="C15" s="4">
        <v>6587</v>
      </c>
      <c r="D15" s="5">
        <f t="shared" si="1"/>
        <v>18225</v>
      </c>
    </row>
    <row r="16" spans="1:4" ht="15.75" customHeight="1" thickBot="1" x14ac:dyDescent="0.3">
      <c r="A16" s="6" t="s">
        <v>3</v>
      </c>
      <c r="B16" s="4">
        <v>66</v>
      </c>
      <c r="C16" s="4">
        <v>456</v>
      </c>
      <c r="D16" s="5">
        <f t="shared" si="1"/>
        <v>522</v>
      </c>
    </row>
    <row r="17" spans="1:5" ht="16.5" thickTop="1" thickBot="1" x14ac:dyDescent="0.3">
      <c r="A17" s="11" t="s">
        <v>0</v>
      </c>
      <c r="B17" s="12">
        <f>SUM(B6:B16)</f>
        <v>12084</v>
      </c>
      <c r="C17" s="12">
        <f>SUM(C6:C16)</f>
        <v>7215</v>
      </c>
      <c r="D17" s="13">
        <f>SUM(D6:D16)</f>
        <v>19299</v>
      </c>
    </row>
    <row r="19" spans="1:5" ht="73.5" customHeight="1" x14ac:dyDescent="0.25">
      <c r="A19" s="15" t="s">
        <v>4</v>
      </c>
      <c r="B19" s="15"/>
      <c r="C19" s="15"/>
      <c r="D19" s="15"/>
      <c r="E19" s="8"/>
    </row>
  </sheetData>
  <mergeCells count="2">
    <mergeCell ref="A2:D2"/>
    <mergeCell ref="A19:D19"/>
  </mergeCells>
  <pageMargins left="0.70866141732283472" right="0.70866141732283472" top="0.74803149606299213" bottom="0.74803149606299213" header="0.31496062992125984" footer="0.31496062992125984"/>
  <pageSetup paperSize="9" orientation="portrait" r:id="rId1"/>
  <headerFooter>
    <oddHeader>&amp;CUCL Student Data Statistics</oddHeader>
    <oddFooter>&amp;L&amp;F - &amp;A&amp;RPage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18"/>
  <sheetViews>
    <sheetView view="pageLayout" zoomScale="70" zoomScaleNormal="100" zoomScalePageLayoutView="70" workbookViewId="0">
      <selection activeCell="A3" sqref="A3"/>
    </sheetView>
  </sheetViews>
  <sheetFormatPr defaultRowHeight="15" x14ac:dyDescent="0.25"/>
  <cols>
    <col min="1" max="1" width="33.28515625" bestFit="1" customWidth="1"/>
    <col min="2" max="4" width="14.7109375" customWidth="1"/>
  </cols>
  <sheetData>
    <row r="1" spans="1:4" ht="18" x14ac:dyDescent="0.25">
      <c r="A1" s="1" t="s">
        <v>5</v>
      </c>
      <c r="B1" s="3"/>
    </row>
    <row r="2" spans="1:4" x14ac:dyDescent="0.25">
      <c r="A2" s="14" t="s">
        <v>15</v>
      </c>
      <c r="B2" s="14"/>
      <c r="C2" s="14"/>
      <c r="D2" s="14"/>
    </row>
    <row r="3" spans="1:4" x14ac:dyDescent="0.25">
      <c r="A3" s="2" t="s">
        <v>22</v>
      </c>
      <c r="B3" s="3"/>
    </row>
    <row r="4" spans="1:4" ht="12.75" customHeight="1" thickBot="1" x14ac:dyDescent="0.3">
      <c r="A4" s="3"/>
      <c r="B4" s="3"/>
    </row>
    <row r="5" spans="1:4" ht="15" customHeight="1" x14ac:dyDescent="0.25">
      <c r="A5" s="9" t="s">
        <v>16</v>
      </c>
      <c r="B5" s="7" t="s">
        <v>1</v>
      </c>
      <c r="C5" s="7" t="s">
        <v>2</v>
      </c>
      <c r="D5" s="10" t="s">
        <v>0</v>
      </c>
    </row>
    <row r="6" spans="1:4" x14ac:dyDescent="0.25">
      <c r="A6" s="6" t="s">
        <v>6</v>
      </c>
      <c r="B6" s="4">
        <v>3</v>
      </c>
      <c r="C6" s="4">
        <v>1</v>
      </c>
      <c r="D6" s="5">
        <f>B6+C6</f>
        <v>4</v>
      </c>
    </row>
    <row r="7" spans="1:4" x14ac:dyDescent="0.25">
      <c r="A7" s="6" t="s">
        <v>7</v>
      </c>
      <c r="B7" s="4">
        <v>19</v>
      </c>
      <c r="C7" s="4">
        <v>13</v>
      </c>
      <c r="D7" s="5">
        <f t="shared" ref="D7:D15" si="0">B7+C7</f>
        <v>32</v>
      </c>
    </row>
    <row r="8" spans="1:4" x14ac:dyDescent="0.25">
      <c r="A8" s="6" t="s">
        <v>8</v>
      </c>
      <c r="B8" s="4">
        <v>181</v>
      </c>
      <c r="C8" s="4">
        <v>53</v>
      </c>
      <c r="D8" s="5">
        <f t="shared" si="0"/>
        <v>234</v>
      </c>
    </row>
    <row r="9" spans="1:4" x14ac:dyDescent="0.25">
      <c r="A9" s="6" t="s">
        <v>9</v>
      </c>
      <c r="B9" s="4">
        <v>9</v>
      </c>
      <c r="C9" s="4">
        <v>1</v>
      </c>
      <c r="D9" s="5">
        <f t="shared" si="0"/>
        <v>10</v>
      </c>
    </row>
    <row r="10" spans="1:4" x14ac:dyDescent="0.25">
      <c r="A10" s="6" t="s">
        <v>10</v>
      </c>
      <c r="B10" s="4">
        <v>11</v>
      </c>
      <c r="C10" s="4">
        <v>3</v>
      </c>
      <c r="D10" s="5">
        <f t="shared" si="0"/>
        <v>14</v>
      </c>
    </row>
    <row r="11" spans="1:4" x14ac:dyDescent="0.25">
      <c r="A11" s="6" t="s">
        <v>11</v>
      </c>
      <c r="B11" s="4">
        <v>59</v>
      </c>
      <c r="C11" s="4">
        <v>36</v>
      </c>
      <c r="D11" s="5">
        <f t="shared" si="0"/>
        <v>95</v>
      </c>
    </row>
    <row r="12" spans="1:4" x14ac:dyDescent="0.25">
      <c r="A12" s="6" t="s">
        <v>12</v>
      </c>
      <c r="B12" s="4">
        <v>3</v>
      </c>
      <c r="C12" s="4">
        <v>9</v>
      </c>
      <c r="D12" s="5">
        <f t="shared" si="0"/>
        <v>12</v>
      </c>
    </row>
    <row r="13" spans="1:4" x14ac:dyDescent="0.25">
      <c r="A13" s="6" t="s">
        <v>13</v>
      </c>
      <c r="B13" s="4">
        <v>53</v>
      </c>
      <c r="C13" s="4">
        <v>15</v>
      </c>
      <c r="D13" s="5">
        <f t="shared" si="0"/>
        <v>68</v>
      </c>
    </row>
    <row r="14" spans="1:4" x14ac:dyDescent="0.25">
      <c r="A14" s="6" t="s">
        <v>14</v>
      </c>
      <c r="B14" s="4">
        <v>11716</v>
      </c>
      <c r="C14" s="4">
        <v>6570</v>
      </c>
      <c r="D14" s="5">
        <f t="shared" si="0"/>
        <v>18286</v>
      </c>
    </row>
    <row r="15" spans="1:4" ht="15.75" customHeight="1" thickBot="1" x14ac:dyDescent="0.3">
      <c r="A15" s="6" t="s">
        <v>3</v>
      </c>
      <c r="B15" s="4">
        <v>87</v>
      </c>
      <c r="C15" s="4">
        <v>572</v>
      </c>
      <c r="D15" s="5">
        <f t="shared" si="0"/>
        <v>659</v>
      </c>
    </row>
    <row r="16" spans="1:4" ht="16.5" thickTop="1" thickBot="1" x14ac:dyDescent="0.3">
      <c r="A16" s="11" t="s">
        <v>0</v>
      </c>
      <c r="B16" s="12">
        <f>SUM(B6:B15)</f>
        <v>12141</v>
      </c>
      <c r="C16" s="12">
        <f>SUM(C6:C15)</f>
        <v>7273</v>
      </c>
      <c r="D16" s="13">
        <f>SUM(D6:D15)</f>
        <v>19414</v>
      </c>
    </row>
    <row r="18" spans="1:5" ht="73.5" customHeight="1" x14ac:dyDescent="0.25">
      <c r="A18" s="15" t="s">
        <v>4</v>
      </c>
      <c r="B18" s="15"/>
      <c r="C18" s="15"/>
      <c r="D18" s="15"/>
      <c r="E18" s="8"/>
    </row>
  </sheetData>
  <mergeCells count="2">
    <mergeCell ref="A18:D18"/>
    <mergeCell ref="A2:D2"/>
  </mergeCells>
  <pageMargins left="0.70866141732283472" right="0.70866141732283472" top="0.74803149606299213" bottom="0.74803149606299213" header="0.31496062992125984" footer="0.31496062992125984"/>
  <pageSetup paperSize="9" orientation="portrait" r:id="rId1"/>
  <headerFooter>
    <oddHeader>&amp;CUCL Student Data Statistics</oddHeader>
    <oddFooter>&amp;L&amp;F - &amp;A&amp;RPage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2011-12</vt:lpstr>
      <vt:lpstr>2010-11</vt:lpstr>
      <vt:lpstr>2009-10</vt:lpstr>
      <vt:lpstr>2008-09</vt:lpstr>
      <vt:lpstr>2007-08</vt:lpstr>
      <vt:lpstr>2006-07</vt:lpstr>
      <vt:lpstr>2005-06</vt:lpstr>
      <vt:lpstr>2004-05</vt:lpstr>
      <vt:lpstr>'2004-05'!Print_Titles</vt:lpstr>
      <vt:lpstr>'2005-06'!Print_Titles</vt:lpstr>
      <vt:lpstr>'2006-07'!Print_Titles</vt:lpstr>
      <vt:lpstr>'2007-08'!Print_Titles</vt:lpstr>
      <vt:lpstr>'2008-09'!Print_Titles</vt:lpstr>
      <vt:lpstr>'2009-10'!Print_Titles</vt:lpstr>
      <vt:lpstr>'2010-11'!Print_Titles</vt:lpstr>
      <vt:lpstr>'2011-12'!Print_Titles</vt:lpstr>
    </vt:vector>
  </TitlesOfParts>
  <Company>University College London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Meaney</dc:creator>
  <cp:lastModifiedBy>Fiona Meaney</cp:lastModifiedBy>
  <cp:lastPrinted>2013-06-18T15:19:05Z</cp:lastPrinted>
  <dcterms:created xsi:type="dcterms:W3CDTF">2013-05-17T14:02:41Z</dcterms:created>
  <dcterms:modified xsi:type="dcterms:W3CDTF">2013-06-25T08:30:39Z</dcterms:modified>
</cp:coreProperties>
</file>