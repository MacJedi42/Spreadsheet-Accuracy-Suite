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90" windowWidth="19065" windowHeight="10830" activeTab="1"/>
  </bookViews>
  <sheets>
    <sheet name="Instructions" sheetId="5" r:id="rId1"/>
    <sheet name="XYZ" sheetId="6" r:id="rId2"/>
  </sheets>
  <calcPr calcId="145621"/>
</workbook>
</file>

<file path=xl/calcChain.xml><?xml version="1.0" encoding="utf-8"?>
<calcChain xmlns="http://schemas.openxmlformats.org/spreadsheetml/2006/main">
  <c r="A235" i="6" l="1"/>
  <c r="A213" i="6"/>
  <c r="A195" i="6"/>
  <c r="I67" i="6"/>
  <c r="A132" i="6" s="1"/>
  <c r="J264" i="6" l="1"/>
  <c r="J263" i="6"/>
  <c r="J262" i="6"/>
  <c r="J261" i="6"/>
  <c r="J260" i="6"/>
  <c r="J259" i="6"/>
  <c r="J258" i="6"/>
  <c r="J257" i="6"/>
  <c r="J256" i="6"/>
  <c r="J255" i="6"/>
  <c r="G264" i="6"/>
  <c r="G263" i="6"/>
  <c r="G262" i="6"/>
  <c r="G261" i="6"/>
  <c r="G260" i="6"/>
  <c r="G259" i="6"/>
  <c r="G258" i="6"/>
  <c r="G257" i="6"/>
  <c r="G256" i="6"/>
  <c r="G255" i="6"/>
  <c r="K264" i="6" l="1"/>
  <c r="H264" i="6"/>
  <c r="D264" i="6"/>
  <c r="E264" i="6" s="1"/>
  <c r="K263" i="6"/>
  <c r="H263" i="6"/>
  <c r="D263" i="6"/>
  <c r="E263" i="6" s="1"/>
  <c r="K262" i="6"/>
  <c r="H262" i="6"/>
  <c r="D262" i="6"/>
  <c r="E262" i="6" s="1"/>
  <c r="K261" i="6"/>
  <c r="H261" i="6"/>
  <c r="D261" i="6"/>
  <c r="E261" i="6" s="1"/>
  <c r="K260" i="6"/>
  <c r="H260" i="6"/>
  <c r="D260" i="6"/>
  <c r="E260" i="6" s="1"/>
  <c r="K259" i="6"/>
  <c r="H259" i="6"/>
  <c r="D259" i="6"/>
  <c r="E259" i="6" s="1"/>
  <c r="K258" i="6"/>
  <c r="H258" i="6"/>
  <c r="D258" i="6"/>
  <c r="E258" i="6" s="1"/>
  <c r="K257" i="6"/>
  <c r="H257" i="6"/>
  <c r="D257" i="6"/>
  <c r="E257" i="6" s="1"/>
  <c r="K256" i="6"/>
  <c r="H256" i="6"/>
  <c r="D256" i="6"/>
  <c r="E256" i="6" s="1"/>
  <c r="K255" i="6"/>
  <c r="H255" i="6"/>
  <c r="D255" i="6"/>
  <c r="E255" i="6" s="1"/>
  <c r="L246" i="6"/>
  <c r="M246" i="6" s="1"/>
  <c r="J246" i="6"/>
  <c r="K246" i="6" s="1"/>
  <c r="H246" i="6"/>
  <c r="I246" i="6" s="1"/>
  <c r="F246" i="6"/>
  <c r="G246" i="6" s="1"/>
  <c r="D246" i="6"/>
  <c r="E246" i="6" s="1"/>
  <c r="L245" i="6"/>
  <c r="M245" i="6" s="1"/>
  <c r="J245" i="6"/>
  <c r="K245" i="6" s="1"/>
  <c r="H245" i="6"/>
  <c r="I245" i="6" s="1"/>
  <c r="F245" i="6"/>
  <c r="G245" i="6" s="1"/>
  <c r="D245" i="6"/>
  <c r="E245" i="6" s="1"/>
  <c r="L244" i="6"/>
  <c r="M244" i="6" s="1"/>
  <c r="J244" i="6"/>
  <c r="K244" i="6" s="1"/>
  <c r="H244" i="6"/>
  <c r="I244" i="6" s="1"/>
  <c r="F244" i="6"/>
  <c r="G244" i="6" s="1"/>
  <c r="D244" i="6"/>
  <c r="E244" i="6" s="1"/>
  <c r="L243" i="6"/>
  <c r="M243" i="6" s="1"/>
  <c r="J243" i="6"/>
  <c r="K243" i="6" s="1"/>
  <c r="H243" i="6"/>
  <c r="I243" i="6" s="1"/>
  <c r="F243" i="6"/>
  <c r="G243" i="6" s="1"/>
  <c r="D243" i="6"/>
  <c r="E243" i="6" s="1"/>
  <c r="L242" i="6"/>
  <c r="M242" i="6" s="1"/>
  <c r="J242" i="6"/>
  <c r="K242" i="6" s="1"/>
  <c r="H242" i="6"/>
  <c r="I242" i="6" s="1"/>
  <c r="F242" i="6"/>
  <c r="G242" i="6" s="1"/>
  <c r="D242" i="6"/>
  <c r="E242" i="6" s="1"/>
  <c r="L241" i="6"/>
  <c r="M241" i="6" s="1"/>
  <c r="J241" i="6"/>
  <c r="K241" i="6" s="1"/>
  <c r="H241" i="6"/>
  <c r="I241" i="6" s="1"/>
  <c r="F241" i="6"/>
  <c r="G241" i="6" s="1"/>
  <c r="D241" i="6"/>
  <c r="E241" i="6" s="1"/>
  <c r="L240" i="6"/>
  <c r="M240" i="6" s="1"/>
  <c r="J240" i="6"/>
  <c r="K240" i="6" s="1"/>
  <c r="H240" i="6"/>
  <c r="I240" i="6" s="1"/>
  <c r="F240" i="6"/>
  <c r="G240" i="6" s="1"/>
  <c r="D240" i="6"/>
  <c r="E240" i="6" s="1"/>
  <c r="L239" i="6"/>
  <c r="M239" i="6" s="1"/>
  <c r="J239" i="6"/>
  <c r="K239" i="6" s="1"/>
  <c r="H239" i="6"/>
  <c r="I239" i="6" s="1"/>
  <c r="F239" i="6"/>
  <c r="G239" i="6" s="1"/>
  <c r="D239" i="6"/>
  <c r="E239" i="6" s="1"/>
  <c r="L238" i="6"/>
  <c r="M238" i="6" s="1"/>
  <c r="J238" i="6"/>
  <c r="K238" i="6" s="1"/>
  <c r="H238" i="6"/>
  <c r="I238" i="6" s="1"/>
  <c r="F238" i="6"/>
  <c r="G238" i="6" s="1"/>
  <c r="D238" i="6"/>
  <c r="E238" i="6" s="1"/>
  <c r="L237" i="6"/>
  <c r="M237" i="6" s="1"/>
  <c r="J237" i="6"/>
  <c r="K237" i="6" s="1"/>
  <c r="H237" i="6"/>
  <c r="I237" i="6" s="1"/>
  <c r="F237" i="6"/>
  <c r="G237" i="6" s="1"/>
  <c r="D237" i="6"/>
  <c r="E237" i="6" s="1"/>
  <c r="L236" i="6"/>
  <c r="M236" i="6" s="1"/>
  <c r="J236" i="6"/>
  <c r="K236" i="6" s="1"/>
  <c r="H236" i="6"/>
  <c r="I236" i="6" s="1"/>
  <c r="F236" i="6"/>
  <c r="G236" i="6" s="1"/>
  <c r="D236" i="6"/>
  <c r="E236" i="6" s="1"/>
  <c r="L235" i="6"/>
  <c r="M235" i="6" s="1"/>
  <c r="J235" i="6"/>
  <c r="K235" i="6" s="1"/>
  <c r="H235" i="6"/>
  <c r="I235" i="6" s="1"/>
  <c r="F235" i="6"/>
  <c r="G235" i="6" s="1"/>
  <c r="D235" i="6"/>
  <c r="E235" i="6" s="1"/>
  <c r="L224" i="6"/>
  <c r="M224" i="6" s="1"/>
  <c r="J224" i="6"/>
  <c r="K224" i="6" s="1"/>
  <c r="H224" i="6"/>
  <c r="I224" i="6" s="1"/>
  <c r="F224" i="6"/>
  <c r="G224" i="6" s="1"/>
  <c r="D224" i="6"/>
  <c r="E224" i="6" s="1"/>
  <c r="L223" i="6"/>
  <c r="M223" i="6" s="1"/>
  <c r="J223" i="6"/>
  <c r="K223" i="6" s="1"/>
  <c r="H223" i="6"/>
  <c r="I223" i="6" s="1"/>
  <c r="F223" i="6"/>
  <c r="G223" i="6" s="1"/>
  <c r="D223" i="6"/>
  <c r="E223" i="6" s="1"/>
  <c r="L222" i="6"/>
  <c r="M222" i="6" s="1"/>
  <c r="J222" i="6"/>
  <c r="K222" i="6" s="1"/>
  <c r="H222" i="6"/>
  <c r="I222" i="6" s="1"/>
  <c r="F222" i="6"/>
  <c r="G222" i="6" s="1"/>
  <c r="D222" i="6"/>
  <c r="E222" i="6" s="1"/>
  <c r="L221" i="6"/>
  <c r="M221" i="6" s="1"/>
  <c r="J221" i="6"/>
  <c r="K221" i="6" s="1"/>
  <c r="H221" i="6"/>
  <c r="I221" i="6" s="1"/>
  <c r="F221" i="6"/>
  <c r="G221" i="6" s="1"/>
  <c r="D221" i="6"/>
  <c r="E221" i="6" s="1"/>
  <c r="L220" i="6"/>
  <c r="M220" i="6" s="1"/>
  <c r="J220" i="6"/>
  <c r="K220" i="6" s="1"/>
  <c r="H220" i="6"/>
  <c r="I220" i="6" s="1"/>
  <c r="F220" i="6"/>
  <c r="G220" i="6" s="1"/>
  <c r="D220" i="6"/>
  <c r="E220" i="6" s="1"/>
  <c r="L219" i="6"/>
  <c r="M219" i="6" s="1"/>
  <c r="J219" i="6"/>
  <c r="K219" i="6" s="1"/>
  <c r="H219" i="6"/>
  <c r="I219" i="6" s="1"/>
  <c r="F219" i="6"/>
  <c r="G219" i="6" s="1"/>
  <c r="D219" i="6"/>
  <c r="E219" i="6" s="1"/>
  <c r="L218" i="6"/>
  <c r="M218" i="6" s="1"/>
  <c r="J218" i="6"/>
  <c r="K218" i="6" s="1"/>
  <c r="H218" i="6"/>
  <c r="I218" i="6" s="1"/>
  <c r="F218" i="6"/>
  <c r="G218" i="6" s="1"/>
  <c r="D218" i="6"/>
  <c r="E218" i="6" s="1"/>
  <c r="L217" i="6"/>
  <c r="M217" i="6" s="1"/>
  <c r="J217" i="6"/>
  <c r="K217" i="6" s="1"/>
  <c r="H217" i="6"/>
  <c r="I217" i="6" s="1"/>
  <c r="F217" i="6"/>
  <c r="G217" i="6" s="1"/>
  <c r="D217" i="6"/>
  <c r="E217" i="6" s="1"/>
  <c r="L216" i="6"/>
  <c r="M216" i="6" s="1"/>
  <c r="J216" i="6"/>
  <c r="K216" i="6" s="1"/>
  <c r="H216" i="6"/>
  <c r="I216" i="6" s="1"/>
  <c r="F216" i="6"/>
  <c r="G216" i="6" s="1"/>
  <c r="D216" i="6"/>
  <c r="E216" i="6" s="1"/>
  <c r="L215" i="6"/>
  <c r="M215" i="6" s="1"/>
  <c r="J215" i="6"/>
  <c r="K215" i="6" s="1"/>
  <c r="H215" i="6"/>
  <c r="I215" i="6" s="1"/>
  <c r="F215" i="6"/>
  <c r="G215" i="6" s="1"/>
  <c r="D215" i="6"/>
  <c r="E215" i="6" s="1"/>
  <c r="L214" i="6"/>
  <c r="M214" i="6" s="1"/>
  <c r="J214" i="6"/>
  <c r="K214" i="6" s="1"/>
  <c r="H214" i="6"/>
  <c r="I214" i="6" s="1"/>
  <c r="F214" i="6"/>
  <c r="G214" i="6" s="1"/>
  <c r="D214" i="6"/>
  <c r="E214" i="6" s="1"/>
  <c r="L213" i="6"/>
  <c r="M213" i="6" s="1"/>
  <c r="J213" i="6"/>
  <c r="K213" i="6" s="1"/>
  <c r="H213" i="6"/>
  <c r="I213" i="6" s="1"/>
  <c r="F213" i="6"/>
  <c r="G213" i="6" s="1"/>
  <c r="D213" i="6"/>
  <c r="E213" i="6" s="1"/>
  <c r="L206" i="6"/>
  <c r="M206" i="6" s="1"/>
  <c r="J206" i="6"/>
  <c r="K206" i="6" s="1"/>
  <c r="H206" i="6"/>
  <c r="I206" i="6" s="1"/>
  <c r="F206" i="6"/>
  <c r="G206" i="6" s="1"/>
  <c r="D206" i="6"/>
  <c r="E206" i="6" s="1"/>
  <c r="L205" i="6"/>
  <c r="M205" i="6" s="1"/>
  <c r="J205" i="6"/>
  <c r="K205" i="6" s="1"/>
  <c r="H205" i="6"/>
  <c r="I205" i="6" s="1"/>
  <c r="F205" i="6"/>
  <c r="G205" i="6" s="1"/>
  <c r="D205" i="6"/>
  <c r="E205" i="6" s="1"/>
  <c r="L204" i="6"/>
  <c r="M204" i="6" s="1"/>
  <c r="J204" i="6"/>
  <c r="K204" i="6" s="1"/>
  <c r="H204" i="6"/>
  <c r="I204" i="6" s="1"/>
  <c r="F204" i="6"/>
  <c r="G204" i="6" s="1"/>
  <c r="D204" i="6"/>
  <c r="E204" i="6" s="1"/>
  <c r="L203" i="6"/>
  <c r="M203" i="6" s="1"/>
  <c r="J203" i="6"/>
  <c r="K203" i="6" s="1"/>
  <c r="H203" i="6"/>
  <c r="I203" i="6" s="1"/>
  <c r="F203" i="6"/>
  <c r="G203" i="6" s="1"/>
  <c r="D203" i="6"/>
  <c r="E203" i="6" s="1"/>
  <c r="L202" i="6"/>
  <c r="M202" i="6" s="1"/>
  <c r="J202" i="6"/>
  <c r="K202" i="6" s="1"/>
  <c r="H202" i="6"/>
  <c r="I202" i="6" s="1"/>
  <c r="F202" i="6"/>
  <c r="G202" i="6" s="1"/>
  <c r="D202" i="6"/>
  <c r="E202" i="6" s="1"/>
  <c r="L201" i="6"/>
  <c r="M201" i="6" s="1"/>
  <c r="J201" i="6"/>
  <c r="K201" i="6" s="1"/>
  <c r="H201" i="6"/>
  <c r="I201" i="6" s="1"/>
  <c r="F201" i="6"/>
  <c r="G201" i="6" s="1"/>
  <c r="D201" i="6"/>
  <c r="E201" i="6" s="1"/>
  <c r="L200" i="6"/>
  <c r="M200" i="6" s="1"/>
  <c r="J200" i="6"/>
  <c r="K200" i="6" s="1"/>
  <c r="H200" i="6"/>
  <c r="I200" i="6" s="1"/>
  <c r="F200" i="6"/>
  <c r="G200" i="6" s="1"/>
  <c r="D200" i="6"/>
  <c r="E200" i="6" s="1"/>
  <c r="L199" i="6"/>
  <c r="M199" i="6" s="1"/>
  <c r="J199" i="6"/>
  <c r="K199" i="6" s="1"/>
  <c r="H199" i="6"/>
  <c r="I199" i="6" s="1"/>
  <c r="F199" i="6"/>
  <c r="G199" i="6" s="1"/>
  <c r="D199" i="6"/>
  <c r="E199" i="6" s="1"/>
  <c r="L198" i="6"/>
  <c r="M198" i="6" s="1"/>
  <c r="J198" i="6"/>
  <c r="K198" i="6" s="1"/>
  <c r="H198" i="6"/>
  <c r="I198" i="6" s="1"/>
  <c r="F198" i="6"/>
  <c r="G198" i="6" s="1"/>
  <c r="D198" i="6"/>
  <c r="E198" i="6" s="1"/>
  <c r="L197" i="6"/>
  <c r="M197" i="6" s="1"/>
  <c r="J197" i="6"/>
  <c r="K197" i="6" s="1"/>
  <c r="H197" i="6"/>
  <c r="I197" i="6" s="1"/>
  <c r="F197" i="6"/>
  <c r="G197" i="6" s="1"/>
  <c r="D197" i="6"/>
  <c r="E197" i="6" s="1"/>
  <c r="L196" i="6"/>
  <c r="M196" i="6" s="1"/>
  <c r="J196" i="6"/>
  <c r="K196" i="6" s="1"/>
  <c r="H196" i="6"/>
  <c r="I196" i="6" s="1"/>
  <c r="F196" i="6"/>
  <c r="G196" i="6" s="1"/>
  <c r="D196" i="6"/>
  <c r="E196" i="6" s="1"/>
  <c r="L195" i="6"/>
  <c r="M195" i="6" s="1"/>
  <c r="J195" i="6"/>
  <c r="K195" i="6" s="1"/>
  <c r="H195" i="6"/>
  <c r="I195" i="6" s="1"/>
  <c r="F195" i="6"/>
  <c r="G195" i="6" s="1"/>
  <c r="D195" i="6"/>
  <c r="E195" i="6" s="1"/>
  <c r="L187" i="6"/>
  <c r="M187" i="6" s="1"/>
  <c r="J187" i="6"/>
  <c r="K187" i="6" s="1"/>
  <c r="H187" i="6"/>
  <c r="I187" i="6" s="1"/>
  <c r="F187" i="6"/>
  <c r="G187" i="6" s="1"/>
  <c r="D187" i="6"/>
  <c r="E187" i="6" s="1"/>
  <c r="L186" i="6"/>
  <c r="M186" i="6" s="1"/>
  <c r="J186" i="6"/>
  <c r="K186" i="6" s="1"/>
  <c r="H186" i="6"/>
  <c r="I186" i="6" s="1"/>
  <c r="F186" i="6"/>
  <c r="G186" i="6" s="1"/>
  <c r="D186" i="6"/>
  <c r="E186" i="6" s="1"/>
  <c r="L185" i="6"/>
  <c r="M185" i="6" s="1"/>
  <c r="J185" i="6"/>
  <c r="K185" i="6" s="1"/>
  <c r="H185" i="6"/>
  <c r="I185" i="6" s="1"/>
  <c r="F185" i="6"/>
  <c r="G185" i="6" s="1"/>
  <c r="D185" i="6"/>
  <c r="E185" i="6" s="1"/>
  <c r="L184" i="6"/>
  <c r="M184" i="6" s="1"/>
  <c r="J184" i="6"/>
  <c r="K184" i="6" s="1"/>
  <c r="H184" i="6"/>
  <c r="I184" i="6" s="1"/>
  <c r="F184" i="6"/>
  <c r="G184" i="6" s="1"/>
  <c r="D184" i="6"/>
  <c r="E184" i="6" s="1"/>
  <c r="L183" i="6"/>
  <c r="M183" i="6" s="1"/>
  <c r="J183" i="6"/>
  <c r="K183" i="6" s="1"/>
  <c r="H183" i="6"/>
  <c r="I183" i="6" s="1"/>
  <c r="F183" i="6"/>
  <c r="G183" i="6" s="1"/>
  <c r="D183" i="6"/>
  <c r="E183" i="6" s="1"/>
  <c r="L182" i="6"/>
  <c r="M182" i="6" s="1"/>
  <c r="J182" i="6"/>
  <c r="K182" i="6" s="1"/>
  <c r="H182" i="6"/>
  <c r="I182" i="6" s="1"/>
  <c r="F182" i="6"/>
  <c r="G182" i="6" s="1"/>
  <c r="D182" i="6"/>
  <c r="E182" i="6" s="1"/>
  <c r="L181" i="6"/>
  <c r="M181" i="6" s="1"/>
  <c r="J181" i="6"/>
  <c r="K181" i="6" s="1"/>
  <c r="H181" i="6"/>
  <c r="I181" i="6" s="1"/>
  <c r="F181" i="6"/>
  <c r="G181" i="6" s="1"/>
  <c r="D181" i="6"/>
  <c r="E181" i="6" s="1"/>
  <c r="L180" i="6"/>
  <c r="M180" i="6" s="1"/>
  <c r="J180" i="6"/>
  <c r="K180" i="6" s="1"/>
  <c r="H180" i="6"/>
  <c r="I180" i="6" s="1"/>
  <c r="F180" i="6"/>
  <c r="G180" i="6" s="1"/>
  <c r="D180" i="6"/>
  <c r="E180" i="6" s="1"/>
  <c r="L179" i="6"/>
  <c r="M179" i="6" s="1"/>
  <c r="J179" i="6"/>
  <c r="K179" i="6" s="1"/>
  <c r="H179" i="6"/>
  <c r="I179" i="6" s="1"/>
  <c r="F179" i="6"/>
  <c r="G179" i="6" s="1"/>
  <c r="D179" i="6"/>
  <c r="E179" i="6" s="1"/>
  <c r="L178" i="6"/>
  <c r="M178" i="6" s="1"/>
  <c r="J178" i="6"/>
  <c r="K178" i="6" s="1"/>
  <c r="H178" i="6"/>
  <c r="I178" i="6" s="1"/>
  <c r="F178" i="6"/>
  <c r="G178" i="6" s="1"/>
  <c r="D178" i="6"/>
  <c r="E178" i="6" s="1"/>
  <c r="L177" i="6"/>
  <c r="M177" i="6" s="1"/>
  <c r="J177" i="6"/>
  <c r="K177" i="6" s="1"/>
  <c r="H177" i="6"/>
  <c r="I177" i="6" s="1"/>
  <c r="F177" i="6"/>
  <c r="G177" i="6" s="1"/>
  <c r="D177" i="6"/>
  <c r="E177" i="6" s="1"/>
  <c r="L176" i="6"/>
  <c r="M176" i="6" s="1"/>
  <c r="J176" i="6"/>
  <c r="K176" i="6" s="1"/>
  <c r="H176" i="6"/>
  <c r="I176" i="6" s="1"/>
  <c r="F176" i="6"/>
  <c r="G176" i="6" s="1"/>
  <c r="D176" i="6"/>
  <c r="E176" i="6" s="1"/>
  <c r="L175" i="6"/>
  <c r="M175" i="6" s="1"/>
  <c r="J175" i="6"/>
  <c r="K175" i="6" s="1"/>
  <c r="H175" i="6"/>
  <c r="I175" i="6" s="1"/>
  <c r="F175" i="6"/>
  <c r="G175" i="6" s="1"/>
  <c r="D175" i="6"/>
  <c r="E175" i="6" s="1"/>
  <c r="L174" i="6"/>
  <c r="M174" i="6" s="1"/>
  <c r="J174" i="6"/>
  <c r="K174" i="6" s="1"/>
  <c r="H174" i="6"/>
  <c r="I174" i="6" s="1"/>
  <c r="F174" i="6"/>
  <c r="G174" i="6" s="1"/>
  <c r="D174" i="6"/>
  <c r="E174" i="6" s="1"/>
  <c r="L173" i="6"/>
  <c r="M173" i="6" s="1"/>
  <c r="J173" i="6"/>
  <c r="K173" i="6" s="1"/>
  <c r="H173" i="6"/>
  <c r="I173" i="6" s="1"/>
  <c r="F173" i="6"/>
  <c r="G173" i="6" s="1"/>
  <c r="D173" i="6"/>
  <c r="E173" i="6" s="1"/>
  <c r="L172" i="6"/>
  <c r="M172" i="6" s="1"/>
  <c r="J172" i="6"/>
  <c r="K172" i="6" s="1"/>
  <c r="H172" i="6"/>
  <c r="I172" i="6" s="1"/>
  <c r="F172" i="6"/>
  <c r="G172" i="6" s="1"/>
  <c r="D172" i="6"/>
  <c r="E172" i="6" s="1"/>
  <c r="L171" i="6"/>
  <c r="M171" i="6" s="1"/>
  <c r="J171" i="6"/>
  <c r="K171" i="6" s="1"/>
  <c r="H171" i="6"/>
  <c r="I171" i="6" s="1"/>
  <c r="F171" i="6"/>
  <c r="G171" i="6" s="1"/>
  <c r="D171" i="6"/>
  <c r="E171" i="6" s="1"/>
  <c r="L170" i="6"/>
  <c r="M170" i="6" s="1"/>
  <c r="J170" i="6"/>
  <c r="K170" i="6" s="1"/>
  <c r="H170" i="6"/>
  <c r="I170" i="6" s="1"/>
  <c r="F170" i="6"/>
  <c r="G170" i="6" s="1"/>
  <c r="D170" i="6"/>
  <c r="E170" i="6" s="1"/>
  <c r="L169" i="6"/>
  <c r="M169" i="6" s="1"/>
  <c r="J169" i="6"/>
  <c r="K169" i="6" s="1"/>
  <c r="H169" i="6"/>
  <c r="I169" i="6" s="1"/>
  <c r="F169" i="6"/>
  <c r="G169" i="6" s="1"/>
  <c r="D169" i="6"/>
  <c r="E169" i="6" s="1"/>
  <c r="L168" i="6"/>
  <c r="M168" i="6" s="1"/>
  <c r="J168" i="6"/>
  <c r="K168" i="6" s="1"/>
  <c r="H168" i="6"/>
  <c r="I168" i="6" s="1"/>
  <c r="F168" i="6"/>
  <c r="G168" i="6" s="1"/>
  <c r="D168" i="6"/>
  <c r="E168" i="6" s="1"/>
  <c r="L167" i="6"/>
  <c r="M167" i="6" s="1"/>
  <c r="J167" i="6"/>
  <c r="K167" i="6" s="1"/>
  <c r="H167" i="6"/>
  <c r="I167" i="6" s="1"/>
  <c r="F167" i="6"/>
  <c r="G167" i="6" s="1"/>
  <c r="D167" i="6"/>
  <c r="E167" i="6" s="1"/>
  <c r="L166" i="6"/>
  <c r="M166" i="6" s="1"/>
  <c r="J166" i="6"/>
  <c r="K166" i="6" s="1"/>
  <c r="H166" i="6"/>
  <c r="I166" i="6" s="1"/>
  <c r="F166" i="6"/>
  <c r="G166" i="6" s="1"/>
  <c r="D166" i="6"/>
  <c r="E166" i="6" s="1"/>
  <c r="L165" i="6"/>
  <c r="M165" i="6" s="1"/>
  <c r="J165" i="6"/>
  <c r="K165" i="6" s="1"/>
  <c r="H165" i="6"/>
  <c r="I165" i="6" s="1"/>
  <c r="F165" i="6"/>
  <c r="G165" i="6" s="1"/>
  <c r="D165" i="6"/>
  <c r="E165" i="6" s="1"/>
  <c r="L164" i="6"/>
  <c r="M164" i="6" s="1"/>
  <c r="J164" i="6"/>
  <c r="K164" i="6" s="1"/>
  <c r="H164" i="6"/>
  <c r="I164" i="6" s="1"/>
  <c r="F164" i="6"/>
  <c r="G164" i="6" s="1"/>
  <c r="D164" i="6"/>
  <c r="E164" i="6" s="1"/>
  <c r="L163" i="6"/>
  <c r="M163" i="6" s="1"/>
  <c r="J163" i="6"/>
  <c r="K163" i="6" s="1"/>
  <c r="H163" i="6"/>
  <c r="I163" i="6" s="1"/>
  <c r="F163" i="6"/>
  <c r="G163" i="6" s="1"/>
  <c r="D163" i="6"/>
  <c r="E163" i="6" s="1"/>
  <c r="L162" i="6"/>
  <c r="M162" i="6" s="1"/>
  <c r="J162" i="6"/>
  <c r="K162" i="6" s="1"/>
  <c r="H162" i="6"/>
  <c r="I162" i="6" s="1"/>
  <c r="F162" i="6"/>
  <c r="G162" i="6" s="1"/>
  <c r="D162" i="6"/>
  <c r="E162" i="6" s="1"/>
  <c r="L161" i="6"/>
  <c r="M161" i="6" s="1"/>
  <c r="J161" i="6"/>
  <c r="K161" i="6" s="1"/>
  <c r="H161" i="6"/>
  <c r="I161" i="6" s="1"/>
  <c r="F161" i="6"/>
  <c r="G161" i="6" s="1"/>
  <c r="D161" i="6"/>
  <c r="E161" i="6" s="1"/>
  <c r="L160" i="6"/>
  <c r="M160" i="6" s="1"/>
  <c r="J160" i="6"/>
  <c r="K160" i="6" s="1"/>
  <c r="H160" i="6"/>
  <c r="I160" i="6" s="1"/>
  <c r="F160" i="6"/>
  <c r="G160" i="6" s="1"/>
  <c r="D160" i="6"/>
  <c r="E160" i="6" s="1"/>
  <c r="L159" i="6"/>
  <c r="M159" i="6" s="1"/>
  <c r="J159" i="6"/>
  <c r="K159" i="6" s="1"/>
  <c r="H159" i="6"/>
  <c r="I159" i="6" s="1"/>
  <c r="F159" i="6"/>
  <c r="G159" i="6" s="1"/>
  <c r="D159" i="6"/>
  <c r="E159" i="6" s="1"/>
  <c r="L158" i="6"/>
  <c r="M158" i="6" s="1"/>
  <c r="J158" i="6"/>
  <c r="K158" i="6" s="1"/>
  <c r="H158" i="6"/>
  <c r="I158" i="6" s="1"/>
  <c r="F158" i="6"/>
  <c r="G158" i="6" s="1"/>
  <c r="D158" i="6"/>
  <c r="E158" i="6" s="1"/>
  <c r="L157" i="6"/>
  <c r="M157" i="6" s="1"/>
  <c r="J157" i="6"/>
  <c r="K157" i="6" s="1"/>
  <c r="H157" i="6"/>
  <c r="I157" i="6" s="1"/>
  <c r="F157" i="6"/>
  <c r="G157" i="6" s="1"/>
  <c r="D157" i="6"/>
  <c r="E157" i="6" s="1"/>
  <c r="L156" i="6"/>
  <c r="M156" i="6" s="1"/>
  <c r="J156" i="6"/>
  <c r="K156" i="6" s="1"/>
  <c r="H156" i="6"/>
  <c r="I156" i="6" s="1"/>
  <c r="F156" i="6"/>
  <c r="G156" i="6" s="1"/>
  <c r="D156" i="6"/>
  <c r="E156" i="6" s="1"/>
  <c r="L155" i="6"/>
  <c r="M155" i="6" s="1"/>
  <c r="J155" i="6"/>
  <c r="K155" i="6" s="1"/>
  <c r="H155" i="6"/>
  <c r="I155" i="6" s="1"/>
  <c r="F155" i="6"/>
  <c r="G155" i="6" s="1"/>
  <c r="D155" i="6"/>
  <c r="E155" i="6" s="1"/>
  <c r="L154" i="6"/>
  <c r="M154" i="6" s="1"/>
  <c r="J154" i="6"/>
  <c r="K154" i="6" s="1"/>
  <c r="H154" i="6"/>
  <c r="I154" i="6" s="1"/>
  <c r="F154" i="6"/>
  <c r="G154" i="6" s="1"/>
  <c r="D154" i="6"/>
  <c r="E154" i="6" s="1"/>
  <c r="L153" i="6"/>
  <c r="M153" i="6" s="1"/>
  <c r="J153" i="6"/>
  <c r="K153" i="6" s="1"/>
  <c r="H153" i="6"/>
  <c r="I153" i="6" s="1"/>
  <c r="F153" i="6"/>
  <c r="G153" i="6" s="1"/>
  <c r="D153" i="6"/>
  <c r="E153" i="6" s="1"/>
  <c r="L152" i="6"/>
  <c r="M152" i="6" s="1"/>
  <c r="J152" i="6"/>
  <c r="K152" i="6" s="1"/>
  <c r="H152" i="6"/>
  <c r="I152" i="6" s="1"/>
  <c r="F152" i="6"/>
  <c r="G152" i="6" s="1"/>
  <c r="D152" i="6"/>
  <c r="E152" i="6" s="1"/>
  <c r="L151" i="6"/>
  <c r="M151" i="6" s="1"/>
  <c r="J151" i="6"/>
  <c r="K151" i="6" s="1"/>
  <c r="H151" i="6"/>
  <c r="I151" i="6" s="1"/>
  <c r="F151" i="6"/>
  <c r="G151" i="6" s="1"/>
  <c r="D151" i="6"/>
  <c r="E151" i="6" s="1"/>
  <c r="L150" i="6"/>
  <c r="M150" i="6" s="1"/>
  <c r="J150" i="6"/>
  <c r="K150" i="6" s="1"/>
  <c r="H150" i="6"/>
  <c r="I150" i="6" s="1"/>
  <c r="F150" i="6"/>
  <c r="G150" i="6" s="1"/>
  <c r="D150" i="6"/>
  <c r="E150" i="6" s="1"/>
  <c r="L149" i="6"/>
  <c r="M149" i="6" s="1"/>
  <c r="J149" i="6"/>
  <c r="K149" i="6" s="1"/>
  <c r="H149" i="6"/>
  <c r="I149" i="6" s="1"/>
  <c r="F149" i="6"/>
  <c r="G149" i="6" s="1"/>
  <c r="D149" i="6"/>
  <c r="E149" i="6" s="1"/>
  <c r="L148" i="6"/>
  <c r="M148" i="6" s="1"/>
  <c r="J148" i="6"/>
  <c r="K148" i="6" s="1"/>
  <c r="H148" i="6"/>
  <c r="I148" i="6" s="1"/>
  <c r="F148" i="6"/>
  <c r="G148" i="6" s="1"/>
  <c r="D148" i="6"/>
  <c r="E148" i="6" s="1"/>
  <c r="L147" i="6"/>
  <c r="M147" i="6" s="1"/>
  <c r="J147" i="6"/>
  <c r="K147" i="6" s="1"/>
  <c r="H147" i="6"/>
  <c r="I147" i="6" s="1"/>
  <c r="F147" i="6"/>
  <c r="G147" i="6" s="1"/>
  <c r="D147" i="6"/>
  <c r="E147" i="6" s="1"/>
  <c r="L146" i="6"/>
  <c r="M146" i="6" s="1"/>
  <c r="J146" i="6"/>
  <c r="K146" i="6" s="1"/>
  <c r="H146" i="6"/>
  <c r="I146" i="6" s="1"/>
  <c r="F146" i="6"/>
  <c r="G146" i="6" s="1"/>
  <c r="D146" i="6"/>
  <c r="E146" i="6" s="1"/>
  <c r="L145" i="6"/>
  <c r="M145" i="6" s="1"/>
  <c r="J145" i="6"/>
  <c r="K145" i="6" s="1"/>
  <c r="H145" i="6"/>
  <c r="I145" i="6" s="1"/>
  <c r="F145" i="6"/>
  <c r="G145" i="6" s="1"/>
  <c r="D145" i="6"/>
  <c r="E145" i="6" s="1"/>
  <c r="L144" i="6"/>
  <c r="M144" i="6" s="1"/>
  <c r="J144" i="6"/>
  <c r="K144" i="6" s="1"/>
  <c r="H144" i="6"/>
  <c r="I144" i="6" s="1"/>
  <c r="F144" i="6"/>
  <c r="G144" i="6" s="1"/>
  <c r="D144" i="6"/>
  <c r="E144" i="6" s="1"/>
  <c r="L143" i="6"/>
  <c r="M143" i="6" s="1"/>
  <c r="J143" i="6"/>
  <c r="K143" i="6" s="1"/>
  <c r="H143" i="6"/>
  <c r="I143" i="6" s="1"/>
  <c r="F143" i="6"/>
  <c r="G143" i="6" s="1"/>
  <c r="D143" i="6"/>
  <c r="E143" i="6" s="1"/>
  <c r="L142" i="6"/>
  <c r="M142" i="6" s="1"/>
  <c r="J142" i="6"/>
  <c r="K142" i="6" s="1"/>
  <c r="H142" i="6"/>
  <c r="I142" i="6" s="1"/>
  <c r="F142" i="6"/>
  <c r="G142" i="6" s="1"/>
  <c r="D142" i="6"/>
  <c r="E142" i="6" s="1"/>
  <c r="L141" i="6"/>
  <c r="M141" i="6" s="1"/>
  <c r="J141" i="6"/>
  <c r="K141" i="6" s="1"/>
  <c r="H141" i="6"/>
  <c r="I141" i="6" s="1"/>
  <c r="F141" i="6"/>
  <c r="G141" i="6" s="1"/>
  <c r="D141" i="6"/>
  <c r="E141" i="6" s="1"/>
  <c r="L140" i="6"/>
  <c r="M140" i="6" s="1"/>
  <c r="J140" i="6"/>
  <c r="K140" i="6" s="1"/>
  <c r="H140" i="6"/>
  <c r="I140" i="6" s="1"/>
  <c r="F140" i="6"/>
  <c r="G140" i="6" s="1"/>
  <c r="D140" i="6"/>
  <c r="E140" i="6" s="1"/>
  <c r="L139" i="6"/>
  <c r="M139" i="6" s="1"/>
  <c r="J139" i="6"/>
  <c r="K139" i="6" s="1"/>
  <c r="H139" i="6"/>
  <c r="I139" i="6" s="1"/>
  <c r="F139" i="6"/>
  <c r="G139" i="6" s="1"/>
  <c r="D139" i="6"/>
  <c r="E139" i="6" s="1"/>
  <c r="L138" i="6"/>
  <c r="M138" i="6" s="1"/>
  <c r="J138" i="6"/>
  <c r="K138" i="6" s="1"/>
  <c r="H138" i="6"/>
  <c r="I138" i="6" s="1"/>
  <c r="F138" i="6"/>
  <c r="G138" i="6" s="1"/>
  <c r="D138" i="6"/>
  <c r="E138" i="6" s="1"/>
  <c r="L137" i="6"/>
  <c r="M137" i="6" s="1"/>
  <c r="J137" i="6"/>
  <c r="K137" i="6" s="1"/>
  <c r="H137" i="6"/>
  <c r="I137" i="6" s="1"/>
  <c r="F137" i="6"/>
  <c r="G137" i="6" s="1"/>
  <c r="D137" i="6"/>
  <c r="E137" i="6" s="1"/>
  <c r="L136" i="6"/>
  <c r="M136" i="6" s="1"/>
  <c r="J136" i="6"/>
  <c r="K136" i="6" s="1"/>
  <c r="H136" i="6"/>
  <c r="I136" i="6" s="1"/>
  <c r="F136" i="6"/>
  <c r="G136" i="6" s="1"/>
  <c r="D136" i="6"/>
  <c r="E136" i="6" s="1"/>
  <c r="L135" i="6"/>
  <c r="M135" i="6" s="1"/>
  <c r="J135" i="6"/>
  <c r="K135" i="6" s="1"/>
  <c r="H135" i="6"/>
  <c r="I135" i="6" s="1"/>
  <c r="F135" i="6"/>
  <c r="G135" i="6" s="1"/>
  <c r="D135" i="6"/>
  <c r="E135" i="6" s="1"/>
  <c r="L134" i="6"/>
  <c r="M134" i="6" s="1"/>
  <c r="J134" i="6"/>
  <c r="K134" i="6" s="1"/>
  <c r="H134" i="6"/>
  <c r="I134" i="6" s="1"/>
  <c r="F134" i="6"/>
  <c r="G134" i="6" s="1"/>
  <c r="D134" i="6"/>
  <c r="E134" i="6" s="1"/>
  <c r="L133" i="6"/>
  <c r="M133" i="6" s="1"/>
  <c r="J133" i="6"/>
  <c r="K133" i="6" s="1"/>
  <c r="H133" i="6"/>
  <c r="I133" i="6" s="1"/>
  <c r="F133" i="6"/>
  <c r="G133" i="6" s="1"/>
  <c r="D133" i="6"/>
  <c r="E133" i="6" s="1"/>
  <c r="L132" i="6"/>
  <c r="M132" i="6" s="1"/>
  <c r="J132" i="6"/>
  <c r="K132" i="6" s="1"/>
  <c r="H132" i="6"/>
  <c r="I132" i="6" s="1"/>
  <c r="F132" i="6"/>
  <c r="G132" i="6" s="1"/>
  <c r="D132" i="6"/>
  <c r="E132" i="6" s="1"/>
  <c r="J122" i="6"/>
  <c r="K122" i="6" s="1"/>
  <c r="G122" i="6"/>
  <c r="H122" i="6" s="1"/>
  <c r="D122" i="6"/>
  <c r="E122" i="6" s="1"/>
  <c r="J121" i="6"/>
  <c r="K121" i="6" s="1"/>
  <c r="G121" i="6"/>
  <c r="H121" i="6" s="1"/>
  <c r="D121" i="6"/>
  <c r="E121" i="6" s="1"/>
  <c r="J120" i="6"/>
  <c r="K120" i="6" s="1"/>
  <c r="G120" i="6"/>
  <c r="H120" i="6" s="1"/>
  <c r="D120" i="6"/>
  <c r="E120" i="6" s="1"/>
  <c r="J119" i="6"/>
  <c r="K119" i="6" s="1"/>
  <c r="G119" i="6"/>
  <c r="H119" i="6" s="1"/>
  <c r="D119" i="6"/>
  <c r="E119" i="6" s="1"/>
  <c r="J118" i="6"/>
  <c r="K118" i="6" s="1"/>
  <c r="G118" i="6"/>
  <c r="H118" i="6" s="1"/>
  <c r="D118" i="6"/>
  <c r="E118" i="6" s="1"/>
  <c r="J117" i="6"/>
  <c r="K117" i="6" s="1"/>
  <c r="G117" i="6"/>
  <c r="H117" i="6" s="1"/>
  <c r="D117" i="6"/>
  <c r="E117" i="6" s="1"/>
  <c r="J116" i="6"/>
  <c r="K116" i="6" s="1"/>
  <c r="G116" i="6"/>
  <c r="H116" i="6" s="1"/>
  <c r="D116" i="6"/>
  <c r="E116" i="6" s="1"/>
  <c r="J115" i="6"/>
  <c r="K115" i="6" s="1"/>
  <c r="G115" i="6"/>
  <c r="H115" i="6" s="1"/>
  <c r="D115" i="6"/>
  <c r="E115" i="6" s="1"/>
  <c r="J114" i="6"/>
  <c r="K114" i="6" s="1"/>
  <c r="G114" i="6"/>
  <c r="H114" i="6" s="1"/>
  <c r="D114" i="6"/>
  <c r="E114" i="6" s="1"/>
  <c r="J113" i="6"/>
  <c r="K113" i="6" s="1"/>
  <c r="G113" i="6"/>
  <c r="H113" i="6" s="1"/>
  <c r="D113" i="6"/>
  <c r="E113" i="6" s="1"/>
  <c r="J112" i="6"/>
  <c r="K112" i="6" s="1"/>
  <c r="G112" i="6"/>
  <c r="H112" i="6" s="1"/>
  <c r="D112" i="6"/>
  <c r="E112" i="6" s="1"/>
  <c r="J111" i="6"/>
  <c r="K111" i="6" s="1"/>
  <c r="G111" i="6"/>
  <c r="H111" i="6" s="1"/>
  <c r="D111" i="6"/>
  <c r="E111" i="6" s="1"/>
  <c r="J110" i="6"/>
  <c r="K110" i="6" s="1"/>
  <c r="G110" i="6"/>
  <c r="H110" i="6" s="1"/>
  <c r="D110" i="6"/>
  <c r="E110" i="6" s="1"/>
  <c r="J109" i="6"/>
  <c r="K109" i="6" s="1"/>
  <c r="G109" i="6"/>
  <c r="H109" i="6" s="1"/>
  <c r="D109" i="6"/>
  <c r="E109" i="6" s="1"/>
  <c r="J108" i="6"/>
  <c r="K108" i="6" s="1"/>
  <c r="G108" i="6"/>
  <c r="H108" i="6" s="1"/>
  <c r="D108" i="6"/>
  <c r="E108" i="6" s="1"/>
  <c r="J107" i="6"/>
  <c r="K107" i="6" s="1"/>
  <c r="G107" i="6"/>
  <c r="H107" i="6" s="1"/>
  <c r="D107" i="6"/>
  <c r="E107" i="6" s="1"/>
  <c r="J106" i="6"/>
  <c r="K106" i="6" s="1"/>
  <c r="G106" i="6"/>
  <c r="H106" i="6" s="1"/>
  <c r="D106" i="6"/>
  <c r="E106" i="6" s="1"/>
  <c r="J105" i="6"/>
  <c r="K105" i="6" s="1"/>
  <c r="G105" i="6"/>
  <c r="H105" i="6" s="1"/>
  <c r="D105" i="6"/>
  <c r="E105" i="6" s="1"/>
  <c r="J104" i="6"/>
  <c r="K104" i="6" s="1"/>
  <c r="G104" i="6"/>
  <c r="H104" i="6" s="1"/>
  <c r="D104" i="6"/>
  <c r="E104" i="6" s="1"/>
  <c r="J103" i="6"/>
  <c r="K103" i="6" s="1"/>
  <c r="G103" i="6"/>
  <c r="H103" i="6" s="1"/>
  <c r="D103" i="6"/>
  <c r="E103" i="6" s="1"/>
  <c r="J102" i="6"/>
  <c r="K102" i="6" s="1"/>
  <c r="G102" i="6"/>
  <c r="H102" i="6" s="1"/>
  <c r="D102" i="6"/>
  <c r="E102" i="6" s="1"/>
  <c r="J101" i="6"/>
  <c r="K101" i="6" s="1"/>
  <c r="G101" i="6"/>
  <c r="H101" i="6" s="1"/>
  <c r="D101" i="6"/>
  <c r="E101" i="6" s="1"/>
  <c r="J100" i="6"/>
  <c r="K100" i="6" s="1"/>
  <c r="G100" i="6"/>
  <c r="H100" i="6" s="1"/>
  <c r="D100" i="6"/>
  <c r="E100" i="6" s="1"/>
  <c r="J99" i="6"/>
  <c r="K99" i="6" s="1"/>
  <c r="G99" i="6"/>
  <c r="H99" i="6" s="1"/>
  <c r="D99" i="6"/>
  <c r="E99" i="6" s="1"/>
  <c r="J98" i="6"/>
  <c r="K98" i="6" s="1"/>
  <c r="G98" i="6"/>
  <c r="H98" i="6" s="1"/>
  <c r="D98" i="6"/>
  <c r="E98" i="6" s="1"/>
  <c r="J97" i="6"/>
  <c r="K97" i="6" s="1"/>
  <c r="G97" i="6"/>
  <c r="H97" i="6" s="1"/>
  <c r="D97" i="6"/>
  <c r="E97" i="6" s="1"/>
  <c r="J96" i="6"/>
  <c r="K96" i="6" s="1"/>
  <c r="G96" i="6"/>
  <c r="H96" i="6" s="1"/>
  <c r="D96" i="6"/>
  <c r="E96" i="6" s="1"/>
  <c r="J95" i="6"/>
  <c r="K95" i="6" s="1"/>
  <c r="G95" i="6"/>
  <c r="H95" i="6" s="1"/>
  <c r="D95" i="6"/>
  <c r="E95" i="6" s="1"/>
  <c r="J94" i="6"/>
  <c r="K94" i="6" s="1"/>
  <c r="G94" i="6"/>
  <c r="H94" i="6" s="1"/>
  <c r="D94" i="6"/>
  <c r="E94" i="6" s="1"/>
  <c r="J93" i="6"/>
  <c r="K93" i="6" s="1"/>
  <c r="G93" i="6"/>
  <c r="H93" i="6" s="1"/>
  <c r="D93" i="6"/>
  <c r="E93" i="6" s="1"/>
  <c r="J92" i="6"/>
  <c r="K92" i="6" s="1"/>
  <c r="G92" i="6"/>
  <c r="H92" i="6" s="1"/>
  <c r="D92" i="6"/>
  <c r="E92" i="6" s="1"/>
  <c r="J91" i="6"/>
  <c r="K91" i="6" s="1"/>
  <c r="G91" i="6"/>
  <c r="H91" i="6" s="1"/>
  <c r="D91" i="6"/>
  <c r="E91" i="6" s="1"/>
  <c r="J90" i="6"/>
  <c r="K90" i="6" s="1"/>
  <c r="G90" i="6"/>
  <c r="H90" i="6" s="1"/>
  <c r="D90" i="6"/>
  <c r="E90" i="6" s="1"/>
  <c r="J89" i="6"/>
  <c r="K89" i="6" s="1"/>
  <c r="G89" i="6"/>
  <c r="H89" i="6" s="1"/>
  <c r="D89" i="6"/>
  <c r="E89" i="6" s="1"/>
  <c r="J88" i="6"/>
  <c r="K88" i="6" s="1"/>
  <c r="G88" i="6"/>
  <c r="H88" i="6" s="1"/>
  <c r="D88" i="6"/>
  <c r="E88" i="6" s="1"/>
  <c r="J87" i="6"/>
  <c r="K87" i="6" s="1"/>
  <c r="G87" i="6"/>
  <c r="H87" i="6" s="1"/>
  <c r="E87" i="6"/>
  <c r="D87" i="6"/>
  <c r="J86" i="6"/>
  <c r="K86" i="6" s="1"/>
  <c r="G86" i="6"/>
  <c r="H86" i="6" s="1"/>
  <c r="D86" i="6"/>
  <c r="E86" i="6" s="1"/>
  <c r="J85" i="6"/>
  <c r="K85" i="6" s="1"/>
  <c r="G85" i="6"/>
  <c r="H85" i="6" s="1"/>
  <c r="D85" i="6"/>
  <c r="E85" i="6" s="1"/>
  <c r="J84" i="6"/>
  <c r="K84" i="6" s="1"/>
  <c r="G84" i="6"/>
  <c r="H84" i="6" s="1"/>
  <c r="D84" i="6"/>
  <c r="E84" i="6" s="1"/>
  <c r="J83" i="6"/>
  <c r="K83" i="6" s="1"/>
  <c r="G83" i="6"/>
  <c r="H83" i="6" s="1"/>
  <c r="D83" i="6"/>
  <c r="E83" i="6" s="1"/>
  <c r="J82" i="6"/>
  <c r="K82" i="6" s="1"/>
  <c r="G82" i="6"/>
  <c r="H82" i="6" s="1"/>
  <c r="D82" i="6"/>
  <c r="E82" i="6" s="1"/>
  <c r="J81" i="6"/>
  <c r="K81" i="6" s="1"/>
  <c r="G81" i="6"/>
  <c r="H81" i="6" s="1"/>
  <c r="D81" i="6"/>
  <c r="E81" i="6" s="1"/>
  <c r="J80" i="6"/>
  <c r="K80" i="6" s="1"/>
  <c r="G80" i="6"/>
  <c r="H80" i="6" s="1"/>
  <c r="D80" i="6"/>
  <c r="E80" i="6" s="1"/>
  <c r="J79" i="6"/>
  <c r="K79" i="6" s="1"/>
  <c r="G79" i="6"/>
  <c r="H79" i="6" s="1"/>
  <c r="D79" i="6"/>
  <c r="E79" i="6" s="1"/>
  <c r="J78" i="6"/>
  <c r="K78" i="6" s="1"/>
  <c r="G78" i="6"/>
  <c r="H78" i="6" s="1"/>
  <c r="D78" i="6"/>
  <c r="E78" i="6" s="1"/>
  <c r="J77" i="6"/>
  <c r="K77" i="6" s="1"/>
  <c r="G77" i="6"/>
  <c r="H77" i="6" s="1"/>
  <c r="D77" i="6"/>
  <c r="E77" i="6" s="1"/>
  <c r="J76" i="6"/>
  <c r="K76" i="6" s="1"/>
  <c r="G76" i="6"/>
  <c r="H76" i="6" s="1"/>
  <c r="D76" i="6"/>
  <c r="E76" i="6" s="1"/>
  <c r="J75" i="6"/>
  <c r="K75" i="6" s="1"/>
  <c r="G75" i="6"/>
  <c r="H75" i="6" s="1"/>
  <c r="D75" i="6"/>
  <c r="E75" i="6" s="1"/>
  <c r="J74" i="6"/>
  <c r="K74" i="6" s="1"/>
  <c r="G74" i="6"/>
  <c r="H74" i="6" s="1"/>
  <c r="D74" i="6"/>
  <c r="E74" i="6" s="1"/>
  <c r="J73" i="6"/>
  <c r="K73" i="6" s="1"/>
  <c r="G73" i="6"/>
  <c r="H73" i="6" s="1"/>
  <c r="D73" i="6"/>
  <c r="E73" i="6" s="1"/>
  <c r="J72" i="6"/>
  <c r="K72" i="6" s="1"/>
  <c r="G72" i="6"/>
  <c r="H72" i="6" s="1"/>
  <c r="D72" i="6"/>
  <c r="E72" i="6" s="1"/>
  <c r="J71" i="6"/>
  <c r="K71" i="6" s="1"/>
  <c r="G71" i="6"/>
  <c r="H71" i="6" s="1"/>
  <c r="D71" i="6"/>
  <c r="E71" i="6" s="1"/>
  <c r="J70" i="6"/>
  <c r="K70" i="6" s="1"/>
  <c r="G70" i="6"/>
  <c r="H70" i="6" s="1"/>
  <c r="D70" i="6"/>
  <c r="E70" i="6" s="1"/>
  <c r="J69" i="6"/>
  <c r="K69" i="6" s="1"/>
  <c r="G69" i="6"/>
  <c r="H69" i="6" s="1"/>
  <c r="D69" i="6"/>
  <c r="E69" i="6" s="1"/>
  <c r="J68" i="6"/>
  <c r="K68" i="6" s="1"/>
  <c r="G68" i="6"/>
  <c r="H68" i="6" s="1"/>
  <c r="D68" i="6"/>
  <c r="E68" i="6" s="1"/>
  <c r="J67" i="6"/>
  <c r="K67" i="6" s="1"/>
  <c r="G67" i="6"/>
  <c r="H67" i="6" s="1"/>
  <c r="D67" i="6"/>
  <c r="E67" i="6" s="1"/>
  <c r="L59" i="6"/>
  <c r="M59" i="6" s="1"/>
  <c r="J59" i="6"/>
  <c r="K59" i="6" s="1"/>
  <c r="H59" i="6"/>
  <c r="I59" i="6" s="1"/>
  <c r="F59" i="6"/>
  <c r="G59" i="6" s="1"/>
  <c r="D59" i="6"/>
  <c r="E59" i="6" s="1"/>
  <c r="L58" i="6"/>
  <c r="M58" i="6" s="1"/>
  <c r="J58" i="6"/>
  <c r="K58" i="6" s="1"/>
  <c r="H58" i="6"/>
  <c r="I58" i="6" s="1"/>
  <c r="F58" i="6"/>
  <c r="G58" i="6" s="1"/>
  <c r="D58" i="6"/>
  <c r="E58" i="6" s="1"/>
  <c r="L57" i="6"/>
  <c r="M57" i="6" s="1"/>
  <c r="J57" i="6"/>
  <c r="K57" i="6" s="1"/>
  <c r="H57" i="6"/>
  <c r="I57" i="6" s="1"/>
  <c r="F57" i="6"/>
  <c r="G57" i="6" s="1"/>
  <c r="D57" i="6"/>
  <c r="E57" i="6" s="1"/>
  <c r="L56" i="6"/>
  <c r="M56" i="6" s="1"/>
  <c r="J56" i="6"/>
  <c r="K56" i="6" s="1"/>
  <c r="H56" i="6"/>
  <c r="I56" i="6" s="1"/>
  <c r="F56" i="6"/>
  <c r="G56" i="6" s="1"/>
  <c r="D56" i="6"/>
  <c r="E56" i="6" s="1"/>
  <c r="L55" i="6"/>
  <c r="M55" i="6" s="1"/>
  <c r="J55" i="6"/>
  <c r="K55" i="6" s="1"/>
  <c r="H55" i="6"/>
  <c r="I55" i="6" s="1"/>
  <c r="F55" i="6"/>
  <c r="G55" i="6" s="1"/>
  <c r="D55" i="6"/>
  <c r="E55" i="6" s="1"/>
  <c r="L54" i="6"/>
  <c r="M54" i="6" s="1"/>
  <c r="J54" i="6"/>
  <c r="K54" i="6" s="1"/>
  <c r="H54" i="6"/>
  <c r="I54" i="6" s="1"/>
  <c r="F54" i="6"/>
  <c r="G54" i="6" s="1"/>
  <c r="D54" i="6"/>
  <c r="E54" i="6" s="1"/>
  <c r="L53" i="6"/>
  <c r="M53" i="6" s="1"/>
  <c r="J53" i="6"/>
  <c r="K53" i="6" s="1"/>
  <c r="H53" i="6"/>
  <c r="I53" i="6" s="1"/>
  <c r="F53" i="6"/>
  <c r="G53" i="6" s="1"/>
  <c r="D53" i="6"/>
  <c r="E53" i="6" s="1"/>
  <c r="L52" i="6"/>
  <c r="M52" i="6" s="1"/>
  <c r="J52" i="6"/>
  <c r="K52" i="6" s="1"/>
  <c r="H52" i="6"/>
  <c r="I52" i="6" s="1"/>
  <c r="F52" i="6"/>
  <c r="G52" i="6" s="1"/>
  <c r="D52" i="6"/>
  <c r="E52" i="6" s="1"/>
  <c r="L51" i="6"/>
  <c r="M51" i="6" s="1"/>
  <c r="J51" i="6"/>
  <c r="K51" i="6" s="1"/>
  <c r="H51" i="6"/>
  <c r="I51" i="6" s="1"/>
  <c r="F51" i="6"/>
  <c r="G51" i="6" s="1"/>
  <c r="D51" i="6"/>
  <c r="E51" i="6" s="1"/>
  <c r="L50" i="6"/>
  <c r="M50" i="6" s="1"/>
  <c r="J50" i="6"/>
  <c r="K50" i="6" s="1"/>
  <c r="H50" i="6"/>
  <c r="I50" i="6" s="1"/>
  <c r="F50" i="6"/>
  <c r="G50" i="6" s="1"/>
  <c r="D50" i="6"/>
  <c r="E50" i="6" s="1"/>
  <c r="L49" i="6"/>
  <c r="M49" i="6" s="1"/>
  <c r="J49" i="6"/>
  <c r="K49" i="6" s="1"/>
  <c r="H49" i="6"/>
  <c r="I49" i="6" s="1"/>
  <c r="F49" i="6"/>
  <c r="G49" i="6" s="1"/>
  <c r="D49" i="6"/>
  <c r="E49" i="6" s="1"/>
  <c r="L48" i="6"/>
  <c r="M48" i="6" s="1"/>
  <c r="J48" i="6"/>
  <c r="K48" i="6" s="1"/>
  <c r="H48" i="6"/>
  <c r="I48" i="6" s="1"/>
  <c r="F48" i="6"/>
  <c r="G48" i="6" s="1"/>
  <c r="D48" i="6"/>
  <c r="E48" i="6" s="1"/>
  <c r="L47" i="6"/>
  <c r="M47" i="6" s="1"/>
  <c r="J47" i="6"/>
  <c r="K47" i="6" s="1"/>
  <c r="H47" i="6"/>
  <c r="I47" i="6" s="1"/>
  <c r="F47" i="6"/>
  <c r="G47" i="6" s="1"/>
  <c r="D47" i="6"/>
  <c r="E47" i="6" s="1"/>
  <c r="L46" i="6"/>
  <c r="M46" i="6" s="1"/>
  <c r="J46" i="6"/>
  <c r="K46" i="6" s="1"/>
  <c r="H46" i="6"/>
  <c r="I46" i="6" s="1"/>
  <c r="F46" i="6"/>
  <c r="G46" i="6" s="1"/>
  <c r="D46" i="6"/>
  <c r="E46" i="6" s="1"/>
  <c r="L45" i="6"/>
  <c r="M45" i="6" s="1"/>
  <c r="J45" i="6"/>
  <c r="K45" i="6" s="1"/>
  <c r="H45" i="6"/>
  <c r="I45" i="6" s="1"/>
  <c r="F45" i="6"/>
  <c r="G45" i="6" s="1"/>
  <c r="D45" i="6"/>
  <c r="E45" i="6" s="1"/>
  <c r="L44" i="6"/>
  <c r="M44" i="6" s="1"/>
  <c r="J44" i="6"/>
  <c r="K44" i="6" s="1"/>
  <c r="H44" i="6"/>
  <c r="I44" i="6" s="1"/>
  <c r="F44" i="6"/>
  <c r="G44" i="6" s="1"/>
  <c r="D44" i="6"/>
  <c r="E44" i="6" s="1"/>
  <c r="L43" i="6"/>
  <c r="M43" i="6" s="1"/>
  <c r="J43" i="6"/>
  <c r="K43" i="6" s="1"/>
  <c r="H43" i="6"/>
  <c r="I43" i="6" s="1"/>
  <c r="F43" i="6"/>
  <c r="G43" i="6" s="1"/>
  <c r="D43" i="6"/>
  <c r="E43" i="6" s="1"/>
  <c r="L42" i="6"/>
  <c r="M42" i="6" s="1"/>
  <c r="J42" i="6"/>
  <c r="K42" i="6" s="1"/>
  <c r="H42" i="6"/>
  <c r="I42" i="6" s="1"/>
  <c r="F42" i="6"/>
  <c r="G42" i="6" s="1"/>
  <c r="D42" i="6"/>
  <c r="E42" i="6" s="1"/>
  <c r="L41" i="6"/>
  <c r="M41" i="6" s="1"/>
  <c r="J41" i="6"/>
  <c r="K41" i="6" s="1"/>
  <c r="H41" i="6"/>
  <c r="I41" i="6" s="1"/>
  <c r="F41" i="6"/>
  <c r="G41" i="6" s="1"/>
  <c r="D41" i="6"/>
  <c r="E41" i="6" s="1"/>
  <c r="L40" i="6"/>
  <c r="M40" i="6" s="1"/>
  <c r="J40" i="6"/>
  <c r="K40" i="6" s="1"/>
  <c r="H40" i="6"/>
  <c r="I40" i="6" s="1"/>
  <c r="F40" i="6"/>
  <c r="G40" i="6" s="1"/>
  <c r="D40" i="6"/>
  <c r="E40" i="6" s="1"/>
  <c r="L39" i="6"/>
  <c r="M39" i="6" s="1"/>
  <c r="J39" i="6"/>
  <c r="K39" i="6" s="1"/>
  <c r="H39" i="6"/>
  <c r="I39" i="6" s="1"/>
  <c r="F39" i="6"/>
  <c r="G39" i="6" s="1"/>
  <c r="D39" i="6"/>
  <c r="E39" i="6" s="1"/>
  <c r="L38" i="6"/>
  <c r="M38" i="6" s="1"/>
  <c r="J38" i="6"/>
  <c r="K38" i="6" s="1"/>
  <c r="H38" i="6"/>
  <c r="I38" i="6" s="1"/>
  <c r="F38" i="6"/>
  <c r="G38" i="6" s="1"/>
  <c r="D38" i="6"/>
  <c r="E38" i="6" s="1"/>
  <c r="L37" i="6"/>
  <c r="M37" i="6" s="1"/>
  <c r="J37" i="6"/>
  <c r="K37" i="6" s="1"/>
  <c r="H37" i="6"/>
  <c r="I37" i="6" s="1"/>
  <c r="F37" i="6"/>
  <c r="G37" i="6" s="1"/>
  <c r="D37" i="6"/>
  <c r="E37" i="6" s="1"/>
  <c r="L36" i="6"/>
  <c r="M36" i="6" s="1"/>
  <c r="J36" i="6"/>
  <c r="K36" i="6" s="1"/>
  <c r="H36" i="6"/>
  <c r="I36" i="6" s="1"/>
  <c r="F36" i="6"/>
  <c r="G36" i="6" s="1"/>
  <c r="D36" i="6"/>
  <c r="E36" i="6" s="1"/>
  <c r="L35" i="6"/>
  <c r="M35" i="6" s="1"/>
  <c r="J35" i="6"/>
  <c r="K35" i="6" s="1"/>
  <c r="H35" i="6"/>
  <c r="I35" i="6" s="1"/>
  <c r="F35" i="6"/>
  <c r="G35" i="6" s="1"/>
  <c r="D35" i="6"/>
  <c r="E35" i="6" s="1"/>
  <c r="L34" i="6"/>
  <c r="M34" i="6" s="1"/>
  <c r="J34" i="6"/>
  <c r="K34" i="6" s="1"/>
  <c r="H34" i="6"/>
  <c r="I34" i="6" s="1"/>
  <c r="F34" i="6"/>
  <c r="G34" i="6" s="1"/>
  <c r="D34" i="6"/>
  <c r="E34" i="6" s="1"/>
  <c r="L33" i="6"/>
  <c r="M33" i="6" s="1"/>
  <c r="J33" i="6"/>
  <c r="K33" i="6" s="1"/>
  <c r="H33" i="6"/>
  <c r="I33" i="6" s="1"/>
  <c r="F33" i="6"/>
  <c r="G33" i="6" s="1"/>
  <c r="D33" i="6"/>
  <c r="E33" i="6" s="1"/>
  <c r="L32" i="6"/>
  <c r="M32" i="6" s="1"/>
  <c r="J32" i="6"/>
  <c r="K32" i="6" s="1"/>
  <c r="H32" i="6"/>
  <c r="I32" i="6" s="1"/>
  <c r="F32" i="6"/>
  <c r="G32" i="6" s="1"/>
  <c r="D32" i="6"/>
  <c r="E32" i="6" s="1"/>
  <c r="L31" i="6"/>
  <c r="M31" i="6" s="1"/>
  <c r="J31" i="6"/>
  <c r="K31" i="6" s="1"/>
  <c r="H31" i="6"/>
  <c r="I31" i="6" s="1"/>
  <c r="F31" i="6"/>
  <c r="G31" i="6" s="1"/>
  <c r="D31" i="6"/>
  <c r="E31" i="6" s="1"/>
  <c r="L30" i="6"/>
  <c r="M30" i="6" s="1"/>
  <c r="J30" i="6"/>
  <c r="K30" i="6" s="1"/>
  <c r="H30" i="6"/>
  <c r="I30" i="6" s="1"/>
  <c r="F30" i="6"/>
  <c r="G30" i="6" s="1"/>
  <c r="D30" i="6"/>
  <c r="E30" i="6" s="1"/>
  <c r="L29" i="6"/>
  <c r="M29" i="6" s="1"/>
  <c r="J29" i="6"/>
  <c r="K29" i="6" s="1"/>
  <c r="H29" i="6"/>
  <c r="I29" i="6" s="1"/>
  <c r="F29" i="6"/>
  <c r="G29" i="6" s="1"/>
  <c r="D29" i="6"/>
  <c r="E29" i="6" s="1"/>
  <c r="L28" i="6"/>
  <c r="M28" i="6" s="1"/>
  <c r="J28" i="6"/>
  <c r="K28" i="6" s="1"/>
  <c r="H28" i="6"/>
  <c r="I28" i="6" s="1"/>
  <c r="F28" i="6"/>
  <c r="G28" i="6" s="1"/>
  <c r="D28" i="6"/>
  <c r="E28" i="6" s="1"/>
  <c r="L27" i="6"/>
  <c r="M27" i="6" s="1"/>
  <c r="J27" i="6"/>
  <c r="K27" i="6" s="1"/>
  <c r="H27" i="6"/>
  <c r="I27" i="6" s="1"/>
  <c r="F27" i="6"/>
  <c r="G27" i="6" s="1"/>
  <c r="D27" i="6"/>
  <c r="E27" i="6" s="1"/>
  <c r="L26" i="6"/>
  <c r="M26" i="6" s="1"/>
  <c r="J26" i="6"/>
  <c r="K26" i="6" s="1"/>
  <c r="H26" i="6"/>
  <c r="I26" i="6" s="1"/>
  <c r="F26" i="6"/>
  <c r="G26" i="6" s="1"/>
  <c r="D26" i="6"/>
  <c r="E26" i="6" s="1"/>
  <c r="L25" i="6"/>
  <c r="M25" i="6" s="1"/>
  <c r="J25" i="6"/>
  <c r="K25" i="6" s="1"/>
  <c r="H25" i="6"/>
  <c r="I25" i="6" s="1"/>
  <c r="F25" i="6"/>
  <c r="G25" i="6" s="1"/>
  <c r="D25" i="6"/>
  <c r="E25" i="6" s="1"/>
  <c r="L24" i="6"/>
  <c r="M24" i="6" s="1"/>
  <c r="J24" i="6"/>
  <c r="K24" i="6" s="1"/>
  <c r="H24" i="6"/>
  <c r="I24" i="6" s="1"/>
  <c r="F24" i="6"/>
  <c r="G24" i="6" s="1"/>
  <c r="D24" i="6"/>
  <c r="E24" i="6" s="1"/>
  <c r="L23" i="6"/>
  <c r="M23" i="6" s="1"/>
  <c r="J23" i="6"/>
  <c r="K23" i="6" s="1"/>
  <c r="H23" i="6"/>
  <c r="I23" i="6" s="1"/>
  <c r="F23" i="6"/>
  <c r="G23" i="6" s="1"/>
  <c r="D23" i="6"/>
  <c r="E23" i="6" s="1"/>
  <c r="L22" i="6"/>
  <c r="M22" i="6" s="1"/>
  <c r="J22" i="6"/>
  <c r="K22" i="6" s="1"/>
  <c r="H22" i="6"/>
  <c r="I22" i="6" s="1"/>
  <c r="F22" i="6"/>
  <c r="G22" i="6" s="1"/>
  <c r="D22" i="6"/>
  <c r="E22" i="6" s="1"/>
  <c r="L21" i="6"/>
  <c r="M21" i="6" s="1"/>
  <c r="J21" i="6"/>
  <c r="K21" i="6" s="1"/>
  <c r="H21" i="6"/>
  <c r="I21" i="6" s="1"/>
  <c r="F21" i="6"/>
  <c r="G21" i="6" s="1"/>
  <c r="D21" i="6"/>
  <c r="E21" i="6" s="1"/>
  <c r="L20" i="6"/>
  <c r="M20" i="6" s="1"/>
  <c r="J20" i="6"/>
  <c r="K20" i="6" s="1"/>
  <c r="H20" i="6"/>
  <c r="I20" i="6" s="1"/>
  <c r="F20" i="6"/>
  <c r="G20" i="6" s="1"/>
  <c r="D20" i="6"/>
  <c r="E20" i="6" s="1"/>
  <c r="L19" i="6"/>
  <c r="M19" i="6" s="1"/>
  <c r="J19" i="6"/>
  <c r="K19" i="6" s="1"/>
  <c r="H19" i="6"/>
  <c r="I19" i="6" s="1"/>
  <c r="F19" i="6"/>
  <c r="G19" i="6" s="1"/>
  <c r="D19" i="6"/>
  <c r="E19" i="6" s="1"/>
  <c r="L18" i="6"/>
  <c r="M18" i="6" s="1"/>
  <c r="J18" i="6"/>
  <c r="K18" i="6" s="1"/>
  <c r="H18" i="6"/>
  <c r="I18" i="6" s="1"/>
  <c r="F18" i="6"/>
  <c r="G18" i="6" s="1"/>
  <c r="D18" i="6"/>
  <c r="E18" i="6" s="1"/>
  <c r="L17" i="6"/>
  <c r="M17" i="6" s="1"/>
  <c r="J17" i="6"/>
  <c r="K17" i="6" s="1"/>
  <c r="H17" i="6"/>
  <c r="I17" i="6" s="1"/>
  <c r="F17" i="6"/>
  <c r="G17" i="6" s="1"/>
  <c r="D17" i="6"/>
  <c r="E17" i="6" s="1"/>
  <c r="L16" i="6"/>
  <c r="M16" i="6" s="1"/>
  <c r="J16" i="6"/>
  <c r="K16" i="6" s="1"/>
  <c r="H16" i="6"/>
  <c r="I16" i="6" s="1"/>
  <c r="F16" i="6"/>
  <c r="G16" i="6" s="1"/>
  <c r="D16" i="6"/>
  <c r="E16" i="6" s="1"/>
  <c r="L15" i="6"/>
  <c r="M15" i="6" s="1"/>
  <c r="J15" i="6"/>
  <c r="K15" i="6" s="1"/>
  <c r="H15" i="6"/>
  <c r="I15" i="6" s="1"/>
  <c r="F15" i="6"/>
  <c r="G15" i="6" s="1"/>
  <c r="D15" i="6"/>
  <c r="E15" i="6" s="1"/>
  <c r="L14" i="6"/>
  <c r="M14" i="6" s="1"/>
  <c r="J14" i="6"/>
  <c r="K14" i="6" s="1"/>
  <c r="H14" i="6"/>
  <c r="I14" i="6" s="1"/>
  <c r="F14" i="6"/>
  <c r="G14" i="6" s="1"/>
  <c r="D14" i="6"/>
  <c r="E14" i="6" s="1"/>
  <c r="L13" i="6"/>
  <c r="M13" i="6" s="1"/>
  <c r="J13" i="6"/>
  <c r="K13" i="6" s="1"/>
  <c r="H13" i="6"/>
  <c r="I13" i="6" s="1"/>
  <c r="F13" i="6"/>
  <c r="G13" i="6" s="1"/>
  <c r="D13" i="6"/>
  <c r="E13" i="6" s="1"/>
  <c r="L12" i="6"/>
  <c r="M12" i="6" s="1"/>
  <c r="J12" i="6"/>
  <c r="K12" i="6" s="1"/>
  <c r="H12" i="6"/>
  <c r="I12" i="6" s="1"/>
  <c r="F12" i="6"/>
  <c r="G12" i="6" s="1"/>
  <c r="D12" i="6"/>
  <c r="E12" i="6" s="1"/>
  <c r="L11" i="6"/>
  <c r="M11" i="6" s="1"/>
  <c r="J11" i="6"/>
  <c r="K11" i="6" s="1"/>
  <c r="H11" i="6"/>
  <c r="I11" i="6" s="1"/>
  <c r="F11" i="6"/>
  <c r="G11" i="6" s="1"/>
  <c r="D11" i="6"/>
  <c r="E11" i="6" s="1"/>
  <c r="L10" i="6"/>
  <c r="M10" i="6" s="1"/>
  <c r="J10" i="6"/>
  <c r="K10" i="6" s="1"/>
  <c r="H10" i="6"/>
  <c r="I10" i="6" s="1"/>
  <c r="F10" i="6"/>
  <c r="G10" i="6" s="1"/>
  <c r="D10" i="6"/>
  <c r="E10" i="6" s="1"/>
  <c r="L9" i="6"/>
  <c r="M9" i="6" s="1"/>
  <c r="J9" i="6"/>
  <c r="K9" i="6" s="1"/>
  <c r="H9" i="6"/>
  <c r="I9" i="6" s="1"/>
  <c r="F9" i="6"/>
  <c r="G9" i="6" s="1"/>
  <c r="D9" i="6"/>
  <c r="E9" i="6" s="1"/>
  <c r="L8" i="6"/>
  <c r="M8" i="6" s="1"/>
  <c r="J8" i="6"/>
  <c r="K8" i="6" s="1"/>
  <c r="H8" i="6"/>
  <c r="I8" i="6" s="1"/>
  <c r="F8" i="6"/>
  <c r="G8" i="6" s="1"/>
  <c r="D8" i="6"/>
  <c r="E8" i="6" s="1"/>
  <c r="L7" i="6"/>
  <c r="M7" i="6" s="1"/>
  <c r="J7" i="6"/>
  <c r="K7" i="6" s="1"/>
  <c r="H7" i="6"/>
  <c r="I7" i="6" s="1"/>
  <c r="F7" i="6"/>
  <c r="G7" i="6" s="1"/>
  <c r="D7" i="6"/>
  <c r="E7" i="6" s="1"/>
  <c r="L6" i="6"/>
  <c r="M6" i="6" s="1"/>
  <c r="J6" i="6"/>
  <c r="K6" i="6" s="1"/>
  <c r="H6" i="6"/>
  <c r="I6" i="6" s="1"/>
  <c r="F6" i="6"/>
  <c r="G6" i="6" s="1"/>
  <c r="D6" i="6"/>
  <c r="E6" i="6" s="1"/>
  <c r="L5" i="6"/>
  <c r="M5" i="6" s="1"/>
  <c r="J5" i="6"/>
  <c r="K5" i="6" s="1"/>
  <c r="H5" i="6"/>
  <c r="I5" i="6" s="1"/>
  <c r="F5" i="6"/>
  <c r="G5" i="6" s="1"/>
  <c r="D5" i="6"/>
  <c r="E5" i="6" s="1"/>
  <c r="L4" i="6"/>
  <c r="M4" i="6" s="1"/>
  <c r="J4" i="6"/>
  <c r="K4" i="6" s="1"/>
  <c r="H4" i="6"/>
  <c r="I4" i="6" s="1"/>
  <c r="F4" i="6"/>
  <c r="G4" i="6" s="1"/>
  <c r="D4" i="6"/>
  <c r="E4" i="6" s="1"/>
</calcChain>
</file>

<file path=xl/sharedStrings.xml><?xml version="1.0" encoding="utf-8"?>
<sst xmlns="http://schemas.openxmlformats.org/spreadsheetml/2006/main" count="799" uniqueCount="144">
  <si>
    <t>Market index</t>
  </si>
  <si>
    <t>N</t>
  </si>
  <si>
    <t>Average</t>
  </si>
  <si>
    <t>25th percentile</t>
  </si>
  <si>
    <t>Median</t>
  </si>
  <si>
    <t>75th percentile</t>
  </si>
  <si>
    <t>90th percentile</t>
  </si>
  <si>
    <t>Overall</t>
  </si>
  <si>
    <t>By credit union asset size</t>
  </si>
  <si>
    <t>$5M-$10M</t>
  </si>
  <si>
    <t>*</t>
  </si>
  <si>
    <t>Purpose</t>
  </si>
  <si>
    <t>$10M-$20M</t>
  </si>
  <si>
    <t>$20M-$50M</t>
  </si>
  <si>
    <t>$50M-$100M</t>
  </si>
  <si>
    <t>$100M-$200M</t>
  </si>
  <si>
    <t>Duties and Responsibilities</t>
  </si>
  <si>
    <t>$200M-$500M</t>
  </si>
  <si>
    <t>$500M-$1B</t>
  </si>
  <si>
    <t>By region**</t>
  </si>
  <si>
    <t>New England</t>
  </si>
  <si>
    <t>Middle Atlantic</t>
  </si>
  <si>
    <t>East North Central</t>
  </si>
  <si>
    <t>West North Central</t>
  </si>
  <si>
    <t>South Atlantic</t>
  </si>
  <si>
    <t>East South Central</t>
  </si>
  <si>
    <t>West South Central</t>
  </si>
  <si>
    <t>Mountain</t>
  </si>
  <si>
    <t>Pacific</t>
  </si>
  <si>
    <t>By number of full-time employees</t>
  </si>
  <si>
    <t>2-4</t>
  </si>
  <si>
    <t>5-9</t>
  </si>
  <si>
    <t>10-49</t>
  </si>
  <si>
    <t>50-99</t>
  </si>
  <si>
    <t>100 or more</t>
  </si>
  <si>
    <t>By number of services offered***</t>
  </si>
  <si>
    <t>9-10</t>
  </si>
  <si>
    <t>11-12</t>
  </si>
  <si>
    <t>13-19</t>
  </si>
  <si>
    <t>By amount of loans outstanding</t>
  </si>
  <si>
    <t>$2M-$5M</t>
  </si>
  <si>
    <t>$5M-$20M</t>
  </si>
  <si>
    <t>$200M or more</t>
  </si>
  <si>
    <t>By number of members</t>
  </si>
  <si>
    <t>2,000-4,999</t>
  </si>
  <si>
    <t>5,000-9,999</t>
  </si>
  <si>
    <t>10,000-19,999</t>
  </si>
  <si>
    <t>20,000-39,999</t>
  </si>
  <si>
    <t>40,000-49,999</t>
  </si>
  <si>
    <t>50,000-59,999</t>
  </si>
  <si>
    <t>60,000 or more</t>
  </si>
  <si>
    <t>Number of branch offices</t>
  </si>
  <si>
    <t>1</t>
  </si>
  <si>
    <t>2</t>
  </si>
  <si>
    <t>3</t>
  </si>
  <si>
    <t>4</t>
  </si>
  <si>
    <t>5 or more</t>
  </si>
  <si>
    <t>* Insufficient data.</t>
  </si>
  <si>
    <t>** New England: NH,VT,ME,MA,RI,CT;Middle Atlantic:NY,NJ,PA; East North Central:OH,IN,IL,MI,WI; West North Central:MN,IA,MO,ND,SD,NE,KS;South Altantic:DE,MD,DC,VA,WV,NC,SC,GA,FL;East South Central:KY,TN,AL,MS;West South Central:AR,LA,OK,TX;Mountain:MT,ID,WY,CO,NM,AZ,UT,NV;Pacific:WA,OR,CA,AK,HI</t>
  </si>
  <si>
    <t>*** Only the following services are included: Shared drafts/checking, ATM cards, debit cards, auto leasing, credit cards, indirect auto financing, first mortgages, Home equity loans/lines of credit, student loans, insurance products, audio response, business loans, Internet banking, PC-based electronic bill payment, Web site, 3rd party savings/investments, IRAs, ACH services, and financial planning.</t>
  </si>
  <si>
    <t>Average incentive</t>
  </si>
  <si>
    <t>Average bonus</t>
  </si>
  <si>
    <t>Total variable pay</t>
  </si>
  <si>
    <t>NOTE: Incentives are limited to credit unions reporting incentive payments; bonuses are limited to credit unions reporting bonus payments; total variable pay is limited to credit unions reporting incentive and/or bonus payments.</t>
  </si>
  <si>
    <t>2 or less</t>
  </si>
  <si>
    <t>3-5</t>
  </si>
  <si>
    <t>6-10</t>
  </si>
  <si>
    <t>11-15</t>
  </si>
  <si>
    <t>16 or more</t>
  </si>
  <si>
    <t xml:space="preserve">* Insufficient data.   </t>
  </si>
  <si>
    <t>High school or less</t>
  </si>
  <si>
    <t>Some college</t>
  </si>
  <si>
    <t>College degree</t>
  </si>
  <si>
    <t>Some graduate school</t>
  </si>
  <si>
    <t>Graduate degree</t>
  </si>
  <si>
    <t>Minimum</t>
  </si>
  <si>
    <t>Midpoint</t>
  </si>
  <si>
    <t>Maximum</t>
  </si>
  <si>
    <t>NOTE: Limited to credit unions with established minimums, midpoints, and maximums for each job position.</t>
  </si>
  <si>
    <t>$1-$3B</t>
  </si>
  <si>
    <t>$3B or more</t>
  </si>
  <si>
    <t>None</t>
  </si>
  <si>
    <t>3-4</t>
  </si>
  <si>
    <t>5-6</t>
  </si>
  <si>
    <t>7-8</t>
  </si>
  <si>
    <t>$500,000-$2M</t>
  </si>
  <si>
    <t>1-999</t>
  </si>
  <si>
    <t>1,000-1,999</t>
  </si>
  <si>
    <t>*A market index of 95% to 105% is considered competitive.  If the market index is outside this range, you should review the position to discern whether there is an acceptable reason for</t>
  </si>
  <si>
    <t>the variance or if a pay adjustment is needed.  For instance, a high-performer with several years of experience may be justifiably paid above market.</t>
  </si>
  <si>
    <t>Rating*</t>
  </si>
  <si>
    <t>Average total variable pay</t>
  </si>
  <si>
    <t>Enter your data in A4:</t>
  </si>
  <si>
    <t>Base salary</t>
  </si>
  <si>
    <t>Incentive</t>
  </si>
  <si>
    <t>Enter your data in A67:</t>
  </si>
  <si>
    <t>Bonus</t>
  </si>
  <si>
    <t>Total cash compensation</t>
  </si>
  <si>
    <t>Enter your data in F67:</t>
  </si>
  <si>
    <t>Enter your data in I67:</t>
  </si>
  <si>
    <t>These worksheets calculate the market index.  The market index is the ratio of the actual pay earned by staff in a particular position at an organization to the market pay for a position covering the same job duties.</t>
  </si>
  <si>
    <t>Enter the salary for your CU.  The market index will be calculated automatically, as well as a rating of "high" (above 105%), "low" (below 95%), or competitive (between 95% and 105%).</t>
  </si>
  <si>
    <t xml:space="preserve">CUNA's national data tables from the 2012-2013 Complete Credit Union Staff Salary Survey are located to the right of the table that includes the market index metric.  </t>
  </si>
  <si>
    <t>The job description for each position is included to the right of the first data table for the position (-1) tables.</t>
  </si>
  <si>
    <t>Copyright Notice</t>
  </si>
  <si>
    <t xml:space="preserve"> </t>
  </si>
  <si>
    <t>Any violation of CUNA’s rights with respect to these worksheets will cause CUNA irreparable harm and damages will result.</t>
  </si>
  <si>
    <t>Copyright ©2012 Credit Union National Association Inc. All rights reserved. The contents of these worksheets are copyright protected and are considered confidential by Credit Union National Association (CUNA). these worksheets, or any of the data contained in the worksheets, may not be printed, forwarded, shared, reproduced, copied or otherwise redistributed to anyone or any entity outside of the recipient’s own organization.</t>
  </si>
  <si>
    <t>Incorporating the worksheets, or any of the data contained in the worksheets, into compensation-related software other vehicles or products, or for any direct or indirect external use is also strictly prohibited without a license expressly granted by CUNA.</t>
  </si>
  <si>
    <t>Scroll down to view all of the tables.</t>
  </si>
  <si>
    <t>$1M-$2M</t>
  </si>
  <si>
    <t>1-2</t>
  </si>
  <si>
    <t>Enter your data in A132:</t>
  </si>
  <si>
    <t>Enter your data in A195:</t>
  </si>
  <si>
    <t>Enter your data in A213:</t>
  </si>
  <si>
    <t>Enter your data in A340:</t>
  </si>
  <si>
    <t>Enter your data in A360:</t>
  </si>
  <si>
    <t>Enter your data in F360:</t>
  </si>
  <si>
    <t>Enter your data in I360:</t>
  </si>
  <si>
    <t>XYZ POSITION BASE SALARY</t>
  </si>
  <si>
    <t>XYZ POSITION INCENTIVES AND BONUSES WHERE OFFERED</t>
  </si>
  <si>
    <t>XYZ POSITION TOTAL CASH COMPENSATION</t>
  </si>
  <si>
    <t>XYZ POSITION BASE SALARY BY YEARS IN POSITION</t>
  </si>
  <si>
    <t>XYZ POSITION BASE SALARY BY TOTAL YEARS OF EXPERIENCE</t>
  </si>
  <si>
    <t>XYZ POSITION BASE SALARY BY LEVEL OF EDUCATION</t>
  </si>
  <si>
    <t>XYZ POSITION SALARY RANGE</t>
  </si>
  <si>
    <t>REPORTS TO: ABC</t>
  </si>
  <si>
    <t>Responsible for…..</t>
  </si>
  <si>
    <r>
      <t>1.</t>
    </r>
    <r>
      <rPr>
        <sz val="7"/>
        <color indexed="8"/>
        <rFont val="Times New Roman"/>
        <family val="1"/>
      </rPr>
      <t>   </t>
    </r>
  </si>
  <si>
    <r>
      <t xml:space="preserve">TITLE: </t>
    </r>
    <r>
      <rPr>
        <b/>
        <sz val="10.5"/>
        <color indexed="8"/>
        <rFont val="Helvetica"/>
        <family val="2"/>
      </rPr>
      <t>XYZ Position -- Job description for position will be shown here</t>
    </r>
  </si>
  <si>
    <t xml:space="preserve"> Table A-1</t>
  </si>
  <si>
    <t>XYZ Position Salaries</t>
  </si>
  <si>
    <t xml:space="preserve"> Table A-2 </t>
  </si>
  <si>
    <t>XYZ Position Incentives and Bonuses Where Offered</t>
  </si>
  <si>
    <t xml:space="preserve"> Table A-3</t>
  </si>
  <si>
    <t>XYZ Position Total Cash Compensation</t>
  </si>
  <si>
    <t xml:space="preserve"> Table A-4</t>
  </si>
  <si>
    <t>XYZ Position Salaries by Years in Position</t>
  </si>
  <si>
    <t xml:space="preserve"> Table A-5</t>
  </si>
  <si>
    <t>XYZ Position Salaries by Total Years of Experience</t>
  </si>
  <si>
    <t xml:space="preserve"> Table A-7</t>
  </si>
  <si>
    <t>XYZ Position Salaries by Level of Education</t>
  </si>
  <si>
    <t xml:space="preserve"> Table A-8</t>
  </si>
  <si>
    <t xml:space="preserve">XYZ Position Salary Range Averages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</si>
</sst>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_);[Red]\(&quot;$&quot;#,##0\)"/>
    <numFmt numFmtId="164" formatCode="0.0%"/>
  </numFmts>
  <fonts count="16" x14ac:knownFonts="1">
    <font>
      <sz val="11"/>
      <color theme="1"/>
      <name val="Calibri"/>
      <family val="2"/>
      <scheme val="minor"/>
    </font>
    <font>
      <b/>
      <sz val="10"/>
      <name val="Arial"/>
      <family val="2"/>
    </font>
    <font>
      <sz val="10"/>
      <name val="Arial"/>
      <family val="2"/>
    </font>
    <font>
      <b/>
      <sz val="14"/>
      <color rgb="FF2B3616"/>
      <name val="Calibri"/>
      <family val="2"/>
      <scheme val="minor"/>
    </font>
    <font>
      <b/>
      <sz val="10"/>
      <color theme="1"/>
      <name val="Calibri"/>
      <family val="2"/>
      <scheme val="minor"/>
    </font>
    <font>
      <sz val="10"/>
      <color theme="1"/>
      <name val="Calibri"/>
      <family val="2"/>
      <scheme val="minor"/>
    </font>
    <font>
      <b/>
      <u/>
      <sz val="10"/>
      <color theme="1"/>
      <name val="Calibri"/>
      <family val="2"/>
      <scheme val="minor"/>
    </font>
    <font>
      <sz val="14"/>
      <name val="Arial"/>
      <family val="2"/>
    </font>
    <font>
      <sz val="10.5"/>
      <color rgb="FF000000"/>
      <name val="Helvetica"/>
      <family val="2"/>
    </font>
    <font>
      <b/>
      <sz val="10.5"/>
      <color indexed="8"/>
      <name val="Helvetica"/>
      <family val="2"/>
    </font>
    <font>
      <i/>
      <sz val="10.5"/>
      <color rgb="FF000000"/>
      <name val="Helvetica"/>
      <family val="2"/>
    </font>
    <font>
      <sz val="8"/>
      <name val="Arial"/>
      <family val="2"/>
    </font>
    <font>
      <i/>
      <sz val="8"/>
      <color rgb="FF000000"/>
      <name val="Helvetica"/>
      <family val="2"/>
    </font>
    <font>
      <sz val="7"/>
      <color indexed="8"/>
      <name val="Times New Roman"/>
      <family val="1"/>
    </font>
    <font>
      <sz val="8"/>
      <color rgb="FF000000"/>
      <name val="Helvetica"/>
      <family val="2"/>
    </font>
    <font>
      <sz val="10"/>
      <name val="Arial"/>
      <family val="2"/>
    </font>
  </fonts>
  <fills count="2">
    <fill>
      <patternFill patternType="none"/>
    </fill>
    <fill>
      <patternFill patternType="gray125"/>
    </fill>
  </fills>
  <borders count="5">
    <border>
      <left/>
      <right/>
      <top/>
      <bottom/>
      <diagonal/>
    </border>
    <border>
      <left/>
      <right/>
      <top style="thin">
        <color indexed="8"/>
      </top>
      <bottom style="thin">
        <color indexed="8"/>
      </bottom>
      <diagonal/>
    </border>
    <border>
      <left/>
      <right/>
      <top/>
      <bottom style="medium">
        <color indexed="64"/>
      </bottom>
      <diagonal/>
    </border>
    <border>
      <left/>
      <right/>
      <top/>
      <bottom style="thick">
        <color auto="1"/>
      </bottom>
      <diagonal/>
    </border>
    <border>
      <left/>
      <right/>
      <top/>
      <bottom style="thin">
        <color indexed="8"/>
      </bottom>
      <diagonal/>
    </border>
  </borders>
  <cellStyleXfs count="2">
    <xf numFmtId="0" fontId="0" fillId="0" borderId="0"/>
    <xf numFmtId="0" fontId="15" fillId="0" borderId="0"/>
  </cellStyleXfs>
  <cellXfs count="84">
    <xf numFmtId="0" fontId="0" fillId="0" borderId="0" xfId="0"/>
    <xf numFmtId="0" fontId="2" fillId="0" borderId="0" xfId="0" applyFont="1" applyAlignment="1">
      <alignment horizontal="center"/>
    </xf>
    <xf numFmtId="0" fontId="2" fillId="0" borderId="2" xfId="0" applyFont="1" applyBorder="1" applyAlignment="1">
      <alignment horizontal="center"/>
    </xf>
    <xf numFmtId="0" fontId="2" fillId="0" borderId="0" xfId="0" applyFont="1" applyBorder="1" applyAlignment="1">
      <alignment horizontal="center"/>
    </xf>
    <xf numFmtId="0" fontId="0" fillId="0" borderId="0" xfId="0" applyAlignment="1">
      <alignment vertical="center"/>
    </xf>
    <xf numFmtId="0" fontId="3" fillId="0" borderId="0" xfId="0" applyFont="1" applyAlignment="1">
      <alignment vertical="center"/>
    </xf>
    <xf numFmtId="0" fontId="5" fillId="0" borderId="0" xfId="0" applyFont="1"/>
    <xf numFmtId="0" fontId="4" fillId="0" borderId="3" xfId="0" applyFont="1" applyBorder="1" applyAlignment="1">
      <alignment horizontal="center" wrapText="1"/>
    </xf>
    <xf numFmtId="0" fontId="5" fillId="0" borderId="0" xfId="0" applyFont="1" applyAlignment="1">
      <alignment horizontal="left"/>
    </xf>
    <xf numFmtId="164" fontId="5" fillId="0" borderId="0" xfId="0" applyNumberFormat="1" applyFont="1" applyAlignment="1">
      <alignment horizontal="right"/>
    </xf>
    <xf numFmtId="0" fontId="5" fillId="0" borderId="2" xfId="0" applyFont="1" applyBorder="1"/>
    <xf numFmtId="0" fontId="5" fillId="0" borderId="2" xfId="0" applyFont="1" applyBorder="1" applyAlignment="1">
      <alignment horizontal="left"/>
    </xf>
    <xf numFmtId="164" fontId="5" fillId="0" borderId="2" xfId="0" applyNumberFormat="1" applyFont="1" applyBorder="1" applyAlignment="1">
      <alignment horizontal="right"/>
    </xf>
    <xf numFmtId="0" fontId="4" fillId="0" borderId="2" xfId="0" applyFont="1" applyBorder="1" applyAlignment="1">
      <alignment horizontal="center" wrapText="1"/>
    </xf>
    <xf numFmtId="0" fontId="4" fillId="0" borderId="2" xfId="0" applyFont="1" applyBorder="1" applyAlignment="1">
      <alignment horizontal="right"/>
    </xf>
    <xf numFmtId="0" fontId="4" fillId="0" borderId="2" xfId="0" applyFont="1" applyBorder="1" applyAlignment="1">
      <alignment horizontal="center"/>
    </xf>
    <xf numFmtId="164" fontId="5" fillId="0" borderId="0" xfId="0" applyNumberFormat="1" applyFont="1" applyBorder="1" applyAlignment="1">
      <alignment horizontal="right"/>
    </xf>
    <xf numFmtId="0" fontId="5" fillId="0" borderId="0" xfId="0" applyFont="1" applyProtection="1">
      <protection locked="0"/>
    </xf>
    <xf numFmtId="6" fontId="5" fillId="0" borderId="0" xfId="0" applyNumberFormat="1" applyFont="1" applyAlignment="1" applyProtection="1">
      <alignment horizontal="right"/>
      <protection locked="0"/>
    </xf>
    <xf numFmtId="0" fontId="6" fillId="0" borderId="0" xfId="0" applyFont="1" applyAlignment="1">
      <alignment horizontal="center"/>
    </xf>
    <xf numFmtId="0" fontId="4" fillId="0" borderId="0" xfId="0" applyFont="1" applyBorder="1" applyAlignment="1">
      <alignment horizontal="center" wrapText="1"/>
    </xf>
    <xf numFmtId="0" fontId="15" fillId="0" borderId="0" xfId="1"/>
    <xf numFmtId="0" fontId="8" fillId="0" borderId="0" xfId="1" applyFont="1" applyAlignment="1">
      <alignment vertical="center"/>
    </xf>
    <xf numFmtId="0" fontId="10" fillId="0" borderId="0" xfId="1" applyFont="1" applyAlignment="1">
      <alignment vertical="center"/>
    </xf>
    <xf numFmtId="0" fontId="12" fillId="0" borderId="0" xfId="1" applyFont="1" applyAlignment="1">
      <alignment horizontal="left" vertical="center" indent="3"/>
    </xf>
    <xf numFmtId="0" fontId="8" fillId="0" borderId="0" xfId="1" applyFont="1" applyAlignment="1">
      <alignment horizontal="left" vertical="center" indent="4"/>
    </xf>
    <xf numFmtId="0" fontId="14" fillId="0" borderId="0" xfId="1" applyFont="1" applyAlignment="1">
      <alignment horizontal="left" vertical="center" indent="4"/>
    </xf>
    <xf numFmtId="0" fontId="8" fillId="0" borderId="0" xfId="1" applyFont="1" applyAlignment="1">
      <alignment horizontal="left" vertical="center" indent="1"/>
    </xf>
    <xf numFmtId="0" fontId="8" fillId="0" borderId="0" xfId="1" applyFont="1" applyAlignment="1">
      <alignment horizontal="left" vertical="center" indent="3"/>
    </xf>
    <xf numFmtId="0" fontId="15" fillId="0" borderId="0" xfId="1" applyAlignment="1">
      <alignment horizontal="left"/>
    </xf>
    <xf numFmtId="0" fontId="15" fillId="0" borderId="2" xfId="1" applyBorder="1" applyAlignment="1">
      <alignment horizontal="left"/>
    </xf>
    <xf numFmtId="0" fontId="15" fillId="0" borderId="0" xfId="1"/>
    <xf numFmtId="0" fontId="1" fillId="0" borderId="1" xfId="1" applyFont="1" applyBorder="1" applyAlignment="1">
      <alignment horizontal="center" wrapText="1"/>
    </xf>
    <xf numFmtId="0" fontId="15" fillId="0" borderId="0" xfId="1" applyAlignment="1">
      <alignment horizontal="left"/>
    </xf>
    <xf numFmtId="0" fontId="15" fillId="0" borderId="0" xfId="1" applyAlignment="1">
      <alignment horizontal="right"/>
    </xf>
    <xf numFmtId="0" fontId="15" fillId="0" borderId="0" xfId="1" applyNumberFormat="1" applyAlignment="1">
      <alignment horizontal="right"/>
    </xf>
    <xf numFmtId="6" fontId="15" fillId="0" borderId="0" xfId="1" applyNumberFormat="1" applyAlignment="1">
      <alignment horizontal="right"/>
    </xf>
    <xf numFmtId="0" fontId="15" fillId="0" borderId="0" xfId="1"/>
    <xf numFmtId="0" fontId="1" fillId="0" borderId="1" xfId="1" applyFont="1" applyBorder="1" applyAlignment="1">
      <alignment horizontal="center" wrapText="1"/>
    </xf>
    <xf numFmtId="0" fontId="15" fillId="0" borderId="0" xfId="1" applyAlignment="1">
      <alignment horizontal="left"/>
    </xf>
    <xf numFmtId="0" fontId="15" fillId="0" borderId="0" xfId="1" applyAlignment="1">
      <alignment horizontal="right"/>
    </xf>
    <xf numFmtId="0" fontId="15" fillId="0" borderId="0" xfId="1" applyNumberFormat="1" applyAlignment="1">
      <alignment horizontal="right"/>
    </xf>
    <xf numFmtId="6" fontId="15" fillId="0" borderId="0" xfId="1" applyNumberFormat="1" applyAlignment="1">
      <alignment horizontal="right"/>
    </xf>
    <xf numFmtId="0" fontId="15" fillId="0" borderId="0" xfId="1"/>
    <xf numFmtId="0" fontId="1" fillId="0" borderId="1" xfId="1" applyFont="1" applyBorder="1" applyAlignment="1">
      <alignment horizontal="center" wrapText="1"/>
    </xf>
    <xf numFmtId="0" fontId="15" fillId="0" borderId="0" xfId="1" applyAlignment="1">
      <alignment horizontal="left"/>
    </xf>
    <xf numFmtId="0" fontId="15" fillId="0" borderId="0" xfId="1" applyAlignment="1">
      <alignment horizontal="right"/>
    </xf>
    <xf numFmtId="0" fontId="15" fillId="0" borderId="0" xfId="1" applyNumberFormat="1" applyAlignment="1">
      <alignment horizontal="right"/>
    </xf>
    <xf numFmtId="6" fontId="15" fillId="0" borderId="0" xfId="1" applyNumberFormat="1" applyAlignment="1">
      <alignment horizontal="right"/>
    </xf>
    <xf numFmtId="0" fontId="15" fillId="0" borderId="0" xfId="1"/>
    <xf numFmtId="0" fontId="1" fillId="0" borderId="1" xfId="1" applyFont="1" applyBorder="1" applyAlignment="1">
      <alignment horizontal="center" wrapText="1"/>
    </xf>
    <xf numFmtId="0" fontId="15" fillId="0" borderId="0" xfId="1" applyAlignment="1">
      <alignment horizontal="left"/>
    </xf>
    <xf numFmtId="0" fontId="15" fillId="0" borderId="0" xfId="1" applyAlignment="1">
      <alignment horizontal="right"/>
    </xf>
    <xf numFmtId="0" fontId="15" fillId="0" borderId="0" xfId="1" applyNumberFormat="1" applyAlignment="1">
      <alignment horizontal="right"/>
    </xf>
    <xf numFmtId="6" fontId="15" fillId="0" borderId="0" xfId="1" applyNumberFormat="1" applyAlignment="1">
      <alignment horizontal="right"/>
    </xf>
    <xf numFmtId="0" fontId="15" fillId="0" borderId="0" xfId="1"/>
    <xf numFmtId="0" fontId="1" fillId="0" borderId="1" xfId="1" applyFont="1" applyBorder="1" applyAlignment="1">
      <alignment horizontal="center" wrapText="1"/>
    </xf>
    <xf numFmtId="0" fontId="15" fillId="0" borderId="0" xfId="1" applyAlignment="1">
      <alignment horizontal="left"/>
    </xf>
    <xf numFmtId="0" fontId="15" fillId="0" borderId="0" xfId="1" applyAlignment="1">
      <alignment horizontal="right"/>
    </xf>
    <xf numFmtId="0" fontId="15" fillId="0" borderId="0" xfId="1" applyNumberFormat="1" applyAlignment="1">
      <alignment horizontal="right"/>
    </xf>
    <xf numFmtId="6" fontId="15" fillId="0" borderId="0" xfId="1" applyNumberFormat="1" applyAlignment="1">
      <alignment horizontal="right"/>
    </xf>
    <xf numFmtId="0" fontId="15" fillId="0" borderId="0" xfId="1"/>
    <xf numFmtId="0" fontId="1" fillId="0" borderId="1" xfId="1" applyFont="1" applyBorder="1" applyAlignment="1">
      <alignment horizontal="center" wrapText="1"/>
    </xf>
    <xf numFmtId="0" fontId="15" fillId="0" borderId="0" xfId="1" applyAlignment="1">
      <alignment horizontal="left"/>
    </xf>
    <xf numFmtId="0" fontId="15" fillId="0" borderId="0" xfId="1" applyAlignment="1">
      <alignment horizontal="right"/>
    </xf>
    <xf numFmtId="0" fontId="15" fillId="0" borderId="0" xfId="1" applyNumberFormat="1" applyAlignment="1">
      <alignment horizontal="right"/>
    </xf>
    <xf numFmtId="6" fontId="15" fillId="0" borderId="0" xfId="1" applyNumberFormat="1" applyAlignment="1">
      <alignment horizontal="right"/>
    </xf>
    <xf numFmtId="0" fontId="15" fillId="0" borderId="0" xfId="1"/>
    <xf numFmtId="0" fontId="1" fillId="0" borderId="1" xfId="1" applyFont="1" applyBorder="1" applyAlignment="1">
      <alignment horizontal="center" wrapText="1"/>
    </xf>
    <xf numFmtId="0" fontId="15" fillId="0" borderId="0" xfId="1" applyAlignment="1">
      <alignment horizontal="left"/>
    </xf>
    <xf numFmtId="0" fontId="15" fillId="0" borderId="0" xfId="1" applyAlignment="1">
      <alignment horizontal="right"/>
    </xf>
    <xf numFmtId="0" fontId="15" fillId="0" borderId="0" xfId="1" applyNumberFormat="1" applyAlignment="1">
      <alignment horizontal="right"/>
    </xf>
    <xf numFmtId="6" fontId="15" fillId="0" borderId="0" xfId="1" applyNumberFormat="1" applyAlignment="1">
      <alignment horizontal="right"/>
    </xf>
    <xf numFmtId="0" fontId="7" fillId="0" borderId="0" xfId="1" applyFont="1" applyAlignment="1">
      <alignment horizontal="center" wrapText="1"/>
    </xf>
    <xf numFmtId="0" fontId="11" fillId="0" borderId="0" xfId="1" applyFont="1" applyAlignment="1">
      <alignment wrapText="1"/>
    </xf>
    <xf numFmtId="0" fontId="6" fillId="0" borderId="0" xfId="0" applyFont="1" applyAlignment="1">
      <alignment horizontal="center"/>
    </xf>
    <xf numFmtId="0" fontId="4" fillId="0" borderId="0" xfId="0" applyFont="1" applyAlignment="1">
      <alignment horizontal="center" wrapText="1"/>
    </xf>
    <xf numFmtId="0" fontId="4" fillId="0" borderId="0" xfId="0" applyFont="1" applyBorder="1" applyAlignment="1">
      <alignment horizontal="center" wrapText="1"/>
    </xf>
    <xf numFmtId="16" fontId="6" fillId="0" borderId="0" xfId="0" applyNumberFormat="1" applyFont="1" applyAlignment="1">
      <alignment horizontal="center"/>
    </xf>
    <xf numFmtId="0" fontId="6" fillId="0" borderId="0" xfId="0" applyFont="1" applyBorder="1" applyAlignment="1">
      <alignment horizontal="center"/>
    </xf>
    <xf numFmtId="0" fontId="5" fillId="0" borderId="0" xfId="0" applyFont="1" applyAlignment="1">
      <alignment horizontal="center"/>
    </xf>
    <xf numFmtId="0" fontId="4" fillId="0" borderId="2" xfId="0" applyFont="1" applyBorder="1" applyAlignment="1">
      <alignment horizontal="center" wrapText="1"/>
    </xf>
    <xf numFmtId="6" fontId="5" fillId="0" borderId="0" xfId="0" applyNumberFormat="1" applyFont="1" applyProtection="1">
      <protection locked="0"/>
    </xf>
    <xf numFmtId="0" fontId="7" fillId="0" borderId="4" xfId="1" applyFont="1" applyBorder="1" applyAlignment="1">
      <alignment horizontal="center" wrapText="1"/>
    </xf>
  </cellXfs>
  <cellStyles count="2">
    <cellStyle name="Normal" xfId="0" builtinId="0"/>
    <cellStyle name="Normal 2" xfId="1"/>
  </cellStyles>
  <dxfs count="105">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workbookViewId="0"/>
  </sheetViews>
  <sheetFormatPr defaultRowHeight="15" x14ac:dyDescent="0.25"/>
  <sheetData>
    <row r="1" spans="1:1" x14ac:dyDescent="0.25">
      <c r="A1" t="s">
        <v>100</v>
      </c>
    </row>
    <row r="3" spans="1:1" x14ac:dyDescent="0.25">
      <c r="A3" t="s">
        <v>109</v>
      </c>
    </row>
    <row r="5" spans="1:1" x14ac:dyDescent="0.25">
      <c r="A5" t="s">
        <v>101</v>
      </c>
    </row>
    <row r="7" spans="1:1" x14ac:dyDescent="0.25">
      <c r="A7" t="s">
        <v>102</v>
      </c>
    </row>
    <row r="9" spans="1:1" x14ac:dyDescent="0.25">
      <c r="A9" t="s">
        <v>103</v>
      </c>
    </row>
    <row r="13" spans="1:1" ht="18.75" x14ac:dyDescent="0.25">
      <c r="A13" s="5" t="s">
        <v>104</v>
      </c>
    </row>
    <row r="14" spans="1:1" x14ac:dyDescent="0.25">
      <c r="A14" s="4"/>
    </row>
    <row r="15" spans="1:1" x14ac:dyDescent="0.25">
      <c r="A15" s="4" t="s">
        <v>107</v>
      </c>
    </row>
    <row r="16" spans="1:1" x14ac:dyDescent="0.25">
      <c r="A16" s="4" t="s">
        <v>105</v>
      </c>
    </row>
    <row r="17" spans="1:1" x14ac:dyDescent="0.25">
      <c r="A17" s="4" t="s">
        <v>108</v>
      </c>
    </row>
    <row r="18" spans="1:1" x14ac:dyDescent="0.25">
      <c r="A18" s="4"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66"/>
  <sheetViews>
    <sheetView tabSelected="1" workbookViewId="0">
      <selection activeCell="A4" sqref="A4"/>
    </sheetView>
  </sheetViews>
  <sheetFormatPr defaultRowHeight="12.75" x14ac:dyDescent="0.2"/>
  <cols>
    <col min="1" max="1" width="17" style="6" customWidth="1"/>
    <col min="2" max="2" width="32.140625" style="6" bestFit="1" customWidth="1"/>
    <col min="3" max="3" width="18.28515625" style="6" bestFit="1" customWidth="1"/>
    <col min="4" max="4" width="15" style="6" customWidth="1"/>
    <col min="5" max="5" width="14.140625" style="6" bestFit="1" customWidth="1"/>
    <col min="6" max="6" width="14.140625" style="6" customWidth="1"/>
    <col min="7" max="7" width="14.140625" style="6" bestFit="1" customWidth="1"/>
    <col min="8" max="8" width="12.7109375" style="6" bestFit="1" customWidth="1"/>
    <col min="9" max="9" width="12" style="6" bestFit="1" customWidth="1"/>
    <col min="10" max="10" width="12.7109375" style="6" bestFit="1" customWidth="1"/>
    <col min="11" max="11" width="12" style="6" bestFit="1" customWidth="1"/>
    <col min="12" max="12" width="12.7109375" style="6" bestFit="1" customWidth="1"/>
    <col min="13" max="13" width="16" style="6" customWidth="1"/>
    <col min="14" max="14" width="15.85546875" style="6" customWidth="1"/>
    <col min="15" max="15" width="32.42578125" style="6" customWidth="1"/>
    <col min="16" max="17" width="22.85546875" style="6" customWidth="1"/>
    <col min="18" max="18" width="13.28515625" style="6" customWidth="1"/>
    <col min="19" max="19" width="14.28515625" style="6" customWidth="1"/>
    <col min="20" max="20" width="15.28515625" style="6" customWidth="1"/>
    <col min="21" max="24" width="13.28515625" style="6" customWidth="1"/>
    <col min="25" max="16384" width="9.140625" style="6"/>
  </cols>
  <sheetData>
    <row r="1" spans="1:24" ht="18" customHeight="1" x14ac:dyDescent="0.25">
      <c r="A1" s="77" t="s">
        <v>92</v>
      </c>
      <c r="D1" s="75" t="s">
        <v>119</v>
      </c>
      <c r="E1" s="75"/>
      <c r="F1" s="75"/>
      <c r="G1" s="75"/>
      <c r="H1" s="75"/>
      <c r="I1" s="75"/>
      <c r="J1" s="75"/>
      <c r="K1" s="75"/>
      <c r="L1" s="75"/>
      <c r="M1" s="75"/>
      <c r="O1" s="73" t="s">
        <v>130</v>
      </c>
      <c r="P1" s="73"/>
      <c r="Q1" s="73"/>
      <c r="R1" s="73"/>
      <c r="S1" s="73"/>
      <c r="T1" s="73"/>
      <c r="U1" s="73"/>
      <c r="V1" s="73"/>
      <c r="X1" s="22" t="s">
        <v>129</v>
      </c>
    </row>
    <row r="2" spans="1:24" ht="18" customHeight="1" x14ac:dyDescent="0.25">
      <c r="A2" s="77"/>
      <c r="D2" s="75" t="s">
        <v>2</v>
      </c>
      <c r="E2" s="75"/>
      <c r="F2" s="75" t="s">
        <v>3</v>
      </c>
      <c r="G2" s="75"/>
      <c r="H2" s="75" t="s">
        <v>4</v>
      </c>
      <c r="I2" s="75"/>
      <c r="J2" s="75" t="s">
        <v>5</v>
      </c>
      <c r="K2" s="75"/>
      <c r="L2" s="75" t="s">
        <v>6</v>
      </c>
      <c r="M2" s="75"/>
      <c r="O2" s="83" t="s">
        <v>131</v>
      </c>
      <c r="P2" s="83"/>
      <c r="Q2" s="83"/>
      <c r="R2" s="83"/>
      <c r="S2" s="83"/>
      <c r="T2" s="83"/>
      <c r="U2" s="83"/>
      <c r="V2" s="83"/>
      <c r="X2" s="22"/>
    </row>
    <row r="3" spans="1:24" ht="26.25" thickBot="1" x14ac:dyDescent="0.25">
      <c r="A3" s="7" t="s">
        <v>93</v>
      </c>
      <c r="B3" s="7"/>
      <c r="C3" s="7"/>
      <c r="D3" s="7" t="s">
        <v>0</v>
      </c>
      <c r="E3" s="7" t="s">
        <v>90</v>
      </c>
      <c r="F3" s="7" t="s">
        <v>0</v>
      </c>
      <c r="G3" s="7" t="s">
        <v>90</v>
      </c>
      <c r="H3" s="7" t="s">
        <v>0</v>
      </c>
      <c r="I3" s="7" t="s">
        <v>90</v>
      </c>
      <c r="J3" s="7" t="s">
        <v>0</v>
      </c>
      <c r="K3" s="7" t="s">
        <v>90</v>
      </c>
      <c r="L3" s="7" t="s">
        <v>0</v>
      </c>
      <c r="M3" s="7" t="s">
        <v>90</v>
      </c>
      <c r="O3" s="68"/>
      <c r="P3" s="68"/>
      <c r="Q3" s="68" t="s">
        <v>1</v>
      </c>
      <c r="R3" s="68" t="s">
        <v>2</v>
      </c>
      <c r="S3" s="68" t="s">
        <v>3</v>
      </c>
      <c r="T3" s="68" t="s">
        <v>4</v>
      </c>
      <c r="U3" s="68" t="s">
        <v>5</v>
      </c>
      <c r="V3" s="68" t="s">
        <v>6</v>
      </c>
      <c r="X3" s="22" t="s">
        <v>126</v>
      </c>
    </row>
    <row r="4" spans="1:24" ht="14.25" thickTop="1" x14ac:dyDescent="0.2">
      <c r="A4" s="18"/>
      <c r="B4" s="8" t="s">
        <v>7</v>
      </c>
      <c r="C4" s="8"/>
      <c r="D4" s="9">
        <f>IF(R4="*", "N/A", $A$4/R4)</f>
        <v>0</v>
      </c>
      <c r="E4" s="1" t="str">
        <f t="shared" ref="E4:E59" si="0">IF(D4="N/A",D4,IF(AND(D4&gt;0.949,D4&lt;1.051),"Competitive",IF(D4&lt;0.949,"Low","High")))</f>
        <v>Low</v>
      </c>
      <c r="F4" s="9">
        <f>IF(S4="*", "N/A", $A$4/S4)</f>
        <v>0</v>
      </c>
      <c r="G4" s="1" t="str">
        <f t="shared" ref="G4:G59" si="1">IF(F4="N/A",F4,IF(AND(F4&gt;0.949,F4&lt;1.051),"Competitive",IF(F4&lt;0.949,"Low","High")))</f>
        <v>Low</v>
      </c>
      <c r="H4" s="9">
        <f>IF(T4="*", "N/A", $A$4/T4)</f>
        <v>0</v>
      </c>
      <c r="I4" s="1" t="str">
        <f t="shared" ref="I4:I59" si="2">IF(H4="N/A",H4,IF(AND(H4&gt;0.949,H4&lt;1.051),"Competitive",IF(H4&lt;0.949,"Low","High")))</f>
        <v>Low</v>
      </c>
      <c r="J4" s="9">
        <f>IF(U4="*", "N/A", $A$4/U4)</f>
        <v>0</v>
      </c>
      <c r="K4" s="1" t="str">
        <f t="shared" ref="K4:K59" si="3">IF(J4="N/A",J4,IF(AND(J4&gt;0.949,J4&lt;1.051),"Competitive",IF(J4&lt;0.949,"Low","High")))</f>
        <v>Low</v>
      </c>
      <c r="L4" s="9">
        <f>IF(V4="*", "N/A", $A$4/V4)</f>
        <v>0</v>
      </c>
      <c r="M4" s="1" t="str">
        <f t="shared" ref="M4:M59" si="4">IF(L4="N/A",L4,IF(AND(L4&gt;0.949,L4&lt;1.051),"Competitive",IF(L4&lt;0.949,"Low","High")))</f>
        <v>Low</v>
      </c>
      <c r="O4" s="69" t="s">
        <v>7</v>
      </c>
      <c r="P4" s="69"/>
      <c r="Q4" s="71">
        <v>418</v>
      </c>
      <c r="R4" s="72">
        <v>75789</v>
      </c>
      <c r="S4" s="72">
        <v>41613</v>
      </c>
      <c r="T4" s="72">
        <v>57000</v>
      </c>
      <c r="U4" s="72">
        <v>87401</v>
      </c>
      <c r="V4" s="72">
        <v>138303</v>
      </c>
      <c r="X4" s="22"/>
    </row>
    <row r="5" spans="1:24" ht="13.5" x14ac:dyDescent="0.2">
      <c r="B5" s="8" t="s">
        <v>8</v>
      </c>
      <c r="C5" s="8" t="s">
        <v>110</v>
      </c>
      <c r="D5" s="9">
        <f t="shared" ref="D5:D59" si="5">IF(R5="*", "N/A", $A$4/R5)</f>
        <v>0</v>
      </c>
      <c r="E5" s="1" t="str">
        <f t="shared" si="0"/>
        <v>Low</v>
      </c>
      <c r="F5" s="9" t="str">
        <f t="shared" ref="F5:F59" si="6">IF(S5="*", "N/A", $A$4/S5)</f>
        <v>N/A</v>
      </c>
      <c r="G5" s="1" t="str">
        <f t="shared" si="1"/>
        <v>N/A</v>
      </c>
      <c r="H5" s="9" t="str">
        <f t="shared" ref="H5:H59" si="7">IF(T5="*", "N/A", $A$4/T5)</f>
        <v>N/A</v>
      </c>
      <c r="I5" s="1" t="str">
        <f t="shared" si="2"/>
        <v>N/A</v>
      </c>
      <c r="J5" s="9" t="str">
        <f t="shared" ref="J5:J59" si="8">IF(U5="*", "N/A", $A$4/U5)</f>
        <v>N/A</v>
      </c>
      <c r="K5" s="1" t="str">
        <f t="shared" si="3"/>
        <v>N/A</v>
      </c>
      <c r="L5" s="9" t="str">
        <f t="shared" ref="L5:L59" si="9">IF(V5="*", "N/A", $A$4/V5)</f>
        <v>N/A</v>
      </c>
      <c r="M5" s="1" t="str">
        <f t="shared" si="4"/>
        <v>N/A</v>
      </c>
      <c r="O5" s="69" t="s">
        <v>8</v>
      </c>
      <c r="P5" s="69" t="s">
        <v>110</v>
      </c>
      <c r="Q5" s="71">
        <v>4</v>
      </c>
      <c r="R5" s="72">
        <v>24168</v>
      </c>
      <c r="S5" s="70" t="s">
        <v>10</v>
      </c>
      <c r="T5" s="70" t="s">
        <v>10</v>
      </c>
      <c r="U5" s="70" t="s">
        <v>10</v>
      </c>
      <c r="V5" s="70" t="s">
        <v>10</v>
      </c>
      <c r="X5" s="23" t="s">
        <v>11</v>
      </c>
    </row>
    <row r="6" spans="1:24" ht="13.5" x14ac:dyDescent="0.2">
      <c r="C6" s="8" t="s">
        <v>40</v>
      </c>
      <c r="D6" s="9">
        <f t="shared" si="5"/>
        <v>0</v>
      </c>
      <c r="E6" s="1" t="str">
        <f t="shared" si="0"/>
        <v>Low</v>
      </c>
      <c r="F6" s="9">
        <f t="shared" si="6"/>
        <v>0</v>
      </c>
      <c r="G6" s="1" t="str">
        <f t="shared" si="1"/>
        <v>Low</v>
      </c>
      <c r="H6" s="9">
        <f t="shared" si="7"/>
        <v>0</v>
      </c>
      <c r="I6" s="1" t="str">
        <f t="shared" si="2"/>
        <v>Low</v>
      </c>
      <c r="J6" s="9">
        <f t="shared" si="8"/>
        <v>0</v>
      </c>
      <c r="K6" s="1" t="str">
        <f t="shared" si="3"/>
        <v>Low</v>
      </c>
      <c r="L6" s="9">
        <f t="shared" si="9"/>
        <v>0</v>
      </c>
      <c r="M6" s="1" t="str">
        <f t="shared" si="4"/>
        <v>Low</v>
      </c>
      <c r="O6" s="67"/>
      <c r="P6" s="69" t="s">
        <v>40</v>
      </c>
      <c r="Q6" s="71">
        <v>15</v>
      </c>
      <c r="R6" s="72">
        <v>30930</v>
      </c>
      <c r="S6" s="72">
        <v>22000</v>
      </c>
      <c r="T6" s="72">
        <v>31918</v>
      </c>
      <c r="U6" s="72">
        <v>36703</v>
      </c>
      <c r="V6" s="72">
        <v>43570</v>
      </c>
      <c r="X6" s="23"/>
    </row>
    <row r="7" spans="1:24" ht="13.5" x14ac:dyDescent="0.2">
      <c r="C7" s="8" t="s">
        <v>9</v>
      </c>
      <c r="D7" s="9">
        <f t="shared" si="5"/>
        <v>0</v>
      </c>
      <c r="E7" s="1" t="str">
        <f t="shared" si="0"/>
        <v>Low</v>
      </c>
      <c r="F7" s="9">
        <f t="shared" si="6"/>
        <v>0</v>
      </c>
      <c r="G7" s="1" t="str">
        <f t="shared" si="1"/>
        <v>Low</v>
      </c>
      <c r="H7" s="9">
        <f t="shared" si="7"/>
        <v>0</v>
      </c>
      <c r="I7" s="1" t="str">
        <f t="shared" si="2"/>
        <v>Low</v>
      </c>
      <c r="J7" s="9">
        <f t="shared" si="8"/>
        <v>0</v>
      </c>
      <c r="K7" s="1" t="str">
        <f t="shared" si="3"/>
        <v>Low</v>
      </c>
      <c r="L7" s="9">
        <f t="shared" si="9"/>
        <v>0</v>
      </c>
      <c r="M7" s="1" t="str">
        <f t="shared" si="4"/>
        <v>Low</v>
      </c>
      <c r="O7" s="67"/>
      <c r="P7" s="69" t="s">
        <v>9</v>
      </c>
      <c r="Q7" s="71">
        <v>45</v>
      </c>
      <c r="R7" s="72">
        <v>34536</v>
      </c>
      <c r="S7" s="72">
        <v>30192</v>
      </c>
      <c r="T7" s="72">
        <v>33196</v>
      </c>
      <c r="U7" s="72">
        <v>41425</v>
      </c>
      <c r="V7" s="72">
        <v>46817</v>
      </c>
      <c r="X7" s="22" t="s">
        <v>127</v>
      </c>
    </row>
    <row r="8" spans="1:24" ht="13.5" x14ac:dyDescent="0.2">
      <c r="C8" s="8" t="s">
        <v>12</v>
      </c>
      <c r="D8" s="9">
        <f t="shared" si="5"/>
        <v>0</v>
      </c>
      <c r="E8" s="1" t="str">
        <f t="shared" si="0"/>
        <v>Low</v>
      </c>
      <c r="F8" s="9">
        <f t="shared" si="6"/>
        <v>0</v>
      </c>
      <c r="G8" s="1" t="str">
        <f t="shared" si="1"/>
        <v>Low</v>
      </c>
      <c r="H8" s="9">
        <f t="shared" si="7"/>
        <v>0</v>
      </c>
      <c r="I8" s="1" t="str">
        <f t="shared" si="2"/>
        <v>Low</v>
      </c>
      <c r="J8" s="9">
        <f t="shared" si="8"/>
        <v>0</v>
      </c>
      <c r="K8" s="1" t="str">
        <f t="shared" si="3"/>
        <v>Low</v>
      </c>
      <c r="L8" s="9">
        <f t="shared" si="9"/>
        <v>0</v>
      </c>
      <c r="M8" s="1" t="str">
        <f t="shared" si="4"/>
        <v>Low</v>
      </c>
      <c r="O8" s="67"/>
      <c r="P8" s="69" t="s">
        <v>12</v>
      </c>
      <c r="Q8" s="71">
        <v>79</v>
      </c>
      <c r="R8" s="72">
        <v>42265</v>
      </c>
      <c r="S8" s="72">
        <v>35491</v>
      </c>
      <c r="T8" s="72">
        <v>41500</v>
      </c>
      <c r="U8" s="72">
        <v>47358</v>
      </c>
      <c r="V8" s="72">
        <v>55340</v>
      </c>
      <c r="X8" s="22"/>
    </row>
    <row r="9" spans="1:24" ht="13.5" x14ac:dyDescent="0.2">
      <c r="C9" s="8" t="s">
        <v>13</v>
      </c>
      <c r="D9" s="9">
        <f t="shared" si="5"/>
        <v>0</v>
      </c>
      <c r="E9" s="1" t="str">
        <f t="shared" si="0"/>
        <v>Low</v>
      </c>
      <c r="F9" s="9">
        <f t="shared" si="6"/>
        <v>0</v>
      </c>
      <c r="G9" s="1" t="str">
        <f t="shared" si="1"/>
        <v>Low</v>
      </c>
      <c r="H9" s="9">
        <f t="shared" si="7"/>
        <v>0</v>
      </c>
      <c r="I9" s="1" t="str">
        <f t="shared" si="2"/>
        <v>Low</v>
      </c>
      <c r="J9" s="9">
        <f t="shared" si="8"/>
        <v>0</v>
      </c>
      <c r="K9" s="1" t="str">
        <f t="shared" si="3"/>
        <v>Low</v>
      </c>
      <c r="L9" s="9">
        <f t="shared" si="9"/>
        <v>0</v>
      </c>
      <c r="M9" s="1" t="str">
        <f t="shared" si="4"/>
        <v>Low</v>
      </c>
      <c r="O9" s="67"/>
      <c r="P9" s="69" t="s">
        <v>13</v>
      </c>
      <c r="Q9" s="71">
        <v>103</v>
      </c>
      <c r="R9" s="72">
        <v>56352</v>
      </c>
      <c r="S9" s="72">
        <v>47000</v>
      </c>
      <c r="T9" s="72">
        <v>55000</v>
      </c>
      <c r="U9" s="72">
        <v>65000</v>
      </c>
      <c r="V9" s="72">
        <v>74320</v>
      </c>
      <c r="X9" s="23" t="s">
        <v>16</v>
      </c>
    </row>
    <row r="10" spans="1:24" x14ac:dyDescent="0.2">
      <c r="C10" s="8" t="s">
        <v>14</v>
      </c>
      <c r="D10" s="9">
        <f t="shared" si="5"/>
        <v>0</v>
      </c>
      <c r="E10" s="1" t="str">
        <f t="shared" si="0"/>
        <v>Low</v>
      </c>
      <c r="F10" s="9">
        <f t="shared" si="6"/>
        <v>0</v>
      </c>
      <c r="G10" s="1" t="str">
        <f t="shared" si="1"/>
        <v>Low</v>
      </c>
      <c r="H10" s="9">
        <f t="shared" si="7"/>
        <v>0</v>
      </c>
      <c r="I10" s="1" t="str">
        <f t="shared" si="2"/>
        <v>Low</v>
      </c>
      <c r="J10" s="9">
        <f t="shared" si="8"/>
        <v>0</v>
      </c>
      <c r="K10" s="1" t="str">
        <f t="shared" si="3"/>
        <v>Low</v>
      </c>
      <c r="L10" s="9">
        <f t="shared" si="9"/>
        <v>0</v>
      </c>
      <c r="M10" s="1" t="str">
        <f t="shared" si="4"/>
        <v>Low</v>
      </c>
      <c r="O10" s="67"/>
      <c r="P10" s="69" t="s">
        <v>14</v>
      </c>
      <c r="Q10" s="71">
        <v>53</v>
      </c>
      <c r="R10" s="72">
        <v>68766</v>
      </c>
      <c r="S10" s="72">
        <v>56865</v>
      </c>
      <c r="T10" s="72">
        <v>68832</v>
      </c>
      <c r="U10" s="72">
        <v>78280</v>
      </c>
      <c r="V10" s="72">
        <v>87953</v>
      </c>
      <c r="X10" s="24"/>
    </row>
    <row r="11" spans="1:24" ht="13.5" x14ac:dyDescent="0.2">
      <c r="C11" s="8" t="s">
        <v>15</v>
      </c>
      <c r="D11" s="9">
        <f t="shared" si="5"/>
        <v>0</v>
      </c>
      <c r="E11" s="1" t="str">
        <f t="shared" si="0"/>
        <v>Low</v>
      </c>
      <c r="F11" s="9">
        <f t="shared" si="6"/>
        <v>0</v>
      </c>
      <c r="G11" s="1" t="str">
        <f t="shared" si="1"/>
        <v>Low</v>
      </c>
      <c r="H11" s="9">
        <f t="shared" si="7"/>
        <v>0</v>
      </c>
      <c r="I11" s="1" t="str">
        <f t="shared" si="2"/>
        <v>Low</v>
      </c>
      <c r="J11" s="9">
        <f t="shared" si="8"/>
        <v>0</v>
      </c>
      <c r="K11" s="1" t="str">
        <f t="shared" si="3"/>
        <v>Low</v>
      </c>
      <c r="L11" s="9">
        <f t="shared" si="9"/>
        <v>0</v>
      </c>
      <c r="M11" s="1" t="str">
        <f t="shared" si="4"/>
        <v>Low</v>
      </c>
      <c r="O11" s="67"/>
      <c r="P11" s="69" t="s">
        <v>15</v>
      </c>
      <c r="Q11" s="71">
        <v>43</v>
      </c>
      <c r="R11" s="72">
        <v>96822</v>
      </c>
      <c r="S11" s="72">
        <v>79666</v>
      </c>
      <c r="T11" s="72">
        <v>92563</v>
      </c>
      <c r="U11" s="72">
        <v>115586</v>
      </c>
      <c r="V11" s="72">
        <v>125451</v>
      </c>
      <c r="X11" s="25" t="s">
        <v>128</v>
      </c>
    </row>
    <row r="12" spans="1:24" ht="13.5" x14ac:dyDescent="0.2">
      <c r="C12" s="8" t="s">
        <v>17</v>
      </c>
      <c r="D12" s="9">
        <f t="shared" si="5"/>
        <v>0</v>
      </c>
      <c r="E12" s="1" t="str">
        <f t="shared" si="0"/>
        <v>Low</v>
      </c>
      <c r="F12" s="9">
        <f t="shared" si="6"/>
        <v>0</v>
      </c>
      <c r="G12" s="1" t="str">
        <f t="shared" si="1"/>
        <v>Low</v>
      </c>
      <c r="H12" s="9">
        <f t="shared" si="7"/>
        <v>0</v>
      </c>
      <c r="I12" s="1" t="str">
        <f t="shared" si="2"/>
        <v>Low</v>
      </c>
      <c r="J12" s="9">
        <f t="shared" si="8"/>
        <v>0</v>
      </c>
      <c r="K12" s="1" t="str">
        <f t="shared" si="3"/>
        <v>Low</v>
      </c>
      <c r="L12" s="9">
        <f t="shared" si="9"/>
        <v>0</v>
      </c>
      <c r="M12" s="1" t="str">
        <f t="shared" si="4"/>
        <v>Low</v>
      </c>
      <c r="O12" s="67"/>
      <c r="P12" s="69" t="s">
        <v>17</v>
      </c>
      <c r="Q12" s="71">
        <v>36</v>
      </c>
      <c r="R12" s="72">
        <v>133596</v>
      </c>
      <c r="S12" s="72">
        <v>110765</v>
      </c>
      <c r="T12" s="72">
        <v>128270</v>
      </c>
      <c r="U12" s="72">
        <v>140201</v>
      </c>
      <c r="V12" s="72">
        <v>185499</v>
      </c>
      <c r="X12" s="25"/>
    </row>
    <row r="13" spans="1:24" ht="13.5" x14ac:dyDescent="0.2">
      <c r="C13" s="8" t="s">
        <v>18</v>
      </c>
      <c r="D13" s="9">
        <f t="shared" si="5"/>
        <v>0</v>
      </c>
      <c r="E13" s="1" t="str">
        <f t="shared" si="0"/>
        <v>Low</v>
      </c>
      <c r="F13" s="9">
        <f t="shared" si="6"/>
        <v>0</v>
      </c>
      <c r="G13" s="1" t="str">
        <f t="shared" si="1"/>
        <v>Low</v>
      </c>
      <c r="H13" s="9">
        <f t="shared" si="7"/>
        <v>0</v>
      </c>
      <c r="I13" s="1" t="str">
        <f t="shared" si="2"/>
        <v>Low</v>
      </c>
      <c r="J13" s="9">
        <f t="shared" si="8"/>
        <v>0</v>
      </c>
      <c r="K13" s="1" t="str">
        <f t="shared" si="3"/>
        <v>Low</v>
      </c>
      <c r="L13" s="9">
        <f t="shared" si="9"/>
        <v>0</v>
      </c>
      <c r="M13" s="1" t="str">
        <f t="shared" si="4"/>
        <v>Low</v>
      </c>
      <c r="O13" s="67"/>
      <c r="P13" s="69" t="s">
        <v>18</v>
      </c>
      <c r="Q13" s="71">
        <v>18</v>
      </c>
      <c r="R13" s="72">
        <v>186362</v>
      </c>
      <c r="S13" s="72">
        <v>137726</v>
      </c>
      <c r="T13" s="72">
        <v>175800</v>
      </c>
      <c r="U13" s="72">
        <v>223707</v>
      </c>
      <c r="V13" s="72">
        <v>247000</v>
      </c>
      <c r="X13" s="25"/>
    </row>
    <row r="14" spans="1:24" x14ac:dyDescent="0.2">
      <c r="C14" s="8" t="s">
        <v>79</v>
      </c>
      <c r="D14" s="9">
        <f t="shared" si="5"/>
        <v>0</v>
      </c>
      <c r="E14" s="1" t="str">
        <f t="shared" si="0"/>
        <v>Low</v>
      </c>
      <c r="F14" s="9">
        <f t="shared" si="6"/>
        <v>0</v>
      </c>
      <c r="G14" s="1" t="str">
        <f t="shared" si="1"/>
        <v>Low</v>
      </c>
      <c r="H14" s="9">
        <f t="shared" si="7"/>
        <v>0</v>
      </c>
      <c r="I14" s="1" t="str">
        <f t="shared" si="2"/>
        <v>Low</v>
      </c>
      <c r="J14" s="9">
        <f t="shared" si="8"/>
        <v>0</v>
      </c>
      <c r="K14" s="1" t="str">
        <f t="shared" si="3"/>
        <v>Low</v>
      </c>
      <c r="L14" s="9">
        <f t="shared" si="9"/>
        <v>0</v>
      </c>
      <c r="M14" s="1" t="str">
        <f t="shared" si="4"/>
        <v>Low</v>
      </c>
      <c r="O14" s="67"/>
      <c r="P14" s="69" t="s">
        <v>79</v>
      </c>
      <c r="Q14" s="71">
        <v>19</v>
      </c>
      <c r="R14" s="72">
        <v>210203</v>
      </c>
      <c r="S14" s="72">
        <v>194598</v>
      </c>
      <c r="T14" s="72">
        <v>209821</v>
      </c>
      <c r="U14" s="72">
        <v>245740</v>
      </c>
      <c r="V14" s="72">
        <v>281140</v>
      </c>
      <c r="X14" s="26"/>
    </row>
    <row r="15" spans="1:24" ht="13.5" x14ac:dyDescent="0.2">
      <c r="C15" s="8" t="s">
        <v>80</v>
      </c>
      <c r="D15" s="9">
        <f t="shared" si="5"/>
        <v>0</v>
      </c>
      <c r="E15" s="1" t="str">
        <f t="shared" si="0"/>
        <v>Low</v>
      </c>
      <c r="F15" s="9" t="str">
        <f t="shared" si="6"/>
        <v>N/A</v>
      </c>
      <c r="G15" s="1" t="str">
        <f t="shared" si="1"/>
        <v>N/A</v>
      </c>
      <c r="H15" s="9" t="str">
        <f t="shared" si="7"/>
        <v>N/A</v>
      </c>
      <c r="I15" s="1" t="str">
        <f t="shared" si="2"/>
        <v>N/A</v>
      </c>
      <c r="J15" s="9" t="str">
        <f t="shared" si="8"/>
        <v>N/A</v>
      </c>
      <c r="K15" s="1" t="str">
        <f t="shared" si="3"/>
        <v>N/A</v>
      </c>
      <c r="L15" s="9" t="str">
        <f t="shared" si="9"/>
        <v>N/A</v>
      </c>
      <c r="M15" s="1" t="str">
        <f t="shared" si="4"/>
        <v>N/A</v>
      </c>
      <c r="O15" s="67"/>
      <c r="P15" s="69" t="s">
        <v>80</v>
      </c>
      <c r="Q15" s="71">
        <v>3</v>
      </c>
      <c r="R15" s="72">
        <v>292546</v>
      </c>
      <c r="S15" s="70" t="s">
        <v>10</v>
      </c>
      <c r="T15" s="70" t="s">
        <v>10</v>
      </c>
      <c r="U15" s="70" t="s">
        <v>10</v>
      </c>
      <c r="V15" s="70" t="s">
        <v>10</v>
      </c>
      <c r="X15" s="25"/>
    </row>
    <row r="16" spans="1:24" x14ac:dyDescent="0.2">
      <c r="B16" s="8" t="s">
        <v>19</v>
      </c>
      <c r="C16" s="8" t="s">
        <v>20</v>
      </c>
      <c r="D16" s="9">
        <f t="shared" si="5"/>
        <v>0</v>
      </c>
      <c r="E16" s="1" t="str">
        <f t="shared" si="0"/>
        <v>Low</v>
      </c>
      <c r="F16" s="9">
        <f t="shared" si="6"/>
        <v>0</v>
      </c>
      <c r="G16" s="1" t="str">
        <f t="shared" si="1"/>
        <v>Low</v>
      </c>
      <c r="H16" s="9">
        <f t="shared" si="7"/>
        <v>0</v>
      </c>
      <c r="I16" s="1" t="str">
        <f t="shared" si="2"/>
        <v>Low</v>
      </c>
      <c r="J16" s="9">
        <f t="shared" si="8"/>
        <v>0</v>
      </c>
      <c r="K16" s="1" t="str">
        <f t="shared" si="3"/>
        <v>Low</v>
      </c>
      <c r="L16" s="9">
        <f t="shared" si="9"/>
        <v>0</v>
      </c>
      <c r="M16" s="1" t="str">
        <f t="shared" si="4"/>
        <v>Low</v>
      </c>
      <c r="O16" s="69" t="s">
        <v>19</v>
      </c>
      <c r="P16" s="69" t="s">
        <v>20</v>
      </c>
      <c r="Q16" s="71">
        <v>17</v>
      </c>
      <c r="R16" s="72">
        <v>57723</v>
      </c>
      <c r="S16" s="72">
        <v>41127</v>
      </c>
      <c r="T16" s="72">
        <v>50000</v>
      </c>
      <c r="U16" s="72">
        <v>63024</v>
      </c>
      <c r="V16" s="72">
        <v>91720</v>
      </c>
      <c r="X16" s="26"/>
    </row>
    <row r="17" spans="2:24" ht="13.5" x14ac:dyDescent="0.2">
      <c r="C17" s="8" t="s">
        <v>21</v>
      </c>
      <c r="D17" s="9">
        <f t="shared" si="5"/>
        <v>0</v>
      </c>
      <c r="E17" s="1" t="str">
        <f t="shared" si="0"/>
        <v>Low</v>
      </c>
      <c r="F17" s="9">
        <f t="shared" si="6"/>
        <v>0</v>
      </c>
      <c r="G17" s="1" t="str">
        <f t="shared" si="1"/>
        <v>Low</v>
      </c>
      <c r="H17" s="9">
        <f t="shared" si="7"/>
        <v>0</v>
      </c>
      <c r="I17" s="1" t="str">
        <f t="shared" si="2"/>
        <v>Low</v>
      </c>
      <c r="J17" s="9">
        <f t="shared" si="8"/>
        <v>0</v>
      </c>
      <c r="K17" s="1" t="str">
        <f t="shared" si="3"/>
        <v>Low</v>
      </c>
      <c r="L17" s="9">
        <f t="shared" si="9"/>
        <v>0</v>
      </c>
      <c r="M17" s="1" t="str">
        <f t="shared" si="4"/>
        <v>Low</v>
      </c>
      <c r="O17" s="67"/>
      <c r="P17" s="69" t="s">
        <v>21</v>
      </c>
      <c r="Q17" s="71">
        <v>42</v>
      </c>
      <c r="R17" s="72">
        <v>68891</v>
      </c>
      <c r="S17" s="72">
        <v>36525</v>
      </c>
      <c r="T17" s="72">
        <v>53607</v>
      </c>
      <c r="U17" s="72">
        <v>71977</v>
      </c>
      <c r="V17" s="72">
        <v>136294</v>
      </c>
      <c r="X17" s="27"/>
    </row>
    <row r="18" spans="2:24" ht="13.5" x14ac:dyDescent="0.2">
      <c r="C18" s="8" t="s">
        <v>22</v>
      </c>
      <c r="D18" s="9">
        <f t="shared" si="5"/>
        <v>0</v>
      </c>
      <c r="E18" s="1" t="str">
        <f t="shared" si="0"/>
        <v>Low</v>
      </c>
      <c r="F18" s="9">
        <f t="shared" si="6"/>
        <v>0</v>
      </c>
      <c r="G18" s="1" t="str">
        <f t="shared" si="1"/>
        <v>Low</v>
      </c>
      <c r="H18" s="9">
        <f t="shared" si="7"/>
        <v>0</v>
      </c>
      <c r="I18" s="1" t="str">
        <f t="shared" si="2"/>
        <v>Low</v>
      </c>
      <c r="J18" s="9">
        <f t="shared" si="8"/>
        <v>0</v>
      </c>
      <c r="K18" s="1" t="str">
        <f t="shared" si="3"/>
        <v>Low</v>
      </c>
      <c r="L18" s="9">
        <f t="shared" si="9"/>
        <v>0</v>
      </c>
      <c r="M18" s="1" t="str">
        <f t="shared" si="4"/>
        <v>Low</v>
      </c>
      <c r="O18" s="67"/>
      <c r="P18" s="69" t="s">
        <v>22</v>
      </c>
      <c r="Q18" s="71">
        <v>84</v>
      </c>
      <c r="R18" s="72">
        <v>67518</v>
      </c>
      <c r="S18" s="72">
        <v>40154</v>
      </c>
      <c r="T18" s="72">
        <v>54542</v>
      </c>
      <c r="U18" s="72">
        <v>81561</v>
      </c>
      <c r="V18" s="72">
        <v>125831</v>
      </c>
      <c r="X18" s="25"/>
    </row>
    <row r="19" spans="2:24" ht="13.5" x14ac:dyDescent="0.2">
      <c r="C19" s="8" t="s">
        <v>23</v>
      </c>
      <c r="D19" s="9">
        <f t="shared" si="5"/>
        <v>0</v>
      </c>
      <c r="E19" s="1" t="str">
        <f t="shared" si="0"/>
        <v>Low</v>
      </c>
      <c r="F19" s="9">
        <f t="shared" si="6"/>
        <v>0</v>
      </c>
      <c r="G19" s="1" t="str">
        <f t="shared" si="1"/>
        <v>Low</v>
      </c>
      <c r="H19" s="9">
        <f t="shared" si="7"/>
        <v>0</v>
      </c>
      <c r="I19" s="1" t="str">
        <f t="shared" si="2"/>
        <v>Low</v>
      </c>
      <c r="J19" s="9">
        <f t="shared" si="8"/>
        <v>0</v>
      </c>
      <c r="K19" s="1" t="str">
        <f t="shared" si="3"/>
        <v>Low</v>
      </c>
      <c r="L19" s="9">
        <f t="shared" si="9"/>
        <v>0</v>
      </c>
      <c r="M19" s="1" t="str">
        <f t="shared" si="4"/>
        <v>Low</v>
      </c>
      <c r="O19" s="67"/>
      <c r="P19" s="69" t="s">
        <v>23</v>
      </c>
      <c r="Q19" s="71">
        <v>49</v>
      </c>
      <c r="R19" s="72">
        <v>59600</v>
      </c>
      <c r="S19" s="72">
        <v>41000</v>
      </c>
      <c r="T19" s="72">
        <v>50439</v>
      </c>
      <c r="U19" s="72">
        <v>68790</v>
      </c>
      <c r="V19" s="72">
        <v>90599</v>
      </c>
      <c r="X19" s="25"/>
    </row>
    <row r="20" spans="2:24" ht="13.5" x14ac:dyDescent="0.2">
      <c r="C20" s="8" t="s">
        <v>24</v>
      </c>
      <c r="D20" s="9">
        <f t="shared" si="5"/>
        <v>0</v>
      </c>
      <c r="E20" s="1" t="str">
        <f t="shared" si="0"/>
        <v>Low</v>
      </c>
      <c r="F20" s="9">
        <f t="shared" si="6"/>
        <v>0</v>
      </c>
      <c r="G20" s="1" t="str">
        <f t="shared" si="1"/>
        <v>Low</v>
      </c>
      <c r="H20" s="9">
        <f t="shared" si="7"/>
        <v>0</v>
      </c>
      <c r="I20" s="1" t="str">
        <f t="shared" si="2"/>
        <v>Low</v>
      </c>
      <c r="J20" s="9">
        <f t="shared" si="8"/>
        <v>0</v>
      </c>
      <c r="K20" s="1" t="str">
        <f t="shared" si="3"/>
        <v>Low</v>
      </c>
      <c r="L20" s="9">
        <f t="shared" si="9"/>
        <v>0</v>
      </c>
      <c r="M20" s="1" t="str">
        <f t="shared" si="4"/>
        <v>Low</v>
      </c>
      <c r="O20" s="67"/>
      <c r="P20" s="69" t="s">
        <v>24</v>
      </c>
      <c r="Q20" s="71">
        <v>51</v>
      </c>
      <c r="R20" s="72">
        <v>88698</v>
      </c>
      <c r="S20" s="72">
        <v>45260</v>
      </c>
      <c r="T20" s="72">
        <v>61423</v>
      </c>
      <c r="U20" s="72">
        <v>128010</v>
      </c>
      <c r="V20" s="72">
        <v>153277</v>
      </c>
      <c r="X20" s="25"/>
    </row>
    <row r="21" spans="2:24" ht="13.5" x14ac:dyDescent="0.2">
      <c r="C21" s="8" t="s">
        <v>25</v>
      </c>
      <c r="D21" s="9">
        <f t="shared" si="5"/>
        <v>0</v>
      </c>
      <c r="E21" s="1" t="str">
        <f t="shared" si="0"/>
        <v>Low</v>
      </c>
      <c r="F21" s="9">
        <f t="shared" si="6"/>
        <v>0</v>
      </c>
      <c r="G21" s="1" t="str">
        <f t="shared" si="1"/>
        <v>Low</v>
      </c>
      <c r="H21" s="9">
        <f t="shared" si="7"/>
        <v>0</v>
      </c>
      <c r="I21" s="1" t="str">
        <f t="shared" si="2"/>
        <v>Low</v>
      </c>
      <c r="J21" s="9">
        <f t="shared" si="8"/>
        <v>0</v>
      </c>
      <c r="K21" s="1" t="str">
        <f t="shared" si="3"/>
        <v>Low</v>
      </c>
      <c r="L21" s="9">
        <f t="shared" si="9"/>
        <v>0</v>
      </c>
      <c r="M21" s="1" t="str">
        <f t="shared" si="4"/>
        <v>Low</v>
      </c>
      <c r="O21" s="67"/>
      <c r="P21" s="69" t="s">
        <v>25</v>
      </c>
      <c r="Q21" s="71">
        <v>41</v>
      </c>
      <c r="R21" s="72">
        <v>67726</v>
      </c>
      <c r="S21" s="72">
        <v>37096</v>
      </c>
      <c r="T21" s="72">
        <v>55566</v>
      </c>
      <c r="U21" s="72">
        <v>83599</v>
      </c>
      <c r="V21" s="72">
        <v>120076</v>
      </c>
      <c r="X21" s="25"/>
    </row>
    <row r="22" spans="2:24" ht="13.5" x14ac:dyDescent="0.2">
      <c r="C22" s="8" t="s">
        <v>26</v>
      </c>
      <c r="D22" s="9">
        <f t="shared" si="5"/>
        <v>0</v>
      </c>
      <c r="E22" s="1" t="str">
        <f t="shared" si="0"/>
        <v>Low</v>
      </c>
      <c r="F22" s="9">
        <f t="shared" si="6"/>
        <v>0</v>
      </c>
      <c r="G22" s="1" t="str">
        <f t="shared" si="1"/>
        <v>Low</v>
      </c>
      <c r="H22" s="9">
        <f t="shared" si="7"/>
        <v>0</v>
      </c>
      <c r="I22" s="1" t="str">
        <f t="shared" si="2"/>
        <v>Low</v>
      </c>
      <c r="J22" s="9">
        <f t="shared" si="8"/>
        <v>0</v>
      </c>
      <c r="K22" s="1" t="str">
        <f t="shared" si="3"/>
        <v>Low</v>
      </c>
      <c r="L22" s="9">
        <f t="shared" si="9"/>
        <v>0</v>
      </c>
      <c r="M22" s="1" t="str">
        <f t="shared" si="4"/>
        <v>Low</v>
      </c>
      <c r="O22" s="67"/>
      <c r="P22" s="69" t="s">
        <v>26</v>
      </c>
      <c r="Q22" s="71">
        <v>44</v>
      </c>
      <c r="R22" s="72">
        <v>70302</v>
      </c>
      <c r="S22" s="72">
        <v>39957</v>
      </c>
      <c r="T22" s="72">
        <v>51755</v>
      </c>
      <c r="U22" s="72">
        <v>79061</v>
      </c>
      <c r="V22" s="72">
        <v>135046</v>
      </c>
      <c r="X22" s="25"/>
    </row>
    <row r="23" spans="2:24" ht="13.5" x14ac:dyDescent="0.2">
      <c r="C23" s="8" t="s">
        <v>27</v>
      </c>
      <c r="D23" s="9">
        <f t="shared" si="5"/>
        <v>0</v>
      </c>
      <c r="E23" s="1" t="str">
        <f t="shared" si="0"/>
        <v>Low</v>
      </c>
      <c r="F23" s="9">
        <f t="shared" si="6"/>
        <v>0</v>
      </c>
      <c r="G23" s="1" t="str">
        <f t="shared" si="1"/>
        <v>Low</v>
      </c>
      <c r="H23" s="9">
        <f t="shared" si="7"/>
        <v>0</v>
      </c>
      <c r="I23" s="1" t="str">
        <f t="shared" si="2"/>
        <v>Low</v>
      </c>
      <c r="J23" s="9">
        <f t="shared" si="8"/>
        <v>0</v>
      </c>
      <c r="K23" s="1" t="str">
        <f t="shared" si="3"/>
        <v>Low</v>
      </c>
      <c r="L23" s="9">
        <f t="shared" si="9"/>
        <v>0</v>
      </c>
      <c r="M23" s="1" t="str">
        <f t="shared" si="4"/>
        <v>Low</v>
      </c>
      <c r="O23" s="67"/>
      <c r="P23" s="69" t="s">
        <v>27</v>
      </c>
      <c r="Q23" s="71">
        <v>32</v>
      </c>
      <c r="R23" s="72">
        <v>74073</v>
      </c>
      <c r="S23" s="72">
        <v>37024</v>
      </c>
      <c r="T23" s="72">
        <v>58498</v>
      </c>
      <c r="U23" s="72">
        <v>88229</v>
      </c>
      <c r="V23" s="72">
        <v>110903</v>
      </c>
      <c r="X23" s="25"/>
    </row>
    <row r="24" spans="2:24" ht="13.5" x14ac:dyDescent="0.2">
      <c r="C24" s="8" t="s">
        <v>28</v>
      </c>
      <c r="D24" s="9">
        <f t="shared" si="5"/>
        <v>0</v>
      </c>
      <c r="E24" s="1" t="str">
        <f t="shared" si="0"/>
        <v>Low</v>
      </c>
      <c r="F24" s="9">
        <f t="shared" si="6"/>
        <v>0</v>
      </c>
      <c r="G24" s="1" t="str">
        <f t="shared" si="1"/>
        <v>Low</v>
      </c>
      <c r="H24" s="9">
        <f t="shared" si="7"/>
        <v>0</v>
      </c>
      <c r="I24" s="1" t="str">
        <f t="shared" si="2"/>
        <v>Low</v>
      </c>
      <c r="J24" s="9">
        <f t="shared" si="8"/>
        <v>0</v>
      </c>
      <c r="K24" s="1" t="str">
        <f t="shared" si="3"/>
        <v>Low</v>
      </c>
      <c r="L24" s="9">
        <f t="shared" si="9"/>
        <v>0</v>
      </c>
      <c r="M24" s="1" t="str">
        <f t="shared" si="4"/>
        <v>Low</v>
      </c>
      <c r="O24" s="67"/>
      <c r="P24" s="69" t="s">
        <v>28</v>
      </c>
      <c r="Q24" s="71">
        <v>58</v>
      </c>
      <c r="R24" s="72">
        <v>111994</v>
      </c>
      <c r="S24" s="72">
        <v>64053</v>
      </c>
      <c r="T24" s="72">
        <v>76801</v>
      </c>
      <c r="U24" s="72">
        <v>138570</v>
      </c>
      <c r="V24" s="72">
        <v>213750</v>
      </c>
      <c r="X24" s="28"/>
    </row>
    <row r="25" spans="2:24" ht="13.5" x14ac:dyDescent="0.2">
      <c r="B25" s="8" t="s">
        <v>29</v>
      </c>
      <c r="C25" s="8" t="s">
        <v>52</v>
      </c>
      <c r="D25" s="9">
        <f t="shared" si="5"/>
        <v>0</v>
      </c>
      <c r="E25" s="1" t="str">
        <f t="shared" si="0"/>
        <v>Low</v>
      </c>
      <c r="F25" s="9">
        <f t="shared" si="6"/>
        <v>0</v>
      </c>
      <c r="G25" s="1" t="str">
        <f t="shared" si="1"/>
        <v>Low</v>
      </c>
      <c r="H25" s="9">
        <f t="shared" si="7"/>
        <v>0</v>
      </c>
      <c r="I25" s="1" t="str">
        <f t="shared" si="2"/>
        <v>Low</v>
      </c>
      <c r="J25" s="9">
        <f t="shared" si="8"/>
        <v>0</v>
      </c>
      <c r="K25" s="1" t="str">
        <f t="shared" si="3"/>
        <v>Low</v>
      </c>
      <c r="L25" s="9">
        <f t="shared" si="9"/>
        <v>0</v>
      </c>
      <c r="M25" s="1" t="str">
        <f t="shared" si="4"/>
        <v>Low</v>
      </c>
      <c r="O25" s="69" t="s">
        <v>29</v>
      </c>
      <c r="P25" s="69" t="s">
        <v>52</v>
      </c>
      <c r="Q25" s="71">
        <v>6</v>
      </c>
      <c r="R25" s="72">
        <v>27711</v>
      </c>
      <c r="S25" s="72">
        <v>23570</v>
      </c>
      <c r="T25" s="72">
        <v>31802</v>
      </c>
      <c r="U25" s="72">
        <v>33760</v>
      </c>
      <c r="V25" s="72">
        <v>35445</v>
      </c>
      <c r="X25" s="25"/>
    </row>
    <row r="26" spans="2:24" ht="13.5" x14ac:dyDescent="0.2">
      <c r="C26" s="8" t="s">
        <v>30</v>
      </c>
      <c r="D26" s="9">
        <f t="shared" si="5"/>
        <v>0</v>
      </c>
      <c r="E26" s="1" t="str">
        <f t="shared" si="0"/>
        <v>Low</v>
      </c>
      <c r="F26" s="9">
        <f t="shared" si="6"/>
        <v>0</v>
      </c>
      <c r="G26" s="1" t="str">
        <f t="shared" si="1"/>
        <v>Low</v>
      </c>
      <c r="H26" s="9">
        <f t="shared" si="7"/>
        <v>0</v>
      </c>
      <c r="I26" s="1" t="str">
        <f t="shared" si="2"/>
        <v>Low</v>
      </c>
      <c r="J26" s="9">
        <f t="shared" si="8"/>
        <v>0</v>
      </c>
      <c r="K26" s="1" t="str">
        <f t="shared" si="3"/>
        <v>Low</v>
      </c>
      <c r="L26" s="9">
        <f t="shared" si="9"/>
        <v>0</v>
      </c>
      <c r="M26" s="1" t="str">
        <f t="shared" si="4"/>
        <v>Low</v>
      </c>
      <c r="O26" s="67"/>
      <c r="P26" s="69" t="s">
        <v>30</v>
      </c>
      <c r="Q26" s="71">
        <v>105</v>
      </c>
      <c r="R26" s="72">
        <v>37739</v>
      </c>
      <c r="S26" s="72">
        <v>31041</v>
      </c>
      <c r="T26" s="72">
        <v>37000</v>
      </c>
      <c r="U26" s="72">
        <v>44657</v>
      </c>
      <c r="V26" s="72">
        <v>51721</v>
      </c>
      <c r="X26" s="25"/>
    </row>
    <row r="27" spans="2:24" ht="13.5" x14ac:dyDescent="0.2">
      <c r="C27" s="8" t="s">
        <v>31</v>
      </c>
      <c r="D27" s="9">
        <f t="shared" si="5"/>
        <v>0</v>
      </c>
      <c r="E27" s="1" t="str">
        <f t="shared" si="0"/>
        <v>Low</v>
      </c>
      <c r="F27" s="9">
        <f t="shared" si="6"/>
        <v>0</v>
      </c>
      <c r="G27" s="1" t="str">
        <f t="shared" si="1"/>
        <v>Low</v>
      </c>
      <c r="H27" s="9">
        <f t="shared" si="7"/>
        <v>0</v>
      </c>
      <c r="I27" s="1" t="str">
        <f t="shared" si="2"/>
        <v>Low</v>
      </c>
      <c r="J27" s="9">
        <f t="shared" si="8"/>
        <v>0</v>
      </c>
      <c r="K27" s="1" t="str">
        <f t="shared" si="3"/>
        <v>Low</v>
      </c>
      <c r="L27" s="9">
        <f t="shared" si="9"/>
        <v>0</v>
      </c>
      <c r="M27" s="1" t="str">
        <f t="shared" si="4"/>
        <v>Low</v>
      </c>
      <c r="O27" s="67"/>
      <c r="P27" s="69" t="s">
        <v>31</v>
      </c>
      <c r="Q27" s="71">
        <v>83</v>
      </c>
      <c r="R27" s="72">
        <v>49740</v>
      </c>
      <c r="S27" s="72">
        <v>40000</v>
      </c>
      <c r="T27" s="72">
        <v>49126</v>
      </c>
      <c r="U27" s="72">
        <v>58400</v>
      </c>
      <c r="V27" s="72">
        <v>65713</v>
      </c>
      <c r="X27" s="25"/>
    </row>
    <row r="28" spans="2:24" ht="13.5" x14ac:dyDescent="0.2">
      <c r="C28" s="8" t="s">
        <v>32</v>
      </c>
      <c r="D28" s="9">
        <f t="shared" si="5"/>
        <v>0</v>
      </c>
      <c r="E28" s="1" t="str">
        <f t="shared" si="0"/>
        <v>Low</v>
      </c>
      <c r="F28" s="9">
        <f t="shared" si="6"/>
        <v>0</v>
      </c>
      <c r="G28" s="1" t="str">
        <f t="shared" si="1"/>
        <v>Low</v>
      </c>
      <c r="H28" s="9">
        <f t="shared" si="7"/>
        <v>0</v>
      </c>
      <c r="I28" s="1" t="str">
        <f t="shared" si="2"/>
        <v>Low</v>
      </c>
      <c r="J28" s="9">
        <f t="shared" si="8"/>
        <v>0</v>
      </c>
      <c r="K28" s="1" t="str">
        <f t="shared" si="3"/>
        <v>Low</v>
      </c>
      <c r="L28" s="9">
        <f t="shared" si="9"/>
        <v>0</v>
      </c>
      <c r="M28" s="1" t="str">
        <f t="shared" si="4"/>
        <v>Low</v>
      </c>
      <c r="O28" s="67"/>
      <c r="P28" s="69" t="s">
        <v>32</v>
      </c>
      <c r="Q28" s="71">
        <v>134</v>
      </c>
      <c r="R28" s="72">
        <v>69986</v>
      </c>
      <c r="S28" s="72">
        <v>54392</v>
      </c>
      <c r="T28" s="72">
        <v>68497</v>
      </c>
      <c r="U28" s="72">
        <v>79045</v>
      </c>
      <c r="V28" s="72">
        <v>93066</v>
      </c>
      <c r="X28" s="25"/>
    </row>
    <row r="29" spans="2:24" ht="13.5" x14ac:dyDescent="0.2">
      <c r="C29" s="8" t="s">
        <v>33</v>
      </c>
      <c r="D29" s="9">
        <f t="shared" si="5"/>
        <v>0</v>
      </c>
      <c r="E29" s="1" t="str">
        <f t="shared" si="0"/>
        <v>Low</v>
      </c>
      <c r="F29" s="9">
        <f t="shared" si="6"/>
        <v>0</v>
      </c>
      <c r="G29" s="1" t="str">
        <f t="shared" si="1"/>
        <v>Low</v>
      </c>
      <c r="H29" s="9">
        <f t="shared" si="7"/>
        <v>0</v>
      </c>
      <c r="I29" s="1" t="str">
        <f t="shared" si="2"/>
        <v>Low</v>
      </c>
      <c r="J29" s="9">
        <f t="shared" si="8"/>
        <v>0</v>
      </c>
      <c r="K29" s="1" t="str">
        <f t="shared" si="3"/>
        <v>Low</v>
      </c>
      <c r="L29" s="9">
        <f t="shared" si="9"/>
        <v>0</v>
      </c>
      <c r="M29" s="1" t="str">
        <f t="shared" si="4"/>
        <v>Low</v>
      </c>
      <c r="O29" s="67"/>
      <c r="P29" s="69" t="s">
        <v>33</v>
      </c>
      <c r="Q29" s="71">
        <v>36</v>
      </c>
      <c r="R29" s="72">
        <v>120649</v>
      </c>
      <c r="S29" s="72">
        <v>102297</v>
      </c>
      <c r="T29" s="72">
        <v>119947</v>
      </c>
      <c r="U29" s="72">
        <v>132068</v>
      </c>
      <c r="V29" s="72">
        <v>159892</v>
      </c>
      <c r="X29" s="25"/>
    </row>
    <row r="30" spans="2:24" x14ac:dyDescent="0.2">
      <c r="C30" s="8" t="s">
        <v>34</v>
      </c>
      <c r="D30" s="9">
        <f t="shared" si="5"/>
        <v>0</v>
      </c>
      <c r="E30" s="1" t="str">
        <f t="shared" si="0"/>
        <v>Low</v>
      </c>
      <c r="F30" s="9">
        <f t="shared" si="6"/>
        <v>0</v>
      </c>
      <c r="G30" s="1" t="str">
        <f t="shared" si="1"/>
        <v>Low</v>
      </c>
      <c r="H30" s="9">
        <f t="shared" si="7"/>
        <v>0</v>
      </c>
      <c r="I30" s="1" t="str">
        <f t="shared" si="2"/>
        <v>Low</v>
      </c>
      <c r="J30" s="9">
        <f t="shared" si="8"/>
        <v>0</v>
      </c>
      <c r="K30" s="1" t="str">
        <f t="shared" si="3"/>
        <v>Low</v>
      </c>
      <c r="L30" s="9">
        <f t="shared" si="9"/>
        <v>0</v>
      </c>
      <c r="M30" s="1" t="str">
        <f t="shared" si="4"/>
        <v>Low</v>
      </c>
      <c r="O30" s="67"/>
      <c r="P30" s="69" t="s">
        <v>34</v>
      </c>
      <c r="Q30" s="71">
        <v>54</v>
      </c>
      <c r="R30" s="72">
        <v>185604</v>
      </c>
      <c r="S30" s="72">
        <v>134244</v>
      </c>
      <c r="T30" s="72">
        <v>185324</v>
      </c>
      <c r="U30" s="72">
        <v>224014</v>
      </c>
      <c r="V30" s="72">
        <v>271577</v>
      </c>
      <c r="X30" s="26"/>
    </row>
    <row r="31" spans="2:24" ht="13.5" x14ac:dyDescent="0.2">
      <c r="B31" s="8" t="s">
        <v>35</v>
      </c>
      <c r="C31" s="8" t="s">
        <v>81</v>
      </c>
      <c r="D31" s="9">
        <f t="shared" si="5"/>
        <v>0</v>
      </c>
      <c r="E31" s="1" t="str">
        <f t="shared" si="0"/>
        <v>Low</v>
      </c>
      <c r="F31" s="9">
        <f t="shared" si="6"/>
        <v>0</v>
      </c>
      <c r="G31" s="1" t="str">
        <f t="shared" si="1"/>
        <v>Low</v>
      </c>
      <c r="H31" s="9">
        <f t="shared" si="7"/>
        <v>0</v>
      </c>
      <c r="I31" s="1" t="str">
        <f t="shared" si="2"/>
        <v>Low</v>
      </c>
      <c r="J31" s="9">
        <f t="shared" si="8"/>
        <v>0</v>
      </c>
      <c r="K31" s="1" t="str">
        <f t="shared" si="3"/>
        <v>Low</v>
      </c>
      <c r="L31" s="9">
        <f t="shared" si="9"/>
        <v>0</v>
      </c>
      <c r="M31" s="1" t="str">
        <f t="shared" si="4"/>
        <v>Low</v>
      </c>
      <c r="O31" s="69" t="s">
        <v>35</v>
      </c>
      <c r="P31" s="69" t="s">
        <v>81</v>
      </c>
      <c r="Q31" s="71">
        <v>8</v>
      </c>
      <c r="R31" s="72">
        <v>28960</v>
      </c>
      <c r="S31" s="72">
        <v>21921</v>
      </c>
      <c r="T31" s="72">
        <v>27977</v>
      </c>
      <c r="U31" s="72">
        <v>33414</v>
      </c>
      <c r="V31" s="72">
        <v>42187</v>
      </c>
      <c r="X31" s="25"/>
    </row>
    <row r="32" spans="2:24" ht="13.5" x14ac:dyDescent="0.2">
      <c r="C32" s="8" t="s">
        <v>111</v>
      </c>
      <c r="D32" s="9">
        <f t="shared" si="5"/>
        <v>0</v>
      </c>
      <c r="E32" s="1" t="str">
        <f t="shared" si="0"/>
        <v>Low</v>
      </c>
      <c r="F32" s="9">
        <f t="shared" si="6"/>
        <v>0</v>
      </c>
      <c r="G32" s="1" t="str">
        <f t="shared" si="1"/>
        <v>Low</v>
      </c>
      <c r="H32" s="9">
        <f t="shared" si="7"/>
        <v>0</v>
      </c>
      <c r="I32" s="1" t="str">
        <f t="shared" si="2"/>
        <v>Low</v>
      </c>
      <c r="J32" s="9">
        <f t="shared" si="8"/>
        <v>0</v>
      </c>
      <c r="K32" s="1" t="str">
        <f t="shared" si="3"/>
        <v>Low</v>
      </c>
      <c r="L32" s="9">
        <f t="shared" si="9"/>
        <v>0</v>
      </c>
      <c r="M32" s="1" t="str">
        <f t="shared" si="4"/>
        <v>Low</v>
      </c>
      <c r="O32" s="67"/>
      <c r="P32" s="69" t="s">
        <v>111</v>
      </c>
      <c r="Q32" s="71">
        <v>18</v>
      </c>
      <c r="R32" s="72">
        <v>31026</v>
      </c>
      <c r="S32" s="72">
        <v>20857</v>
      </c>
      <c r="T32" s="72">
        <v>32426</v>
      </c>
      <c r="U32" s="72">
        <v>39757</v>
      </c>
      <c r="V32" s="72">
        <v>44589</v>
      </c>
      <c r="X32" s="25"/>
    </row>
    <row r="33" spans="2:24" ht="13.5" x14ac:dyDescent="0.2">
      <c r="C33" s="8" t="s">
        <v>82</v>
      </c>
      <c r="D33" s="9">
        <f t="shared" si="5"/>
        <v>0</v>
      </c>
      <c r="E33" s="1" t="str">
        <f t="shared" si="0"/>
        <v>Low</v>
      </c>
      <c r="F33" s="9">
        <f t="shared" si="6"/>
        <v>0</v>
      </c>
      <c r="G33" s="1" t="str">
        <f t="shared" si="1"/>
        <v>Low</v>
      </c>
      <c r="H33" s="9">
        <f t="shared" si="7"/>
        <v>0</v>
      </c>
      <c r="I33" s="1" t="str">
        <f t="shared" si="2"/>
        <v>Low</v>
      </c>
      <c r="J33" s="9">
        <f t="shared" si="8"/>
        <v>0</v>
      </c>
      <c r="K33" s="1" t="str">
        <f t="shared" si="3"/>
        <v>Low</v>
      </c>
      <c r="L33" s="9">
        <f t="shared" si="9"/>
        <v>0</v>
      </c>
      <c r="M33" s="1" t="str">
        <f t="shared" si="4"/>
        <v>Low</v>
      </c>
      <c r="O33" s="67"/>
      <c r="P33" s="69" t="s">
        <v>82</v>
      </c>
      <c r="Q33" s="71">
        <v>10</v>
      </c>
      <c r="R33" s="72">
        <v>39828</v>
      </c>
      <c r="S33" s="72">
        <v>34352</v>
      </c>
      <c r="T33" s="72">
        <v>39532</v>
      </c>
      <c r="U33" s="72">
        <v>43935</v>
      </c>
      <c r="V33" s="72">
        <v>50904</v>
      </c>
      <c r="X33" s="27"/>
    </row>
    <row r="34" spans="2:24" ht="13.5" x14ac:dyDescent="0.2">
      <c r="C34" s="8" t="s">
        <v>83</v>
      </c>
      <c r="D34" s="9">
        <f t="shared" si="5"/>
        <v>0</v>
      </c>
      <c r="E34" s="1" t="str">
        <f t="shared" si="0"/>
        <v>Low</v>
      </c>
      <c r="F34" s="9">
        <f t="shared" si="6"/>
        <v>0</v>
      </c>
      <c r="G34" s="1" t="str">
        <f t="shared" si="1"/>
        <v>Low</v>
      </c>
      <c r="H34" s="9">
        <f t="shared" si="7"/>
        <v>0</v>
      </c>
      <c r="I34" s="1" t="str">
        <f t="shared" si="2"/>
        <v>Low</v>
      </c>
      <c r="J34" s="9">
        <f t="shared" si="8"/>
        <v>0</v>
      </c>
      <c r="K34" s="1" t="str">
        <f t="shared" si="3"/>
        <v>Low</v>
      </c>
      <c r="L34" s="9">
        <f t="shared" si="9"/>
        <v>0</v>
      </c>
      <c r="M34" s="1" t="str">
        <f t="shared" si="4"/>
        <v>Low</v>
      </c>
      <c r="O34" s="67"/>
      <c r="P34" s="69" t="s">
        <v>83</v>
      </c>
      <c r="Q34" s="71">
        <v>15</v>
      </c>
      <c r="R34" s="72">
        <v>38128</v>
      </c>
      <c r="S34" s="72">
        <v>32689</v>
      </c>
      <c r="T34" s="72">
        <v>35793</v>
      </c>
      <c r="U34" s="72">
        <v>45343</v>
      </c>
      <c r="V34" s="72">
        <v>50556</v>
      </c>
      <c r="X34" s="25"/>
    </row>
    <row r="35" spans="2:24" ht="13.5" x14ac:dyDescent="0.2">
      <c r="C35" s="8" t="s">
        <v>84</v>
      </c>
      <c r="D35" s="9">
        <f t="shared" si="5"/>
        <v>0</v>
      </c>
      <c r="E35" s="1" t="str">
        <f t="shared" si="0"/>
        <v>Low</v>
      </c>
      <c r="F35" s="9">
        <f t="shared" si="6"/>
        <v>0</v>
      </c>
      <c r="G35" s="1" t="str">
        <f t="shared" si="1"/>
        <v>Low</v>
      </c>
      <c r="H35" s="9">
        <f t="shared" si="7"/>
        <v>0</v>
      </c>
      <c r="I35" s="1" t="str">
        <f t="shared" si="2"/>
        <v>Low</v>
      </c>
      <c r="J35" s="9">
        <f t="shared" si="8"/>
        <v>0</v>
      </c>
      <c r="K35" s="1" t="str">
        <f t="shared" si="3"/>
        <v>Low</v>
      </c>
      <c r="L35" s="9">
        <f t="shared" si="9"/>
        <v>0</v>
      </c>
      <c r="M35" s="1" t="str">
        <f t="shared" si="4"/>
        <v>Low</v>
      </c>
      <c r="O35" s="67"/>
      <c r="P35" s="69" t="s">
        <v>84</v>
      </c>
      <c r="Q35" s="71">
        <v>30</v>
      </c>
      <c r="R35" s="72">
        <v>41696</v>
      </c>
      <c r="S35" s="72">
        <v>31364</v>
      </c>
      <c r="T35" s="72">
        <v>35944</v>
      </c>
      <c r="U35" s="72">
        <v>46159</v>
      </c>
      <c r="V35" s="72">
        <v>52891</v>
      </c>
      <c r="X35" s="27"/>
    </row>
    <row r="36" spans="2:24" x14ac:dyDescent="0.2">
      <c r="C36" s="8" t="s">
        <v>36</v>
      </c>
      <c r="D36" s="9">
        <f t="shared" si="5"/>
        <v>0</v>
      </c>
      <c r="E36" s="1" t="str">
        <f t="shared" si="0"/>
        <v>Low</v>
      </c>
      <c r="F36" s="9">
        <f t="shared" si="6"/>
        <v>0</v>
      </c>
      <c r="G36" s="1" t="str">
        <f t="shared" si="1"/>
        <v>Low</v>
      </c>
      <c r="H36" s="9">
        <f t="shared" si="7"/>
        <v>0</v>
      </c>
      <c r="I36" s="1" t="str">
        <f t="shared" si="2"/>
        <v>Low</v>
      </c>
      <c r="J36" s="9">
        <f t="shared" si="8"/>
        <v>0</v>
      </c>
      <c r="K36" s="1" t="str">
        <f t="shared" si="3"/>
        <v>Low</v>
      </c>
      <c r="L36" s="9">
        <f t="shared" si="9"/>
        <v>0</v>
      </c>
      <c r="M36" s="1" t="str">
        <f t="shared" si="4"/>
        <v>Low</v>
      </c>
      <c r="O36" s="67"/>
      <c r="P36" s="69" t="s">
        <v>36</v>
      </c>
      <c r="Q36" s="71">
        <v>46</v>
      </c>
      <c r="R36" s="72">
        <v>51591</v>
      </c>
      <c r="S36" s="72">
        <v>39537</v>
      </c>
      <c r="T36" s="72">
        <v>46304</v>
      </c>
      <c r="U36" s="72">
        <v>56816</v>
      </c>
      <c r="V36" s="72">
        <v>70559</v>
      </c>
      <c r="X36" s="26"/>
    </row>
    <row r="37" spans="2:24" ht="13.5" x14ac:dyDescent="0.2">
      <c r="C37" s="8" t="s">
        <v>37</v>
      </c>
      <c r="D37" s="9">
        <f t="shared" si="5"/>
        <v>0</v>
      </c>
      <c r="E37" s="1" t="str">
        <f t="shared" si="0"/>
        <v>Low</v>
      </c>
      <c r="F37" s="9">
        <f t="shared" si="6"/>
        <v>0</v>
      </c>
      <c r="G37" s="1" t="str">
        <f t="shared" si="1"/>
        <v>Low</v>
      </c>
      <c r="H37" s="9">
        <f t="shared" si="7"/>
        <v>0</v>
      </c>
      <c r="I37" s="1" t="str">
        <f t="shared" si="2"/>
        <v>Low</v>
      </c>
      <c r="J37" s="9">
        <f t="shared" si="8"/>
        <v>0</v>
      </c>
      <c r="K37" s="1" t="str">
        <f t="shared" si="3"/>
        <v>Low</v>
      </c>
      <c r="L37" s="9">
        <f t="shared" si="9"/>
        <v>0</v>
      </c>
      <c r="M37" s="1" t="str">
        <f t="shared" si="4"/>
        <v>Low</v>
      </c>
      <c r="O37" s="67"/>
      <c r="P37" s="69" t="s">
        <v>37</v>
      </c>
      <c r="Q37" s="71">
        <v>65</v>
      </c>
      <c r="R37" s="72">
        <v>59385</v>
      </c>
      <c r="S37" s="72">
        <v>39940</v>
      </c>
      <c r="T37" s="72">
        <v>49372</v>
      </c>
      <c r="U37" s="72">
        <v>61069</v>
      </c>
      <c r="V37" s="72">
        <v>75754</v>
      </c>
      <c r="X37" s="27"/>
    </row>
    <row r="38" spans="2:24" x14ac:dyDescent="0.2">
      <c r="C38" s="8" t="s">
        <v>38</v>
      </c>
      <c r="D38" s="9">
        <f t="shared" si="5"/>
        <v>0</v>
      </c>
      <c r="E38" s="1" t="str">
        <f t="shared" si="0"/>
        <v>Low</v>
      </c>
      <c r="F38" s="9">
        <f t="shared" si="6"/>
        <v>0</v>
      </c>
      <c r="G38" s="1" t="str">
        <f t="shared" si="1"/>
        <v>Low</v>
      </c>
      <c r="H38" s="9">
        <f t="shared" si="7"/>
        <v>0</v>
      </c>
      <c r="I38" s="1" t="str">
        <f t="shared" si="2"/>
        <v>Low</v>
      </c>
      <c r="J38" s="9">
        <f t="shared" si="8"/>
        <v>0</v>
      </c>
      <c r="K38" s="1" t="str">
        <f t="shared" si="3"/>
        <v>Low</v>
      </c>
      <c r="L38" s="9">
        <f t="shared" si="9"/>
        <v>0</v>
      </c>
      <c r="M38" s="1" t="str">
        <f t="shared" si="4"/>
        <v>Low</v>
      </c>
      <c r="O38" s="67"/>
      <c r="P38" s="69" t="s">
        <v>38</v>
      </c>
      <c r="Q38" s="71">
        <v>226</v>
      </c>
      <c r="R38" s="72">
        <v>99093</v>
      </c>
      <c r="S38" s="72">
        <v>59567</v>
      </c>
      <c r="T38" s="72">
        <v>79026</v>
      </c>
      <c r="U38" s="72">
        <v>120493</v>
      </c>
      <c r="V38" s="72">
        <v>195037</v>
      </c>
      <c r="X38" s="26"/>
    </row>
    <row r="39" spans="2:24" ht="13.5" x14ac:dyDescent="0.2">
      <c r="B39" s="8" t="s">
        <v>39</v>
      </c>
      <c r="C39" s="8" t="s">
        <v>85</v>
      </c>
      <c r="D39" s="9">
        <f t="shared" si="5"/>
        <v>0</v>
      </c>
      <c r="E39" s="1" t="str">
        <f t="shared" si="0"/>
        <v>Low</v>
      </c>
      <c r="F39" s="9">
        <f t="shared" si="6"/>
        <v>0</v>
      </c>
      <c r="G39" s="1" t="str">
        <f t="shared" si="1"/>
        <v>Low</v>
      </c>
      <c r="H39" s="9">
        <f t="shared" si="7"/>
        <v>0</v>
      </c>
      <c r="I39" s="1" t="str">
        <f t="shared" si="2"/>
        <v>Low</v>
      </c>
      <c r="J39" s="9">
        <f t="shared" si="8"/>
        <v>0</v>
      </c>
      <c r="K39" s="1" t="str">
        <f t="shared" si="3"/>
        <v>Low</v>
      </c>
      <c r="L39" s="9">
        <f t="shared" si="9"/>
        <v>0</v>
      </c>
      <c r="M39" s="1" t="str">
        <f t="shared" si="4"/>
        <v>Low</v>
      </c>
      <c r="O39" s="69" t="s">
        <v>39</v>
      </c>
      <c r="P39" s="69" t="s">
        <v>85</v>
      </c>
      <c r="Q39" s="71">
        <v>21</v>
      </c>
      <c r="R39" s="72">
        <v>28892</v>
      </c>
      <c r="S39" s="72">
        <v>19826</v>
      </c>
      <c r="T39" s="72">
        <v>27031</v>
      </c>
      <c r="U39" s="72">
        <v>34630</v>
      </c>
      <c r="V39" s="72">
        <v>44729</v>
      </c>
      <c r="X39" s="27"/>
    </row>
    <row r="40" spans="2:24" x14ac:dyDescent="0.2">
      <c r="C40" s="8" t="s">
        <v>40</v>
      </c>
      <c r="D40" s="9">
        <f t="shared" si="5"/>
        <v>0</v>
      </c>
      <c r="E40" s="1" t="str">
        <f t="shared" si="0"/>
        <v>Low</v>
      </c>
      <c r="F40" s="9">
        <f t="shared" si="6"/>
        <v>0</v>
      </c>
      <c r="G40" s="1" t="str">
        <f t="shared" si="1"/>
        <v>Low</v>
      </c>
      <c r="H40" s="9">
        <f t="shared" si="7"/>
        <v>0</v>
      </c>
      <c r="I40" s="1" t="str">
        <f t="shared" si="2"/>
        <v>Low</v>
      </c>
      <c r="J40" s="9">
        <f t="shared" si="8"/>
        <v>0</v>
      </c>
      <c r="K40" s="1" t="str">
        <f t="shared" si="3"/>
        <v>Low</v>
      </c>
      <c r="L40" s="9">
        <f t="shared" si="9"/>
        <v>0</v>
      </c>
      <c r="M40" s="1" t="str">
        <f t="shared" si="4"/>
        <v>Low</v>
      </c>
      <c r="O40" s="67"/>
      <c r="P40" s="69" t="s">
        <v>40</v>
      </c>
      <c r="Q40" s="71">
        <v>53</v>
      </c>
      <c r="R40" s="72">
        <v>36754</v>
      </c>
      <c r="S40" s="72">
        <v>31016</v>
      </c>
      <c r="T40" s="72">
        <v>34534</v>
      </c>
      <c r="U40" s="72">
        <v>42000</v>
      </c>
      <c r="V40" s="72">
        <v>48446</v>
      </c>
      <c r="X40" s="21"/>
    </row>
    <row r="41" spans="2:24" x14ac:dyDescent="0.2">
      <c r="C41" s="8" t="s">
        <v>41</v>
      </c>
      <c r="D41" s="9">
        <f t="shared" si="5"/>
        <v>0</v>
      </c>
      <c r="E41" s="1" t="str">
        <f t="shared" si="0"/>
        <v>Low</v>
      </c>
      <c r="F41" s="9">
        <f t="shared" si="6"/>
        <v>0</v>
      </c>
      <c r="G41" s="1" t="str">
        <f t="shared" si="1"/>
        <v>Low</v>
      </c>
      <c r="H41" s="9">
        <f t="shared" si="7"/>
        <v>0</v>
      </c>
      <c r="I41" s="1" t="str">
        <f t="shared" si="2"/>
        <v>Low</v>
      </c>
      <c r="J41" s="9">
        <f t="shared" si="8"/>
        <v>0</v>
      </c>
      <c r="K41" s="1" t="str">
        <f t="shared" si="3"/>
        <v>Low</v>
      </c>
      <c r="L41" s="9">
        <f t="shared" si="9"/>
        <v>0</v>
      </c>
      <c r="M41" s="1" t="str">
        <f t="shared" si="4"/>
        <v>Low</v>
      </c>
      <c r="O41" s="67"/>
      <c r="P41" s="69" t="s">
        <v>41</v>
      </c>
      <c r="Q41" s="71">
        <v>151</v>
      </c>
      <c r="R41" s="72">
        <v>48967</v>
      </c>
      <c r="S41" s="72">
        <v>40000</v>
      </c>
      <c r="T41" s="72">
        <v>47000</v>
      </c>
      <c r="U41" s="72">
        <v>56125</v>
      </c>
      <c r="V41" s="72">
        <v>68009</v>
      </c>
      <c r="X41" s="21"/>
    </row>
    <row r="42" spans="2:24" x14ac:dyDescent="0.2">
      <c r="C42" s="8" t="s">
        <v>13</v>
      </c>
      <c r="D42" s="9">
        <f t="shared" si="5"/>
        <v>0</v>
      </c>
      <c r="E42" s="1" t="str">
        <f t="shared" si="0"/>
        <v>Low</v>
      </c>
      <c r="F42" s="9">
        <f t="shared" si="6"/>
        <v>0</v>
      </c>
      <c r="G42" s="1" t="str">
        <f t="shared" si="1"/>
        <v>Low</v>
      </c>
      <c r="H42" s="9">
        <f t="shared" si="7"/>
        <v>0</v>
      </c>
      <c r="I42" s="1" t="str">
        <f t="shared" si="2"/>
        <v>Low</v>
      </c>
      <c r="J42" s="9">
        <f t="shared" si="8"/>
        <v>0</v>
      </c>
      <c r="K42" s="1" t="str">
        <f t="shared" si="3"/>
        <v>Low</v>
      </c>
      <c r="L42" s="9">
        <f t="shared" si="9"/>
        <v>0</v>
      </c>
      <c r="M42" s="1" t="str">
        <f t="shared" si="4"/>
        <v>Low</v>
      </c>
      <c r="O42" s="67"/>
      <c r="P42" s="69" t="s">
        <v>13</v>
      </c>
      <c r="Q42" s="71">
        <v>68</v>
      </c>
      <c r="R42" s="72">
        <v>66435</v>
      </c>
      <c r="S42" s="72">
        <v>57000</v>
      </c>
      <c r="T42" s="72">
        <v>65923</v>
      </c>
      <c r="U42" s="72">
        <v>73848</v>
      </c>
      <c r="V42" s="72">
        <v>79214</v>
      </c>
      <c r="X42" s="21"/>
    </row>
    <row r="43" spans="2:24" x14ac:dyDescent="0.2">
      <c r="C43" s="8" t="s">
        <v>14</v>
      </c>
      <c r="D43" s="9">
        <f t="shared" si="5"/>
        <v>0</v>
      </c>
      <c r="E43" s="1" t="str">
        <f t="shared" si="0"/>
        <v>Low</v>
      </c>
      <c r="F43" s="9">
        <f t="shared" si="6"/>
        <v>0</v>
      </c>
      <c r="G43" s="1" t="str">
        <f t="shared" si="1"/>
        <v>Low</v>
      </c>
      <c r="H43" s="9">
        <f t="shared" si="7"/>
        <v>0</v>
      </c>
      <c r="I43" s="1" t="str">
        <f t="shared" si="2"/>
        <v>Low</v>
      </c>
      <c r="J43" s="9">
        <f t="shared" si="8"/>
        <v>0</v>
      </c>
      <c r="K43" s="1" t="str">
        <f t="shared" si="3"/>
        <v>Low</v>
      </c>
      <c r="L43" s="9">
        <f t="shared" si="9"/>
        <v>0</v>
      </c>
      <c r="M43" s="1" t="str">
        <f t="shared" si="4"/>
        <v>Low</v>
      </c>
      <c r="O43" s="67"/>
      <c r="P43" s="69" t="s">
        <v>14</v>
      </c>
      <c r="Q43" s="71">
        <v>39</v>
      </c>
      <c r="R43" s="72">
        <v>97039</v>
      </c>
      <c r="S43" s="72">
        <v>78449</v>
      </c>
      <c r="T43" s="72">
        <v>90044</v>
      </c>
      <c r="U43" s="72">
        <v>117242</v>
      </c>
      <c r="V43" s="72">
        <v>126476</v>
      </c>
      <c r="X43" s="21"/>
    </row>
    <row r="44" spans="2:24" x14ac:dyDescent="0.2">
      <c r="C44" s="8" t="s">
        <v>15</v>
      </c>
      <c r="D44" s="9">
        <f t="shared" si="5"/>
        <v>0</v>
      </c>
      <c r="E44" s="1" t="str">
        <f t="shared" si="0"/>
        <v>Low</v>
      </c>
      <c r="F44" s="9">
        <f t="shared" si="6"/>
        <v>0</v>
      </c>
      <c r="G44" s="1" t="str">
        <f t="shared" si="1"/>
        <v>Low</v>
      </c>
      <c r="H44" s="9">
        <f t="shared" si="7"/>
        <v>0</v>
      </c>
      <c r="I44" s="1" t="str">
        <f t="shared" si="2"/>
        <v>Low</v>
      </c>
      <c r="J44" s="9">
        <f t="shared" si="8"/>
        <v>0</v>
      </c>
      <c r="K44" s="1" t="str">
        <f t="shared" si="3"/>
        <v>Low</v>
      </c>
      <c r="L44" s="9">
        <f t="shared" si="9"/>
        <v>0</v>
      </c>
      <c r="M44" s="1" t="str">
        <f t="shared" si="4"/>
        <v>Low</v>
      </c>
      <c r="O44" s="67"/>
      <c r="P44" s="69" t="s">
        <v>15</v>
      </c>
      <c r="Q44" s="71">
        <v>32</v>
      </c>
      <c r="R44" s="72">
        <v>118799</v>
      </c>
      <c r="S44" s="72">
        <v>102558</v>
      </c>
      <c r="T44" s="72">
        <v>120002</v>
      </c>
      <c r="U44" s="72">
        <v>135436</v>
      </c>
      <c r="V44" s="72">
        <v>142466</v>
      </c>
      <c r="X44" s="21"/>
    </row>
    <row r="45" spans="2:24" x14ac:dyDescent="0.2">
      <c r="C45" s="8" t="s">
        <v>42</v>
      </c>
      <c r="D45" s="9">
        <f t="shared" si="5"/>
        <v>0</v>
      </c>
      <c r="E45" s="1" t="str">
        <f t="shared" si="0"/>
        <v>Low</v>
      </c>
      <c r="F45" s="9">
        <f t="shared" si="6"/>
        <v>0</v>
      </c>
      <c r="G45" s="1" t="str">
        <f t="shared" si="1"/>
        <v>Low</v>
      </c>
      <c r="H45" s="9">
        <f t="shared" si="7"/>
        <v>0</v>
      </c>
      <c r="I45" s="1" t="str">
        <f t="shared" si="2"/>
        <v>Low</v>
      </c>
      <c r="J45" s="9">
        <f t="shared" si="8"/>
        <v>0</v>
      </c>
      <c r="K45" s="1" t="str">
        <f t="shared" si="3"/>
        <v>Low</v>
      </c>
      <c r="L45" s="9">
        <f t="shared" si="9"/>
        <v>0</v>
      </c>
      <c r="M45" s="1" t="str">
        <f t="shared" si="4"/>
        <v>Low</v>
      </c>
      <c r="O45" s="67"/>
      <c r="P45" s="69" t="s">
        <v>42</v>
      </c>
      <c r="Q45" s="71">
        <v>54</v>
      </c>
      <c r="R45" s="72">
        <v>186818</v>
      </c>
      <c r="S45" s="72">
        <v>128742</v>
      </c>
      <c r="T45" s="72">
        <v>192857</v>
      </c>
      <c r="U45" s="72">
        <v>224749</v>
      </c>
      <c r="V45" s="72">
        <v>273309</v>
      </c>
      <c r="X45" s="21"/>
    </row>
    <row r="46" spans="2:24" x14ac:dyDescent="0.2">
      <c r="B46" s="8" t="s">
        <v>43</v>
      </c>
      <c r="C46" s="8" t="s">
        <v>86</v>
      </c>
      <c r="D46" s="9">
        <f t="shared" si="5"/>
        <v>0</v>
      </c>
      <c r="E46" s="1" t="str">
        <f t="shared" si="0"/>
        <v>Low</v>
      </c>
      <c r="F46" s="9">
        <f t="shared" si="6"/>
        <v>0</v>
      </c>
      <c r="G46" s="1" t="str">
        <f t="shared" si="1"/>
        <v>Low</v>
      </c>
      <c r="H46" s="9">
        <f t="shared" si="7"/>
        <v>0</v>
      </c>
      <c r="I46" s="1" t="str">
        <f t="shared" si="2"/>
        <v>Low</v>
      </c>
      <c r="J46" s="9">
        <f t="shared" si="8"/>
        <v>0</v>
      </c>
      <c r="K46" s="1" t="str">
        <f t="shared" si="3"/>
        <v>Low</v>
      </c>
      <c r="L46" s="9">
        <f t="shared" si="9"/>
        <v>0</v>
      </c>
      <c r="M46" s="1" t="str">
        <f t="shared" si="4"/>
        <v>Low</v>
      </c>
      <c r="O46" s="69" t="s">
        <v>43</v>
      </c>
      <c r="P46" s="69" t="s">
        <v>86</v>
      </c>
      <c r="Q46" s="71">
        <v>28</v>
      </c>
      <c r="R46" s="72">
        <v>28627</v>
      </c>
      <c r="S46" s="72">
        <v>22054</v>
      </c>
      <c r="T46" s="72">
        <v>30000</v>
      </c>
      <c r="U46" s="72">
        <v>34644</v>
      </c>
      <c r="V46" s="72">
        <v>36977</v>
      </c>
      <c r="X46" s="21"/>
    </row>
    <row r="47" spans="2:24" x14ac:dyDescent="0.2">
      <c r="C47" s="8" t="s">
        <v>87</v>
      </c>
      <c r="D47" s="9">
        <f t="shared" si="5"/>
        <v>0</v>
      </c>
      <c r="E47" s="1" t="str">
        <f t="shared" si="0"/>
        <v>Low</v>
      </c>
      <c r="F47" s="9">
        <f t="shared" si="6"/>
        <v>0</v>
      </c>
      <c r="G47" s="1" t="str">
        <f t="shared" si="1"/>
        <v>Low</v>
      </c>
      <c r="H47" s="9">
        <f t="shared" si="7"/>
        <v>0</v>
      </c>
      <c r="I47" s="1" t="str">
        <f t="shared" si="2"/>
        <v>Low</v>
      </c>
      <c r="J47" s="9">
        <f t="shared" si="8"/>
        <v>0</v>
      </c>
      <c r="K47" s="1" t="str">
        <f t="shared" si="3"/>
        <v>Low</v>
      </c>
      <c r="L47" s="9">
        <f t="shared" si="9"/>
        <v>0</v>
      </c>
      <c r="M47" s="1" t="str">
        <f t="shared" si="4"/>
        <v>Low</v>
      </c>
      <c r="O47" s="67"/>
      <c r="P47" s="69" t="s">
        <v>87</v>
      </c>
      <c r="Q47" s="71">
        <v>60</v>
      </c>
      <c r="R47" s="72">
        <v>39616</v>
      </c>
      <c r="S47" s="72">
        <v>32446</v>
      </c>
      <c r="T47" s="72">
        <v>39754</v>
      </c>
      <c r="U47" s="72">
        <v>46473</v>
      </c>
      <c r="V47" s="72">
        <v>52781</v>
      </c>
      <c r="X47" s="21"/>
    </row>
    <row r="48" spans="2:24" x14ac:dyDescent="0.2">
      <c r="C48" s="8" t="s">
        <v>44</v>
      </c>
      <c r="D48" s="9">
        <f t="shared" si="5"/>
        <v>0</v>
      </c>
      <c r="E48" s="1" t="str">
        <f t="shared" si="0"/>
        <v>Low</v>
      </c>
      <c r="F48" s="9">
        <f t="shared" si="6"/>
        <v>0</v>
      </c>
      <c r="G48" s="1" t="str">
        <f t="shared" si="1"/>
        <v>Low</v>
      </c>
      <c r="H48" s="9">
        <f t="shared" si="7"/>
        <v>0</v>
      </c>
      <c r="I48" s="1" t="str">
        <f t="shared" si="2"/>
        <v>Low</v>
      </c>
      <c r="J48" s="9">
        <f t="shared" si="8"/>
        <v>0</v>
      </c>
      <c r="K48" s="1" t="str">
        <f t="shared" si="3"/>
        <v>Low</v>
      </c>
      <c r="L48" s="9">
        <f t="shared" si="9"/>
        <v>0</v>
      </c>
      <c r="M48" s="1" t="str">
        <f t="shared" si="4"/>
        <v>Low</v>
      </c>
      <c r="O48" s="67"/>
      <c r="P48" s="69" t="s">
        <v>44</v>
      </c>
      <c r="Q48" s="71">
        <v>131</v>
      </c>
      <c r="R48" s="72">
        <v>49322</v>
      </c>
      <c r="S48" s="72">
        <v>39631</v>
      </c>
      <c r="T48" s="72">
        <v>47134</v>
      </c>
      <c r="U48" s="72">
        <v>57000</v>
      </c>
      <c r="V48" s="72">
        <v>67950</v>
      </c>
      <c r="X48" s="21"/>
    </row>
    <row r="49" spans="1:22" ht="14.25" customHeight="1" x14ac:dyDescent="0.2">
      <c r="C49" s="8" t="s">
        <v>45</v>
      </c>
      <c r="D49" s="9">
        <f t="shared" si="5"/>
        <v>0</v>
      </c>
      <c r="E49" s="1" t="str">
        <f t="shared" si="0"/>
        <v>Low</v>
      </c>
      <c r="F49" s="9">
        <f t="shared" si="6"/>
        <v>0</v>
      </c>
      <c r="G49" s="1" t="str">
        <f t="shared" si="1"/>
        <v>Low</v>
      </c>
      <c r="H49" s="9">
        <f t="shared" si="7"/>
        <v>0</v>
      </c>
      <c r="I49" s="1" t="str">
        <f t="shared" si="2"/>
        <v>Low</v>
      </c>
      <c r="J49" s="9">
        <f t="shared" si="8"/>
        <v>0</v>
      </c>
      <c r="K49" s="1" t="str">
        <f t="shared" si="3"/>
        <v>Low</v>
      </c>
      <c r="L49" s="9">
        <f t="shared" si="9"/>
        <v>0</v>
      </c>
      <c r="M49" s="1" t="str">
        <f t="shared" si="4"/>
        <v>Low</v>
      </c>
      <c r="O49" s="67"/>
      <c r="P49" s="69" t="s">
        <v>45</v>
      </c>
      <c r="Q49" s="71">
        <v>61</v>
      </c>
      <c r="R49" s="72">
        <v>64459</v>
      </c>
      <c r="S49" s="72">
        <v>53843</v>
      </c>
      <c r="T49" s="72">
        <v>64477</v>
      </c>
      <c r="U49" s="72">
        <v>74362</v>
      </c>
      <c r="V49" s="72">
        <v>82935</v>
      </c>
    </row>
    <row r="50" spans="1:22" ht="14.25" customHeight="1" x14ac:dyDescent="0.2">
      <c r="C50" s="8" t="s">
        <v>46</v>
      </c>
      <c r="D50" s="9">
        <f t="shared" si="5"/>
        <v>0</v>
      </c>
      <c r="E50" s="1" t="str">
        <f t="shared" si="0"/>
        <v>Low</v>
      </c>
      <c r="F50" s="9">
        <f t="shared" si="6"/>
        <v>0</v>
      </c>
      <c r="G50" s="1" t="str">
        <f t="shared" si="1"/>
        <v>Low</v>
      </c>
      <c r="H50" s="9">
        <f t="shared" si="7"/>
        <v>0</v>
      </c>
      <c r="I50" s="1" t="str">
        <f t="shared" si="2"/>
        <v>Low</v>
      </c>
      <c r="J50" s="9">
        <f t="shared" si="8"/>
        <v>0</v>
      </c>
      <c r="K50" s="1" t="str">
        <f t="shared" si="3"/>
        <v>Low</v>
      </c>
      <c r="L50" s="9">
        <f t="shared" si="9"/>
        <v>0</v>
      </c>
      <c r="M50" s="1" t="str">
        <f t="shared" si="4"/>
        <v>Low</v>
      </c>
      <c r="O50" s="67"/>
      <c r="P50" s="69" t="s">
        <v>46</v>
      </c>
      <c r="Q50" s="71">
        <v>53</v>
      </c>
      <c r="R50" s="72">
        <v>86860</v>
      </c>
      <c r="S50" s="72">
        <v>71186</v>
      </c>
      <c r="T50" s="72">
        <v>80909</v>
      </c>
      <c r="U50" s="72">
        <v>99157</v>
      </c>
      <c r="V50" s="72">
        <v>120325</v>
      </c>
    </row>
    <row r="51" spans="1:22" x14ac:dyDescent="0.2">
      <c r="C51" s="8" t="s">
        <v>47</v>
      </c>
      <c r="D51" s="9">
        <f t="shared" si="5"/>
        <v>0</v>
      </c>
      <c r="E51" s="1" t="str">
        <f t="shared" si="0"/>
        <v>Low</v>
      </c>
      <c r="F51" s="9">
        <f t="shared" si="6"/>
        <v>0</v>
      </c>
      <c r="G51" s="1" t="str">
        <f t="shared" si="1"/>
        <v>Low</v>
      </c>
      <c r="H51" s="9">
        <f t="shared" si="7"/>
        <v>0</v>
      </c>
      <c r="I51" s="1" t="str">
        <f t="shared" si="2"/>
        <v>Low</v>
      </c>
      <c r="J51" s="9">
        <f t="shared" si="8"/>
        <v>0</v>
      </c>
      <c r="K51" s="1" t="str">
        <f t="shared" si="3"/>
        <v>Low</v>
      </c>
      <c r="L51" s="9">
        <f t="shared" si="9"/>
        <v>0</v>
      </c>
      <c r="M51" s="1" t="str">
        <f t="shared" si="4"/>
        <v>Low</v>
      </c>
      <c r="O51" s="67"/>
      <c r="P51" s="69" t="s">
        <v>47</v>
      </c>
      <c r="Q51" s="71">
        <v>36</v>
      </c>
      <c r="R51" s="72">
        <v>124965</v>
      </c>
      <c r="S51" s="72">
        <v>102538</v>
      </c>
      <c r="T51" s="72">
        <v>120000</v>
      </c>
      <c r="U51" s="72">
        <v>131740</v>
      </c>
      <c r="V51" s="72">
        <v>162480</v>
      </c>
    </row>
    <row r="52" spans="1:22" x14ac:dyDescent="0.2">
      <c r="C52" s="8" t="s">
        <v>48</v>
      </c>
      <c r="D52" s="9">
        <f t="shared" si="5"/>
        <v>0</v>
      </c>
      <c r="E52" s="1" t="str">
        <f t="shared" si="0"/>
        <v>Low</v>
      </c>
      <c r="F52" s="9">
        <f t="shared" si="6"/>
        <v>0</v>
      </c>
      <c r="G52" s="1" t="str">
        <f t="shared" si="1"/>
        <v>Low</v>
      </c>
      <c r="H52" s="9">
        <f t="shared" si="7"/>
        <v>0</v>
      </c>
      <c r="I52" s="1" t="str">
        <f t="shared" si="2"/>
        <v>Low</v>
      </c>
      <c r="J52" s="9">
        <f t="shared" si="8"/>
        <v>0</v>
      </c>
      <c r="K52" s="1" t="str">
        <f t="shared" si="3"/>
        <v>Low</v>
      </c>
      <c r="L52" s="9">
        <f t="shared" si="9"/>
        <v>0</v>
      </c>
      <c r="M52" s="1" t="str">
        <f t="shared" si="4"/>
        <v>Low</v>
      </c>
      <c r="O52" s="67"/>
      <c r="P52" s="69" t="s">
        <v>48</v>
      </c>
      <c r="Q52" s="71">
        <v>6</v>
      </c>
      <c r="R52" s="72">
        <v>170698</v>
      </c>
      <c r="S52" s="72">
        <v>135000</v>
      </c>
      <c r="T52" s="72">
        <v>177321</v>
      </c>
      <c r="U52" s="72">
        <v>202271</v>
      </c>
      <c r="V52" s="72">
        <v>206308</v>
      </c>
    </row>
    <row r="53" spans="1:22" x14ac:dyDescent="0.2">
      <c r="C53" s="8" t="s">
        <v>49</v>
      </c>
      <c r="D53" s="9">
        <f t="shared" si="5"/>
        <v>0</v>
      </c>
      <c r="E53" s="1" t="str">
        <f t="shared" si="0"/>
        <v>Low</v>
      </c>
      <c r="F53" s="9">
        <f t="shared" si="6"/>
        <v>0</v>
      </c>
      <c r="G53" s="1" t="str">
        <f t="shared" si="1"/>
        <v>Low</v>
      </c>
      <c r="H53" s="9">
        <f t="shared" si="7"/>
        <v>0</v>
      </c>
      <c r="I53" s="1" t="str">
        <f t="shared" si="2"/>
        <v>Low</v>
      </c>
      <c r="J53" s="9">
        <f t="shared" si="8"/>
        <v>0</v>
      </c>
      <c r="K53" s="1" t="str">
        <f t="shared" si="3"/>
        <v>Low</v>
      </c>
      <c r="L53" s="9">
        <f t="shared" si="9"/>
        <v>0</v>
      </c>
      <c r="M53" s="1" t="str">
        <f t="shared" si="4"/>
        <v>Low</v>
      </c>
      <c r="O53" s="67"/>
      <c r="P53" s="69" t="s">
        <v>49</v>
      </c>
      <c r="Q53" s="71">
        <v>6</v>
      </c>
      <c r="R53" s="72">
        <v>186194</v>
      </c>
      <c r="S53" s="72">
        <v>125124</v>
      </c>
      <c r="T53" s="72">
        <v>164200</v>
      </c>
      <c r="U53" s="72">
        <v>217339</v>
      </c>
      <c r="V53" s="72">
        <v>277771</v>
      </c>
    </row>
    <row r="54" spans="1:22" ht="18" customHeight="1" x14ac:dyDescent="0.2">
      <c r="C54" s="8" t="s">
        <v>50</v>
      </c>
      <c r="D54" s="9">
        <f t="shared" si="5"/>
        <v>0</v>
      </c>
      <c r="E54" s="1" t="str">
        <f t="shared" si="0"/>
        <v>Low</v>
      </c>
      <c r="F54" s="9">
        <f t="shared" si="6"/>
        <v>0</v>
      </c>
      <c r="G54" s="1" t="str">
        <f t="shared" si="1"/>
        <v>Low</v>
      </c>
      <c r="H54" s="9">
        <f t="shared" si="7"/>
        <v>0</v>
      </c>
      <c r="I54" s="1" t="str">
        <f t="shared" si="2"/>
        <v>Low</v>
      </c>
      <c r="J54" s="9">
        <f t="shared" si="8"/>
        <v>0</v>
      </c>
      <c r="K54" s="1" t="str">
        <f t="shared" si="3"/>
        <v>Low</v>
      </c>
      <c r="L54" s="9">
        <f t="shared" si="9"/>
        <v>0</v>
      </c>
      <c r="M54" s="1" t="str">
        <f t="shared" si="4"/>
        <v>Low</v>
      </c>
      <c r="O54" s="67"/>
      <c r="P54" s="69" t="s">
        <v>50</v>
      </c>
      <c r="Q54" s="71">
        <v>37</v>
      </c>
      <c r="R54" s="72">
        <v>196836</v>
      </c>
      <c r="S54" s="72">
        <v>138311</v>
      </c>
      <c r="T54" s="72">
        <v>195231</v>
      </c>
      <c r="U54" s="72">
        <v>240311</v>
      </c>
      <c r="V54" s="72">
        <v>276303</v>
      </c>
    </row>
    <row r="55" spans="1:22" x14ac:dyDescent="0.2">
      <c r="B55" s="8" t="s">
        <v>51</v>
      </c>
      <c r="C55" s="8" t="s">
        <v>52</v>
      </c>
      <c r="D55" s="9">
        <f t="shared" si="5"/>
        <v>0</v>
      </c>
      <c r="E55" s="1" t="str">
        <f t="shared" si="0"/>
        <v>Low</v>
      </c>
      <c r="F55" s="9">
        <f t="shared" si="6"/>
        <v>0</v>
      </c>
      <c r="G55" s="1" t="str">
        <f t="shared" si="1"/>
        <v>Low</v>
      </c>
      <c r="H55" s="9">
        <f t="shared" si="7"/>
        <v>0</v>
      </c>
      <c r="I55" s="1" t="str">
        <f t="shared" si="2"/>
        <v>Low</v>
      </c>
      <c r="J55" s="9">
        <f t="shared" si="8"/>
        <v>0</v>
      </c>
      <c r="K55" s="1" t="str">
        <f t="shared" si="3"/>
        <v>Low</v>
      </c>
      <c r="L55" s="9">
        <f t="shared" si="9"/>
        <v>0</v>
      </c>
      <c r="M55" s="1" t="str">
        <f t="shared" si="4"/>
        <v>Low</v>
      </c>
      <c r="O55" s="69" t="s">
        <v>51</v>
      </c>
      <c r="P55" s="69" t="s">
        <v>52</v>
      </c>
      <c r="Q55" s="71">
        <v>187</v>
      </c>
      <c r="R55" s="72">
        <v>46107</v>
      </c>
      <c r="S55" s="72">
        <v>33631</v>
      </c>
      <c r="T55" s="72">
        <v>44162</v>
      </c>
      <c r="U55" s="72">
        <v>54128</v>
      </c>
      <c r="V55" s="72">
        <v>68639</v>
      </c>
    </row>
    <row r="56" spans="1:22" x14ac:dyDescent="0.2">
      <c r="C56" s="8" t="s">
        <v>53</v>
      </c>
      <c r="D56" s="9">
        <f t="shared" si="5"/>
        <v>0</v>
      </c>
      <c r="E56" s="1" t="str">
        <f t="shared" si="0"/>
        <v>Low</v>
      </c>
      <c r="F56" s="9">
        <f t="shared" si="6"/>
        <v>0</v>
      </c>
      <c r="G56" s="1" t="str">
        <f t="shared" si="1"/>
        <v>Low</v>
      </c>
      <c r="H56" s="9">
        <f t="shared" si="7"/>
        <v>0</v>
      </c>
      <c r="I56" s="1" t="str">
        <f t="shared" si="2"/>
        <v>Low</v>
      </c>
      <c r="J56" s="9">
        <f t="shared" si="8"/>
        <v>0</v>
      </c>
      <c r="K56" s="1" t="str">
        <f t="shared" si="3"/>
        <v>Low</v>
      </c>
      <c r="L56" s="9">
        <f t="shared" si="9"/>
        <v>0</v>
      </c>
      <c r="M56" s="1" t="str">
        <f t="shared" si="4"/>
        <v>Low</v>
      </c>
      <c r="O56" s="67"/>
      <c r="P56" s="69" t="s">
        <v>53</v>
      </c>
      <c r="Q56" s="71">
        <v>75</v>
      </c>
      <c r="R56" s="72">
        <v>64000</v>
      </c>
      <c r="S56" s="72">
        <v>42973</v>
      </c>
      <c r="T56" s="72">
        <v>58718</v>
      </c>
      <c r="U56" s="72">
        <v>68458</v>
      </c>
      <c r="V56" s="72">
        <v>87468</v>
      </c>
    </row>
    <row r="57" spans="1:22" x14ac:dyDescent="0.2">
      <c r="C57" s="8" t="s">
        <v>54</v>
      </c>
      <c r="D57" s="9">
        <f t="shared" si="5"/>
        <v>0</v>
      </c>
      <c r="E57" s="1" t="str">
        <f t="shared" si="0"/>
        <v>Low</v>
      </c>
      <c r="F57" s="9">
        <f t="shared" si="6"/>
        <v>0</v>
      </c>
      <c r="G57" s="1" t="str">
        <f t="shared" si="1"/>
        <v>Low</v>
      </c>
      <c r="H57" s="9">
        <f t="shared" si="7"/>
        <v>0</v>
      </c>
      <c r="I57" s="1" t="str">
        <f t="shared" si="2"/>
        <v>Low</v>
      </c>
      <c r="J57" s="9">
        <f t="shared" si="8"/>
        <v>0</v>
      </c>
      <c r="K57" s="1" t="str">
        <f t="shared" si="3"/>
        <v>Low</v>
      </c>
      <c r="L57" s="9">
        <f t="shared" si="9"/>
        <v>0</v>
      </c>
      <c r="M57" s="1" t="str">
        <f t="shared" si="4"/>
        <v>Low</v>
      </c>
      <c r="O57" s="67"/>
      <c r="P57" s="69" t="s">
        <v>54</v>
      </c>
      <c r="Q57" s="71">
        <v>37</v>
      </c>
      <c r="R57" s="72">
        <v>66852</v>
      </c>
      <c r="S57" s="72">
        <v>51848</v>
      </c>
      <c r="T57" s="72">
        <v>64038</v>
      </c>
      <c r="U57" s="72">
        <v>74409</v>
      </c>
      <c r="V57" s="72">
        <v>92468</v>
      </c>
    </row>
    <row r="58" spans="1:22" x14ac:dyDescent="0.2">
      <c r="C58" s="8" t="s">
        <v>55</v>
      </c>
      <c r="D58" s="9">
        <f>IF(R58="*", "N/A", $A$4/R58)</f>
        <v>0</v>
      </c>
      <c r="E58" s="1" t="str">
        <f t="shared" si="0"/>
        <v>Low</v>
      </c>
      <c r="F58" s="9">
        <f>IF(S58="*", "N/A", $A$4/S58)</f>
        <v>0</v>
      </c>
      <c r="G58" s="1" t="str">
        <f t="shared" si="1"/>
        <v>Low</v>
      </c>
      <c r="H58" s="9">
        <f>IF(T58="*", "N/A", $A$4/T58)</f>
        <v>0</v>
      </c>
      <c r="I58" s="1" t="str">
        <f t="shared" si="2"/>
        <v>Low</v>
      </c>
      <c r="J58" s="9">
        <f>IF(U58="*", "N/A", $A$4/U58)</f>
        <v>0</v>
      </c>
      <c r="K58" s="1" t="str">
        <f t="shared" si="3"/>
        <v>Low</v>
      </c>
      <c r="L58" s="9">
        <f>IF(V58="*", "N/A", $A$4/V58)</f>
        <v>0</v>
      </c>
      <c r="M58" s="1" t="str">
        <f t="shared" si="4"/>
        <v>Low</v>
      </c>
      <c r="O58" s="67"/>
      <c r="P58" s="69" t="s">
        <v>55</v>
      </c>
      <c r="Q58" s="71">
        <v>21</v>
      </c>
      <c r="R58" s="72">
        <v>80127</v>
      </c>
      <c r="S58" s="72">
        <v>66217</v>
      </c>
      <c r="T58" s="72">
        <v>80756</v>
      </c>
      <c r="U58" s="72">
        <v>90904</v>
      </c>
      <c r="V58" s="72">
        <v>109861</v>
      </c>
    </row>
    <row r="59" spans="1:22" ht="13.5" customHeight="1" thickBot="1" x14ac:dyDescent="0.25">
      <c r="A59" s="10"/>
      <c r="B59" s="10"/>
      <c r="C59" s="11" t="s">
        <v>56</v>
      </c>
      <c r="D59" s="12">
        <f t="shared" si="5"/>
        <v>0</v>
      </c>
      <c r="E59" s="2" t="str">
        <f t="shared" si="0"/>
        <v>Low</v>
      </c>
      <c r="F59" s="12">
        <f t="shared" si="6"/>
        <v>0</v>
      </c>
      <c r="G59" s="2" t="str">
        <f t="shared" si="1"/>
        <v>Low</v>
      </c>
      <c r="H59" s="12">
        <f t="shared" si="7"/>
        <v>0</v>
      </c>
      <c r="I59" s="2" t="str">
        <f t="shared" si="2"/>
        <v>Low</v>
      </c>
      <c r="J59" s="12">
        <f t="shared" si="8"/>
        <v>0</v>
      </c>
      <c r="K59" s="2" t="str">
        <f t="shared" si="3"/>
        <v>Low</v>
      </c>
      <c r="L59" s="12">
        <f t="shared" si="9"/>
        <v>0</v>
      </c>
      <c r="M59" s="2" t="str">
        <f t="shared" si="4"/>
        <v>Low</v>
      </c>
      <c r="O59" s="67"/>
      <c r="P59" s="69" t="s">
        <v>56</v>
      </c>
      <c r="Q59" s="71">
        <v>98</v>
      </c>
      <c r="R59" s="72">
        <v>145452</v>
      </c>
      <c r="S59" s="72">
        <v>100730</v>
      </c>
      <c r="T59" s="72">
        <v>128751</v>
      </c>
      <c r="U59" s="72">
        <v>190208</v>
      </c>
      <c r="V59" s="72">
        <v>236708</v>
      </c>
    </row>
    <row r="60" spans="1:22" ht="12.75" customHeight="1" x14ac:dyDescent="0.2">
      <c r="A60" s="8" t="s">
        <v>88</v>
      </c>
      <c r="D60" s="8"/>
      <c r="E60" s="8"/>
      <c r="F60" s="8"/>
      <c r="G60" s="8"/>
      <c r="H60" s="8"/>
      <c r="I60" s="8"/>
      <c r="J60" s="8"/>
      <c r="K60" s="8"/>
      <c r="L60" s="8"/>
      <c r="M60" s="8"/>
      <c r="O60" s="74" t="s">
        <v>57</v>
      </c>
      <c r="P60" s="74"/>
      <c r="Q60" s="74"/>
      <c r="R60" s="74"/>
      <c r="S60" s="74"/>
      <c r="T60" s="74"/>
      <c r="U60" s="74"/>
      <c r="V60" s="74"/>
    </row>
    <row r="61" spans="1:22" x14ac:dyDescent="0.2">
      <c r="A61" s="8" t="s">
        <v>89</v>
      </c>
      <c r="B61" s="8"/>
      <c r="C61" s="8"/>
      <c r="D61" s="8"/>
      <c r="E61" s="8"/>
      <c r="F61" s="8"/>
      <c r="G61" s="8"/>
      <c r="H61" s="8"/>
      <c r="I61" s="8"/>
      <c r="J61" s="8"/>
      <c r="K61" s="8"/>
      <c r="L61" s="8"/>
      <c r="M61" s="8"/>
      <c r="O61" s="29" t="s">
        <v>58</v>
      </c>
      <c r="P61" s="29"/>
      <c r="Q61" s="29"/>
      <c r="R61" s="29"/>
      <c r="S61" s="29"/>
      <c r="T61" s="29"/>
      <c r="U61" s="29"/>
      <c r="V61" s="29"/>
    </row>
    <row r="62" spans="1:22" x14ac:dyDescent="0.2">
      <c r="A62" s="8"/>
      <c r="B62" s="8"/>
      <c r="C62" s="8"/>
      <c r="F62" s="19"/>
      <c r="G62" s="19"/>
      <c r="H62" s="19"/>
      <c r="I62" s="19"/>
      <c r="J62" s="19"/>
      <c r="K62" s="19"/>
      <c r="L62" s="8"/>
      <c r="M62" s="8"/>
      <c r="O62" s="29" t="s">
        <v>59</v>
      </c>
      <c r="P62" s="29"/>
      <c r="Q62" s="29"/>
      <c r="R62" s="29"/>
      <c r="S62" s="29"/>
      <c r="T62" s="29"/>
      <c r="U62" s="29"/>
      <c r="V62" s="29"/>
    </row>
    <row r="63" spans="1:22" x14ac:dyDescent="0.2">
      <c r="A63" s="77" t="s">
        <v>95</v>
      </c>
      <c r="B63" s="75" t="s">
        <v>120</v>
      </c>
      <c r="C63" s="75"/>
      <c r="D63" s="75"/>
      <c r="E63" s="75"/>
      <c r="F63" s="75"/>
      <c r="G63" s="75"/>
      <c r="H63" s="75"/>
      <c r="I63" s="75"/>
      <c r="J63" s="75"/>
      <c r="K63" s="75"/>
    </row>
    <row r="64" spans="1:22" ht="14.25" customHeight="1" x14ac:dyDescent="0.25">
      <c r="A64" s="77"/>
      <c r="B64" s="20"/>
      <c r="C64" s="20"/>
      <c r="F64" s="77" t="s">
        <v>98</v>
      </c>
      <c r="I64" s="77" t="s">
        <v>99</v>
      </c>
      <c r="O64" s="73" t="s">
        <v>132</v>
      </c>
      <c r="P64" s="73"/>
      <c r="Q64" s="73"/>
      <c r="R64" s="73"/>
      <c r="S64" s="73"/>
      <c r="T64" s="73"/>
      <c r="U64" s="73"/>
      <c r="V64" s="73"/>
    </row>
    <row r="65" spans="1:22" ht="18.75" customHeight="1" x14ac:dyDescent="0.25">
      <c r="A65" s="77"/>
      <c r="B65" s="20"/>
      <c r="C65" s="20"/>
      <c r="D65" s="75" t="s">
        <v>60</v>
      </c>
      <c r="E65" s="75"/>
      <c r="F65" s="77"/>
      <c r="G65" s="75" t="s">
        <v>61</v>
      </c>
      <c r="H65" s="75"/>
      <c r="I65" s="77"/>
      <c r="J65" s="75" t="s">
        <v>91</v>
      </c>
      <c r="K65" s="75"/>
      <c r="L65" s="19"/>
      <c r="O65" s="73" t="s">
        <v>133</v>
      </c>
      <c r="P65" s="73"/>
      <c r="Q65" s="73"/>
      <c r="R65" s="73"/>
      <c r="S65" s="73"/>
      <c r="T65" s="73"/>
      <c r="U65" s="73"/>
      <c r="V65" s="73"/>
    </row>
    <row r="66" spans="1:22" ht="26.25" thickBot="1" x14ac:dyDescent="0.25">
      <c r="A66" s="7" t="s">
        <v>94</v>
      </c>
      <c r="B66" s="7"/>
      <c r="C66" s="7"/>
      <c r="D66" s="7" t="s">
        <v>0</v>
      </c>
      <c r="E66" s="7" t="s">
        <v>90</v>
      </c>
      <c r="F66" s="7" t="s">
        <v>96</v>
      </c>
      <c r="G66" s="7" t="s">
        <v>0</v>
      </c>
      <c r="H66" s="7" t="s">
        <v>90</v>
      </c>
      <c r="I66" s="7" t="s">
        <v>62</v>
      </c>
      <c r="J66" s="7" t="s">
        <v>0</v>
      </c>
      <c r="K66" s="7" t="s">
        <v>90</v>
      </c>
      <c r="O66" s="32"/>
      <c r="P66" s="32"/>
      <c r="Q66" s="32" t="s">
        <v>1</v>
      </c>
      <c r="R66" s="32" t="s">
        <v>60</v>
      </c>
      <c r="S66" s="32" t="s">
        <v>1</v>
      </c>
      <c r="T66" s="32" t="s">
        <v>61</v>
      </c>
      <c r="U66" s="32" t="s">
        <v>1</v>
      </c>
      <c r="V66" s="32" t="s">
        <v>62</v>
      </c>
    </row>
    <row r="67" spans="1:22" ht="13.5" thickTop="1" x14ac:dyDescent="0.2">
      <c r="A67" s="17"/>
      <c r="B67" s="8" t="s">
        <v>7</v>
      </c>
      <c r="C67" s="8"/>
      <c r="D67" s="9">
        <f t="shared" ref="D67:D122" si="10">IF(R67="*", "N/A", $A$67/R67)</f>
        <v>0</v>
      </c>
      <c r="E67" s="1" t="str">
        <f t="shared" ref="E67:E122" si="11">IF(D67="N/A",D67,IF(AND(D67&gt;0.949,D67&lt;1.051),"Competitive",IF(D67&lt;0.949,"Low","High")))</f>
        <v>Low</v>
      </c>
      <c r="F67" s="17"/>
      <c r="G67" s="9">
        <f>IF(T67="*", "N/A", $F$67/T67)</f>
        <v>0</v>
      </c>
      <c r="H67" s="1" t="str">
        <f t="shared" ref="H67:H122" si="12">IF(G67="N/A",G67,IF(AND(G67&gt;0.949,G67&lt;1.051),"Competitive",IF(G67&lt;0.949,"Low","High")))</f>
        <v>Low</v>
      </c>
      <c r="I67" s="17">
        <f>A67+F67</f>
        <v>0</v>
      </c>
      <c r="J67" s="9">
        <f>IF(V67="*", "N/A", $I$67/V67)</f>
        <v>0</v>
      </c>
      <c r="K67" s="1" t="str">
        <f t="shared" ref="K67:K122" si="13">IF(J67="N/A",J67,IF(AND(J67&gt;0.949,J67&lt;1.051),"Competitive",IF(J67&lt;0.949,"Low","High")))</f>
        <v>Low</v>
      </c>
      <c r="O67" s="33" t="s">
        <v>7</v>
      </c>
      <c r="P67" s="33"/>
      <c r="Q67" s="35">
        <v>52</v>
      </c>
      <c r="R67" s="36">
        <v>7659</v>
      </c>
      <c r="S67" s="35">
        <v>146</v>
      </c>
      <c r="T67" s="36">
        <v>4098</v>
      </c>
      <c r="U67" s="35">
        <v>178</v>
      </c>
      <c r="V67" s="36">
        <v>5576</v>
      </c>
    </row>
    <row r="68" spans="1:22" x14ac:dyDescent="0.2">
      <c r="B68" s="8" t="s">
        <v>8</v>
      </c>
      <c r="C68" s="8" t="s">
        <v>110</v>
      </c>
      <c r="D68" s="9" t="str">
        <f t="shared" si="10"/>
        <v>N/A</v>
      </c>
      <c r="E68" s="1" t="str">
        <f t="shared" si="11"/>
        <v>N/A</v>
      </c>
      <c r="G68" s="9" t="str">
        <f t="shared" ref="G68:G122" si="14">IF(T68="*", "N/A", $F$67/T68)</f>
        <v>N/A</v>
      </c>
      <c r="H68" s="1" t="str">
        <f t="shared" si="12"/>
        <v>N/A</v>
      </c>
      <c r="J68" s="9" t="str">
        <f t="shared" ref="J68:J122" si="15">IF(V68="*", "N/A", $I$67/V68)</f>
        <v>N/A</v>
      </c>
      <c r="K68" s="1" t="str">
        <f t="shared" si="13"/>
        <v>N/A</v>
      </c>
      <c r="M68" s="9"/>
      <c r="N68" s="1"/>
      <c r="O68" s="33" t="s">
        <v>8</v>
      </c>
      <c r="P68" s="33" t="s">
        <v>110</v>
      </c>
      <c r="Q68" s="35">
        <v>0</v>
      </c>
      <c r="R68" s="34" t="s">
        <v>10</v>
      </c>
      <c r="S68" s="35">
        <v>1</v>
      </c>
      <c r="T68" s="34" t="s">
        <v>10</v>
      </c>
      <c r="U68" s="35">
        <v>1</v>
      </c>
      <c r="V68" s="34" t="s">
        <v>10</v>
      </c>
    </row>
    <row r="69" spans="1:22" x14ac:dyDescent="0.2">
      <c r="C69" s="8" t="s">
        <v>40</v>
      </c>
      <c r="D69" s="9" t="str">
        <f t="shared" si="10"/>
        <v>N/A</v>
      </c>
      <c r="E69" s="1" t="str">
        <f t="shared" si="11"/>
        <v>N/A</v>
      </c>
      <c r="G69" s="9">
        <f t="shared" si="14"/>
        <v>0</v>
      </c>
      <c r="H69" s="1" t="str">
        <f t="shared" si="12"/>
        <v>Low</v>
      </c>
      <c r="J69" s="9">
        <f t="shared" si="15"/>
        <v>0</v>
      </c>
      <c r="K69" s="1" t="str">
        <f t="shared" si="13"/>
        <v>Low</v>
      </c>
      <c r="M69" s="9"/>
      <c r="N69" s="1"/>
      <c r="O69" s="31"/>
      <c r="P69" s="33" t="s">
        <v>40</v>
      </c>
      <c r="Q69" s="35">
        <v>0</v>
      </c>
      <c r="R69" s="34" t="s">
        <v>10</v>
      </c>
      <c r="S69" s="35">
        <v>3</v>
      </c>
      <c r="T69" s="36">
        <v>533</v>
      </c>
      <c r="U69" s="35">
        <v>3</v>
      </c>
      <c r="V69" s="36">
        <v>533</v>
      </c>
    </row>
    <row r="70" spans="1:22" x14ac:dyDescent="0.2">
      <c r="C70" s="8" t="s">
        <v>9</v>
      </c>
      <c r="D70" s="9">
        <f t="shared" si="10"/>
        <v>0</v>
      </c>
      <c r="E70" s="1" t="str">
        <f t="shared" si="11"/>
        <v>Low</v>
      </c>
      <c r="G70" s="9">
        <f t="shared" si="14"/>
        <v>0</v>
      </c>
      <c r="H70" s="1" t="str">
        <f t="shared" si="12"/>
        <v>Low</v>
      </c>
      <c r="J70" s="9">
        <f t="shared" si="15"/>
        <v>0</v>
      </c>
      <c r="K70" s="1" t="str">
        <f t="shared" si="13"/>
        <v>Low</v>
      </c>
      <c r="M70" s="9"/>
      <c r="N70" s="1"/>
      <c r="O70" s="31"/>
      <c r="P70" s="33" t="s">
        <v>9</v>
      </c>
      <c r="Q70" s="35">
        <v>2</v>
      </c>
      <c r="R70" s="36">
        <v>328</v>
      </c>
      <c r="S70" s="35">
        <v>16</v>
      </c>
      <c r="T70" s="36">
        <v>1228</v>
      </c>
      <c r="U70" s="35">
        <v>16</v>
      </c>
      <c r="V70" s="36">
        <v>1269</v>
      </c>
    </row>
    <row r="71" spans="1:22" x14ac:dyDescent="0.2">
      <c r="C71" s="8" t="s">
        <v>12</v>
      </c>
      <c r="D71" s="9">
        <f t="shared" si="10"/>
        <v>0</v>
      </c>
      <c r="E71" s="1" t="str">
        <f t="shared" si="11"/>
        <v>Low</v>
      </c>
      <c r="G71" s="9">
        <f t="shared" si="14"/>
        <v>0</v>
      </c>
      <c r="H71" s="1" t="str">
        <f t="shared" si="12"/>
        <v>Low</v>
      </c>
      <c r="J71" s="9">
        <f t="shared" si="15"/>
        <v>0</v>
      </c>
      <c r="K71" s="1" t="str">
        <f t="shared" si="13"/>
        <v>Low</v>
      </c>
      <c r="M71" s="9"/>
      <c r="N71" s="1"/>
      <c r="O71" s="31"/>
      <c r="P71" s="33" t="s">
        <v>12</v>
      </c>
      <c r="Q71" s="35">
        <v>4</v>
      </c>
      <c r="R71" s="36">
        <v>800</v>
      </c>
      <c r="S71" s="35">
        <v>27</v>
      </c>
      <c r="T71" s="36">
        <v>1016</v>
      </c>
      <c r="U71" s="35">
        <v>27</v>
      </c>
      <c r="V71" s="36">
        <v>1135</v>
      </c>
    </row>
    <row r="72" spans="1:22" x14ac:dyDescent="0.2">
      <c r="C72" s="8" t="s">
        <v>13</v>
      </c>
      <c r="D72" s="9">
        <f t="shared" si="10"/>
        <v>0</v>
      </c>
      <c r="E72" s="1" t="str">
        <f t="shared" si="11"/>
        <v>Low</v>
      </c>
      <c r="G72" s="9">
        <f t="shared" si="14"/>
        <v>0</v>
      </c>
      <c r="H72" s="1" t="str">
        <f t="shared" si="12"/>
        <v>Low</v>
      </c>
      <c r="J72" s="9">
        <f t="shared" si="15"/>
        <v>0</v>
      </c>
      <c r="K72" s="1" t="str">
        <f t="shared" si="13"/>
        <v>Low</v>
      </c>
      <c r="M72" s="9"/>
      <c r="N72" s="1"/>
      <c r="O72" s="31"/>
      <c r="P72" s="33" t="s">
        <v>13</v>
      </c>
      <c r="Q72" s="35">
        <v>13</v>
      </c>
      <c r="R72" s="36">
        <v>3350</v>
      </c>
      <c r="S72" s="35">
        <v>34</v>
      </c>
      <c r="T72" s="36">
        <v>3314</v>
      </c>
      <c r="U72" s="35">
        <v>41</v>
      </c>
      <c r="V72" s="36">
        <v>3799</v>
      </c>
    </row>
    <row r="73" spans="1:22" x14ac:dyDescent="0.2">
      <c r="C73" s="8" t="s">
        <v>14</v>
      </c>
      <c r="D73" s="9">
        <f t="shared" si="10"/>
        <v>0</v>
      </c>
      <c r="E73" s="1" t="str">
        <f t="shared" si="11"/>
        <v>Low</v>
      </c>
      <c r="G73" s="9">
        <f t="shared" si="14"/>
        <v>0</v>
      </c>
      <c r="H73" s="1" t="str">
        <f t="shared" si="12"/>
        <v>Low</v>
      </c>
      <c r="J73" s="9">
        <f t="shared" si="15"/>
        <v>0</v>
      </c>
      <c r="K73" s="1" t="str">
        <f t="shared" si="13"/>
        <v>Low</v>
      </c>
      <c r="M73" s="9"/>
      <c r="N73" s="1"/>
      <c r="O73" s="31"/>
      <c r="P73" s="33" t="s">
        <v>14</v>
      </c>
      <c r="Q73" s="35">
        <v>10</v>
      </c>
      <c r="R73" s="36">
        <v>3850</v>
      </c>
      <c r="S73" s="35">
        <v>20</v>
      </c>
      <c r="T73" s="36">
        <v>2625</v>
      </c>
      <c r="U73" s="35">
        <v>27</v>
      </c>
      <c r="V73" s="36">
        <v>3344</v>
      </c>
    </row>
    <row r="74" spans="1:22" x14ac:dyDescent="0.2">
      <c r="C74" s="8" t="s">
        <v>15</v>
      </c>
      <c r="D74" s="9">
        <f t="shared" si="10"/>
        <v>0</v>
      </c>
      <c r="E74" s="1" t="str">
        <f t="shared" si="11"/>
        <v>Low</v>
      </c>
      <c r="G74" s="9">
        <f t="shared" si="14"/>
        <v>0</v>
      </c>
      <c r="H74" s="1" t="str">
        <f t="shared" si="12"/>
        <v>Low</v>
      </c>
      <c r="J74" s="9">
        <f t="shared" si="15"/>
        <v>0</v>
      </c>
      <c r="K74" s="1" t="str">
        <f t="shared" si="13"/>
        <v>Low</v>
      </c>
      <c r="M74" s="9"/>
      <c r="N74" s="1"/>
      <c r="O74" s="31"/>
      <c r="P74" s="33" t="s">
        <v>15</v>
      </c>
      <c r="Q74" s="35">
        <v>8</v>
      </c>
      <c r="R74" s="36">
        <v>8021</v>
      </c>
      <c r="S74" s="35">
        <v>19</v>
      </c>
      <c r="T74" s="36">
        <v>3375</v>
      </c>
      <c r="U74" s="35">
        <v>24</v>
      </c>
      <c r="V74" s="36">
        <v>5267</v>
      </c>
    </row>
    <row r="75" spans="1:22" x14ac:dyDescent="0.2">
      <c r="C75" s="8" t="s">
        <v>17</v>
      </c>
      <c r="D75" s="9">
        <f t="shared" si="10"/>
        <v>0</v>
      </c>
      <c r="E75" s="1" t="str">
        <f t="shared" si="11"/>
        <v>Low</v>
      </c>
      <c r="G75" s="9">
        <f t="shared" si="14"/>
        <v>0</v>
      </c>
      <c r="H75" s="1" t="str">
        <f t="shared" si="12"/>
        <v>Low</v>
      </c>
      <c r="J75" s="9">
        <f t="shared" si="15"/>
        <v>0</v>
      </c>
      <c r="K75" s="1" t="str">
        <f t="shared" si="13"/>
        <v>Low</v>
      </c>
      <c r="M75" s="9"/>
      <c r="N75" s="1"/>
      <c r="O75" s="31"/>
      <c r="P75" s="33" t="s">
        <v>17</v>
      </c>
      <c r="Q75" s="35">
        <v>6</v>
      </c>
      <c r="R75" s="36">
        <v>10103</v>
      </c>
      <c r="S75" s="35">
        <v>14</v>
      </c>
      <c r="T75" s="36">
        <v>12298</v>
      </c>
      <c r="U75" s="35">
        <v>19</v>
      </c>
      <c r="V75" s="36">
        <v>12254</v>
      </c>
    </row>
    <row r="76" spans="1:22" x14ac:dyDescent="0.2">
      <c r="C76" s="8" t="s">
        <v>18</v>
      </c>
      <c r="D76" s="9">
        <f t="shared" si="10"/>
        <v>0</v>
      </c>
      <c r="E76" s="1" t="str">
        <f t="shared" si="11"/>
        <v>Low</v>
      </c>
      <c r="G76" s="9">
        <f t="shared" si="14"/>
        <v>0</v>
      </c>
      <c r="H76" s="1" t="str">
        <f t="shared" si="12"/>
        <v>Low</v>
      </c>
      <c r="J76" s="9">
        <f t="shared" si="15"/>
        <v>0</v>
      </c>
      <c r="K76" s="1" t="str">
        <f t="shared" si="13"/>
        <v>Low</v>
      </c>
      <c r="M76" s="9"/>
      <c r="N76" s="1"/>
      <c r="O76" s="31"/>
      <c r="P76" s="33" t="s">
        <v>18</v>
      </c>
      <c r="Q76" s="35">
        <v>3</v>
      </c>
      <c r="R76" s="36">
        <v>15868</v>
      </c>
      <c r="S76" s="35">
        <v>7</v>
      </c>
      <c r="T76" s="36">
        <v>11358</v>
      </c>
      <c r="U76" s="35">
        <v>9</v>
      </c>
      <c r="V76" s="36">
        <v>14123</v>
      </c>
    </row>
    <row r="77" spans="1:22" x14ac:dyDescent="0.2">
      <c r="C77" s="8" t="s">
        <v>79</v>
      </c>
      <c r="D77" s="9">
        <f t="shared" si="10"/>
        <v>0</v>
      </c>
      <c r="E77" s="1" t="str">
        <f t="shared" si="11"/>
        <v>Low</v>
      </c>
      <c r="G77" s="9">
        <f t="shared" si="14"/>
        <v>0</v>
      </c>
      <c r="H77" s="1" t="str">
        <f t="shared" si="12"/>
        <v>Low</v>
      </c>
      <c r="J77" s="9">
        <f t="shared" si="15"/>
        <v>0</v>
      </c>
      <c r="K77" s="1" t="str">
        <f t="shared" si="13"/>
        <v>Low</v>
      </c>
      <c r="M77" s="9"/>
      <c r="N77" s="1"/>
      <c r="O77" s="31"/>
      <c r="P77" s="33" t="s">
        <v>79</v>
      </c>
      <c r="Q77" s="35">
        <v>5</v>
      </c>
      <c r="R77" s="36">
        <v>20520</v>
      </c>
      <c r="S77" s="35">
        <v>5</v>
      </c>
      <c r="T77" s="36">
        <v>22105</v>
      </c>
      <c r="U77" s="35">
        <v>10</v>
      </c>
      <c r="V77" s="36">
        <v>21181</v>
      </c>
    </row>
    <row r="78" spans="1:22" x14ac:dyDescent="0.2">
      <c r="C78" s="8" t="s">
        <v>80</v>
      </c>
      <c r="D78" s="9" t="str">
        <f t="shared" si="10"/>
        <v>N/A</v>
      </c>
      <c r="E78" s="1" t="str">
        <f t="shared" si="11"/>
        <v>N/A</v>
      </c>
      <c r="G78" s="9" t="str">
        <f t="shared" si="14"/>
        <v>N/A</v>
      </c>
      <c r="H78" s="1" t="str">
        <f t="shared" si="12"/>
        <v>N/A</v>
      </c>
      <c r="J78" s="9" t="str">
        <f t="shared" si="15"/>
        <v>N/A</v>
      </c>
      <c r="K78" s="1" t="str">
        <f t="shared" si="13"/>
        <v>N/A</v>
      </c>
      <c r="M78" s="9"/>
      <c r="N78" s="1"/>
      <c r="O78" s="31"/>
      <c r="P78" s="33" t="s">
        <v>80</v>
      </c>
      <c r="Q78" s="35">
        <v>1</v>
      </c>
      <c r="R78" s="34" t="s">
        <v>10</v>
      </c>
      <c r="S78" s="35">
        <v>0</v>
      </c>
      <c r="T78" s="34" t="s">
        <v>10</v>
      </c>
      <c r="U78" s="35">
        <v>1</v>
      </c>
      <c r="V78" s="34" t="s">
        <v>10</v>
      </c>
    </row>
    <row r="79" spans="1:22" x14ac:dyDescent="0.2">
      <c r="B79" s="8" t="s">
        <v>19</v>
      </c>
      <c r="C79" s="8" t="s">
        <v>20</v>
      </c>
      <c r="D79" s="9" t="str">
        <f t="shared" si="10"/>
        <v>N/A</v>
      </c>
      <c r="E79" s="1" t="str">
        <f t="shared" si="11"/>
        <v>N/A</v>
      </c>
      <c r="G79" s="9">
        <f t="shared" si="14"/>
        <v>0</v>
      </c>
      <c r="H79" s="1" t="str">
        <f t="shared" si="12"/>
        <v>Low</v>
      </c>
      <c r="J79" s="9">
        <f t="shared" si="15"/>
        <v>0</v>
      </c>
      <c r="K79" s="1" t="str">
        <f t="shared" si="13"/>
        <v>Low</v>
      </c>
      <c r="M79" s="9"/>
      <c r="N79" s="1"/>
      <c r="O79" s="33" t="s">
        <v>19</v>
      </c>
      <c r="P79" s="33" t="s">
        <v>20</v>
      </c>
      <c r="Q79" s="35">
        <v>1</v>
      </c>
      <c r="R79" s="34" t="s">
        <v>10</v>
      </c>
      <c r="S79" s="35">
        <v>7</v>
      </c>
      <c r="T79" s="36">
        <v>1716</v>
      </c>
      <c r="U79" s="35">
        <v>7</v>
      </c>
      <c r="V79" s="36">
        <v>2097</v>
      </c>
    </row>
    <row r="80" spans="1:22" x14ac:dyDescent="0.2">
      <c r="C80" s="8" t="s">
        <v>21</v>
      </c>
      <c r="D80" s="9">
        <f t="shared" si="10"/>
        <v>0</v>
      </c>
      <c r="E80" s="1" t="str">
        <f t="shared" si="11"/>
        <v>Low</v>
      </c>
      <c r="G80" s="9">
        <f t="shared" si="14"/>
        <v>0</v>
      </c>
      <c r="H80" s="1" t="str">
        <f t="shared" si="12"/>
        <v>Low</v>
      </c>
      <c r="J80" s="9">
        <f t="shared" si="15"/>
        <v>0</v>
      </c>
      <c r="K80" s="1" t="str">
        <f t="shared" si="13"/>
        <v>Low</v>
      </c>
      <c r="M80" s="9"/>
      <c r="N80" s="1"/>
      <c r="O80" s="31"/>
      <c r="P80" s="33" t="s">
        <v>21</v>
      </c>
      <c r="Q80" s="35">
        <v>7</v>
      </c>
      <c r="R80" s="36">
        <v>3397</v>
      </c>
      <c r="S80" s="35">
        <v>15</v>
      </c>
      <c r="T80" s="36">
        <v>6436</v>
      </c>
      <c r="U80" s="35">
        <v>19</v>
      </c>
      <c r="V80" s="36">
        <v>6305</v>
      </c>
    </row>
    <row r="81" spans="2:22" x14ac:dyDescent="0.2">
      <c r="C81" s="8" t="s">
        <v>22</v>
      </c>
      <c r="D81" s="9">
        <f t="shared" si="10"/>
        <v>0</v>
      </c>
      <c r="E81" s="1" t="str">
        <f t="shared" si="11"/>
        <v>Low</v>
      </c>
      <c r="G81" s="9">
        <f t="shared" si="14"/>
        <v>0</v>
      </c>
      <c r="H81" s="1" t="str">
        <f t="shared" si="12"/>
        <v>Low</v>
      </c>
      <c r="J81" s="9">
        <f t="shared" si="15"/>
        <v>0</v>
      </c>
      <c r="K81" s="1" t="str">
        <f t="shared" si="13"/>
        <v>Low</v>
      </c>
      <c r="M81" s="9"/>
      <c r="N81" s="1"/>
      <c r="O81" s="31"/>
      <c r="P81" s="33" t="s">
        <v>22</v>
      </c>
      <c r="Q81" s="35">
        <v>9</v>
      </c>
      <c r="R81" s="36">
        <v>8603</v>
      </c>
      <c r="S81" s="35">
        <v>28</v>
      </c>
      <c r="T81" s="36">
        <v>3282</v>
      </c>
      <c r="U81" s="35">
        <v>34</v>
      </c>
      <c r="V81" s="36">
        <v>4982</v>
      </c>
    </row>
    <row r="82" spans="2:22" x14ac:dyDescent="0.2">
      <c r="C82" s="8" t="s">
        <v>23</v>
      </c>
      <c r="D82" s="9">
        <f t="shared" si="10"/>
        <v>0</v>
      </c>
      <c r="E82" s="1" t="str">
        <f t="shared" si="11"/>
        <v>Low</v>
      </c>
      <c r="G82" s="9">
        <f t="shared" si="14"/>
        <v>0</v>
      </c>
      <c r="H82" s="1" t="str">
        <f t="shared" si="12"/>
        <v>Low</v>
      </c>
      <c r="J82" s="9">
        <f t="shared" si="15"/>
        <v>0</v>
      </c>
      <c r="K82" s="1" t="str">
        <f t="shared" si="13"/>
        <v>Low</v>
      </c>
      <c r="M82" s="9"/>
      <c r="N82" s="1"/>
      <c r="O82" s="31"/>
      <c r="P82" s="33" t="s">
        <v>23</v>
      </c>
      <c r="Q82" s="35">
        <v>5</v>
      </c>
      <c r="R82" s="36">
        <v>4170</v>
      </c>
      <c r="S82" s="35">
        <v>14</v>
      </c>
      <c r="T82" s="36">
        <v>3288</v>
      </c>
      <c r="U82" s="35">
        <v>17</v>
      </c>
      <c r="V82" s="36">
        <v>3977</v>
      </c>
    </row>
    <row r="83" spans="2:22" x14ac:dyDescent="0.2">
      <c r="C83" s="8" t="s">
        <v>24</v>
      </c>
      <c r="D83" s="9">
        <f t="shared" si="10"/>
        <v>0</v>
      </c>
      <c r="E83" s="1" t="str">
        <f t="shared" si="11"/>
        <v>Low</v>
      </c>
      <c r="G83" s="9">
        <f t="shared" si="14"/>
        <v>0</v>
      </c>
      <c r="H83" s="1" t="str">
        <f t="shared" si="12"/>
        <v>Low</v>
      </c>
      <c r="J83" s="9">
        <f t="shared" si="15"/>
        <v>0</v>
      </c>
      <c r="K83" s="1" t="str">
        <f t="shared" si="13"/>
        <v>Low</v>
      </c>
      <c r="M83" s="9"/>
      <c r="N83" s="1"/>
      <c r="O83" s="31"/>
      <c r="P83" s="33" t="s">
        <v>24</v>
      </c>
      <c r="Q83" s="35">
        <v>6</v>
      </c>
      <c r="R83" s="36">
        <v>17612</v>
      </c>
      <c r="S83" s="35">
        <v>15</v>
      </c>
      <c r="T83" s="36">
        <v>7077</v>
      </c>
      <c r="U83" s="35">
        <v>19</v>
      </c>
      <c r="V83" s="36">
        <v>11057</v>
      </c>
    </row>
    <row r="84" spans="2:22" x14ac:dyDescent="0.2">
      <c r="C84" s="8" t="s">
        <v>25</v>
      </c>
      <c r="D84" s="9">
        <f t="shared" si="10"/>
        <v>0</v>
      </c>
      <c r="E84" s="1" t="str">
        <f t="shared" si="11"/>
        <v>Low</v>
      </c>
      <c r="G84" s="9">
        <f t="shared" si="14"/>
        <v>0</v>
      </c>
      <c r="H84" s="1" t="str">
        <f t="shared" si="12"/>
        <v>Low</v>
      </c>
      <c r="J84" s="9">
        <f t="shared" si="15"/>
        <v>0</v>
      </c>
      <c r="K84" s="1" t="str">
        <f t="shared" si="13"/>
        <v>Low</v>
      </c>
      <c r="M84" s="9"/>
      <c r="N84" s="1"/>
      <c r="O84" s="31"/>
      <c r="P84" s="33" t="s">
        <v>25</v>
      </c>
      <c r="Q84" s="35">
        <v>5</v>
      </c>
      <c r="R84" s="36">
        <v>7437</v>
      </c>
      <c r="S84" s="35">
        <v>16</v>
      </c>
      <c r="T84" s="36">
        <v>4529</v>
      </c>
      <c r="U84" s="35">
        <v>19</v>
      </c>
      <c r="V84" s="36">
        <v>5789</v>
      </c>
    </row>
    <row r="85" spans="2:22" x14ac:dyDescent="0.2">
      <c r="C85" s="8" t="s">
        <v>26</v>
      </c>
      <c r="D85" s="9">
        <f t="shared" si="10"/>
        <v>0</v>
      </c>
      <c r="E85" s="1" t="str">
        <f t="shared" si="11"/>
        <v>Low</v>
      </c>
      <c r="G85" s="9">
        <f t="shared" si="14"/>
        <v>0</v>
      </c>
      <c r="H85" s="1" t="str">
        <f t="shared" si="12"/>
        <v>Low</v>
      </c>
      <c r="J85" s="9">
        <f t="shared" si="15"/>
        <v>0</v>
      </c>
      <c r="K85" s="1" t="str">
        <f t="shared" si="13"/>
        <v>Low</v>
      </c>
      <c r="M85" s="9"/>
      <c r="N85" s="1"/>
      <c r="O85" s="31"/>
      <c r="P85" s="33" t="s">
        <v>26</v>
      </c>
      <c r="Q85" s="35">
        <v>7</v>
      </c>
      <c r="R85" s="36">
        <v>6122</v>
      </c>
      <c r="S85" s="35">
        <v>19</v>
      </c>
      <c r="T85" s="36">
        <v>3166</v>
      </c>
      <c r="U85" s="35">
        <v>24</v>
      </c>
      <c r="V85" s="36">
        <v>4163</v>
      </c>
    </row>
    <row r="86" spans="2:22" x14ac:dyDescent="0.2">
      <c r="C86" s="8" t="s">
        <v>27</v>
      </c>
      <c r="D86" s="9">
        <f t="shared" si="10"/>
        <v>0</v>
      </c>
      <c r="E86" s="1" t="str">
        <f t="shared" si="11"/>
        <v>Low</v>
      </c>
      <c r="G86" s="9">
        <f t="shared" si="14"/>
        <v>0</v>
      </c>
      <c r="H86" s="1" t="str">
        <f t="shared" si="12"/>
        <v>Low</v>
      </c>
      <c r="J86" s="9">
        <f t="shared" si="15"/>
        <v>0</v>
      </c>
      <c r="K86" s="1" t="str">
        <f t="shared" si="13"/>
        <v>Low</v>
      </c>
      <c r="M86" s="9"/>
      <c r="N86" s="1"/>
      <c r="O86" s="31"/>
      <c r="P86" s="33" t="s">
        <v>27</v>
      </c>
      <c r="Q86" s="35">
        <v>7</v>
      </c>
      <c r="R86" s="36">
        <v>8640</v>
      </c>
      <c r="S86" s="35">
        <v>11</v>
      </c>
      <c r="T86" s="36">
        <v>2076</v>
      </c>
      <c r="U86" s="35">
        <v>16</v>
      </c>
      <c r="V86" s="36">
        <v>4988</v>
      </c>
    </row>
    <row r="87" spans="2:22" x14ac:dyDescent="0.2">
      <c r="C87" s="8" t="s">
        <v>28</v>
      </c>
      <c r="D87" s="9">
        <f t="shared" si="10"/>
        <v>0</v>
      </c>
      <c r="E87" s="1" t="str">
        <f t="shared" si="11"/>
        <v>Low</v>
      </c>
      <c r="G87" s="9">
        <f t="shared" si="14"/>
        <v>0</v>
      </c>
      <c r="H87" s="1" t="str">
        <f t="shared" si="12"/>
        <v>Low</v>
      </c>
      <c r="J87" s="9">
        <f t="shared" si="15"/>
        <v>0</v>
      </c>
      <c r="K87" s="1" t="str">
        <f t="shared" si="13"/>
        <v>Low</v>
      </c>
      <c r="M87" s="9"/>
      <c r="N87" s="1"/>
      <c r="O87" s="31"/>
      <c r="P87" s="33" t="s">
        <v>28</v>
      </c>
      <c r="Q87" s="35">
        <v>5</v>
      </c>
      <c r="R87" s="36">
        <v>7103</v>
      </c>
      <c r="S87" s="35">
        <v>21</v>
      </c>
      <c r="T87" s="36">
        <v>4560</v>
      </c>
      <c r="U87" s="35">
        <v>23</v>
      </c>
      <c r="V87" s="36">
        <v>5677</v>
      </c>
    </row>
    <row r="88" spans="2:22" x14ac:dyDescent="0.2">
      <c r="B88" s="8" t="s">
        <v>29</v>
      </c>
      <c r="C88" s="8" t="s">
        <v>52</v>
      </c>
      <c r="D88" s="9" t="str">
        <f t="shared" si="10"/>
        <v>N/A</v>
      </c>
      <c r="E88" s="1" t="str">
        <f t="shared" si="11"/>
        <v>N/A</v>
      </c>
      <c r="G88" s="9">
        <f t="shared" si="14"/>
        <v>0</v>
      </c>
      <c r="H88" s="1" t="str">
        <f t="shared" si="12"/>
        <v>Low</v>
      </c>
      <c r="J88" s="9">
        <f t="shared" si="15"/>
        <v>0</v>
      </c>
      <c r="K88" s="1" t="str">
        <f t="shared" si="13"/>
        <v>Low</v>
      </c>
      <c r="M88" s="9"/>
      <c r="N88" s="1"/>
      <c r="O88" s="33" t="s">
        <v>29</v>
      </c>
      <c r="P88" s="33" t="s">
        <v>52</v>
      </c>
      <c r="Q88" s="35">
        <v>0</v>
      </c>
      <c r="R88" s="34" t="s">
        <v>10</v>
      </c>
      <c r="S88" s="35">
        <v>2</v>
      </c>
      <c r="T88" s="36">
        <v>1077</v>
      </c>
      <c r="U88" s="35">
        <v>2</v>
      </c>
      <c r="V88" s="36">
        <v>1077</v>
      </c>
    </row>
    <row r="89" spans="2:22" x14ac:dyDescent="0.2">
      <c r="C89" s="8" t="s">
        <v>30</v>
      </c>
      <c r="D89" s="9">
        <f t="shared" si="10"/>
        <v>0</v>
      </c>
      <c r="E89" s="1" t="str">
        <f t="shared" si="11"/>
        <v>Low</v>
      </c>
      <c r="G89" s="9">
        <f t="shared" si="14"/>
        <v>0</v>
      </c>
      <c r="H89" s="1" t="str">
        <f t="shared" si="12"/>
        <v>Low</v>
      </c>
      <c r="J89" s="9">
        <f t="shared" si="15"/>
        <v>0</v>
      </c>
      <c r="K89" s="1" t="str">
        <f t="shared" si="13"/>
        <v>Low</v>
      </c>
      <c r="M89" s="9"/>
      <c r="N89" s="1"/>
      <c r="O89" s="31"/>
      <c r="P89" s="33" t="s">
        <v>30</v>
      </c>
      <c r="Q89" s="35">
        <v>6</v>
      </c>
      <c r="R89" s="36">
        <v>640</v>
      </c>
      <c r="S89" s="35">
        <v>36</v>
      </c>
      <c r="T89" s="36">
        <v>1033</v>
      </c>
      <c r="U89" s="35">
        <v>36</v>
      </c>
      <c r="V89" s="36">
        <v>1140</v>
      </c>
    </row>
    <row r="90" spans="2:22" x14ac:dyDescent="0.2">
      <c r="C90" s="8" t="s">
        <v>31</v>
      </c>
      <c r="D90" s="9">
        <f t="shared" si="10"/>
        <v>0</v>
      </c>
      <c r="E90" s="1" t="str">
        <f t="shared" si="11"/>
        <v>Low</v>
      </c>
      <c r="G90" s="9">
        <f t="shared" si="14"/>
        <v>0</v>
      </c>
      <c r="H90" s="1" t="str">
        <f t="shared" si="12"/>
        <v>Low</v>
      </c>
      <c r="J90" s="9">
        <f t="shared" si="15"/>
        <v>0</v>
      </c>
      <c r="K90" s="1" t="str">
        <f t="shared" si="13"/>
        <v>Low</v>
      </c>
      <c r="M90" s="9"/>
      <c r="N90" s="1"/>
      <c r="O90" s="31"/>
      <c r="P90" s="33" t="s">
        <v>31</v>
      </c>
      <c r="Q90" s="35">
        <v>7</v>
      </c>
      <c r="R90" s="36">
        <v>2629</v>
      </c>
      <c r="S90" s="35">
        <v>24</v>
      </c>
      <c r="T90" s="36">
        <v>3625</v>
      </c>
      <c r="U90" s="35">
        <v>27</v>
      </c>
      <c r="V90" s="36">
        <v>3912</v>
      </c>
    </row>
    <row r="91" spans="2:22" x14ac:dyDescent="0.2">
      <c r="C91" s="8" t="s">
        <v>32</v>
      </c>
      <c r="D91" s="9">
        <f t="shared" si="10"/>
        <v>0</v>
      </c>
      <c r="E91" s="1" t="str">
        <f t="shared" si="11"/>
        <v>Low</v>
      </c>
      <c r="G91" s="9">
        <f t="shared" si="14"/>
        <v>0</v>
      </c>
      <c r="H91" s="1" t="str">
        <f t="shared" si="12"/>
        <v>Low</v>
      </c>
      <c r="J91" s="9">
        <f t="shared" si="15"/>
        <v>0</v>
      </c>
      <c r="K91" s="1" t="str">
        <f t="shared" si="13"/>
        <v>Low</v>
      </c>
      <c r="M91" s="9"/>
      <c r="N91" s="1"/>
      <c r="O91" s="31"/>
      <c r="P91" s="33" t="s">
        <v>32</v>
      </c>
      <c r="Q91" s="35">
        <v>21</v>
      </c>
      <c r="R91" s="36">
        <v>4945</v>
      </c>
      <c r="S91" s="35">
        <v>56</v>
      </c>
      <c r="T91" s="36">
        <v>2520</v>
      </c>
      <c r="U91" s="35">
        <v>69</v>
      </c>
      <c r="V91" s="36">
        <v>3499</v>
      </c>
    </row>
    <row r="92" spans="2:22" x14ac:dyDescent="0.2">
      <c r="C92" s="8" t="s">
        <v>33</v>
      </c>
      <c r="D92" s="9">
        <f t="shared" si="10"/>
        <v>0</v>
      </c>
      <c r="E92" s="1" t="str">
        <f t="shared" si="11"/>
        <v>Low</v>
      </c>
      <c r="G92" s="9">
        <f t="shared" si="14"/>
        <v>0</v>
      </c>
      <c r="H92" s="1" t="str">
        <f t="shared" si="12"/>
        <v>Low</v>
      </c>
      <c r="J92" s="9">
        <f t="shared" si="15"/>
        <v>0</v>
      </c>
      <c r="K92" s="1" t="str">
        <f t="shared" si="13"/>
        <v>Low</v>
      </c>
      <c r="M92" s="9"/>
      <c r="N92" s="1"/>
      <c r="O92" s="31"/>
      <c r="P92" s="33" t="s">
        <v>33</v>
      </c>
      <c r="Q92" s="35">
        <v>8</v>
      </c>
      <c r="R92" s="36">
        <v>12515</v>
      </c>
      <c r="S92" s="35">
        <v>11</v>
      </c>
      <c r="T92" s="36">
        <v>13810</v>
      </c>
      <c r="U92" s="35">
        <v>18</v>
      </c>
      <c r="V92" s="36">
        <v>14030</v>
      </c>
    </row>
    <row r="93" spans="2:22" x14ac:dyDescent="0.2">
      <c r="C93" s="8" t="s">
        <v>34</v>
      </c>
      <c r="D93" s="9">
        <f t="shared" si="10"/>
        <v>0</v>
      </c>
      <c r="E93" s="1" t="str">
        <f t="shared" si="11"/>
        <v>Low</v>
      </c>
      <c r="G93" s="9">
        <f t="shared" si="14"/>
        <v>0</v>
      </c>
      <c r="H93" s="1" t="str">
        <f t="shared" si="12"/>
        <v>Low</v>
      </c>
      <c r="J93" s="9">
        <f t="shared" si="15"/>
        <v>0</v>
      </c>
      <c r="K93" s="1" t="str">
        <f t="shared" si="13"/>
        <v>Low</v>
      </c>
      <c r="M93" s="9"/>
      <c r="N93" s="1"/>
      <c r="O93" s="31"/>
      <c r="P93" s="33" t="s">
        <v>34</v>
      </c>
      <c r="Q93" s="35">
        <v>10</v>
      </c>
      <c r="R93" s="36">
        <v>19011</v>
      </c>
      <c r="S93" s="35">
        <v>17</v>
      </c>
      <c r="T93" s="36">
        <v>12318</v>
      </c>
      <c r="U93" s="35">
        <v>26</v>
      </c>
      <c r="V93" s="36">
        <v>15388</v>
      </c>
    </row>
    <row r="94" spans="2:22" x14ac:dyDescent="0.2">
      <c r="B94" s="8" t="s">
        <v>35</v>
      </c>
      <c r="C94" s="8" t="s">
        <v>81</v>
      </c>
      <c r="D94" s="9" t="str">
        <f t="shared" si="10"/>
        <v>N/A</v>
      </c>
      <c r="E94" s="1" t="str">
        <f t="shared" si="11"/>
        <v>N/A</v>
      </c>
      <c r="G94" s="9">
        <f t="shared" si="14"/>
        <v>0</v>
      </c>
      <c r="H94" s="1" t="str">
        <f t="shared" si="12"/>
        <v>Low</v>
      </c>
      <c r="J94" s="9">
        <f t="shared" si="15"/>
        <v>0</v>
      </c>
      <c r="K94" s="1" t="str">
        <f t="shared" si="13"/>
        <v>Low</v>
      </c>
      <c r="M94" s="9"/>
      <c r="N94" s="1"/>
      <c r="O94" s="33" t="s">
        <v>35</v>
      </c>
      <c r="P94" s="33" t="s">
        <v>81</v>
      </c>
      <c r="Q94" s="35">
        <v>0</v>
      </c>
      <c r="R94" s="34" t="s">
        <v>10</v>
      </c>
      <c r="S94" s="35">
        <v>3</v>
      </c>
      <c r="T94" s="36">
        <v>2202</v>
      </c>
      <c r="U94" s="35">
        <v>3</v>
      </c>
      <c r="V94" s="36">
        <v>2202</v>
      </c>
    </row>
    <row r="95" spans="2:22" x14ac:dyDescent="0.2">
      <c r="C95" s="8" t="s">
        <v>111</v>
      </c>
      <c r="D95" s="9" t="str">
        <f t="shared" si="10"/>
        <v>N/A</v>
      </c>
      <c r="E95" s="1" t="str">
        <f t="shared" si="11"/>
        <v>N/A</v>
      </c>
      <c r="G95" s="9">
        <f t="shared" si="14"/>
        <v>0</v>
      </c>
      <c r="H95" s="1" t="str">
        <f t="shared" si="12"/>
        <v>Low</v>
      </c>
      <c r="J95" s="9">
        <f t="shared" si="15"/>
        <v>0</v>
      </c>
      <c r="K95" s="1" t="str">
        <f t="shared" si="13"/>
        <v>Low</v>
      </c>
      <c r="M95" s="9"/>
      <c r="N95" s="1"/>
      <c r="O95" s="31"/>
      <c r="P95" s="33" t="s">
        <v>111</v>
      </c>
      <c r="Q95" s="35">
        <v>0</v>
      </c>
      <c r="R95" s="34" t="s">
        <v>10</v>
      </c>
      <c r="S95" s="35">
        <v>2</v>
      </c>
      <c r="T95" s="36">
        <v>2063</v>
      </c>
      <c r="U95" s="35">
        <v>2</v>
      </c>
      <c r="V95" s="36">
        <v>2063</v>
      </c>
    </row>
    <row r="96" spans="2:22" x14ac:dyDescent="0.2">
      <c r="C96" s="8" t="s">
        <v>82</v>
      </c>
      <c r="D96" s="9" t="str">
        <f t="shared" si="10"/>
        <v>N/A</v>
      </c>
      <c r="E96" s="1" t="str">
        <f t="shared" si="11"/>
        <v>N/A</v>
      </c>
      <c r="G96" s="9">
        <f t="shared" si="14"/>
        <v>0</v>
      </c>
      <c r="H96" s="1" t="str">
        <f t="shared" si="12"/>
        <v>Low</v>
      </c>
      <c r="J96" s="9">
        <f t="shared" si="15"/>
        <v>0</v>
      </c>
      <c r="K96" s="1" t="str">
        <f t="shared" si="13"/>
        <v>Low</v>
      </c>
      <c r="M96" s="9"/>
      <c r="N96" s="1"/>
      <c r="O96" s="31"/>
      <c r="P96" s="33" t="s">
        <v>82</v>
      </c>
      <c r="Q96" s="35">
        <v>0</v>
      </c>
      <c r="R96" s="34" t="s">
        <v>10</v>
      </c>
      <c r="S96" s="35">
        <v>5</v>
      </c>
      <c r="T96" s="36">
        <v>2048</v>
      </c>
      <c r="U96" s="35">
        <v>5</v>
      </c>
      <c r="V96" s="36">
        <v>2048</v>
      </c>
    </row>
    <row r="97" spans="2:22" x14ac:dyDescent="0.2">
      <c r="C97" s="8" t="s">
        <v>83</v>
      </c>
      <c r="D97" s="9" t="str">
        <f t="shared" si="10"/>
        <v>N/A</v>
      </c>
      <c r="E97" s="1" t="str">
        <f t="shared" si="11"/>
        <v>N/A</v>
      </c>
      <c r="G97" s="9">
        <f t="shared" si="14"/>
        <v>0</v>
      </c>
      <c r="H97" s="1" t="str">
        <f t="shared" si="12"/>
        <v>Low</v>
      </c>
      <c r="J97" s="9">
        <f t="shared" si="15"/>
        <v>0</v>
      </c>
      <c r="K97" s="1" t="str">
        <f t="shared" si="13"/>
        <v>Low</v>
      </c>
      <c r="M97" s="9"/>
      <c r="N97" s="1"/>
      <c r="O97" s="31"/>
      <c r="P97" s="33" t="s">
        <v>83</v>
      </c>
      <c r="Q97" s="35">
        <v>0</v>
      </c>
      <c r="R97" s="34" t="s">
        <v>10</v>
      </c>
      <c r="S97" s="35">
        <v>5</v>
      </c>
      <c r="T97" s="36">
        <v>689</v>
      </c>
      <c r="U97" s="35">
        <v>5</v>
      </c>
      <c r="V97" s="36">
        <v>689</v>
      </c>
    </row>
    <row r="98" spans="2:22" x14ac:dyDescent="0.2">
      <c r="C98" s="8" t="s">
        <v>84</v>
      </c>
      <c r="D98" s="9" t="str">
        <f t="shared" si="10"/>
        <v>N/A</v>
      </c>
      <c r="E98" s="1" t="str">
        <f t="shared" si="11"/>
        <v>N/A</v>
      </c>
      <c r="G98" s="9">
        <f t="shared" si="14"/>
        <v>0</v>
      </c>
      <c r="H98" s="1" t="str">
        <f t="shared" si="12"/>
        <v>Low</v>
      </c>
      <c r="J98" s="9">
        <f t="shared" si="15"/>
        <v>0</v>
      </c>
      <c r="K98" s="1" t="str">
        <f t="shared" si="13"/>
        <v>Low</v>
      </c>
      <c r="M98" s="9"/>
      <c r="N98" s="1"/>
      <c r="O98" s="31"/>
      <c r="P98" s="33" t="s">
        <v>84</v>
      </c>
      <c r="Q98" s="35">
        <v>1</v>
      </c>
      <c r="R98" s="34" t="s">
        <v>10</v>
      </c>
      <c r="S98" s="35">
        <v>7</v>
      </c>
      <c r="T98" s="36">
        <v>933</v>
      </c>
      <c r="U98" s="35">
        <v>8</v>
      </c>
      <c r="V98" s="36">
        <v>4294</v>
      </c>
    </row>
    <row r="99" spans="2:22" ht="17.25" customHeight="1" x14ac:dyDescent="0.2">
      <c r="C99" s="8" t="s">
        <v>36</v>
      </c>
      <c r="D99" s="9">
        <f t="shared" si="10"/>
        <v>0</v>
      </c>
      <c r="E99" s="1" t="str">
        <f t="shared" si="11"/>
        <v>Low</v>
      </c>
      <c r="G99" s="9">
        <f t="shared" si="14"/>
        <v>0</v>
      </c>
      <c r="H99" s="1" t="str">
        <f t="shared" si="12"/>
        <v>Low</v>
      </c>
      <c r="J99" s="9">
        <f t="shared" si="15"/>
        <v>0</v>
      </c>
      <c r="K99" s="1" t="str">
        <f t="shared" si="13"/>
        <v>Low</v>
      </c>
      <c r="M99" s="9"/>
      <c r="N99" s="1"/>
      <c r="O99" s="31"/>
      <c r="P99" s="33" t="s">
        <v>36</v>
      </c>
      <c r="Q99" s="35">
        <v>2</v>
      </c>
      <c r="R99" s="36">
        <v>6009</v>
      </c>
      <c r="S99" s="35">
        <v>15</v>
      </c>
      <c r="T99" s="36">
        <v>1245</v>
      </c>
      <c r="U99" s="35">
        <v>16</v>
      </c>
      <c r="V99" s="36">
        <v>1855</v>
      </c>
    </row>
    <row r="100" spans="2:22" ht="16.5" customHeight="1" x14ac:dyDescent="0.2">
      <c r="C100" s="8" t="s">
        <v>37</v>
      </c>
      <c r="D100" s="9">
        <f t="shared" si="10"/>
        <v>0</v>
      </c>
      <c r="E100" s="1" t="str">
        <f t="shared" si="11"/>
        <v>Low</v>
      </c>
      <c r="G100" s="9">
        <f t="shared" si="14"/>
        <v>0</v>
      </c>
      <c r="H100" s="1" t="str">
        <f t="shared" si="12"/>
        <v>Low</v>
      </c>
      <c r="J100" s="9">
        <f t="shared" si="15"/>
        <v>0</v>
      </c>
      <c r="K100" s="1" t="str">
        <f t="shared" si="13"/>
        <v>Low</v>
      </c>
      <c r="M100" s="9"/>
      <c r="N100" s="1"/>
      <c r="O100" s="31"/>
      <c r="P100" s="33" t="s">
        <v>37</v>
      </c>
      <c r="Q100" s="35">
        <v>10</v>
      </c>
      <c r="R100" s="36">
        <v>2530</v>
      </c>
      <c r="S100" s="35">
        <v>27</v>
      </c>
      <c r="T100" s="36">
        <v>3270</v>
      </c>
      <c r="U100" s="35">
        <v>30</v>
      </c>
      <c r="V100" s="36">
        <v>3806</v>
      </c>
    </row>
    <row r="101" spans="2:22" ht="15.75" customHeight="1" x14ac:dyDescent="0.2">
      <c r="C101" s="8" t="s">
        <v>38</v>
      </c>
      <c r="D101" s="9">
        <f t="shared" si="10"/>
        <v>0</v>
      </c>
      <c r="E101" s="1" t="str">
        <f t="shared" si="11"/>
        <v>Low</v>
      </c>
      <c r="G101" s="9">
        <f t="shared" si="14"/>
        <v>0</v>
      </c>
      <c r="H101" s="1" t="str">
        <f t="shared" si="12"/>
        <v>Low</v>
      </c>
      <c r="J101" s="9">
        <f t="shared" si="15"/>
        <v>0</v>
      </c>
      <c r="K101" s="1" t="str">
        <f t="shared" si="13"/>
        <v>Low</v>
      </c>
      <c r="M101" s="9"/>
      <c r="N101" s="1"/>
      <c r="O101" s="31"/>
      <c r="P101" s="33" t="s">
        <v>38</v>
      </c>
      <c r="Q101" s="35">
        <v>39</v>
      </c>
      <c r="R101" s="36">
        <v>8524</v>
      </c>
      <c r="S101" s="35">
        <v>82</v>
      </c>
      <c r="T101" s="36">
        <v>5694</v>
      </c>
      <c r="U101" s="35">
        <v>109</v>
      </c>
      <c r="V101" s="36">
        <v>7322</v>
      </c>
    </row>
    <row r="102" spans="2:22" x14ac:dyDescent="0.2">
      <c r="B102" s="8" t="s">
        <v>39</v>
      </c>
      <c r="C102" s="8" t="s">
        <v>85</v>
      </c>
      <c r="D102" s="9" t="str">
        <f t="shared" si="10"/>
        <v>N/A</v>
      </c>
      <c r="E102" s="1" t="str">
        <f t="shared" si="11"/>
        <v>N/A</v>
      </c>
      <c r="G102" s="9">
        <f t="shared" si="14"/>
        <v>0</v>
      </c>
      <c r="H102" s="1" t="str">
        <f t="shared" si="12"/>
        <v>Low</v>
      </c>
      <c r="J102" s="9">
        <f t="shared" si="15"/>
        <v>0</v>
      </c>
      <c r="K102" s="1" t="str">
        <f t="shared" si="13"/>
        <v>Low</v>
      </c>
      <c r="M102" s="9"/>
      <c r="N102" s="1"/>
      <c r="O102" s="33" t="s">
        <v>39</v>
      </c>
      <c r="P102" s="33" t="s">
        <v>85</v>
      </c>
      <c r="Q102" s="35">
        <v>0</v>
      </c>
      <c r="R102" s="34" t="s">
        <v>10</v>
      </c>
      <c r="S102" s="35">
        <v>3</v>
      </c>
      <c r="T102" s="36">
        <v>1033</v>
      </c>
      <c r="U102" s="35">
        <v>3</v>
      </c>
      <c r="V102" s="36">
        <v>1033</v>
      </c>
    </row>
    <row r="103" spans="2:22" x14ac:dyDescent="0.2">
      <c r="C103" s="8" t="s">
        <v>40</v>
      </c>
      <c r="D103" s="9">
        <f t="shared" si="10"/>
        <v>0</v>
      </c>
      <c r="E103" s="1" t="str">
        <f t="shared" si="11"/>
        <v>Low</v>
      </c>
      <c r="G103" s="9">
        <f t="shared" si="14"/>
        <v>0</v>
      </c>
      <c r="H103" s="1" t="str">
        <f t="shared" si="12"/>
        <v>Low</v>
      </c>
      <c r="J103" s="9">
        <f t="shared" si="15"/>
        <v>0</v>
      </c>
      <c r="K103" s="1" t="str">
        <f t="shared" si="13"/>
        <v>Low</v>
      </c>
      <c r="M103" s="9"/>
      <c r="N103" s="1"/>
      <c r="O103" s="31"/>
      <c r="P103" s="33" t="s">
        <v>40</v>
      </c>
      <c r="Q103" s="35">
        <v>2</v>
      </c>
      <c r="R103" s="36">
        <v>328</v>
      </c>
      <c r="S103" s="35">
        <v>19</v>
      </c>
      <c r="T103" s="36">
        <v>1219</v>
      </c>
      <c r="U103" s="35">
        <v>19</v>
      </c>
      <c r="V103" s="36">
        <v>1255</v>
      </c>
    </row>
    <row r="104" spans="2:22" x14ac:dyDescent="0.2">
      <c r="C104" s="8" t="s">
        <v>41</v>
      </c>
      <c r="D104" s="9">
        <f t="shared" si="10"/>
        <v>0</v>
      </c>
      <c r="E104" s="1" t="str">
        <f t="shared" si="11"/>
        <v>Low</v>
      </c>
      <c r="G104" s="9">
        <f t="shared" si="14"/>
        <v>0</v>
      </c>
      <c r="H104" s="1" t="str">
        <f t="shared" si="12"/>
        <v>Low</v>
      </c>
      <c r="J104" s="9">
        <f t="shared" si="15"/>
        <v>0</v>
      </c>
      <c r="K104" s="1" t="str">
        <f t="shared" si="13"/>
        <v>Low</v>
      </c>
      <c r="M104" s="9"/>
      <c r="N104" s="1"/>
      <c r="O104" s="31"/>
      <c r="P104" s="33" t="s">
        <v>41</v>
      </c>
      <c r="Q104" s="35">
        <v>13</v>
      </c>
      <c r="R104" s="36">
        <v>1544</v>
      </c>
      <c r="S104" s="35">
        <v>56</v>
      </c>
      <c r="T104" s="36">
        <v>2360</v>
      </c>
      <c r="U104" s="35">
        <v>59</v>
      </c>
      <c r="V104" s="36">
        <v>2577</v>
      </c>
    </row>
    <row r="105" spans="2:22" ht="18" customHeight="1" x14ac:dyDescent="0.2">
      <c r="C105" s="8" t="s">
        <v>13</v>
      </c>
      <c r="D105" s="9">
        <f t="shared" si="10"/>
        <v>0</v>
      </c>
      <c r="E105" s="1" t="str">
        <f t="shared" si="11"/>
        <v>Low</v>
      </c>
      <c r="G105" s="9">
        <f t="shared" si="14"/>
        <v>0</v>
      </c>
      <c r="H105" s="1" t="str">
        <f t="shared" si="12"/>
        <v>Low</v>
      </c>
      <c r="J105" s="9">
        <f t="shared" si="15"/>
        <v>0</v>
      </c>
      <c r="K105" s="1" t="str">
        <f t="shared" si="13"/>
        <v>Low</v>
      </c>
      <c r="M105" s="9"/>
      <c r="N105" s="1"/>
      <c r="O105" s="31"/>
      <c r="P105" s="33" t="s">
        <v>13</v>
      </c>
      <c r="Q105" s="35">
        <v>11</v>
      </c>
      <c r="R105" s="36">
        <v>4243</v>
      </c>
      <c r="S105" s="35">
        <v>26</v>
      </c>
      <c r="T105" s="36">
        <v>2849</v>
      </c>
      <c r="U105" s="35">
        <v>34</v>
      </c>
      <c r="V105" s="36">
        <v>3526</v>
      </c>
    </row>
    <row r="106" spans="2:22" x14ac:dyDescent="0.2">
      <c r="C106" s="8" t="s">
        <v>14</v>
      </c>
      <c r="D106" s="9">
        <f t="shared" si="10"/>
        <v>0</v>
      </c>
      <c r="E106" s="1" t="str">
        <f t="shared" si="11"/>
        <v>Low</v>
      </c>
      <c r="G106" s="9">
        <f t="shared" si="14"/>
        <v>0</v>
      </c>
      <c r="H106" s="1" t="str">
        <f t="shared" si="12"/>
        <v>Low</v>
      </c>
      <c r="J106" s="9">
        <f t="shared" si="15"/>
        <v>0</v>
      </c>
      <c r="K106" s="1" t="str">
        <f t="shared" si="13"/>
        <v>Low</v>
      </c>
      <c r="M106" s="9"/>
      <c r="N106" s="1"/>
      <c r="O106" s="31"/>
      <c r="P106" s="33" t="s">
        <v>14</v>
      </c>
      <c r="Q106" s="35">
        <v>6</v>
      </c>
      <c r="R106" s="36">
        <v>6172</v>
      </c>
      <c r="S106" s="35">
        <v>13</v>
      </c>
      <c r="T106" s="36">
        <v>3788</v>
      </c>
      <c r="U106" s="35">
        <v>17</v>
      </c>
      <c r="V106" s="36">
        <v>5075</v>
      </c>
    </row>
    <row r="107" spans="2:22" x14ac:dyDescent="0.2">
      <c r="C107" s="8" t="s">
        <v>15</v>
      </c>
      <c r="D107" s="9">
        <f t="shared" si="10"/>
        <v>0</v>
      </c>
      <c r="E107" s="1" t="str">
        <f t="shared" si="11"/>
        <v>Low</v>
      </c>
      <c r="G107" s="9">
        <f t="shared" si="14"/>
        <v>0</v>
      </c>
      <c r="H107" s="1" t="str">
        <f t="shared" si="12"/>
        <v>Low</v>
      </c>
      <c r="J107" s="9">
        <f t="shared" si="15"/>
        <v>0</v>
      </c>
      <c r="K107" s="1" t="str">
        <f t="shared" si="13"/>
        <v>Low</v>
      </c>
      <c r="M107" s="9"/>
      <c r="N107" s="1"/>
      <c r="O107" s="31"/>
      <c r="P107" s="33" t="s">
        <v>15</v>
      </c>
      <c r="Q107" s="35">
        <v>9</v>
      </c>
      <c r="R107" s="36">
        <v>10127</v>
      </c>
      <c r="S107" s="35">
        <v>13</v>
      </c>
      <c r="T107" s="36">
        <v>12001</v>
      </c>
      <c r="U107" s="35">
        <v>20</v>
      </c>
      <c r="V107" s="36">
        <v>12341</v>
      </c>
    </row>
    <row r="108" spans="2:22" x14ac:dyDescent="0.2">
      <c r="C108" s="8" t="s">
        <v>42</v>
      </c>
      <c r="D108" s="9">
        <f t="shared" si="10"/>
        <v>0</v>
      </c>
      <c r="E108" s="1" t="str">
        <f t="shared" si="11"/>
        <v>Low</v>
      </c>
      <c r="G108" s="9">
        <f t="shared" si="14"/>
        <v>0</v>
      </c>
      <c r="H108" s="1" t="str">
        <f t="shared" si="12"/>
        <v>Low</v>
      </c>
      <c r="J108" s="9">
        <f t="shared" si="15"/>
        <v>0</v>
      </c>
      <c r="K108" s="1" t="str">
        <f t="shared" si="13"/>
        <v>Low</v>
      </c>
      <c r="M108" s="9"/>
      <c r="N108" s="1"/>
      <c r="O108" s="31"/>
      <c r="P108" s="33" t="s">
        <v>42</v>
      </c>
      <c r="Q108" s="35">
        <v>11</v>
      </c>
      <c r="R108" s="36">
        <v>20598</v>
      </c>
      <c r="S108" s="35">
        <v>16</v>
      </c>
      <c r="T108" s="36">
        <v>11260</v>
      </c>
      <c r="U108" s="35">
        <v>26</v>
      </c>
      <c r="V108" s="36">
        <v>15669</v>
      </c>
    </row>
    <row r="109" spans="2:22" x14ac:dyDescent="0.2">
      <c r="B109" s="8" t="s">
        <v>43</v>
      </c>
      <c r="C109" s="8" t="s">
        <v>86</v>
      </c>
      <c r="D109" s="9" t="str">
        <f t="shared" si="10"/>
        <v>N/A</v>
      </c>
      <c r="E109" s="1" t="str">
        <f t="shared" si="11"/>
        <v>N/A</v>
      </c>
      <c r="G109" s="9">
        <f t="shared" si="14"/>
        <v>0</v>
      </c>
      <c r="H109" s="1" t="str">
        <f t="shared" si="12"/>
        <v>Low</v>
      </c>
      <c r="J109" s="9">
        <f t="shared" si="15"/>
        <v>0</v>
      </c>
      <c r="K109" s="1" t="str">
        <f t="shared" si="13"/>
        <v>Low</v>
      </c>
      <c r="M109" s="9"/>
      <c r="N109" s="1"/>
      <c r="O109" s="33" t="s">
        <v>43</v>
      </c>
      <c r="P109" s="33" t="s">
        <v>86</v>
      </c>
      <c r="Q109" s="35">
        <v>1</v>
      </c>
      <c r="R109" s="34" t="s">
        <v>10</v>
      </c>
      <c r="S109" s="35">
        <v>6</v>
      </c>
      <c r="T109" s="36">
        <v>1127</v>
      </c>
      <c r="U109" s="35">
        <v>6</v>
      </c>
      <c r="V109" s="36">
        <v>1164</v>
      </c>
    </row>
    <row r="110" spans="2:22" x14ac:dyDescent="0.2">
      <c r="C110" s="8" t="s">
        <v>87</v>
      </c>
      <c r="D110" s="9">
        <f t="shared" si="10"/>
        <v>0</v>
      </c>
      <c r="E110" s="1" t="str">
        <f t="shared" si="11"/>
        <v>Low</v>
      </c>
      <c r="G110" s="9">
        <f t="shared" si="14"/>
        <v>0</v>
      </c>
      <c r="H110" s="1" t="str">
        <f t="shared" si="12"/>
        <v>Low</v>
      </c>
      <c r="J110" s="9">
        <f t="shared" si="15"/>
        <v>0</v>
      </c>
      <c r="K110" s="1" t="str">
        <f t="shared" si="13"/>
        <v>Low</v>
      </c>
      <c r="M110" s="9"/>
      <c r="N110" s="1"/>
      <c r="O110" s="31"/>
      <c r="P110" s="33" t="s">
        <v>87</v>
      </c>
      <c r="Q110" s="35">
        <v>4</v>
      </c>
      <c r="R110" s="36">
        <v>861</v>
      </c>
      <c r="S110" s="35">
        <v>26</v>
      </c>
      <c r="T110" s="36">
        <v>1207</v>
      </c>
      <c r="U110" s="35">
        <v>26</v>
      </c>
      <c r="V110" s="36">
        <v>1339</v>
      </c>
    </row>
    <row r="111" spans="2:22" x14ac:dyDescent="0.2">
      <c r="C111" s="8" t="s">
        <v>44</v>
      </c>
      <c r="D111" s="9">
        <f t="shared" si="10"/>
        <v>0</v>
      </c>
      <c r="E111" s="1" t="str">
        <f t="shared" si="11"/>
        <v>Low</v>
      </c>
      <c r="G111" s="9">
        <f t="shared" si="14"/>
        <v>0</v>
      </c>
      <c r="H111" s="1" t="str">
        <f t="shared" si="12"/>
        <v>Low</v>
      </c>
      <c r="J111" s="9">
        <f t="shared" si="15"/>
        <v>0</v>
      </c>
      <c r="K111" s="1" t="str">
        <f t="shared" si="13"/>
        <v>Low</v>
      </c>
      <c r="M111" s="9"/>
      <c r="N111" s="1"/>
      <c r="O111" s="31"/>
      <c r="P111" s="33" t="s">
        <v>44</v>
      </c>
      <c r="Q111" s="35">
        <v>11</v>
      </c>
      <c r="R111" s="36">
        <v>2884</v>
      </c>
      <c r="S111" s="35">
        <v>42</v>
      </c>
      <c r="T111" s="36">
        <v>2464</v>
      </c>
      <c r="U111" s="35">
        <v>47</v>
      </c>
      <c r="V111" s="36">
        <v>2876</v>
      </c>
    </row>
    <row r="112" spans="2:22" x14ac:dyDescent="0.2">
      <c r="C112" s="8" t="s">
        <v>45</v>
      </c>
      <c r="D112" s="9">
        <f t="shared" si="10"/>
        <v>0</v>
      </c>
      <c r="E112" s="1" t="str">
        <f t="shared" si="11"/>
        <v>Low</v>
      </c>
      <c r="G112" s="9">
        <f t="shared" si="14"/>
        <v>0</v>
      </c>
      <c r="H112" s="1" t="str">
        <f t="shared" si="12"/>
        <v>Low</v>
      </c>
      <c r="J112" s="9">
        <f t="shared" si="15"/>
        <v>0</v>
      </c>
      <c r="K112" s="1" t="str">
        <f t="shared" si="13"/>
        <v>Low</v>
      </c>
      <c r="M112" s="9"/>
      <c r="N112" s="1"/>
      <c r="O112" s="31"/>
      <c r="P112" s="33" t="s">
        <v>45</v>
      </c>
      <c r="Q112" s="35">
        <v>8</v>
      </c>
      <c r="R112" s="36">
        <v>4655</v>
      </c>
      <c r="S112" s="35">
        <v>20</v>
      </c>
      <c r="T112" s="36">
        <v>2598</v>
      </c>
      <c r="U112" s="35">
        <v>26</v>
      </c>
      <c r="V112" s="36">
        <v>3416</v>
      </c>
    </row>
    <row r="113" spans="1:22" x14ac:dyDescent="0.2">
      <c r="C113" s="8" t="s">
        <v>46</v>
      </c>
      <c r="D113" s="9">
        <f t="shared" si="10"/>
        <v>0</v>
      </c>
      <c r="E113" s="1" t="str">
        <f t="shared" si="11"/>
        <v>Low</v>
      </c>
      <c r="G113" s="9">
        <f t="shared" si="14"/>
        <v>0</v>
      </c>
      <c r="H113" s="1" t="str">
        <f t="shared" si="12"/>
        <v>Low</v>
      </c>
      <c r="J113" s="9">
        <f t="shared" si="15"/>
        <v>0</v>
      </c>
      <c r="K113" s="1" t="str">
        <f t="shared" si="13"/>
        <v>Low</v>
      </c>
      <c r="M113" s="9"/>
      <c r="N113" s="1"/>
      <c r="O113" s="31"/>
      <c r="P113" s="33" t="s">
        <v>46</v>
      </c>
      <c r="Q113" s="35">
        <v>11</v>
      </c>
      <c r="R113" s="36">
        <v>6380</v>
      </c>
      <c r="S113" s="35">
        <v>20</v>
      </c>
      <c r="T113" s="36">
        <v>3991</v>
      </c>
      <c r="U113" s="35">
        <v>27</v>
      </c>
      <c r="V113" s="36">
        <v>5503</v>
      </c>
    </row>
    <row r="114" spans="1:22" x14ac:dyDescent="0.2">
      <c r="C114" s="8" t="s">
        <v>47</v>
      </c>
      <c r="D114" s="9">
        <f t="shared" si="10"/>
        <v>0</v>
      </c>
      <c r="E114" s="1" t="str">
        <f t="shared" si="11"/>
        <v>Low</v>
      </c>
      <c r="G114" s="9">
        <f t="shared" si="14"/>
        <v>0</v>
      </c>
      <c r="H114" s="1" t="str">
        <f t="shared" si="12"/>
        <v>Low</v>
      </c>
      <c r="J114" s="9">
        <f t="shared" si="15"/>
        <v>0</v>
      </c>
      <c r="K114" s="1" t="str">
        <f t="shared" si="13"/>
        <v>Low</v>
      </c>
      <c r="M114" s="9"/>
      <c r="N114" s="1"/>
      <c r="O114" s="31"/>
      <c r="P114" s="33" t="s">
        <v>47</v>
      </c>
      <c r="Q114" s="35">
        <v>6</v>
      </c>
      <c r="R114" s="36">
        <v>8616</v>
      </c>
      <c r="S114" s="35">
        <v>17</v>
      </c>
      <c r="T114" s="36">
        <v>9055</v>
      </c>
      <c r="U114" s="35">
        <v>21</v>
      </c>
      <c r="V114" s="36">
        <v>9729</v>
      </c>
    </row>
    <row r="115" spans="1:22" x14ac:dyDescent="0.2">
      <c r="C115" s="8" t="s">
        <v>48</v>
      </c>
      <c r="D115" s="9" t="str">
        <f t="shared" si="10"/>
        <v>N/A</v>
      </c>
      <c r="E115" s="1" t="str">
        <f t="shared" si="11"/>
        <v>N/A</v>
      </c>
      <c r="G115" s="9" t="str">
        <f t="shared" si="14"/>
        <v>N/A</v>
      </c>
      <c r="H115" s="1" t="str">
        <f t="shared" si="12"/>
        <v>N/A</v>
      </c>
      <c r="J115" s="9" t="str">
        <f t="shared" si="15"/>
        <v>N/A</v>
      </c>
      <c r="K115" s="1" t="str">
        <f t="shared" si="13"/>
        <v>N/A</v>
      </c>
      <c r="M115" s="9"/>
      <c r="N115" s="1"/>
      <c r="O115" s="31"/>
      <c r="P115" s="33" t="s">
        <v>48</v>
      </c>
      <c r="Q115" s="35">
        <v>1</v>
      </c>
      <c r="R115" s="34" t="s">
        <v>10</v>
      </c>
      <c r="S115" s="35">
        <v>0</v>
      </c>
      <c r="T115" s="34" t="s">
        <v>10</v>
      </c>
      <c r="U115" s="35">
        <v>1</v>
      </c>
      <c r="V115" s="34" t="s">
        <v>10</v>
      </c>
    </row>
    <row r="116" spans="1:22" x14ac:dyDescent="0.2">
      <c r="C116" s="8" t="s">
        <v>49</v>
      </c>
      <c r="D116" s="9" t="str">
        <f t="shared" si="10"/>
        <v>N/A</v>
      </c>
      <c r="E116" s="1" t="str">
        <f t="shared" si="11"/>
        <v>N/A</v>
      </c>
      <c r="G116" s="9">
        <f t="shared" si="14"/>
        <v>0</v>
      </c>
      <c r="H116" s="1" t="str">
        <f t="shared" si="12"/>
        <v>Low</v>
      </c>
      <c r="J116" s="9">
        <f t="shared" si="15"/>
        <v>0</v>
      </c>
      <c r="K116" s="1" t="str">
        <f t="shared" si="13"/>
        <v>Low</v>
      </c>
      <c r="M116" s="9"/>
      <c r="N116" s="1"/>
      <c r="O116" s="31"/>
      <c r="P116" s="33" t="s">
        <v>49</v>
      </c>
      <c r="Q116" s="35">
        <v>0</v>
      </c>
      <c r="R116" s="34" t="s">
        <v>10</v>
      </c>
      <c r="S116" s="35">
        <v>2</v>
      </c>
      <c r="T116" s="36">
        <v>8818</v>
      </c>
      <c r="U116" s="35">
        <v>2</v>
      </c>
      <c r="V116" s="36">
        <v>8818</v>
      </c>
    </row>
    <row r="117" spans="1:22" x14ac:dyDescent="0.2">
      <c r="C117" s="8" t="s">
        <v>50</v>
      </c>
      <c r="D117" s="9">
        <f t="shared" si="10"/>
        <v>0</v>
      </c>
      <c r="E117" s="1" t="str">
        <f t="shared" si="11"/>
        <v>Low</v>
      </c>
      <c r="G117" s="9">
        <f t="shared" si="14"/>
        <v>0</v>
      </c>
      <c r="H117" s="1" t="str">
        <f t="shared" si="12"/>
        <v>Low</v>
      </c>
      <c r="J117" s="9">
        <f t="shared" si="15"/>
        <v>0</v>
      </c>
      <c r="K117" s="1" t="str">
        <f t="shared" si="13"/>
        <v>Low</v>
      </c>
      <c r="M117" s="9"/>
      <c r="N117" s="1"/>
      <c r="O117" s="31"/>
      <c r="P117" s="33" t="s">
        <v>50</v>
      </c>
      <c r="Q117" s="35">
        <v>10</v>
      </c>
      <c r="R117" s="36">
        <v>22338</v>
      </c>
      <c r="S117" s="35">
        <v>13</v>
      </c>
      <c r="T117" s="36">
        <v>14385</v>
      </c>
      <c r="U117" s="35">
        <v>22</v>
      </c>
      <c r="V117" s="36">
        <v>18959</v>
      </c>
    </row>
    <row r="118" spans="1:22" x14ac:dyDescent="0.2">
      <c r="B118" s="8" t="s">
        <v>51</v>
      </c>
      <c r="C118" s="8" t="s">
        <v>52</v>
      </c>
      <c r="D118" s="9">
        <f t="shared" si="10"/>
        <v>0</v>
      </c>
      <c r="E118" s="1" t="str">
        <f t="shared" si="11"/>
        <v>Low</v>
      </c>
      <c r="G118" s="9">
        <f t="shared" si="14"/>
        <v>0</v>
      </c>
      <c r="H118" s="1" t="str">
        <f t="shared" si="12"/>
        <v>Low</v>
      </c>
      <c r="J118" s="9">
        <f t="shared" si="15"/>
        <v>0</v>
      </c>
      <c r="K118" s="1" t="str">
        <f t="shared" si="13"/>
        <v>Low</v>
      </c>
      <c r="M118" s="9"/>
      <c r="N118" s="1"/>
      <c r="O118" s="33" t="s">
        <v>51</v>
      </c>
      <c r="P118" s="33" t="s">
        <v>52</v>
      </c>
      <c r="Q118" s="35">
        <v>11</v>
      </c>
      <c r="R118" s="36">
        <v>5312</v>
      </c>
      <c r="S118" s="35">
        <v>60</v>
      </c>
      <c r="T118" s="36">
        <v>2282</v>
      </c>
      <c r="U118" s="35">
        <v>65</v>
      </c>
      <c r="V118" s="36">
        <v>2990</v>
      </c>
    </row>
    <row r="119" spans="1:22" x14ac:dyDescent="0.2">
      <c r="C119" s="8" t="s">
        <v>53</v>
      </c>
      <c r="D119" s="9">
        <f t="shared" si="10"/>
        <v>0</v>
      </c>
      <c r="E119" s="1" t="str">
        <f t="shared" si="11"/>
        <v>Low</v>
      </c>
      <c r="G119" s="9">
        <f t="shared" si="14"/>
        <v>0</v>
      </c>
      <c r="H119" s="1" t="str">
        <f t="shared" si="12"/>
        <v>Low</v>
      </c>
      <c r="J119" s="9">
        <f t="shared" si="15"/>
        <v>0</v>
      </c>
      <c r="K119" s="1" t="str">
        <f t="shared" si="13"/>
        <v>Low</v>
      </c>
      <c r="M119" s="9"/>
      <c r="N119" s="1"/>
      <c r="O119" s="31"/>
      <c r="P119" s="33" t="s">
        <v>53</v>
      </c>
      <c r="Q119" s="35">
        <v>9</v>
      </c>
      <c r="R119" s="36">
        <v>1687</v>
      </c>
      <c r="S119" s="35">
        <v>32</v>
      </c>
      <c r="T119" s="36">
        <v>1714</v>
      </c>
      <c r="U119" s="35">
        <v>36</v>
      </c>
      <c r="V119" s="36">
        <v>1946</v>
      </c>
    </row>
    <row r="120" spans="1:22" x14ac:dyDescent="0.2">
      <c r="C120" s="8" t="s">
        <v>54</v>
      </c>
      <c r="D120" s="9">
        <f t="shared" si="10"/>
        <v>0</v>
      </c>
      <c r="E120" s="1" t="str">
        <f t="shared" si="11"/>
        <v>Low</v>
      </c>
      <c r="G120" s="9">
        <f t="shared" si="14"/>
        <v>0</v>
      </c>
      <c r="H120" s="1" t="str">
        <f t="shared" si="12"/>
        <v>Low</v>
      </c>
      <c r="J120" s="9">
        <f t="shared" si="15"/>
        <v>0</v>
      </c>
      <c r="K120" s="1" t="str">
        <f t="shared" si="13"/>
        <v>Low</v>
      </c>
      <c r="M120" s="9"/>
      <c r="N120" s="1"/>
      <c r="O120" s="31"/>
      <c r="P120" s="33" t="s">
        <v>54</v>
      </c>
      <c r="Q120" s="35">
        <v>5</v>
      </c>
      <c r="R120" s="36">
        <v>3504</v>
      </c>
      <c r="S120" s="35">
        <v>13</v>
      </c>
      <c r="T120" s="36">
        <v>2292</v>
      </c>
      <c r="U120" s="35">
        <v>14</v>
      </c>
      <c r="V120" s="36">
        <v>3416</v>
      </c>
    </row>
    <row r="121" spans="1:22" x14ac:dyDescent="0.2">
      <c r="C121" s="8" t="s">
        <v>55</v>
      </c>
      <c r="D121" s="9">
        <f t="shared" si="10"/>
        <v>0</v>
      </c>
      <c r="E121" s="1" t="str">
        <f t="shared" si="11"/>
        <v>Low</v>
      </c>
      <c r="G121" s="9">
        <f t="shared" si="14"/>
        <v>0</v>
      </c>
      <c r="H121" s="1" t="str">
        <f t="shared" si="12"/>
        <v>Low</v>
      </c>
      <c r="J121" s="9">
        <f t="shared" si="15"/>
        <v>0</v>
      </c>
      <c r="K121" s="1" t="str">
        <f t="shared" si="13"/>
        <v>Low</v>
      </c>
      <c r="M121" s="9"/>
      <c r="N121" s="1"/>
      <c r="O121" s="31"/>
      <c r="P121" s="33" t="s">
        <v>55</v>
      </c>
      <c r="Q121" s="35">
        <v>4</v>
      </c>
      <c r="R121" s="36">
        <v>5721</v>
      </c>
      <c r="S121" s="35">
        <v>8</v>
      </c>
      <c r="T121" s="36">
        <v>4040</v>
      </c>
      <c r="U121" s="35">
        <v>12</v>
      </c>
      <c r="V121" s="36">
        <v>4555</v>
      </c>
    </row>
    <row r="122" spans="1:22" ht="13.5" thickBot="1" x14ac:dyDescent="0.25">
      <c r="A122" s="10"/>
      <c r="B122" s="10"/>
      <c r="C122" s="10" t="s">
        <v>56</v>
      </c>
      <c r="D122" s="12">
        <f t="shared" si="10"/>
        <v>0</v>
      </c>
      <c r="E122" s="2" t="str">
        <f t="shared" si="11"/>
        <v>Low</v>
      </c>
      <c r="F122" s="10"/>
      <c r="G122" s="12">
        <f t="shared" si="14"/>
        <v>0</v>
      </c>
      <c r="H122" s="2" t="str">
        <f t="shared" si="12"/>
        <v>Low</v>
      </c>
      <c r="I122" s="10"/>
      <c r="J122" s="12">
        <f t="shared" si="15"/>
        <v>0</v>
      </c>
      <c r="K122" s="2" t="str">
        <f t="shared" si="13"/>
        <v>Low</v>
      </c>
      <c r="M122" s="9"/>
      <c r="N122" s="1"/>
      <c r="O122" s="31"/>
      <c r="P122" s="33" t="s">
        <v>56</v>
      </c>
      <c r="Q122" s="35">
        <v>23</v>
      </c>
      <c r="R122" s="36">
        <v>12678</v>
      </c>
      <c r="S122" s="35">
        <v>33</v>
      </c>
      <c r="T122" s="36">
        <v>11014</v>
      </c>
      <c r="U122" s="35">
        <v>51</v>
      </c>
      <c r="V122" s="36">
        <v>12859</v>
      </c>
    </row>
    <row r="123" spans="1:22" x14ac:dyDescent="0.2">
      <c r="A123" s="8" t="s">
        <v>88</v>
      </c>
      <c r="M123" s="9"/>
      <c r="N123" s="3"/>
      <c r="O123" s="74" t="s">
        <v>57</v>
      </c>
      <c r="P123" s="74"/>
      <c r="Q123" s="74"/>
      <c r="R123" s="74"/>
      <c r="S123" s="74"/>
      <c r="T123" s="74"/>
      <c r="U123" s="74"/>
      <c r="V123" s="74"/>
    </row>
    <row r="124" spans="1:22" x14ac:dyDescent="0.2">
      <c r="A124" s="8" t="s">
        <v>89</v>
      </c>
      <c r="O124" s="33" t="s">
        <v>58</v>
      </c>
      <c r="P124" s="33"/>
      <c r="Q124" s="33"/>
      <c r="R124" s="33"/>
      <c r="S124" s="33"/>
      <c r="T124" s="33"/>
      <c r="U124" s="33"/>
      <c r="V124" s="33"/>
    </row>
    <row r="125" spans="1:22" x14ac:dyDescent="0.2">
      <c r="O125" s="33" t="s">
        <v>59</v>
      </c>
      <c r="P125" s="33"/>
      <c r="Q125" s="33"/>
      <c r="R125" s="33"/>
      <c r="S125" s="33"/>
      <c r="T125" s="33"/>
      <c r="U125" s="33"/>
      <c r="V125" s="33"/>
    </row>
    <row r="126" spans="1:22" x14ac:dyDescent="0.2">
      <c r="O126" s="33" t="s">
        <v>63</v>
      </c>
      <c r="P126" s="33"/>
      <c r="Q126" s="33"/>
      <c r="R126" s="33"/>
      <c r="S126" s="33"/>
      <c r="T126" s="33"/>
      <c r="U126" s="33"/>
      <c r="V126" s="33"/>
    </row>
    <row r="127" spans="1:22" ht="15" customHeight="1" x14ac:dyDescent="0.2">
      <c r="A127" s="20"/>
    </row>
    <row r="128" spans="1:22" x14ac:dyDescent="0.2">
      <c r="A128" s="77" t="s">
        <v>112</v>
      </c>
      <c r="D128" s="19"/>
      <c r="E128" s="19"/>
      <c r="F128" s="19"/>
      <c r="G128" s="19"/>
      <c r="H128" s="19"/>
      <c r="I128" s="19"/>
      <c r="J128" s="19"/>
      <c r="K128" s="19"/>
      <c r="L128" s="19"/>
      <c r="M128" s="19"/>
    </row>
    <row r="129" spans="1:22" ht="18" customHeight="1" x14ac:dyDescent="0.25">
      <c r="A129" s="77"/>
      <c r="D129" s="75" t="s">
        <v>121</v>
      </c>
      <c r="E129" s="80"/>
      <c r="F129" s="80"/>
      <c r="G129" s="80"/>
      <c r="H129" s="80"/>
      <c r="I129" s="80"/>
      <c r="J129" s="80"/>
      <c r="K129" s="80"/>
      <c r="L129" s="80"/>
      <c r="M129" s="80"/>
      <c r="O129" s="73" t="s">
        <v>134</v>
      </c>
      <c r="P129" s="73"/>
      <c r="Q129" s="73"/>
      <c r="R129" s="73"/>
      <c r="S129" s="73"/>
      <c r="T129" s="73"/>
      <c r="U129" s="73"/>
      <c r="V129" s="73"/>
    </row>
    <row r="130" spans="1:22" ht="15.75" customHeight="1" x14ac:dyDescent="0.25">
      <c r="A130" s="77" t="s">
        <v>97</v>
      </c>
      <c r="D130" s="75" t="s">
        <v>2</v>
      </c>
      <c r="E130" s="75"/>
      <c r="F130" s="75" t="s">
        <v>3</v>
      </c>
      <c r="G130" s="75"/>
      <c r="H130" s="75" t="s">
        <v>4</v>
      </c>
      <c r="I130" s="75"/>
      <c r="J130" s="75" t="s">
        <v>5</v>
      </c>
      <c r="K130" s="75"/>
      <c r="L130" s="75" t="s">
        <v>6</v>
      </c>
      <c r="M130" s="75"/>
      <c r="O130" s="73" t="s">
        <v>135</v>
      </c>
      <c r="P130" s="73"/>
      <c r="Q130" s="73"/>
      <c r="R130" s="73"/>
      <c r="S130" s="73"/>
      <c r="T130" s="73"/>
      <c r="U130" s="73"/>
      <c r="V130" s="73"/>
    </row>
    <row r="131" spans="1:22" ht="16.5" customHeight="1" thickBot="1" x14ac:dyDescent="0.25">
      <c r="A131" s="81"/>
      <c r="B131" s="13"/>
      <c r="C131" s="13"/>
      <c r="D131" s="14" t="s">
        <v>0</v>
      </c>
      <c r="E131" s="15" t="s">
        <v>90</v>
      </c>
      <c r="F131" s="14" t="s">
        <v>0</v>
      </c>
      <c r="G131" s="15" t="s">
        <v>90</v>
      </c>
      <c r="H131" s="14" t="s">
        <v>0</v>
      </c>
      <c r="I131" s="15" t="s">
        <v>90</v>
      </c>
      <c r="J131" s="14" t="s">
        <v>0</v>
      </c>
      <c r="K131" s="15" t="s">
        <v>90</v>
      </c>
      <c r="L131" s="14" t="s">
        <v>0</v>
      </c>
      <c r="M131" s="15" t="s">
        <v>90</v>
      </c>
      <c r="O131" s="38"/>
      <c r="P131" s="38"/>
      <c r="Q131" s="38" t="s">
        <v>1</v>
      </c>
      <c r="R131" s="38" t="s">
        <v>2</v>
      </c>
      <c r="S131" s="38" t="s">
        <v>3</v>
      </c>
      <c r="T131" s="38" t="s">
        <v>4</v>
      </c>
      <c r="U131" s="38" t="s">
        <v>5</v>
      </c>
      <c r="V131" s="38" t="s">
        <v>6</v>
      </c>
    </row>
    <row r="132" spans="1:22" x14ac:dyDescent="0.2">
      <c r="A132" s="18">
        <f>A4+I67</f>
        <v>0</v>
      </c>
      <c r="B132" s="8" t="s">
        <v>7</v>
      </c>
      <c r="C132" s="8"/>
      <c r="D132" s="9">
        <f>IF(R132="*", "N/A", $A$132/R132)</f>
        <v>0</v>
      </c>
      <c r="E132" s="1" t="str">
        <f t="shared" ref="E132:E187" si="16">IF(D132="N/A",D132,IF(AND(D132&gt;0.949,D132&lt;1.051),"Competitive",IF(D132&lt;0.949,"Low","High")))</f>
        <v>Low</v>
      </c>
      <c r="F132" s="9">
        <f>IF(S132="*", "N/A", $A$132/S132)</f>
        <v>0</v>
      </c>
      <c r="G132" s="1" t="str">
        <f t="shared" ref="G132:G187" si="17">IF(F132="N/A",F132,IF(AND(F132&gt;0.949,F132&lt;1.051),"Competitive",IF(F132&lt;0.949,"Low","High")))</f>
        <v>Low</v>
      </c>
      <c r="H132" s="9">
        <f>IF(T132="*", "N/A", $A$132/T132)</f>
        <v>0</v>
      </c>
      <c r="I132" s="1" t="str">
        <f t="shared" ref="I132:I187" si="18">IF(H132="N/A",H132,IF(AND(H132&gt;0.949,H132&lt;1.051),"Competitive",IF(H132&lt;0.949,"Low","High")))</f>
        <v>Low</v>
      </c>
      <c r="J132" s="9">
        <f>IF(U132="*", "N/A", $A$132/U132)</f>
        <v>0</v>
      </c>
      <c r="K132" s="1" t="str">
        <f t="shared" ref="K132:K187" si="19">IF(J132="N/A",J132,IF(AND(J132&gt;0.949,J132&lt;1.051),"Competitive",IF(J132&lt;0.949,"Low","High")))</f>
        <v>Low</v>
      </c>
      <c r="L132" s="9">
        <f>IF(V132="*", "N/A", $A$132/V132)</f>
        <v>0</v>
      </c>
      <c r="M132" s="1" t="str">
        <f t="shared" ref="M132:M187" si="20">IF(L132="N/A",L132,IF(AND(L132&gt;0.949,L132&lt;1.051),"Competitive",IF(L132&lt;0.949,"Low","High")))</f>
        <v>Low</v>
      </c>
      <c r="O132" s="39" t="s">
        <v>7</v>
      </c>
      <c r="P132" s="39"/>
      <c r="Q132" s="41">
        <v>418</v>
      </c>
      <c r="R132" s="42">
        <v>78123</v>
      </c>
      <c r="S132" s="42">
        <v>42118</v>
      </c>
      <c r="T132" s="42">
        <v>58763</v>
      </c>
      <c r="U132" s="42">
        <v>91371</v>
      </c>
      <c r="V132" s="42">
        <v>143863</v>
      </c>
    </row>
    <row r="133" spans="1:22" x14ac:dyDescent="0.2">
      <c r="B133" s="8" t="s">
        <v>8</v>
      </c>
      <c r="C133" s="8" t="s">
        <v>110</v>
      </c>
      <c r="D133" s="9">
        <f>IF(R132="*", "N/A", $A$132/R132)</f>
        <v>0</v>
      </c>
      <c r="E133" s="1" t="str">
        <f t="shared" si="16"/>
        <v>Low</v>
      </c>
      <c r="F133" s="9" t="str">
        <f t="shared" ref="F133:F187" si="21">IF(S133="*", "N/A", $A$132/S133)</f>
        <v>N/A</v>
      </c>
      <c r="G133" s="1" t="str">
        <f t="shared" si="17"/>
        <v>N/A</v>
      </c>
      <c r="H133" s="9" t="str">
        <f t="shared" ref="H133:H187" si="22">IF(T133="*", "N/A", $A$132/T133)</f>
        <v>N/A</v>
      </c>
      <c r="I133" s="1" t="str">
        <f t="shared" si="18"/>
        <v>N/A</v>
      </c>
      <c r="J133" s="9" t="str">
        <f t="shared" ref="J133:J187" si="23">IF(U133="*", "N/A", $A$132/U133)</f>
        <v>N/A</v>
      </c>
      <c r="K133" s="1" t="str">
        <f t="shared" si="19"/>
        <v>N/A</v>
      </c>
      <c r="L133" s="9" t="str">
        <f t="shared" ref="L133:L187" si="24">IF(V133="*", "N/A", $A$132/V133)</f>
        <v>N/A</v>
      </c>
      <c r="M133" s="1" t="str">
        <f t="shared" si="20"/>
        <v>N/A</v>
      </c>
      <c r="O133" s="39" t="s">
        <v>8</v>
      </c>
      <c r="P133" s="39" t="s">
        <v>110</v>
      </c>
      <c r="Q133" s="41">
        <v>4</v>
      </c>
      <c r="R133" s="42">
        <v>24668</v>
      </c>
      <c r="S133" s="40" t="s">
        <v>10</v>
      </c>
      <c r="T133" s="40" t="s">
        <v>10</v>
      </c>
      <c r="U133" s="40" t="s">
        <v>10</v>
      </c>
      <c r="V133" s="40" t="s">
        <v>10</v>
      </c>
    </row>
    <row r="134" spans="1:22" x14ac:dyDescent="0.2">
      <c r="C134" s="8" t="s">
        <v>40</v>
      </c>
      <c r="D134" s="9">
        <f t="shared" ref="D134:D187" si="25">IF(R133="*", "N/A", $A$132/R133)</f>
        <v>0</v>
      </c>
      <c r="E134" s="1" t="str">
        <f t="shared" si="16"/>
        <v>Low</v>
      </c>
      <c r="F134" s="9">
        <f t="shared" si="21"/>
        <v>0</v>
      </c>
      <c r="G134" s="1" t="str">
        <f t="shared" si="17"/>
        <v>Low</v>
      </c>
      <c r="H134" s="9">
        <f t="shared" si="22"/>
        <v>0</v>
      </c>
      <c r="I134" s="1" t="str">
        <f t="shared" si="18"/>
        <v>Low</v>
      </c>
      <c r="J134" s="9">
        <f t="shared" si="23"/>
        <v>0</v>
      </c>
      <c r="K134" s="1" t="str">
        <f t="shared" si="19"/>
        <v>Low</v>
      </c>
      <c r="L134" s="9">
        <f t="shared" si="24"/>
        <v>0</v>
      </c>
      <c r="M134" s="1" t="str">
        <f t="shared" si="20"/>
        <v>Low</v>
      </c>
      <c r="O134" s="37"/>
      <c r="P134" s="39" t="s">
        <v>40</v>
      </c>
      <c r="Q134" s="41">
        <v>15</v>
      </c>
      <c r="R134" s="42">
        <v>31037</v>
      </c>
      <c r="S134" s="42">
        <v>22000</v>
      </c>
      <c r="T134" s="42">
        <v>31918</v>
      </c>
      <c r="U134" s="42">
        <v>37078</v>
      </c>
      <c r="V134" s="42">
        <v>43570</v>
      </c>
    </row>
    <row r="135" spans="1:22" x14ac:dyDescent="0.2">
      <c r="C135" s="8" t="s">
        <v>9</v>
      </c>
      <c r="D135" s="9">
        <f t="shared" si="25"/>
        <v>0</v>
      </c>
      <c r="E135" s="1" t="str">
        <f t="shared" si="16"/>
        <v>Low</v>
      </c>
      <c r="F135" s="9">
        <f t="shared" si="21"/>
        <v>0</v>
      </c>
      <c r="G135" s="1" t="str">
        <f t="shared" si="17"/>
        <v>Low</v>
      </c>
      <c r="H135" s="9">
        <f t="shared" si="22"/>
        <v>0</v>
      </c>
      <c r="I135" s="1" t="str">
        <f t="shared" si="18"/>
        <v>Low</v>
      </c>
      <c r="J135" s="9">
        <f t="shared" si="23"/>
        <v>0</v>
      </c>
      <c r="K135" s="1" t="str">
        <f t="shared" si="19"/>
        <v>Low</v>
      </c>
      <c r="L135" s="9">
        <f t="shared" si="24"/>
        <v>0</v>
      </c>
      <c r="M135" s="1" t="str">
        <f t="shared" si="20"/>
        <v>Low</v>
      </c>
      <c r="O135" s="37"/>
      <c r="P135" s="39" t="s">
        <v>9</v>
      </c>
      <c r="Q135" s="41">
        <v>45</v>
      </c>
      <c r="R135" s="42">
        <v>34977</v>
      </c>
      <c r="S135" s="42">
        <v>30825</v>
      </c>
      <c r="T135" s="42">
        <v>33970</v>
      </c>
      <c r="U135" s="42">
        <v>41725</v>
      </c>
      <c r="V135" s="42">
        <v>47485</v>
      </c>
    </row>
    <row r="136" spans="1:22" x14ac:dyDescent="0.2">
      <c r="C136" s="8" t="s">
        <v>12</v>
      </c>
      <c r="D136" s="9">
        <f t="shared" si="25"/>
        <v>0</v>
      </c>
      <c r="E136" s="1" t="str">
        <f t="shared" si="16"/>
        <v>Low</v>
      </c>
      <c r="F136" s="9">
        <f t="shared" si="21"/>
        <v>0</v>
      </c>
      <c r="G136" s="1" t="str">
        <f t="shared" si="17"/>
        <v>Low</v>
      </c>
      <c r="H136" s="9">
        <f t="shared" si="22"/>
        <v>0</v>
      </c>
      <c r="I136" s="1" t="str">
        <f t="shared" si="18"/>
        <v>Low</v>
      </c>
      <c r="J136" s="9">
        <f t="shared" si="23"/>
        <v>0</v>
      </c>
      <c r="K136" s="1" t="str">
        <f t="shared" si="19"/>
        <v>Low</v>
      </c>
      <c r="L136" s="9">
        <f t="shared" si="24"/>
        <v>0</v>
      </c>
      <c r="M136" s="1" t="str">
        <f t="shared" si="20"/>
        <v>Low</v>
      </c>
      <c r="O136" s="37"/>
      <c r="P136" s="39" t="s">
        <v>12</v>
      </c>
      <c r="Q136" s="41">
        <v>79</v>
      </c>
      <c r="R136" s="42">
        <v>42647</v>
      </c>
      <c r="S136" s="42">
        <v>36007</v>
      </c>
      <c r="T136" s="42">
        <v>42000</v>
      </c>
      <c r="U136" s="42">
        <v>48343</v>
      </c>
      <c r="V136" s="42">
        <v>56920</v>
      </c>
    </row>
    <row r="137" spans="1:22" x14ac:dyDescent="0.2">
      <c r="C137" s="8" t="s">
        <v>13</v>
      </c>
      <c r="D137" s="9">
        <f t="shared" si="25"/>
        <v>0</v>
      </c>
      <c r="E137" s="1" t="str">
        <f t="shared" si="16"/>
        <v>Low</v>
      </c>
      <c r="F137" s="9">
        <f t="shared" si="21"/>
        <v>0</v>
      </c>
      <c r="G137" s="1" t="str">
        <f t="shared" si="17"/>
        <v>Low</v>
      </c>
      <c r="H137" s="9">
        <f t="shared" si="22"/>
        <v>0</v>
      </c>
      <c r="I137" s="1" t="str">
        <f t="shared" si="18"/>
        <v>Low</v>
      </c>
      <c r="J137" s="9">
        <f t="shared" si="23"/>
        <v>0</v>
      </c>
      <c r="K137" s="1" t="str">
        <f t="shared" si="19"/>
        <v>Low</v>
      </c>
      <c r="L137" s="9">
        <f t="shared" si="24"/>
        <v>0</v>
      </c>
      <c r="M137" s="1" t="str">
        <f t="shared" si="20"/>
        <v>Low</v>
      </c>
      <c r="O137" s="37"/>
      <c r="P137" s="39" t="s">
        <v>13</v>
      </c>
      <c r="Q137" s="41">
        <v>103</v>
      </c>
      <c r="R137" s="42">
        <v>57871</v>
      </c>
      <c r="S137" s="42">
        <v>47500</v>
      </c>
      <c r="T137" s="42">
        <v>56000</v>
      </c>
      <c r="U137" s="42">
        <v>67069</v>
      </c>
      <c r="V137" s="42">
        <v>75713</v>
      </c>
    </row>
    <row r="138" spans="1:22" x14ac:dyDescent="0.2">
      <c r="C138" s="8" t="s">
        <v>14</v>
      </c>
      <c r="D138" s="9">
        <f t="shared" si="25"/>
        <v>0</v>
      </c>
      <c r="E138" s="1" t="str">
        <f t="shared" si="16"/>
        <v>Low</v>
      </c>
      <c r="F138" s="9">
        <f t="shared" si="21"/>
        <v>0</v>
      </c>
      <c r="G138" s="1" t="str">
        <f t="shared" si="17"/>
        <v>Low</v>
      </c>
      <c r="H138" s="9">
        <f t="shared" si="22"/>
        <v>0</v>
      </c>
      <c r="I138" s="1" t="str">
        <f t="shared" si="18"/>
        <v>Low</v>
      </c>
      <c r="J138" s="9">
        <f t="shared" si="23"/>
        <v>0</v>
      </c>
      <c r="K138" s="1" t="str">
        <f t="shared" si="19"/>
        <v>Low</v>
      </c>
      <c r="L138" s="9">
        <f t="shared" si="24"/>
        <v>0</v>
      </c>
      <c r="M138" s="1" t="str">
        <f t="shared" si="20"/>
        <v>Low</v>
      </c>
      <c r="O138" s="37"/>
      <c r="P138" s="39" t="s">
        <v>14</v>
      </c>
      <c r="Q138" s="41">
        <v>53</v>
      </c>
      <c r="R138" s="42">
        <v>70500</v>
      </c>
      <c r="S138" s="42">
        <v>59707</v>
      </c>
      <c r="T138" s="42">
        <v>69720</v>
      </c>
      <c r="U138" s="42">
        <v>79828</v>
      </c>
      <c r="V138" s="42">
        <v>90000</v>
      </c>
    </row>
    <row r="139" spans="1:22" x14ac:dyDescent="0.2">
      <c r="C139" s="8" t="s">
        <v>15</v>
      </c>
      <c r="D139" s="9">
        <f t="shared" si="25"/>
        <v>0</v>
      </c>
      <c r="E139" s="1" t="str">
        <f t="shared" si="16"/>
        <v>Low</v>
      </c>
      <c r="F139" s="9">
        <f t="shared" si="21"/>
        <v>0</v>
      </c>
      <c r="G139" s="1" t="str">
        <f t="shared" si="17"/>
        <v>Low</v>
      </c>
      <c r="H139" s="9">
        <f t="shared" si="22"/>
        <v>0</v>
      </c>
      <c r="I139" s="1" t="str">
        <f t="shared" si="18"/>
        <v>Low</v>
      </c>
      <c r="J139" s="9">
        <f t="shared" si="23"/>
        <v>0</v>
      </c>
      <c r="K139" s="1" t="str">
        <f t="shared" si="19"/>
        <v>Low</v>
      </c>
      <c r="L139" s="9">
        <f t="shared" si="24"/>
        <v>0</v>
      </c>
      <c r="M139" s="1" t="str">
        <f t="shared" si="20"/>
        <v>Low</v>
      </c>
      <c r="O139" s="37"/>
      <c r="P139" s="39" t="s">
        <v>15</v>
      </c>
      <c r="Q139" s="41">
        <v>43</v>
      </c>
      <c r="R139" s="42">
        <v>99815</v>
      </c>
      <c r="S139" s="42">
        <v>82250</v>
      </c>
      <c r="T139" s="42">
        <v>94634</v>
      </c>
      <c r="U139" s="42">
        <v>119326</v>
      </c>
      <c r="V139" s="42">
        <v>125592</v>
      </c>
    </row>
    <row r="140" spans="1:22" x14ac:dyDescent="0.2">
      <c r="C140" s="8" t="s">
        <v>17</v>
      </c>
      <c r="D140" s="9">
        <f t="shared" si="25"/>
        <v>0</v>
      </c>
      <c r="E140" s="1" t="str">
        <f t="shared" si="16"/>
        <v>Low</v>
      </c>
      <c r="F140" s="9">
        <f t="shared" si="21"/>
        <v>0</v>
      </c>
      <c r="G140" s="1" t="str">
        <f t="shared" si="17"/>
        <v>Low</v>
      </c>
      <c r="H140" s="9">
        <f t="shared" si="22"/>
        <v>0</v>
      </c>
      <c r="I140" s="1" t="str">
        <f t="shared" si="18"/>
        <v>Low</v>
      </c>
      <c r="J140" s="9">
        <f t="shared" si="23"/>
        <v>0</v>
      </c>
      <c r="K140" s="1" t="str">
        <f t="shared" si="19"/>
        <v>Low</v>
      </c>
      <c r="L140" s="9">
        <f t="shared" si="24"/>
        <v>0</v>
      </c>
      <c r="M140" s="1" t="str">
        <f t="shared" si="20"/>
        <v>Low</v>
      </c>
      <c r="O140" s="37"/>
      <c r="P140" s="39" t="s">
        <v>17</v>
      </c>
      <c r="Q140" s="41">
        <v>36</v>
      </c>
      <c r="R140" s="42">
        <v>139880</v>
      </c>
      <c r="S140" s="42">
        <v>114000</v>
      </c>
      <c r="T140" s="42">
        <v>131486</v>
      </c>
      <c r="U140" s="42">
        <v>150993</v>
      </c>
      <c r="V140" s="42">
        <v>198450</v>
      </c>
    </row>
    <row r="141" spans="1:22" x14ac:dyDescent="0.2">
      <c r="C141" s="8" t="s">
        <v>18</v>
      </c>
      <c r="D141" s="9">
        <f t="shared" si="25"/>
        <v>0</v>
      </c>
      <c r="E141" s="1" t="str">
        <f t="shared" si="16"/>
        <v>Low</v>
      </c>
      <c r="F141" s="9">
        <f t="shared" si="21"/>
        <v>0</v>
      </c>
      <c r="G141" s="1" t="str">
        <f t="shared" si="17"/>
        <v>Low</v>
      </c>
      <c r="H141" s="9">
        <f t="shared" si="22"/>
        <v>0</v>
      </c>
      <c r="I141" s="1" t="str">
        <f t="shared" si="18"/>
        <v>Low</v>
      </c>
      <c r="J141" s="9">
        <f t="shared" si="23"/>
        <v>0</v>
      </c>
      <c r="K141" s="1" t="str">
        <f t="shared" si="19"/>
        <v>Low</v>
      </c>
      <c r="L141" s="9">
        <f t="shared" si="24"/>
        <v>0</v>
      </c>
      <c r="M141" s="1" t="str">
        <f t="shared" si="20"/>
        <v>Low</v>
      </c>
      <c r="O141" s="37"/>
      <c r="P141" s="39" t="s">
        <v>18</v>
      </c>
      <c r="Q141" s="41">
        <v>18</v>
      </c>
      <c r="R141" s="42">
        <v>191658</v>
      </c>
      <c r="S141" s="42">
        <v>146400</v>
      </c>
      <c r="T141" s="42">
        <v>193257</v>
      </c>
      <c r="U141" s="42">
        <v>223957</v>
      </c>
      <c r="V141" s="42">
        <v>247420</v>
      </c>
    </row>
    <row r="142" spans="1:22" x14ac:dyDescent="0.2">
      <c r="C142" s="8" t="s">
        <v>79</v>
      </c>
      <c r="D142" s="9">
        <f t="shared" si="25"/>
        <v>0</v>
      </c>
      <c r="E142" s="1" t="str">
        <f t="shared" si="16"/>
        <v>Low</v>
      </c>
      <c r="F142" s="9">
        <f t="shared" si="21"/>
        <v>0</v>
      </c>
      <c r="G142" s="1" t="str">
        <f t="shared" si="17"/>
        <v>Low</v>
      </c>
      <c r="H142" s="9">
        <f t="shared" si="22"/>
        <v>0</v>
      </c>
      <c r="I142" s="1" t="str">
        <f t="shared" si="18"/>
        <v>Low</v>
      </c>
      <c r="J142" s="9">
        <f t="shared" si="23"/>
        <v>0</v>
      </c>
      <c r="K142" s="1" t="str">
        <f t="shared" si="19"/>
        <v>Low</v>
      </c>
      <c r="L142" s="9">
        <f t="shared" si="24"/>
        <v>0</v>
      </c>
      <c r="M142" s="1" t="str">
        <f t="shared" si="20"/>
        <v>Low</v>
      </c>
      <c r="O142" s="37"/>
      <c r="P142" s="39" t="s">
        <v>79</v>
      </c>
      <c r="Q142" s="41">
        <v>19</v>
      </c>
      <c r="R142" s="42">
        <v>220793</v>
      </c>
      <c r="S142" s="42">
        <v>203447</v>
      </c>
      <c r="T142" s="42">
        <v>209821</v>
      </c>
      <c r="U142" s="42">
        <v>265706</v>
      </c>
      <c r="V142" s="42">
        <v>295068</v>
      </c>
    </row>
    <row r="143" spans="1:22" x14ac:dyDescent="0.2">
      <c r="C143" s="8" t="s">
        <v>80</v>
      </c>
      <c r="D143" s="9">
        <f t="shared" si="25"/>
        <v>0</v>
      </c>
      <c r="E143" s="1" t="str">
        <f t="shared" si="16"/>
        <v>Low</v>
      </c>
      <c r="F143" s="9" t="str">
        <f t="shared" si="21"/>
        <v>N/A</v>
      </c>
      <c r="G143" s="1" t="str">
        <f t="shared" si="17"/>
        <v>N/A</v>
      </c>
      <c r="H143" s="9" t="str">
        <f t="shared" si="22"/>
        <v>N/A</v>
      </c>
      <c r="I143" s="1" t="str">
        <f t="shared" si="18"/>
        <v>N/A</v>
      </c>
      <c r="J143" s="9" t="str">
        <f t="shared" si="23"/>
        <v>N/A</v>
      </c>
      <c r="K143" s="1" t="str">
        <f t="shared" si="19"/>
        <v>N/A</v>
      </c>
      <c r="L143" s="9" t="str">
        <f t="shared" si="24"/>
        <v>N/A</v>
      </c>
      <c r="M143" s="1" t="str">
        <f t="shared" si="20"/>
        <v>N/A</v>
      </c>
      <c r="O143" s="37"/>
      <c r="P143" s="39" t="s">
        <v>80</v>
      </c>
      <c r="Q143" s="41">
        <v>3</v>
      </c>
      <c r="R143" s="42">
        <v>307885</v>
      </c>
      <c r="S143" s="40" t="s">
        <v>10</v>
      </c>
      <c r="T143" s="40" t="s">
        <v>10</v>
      </c>
      <c r="U143" s="40" t="s">
        <v>10</v>
      </c>
      <c r="V143" s="40" t="s">
        <v>10</v>
      </c>
    </row>
    <row r="144" spans="1:22" x14ac:dyDescent="0.2">
      <c r="B144" s="8" t="s">
        <v>19</v>
      </c>
      <c r="C144" s="8" t="s">
        <v>20</v>
      </c>
      <c r="D144" s="9">
        <f t="shared" si="25"/>
        <v>0</v>
      </c>
      <c r="E144" s="1" t="str">
        <f t="shared" si="16"/>
        <v>Low</v>
      </c>
      <c r="F144" s="9">
        <f t="shared" si="21"/>
        <v>0</v>
      </c>
      <c r="G144" s="1" t="str">
        <f t="shared" si="17"/>
        <v>Low</v>
      </c>
      <c r="H144" s="9">
        <f t="shared" si="22"/>
        <v>0</v>
      </c>
      <c r="I144" s="1" t="str">
        <f t="shared" si="18"/>
        <v>Low</v>
      </c>
      <c r="J144" s="9">
        <f t="shared" si="23"/>
        <v>0</v>
      </c>
      <c r="K144" s="1" t="str">
        <f t="shared" si="19"/>
        <v>Low</v>
      </c>
      <c r="L144" s="9">
        <f t="shared" si="24"/>
        <v>0</v>
      </c>
      <c r="M144" s="1" t="str">
        <f t="shared" si="20"/>
        <v>Low</v>
      </c>
      <c r="O144" s="39" t="s">
        <v>19</v>
      </c>
      <c r="P144" s="39" t="s">
        <v>20</v>
      </c>
      <c r="Q144" s="41">
        <v>17</v>
      </c>
      <c r="R144" s="42">
        <v>58517</v>
      </c>
      <c r="S144" s="42">
        <v>42817</v>
      </c>
      <c r="T144" s="42">
        <v>50000</v>
      </c>
      <c r="U144" s="42">
        <v>63599</v>
      </c>
      <c r="V144" s="42">
        <v>92284</v>
      </c>
    </row>
    <row r="145" spans="2:22" x14ac:dyDescent="0.2">
      <c r="C145" s="8" t="s">
        <v>21</v>
      </c>
      <c r="D145" s="9">
        <f t="shared" si="25"/>
        <v>0</v>
      </c>
      <c r="E145" s="1" t="str">
        <f t="shared" si="16"/>
        <v>Low</v>
      </c>
      <c r="F145" s="9">
        <f t="shared" si="21"/>
        <v>0</v>
      </c>
      <c r="G145" s="1" t="str">
        <f t="shared" si="17"/>
        <v>Low</v>
      </c>
      <c r="H145" s="9">
        <f t="shared" si="22"/>
        <v>0</v>
      </c>
      <c r="I145" s="1" t="str">
        <f t="shared" si="18"/>
        <v>Low</v>
      </c>
      <c r="J145" s="9">
        <f t="shared" si="23"/>
        <v>0</v>
      </c>
      <c r="K145" s="1" t="str">
        <f t="shared" si="19"/>
        <v>Low</v>
      </c>
      <c r="L145" s="9">
        <f t="shared" si="24"/>
        <v>0</v>
      </c>
      <c r="M145" s="1" t="str">
        <f t="shared" si="20"/>
        <v>Low</v>
      </c>
      <c r="O145" s="37"/>
      <c r="P145" s="39" t="s">
        <v>21</v>
      </c>
      <c r="Q145" s="41">
        <v>42</v>
      </c>
      <c r="R145" s="42">
        <v>71700</v>
      </c>
      <c r="S145" s="42">
        <v>36952</v>
      </c>
      <c r="T145" s="42">
        <v>53742</v>
      </c>
      <c r="U145" s="42">
        <v>73440</v>
      </c>
      <c r="V145" s="42">
        <v>147628</v>
      </c>
    </row>
    <row r="146" spans="2:22" x14ac:dyDescent="0.2">
      <c r="C146" s="8" t="s">
        <v>22</v>
      </c>
      <c r="D146" s="9">
        <f t="shared" si="25"/>
        <v>0</v>
      </c>
      <c r="E146" s="1" t="str">
        <f t="shared" si="16"/>
        <v>Low</v>
      </c>
      <c r="F146" s="9">
        <f t="shared" si="21"/>
        <v>0</v>
      </c>
      <c r="G146" s="1" t="str">
        <f t="shared" si="17"/>
        <v>Low</v>
      </c>
      <c r="H146" s="9">
        <f t="shared" si="22"/>
        <v>0</v>
      </c>
      <c r="I146" s="1" t="str">
        <f t="shared" si="18"/>
        <v>Low</v>
      </c>
      <c r="J146" s="9">
        <f t="shared" si="23"/>
        <v>0</v>
      </c>
      <c r="K146" s="1" t="str">
        <f t="shared" si="19"/>
        <v>Low</v>
      </c>
      <c r="L146" s="9">
        <f t="shared" si="24"/>
        <v>0</v>
      </c>
      <c r="M146" s="1" t="str">
        <f t="shared" si="20"/>
        <v>Low</v>
      </c>
      <c r="O146" s="37"/>
      <c r="P146" s="39" t="s">
        <v>22</v>
      </c>
      <c r="Q146" s="41">
        <v>84</v>
      </c>
      <c r="R146" s="42">
        <v>69439</v>
      </c>
      <c r="S146" s="42">
        <v>40547</v>
      </c>
      <c r="T146" s="42">
        <v>54542</v>
      </c>
      <c r="U146" s="42">
        <v>84883</v>
      </c>
      <c r="V146" s="42">
        <v>126629</v>
      </c>
    </row>
    <row r="147" spans="2:22" x14ac:dyDescent="0.2">
      <c r="C147" s="8" t="s">
        <v>23</v>
      </c>
      <c r="D147" s="9">
        <f t="shared" si="25"/>
        <v>0</v>
      </c>
      <c r="E147" s="1" t="str">
        <f t="shared" si="16"/>
        <v>Low</v>
      </c>
      <c r="F147" s="9">
        <f t="shared" si="21"/>
        <v>0</v>
      </c>
      <c r="G147" s="1" t="str">
        <f t="shared" si="17"/>
        <v>Low</v>
      </c>
      <c r="H147" s="9">
        <f t="shared" si="22"/>
        <v>0</v>
      </c>
      <c r="I147" s="1" t="str">
        <f t="shared" si="18"/>
        <v>Low</v>
      </c>
      <c r="J147" s="9">
        <f t="shared" si="23"/>
        <v>0</v>
      </c>
      <c r="K147" s="1" t="str">
        <f t="shared" si="19"/>
        <v>Low</v>
      </c>
      <c r="L147" s="9">
        <f t="shared" si="24"/>
        <v>0</v>
      </c>
      <c r="M147" s="1" t="str">
        <f t="shared" si="20"/>
        <v>Low</v>
      </c>
      <c r="O147" s="37"/>
      <c r="P147" s="39" t="s">
        <v>23</v>
      </c>
      <c r="Q147" s="41">
        <v>49</v>
      </c>
      <c r="R147" s="42">
        <v>60990</v>
      </c>
      <c r="S147" s="42">
        <v>41000</v>
      </c>
      <c r="T147" s="42">
        <v>51869</v>
      </c>
      <c r="U147" s="42">
        <v>71043</v>
      </c>
      <c r="V147" s="42">
        <v>90599</v>
      </c>
    </row>
    <row r="148" spans="2:22" x14ac:dyDescent="0.2">
      <c r="C148" s="8" t="s">
        <v>24</v>
      </c>
      <c r="D148" s="9">
        <f t="shared" si="25"/>
        <v>0</v>
      </c>
      <c r="E148" s="1" t="str">
        <f t="shared" si="16"/>
        <v>Low</v>
      </c>
      <c r="F148" s="9">
        <f t="shared" si="21"/>
        <v>0</v>
      </c>
      <c r="G148" s="1" t="str">
        <f t="shared" si="17"/>
        <v>Low</v>
      </c>
      <c r="H148" s="9">
        <f t="shared" si="22"/>
        <v>0</v>
      </c>
      <c r="I148" s="1" t="str">
        <f t="shared" si="18"/>
        <v>Low</v>
      </c>
      <c r="J148" s="9">
        <f t="shared" si="23"/>
        <v>0</v>
      </c>
      <c r="K148" s="1" t="str">
        <f t="shared" si="19"/>
        <v>Low</v>
      </c>
      <c r="L148" s="9">
        <f t="shared" si="24"/>
        <v>0</v>
      </c>
      <c r="M148" s="1" t="str">
        <f t="shared" si="20"/>
        <v>Low</v>
      </c>
      <c r="O148" s="37"/>
      <c r="P148" s="39" t="s">
        <v>24</v>
      </c>
      <c r="Q148" s="41">
        <v>51</v>
      </c>
      <c r="R148" s="42">
        <v>92521</v>
      </c>
      <c r="S148" s="42">
        <v>46025</v>
      </c>
      <c r="T148" s="42">
        <v>65415</v>
      </c>
      <c r="U148" s="42">
        <v>128333</v>
      </c>
      <c r="V148" s="42">
        <v>163945</v>
      </c>
    </row>
    <row r="149" spans="2:22" x14ac:dyDescent="0.2">
      <c r="C149" s="8" t="s">
        <v>25</v>
      </c>
      <c r="D149" s="9">
        <f t="shared" si="25"/>
        <v>0</v>
      </c>
      <c r="E149" s="1" t="str">
        <f t="shared" si="16"/>
        <v>Low</v>
      </c>
      <c r="F149" s="9">
        <f t="shared" si="21"/>
        <v>0</v>
      </c>
      <c r="G149" s="1" t="str">
        <f t="shared" si="17"/>
        <v>Low</v>
      </c>
      <c r="H149" s="9">
        <f t="shared" si="22"/>
        <v>0</v>
      </c>
      <c r="I149" s="1" t="str">
        <f t="shared" si="18"/>
        <v>Low</v>
      </c>
      <c r="J149" s="9">
        <f t="shared" si="23"/>
        <v>0</v>
      </c>
      <c r="K149" s="1" t="str">
        <f t="shared" si="19"/>
        <v>Low</v>
      </c>
      <c r="L149" s="9">
        <f t="shared" si="24"/>
        <v>0</v>
      </c>
      <c r="M149" s="1" t="str">
        <f t="shared" si="20"/>
        <v>Low</v>
      </c>
      <c r="O149" s="37"/>
      <c r="P149" s="39" t="s">
        <v>25</v>
      </c>
      <c r="Q149" s="41">
        <v>41</v>
      </c>
      <c r="R149" s="42">
        <v>70353</v>
      </c>
      <c r="S149" s="42">
        <v>37799</v>
      </c>
      <c r="T149" s="42">
        <v>56201</v>
      </c>
      <c r="U149" s="42">
        <v>90851</v>
      </c>
      <c r="V149" s="42">
        <v>120076</v>
      </c>
    </row>
    <row r="150" spans="2:22" x14ac:dyDescent="0.2">
      <c r="C150" s="8" t="s">
        <v>26</v>
      </c>
      <c r="D150" s="9">
        <f t="shared" si="25"/>
        <v>0</v>
      </c>
      <c r="E150" s="1" t="str">
        <f t="shared" si="16"/>
        <v>Low</v>
      </c>
      <c r="F150" s="9">
        <f t="shared" si="21"/>
        <v>0</v>
      </c>
      <c r="G150" s="1" t="str">
        <f t="shared" si="17"/>
        <v>Low</v>
      </c>
      <c r="H150" s="9">
        <f t="shared" si="22"/>
        <v>0</v>
      </c>
      <c r="I150" s="1" t="str">
        <f t="shared" si="18"/>
        <v>Low</v>
      </c>
      <c r="J150" s="9">
        <f t="shared" si="23"/>
        <v>0</v>
      </c>
      <c r="K150" s="1" t="str">
        <f t="shared" si="19"/>
        <v>Low</v>
      </c>
      <c r="L150" s="9">
        <f t="shared" si="24"/>
        <v>0</v>
      </c>
      <c r="M150" s="1" t="str">
        <f t="shared" si="20"/>
        <v>Low</v>
      </c>
      <c r="O150" s="37"/>
      <c r="P150" s="39" t="s">
        <v>26</v>
      </c>
      <c r="Q150" s="41">
        <v>44</v>
      </c>
      <c r="R150" s="42">
        <v>72637</v>
      </c>
      <c r="S150" s="42">
        <v>40708</v>
      </c>
      <c r="T150" s="42">
        <v>52036</v>
      </c>
      <c r="U150" s="42">
        <v>81491</v>
      </c>
      <c r="V150" s="42">
        <v>147669</v>
      </c>
    </row>
    <row r="151" spans="2:22" x14ac:dyDescent="0.2">
      <c r="C151" s="8" t="s">
        <v>27</v>
      </c>
      <c r="D151" s="9">
        <f t="shared" si="25"/>
        <v>0</v>
      </c>
      <c r="E151" s="1" t="str">
        <f t="shared" si="16"/>
        <v>Low</v>
      </c>
      <c r="F151" s="9">
        <f t="shared" si="21"/>
        <v>0</v>
      </c>
      <c r="G151" s="1" t="str">
        <f t="shared" si="17"/>
        <v>Low</v>
      </c>
      <c r="H151" s="9">
        <f t="shared" si="22"/>
        <v>0</v>
      </c>
      <c r="I151" s="1" t="str">
        <f t="shared" si="18"/>
        <v>Low</v>
      </c>
      <c r="J151" s="9">
        <f t="shared" si="23"/>
        <v>0</v>
      </c>
      <c r="K151" s="1" t="str">
        <f t="shared" si="19"/>
        <v>Low</v>
      </c>
      <c r="L151" s="9">
        <f t="shared" si="24"/>
        <v>0</v>
      </c>
      <c r="M151" s="1" t="str">
        <f t="shared" si="20"/>
        <v>Low</v>
      </c>
      <c r="O151" s="37"/>
      <c r="P151" s="39" t="s">
        <v>27</v>
      </c>
      <c r="Q151" s="41">
        <v>32</v>
      </c>
      <c r="R151" s="42">
        <v>76708</v>
      </c>
      <c r="S151" s="42">
        <v>37552</v>
      </c>
      <c r="T151" s="42">
        <v>59207</v>
      </c>
      <c r="U151" s="42">
        <v>92879</v>
      </c>
      <c r="V151" s="42">
        <v>115629</v>
      </c>
    </row>
    <row r="152" spans="2:22" ht="18" customHeight="1" x14ac:dyDescent="0.2">
      <c r="C152" s="8" t="s">
        <v>28</v>
      </c>
      <c r="D152" s="9">
        <f t="shared" si="25"/>
        <v>0</v>
      </c>
      <c r="E152" s="1" t="str">
        <f t="shared" si="16"/>
        <v>Low</v>
      </c>
      <c r="F152" s="9">
        <f t="shared" si="21"/>
        <v>0</v>
      </c>
      <c r="G152" s="1" t="str">
        <f t="shared" si="17"/>
        <v>Low</v>
      </c>
      <c r="H152" s="9">
        <f t="shared" si="22"/>
        <v>0</v>
      </c>
      <c r="I152" s="1" t="str">
        <f t="shared" si="18"/>
        <v>Low</v>
      </c>
      <c r="J152" s="9">
        <f t="shared" si="23"/>
        <v>0</v>
      </c>
      <c r="K152" s="1" t="str">
        <f t="shared" si="19"/>
        <v>Low</v>
      </c>
      <c r="L152" s="9">
        <f t="shared" si="24"/>
        <v>0</v>
      </c>
      <c r="M152" s="1" t="str">
        <f t="shared" si="20"/>
        <v>Low</v>
      </c>
      <c r="O152" s="37"/>
      <c r="P152" s="39" t="s">
        <v>28</v>
      </c>
      <c r="Q152" s="41">
        <v>58</v>
      </c>
      <c r="R152" s="42">
        <v>114168</v>
      </c>
      <c r="S152" s="42">
        <v>64060</v>
      </c>
      <c r="T152" s="42">
        <v>77213</v>
      </c>
      <c r="U152" s="42">
        <v>143669</v>
      </c>
      <c r="V152" s="42">
        <v>214000</v>
      </c>
    </row>
    <row r="153" spans="2:22" ht="13.5" customHeight="1" x14ac:dyDescent="0.2">
      <c r="B153" s="8" t="s">
        <v>29</v>
      </c>
      <c r="C153" s="8" t="s">
        <v>52</v>
      </c>
      <c r="D153" s="9">
        <f t="shared" si="25"/>
        <v>0</v>
      </c>
      <c r="E153" s="1" t="str">
        <f t="shared" si="16"/>
        <v>Low</v>
      </c>
      <c r="F153" s="9">
        <f t="shared" si="21"/>
        <v>0</v>
      </c>
      <c r="G153" s="1" t="str">
        <f t="shared" si="17"/>
        <v>Low</v>
      </c>
      <c r="H153" s="9">
        <f t="shared" si="22"/>
        <v>0</v>
      </c>
      <c r="I153" s="1" t="str">
        <f t="shared" si="18"/>
        <v>Low</v>
      </c>
      <c r="J153" s="9">
        <f t="shared" si="23"/>
        <v>0</v>
      </c>
      <c r="K153" s="1" t="str">
        <f t="shared" si="19"/>
        <v>Low</v>
      </c>
      <c r="L153" s="9">
        <f t="shared" si="24"/>
        <v>0</v>
      </c>
      <c r="M153" s="1" t="str">
        <f t="shared" si="20"/>
        <v>Low</v>
      </c>
      <c r="O153" s="39" t="s">
        <v>29</v>
      </c>
      <c r="P153" s="39" t="s">
        <v>52</v>
      </c>
      <c r="Q153" s="41">
        <v>6</v>
      </c>
      <c r="R153" s="42">
        <v>28035</v>
      </c>
      <c r="S153" s="42">
        <v>23950</v>
      </c>
      <c r="T153" s="42">
        <v>32601</v>
      </c>
      <c r="U153" s="42">
        <v>33760</v>
      </c>
      <c r="V153" s="42">
        <v>35567</v>
      </c>
    </row>
    <row r="154" spans="2:22" x14ac:dyDescent="0.2">
      <c r="C154" s="8" t="s">
        <v>30</v>
      </c>
      <c r="D154" s="9">
        <f t="shared" si="25"/>
        <v>0</v>
      </c>
      <c r="E154" s="1" t="str">
        <f t="shared" si="16"/>
        <v>Low</v>
      </c>
      <c r="F154" s="9">
        <f t="shared" si="21"/>
        <v>0</v>
      </c>
      <c r="G154" s="1" t="str">
        <f t="shared" si="17"/>
        <v>Low</v>
      </c>
      <c r="H154" s="9">
        <f t="shared" si="22"/>
        <v>0</v>
      </c>
      <c r="I154" s="1" t="str">
        <f t="shared" si="18"/>
        <v>Low</v>
      </c>
      <c r="J154" s="9">
        <f t="shared" si="23"/>
        <v>0</v>
      </c>
      <c r="K154" s="1" t="str">
        <f t="shared" si="19"/>
        <v>Low</v>
      </c>
      <c r="L154" s="9">
        <f t="shared" si="24"/>
        <v>0</v>
      </c>
      <c r="M154" s="1" t="str">
        <f t="shared" si="20"/>
        <v>Low</v>
      </c>
      <c r="O154" s="37"/>
      <c r="P154" s="39" t="s">
        <v>30</v>
      </c>
      <c r="Q154" s="41">
        <v>105</v>
      </c>
      <c r="R154" s="42">
        <v>38132</v>
      </c>
      <c r="S154" s="42">
        <v>31806</v>
      </c>
      <c r="T154" s="42">
        <v>37794</v>
      </c>
      <c r="U154" s="42">
        <v>45083</v>
      </c>
      <c r="V154" s="42">
        <v>51737</v>
      </c>
    </row>
    <row r="155" spans="2:22" x14ac:dyDescent="0.2">
      <c r="C155" s="8" t="s">
        <v>31</v>
      </c>
      <c r="D155" s="9">
        <f t="shared" si="25"/>
        <v>0</v>
      </c>
      <c r="E155" s="1" t="str">
        <f t="shared" si="16"/>
        <v>Low</v>
      </c>
      <c r="F155" s="9">
        <f t="shared" si="21"/>
        <v>0</v>
      </c>
      <c r="G155" s="1" t="str">
        <f t="shared" si="17"/>
        <v>Low</v>
      </c>
      <c r="H155" s="9">
        <f t="shared" si="22"/>
        <v>0</v>
      </c>
      <c r="I155" s="1" t="str">
        <f t="shared" si="18"/>
        <v>Low</v>
      </c>
      <c r="J155" s="9">
        <f t="shared" si="23"/>
        <v>0</v>
      </c>
      <c r="K155" s="1" t="str">
        <f t="shared" si="19"/>
        <v>Low</v>
      </c>
      <c r="L155" s="9">
        <f t="shared" si="24"/>
        <v>0</v>
      </c>
      <c r="M155" s="1" t="str">
        <f t="shared" si="20"/>
        <v>Low</v>
      </c>
      <c r="O155" s="37"/>
      <c r="P155" s="39" t="s">
        <v>31</v>
      </c>
      <c r="Q155" s="41">
        <v>83</v>
      </c>
      <c r="R155" s="42">
        <v>50983</v>
      </c>
      <c r="S155" s="42">
        <v>40000</v>
      </c>
      <c r="T155" s="42">
        <v>49900</v>
      </c>
      <c r="U155" s="42">
        <v>59448</v>
      </c>
      <c r="V155" s="42">
        <v>67018</v>
      </c>
    </row>
    <row r="156" spans="2:22" x14ac:dyDescent="0.2">
      <c r="C156" s="8" t="s">
        <v>32</v>
      </c>
      <c r="D156" s="9">
        <f t="shared" si="25"/>
        <v>0</v>
      </c>
      <c r="E156" s="1" t="str">
        <f t="shared" si="16"/>
        <v>Low</v>
      </c>
      <c r="F156" s="9">
        <f t="shared" si="21"/>
        <v>0</v>
      </c>
      <c r="G156" s="1" t="str">
        <f t="shared" si="17"/>
        <v>Low</v>
      </c>
      <c r="H156" s="9">
        <f t="shared" si="22"/>
        <v>0</v>
      </c>
      <c r="I156" s="1" t="str">
        <f t="shared" si="18"/>
        <v>Low</v>
      </c>
      <c r="J156" s="9">
        <f t="shared" si="23"/>
        <v>0</v>
      </c>
      <c r="K156" s="1" t="str">
        <f t="shared" si="19"/>
        <v>Low</v>
      </c>
      <c r="L156" s="9">
        <f t="shared" si="24"/>
        <v>0</v>
      </c>
      <c r="M156" s="1" t="str">
        <f t="shared" si="20"/>
        <v>Low</v>
      </c>
      <c r="O156" s="37"/>
      <c r="P156" s="39" t="s">
        <v>32</v>
      </c>
      <c r="Q156" s="41">
        <v>134</v>
      </c>
      <c r="R156" s="42">
        <v>71816</v>
      </c>
      <c r="S156" s="42">
        <v>54945</v>
      </c>
      <c r="T156" s="42">
        <v>69995</v>
      </c>
      <c r="U156" s="42">
        <v>81923</v>
      </c>
      <c r="V156" s="42">
        <v>98303</v>
      </c>
    </row>
    <row r="157" spans="2:22" ht="18" customHeight="1" x14ac:dyDescent="0.2">
      <c r="C157" s="8" t="s">
        <v>33</v>
      </c>
      <c r="D157" s="9">
        <f t="shared" si="25"/>
        <v>0</v>
      </c>
      <c r="E157" s="1" t="str">
        <f t="shared" si="16"/>
        <v>Low</v>
      </c>
      <c r="F157" s="9">
        <f t="shared" si="21"/>
        <v>0</v>
      </c>
      <c r="G157" s="1" t="str">
        <f t="shared" si="17"/>
        <v>Low</v>
      </c>
      <c r="H157" s="9">
        <f t="shared" si="22"/>
        <v>0</v>
      </c>
      <c r="I157" s="1" t="str">
        <f t="shared" si="18"/>
        <v>Low</v>
      </c>
      <c r="J157" s="9">
        <f t="shared" si="23"/>
        <v>0</v>
      </c>
      <c r="K157" s="1" t="str">
        <f t="shared" si="19"/>
        <v>Low</v>
      </c>
      <c r="L157" s="9">
        <f t="shared" si="24"/>
        <v>0</v>
      </c>
      <c r="M157" s="1" t="str">
        <f t="shared" si="20"/>
        <v>Low</v>
      </c>
      <c r="O157" s="37"/>
      <c r="P157" s="39" t="s">
        <v>33</v>
      </c>
      <c r="Q157" s="41">
        <v>36</v>
      </c>
      <c r="R157" s="42">
        <v>127224</v>
      </c>
      <c r="S157" s="42">
        <v>104304</v>
      </c>
      <c r="T157" s="42">
        <v>120000</v>
      </c>
      <c r="U157" s="42">
        <v>134892</v>
      </c>
      <c r="V157" s="42">
        <v>182225</v>
      </c>
    </row>
    <row r="158" spans="2:22" x14ac:dyDescent="0.2">
      <c r="C158" s="8" t="s">
        <v>34</v>
      </c>
      <c r="D158" s="9">
        <f t="shared" si="25"/>
        <v>0</v>
      </c>
      <c r="E158" s="1" t="str">
        <f t="shared" si="16"/>
        <v>Low</v>
      </c>
      <c r="F158" s="9">
        <f t="shared" si="21"/>
        <v>0</v>
      </c>
      <c r="G158" s="1" t="str">
        <f t="shared" si="17"/>
        <v>Low</v>
      </c>
      <c r="H158" s="9">
        <f t="shared" si="22"/>
        <v>0</v>
      </c>
      <c r="I158" s="1" t="str">
        <f t="shared" si="18"/>
        <v>Low</v>
      </c>
      <c r="J158" s="9">
        <f t="shared" si="23"/>
        <v>0</v>
      </c>
      <c r="K158" s="1" t="str">
        <f t="shared" si="19"/>
        <v>Low</v>
      </c>
      <c r="L158" s="9">
        <f t="shared" si="24"/>
        <v>0</v>
      </c>
      <c r="M158" s="1" t="str">
        <f t="shared" si="20"/>
        <v>Low</v>
      </c>
      <c r="O158" s="37"/>
      <c r="P158" s="39" t="s">
        <v>34</v>
      </c>
      <c r="Q158" s="41">
        <v>54</v>
      </c>
      <c r="R158" s="42">
        <v>192263</v>
      </c>
      <c r="S158" s="42">
        <v>135820</v>
      </c>
      <c r="T158" s="42">
        <v>195145</v>
      </c>
      <c r="U158" s="42">
        <v>229352</v>
      </c>
      <c r="V158" s="42">
        <v>293186</v>
      </c>
    </row>
    <row r="159" spans="2:22" x14ac:dyDescent="0.2">
      <c r="B159" s="8" t="s">
        <v>35</v>
      </c>
      <c r="C159" s="8" t="s">
        <v>81</v>
      </c>
      <c r="D159" s="9">
        <f t="shared" si="25"/>
        <v>0</v>
      </c>
      <c r="E159" s="1" t="str">
        <f t="shared" si="16"/>
        <v>Low</v>
      </c>
      <c r="F159" s="9">
        <f t="shared" si="21"/>
        <v>0</v>
      </c>
      <c r="G159" s="1" t="str">
        <f t="shared" si="17"/>
        <v>Low</v>
      </c>
      <c r="H159" s="9">
        <f t="shared" si="22"/>
        <v>0</v>
      </c>
      <c r="I159" s="1" t="str">
        <f t="shared" si="18"/>
        <v>Low</v>
      </c>
      <c r="J159" s="9">
        <f t="shared" si="23"/>
        <v>0</v>
      </c>
      <c r="K159" s="1" t="str">
        <f t="shared" si="19"/>
        <v>Low</v>
      </c>
      <c r="L159" s="9">
        <f t="shared" si="24"/>
        <v>0</v>
      </c>
      <c r="M159" s="1" t="str">
        <f t="shared" si="20"/>
        <v>Low</v>
      </c>
      <c r="O159" s="39" t="s">
        <v>35</v>
      </c>
      <c r="P159" s="39" t="s">
        <v>81</v>
      </c>
      <c r="Q159" s="41">
        <v>8</v>
      </c>
      <c r="R159" s="42">
        <v>29786</v>
      </c>
      <c r="S159" s="42">
        <v>21921</v>
      </c>
      <c r="T159" s="42">
        <v>29303</v>
      </c>
      <c r="U159" s="42">
        <v>35720</v>
      </c>
      <c r="V159" s="42">
        <v>42438</v>
      </c>
    </row>
    <row r="160" spans="2:22" x14ac:dyDescent="0.2">
      <c r="C160" s="8" t="s">
        <v>111</v>
      </c>
      <c r="D160" s="9">
        <f t="shared" si="25"/>
        <v>0</v>
      </c>
      <c r="E160" s="1" t="str">
        <f t="shared" si="16"/>
        <v>Low</v>
      </c>
      <c r="F160" s="9">
        <f t="shared" si="21"/>
        <v>0</v>
      </c>
      <c r="G160" s="1" t="str">
        <f t="shared" si="17"/>
        <v>Low</v>
      </c>
      <c r="H160" s="9">
        <f t="shared" si="22"/>
        <v>0</v>
      </c>
      <c r="I160" s="1" t="str">
        <f t="shared" si="18"/>
        <v>Low</v>
      </c>
      <c r="J160" s="9">
        <f t="shared" si="23"/>
        <v>0</v>
      </c>
      <c r="K160" s="1" t="str">
        <f t="shared" si="19"/>
        <v>Low</v>
      </c>
      <c r="L160" s="9">
        <f t="shared" si="24"/>
        <v>0</v>
      </c>
      <c r="M160" s="1" t="str">
        <f t="shared" si="20"/>
        <v>Low</v>
      </c>
      <c r="O160" s="37"/>
      <c r="P160" s="39" t="s">
        <v>111</v>
      </c>
      <c r="Q160" s="41">
        <v>18</v>
      </c>
      <c r="R160" s="42">
        <v>31266</v>
      </c>
      <c r="S160" s="42">
        <v>20857</v>
      </c>
      <c r="T160" s="42">
        <v>32426</v>
      </c>
      <c r="U160" s="42">
        <v>40793</v>
      </c>
      <c r="V160" s="42">
        <v>45104</v>
      </c>
    </row>
    <row r="161" spans="2:22" x14ac:dyDescent="0.2">
      <c r="C161" s="8" t="s">
        <v>82</v>
      </c>
      <c r="D161" s="9">
        <f t="shared" si="25"/>
        <v>0</v>
      </c>
      <c r="E161" s="1" t="str">
        <f t="shared" si="16"/>
        <v>Low</v>
      </c>
      <c r="F161" s="9">
        <f t="shared" si="21"/>
        <v>0</v>
      </c>
      <c r="G161" s="1" t="str">
        <f t="shared" si="17"/>
        <v>Low</v>
      </c>
      <c r="H161" s="9">
        <f t="shared" si="22"/>
        <v>0</v>
      </c>
      <c r="I161" s="1" t="str">
        <f t="shared" si="18"/>
        <v>Low</v>
      </c>
      <c r="J161" s="9">
        <f t="shared" si="23"/>
        <v>0</v>
      </c>
      <c r="K161" s="1" t="str">
        <f t="shared" si="19"/>
        <v>Low</v>
      </c>
      <c r="L161" s="9">
        <f t="shared" si="24"/>
        <v>0</v>
      </c>
      <c r="M161" s="1" t="str">
        <f t="shared" si="20"/>
        <v>Low</v>
      </c>
      <c r="O161" s="37"/>
      <c r="P161" s="39" t="s">
        <v>82</v>
      </c>
      <c r="Q161" s="41">
        <v>10</v>
      </c>
      <c r="R161" s="42">
        <v>40860</v>
      </c>
      <c r="S161" s="42">
        <v>35413</v>
      </c>
      <c r="T161" s="42">
        <v>41862</v>
      </c>
      <c r="U161" s="42">
        <v>44145</v>
      </c>
      <c r="V161" s="42">
        <v>50972</v>
      </c>
    </row>
    <row r="162" spans="2:22" x14ac:dyDescent="0.2">
      <c r="C162" s="8" t="s">
        <v>83</v>
      </c>
      <c r="D162" s="9">
        <f t="shared" si="25"/>
        <v>0</v>
      </c>
      <c r="E162" s="1" t="str">
        <f t="shared" si="16"/>
        <v>Low</v>
      </c>
      <c r="F162" s="9">
        <f t="shared" si="21"/>
        <v>0</v>
      </c>
      <c r="G162" s="1" t="str">
        <f t="shared" si="17"/>
        <v>Low</v>
      </c>
      <c r="H162" s="9">
        <f t="shared" si="22"/>
        <v>0</v>
      </c>
      <c r="I162" s="1" t="str">
        <f t="shared" si="18"/>
        <v>Low</v>
      </c>
      <c r="J162" s="9">
        <f t="shared" si="23"/>
        <v>0</v>
      </c>
      <c r="K162" s="1" t="str">
        <f t="shared" si="19"/>
        <v>Low</v>
      </c>
      <c r="L162" s="9">
        <f t="shared" si="24"/>
        <v>0</v>
      </c>
      <c r="M162" s="1" t="str">
        <f t="shared" si="20"/>
        <v>Low</v>
      </c>
      <c r="O162" s="37"/>
      <c r="P162" s="39" t="s">
        <v>83</v>
      </c>
      <c r="Q162" s="41">
        <v>15</v>
      </c>
      <c r="R162" s="42">
        <v>38343</v>
      </c>
      <c r="S162" s="42">
        <v>33257</v>
      </c>
      <c r="T162" s="42">
        <v>36117</v>
      </c>
      <c r="U162" s="42">
        <v>45343</v>
      </c>
      <c r="V162" s="42">
        <v>50556</v>
      </c>
    </row>
    <row r="163" spans="2:22" x14ac:dyDescent="0.2">
      <c r="C163" s="8" t="s">
        <v>84</v>
      </c>
      <c r="D163" s="9">
        <f t="shared" si="25"/>
        <v>0</v>
      </c>
      <c r="E163" s="1" t="str">
        <f t="shared" si="16"/>
        <v>Low</v>
      </c>
      <c r="F163" s="9">
        <f t="shared" si="21"/>
        <v>0</v>
      </c>
      <c r="G163" s="1" t="str">
        <f t="shared" si="17"/>
        <v>Low</v>
      </c>
      <c r="H163" s="9">
        <f t="shared" si="22"/>
        <v>0</v>
      </c>
      <c r="I163" s="1" t="str">
        <f t="shared" si="18"/>
        <v>Low</v>
      </c>
      <c r="J163" s="9">
        <f t="shared" si="23"/>
        <v>0</v>
      </c>
      <c r="K163" s="1" t="str">
        <f t="shared" si="19"/>
        <v>Low</v>
      </c>
      <c r="L163" s="9">
        <f t="shared" si="24"/>
        <v>0</v>
      </c>
      <c r="M163" s="1" t="str">
        <f t="shared" si="20"/>
        <v>Low</v>
      </c>
      <c r="O163" s="37"/>
      <c r="P163" s="39" t="s">
        <v>84</v>
      </c>
      <c r="Q163" s="41">
        <v>30</v>
      </c>
      <c r="R163" s="42">
        <v>42816</v>
      </c>
      <c r="S163" s="42">
        <v>31364</v>
      </c>
      <c r="T163" s="42">
        <v>36355</v>
      </c>
      <c r="U163" s="42">
        <v>46159</v>
      </c>
      <c r="V163" s="42">
        <v>53404</v>
      </c>
    </row>
    <row r="164" spans="2:22" x14ac:dyDescent="0.2">
      <c r="C164" s="8" t="s">
        <v>36</v>
      </c>
      <c r="D164" s="9">
        <f t="shared" si="25"/>
        <v>0</v>
      </c>
      <c r="E164" s="1" t="str">
        <f t="shared" si="16"/>
        <v>Low</v>
      </c>
      <c r="F164" s="9">
        <f t="shared" si="21"/>
        <v>0</v>
      </c>
      <c r="G164" s="1" t="str">
        <f t="shared" si="17"/>
        <v>Low</v>
      </c>
      <c r="H164" s="9">
        <f t="shared" si="22"/>
        <v>0</v>
      </c>
      <c r="I164" s="1" t="str">
        <f t="shared" si="18"/>
        <v>Low</v>
      </c>
      <c r="J164" s="9">
        <f t="shared" si="23"/>
        <v>0</v>
      </c>
      <c r="K164" s="1" t="str">
        <f t="shared" si="19"/>
        <v>Low</v>
      </c>
      <c r="L164" s="9">
        <f t="shared" si="24"/>
        <v>0</v>
      </c>
      <c r="M164" s="1" t="str">
        <f t="shared" si="20"/>
        <v>Low</v>
      </c>
      <c r="O164" s="37"/>
      <c r="P164" s="39" t="s">
        <v>36</v>
      </c>
      <c r="Q164" s="41">
        <v>46</v>
      </c>
      <c r="R164" s="42">
        <v>52259</v>
      </c>
      <c r="S164" s="42">
        <v>39537</v>
      </c>
      <c r="T164" s="42">
        <v>47859</v>
      </c>
      <c r="U164" s="42">
        <v>57444</v>
      </c>
      <c r="V164" s="42">
        <v>70559</v>
      </c>
    </row>
    <row r="165" spans="2:22" x14ac:dyDescent="0.2">
      <c r="C165" s="8" t="s">
        <v>37</v>
      </c>
      <c r="D165" s="9">
        <f t="shared" si="25"/>
        <v>0</v>
      </c>
      <c r="E165" s="1" t="str">
        <f t="shared" si="16"/>
        <v>Low</v>
      </c>
      <c r="F165" s="9">
        <f t="shared" si="21"/>
        <v>0</v>
      </c>
      <c r="G165" s="1" t="str">
        <f t="shared" si="17"/>
        <v>Low</v>
      </c>
      <c r="H165" s="9">
        <f t="shared" si="22"/>
        <v>0</v>
      </c>
      <c r="I165" s="1" t="str">
        <f t="shared" si="18"/>
        <v>Low</v>
      </c>
      <c r="J165" s="9">
        <f t="shared" si="23"/>
        <v>0</v>
      </c>
      <c r="K165" s="1" t="str">
        <f t="shared" si="19"/>
        <v>Low</v>
      </c>
      <c r="L165" s="9">
        <f t="shared" si="24"/>
        <v>0</v>
      </c>
      <c r="M165" s="1" t="str">
        <f t="shared" si="20"/>
        <v>Low</v>
      </c>
      <c r="O165" s="37"/>
      <c r="P165" s="39" t="s">
        <v>37</v>
      </c>
      <c r="Q165" s="41">
        <v>65</v>
      </c>
      <c r="R165" s="42">
        <v>61138</v>
      </c>
      <c r="S165" s="42">
        <v>41173</v>
      </c>
      <c r="T165" s="42">
        <v>49961</v>
      </c>
      <c r="U165" s="42">
        <v>67083</v>
      </c>
      <c r="V165" s="42">
        <v>79019</v>
      </c>
    </row>
    <row r="166" spans="2:22" x14ac:dyDescent="0.2">
      <c r="C166" s="8" t="s">
        <v>38</v>
      </c>
      <c r="D166" s="9">
        <f t="shared" si="25"/>
        <v>0</v>
      </c>
      <c r="E166" s="1" t="str">
        <f t="shared" si="16"/>
        <v>Low</v>
      </c>
      <c r="F166" s="9">
        <f t="shared" si="21"/>
        <v>0</v>
      </c>
      <c r="G166" s="1" t="str">
        <f t="shared" si="17"/>
        <v>Low</v>
      </c>
      <c r="H166" s="9">
        <f t="shared" si="22"/>
        <v>0</v>
      </c>
      <c r="I166" s="1" t="str">
        <f t="shared" si="18"/>
        <v>Low</v>
      </c>
      <c r="J166" s="9">
        <f t="shared" si="23"/>
        <v>0</v>
      </c>
      <c r="K166" s="1" t="str">
        <f t="shared" si="19"/>
        <v>Low</v>
      </c>
      <c r="L166" s="9">
        <f t="shared" si="24"/>
        <v>0</v>
      </c>
      <c r="M166" s="1" t="str">
        <f t="shared" si="20"/>
        <v>Low</v>
      </c>
      <c r="O166" s="37"/>
      <c r="P166" s="39" t="s">
        <v>38</v>
      </c>
      <c r="Q166" s="41">
        <v>226</v>
      </c>
      <c r="R166" s="42">
        <v>102511</v>
      </c>
      <c r="S166" s="42">
        <v>63216</v>
      </c>
      <c r="T166" s="42">
        <v>81666</v>
      </c>
      <c r="U166" s="42">
        <v>123946</v>
      </c>
      <c r="V166" s="42">
        <v>199746</v>
      </c>
    </row>
    <row r="167" spans="2:22" x14ac:dyDescent="0.2">
      <c r="B167" s="8" t="s">
        <v>39</v>
      </c>
      <c r="C167" s="8" t="s">
        <v>85</v>
      </c>
      <c r="D167" s="9">
        <f t="shared" si="25"/>
        <v>0</v>
      </c>
      <c r="E167" s="1" t="str">
        <f t="shared" si="16"/>
        <v>Low</v>
      </c>
      <c r="F167" s="9">
        <f t="shared" si="21"/>
        <v>0</v>
      </c>
      <c r="G167" s="1" t="str">
        <f t="shared" si="17"/>
        <v>Low</v>
      </c>
      <c r="H167" s="9">
        <f t="shared" si="22"/>
        <v>0</v>
      </c>
      <c r="I167" s="1" t="str">
        <f t="shared" si="18"/>
        <v>Low</v>
      </c>
      <c r="J167" s="9">
        <f t="shared" si="23"/>
        <v>0</v>
      </c>
      <c r="K167" s="1" t="str">
        <f t="shared" si="19"/>
        <v>Low</v>
      </c>
      <c r="L167" s="9">
        <f t="shared" si="24"/>
        <v>0</v>
      </c>
      <c r="M167" s="1" t="str">
        <f t="shared" si="20"/>
        <v>Low</v>
      </c>
      <c r="O167" s="39" t="s">
        <v>39</v>
      </c>
      <c r="P167" s="39" t="s">
        <v>85</v>
      </c>
      <c r="Q167" s="41">
        <v>21</v>
      </c>
      <c r="R167" s="42">
        <v>29036</v>
      </c>
      <c r="S167" s="42">
        <v>19826</v>
      </c>
      <c r="T167" s="42">
        <v>27754</v>
      </c>
      <c r="U167" s="42">
        <v>34759</v>
      </c>
      <c r="V167" s="42">
        <v>44729</v>
      </c>
    </row>
    <row r="168" spans="2:22" x14ac:dyDescent="0.2">
      <c r="C168" s="8" t="s">
        <v>40</v>
      </c>
      <c r="D168" s="9">
        <f t="shared" si="25"/>
        <v>0</v>
      </c>
      <c r="E168" s="1" t="str">
        <f t="shared" si="16"/>
        <v>Low</v>
      </c>
      <c r="F168" s="9">
        <f t="shared" si="21"/>
        <v>0</v>
      </c>
      <c r="G168" s="1" t="str">
        <f t="shared" si="17"/>
        <v>Low</v>
      </c>
      <c r="H168" s="9">
        <f t="shared" si="22"/>
        <v>0</v>
      </c>
      <c r="I168" s="1" t="str">
        <f t="shared" si="18"/>
        <v>Low</v>
      </c>
      <c r="J168" s="9">
        <f t="shared" si="23"/>
        <v>0</v>
      </c>
      <c r="K168" s="1" t="str">
        <f t="shared" si="19"/>
        <v>Low</v>
      </c>
      <c r="L168" s="9">
        <f t="shared" si="24"/>
        <v>0</v>
      </c>
      <c r="M168" s="1" t="str">
        <f t="shared" si="20"/>
        <v>Low</v>
      </c>
      <c r="O168" s="37"/>
      <c r="P168" s="39" t="s">
        <v>40</v>
      </c>
      <c r="Q168" s="41">
        <v>53</v>
      </c>
      <c r="R168" s="42">
        <v>37198</v>
      </c>
      <c r="S168" s="42">
        <v>31232</v>
      </c>
      <c r="T168" s="42">
        <v>34568</v>
      </c>
      <c r="U168" s="42">
        <v>44365</v>
      </c>
      <c r="V168" s="42">
        <v>48904</v>
      </c>
    </row>
    <row r="169" spans="2:22" x14ac:dyDescent="0.2">
      <c r="C169" s="8" t="s">
        <v>41</v>
      </c>
      <c r="D169" s="9">
        <f t="shared" si="25"/>
        <v>0</v>
      </c>
      <c r="E169" s="1" t="str">
        <f t="shared" si="16"/>
        <v>Low</v>
      </c>
      <c r="F169" s="9">
        <f t="shared" si="21"/>
        <v>0</v>
      </c>
      <c r="G169" s="1" t="str">
        <f t="shared" si="17"/>
        <v>Low</v>
      </c>
      <c r="H169" s="9">
        <f t="shared" si="22"/>
        <v>0</v>
      </c>
      <c r="I169" s="1" t="str">
        <f t="shared" si="18"/>
        <v>Low</v>
      </c>
      <c r="J169" s="9">
        <f t="shared" si="23"/>
        <v>0</v>
      </c>
      <c r="K169" s="1" t="str">
        <f t="shared" si="19"/>
        <v>Low</v>
      </c>
      <c r="L169" s="9">
        <f t="shared" si="24"/>
        <v>0</v>
      </c>
      <c r="M169" s="1" t="str">
        <f t="shared" si="20"/>
        <v>Low</v>
      </c>
      <c r="O169" s="37"/>
      <c r="P169" s="39" t="s">
        <v>41</v>
      </c>
      <c r="Q169" s="41">
        <v>151</v>
      </c>
      <c r="R169" s="42">
        <v>49976</v>
      </c>
      <c r="S169" s="42">
        <v>40162</v>
      </c>
      <c r="T169" s="42">
        <v>47842</v>
      </c>
      <c r="U169" s="42">
        <v>57000</v>
      </c>
      <c r="V169" s="42">
        <v>70108</v>
      </c>
    </row>
    <row r="170" spans="2:22" x14ac:dyDescent="0.2">
      <c r="C170" s="8" t="s">
        <v>13</v>
      </c>
      <c r="D170" s="9">
        <f t="shared" si="25"/>
        <v>0</v>
      </c>
      <c r="E170" s="1" t="str">
        <f t="shared" si="16"/>
        <v>Low</v>
      </c>
      <c r="F170" s="9">
        <f t="shared" si="21"/>
        <v>0</v>
      </c>
      <c r="G170" s="1" t="str">
        <f t="shared" si="17"/>
        <v>Low</v>
      </c>
      <c r="H170" s="9">
        <f t="shared" si="22"/>
        <v>0</v>
      </c>
      <c r="I170" s="1" t="str">
        <f t="shared" si="18"/>
        <v>Low</v>
      </c>
      <c r="J170" s="9">
        <f t="shared" si="23"/>
        <v>0</v>
      </c>
      <c r="K170" s="1" t="str">
        <f t="shared" si="19"/>
        <v>Low</v>
      </c>
      <c r="L170" s="9">
        <f t="shared" si="24"/>
        <v>0</v>
      </c>
      <c r="M170" s="1" t="str">
        <f t="shared" si="20"/>
        <v>Low</v>
      </c>
      <c r="O170" s="37"/>
      <c r="P170" s="39" t="s">
        <v>13</v>
      </c>
      <c r="Q170" s="41">
        <v>68</v>
      </c>
      <c r="R170" s="42">
        <v>68203</v>
      </c>
      <c r="S170" s="42">
        <v>61744</v>
      </c>
      <c r="T170" s="42">
        <v>67194</v>
      </c>
      <c r="U170" s="42">
        <v>74587</v>
      </c>
      <c r="V170" s="42">
        <v>81509</v>
      </c>
    </row>
    <row r="171" spans="2:22" x14ac:dyDescent="0.2">
      <c r="C171" s="8" t="s">
        <v>14</v>
      </c>
      <c r="D171" s="9">
        <f t="shared" si="25"/>
        <v>0</v>
      </c>
      <c r="E171" s="1" t="str">
        <f t="shared" si="16"/>
        <v>Low</v>
      </c>
      <c r="F171" s="9">
        <f t="shared" si="21"/>
        <v>0</v>
      </c>
      <c r="G171" s="1" t="str">
        <f t="shared" si="17"/>
        <v>Low</v>
      </c>
      <c r="H171" s="9">
        <f t="shared" si="22"/>
        <v>0</v>
      </c>
      <c r="I171" s="1" t="str">
        <f t="shared" si="18"/>
        <v>Low</v>
      </c>
      <c r="J171" s="9">
        <f t="shared" si="23"/>
        <v>0</v>
      </c>
      <c r="K171" s="1" t="str">
        <f t="shared" si="19"/>
        <v>Low</v>
      </c>
      <c r="L171" s="9">
        <f t="shared" si="24"/>
        <v>0</v>
      </c>
      <c r="M171" s="1" t="str">
        <f t="shared" si="20"/>
        <v>Low</v>
      </c>
      <c r="O171" s="37"/>
      <c r="P171" s="39" t="s">
        <v>14</v>
      </c>
      <c r="Q171" s="41">
        <v>39</v>
      </c>
      <c r="R171" s="42">
        <v>99252</v>
      </c>
      <c r="S171" s="42">
        <v>81224</v>
      </c>
      <c r="T171" s="42">
        <v>91338</v>
      </c>
      <c r="U171" s="42">
        <v>119583</v>
      </c>
      <c r="V171" s="42">
        <v>129076</v>
      </c>
    </row>
    <row r="172" spans="2:22" ht="18" customHeight="1" x14ac:dyDescent="0.2">
      <c r="C172" s="8" t="s">
        <v>15</v>
      </c>
      <c r="D172" s="9">
        <f t="shared" si="25"/>
        <v>0</v>
      </c>
      <c r="E172" s="1" t="str">
        <f t="shared" si="16"/>
        <v>Low</v>
      </c>
      <c r="F172" s="9">
        <f t="shared" si="21"/>
        <v>0</v>
      </c>
      <c r="G172" s="1" t="str">
        <f t="shared" si="17"/>
        <v>Low</v>
      </c>
      <c r="H172" s="9">
        <f t="shared" si="22"/>
        <v>0</v>
      </c>
      <c r="I172" s="1" t="str">
        <f t="shared" si="18"/>
        <v>Low</v>
      </c>
      <c r="J172" s="9">
        <f t="shared" si="23"/>
        <v>0</v>
      </c>
      <c r="K172" s="1" t="str">
        <f t="shared" si="19"/>
        <v>Low</v>
      </c>
      <c r="L172" s="9">
        <f t="shared" si="24"/>
        <v>0</v>
      </c>
      <c r="M172" s="1" t="str">
        <f t="shared" si="20"/>
        <v>Low</v>
      </c>
      <c r="O172" s="37"/>
      <c r="P172" s="39" t="s">
        <v>15</v>
      </c>
      <c r="Q172" s="41">
        <v>32</v>
      </c>
      <c r="R172" s="42">
        <v>126000</v>
      </c>
      <c r="S172" s="42">
        <v>107018</v>
      </c>
      <c r="T172" s="42">
        <v>122372</v>
      </c>
      <c r="U172" s="42">
        <v>135968</v>
      </c>
      <c r="V172" s="42">
        <v>162616</v>
      </c>
    </row>
    <row r="173" spans="2:22" x14ac:dyDescent="0.2">
      <c r="C173" s="8" t="s">
        <v>42</v>
      </c>
      <c r="D173" s="9">
        <f t="shared" si="25"/>
        <v>0</v>
      </c>
      <c r="E173" s="1" t="str">
        <f t="shared" si="16"/>
        <v>Low</v>
      </c>
      <c r="F173" s="9">
        <f t="shared" si="21"/>
        <v>0</v>
      </c>
      <c r="G173" s="1" t="str">
        <f t="shared" si="17"/>
        <v>Low</v>
      </c>
      <c r="H173" s="9">
        <f t="shared" si="22"/>
        <v>0</v>
      </c>
      <c r="I173" s="1" t="str">
        <f t="shared" si="18"/>
        <v>Low</v>
      </c>
      <c r="J173" s="9">
        <f t="shared" si="23"/>
        <v>0</v>
      </c>
      <c r="K173" s="1" t="str">
        <f t="shared" si="19"/>
        <v>Low</v>
      </c>
      <c r="L173" s="9">
        <f t="shared" si="24"/>
        <v>0</v>
      </c>
      <c r="M173" s="1" t="str">
        <f t="shared" si="20"/>
        <v>Low</v>
      </c>
      <c r="O173" s="37"/>
      <c r="P173" s="39" t="s">
        <v>42</v>
      </c>
      <c r="Q173" s="41">
        <v>54</v>
      </c>
      <c r="R173" s="42">
        <v>193666</v>
      </c>
      <c r="S173" s="42">
        <v>129447</v>
      </c>
      <c r="T173" s="42">
        <v>198898</v>
      </c>
      <c r="U173" s="42">
        <v>240668</v>
      </c>
      <c r="V173" s="42">
        <v>293790</v>
      </c>
    </row>
    <row r="174" spans="2:22" x14ac:dyDescent="0.2">
      <c r="B174" s="8" t="s">
        <v>43</v>
      </c>
      <c r="C174" s="8" t="s">
        <v>86</v>
      </c>
      <c r="D174" s="9">
        <f t="shared" si="25"/>
        <v>0</v>
      </c>
      <c r="E174" s="1" t="str">
        <f t="shared" si="16"/>
        <v>Low</v>
      </c>
      <c r="F174" s="9">
        <f t="shared" si="21"/>
        <v>0</v>
      </c>
      <c r="G174" s="1" t="str">
        <f t="shared" si="17"/>
        <v>Low</v>
      </c>
      <c r="H174" s="9">
        <f t="shared" si="22"/>
        <v>0</v>
      </c>
      <c r="I174" s="1" t="str">
        <f t="shared" si="18"/>
        <v>Low</v>
      </c>
      <c r="J174" s="9">
        <f t="shared" si="23"/>
        <v>0</v>
      </c>
      <c r="K174" s="1" t="str">
        <f t="shared" si="19"/>
        <v>Low</v>
      </c>
      <c r="L174" s="9">
        <f t="shared" si="24"/>
        <v>0</v>
      </c>
      <c r="M174" s="1" t="str">
        <f t="shared" si="20"/>
        <v>Low</v>
      </c>
      <c r="O174" s="39" t="s">
        <v>43</v>
      </c>
      <c r="P174" s="39" t="s">
        <v>86</v>
      </c>
      <c r="Q174" s="41">
        <v>28</v>
      </c>
      <c r="R174" s="42">
        <v>28877</v>
      </c>
      <c r="S174" s="42">
        <v>22054</v>
      </c>
      <c r="T174" s="42">
        <v>31161</v>
      </c>
      <c r="U174" s="42">
        <v>34644</v>
      </c>
      <c r="V174" s="42">
        <v>37064</v>
      </c>
    </row>
    <row r="175" spans="2:22" x14ac:dyDescent="0.2">
      <c r="C175" s="8" t="s">
        <v>87</v>
      </c>
      <c r="D175" s="9">
        <f t="shared" si="25"/>
        <v>0</v>
      </c>
      <c r="E175" s="1" t="str">
        <f t="shared" si="16"/>
        <v>Low</v>
      </c>
      <c r="F175" s="9">
        <f t="shared" si="21"/>
        <v>0</v>
      </c>
      <c r="G175" s="1" t="str">
        <f t="shared" si="17"/>
        <v>Low</v>
      </c>
      <c r="H175" s="9">
        <f t="shared" si="22"/>
        <v>0</v>
      </c>
      <c r="I175" s="1" t="str">
        <f t="shared" si="18"/>
        <v>Low</v>
      </c>
      <c r="J175" s="9">
        <f t="shared" si="23"/>
        <v>0</v>
      </c>
      <c r="K175" s="1" t="str">
        <f t="shared" si="19"/>
        <v>Low</v>
      </c>
      <c r="L175" s="9">
        <f t="shared" si="24"/>
        <v>0</v>
      </c>
      <c r="M175" s="1" t="str">
        <f t="shared" si="20"/>
        <v>Low</v>
      </c>
      <c r="O175" s="37"/>
      <c r="P175" s="39" t="s">
        <v>87</v>
      </c>
      <c r="Q175" s="41">
        <v>60</v>
      </c>
      <c r="R175" s="42">
        <v>40199</v>
      </c>
      <c r="S175" s="42">
        <v>32935</v>
      </c>
      <c r="T175" s="42">
        <v>40227</v>
      </c>
      <c r="U175" s="42">
        <v>48166</v>
      </c>
      <c r="V175" s="42">
        <v>53149</v>
      </c>
    </row>
    <row r="176" spans="2:22" x14ac:dyDescent="0.2">
      <c r="C176" s="8" t="s">
        <v>44</v>
      </c>
      <c r="D176" s="9">
        <f t="shared" si="25"/>
        <v>0</v>
      </c>
      <c r="E176" s="1" t="str">
        <f t="shared" si="16"/>
        <v>Low</v>
      </c>
      <c r="F176" s="9">
        <f t="shared" si="21"/>
        <v>0</v>
      </c>
      <c r="G176" s="1" t="str">
        <f t="shared" si="17"/>
        <v>Low</v>
      </c>
      <c r="H176" s="9">
        <f t="shared" si="22"/>
        <v>0</v>
      </c>
      <c r="I176" s="1" t="str">
        <f t="shared" si="18"/>
        <v>Low</v>
      </c>
      <c r="J176" s="9">
        <f t="shared" si="23"/>
        <v>0</v>
      </c>
      <c r="K176" s="1" t="str">
        <f t="shared" si="19"/>
        <v>Low</v>
      </c>
      <c r="L176" s="9">
        <f t="shared" si="24"/>
        <v>0</v>
      </c>
      <c r="M176" s="1" t="str">
        <f t="shared" si="20"/>
        <v>Low</v>
      </c>
      <c r="O176" s="37"/>
      <c r="P176" s="39" t="s">
        <v>44</v>
      </c>
      <c r="Q176" s="41">
        <v>131</v>
      </c>
      <c r="R176" s="42">
        <v>50353</v>
      </c>
      <c r="S176" s="42">
        <v>39631</v>
      </c>
      <c r="T176" s="42">
        <v>47922</v>
      </c>
      <c r="U176" s="42">
        <v>58168</v>
      </c>
      <c r="V176" s="42">
        <v>70086</v>
      </c>
    </row>
    <row r="177" spans="1:22" x14ac:dyDescent="0.2">
      <c r="C177" s="8" t="s">
        <v>45</v>
      </c>
      <c r="D177" s="9">
        <f t="shared" si="25"/>
        <v>0</v>
      </c>
      <c r="E177" s="1" t="str">
        <f t="shared" si="16"/>
        <v>Low</v>
      </c>
      <c r="F177" s="9">
        <f t="shared" si="21"/>
        <v>0</v>
      </c>
      <c r="G177" s="1" t="str">
        <f t="shared" si="17"/>
        <v>Low</v>
      </c>
      <c r="H177" s="9">
        <f t="shared" si="22"/>
        <v>0</v>
      </c>
      <c r="I177" s="1" t="str">
        <f t="shared" si="18"/>
        <v>Low</v>
      </c>
      <c r="J177" s="9">
        <f t="shared" si="23"/>
        <v>0</v>
      </c>
      <c r="K177" s="1" t="str">
        <f t="shared" si="19"/>
        <v>Low</v>
      </c>
      <c r="L177" s="9">
        <f t="shared" si="24"/>
        <v>0</v>
      </c>
      <c r="M177" s="1" t="str">
        <f t="shared" si="20"/>
        <v>Low</v>
      </c>
      <c r="O177" s="37"/>
      <c r="P177" s="39" t="s">
        <v>45</v>
      </c>
      <c r="Q177" s="41">
        <v>61</v>
      </c>
      <c r="R177" s="42">
        <v>65900</v>
      </c>
      <c r="S177" s="42">
        <v>54621</v>
      </c>
      <c r="T177" s="42">
        <v>66874</v>
      </c>
      <c r="U177" s="42">
        <v>74362</v>
      </c>
      <c r="V177" s="42">
        <v>87080</v>
      </c>
    </row>
    <row r="178" spans="1:22" x14ac:dyDescent="0.2">
      <c r="C178" s="8" t="s">
        <v>46</v>
      </c>
      <c r="D178" s="9">
        <f t="shared" si="25"/>
        <v>0</v>
      </c>
      <c r="E178" s="1" t="str">
        <f t="shared" si="16"/>
        <v>Low</v>
      </c>
      <c r="F178" s="9">
        <f t="shared" si="21"/>
        <v>0</v>
      </c>
      <c r="G178" s="1" t="str">
        <f t="shared" si="17"/>
        <v>Low</v>
      </c>
      <c r="H178" s="9">
        <f t="shared" si="22"/>
        <v>0</v>
      </c>
      <c r="I178" s="1" t="str">
        <f t="shared" si="18"/>
        <v>Low</v>
      </c>
      <c r="J178" s="9">
        <f t="shared" si="23"/>
        <v>0</v>
      </c>
      <c r="K178" s="1" t="str">
        <f t="shared" si="19"/>
        <v>Low</v>
      </c>
      <c r="L178" s="9">
        <f t="shared" si="24"/>
        <v>0</v>
      </c>
      <c r="M178" s="1" t="str">
        <f t="shared" si="20"/>
        <v>Low</v>
      </c>
      <c r="O178" s="37"/>
      <c r="P178" s="39" t="s">
        <v>46</v>
      </c>
      <c r="Q178" s="41">
        <v>53</v>
      </c>
      <c r="R178" s="42">
        <v>89718</v>
      </c>
      <c r="S178" s="42">
        <v>72596</v>
      </c>
      <c r="T178" s="42">
        <v>84571</v>
      </c>
      <c r="U178" s="42">
        <v>105036</v>
      </c>
      <c r="V178" s="42">
        <v>121897</v>
      </c>
    </row>
    <row r="179" spans="1:22" x14ac:dyDescent="0.2">
      <c r="C179" s="8" t="s">
        <v>47</v>
      </c>
      <c r="D179" s="9">
        <f t="shared" si="25"/>
        <v>0</v>
      </c>
      <c r="E179" s="1" t="str">
        <f t="shared" si="16"/>
        <v>Low</v>
      </c>
      <c r="F179" s="9">
        <f t="shared" si="21"/>
        <v>0</v>
      </c>
      <c r="G179" s="1" t="str">
        <f t="shared" si="17"/>
        <v>Low</v>
      </c>
      <c r="H179" s="9">
        <f t="shared" si="22"/>
        <v>0</v>
      </c>
      <c r="I179" s="1" t="str">
        <f t="shared" si="18"/>
        <v>Low</v>
      </c>
      <c r="J179" s="9">
        <f t="shared" si="23"/>
        <v>0</v>
      </c>
      <c r="K179" s="1" t="str">
        <f t="shared" si="19"/>
        <v>Low</v>
      </c>
      <c r="L179" s="9">
        <f t="shared" si="24"/>
        <v>0</v>
      </c>
      <c r="M179" s="1" t="str">
        <f t="shared" si="20"/>
        <v>Low</v>
      </c>
      <c r="O179" s="37"/>
      <c r="P179" s="39" t="s">
        <v>47</v>
      </c>
      <c r="Q179" s="41">
        <v>36</v>
      </c>
      <c r="R179" s="42">
        <v>130618</v>
      </c>
      <c r="S179" s="42">
        <v>104830</v>
      </c>
      <c r="T179" s="42">
        <v>122713</v>
      </c>
      <c r="U179" s="42">
        <v>135041</v>
      </c>
      <c r="V179" s="42">
        <v>194270</v>
      </c>
    </row>
    <row r="180" spans="1:22" x14ac:dyDescent="0.2">
      <c r="C180" s="8" t="s">
        <v>48</v>
      </c>
      <c r="D180" s="9">
        <f t="shared" si="25"/>
        <v>0</v>
      </c>
      <c r="E180" s="1" t="str">
        <f t="shared" si="16"/>
        <v>Low</v>
      </c>
      <c r="F180" s="9">
        <f t="shared" si="21"/>
        <v>0</v>
      </c>
      <c r="G180" s="1" t="str">
        <f t="shared" si="17"/>
        <v>Low</v>
      </c>
      <c r="H180" s="9">
        <f t="shared" si="22"/>
        <v>0</v>
      </c>
      <c r="I180" s="1" t="str">
        <f t="shared" si="18"/>
        <v>Low</v>
      </c>
      <c r="J180" s="9">
        <f t="shared" si="23"/>
        <v>0</v>
      </c>
      <c r="K180" s="1" t="str">
        <f t="shared" si="19"/>
        <v>Low</v>
      </c>
      <c r="L180" s="9">
        <f t="shared" si="24"/>
        <v>0</v>
      </c>
      <c r="M180" s="1" t="str">
        <f t="shared" si="20"/>
        <v>Low</v>
      </c>
      <c r="O180" s="37"/>
      <c r="P180" s="39" t="s">
        <v>48</v>
      </c>
      <c r="Q180" s="41">
        <v>6</v>
      </c>
      <c r="R180" s="42">
        <v>171349</v>
      </c>
      <c r="S180" s="42">
        <v>138214</v>
      </c>
      <c r="T180" s="42">
        <v>177321</v>
      </c>
      <c r="U180" s="42">
        <v>202271</v>
      </c>
      <c r="V180" s="42">
        <v>206308</v>
      </c>
    </row>
    <row r="181" spans="1:22" x14ac:dyDescent="0.2">
      <c r="C181" s="8" t="s">
        <v>49</v>
      </c>
      <c r="D181" s="9">
        <f t="shared" si="25"/>
        <v>0</v>
      </c>
      <c r="E181" s="1" t="str">
        <f t="shared" si="16"/>
        <v>Low</v>
      </c>
      <c r="F181" s="9">
        <f t="shared" si="21"/>
        <v>0</v>
      </c>
      <c r="G181" s="1" t="str">
        <f t="shared" si="17"/>
        <v>Low</v>
      </c>
      <c r="H181" s="9">
        <f t="shared" si="22"/>
        <v>0</v>
      </c>
      <c r="I181" s="1" t="str">
        <f t="shared" si="18"/>
        <v>Low</v>
      </c>
      <c r="J181" s="9">
        <f t="shared" si="23"/>
        <v>0</v>
      </c>
      <c r="K181" s="1" t="str">
        <f t="shared" si="19"/>
        <v>Low</v>
      </c>
      <c r="L181" s="9">
        <f t="shared" si="24"/>
        <v>0</v>
      </c>
      <c r="M181" s="1" t="str">
        <f t="shared" si="20"/>
        <v>Low</v>
      </c>
      <c r="O181" s="37"/>
      <c r="P181" s="39" t="s">
        <v>49</v>
      </c>
      <c r="Q181" s="41">
        <v>6</v>
      </c>
      <c r="R181" s="42">
        <v>189037</v>
      </c>
      <c r="S181" s="42">
        <v>128619</v>
      </c>
      <c r="T181" s="42">
        <v>164200</v>
      </c>
      <c r="U181" s="42">
        <v>217339</v>
      </c>
      <c r="V181" s="42">
        <v>277771</v>
      </c>
    </row>
    <row r="182" spans="1:22" x14ac:dyDescent="0.2">
      <c r="C182" s="8" t="s">
        <v>50</v>
      </c>
      <c r="D182" s="9">
        <f t="shared" si="25"/>
        <v>0</v>
      </c>
      <c r="E182" s="1" t="str">
        <f t="shared" si="16"/>
        <v>Low</v>
      </c>
      <c r="F182" s="9">
        <f t="shared" si="21"/>
        <v>0</v>
      </c>
      <c r="G182" s="1" t="str">
        <f t="shared" si="17"/>
        <v>Low</v>
      </c>
      <c r="H182" s="9">
        <f t="shared" si="22"/>
        <v>0</v>
      </c>
      <c r="I182" s="1" t="str">
        <f t="shared" si="18"/>
        <v>Low</v>
      </c>
      <c r="J182" s="9">
        <f t="shared" si="23"/>
        <v>0</v>
      </c>
      <c r="K182" s="1" t="str">
        <f t="shared" si="19"/>
        <v>Low</v>
      </c>
      <c r="L182" s="9">
        <f t="shared" si="24"/>
        <v>0</v>
      </c>
      <c r="M182" s="1" t="str">
        <f t="shared" si="20"/>
        <v>Low</v>
      </c>
      <c r="O182" s="37"/>
      <c r="P182" s="39" t="s">
        <v>50</v>
      </c>
      <c r="Q182" s="41">
        <v>37</v>
      </c>
      <c r="R182" s="42">
        <v>206820</v>
      </c>
      <c r="S182" s="42">
        <v>145820</v>
      </c>
      <c r="T182" s="42">
        <v>204759</v>
      </c>
      <c r="U182" s="42">
        <v>249739</v>
      </c>
      <c r="V182" s="42">
        <v>294845</v>
      </c>
    </row>
    <row r="183" spans="1:22" x14ac:dyDescent="0.2">
      <c r="B183" s="8" t="s">
        <v>51</v>
      </c>
      <c r="C183" s="8" t="s">
        <v>52</v>
      </c>
      <c r="D183" s="9">
        <f t="shared" si="25"/>
        <v>0</v>
      </c>
      <c r="E183" s="1" t="str">
        <f t="shared" si="16"/>
        <v>Low</v>
      </c>
      <c r="F183" s="9">
        <f t="shared" si="21"/>
        <v>0</v>
      </c>
      <c r="G183" s="1" t="str">
        <f t="shared" si="17"/>
        <v>Low</v>
      </c>
      <c r="H183" s="9">
        <f t="shared" si="22"/>
        <v>0</v>
      </c>
      <c r="I183" s="1" t="str">
        <f t="shared" si="18"/>
        <v>Low</v>
      </c>
      <c r="J183" s="9">
        <f t="shared" si="23"/>
        <v>0</v>
      </c>
      <c r="K183" s="1" t="str">
        <f t="shared" si="19"/>
        <v>Low</v>
      </c>
      <c r="L183" s="9">
        <f t="shared" si="24"/>
        <v>0</v>
      </c>
      <c r="M183" s="1" t="str">
        <f t="shared" si="20"/>
        <v>Low</v>
      </c>
      <c r="O183" s="39" t="s">
        <v>51</v>
      </c>
      <c r="P183" s="39" t="s">
        <v>52</v>
      </c>
      <c r="Q183" s="41">
        <v>187</v>
      </c>
      <c r="R183" s="42">
        <v>47155</v>
      </c>
      <c r="S183" s="42">
        <v>34046</v>
      </c>
      <c r="T183" s="42">
        <v>44919</v>
      </c>
      <c r="U183" s="42">
        <v>54718</v>
      </c>
      <c r="V183" s="42">
        <v>70504</v>
      </c>
    </row>
    <row r="184" spans="1:22" x14ac:dyDescent="0.2">
      <c r="C184" s="8" t="s">
        <v>53</v>
      </c>
      <c r="D184" s="9">
        <f t="shared" si="25"/>
        <v>0</v>
      </c>
      <c r="E184" s="1" t="str">
        <f t="shared" si="16"/>
        <v>Low</v>
      </c>
      <c r="F184" s="9">
        <f t="shared" si="21"/>
        <v>0</v>
      </c>
      <c r="G184" s="1" t="str">
        <f t="shared" si="17"/>
        <v>Low</v>
      </c>
      <c r="H184" s="9">
        <f t="shared" si="22"/>
        <v>0</v>
      </c>
      <c r="I184" s="1" t="str">
        <f t="shared" si="18"/>
        <v>Low</v>
      </c>
      <c r="J184" s="9">
        <f t="shared" si="23"/>
        <v>0</v>
      </c>
      <c r="K184" s="1" t="str">
        <f t="shared" si="19"/>
        <v>Low</v>
      </c>
      <c r="L184" s="9">
        <f t="shared" si="24"/>
        <v>0</v>
      </c>
      <c r="M184" s="1" t="str">
        <f t="shared" si="20"/>
        <v>Low</v>
      </c>
      <c r="O184" s="37"/>
      <c r="P184" s="39" t="s">
        <v>53</v>
      </c>
      <c r="Q184" s="41">
        <v>75</v>
      </c>
      <c r="R184" s="42">
        <v>64930</v>
      </c>
      <c r="S184" s="42">
        <v>42973</v>
      </c>
      <c r="T184" s="42">
        <v>58983</v>
      </c>
      <c r="U184" s="42">
        <v>71763</v>
      </c>
      <c r="V184" s="42">
        <v>91299</v>
      </c>
    </row>
    <row r="185" spans="1:22" x14ac:dyDescent="0.2">
      <c r="C185" s="8" t="s">
        <v>54</v>
      </c>
      <c r="D185" s="9">
        <f t="shared" si="25"/>
        <v>0</v>
      </c>
      <c r="E185" s="1" t="str">
        <f t="shared" si="16"/>
        <v>Low</v>
      </c>
      <c r="F185" s="9">
        <f t="shared" si="21"/>
        <v>0</v>
      </c>
      <c r="G185" s="1" t="str">
        <f t="shared" si="17"/>
        <v>Low</v>
      </c>
      <c r="H185" s="9">
        <f t="shared" si="22"/>
        <v>0</v>
      </c>
      <c r="I185" s="1" t="str">
        <f t="shared" si="18"/>
        <v>Low</v>
      </c>
      <c r="J185" s="9">
        <f t="shared" si="23"/>
        <v>0</v>
      </c>
      <c r="K185" s="1" t="str">
        <f t="shared" si="19"/>
        <v>Low</v>
      </c>
      <c r="L185" s="9">
        <f t="shared" si="24"/>
        <v>0</v>
      </c>
      <c r="M185" s="1" t="str">
        <f t="shared" si="20"/>
        <v>Low</v>
      </c>
      <c r="O185" s="37"/>
      <c r="P185" s="39" t="s">
        <v>54</v>
      </c>
      <c r="Q185" s="41">
        <v>37</v>
      </c>
      <c r="R185" s="42">
        <v>68078</v>
      </c>
      <c r="S185" s="42">
        <v>52759</v>
      </c>
      <c r="T185" s="42">
        <v>66743</v>
      </c>
      <c r="U185" s="42">
        <v>77718</v>
      </c>
      <c r="V185" s="42">
        <v>93992</v>
      </c>
    </row>
    <row r="186" spans="1:22" x14ac:dyDescent="0.2">
      <c r="C186" s="8" t="s">
        <v>55</v>
      </c>
      <c r="D186" s="9">
        <f t="shared" si="25"/>
        <v>0</v>
      </c>
      <c r="E186" s="1" t="str">
        <f t="shared" si="16"/>
        <v>Low</v>
      </c>
      <c r="F186" s="9">
        <f t="shared" si="21"/>
        <v>0</v>
      </c>
      <c r="G186" s="1" t="str">
        <f t="shared" si="17"/>
        <v>Low</v>
      </c>
      <c r="H186" s="9">
        <f t="shared" si="22"/>
        <v>0</v>
      </c>
      <c r="I186" s="1" t="str">
        <f t="shared" si="18"/>
        <v>Low</v>
      </c>
      <c r="J186" s="9">
        <f t="shared" si="23"/>
        <v>0</v>
      </c>
      <c r="K186" s="1" t="str">
        <f t="shared" si="19"/>
        <v>Low</v>
      </c>
      <c r="L186" s="9">
        <f t="shared" si="24"/>
        <v>0</v>
      </c>
      <c r="M186" s="1" t="str">
        <f t="shared" si="20"/>
        <v>Low</v>
      </c>
      <c r="O186" s="37"/>
      <c r="P186" s="39" t="s">
        <v>55</v>
      </c>
      <c r="Q186" s="41">
        <v>21</v>
      </c>
      <c r="R186" s="42">
        <v>82813</v>
      </c>
      <c r="S186" s="42">
        <v>67666</v>
      </c>
      <c r="T186" s="42">
        <v>83136</v>
      </c>
      <c r="U186" s="42">
        <v>93457</v>
      </c>
      <c r="V186" s="42">
        <v>110272</v>
      </c>
    </row>
    <row r="187" spans="1:22" ht="18" customHeight="1" thickBot="1" x14ac:dyDescent="0.25">
      <c r="A187" s="2"/>
      <c r="B187" s="2"/>
      <c r="C187" s="11" t="s">
        <v>55</v>
      </c>
      <c r="D187" s="12">
        <f t="shared" si="25"/>
        <v>0</v>
      </c>
      <c r="E187" s="2" t="str">
        <f t="shared" si="16"/>
        <v>Low</v>
      </c>
      <c r="F187" s="12">
        <f t="shared" si="21"/>
        <v>0</v>
      </c>
      <c r="G187" s="2" t="str">
        <f t="shared" si="17"/>
        <v>Low</v>
      </c>
      <c r="H187" s="12">
        <f t="shared" si="22"/>
        <v>0</v>
      </c>
      <c r="I187" s="2" t="str">
        <f t="shared" si="18"/>
        <v>Low</v>
      </c>
      <c r="J187" s="12">
        <f t="shared" si="23"/>
        <v>0</v>
      </c>
      <c r="K187" s="2" t="str">
        <f t="shared" si="19"/>
        <v>Low</v>
      </c>
      <c r="L187" s="12">
        <f t="shared" si="24"/>
        <v>0</v>
      </c>
      <c r="M187" s="2" t="str">
        <f t="shared" si="20"/>
        <v>Low</v>
      </c>
      <c r="O187" s="37"/>
      <c r="P187" s="39" t="s">
        <v>56</v>
      </c>
      <c r="Q187" s="41">
        <v>98</v>
      </c>
      <c r="R187" s="42">
        <v>151744</v>
      </c>
      <c r="S187" s="42">
        <v>103538</v>
      </c>
      <c r="T187" s="42">
        <v>134547</v>
      </c>
      <c r="U187" s="42">
        <v>199007</v>
      </c>
      <c r="V187" s="42">
        <v>245401</v>
      </c>
    </row>
    <row r="188" spans="1:22" x14ac:dyDescent="0.2">
      <c r="A188" s="8" t="s">
        <v>88</v>
      </c>
      <c r="B188" s="8"/>
      <c r="C188" s="8"/>
      <c r="D188" s="8"/>
      <c r="E188" s="8"/>
      <c r="F188" s="8"/>
      <c r="G188" s="8"/>
      <c r="H188" s="8"/>
      <c r="I188" s="8"/>
      <c r="J188" s="8"/>
      <c r="K188" s="8"/>
      <c r="L188" s="8"/>
      <c r="M188" s="8"/>
      <c r="O188" s="74" t="s">
        <v>57</v>
      </c>
      <c r="P188" s="74"/>
      <c r="Q188" s="74"/>
      <c r="R188" s="74"/>
      <c r="S188" s="74"/>
      <c r="T188" s="74"/>
      <c r="U188" s="74"/>
      <c r="V188" s="74"/>
    </row>
    <row r="189" spans="1:22" x14ac:dyDescent="0.2">
      <c r="A189" s="8" t="s">
        <v>89</v>
      </c>
      <c r="O189" s="39" t="s">
        <v>58</v>
      </c>
      <c r="P189" s="39"/>
      <c r="Q189" s="39"/>
      <c r="R189" s="39"/>
      <c r="S189" s="39"/>
      <c r="T189" s="39"/>
      <c r="U189" s="39"/>
      <c r="V189" s="39"/>
    </row>
    <row r="190" spans="1:22" x14ac:dyDescent="0.2">
      <c r="O190" s="39" t="s">
        <v>59</v>
      </c>
      <c r="P190" s="39"/>
      <c r="Q190" s="39"/>
      <c r="R190" s="39"/>
      <c r="S190" s="39"/>
      <c r="T190" s="39"/>
      <c r="U190" s="39"/>
      <c r="V190" s="39"/>
    </row>
    <row r="192" spans="1:22" ht="18" x14ac:dyDescent="0.25">
      <c r="A192" s="77" t="s">
        <v>113</v>
      </c>
      <c r="D192" s="75" t="s">
        <v>122</v>
      </c>
      <c r="E192" s="75"/>
      <c r="F192" s="75"/>
      <c r="G192" s="75"/>
      <c r="H192" s="75"/>
      <c r="I192" s="75"/>
      <c r="J192" s="75"/>
      <c r="K192" s="75"/>
      <c r="L192" s="75"/>
      <c r="M192" s="75"/>
      <c r="O192" s="73" t="s">
        <v>136</v>
      </c>
      <c r="P192" s="73"/>
      <c r="Q192" s="73"/>
      <c r="R192" s="73"/>
      <c r="S192" s="73"/>
      <c r="T192" s="73"/>
      <c r="U192" s="73"/>
      <c r="V192" s="73"/>
    </row>
    <row r="193" spans="1:22" ht="15" customHeight="1" x14ac:dyDescent="0.25">
      <c r="A193" s="77"/>
      <c r="D193" s="75" t="s">
        <v>64</v>
      </c>
      <c r="E193" s="75"/>
      <c r="F193" s="78" t="s">
        <v>65</v>
      </c>
      <c r="G193" s="75"/>
      <c r="H193" s="75" t="s">
        <v>66</v>
      </c>
      <c r="I193" s="75"/>
      <c r="J193" s="75" t="s">
        <v>67</v>
      </c>
      <c r="K193" s="75"/>
      <c r="L193" s="75" t="s">
        <v>68</v>
      </c>
      <c r="M193" s="75"/>
      <c r="O193" s="73" t="s">
        <v>137</v>
      </c>
      <c r="P193" s="73"/>
      <c r="Q193" s="73"/>
      <c r="R193" s="73"/>
      <c r="S193" s="73"/>
      <c r="T193" s="73"/>
      <c r="U193" s="73"/>
      <c r="V193" s="73"/>
    </row>
    <row r="194" spans="1:22" ht="13.5" thickBot="1" x14ac:dyDescent="0.25">
      <c r="A194" s="7" t="s">
        <v>93</v>
      </c>
      <c r="B194" s="13"/>
      <c r="C194" s="13"/>
      <c r="D194" s="14" t="s">
        <v>0</v>
      </c>
      <c r="E194" s="15" t="s">
        <v>90</v>
      </c>
      <c r="F194" s="14" t="s">
        <v>0</v>
      </c>
      <c r="G194" s="15" t="s">
        <v>90</v>
      </c>
      <c r="H194" s="14" t="s">
        <v>0</v>
      </c>
      <c r="I194" s="15" t="s">
        <v>90</v>
      </c>
      <c r="J194" s="14" t="s">
        <v>0</v>
      </c>
      <c r="K194" s="15" t="s">
        <v>90</v>
      </c>
      <c r="L194" s="14" t="s">
        <v>0</v>
      </c>
      <c r="M194" s="15" t="s">
        <v>90</v>
      </c>
      <c r="O194" s="44"/>
      <c r="P194" s="44"/>
      <c r="Q194" s="44" t="s">
        <v>1</v>
      </c>
      <c r="R194" s="44" t="s">
        <v>64</v>
      </c>
      <c r="S194" s="44" t="s">
        <v>65</v>
      </c>
      <c r="T194" s="44" t="s">
        <v>66</v>
      </c>
      <c r="U194" s="44" t="s">
        <v>67</v>
      </c>
      <c r="V194" s="44" t="s">
        <v>68</v>
      </c>
    </row>
    <row r="195" spans="1:22" ht="13.5" thickTop="1" x14ac:dyDescent="0.2">
      <c r="A195" s="82">
        <f>A4</f>
        <v>0</v>
      </c>
      <c r="B195" s="8" t="s">
        <v>7</v>
      </c>
      <c r="C195" s="8"/>
      <c r="D195" s="9">
        <f>IF(R195="*", "N/A", $A$195/R195)</f>
        <v>0</v>
      </c>
      <c r="E195" s="1" t="str">
        <f t="shared" ref="E195:E206" si="26">IF(D195="N/A",D195,IF(AND(D195&gt;0.949,D195&lt;1.051),"Competitive",IF(D195&lt;0.949,"Low","High")))</f>
        <v>Low</v>
      </c>
      <c r="F195" s="9">
        <f>IF(S195="*", "N/A", $A$195/S195)</f>
        <v>0</v>
      </c>
      <c r="G195" s="1" t="str">
        <f t="shared" ref="G195:G206" si="27">IF(F195="N/A",F195,IF(AND(F195&gt;0.949,F195&lt;1.051),"Competitive",IF(F195&lt;0.949,"Low","High")))</f>
        <v>Low</v>
      </c>
      <c r="H195" s="9">
        <f>IF(T195="*", "N/A", $A$195/T195)</f>
        <v>0</v>
      </c>
      <c r="I195" s="1" t="str">
        <f t="shared" ref="I195:I206" si="28">IF(H195="N/A",H195,IF(AND(H195&gt;0.949,H195&lt;1.051),"Competitive",IF(H195&lt;0.949,"Low","High")))</f>
        <v>Low</v>
      </c>
      <c r="J195" s="9">
        <f>IF(U195="*", "N/A", $A$195/U195)</f>
        <v>0</v>
      </c>
      <c r="K195" s="1" t="str">
        <f t="shared" ref="K195:K206" si="29">IF(J195="N/A",J195,IF(AND(J195&gt;0.949,J195&lt;1.051),"Competitive",IF(J195&lt;0.949,"Low","High")))</f>
        <v>Low</v>
      </c>
      <c r="L195" s="9">
        <f>IF(V195="*", "N/A", $A$195/V195)</f>
        <v>0</v>
      </c>
      <c r="M195" s="1" t="str">
        <f t="shared" ref="M195:M206" si="30">IF(L195="N/A",L195,IF(AND(L195&gt;0.949,L195&lt;1.051),"Competitive",IF(L195&lt;0.949,"Low","High")))</f>
        <v>Low</v>
      </c>
      <c r="O195" s="45" t="s">
        <v>7</v>
      </c>
      <c r="P195" s="45"/>
      <c r="Q195" s="47">
        <v>381</v>
      </c>
      <c r="R195" s="48">
        <v>60777</v>
      </c>
      <c r="S195" s="48">
        <v>65793</v>
      </c>
      <c r="T195" s="48">
        <v>76871</v>
      </c>
      <c r="U195" s="48">
        <v>77866</v>
      </c>
      <c r="V195" s="48">
        <v>78560</v>
      </c>
    </row>
    <row r="196" spans="1:22" x14ac:dyDescent="0.2">
      <c r="B196" s="8" t="s">
        <v>8</v>
      </c>
      <c r="C196" s="8" t="s">
        <v>110</v>
      </c>
      <c r="D196" s="9" t="str">
        <f t="shared" ref="D196:D206" si="31">IF(R196="*", "N/A", $A$195/R196)</f>
        <v>N/A</v>
      </c>
      <c r="E196" s="1" t="str">
        <f t="shared" si="26"/>
        <v>N/A</v>
      </c>
      <c r="F196" s="9" t="str">
        <f t="shared" ref="F196:F206" si="32">IF(S196="*", "N/A", $A$195/S196)</f>
        <v>N/A</v>
      </c>
      <c r="G196" s="1" t="str">
        <f t="shared" si="27"/>
        <v>N/A</v>
      </c>
      <c r="H196" s="9" t="str">
        <f t="shared" ref="H196:H206" si="33">IF(T196="*", "N/A", $A$195/T196)</f>
        <v>N/A</v>
      </c>
      <c r="I196" s="1" t="str">
        <f t="shared" si="28"/>
        <v>N/A</v>
      </c>
      <c r="J196" s="9" t="str">
        <f t="shared" ref="J196:J206" si="34">IF(U196="*", "N/A", $A$195/U196)</f>
        <v>N/A</v>
      </c>
      <c r="K196" s="1" t="str">
        <f t="shared" si="29"/>
        <v>N/A</v>
      </c>
      <c r="L196" s="9" t="str">
        <f t="shared" ref="L196:L206" si="35">IF(V196="*", "N/A", $A$195/V196)</f>
        <v>N/A</v>
      </c>
      <c r="M196" s="1" t="str">
        <f t="shared" si="30"/>
        <v>N/A</v>
      </c>
      <c r="O196" s="45" t="s">
        <v>8</v>
      </c>
      <c r="P196" s="45" t="s">
        <v>110</v>
      </c>
      <c r="Q196" s="47">
        <v>3</v>
      </c>
      <c r="R196" s="46" t="s">
        <v>10</v>
      </c>
      <c r="S196" s="46" t="s">
        <v>10</v>
      </c>
      <c r="T196" s="46" t="s">
        <v>10</v>
      </c>
      <c r="U196" s="46" t="s">
        <v>10</v>
      </c>
      <c r="V196" s="46" t="s">
        <v>10</v>
      </c>
    </row>
    <row r="197" spans="1:22" x14ac:dyDescent="0.2">
      <c r="C197" s="8" t="s">
        <v>40</v>
      </c>
      <c r="D197" s="9" t="str">
        <f t="shared" si="31"/>
        <v>N/A</v>
      </c>
      <c r="E197" s="1" t="str">
        <f t="shared" si="26"/>
        <v>N/A</v>
      </c>
      <c r="F197" s="9">
        <f t="shared" si="32"/>
        <v>0</v>
      </c>
      <c r="G197" s="1" t="str">
        <f t="shared" si="27"/>
        <v>Low</v>
      </c>
      <c r="H197" s="9">
        <f t="shared" si="33"/>
        <v>0</v>
      </c>
      <c r="I197" s="1" t="str">
        <f t="shared" si="28"/>
        <v>Low</v>
      </c>
      <c r="J197" s="9">
        <f t="shared" si="34"/>
        <v>0</v>
      </c>
      <c r="K197" s="1" t="str">
        <f t="shared" si="29"/>
        <v>Low</v>
      </c>
      <c r="L197" s="9">
        <f t="shared" si="35"/>
        <v>0</v>
      </c>
      <c r="M197" s="1" t="str">
        <f t="shared" si="30"/>
        <v>Low</v>
      </c>
      <c r="O197" s="43"/>
      <c r="P197" s="45" t="s">
        <v>40</v>
      </c>
      <c r="Q197" s="47">
        <v>13</v>
      </c>
      <c r="R197" s="46" t="s">
        <v>10</v>
      </c>
      <c r="S197" s="48">
        <v>35100</v>
      </c>
      <c r="T197" s="48">
        <v>34785</v>
      </c>
      <c r="U197" s="48">
        <v>26279</v>
      </c>
      <c r="V197" s="48">
        <v>37341</v>
      </c>
    </row>
    <row r="198" spans="1:22" x14ac:dyDescent="0.2">
      <c r="C198" s="8" t="s">
        <v>9</v>
      </c>
      <c r="D198" s="9">
        <f t="shared" si="31"/>
        <v>0</v>
      </c>
      <c r="E198" s="1" t="str">
        <f t="shared" si="26"/>
        <v>Low</v>
      </c>
      <c r="F198" s="9">
        <f t="shared" si="32"/>
        <v>0</v>
      </c>
      <c r="G198" s="1" t="str">
        <f t="shared" si="27"/>
        <v>Low</v>
      </c>
      <c r="H198" s="9">
        <f t="shared" si="33"/>
        <v>0</v>
      </c>
      <c r="I198" s="1" t="str">
        <f t="shared" si="28"/>
        <v>Low</v>
      </c>
      <c r="J198" s="9">
        <f t="shared" si="34"/>
        <v>0</v>
      </c>
      <c r="K198" s="1" t="str">
        <f t="shared" si="29"/>
        <v>Low</v>
      </c>
      <c r="L198" s="9">
        <f t="shared" si="35"/>
        <v>0</v>
      </c>
      <c r="M198" s="1" t="str">
        <f t="shared" si="30"/>
        <v>Low</v>
      </c>
      <c r="O198" s="43"/>
      <c r="P198" s="45" t="s">
        <v>9</v>
      </c>
      <c r="Q198" s="47">
        <v>43</v>
      </c>
      <c r="R198" s="48">
        <v>30130</v>
      </c>
      <c r="S198" s="48">
        <v>35386</v>
      </c>
      <c r="T198" s="48">
        <v>35867</v>
      </c>
      <c r="U198" s="48">
        <v>38001</v>
      </c>
      <c r="V198" s="48">
        <v>37052</v>
      </c>
    </row>
    <row r="199" spans="1:22" x14ac:dyDescent="0.2">
      <c r="C199" s="8" t="s">
        <v>12</v>
      </c>
      <c r="D199" s="9">
        <f t="shared" si="31"/>
        <v>0</v>
      </c>
      <c r="E199" s="1" t="str">
        <f t="shared" si="26"/>
        <v>Low</v>
      </c>
      <c r="F199" s="9">
        <f t="shared" si="32"/>
        <v>0</v>
      </c>
      <c r="G199" s="1" t="str">
        <f t="shared" si="27"/>
        <v>Low</v>
      </c>
      <c r="H199" s="9">
        <f t="shared" si="33"/>
        <v>0</v>
      </c>
      <c r="I199" s="1" t="str">
        <f t="shared" si="28"/>
        <v>Low</v>
      </c>
      <c r="J199" s="9">
        <f t="shared" si="34"/>
        <v>0</v>
      </c>
      <c r="K199" s="1" t="str">
        <f t="shared" si="29"/>
        <v>Low</v>
      </c>
      <c r="L199" s="9">
        <f t="shared" si="35"/>
        <v>0</v>
      </c>
      <c r="M199" s="1" t="str">
        <f t="shared" si="30"/>
        <v>Low</v>
      </c>
      <c r="O199" s="43"/>
      <c r="P199" s="45" t="s">
        <v>12</v>
      </c>
      <c r="Q199" s="47">
        <v>74</v>
      </c>
      <c r="R199" s="48">
        <v>39277</v>
      </c>
      <c r="S199" s="48">
        <v>40270</v>
      </c>
      <c r="T199" s="48">
        <v>45085</v>
      </c>
      <c r="U199" s="48">
        <v>44464</v>
      </c>
      <c r="V199" s="48">
        <v>41988</v>
      </c>
    </row>
    <row r="200" spans="1:22" x14ac:dyDescent="0.2">
      <c r="C200" s="8" t="s">
        <v>13</v>
      </c>
      <c r="D200" s="9">
        <f t="shared" si="31"/>
        <v>0</v>
      </c>
      <c r="E200" s="1" t="str">
        <f t="shared" si="26"/>
        <v>Low</v>
      </c>
      <c r="F200" s="9">
        <f t="shared" si="32"/>
        <v>0</v>
      </c>
      <c r="G200" s="1" t="str">
        <f t="shared" si="27"/>
        <v>Low</v>
      </c>
      <c r="H200" s="9">
        <f t="shared" si="33"/>
        <v>0</v>
      </c>
      <c r="I200" s="1" t="str">
        <f t="shared" si="28"/>
        <v>Low</v>
      </c>
      <c r="J200" s="9">
        <f t="shared" si="34"/>
        <v>0</v>
      </c>
      <c r="K200" s="1" t="str">
        <f t="shared" si="29"/>
        <v>Low</v>
      </c>
      <c r="L200" s="9">
        <f t="shared" si="35"/>
        <v>0</v>
      </c>
      <c r="M200" s="1" t="str">
        <f t="shared" si="30"/>
        <v>Low</v>
      </c>
      <c r="O200" s="43"/>
      <c r="P200" s="45" t="s">
        <v>13</v>
      </c>
      <c r="Q200" s="47">
        <v>100</v>
      </c>
      <c r="R200" s="48">
        <v>45401</v>
      </c>
      <c r="S200" s="48">
        <v>53539</v>
      </c>
      <c r="T200" s="48">
        <v>59663</v>
      </c>
      <c r="U200" s="48">
        <v>59214</v>
      </c>
      <c r="V200" s="48">
        <v>59908</v>
      </c>
    </row>
    <row r="201" spans="1:22" ht="14.25" customHeight="1" x14ac:dyDescent="0.2">
      <c r="C201" s="8" t="s">
        <v>14</v>
      </c>
      <c r="D201" s="9">
        <f t="shared" si="31"/>
        <v>0</v>
      </c>
      <c r="E201" s="1" t="str">
        <f t="shared" si="26"/>
        <v>Low</v>
      </c>
      <c r="F201" s="9">
        <f t="shared" si="32"/>
        <v>0</v>
      </c>
      <c r="G201" s="1" t="str">
        <f t="shared" si="27"/>
        <v>Low</v>
      </c>
      <c r="H201" s="9">
        <f t="shared" si="33"/>
        <v>0</v>
      </c>
      <c r="I201" s="1" t="str">
        <f t="shared" si="28"/>
        <v>Low</v>
      </c>
      <c r="J201" s="9">
        <f t="shared" si="34"/>
        <v>0</v>
      </c>
      <c r="K201" s="1" t="str">
        <f t="shared" si="29"/>
        <v>Low</v>
      </c>
      <c r="L201" s="9">
        <f t="shared" si="35"/>
        <v>0</v>
      </c>
      <c r="M201" s="1" t="str">
        <f t="shared" si="30"/>
        <v>Low</v>
      </c>
      <c r="O201" s="43"/>
      <c r="P201" s="45" t="s">
        <v>14</v>
      </c>
      <c r="Q201" s="47">
        <v>48</v>
      </c>
      <c r="R201" s="48">
        <v>50759</v>
      </c>
      <c r="S201" s="48">
        <v>67066</v>
      </c>
      <c r="T201" s="48">
        <v>75591</v>
      </c>
      <c r="U201" s="48">
        <v>72908</v>
      </c>
      <c r="V201" s="48">
        <v>69105</v>
      </c>
    </row>
    <row r="202" spans="1:22" x14ac:dyDescent="0.2">
      <c r="C202" s="8" t="s">
        <v>15</v>
      </c>
      <c r="D202" s="9">
        <f t="shared" si="31"/>
        <v>0</v>
      </c>
      <c r="E202" s="1" t="str">
        <f t="shared" si="26"/>
        <v>Low</v>
      </c>
      <c r="F202" s="9">
        <f t="shared" si="32"/>
        <v>0</v>
      </c>
      <c r="G202" s="1" t="str">
        <f t="shared" si="27"/>
        <v>Low</v>
      </c>
      <c r="H202" s="9">
        <f t="shared" si="33"/>
        <v>0</v>
      </c>
      <c r="I202" s="1" t="str">
        <f t="shared" si="28"/>
        <v>Low</v>
      </c>
      <c r="J202" s="9">
        <f t="shared" si="34"/>
        <v>0</v>
      </c>
      <c r="K202" s="1" t="str">
        <f t="shared" si="29"/>
        <v>Low</v>
      </c>
      <c r="L202" s="9">
        <f t="shared" si="35"/>
        <v>0</v>
      </c>
      <c r="M202" s="1" t="str">
        <f t="shared" si="30"/>
        <v>Low</v>
      </c>
      <c r="O202" s="43"/>
      <c r="P202" s="45" t="s">
        <v>15</v>
      </c>
      <c r="Q202" s="47">
        <v>40</v>
      </c>
      <c r="R202" s="48">
        <v>109158</v>
      </c>
      <c r="S202" s="48">
        <v>102647</v>
      </c>
      <c r="T202" s="48">
        <v>100892</v>
      </c>
      <c r="U202" s="48">
        <v>91312</v>
      </c>
      <c r="V202" s="48">
        <v>89444</v>
      </c>
    </row>
    <row r="203" spans="1:22" x14ac:dyDescent="0.2">
      <c r="C203" s="8" t="s">
        <v>17</v>
      </c>
      <c r="D203" s="9">
        <f t="shared" si="31"/>
        <v>0</v>
      </c>
      <c r="E203" s="1" t="str">
        <f t="shared" si="26"/>
        <v>Low</v>
      </c>
      <c r="F203" s="9">
        <f t="shared" si="32"/>
        <v>0</v>
      </c>
      <c r="G203" s="1" t="str">
        <f t="shared" si="27"/>
        <v>Low</v>
      </c>
      <c r="H203" s="9">
        <f t="shared" si="33"/>
        <v>0</v>
      </c>
      <c r="I203" s="1" t="str">
        <f t="shared" si="28"/>
        <v>Low</v>
      </c>
      <c r="J203" s="9">
        <f t="shared" si="34"/>
        <v>0</v>
      </c>
      <c r="K203" s="1" t="str">
        <f t="shared" si="29"/>
        <v>Low</v>
      </c>
      <c r="L203" s="9">
        <f t="shared" si="35"/>
        <v>0</v>
      </c>
      <c r="M203" s="1" t="str">
        <f t="shared" si="30"/>
        <v>Low</v>
      </c>
      <c r="O203" s="43"/>
      <c r="P203" s="45" t="s">
        <v>17</v>
      </c>
      <c r="Q203" s="47">
        <v>32</v>
      </c>
      <c r="R203" s="48">
        <v>133263</v>
      </c>
      <c r="S203" s="48">
        <v>125836</v>
      </c>
      <c r="T203" s="48">
        <v>159126</v>
      </c>
      <c r="U203" s="48">
        <v>128597</v>
      </c>
      <c r="V203" s="48">
        <v>124453</v>
      </c>
    </row>
    <row r="204" spans="1:22" x14ac:dyDescent="0.2">
      <c r="C204" s="8" t="s">
        <v>18</v>
      </c>
      <c r="D204" s="9" t="str">
        <f t="shared" si="31"/>
        <v>N/A</v>
      </c>
      <c r="E204" s="1" t="str">
        <f t="shared" si="26"/>
        <v>N/A</v>
      </c>
      <c r="F204" s="9">
        <f t="shared" si="32"/>
        <v>0</v>
      </c>
      <c r="G204" s="1" t="str">
        <f t="shared" si="27"/>
        <v>Low</v>
      </c>
      <c r="H204" s="9">
        <f t="shared" si="33"/>
        <v>0</v>
      </c>
      <c r="I204" s="1" t="str">
        <f t="shared" si="28"/>
        <v>Low</v>
      </c>
      <c r="J204" s="9">
        <f t="shared" si="34"/>
        <v>0</v>
      </c>
      <c r="K204" s="1" t="str">
        <f t="shared" si="29"/>
        <v>Low</v>
      </c>
      <c r="L204" s="9">
        <f t="shared" si="35"/>
        <v>0</v>
      </c>
      <c r="M204" s="1" t="str">
        <f t="shared" si="30"/>
        <v>Low</v>
      </c>
      <c r="O204" s="43"/>
      <c r="P204" s="45" t="s">
        <v>18</v>
      </c>
      <c r="Q204" s="47">
        <v>13</v>
      </c>
      <c r="R204" s="46" t="s">
        <v>10</v>
      </c>
      <c r="S204" s="48">
        <v>180875</v>
      </c>
      <c r="T204" s="48">
        <v>186039</v>
      </c>
      <c r="U204" s="48">
        <v>190935</v>
      </c>
      <c r="V204" s="48">
        <v>284225</v>
      </c>
    </row>
    <row r="205" spans="1:22" x14ac:dyDescent="0.2">
      <c r="C205" s="8" t="s">
        <v>79</v>
      </c>
      <c r="D205" s="9">
        <f t="shared" si="31"/>
        <v>0</v>
      </c>
      <c r="E205" s="1" t="str">
        <f t="shared" si="26"/>
        <v>Low</v>
      </c>
      <c r="F205" s="9">
        <f t="shared" si="32"/>
        <v>0</v>
      </c>
      <c r="G205" s="1" t="str">
        <f t="shared" si="27"/>
        <v>Low</v>
      </c>
      <c r="H205" s="9">
        <f t="shared" si="33"/>
        <v>0</v>
      </c>
      <c r="I205" s="1" t="str">
        <f t="shared" si="28"/>
        <v>Low</v>
      </c>
      <c r="J205" s="9">
        <f t="shared" si="34"/>
        <v>0</v>
      </c>
      <c r="K205" s="1" t="str">
        <f t="shared" si="29"/>
        <v>Low</v>
      </c>
      <c r="L205" s="9">
        <f t="shared" si="35"/>
        <v>0</v>
      </c>
      <c r="M205" s="1" t="str">
        <f t="shared" si="30"/>
        <v>Low</v>
      </c>
      <c r="O205" s="43"/>
      <c r="P205" s="45" t="s">
        <v>79</v>
      </c>
      <c r="Q205" s="47">
        <v>13</v>
      </c>
      <c r="R205" s="48">
        <v>260337</v>
      </c>
      <c r="S205" s="48">
        <v>124375</v>
      </c>
      <c r="T205" s="48">
        <v>208650</v>
      </c>
      <c r="U205" s="48">
        <v>228479</v>
      </c>
      <c r="V205" s="48">
        <v>229732</v>
      </c>
    </row>
    <row r="206" spans="1:22" ht="13.5" thickBot="1" x14ac:dyDescent="0.25">
      <c r="A206" s="2"/>
      <c r="B206" s="2"/>
      <c r="C206" s="11" t="s">
        <v>80</v>
      </c>
      <c r="D206" s="12" t="str">
        <f t="shared" si="31"/>
        <v>N/A</v>
      </c>
      <c r="E206" s="2" t="str">
        <f t="shared" si="26"/>
        <v>N/A</v>
      </c>
      <c r="F206" s="12" t="str">
        <f t="shared" si="32"/>
        <v>N/A</v>
      </c>
      <c r="G206" s="2" t="str">
        <f t="shared" si="27"/>
        <v>N/A</v>
      </c>
      <c r="H206" s="12" t="str">
        <f t="shared" si="33"/>
        <v>N/A</v>
      </c>
      <c r="I206" s="2" t="str">
        <f t="shared" si="28"/>
        <v>N/A</v>
      </c>
      <c r="J206" s="12" t="str">
        <f t="shared" si="34"/>
        <v>N/A</v>
      </c>
      <c r="K206" s="2" t="str">
        <f t="shared" si="29"/>
        <v>N/A</v>
      </c>
      <c r="L206" s="12" t="str">
        <f t="shared" si="35"/>
        <v>N/A</v>
      </c>
      <c r="M206" s="2" t="str">
        <f t="shared" si="30"/>
        <v>N/A</v>
      </c>
      <c r="O206" s="43"/>
      <c r="P206" s="45" t="s">
        <v>80</v>
      </c>
      <c r="Q206" s="47">
        <v>2</v>
      </c>
      <c r="R206" s="46" t="s">
        <v>10</v>
      </c>
      <c r="S206" s="46" t="s">
        <v>10</v>
      </c>
      <c r="T206" s="46" t="s">
        <v>10</v>
      </c>
      <c r="U206" s="46" t="s">
        <v>10</v>
      </c>
      <c r="V206" s="46" t="s">
        <v>10</v>
      </c>
    </row>
    <row r="207" spans="1:22" x14ac:dyDescent="0.2">
      <c r="A207" s="8" t="s">
        <v>88</v>
      </c>
      <c r="O207" s="74" t="s">
        <v>69</v>
      </c>
      <c r="P207" s="74"/>
      <c r="Q207" s="74"/>
      <c r="R207" s="74"/>
      <c r="S207" s="74"/>
      <c r="T207" s="74"/>
      <c r="U207" s="74"/>
      <c r="V207" s="74"/>
    </row>
    <row r="208" spans="1:22" x14ac:dyDescent="0.2">
      <c r="A208" s="8" t="s">
        <v>89</v>
      </c>
    </row>
    <row r="210" spans="1:22" ht="18" x14ac:dyDescent="0.25">
      <c r="A210" s="77" t="s">
        <v>114</v>
      </c>
      <c r="D210" s="75" t="s">
        <v>123</v>
      </c>
      <c r="E210" s="75"/>
      <c r="F210" s="75"/>
      <c r="G210" s="75"/>
      <c r="H210" s="75"/>
      <c r="I210" s="75"/>
      <c r="J210" s="75"/>
      <c r="K210" s="75"/>
      <c r="L210" s="75"/>
      <c r="M210" s="75"/>
      <c r="O210" s="73" t="s">
        <v>138</v>
      </c>
      <c r="P210" s="73"/>
      <c r="Q210" s="73"/>
      <c r="R210" s="73"/>
      <c r="S210" s="73"/>
      <c r="T210" s="73"/>
      <c r="U210" s="73"/>
      <c r="V210" s="73"/>
    </row>
    <row r="211" spans="1:22" ht="17.25" customHeight="1" x14ac:dyDescent="0.25">
      <c r="A211" s="77"/>
      <c r="D211" s="75" t="s">
        <v>64</v>
      </c>
      <c r="E211" s="75"/>
      <c r="F211" s="78" t="s">
        <v>65</v>
      </c>
      <c r="G211" s="75"/>
      <c r="H211" s="75" t="s">
        <v>66</v>
      </c>
      <c r="I211" s="75"/>
      <c r="J211" s="75" t="s">
        <v>67</v>
      </c>
      <c r="K211" s="75"/>
      <c r="L211" s="75" t="s">
        <v>68</v>
      </c>
      <c r="M211" s="75"/>
      <c r="O211" s="73" t="s">
        <v>139</v>
      </c>
      <c r="P211" s="73"/>
      <c r="Q211" s="73"/>
      <c r="R211" s="73"/>
      <c r="S211" s="73"/>
      <c r="T211" s="73"/>
      <c r="U211" s="73"/>
      <c r="V211" s="73"/>
    </row>
    <row r="212" spans="1:22" ht="13.5" thickBot="1" x14ac:dyDescent="0.25">
      <c r="A212" s="7" t="s">
        <v>93</v>
      </c>
      <c r="B212" s="13"/>
      <c r="C212" s="13"/>
      <c r="D212" s="14" t="s">
        <v>0</v>
      </c>
      <c r="E212" s="15" t="s">
        <v>90</v>
      </c>
      <c r="F212" s="14" t="s">
        <v>0</v>
      </c>
      <c r="G212" s="15" t="s">
        <v>90</v>
      </c>
      <c r="H212" s="14" t="s">
        <v>0</v>
      </c>
      <c r="I212" s="15" t="s">
        <v>90</v>
      </c>
      <c r="J212" s="14" t="s">
        <v>0</v>
      </c>
      <c r="K212" s="15" t="s">
        <v>90</v>
      </c>
      <c r="L212" s="14" t="s">
        <v>0</v>
      </c>
      <c r="M212" s="15" t="s">
        <v>90</v>
      </c>
      <c r="O212" s="50"/>
      <c r="P212" s="50"/>
      <c r="Q212" s="50" t="s">
        <v>1</v>
      </c>
      <c r="R212" s="50" t="s">
        <v>64</v>
      </c>
      <c r="S212" s="50" t="s">
        <v>65</v>
      </c>
      <c r="T212" s="50" t="s">
        <v>66</v>
      </c>
      <c r="U212" s="50" t="s">
        <v>67</v>
      </c>
      <c r="V212" s="50" t="s">
        <v>68</v>
      </c>
    </row>
    <row r="213" spans="1:22" ht="13.5" thickTop="1" x14ac:dyDescent="0.2">
      <c r="A213" s="82">
        <f>A4</f>
        <v>0</v>
      </c>
      <c r="B213" s="8" t="s">
        <v>7</v>
      </c>
      <c r="C213" s="8"/>
      <c r="D213" s="9">
        <f>IF(R213="*", "N/A", $A$213/R213)</f>
        <v>0</v>
      </c>
      <c r="E213" s="1" t="str">
        <f t="shared" ref="E213:E224" si="36">IF(D213="N/A",D213,IF(AND(D213&gt;0.949,D213&lt;1.051),"Competitive",IF(D213&lt;0.949,"Low","High")))</f>
        <v>Low</v>
      </c>
      <c r="F213" s="9">
        <f>IF(S213="*", "N/A", $A$213/S213)</f>
        <v>0</v>
      </c>
      <c r="G213" s="1" t="str">
        <f t="shared" ref="G213:G224" si="37">IF(F213="N/A",F213,IF(AND(F213&gt;0.949,F213&lt;1.051),"Competitive",IF(F213&lt;0.949,"Low","High")))</f>
        <v>Low</v>
      </c>
      <c r="H213" s="9">
        <f>IF(T213="*", "N/A", $A$213/T213)</f>
        <v>0</v>
      </c>
      <c r="I213" s="1" t="str">
        <f t="shared" ref="I213:I224" si="38">IF(H213="N/A",H213,IF(AND(H213&gt;0.949,H213&lt;1.051),"Competitive",IF(H213&lt;0.949,"Low","High")))</f>
        <v>Low</v>
      </c>
      <c r="J213" s="9">
        <f>IF(U213="*", "N/A", $A$213/U213)</f>
        <v>0</v>
      </c>
      <c r="K213" s="1" t="str">
        <f t="shared" ref="K213:K224" si="39">IF(J213="N/A",J213,IF(AND(J213&gt;0.949,J213&lt;1.051),"Competitive",IF(J213&lt;0.949,"Low","High")))</f>
        <v>Low</v>
      </c>
      <c r="L213" s="9">
        <f>IF(V213="*", "N/A", $A$213/V213)</f>
        <v>0</v>
      </c>
      <c r="M213" s="1" t="str">
        <f t="shared" ref="M213:M224" si="40">IF(L213="N/A",L213,IF(AND(L213&gt;0.949,L213&lt;1.051),"Competitive",IF(L213&lt;0.949,"Low","High")))</f>
        <v>Low</v>
      </c>
      <c r="O213" s="51" t="s">
        <v>7</v>
      </c>
      <c r="P213" s="51"/>
      <c r="Q213" s="53">
        <v>229</v>
      </c>
      <c r="R213" s="54">
        <v>39924</v>
      </c>
      <c r="S213" s="54">
        <v>37304</v>
      </c>
      <c r="T213" s="54">
        <v>47320</v>
      </c>
      <c r="U213" s="54">
        <v>67853</v>
      </c>
      <c r="V213" s="54">
        <v>80805</v>
      </c>
    </row>
    <row r="214" spans="1:22" x14ac:dyDescent="0.2">
      <c r="B214" s="8" t="s">
        <v>8</v>
      </c>
      <c r="C214" s="8" t="s">
        <v>110</v>
      </c>
      <c r="D214" s="9" t="str">
        <f t="shared" ref="D214:D224" si="41">IF(R214="*", "N/A", $A$213/R214)</f>
        <v>N/A</v>
      </c>
      <c r="E214" s="1" t="str">
        <f t="shared" si="36"/>
        <v>N/A</v>
      </c>
      <c r="F214" s="9" t="str">
        <f t="shared" ref="F214:F224" si="42">IF(S214="*", "N/A", $A$213/S214)</f>
        <v>N/A</v>
      </c>
      <c r="G214" s="1" t="str">
        <f t="shared" si="37"/>
        <v>N/A</v>
      </c>
      <c r="H214" s="16" t="str">
        <f t="shared" ref="H214:H224" si="43">IF(T214="*", "N/A", $A$213/T214)</f>
        <v>N/A</v>
      </c>
      <c r="I214" s="1" t="str">
        <f t="shared" si="38"/>
        <v>N/A</v>
      </c>
      <c r="J214" s="16" t="str">
        <f t="shared" ref="J214:J224" si="44">IF(U214="*", "N/A", $A$213/U214)</f>
        <v>N/A</v>
      </c>
      <c r="K214" s="1" t="str">
        <f t="shared" si="39"/>
        <v>N/A</v>
      </c>
      <c r="L214" s="9" t="str">
        <f t="shared" ref="L214:L224" si="45">IF(V214="*", "N/A", $A$213/V214)</f>
        <v>N/A</v>
      </c>
      <c r="M214" s="1" t="str">
        <f t="shared" si="40"/>
        <v>N/A</v>
      </c>
      <c r="O214" s="51" t="s">
        <v>8</v>
      </c>
      <c r="P214" s="51" t="s">
        <v>110</v>
      </c>
      <c r="Q214" s="53">
        <v>1</v>
      </c>
      <c r="R214" s="52" t="s">
        <v>10</v>
      </c>
      <c r="S214" s="52" t="s">
        <v>10</v>
      </c>
      <c r="T214" s="52" t="s">
        <v>10</v>
      </c>
      <c r="U214" s="52" t="s">
        <v>10</v>
      </c>
      <c r="V214" s="52" t="s">
        <v>10</v>
      </c>
    </row>
    <row r="215" spans="1:22" ht="12.75" customHeight="1" x14ac:dyDescent="0.2">
      <c r="C215" s="8" t="s">
        <v>40</v>
      </c>
      <c r="D215" s="9" t="str">
        <f t="shared" si="41"/>
        <v>N/A</v>
      </c>
      <c r="E215" s="1" t="str">
        <f t="shared" si="36"/>
        <v>N/A</v>
      </c>
      <c r="F215" s="9">
        <f t="shared" si="42"/>
        <v>0</v>
      </c>
      <c r="G215" s="1" t="str">
        <f t="shared" si="37"/>
        <v>Low</v>
      </c>
      <c r="H215" s="16">
        <f t="shared" si="43"/>
        <v>0</v>
      </c>
      <c r="I215" s="1" t="str">
        <f t="shared" si="38"/>
        <v>Low</v>
      </c>
      <c r="J215" s="16" t="str">
        <f t="shared" si="44"/>
        <v>N/A</v>
      </c>
      <c r="K215" s="1" t="str">
        <f t="shared" si="39"/>
        <v>N/A</v>
      </c>
      <c r="L215" s="9">
        <f t="shared" si="45"/>
        <v>0</v>
      </c>
      <c r="M215" s="1" t="str">
        <f t="shared" si="40"/>
        <v>Low</v>
      </c>
      <c r="O215" s="49"/>
      <c r="P215" s="51" t="s">
        <v>40</v>
      </c>
      <c r="Q215" s="53">
        <v>8</v>
      </c>
      <c r="R215" s="52" t="s">
        <v>10</v>
      </c>
      <c r="S215" s="54">
        <v>24500</v>
      </c>
      <c r="T215" s="54">
        <v>36106</v>
      </c>
      <c r="U215" s="52" t="s">
        <v>10</v>
      </c>
      <c r="V215" s="54">
        <v>30741</v>
      </c>
    </row>
    <row r="216" spans="1:22" x14ac:dyDescent="0.2">
      <c r="C216" s="8" t="s">
        <v>9</v>
      </c>
      <c r="D216" s="9">
        <f t="shared" si="41"/>
        <v>0</v>
      </c>
      <c r="E216" s="1" t="str">
        <f t="shared" si="36"/>
        <v>Low</v>
      </c>
      <c r="F216" s="9">
        <f t="shared" si="42"/>
        <v>0</v>
      </c>
      <c r="G216" s="1" t="str">
        <f t="shared" si="37"/>
        <v>Low</v>
      </c>
      <c r="H216" s="16">
        <f t="shared" si="43"/>
        <v>0</v>
      </c>
      <c r="I216" s="1" t="str">
        <f t="shared" si="38"/>
        <v>Low</v>
      </c>
      <c r="J216" s="16">
        <f t="shared" si="44"/>
        <v>0</v>
      </c>
      <c r="K216" s="1" t="str">
        <f t="shared" si="39"/>
        <v>Low</v>
      </c>
      <c r="L216" s="9">
        <f t="shared" si="45"/>
        <v>0</v>
      </c>
      <c r="M216" s="1" t="str">
        <f t="shared" si="40"/>
        <v>Low</v>
      </c>
      <c r="O216" s="49"/>
      <c r="P216" s="51" t="s">
        <v>9</v>
      </c>
      <c r="Q216" s="53">
        <v>26</v>
      </c>
      <c r="R216" s="54">
        <v>33833</v>
      </c>
      <c r="S216" s="54">
        <v>31658</v>
      </c>
      <c r="T216" s="54">
        <v>25748</v>
      </c>
      <c r="U216" s="54">
        <v>40715</v>
      </c>
      <c r="V216" s="54">
        <v>36557</v>
      </c>
    </row>
    <row r="217" spans="1:22" x14ac:dyDescent="0.2">
      <c r="C217" s="8" t="s">
        <v>12</v>
      </c>
      <c r="D217" s="9">
        <f t="shared" si="41"/>
        <v>0</v>
      </c>
      <c r="E217" s="1" t="str">
        <f t="shared" si="36"/>
        <v>Low</v>
      </c>
      <c r="F217" s="9">
        <f t="shared" si="42"/>
        <v>0</v>
      </c>
      <c r="G217" s="1" t="str">
        <f t="shared" si="37"/>
        <v>Low</v>
      </c>
      <c r="H217" s="16">
        <f t="shared" si="43"/>
        <v>0</v>
      </c>
      <c r="I217" s="1" t="str">
        <f t="shared" si="38"/>
        <v>Low</v>
      </c>
      <c r="J217" s="16">
        <f t="shared" si="44"/>
        <v>0</v>
      </c>
      <c r="K217" s="1" t="str">
        <f t="shared" si="39"/>
        <v>Low</v>
      </c>
      <c r="L217" s="9">
        <f t="shared" si="45"/>
        <v>0</v>
      </c>
      <c r="M217" s="1" t="str">
        <f t="shared" si="40"/>
        <v>Low</v>
      </c>
      <c r="O217" s="49"/>
      <c r="P217" s="51" t="s">
        <v>12</v>
      </c>
      <c r="Q217" s="53">
        <v>52</v>
      </c>
      <c r="R217" s="54">
        <v>41000</v>
      </c>
      <c r="S217" s="54">
        <v>42595</v>
      </c>
      <c r="T217" s="54">
        <v>34633</v>
      </c>
      <c r="U217" s="54">
        <v>44887</v>
      </c>
      <c r="V217" s="54">
        <v>44094</v>
      </c>
    </row>
    <row r="218" spans="1:22" x14ac:dyDescent="0.2">
      <c r="C218" s="8" t="s">
        <v>13</v>
      </c>
      <c r="D218" s="9">
        <f t="shared" si="41"/>
        <v>0</v>
      </c>
      <c r="E218" s="1" t="str">
        <f t="shared" si="36"/>
        <v>Low</v>
      </c>
      <c r="F218" s="9">
        <f t="shared" si="42"/>
        <v>0</v>
      </c>
      <c r="G218" s="1" t="str">
        <f t="shared" si="37"/>
        <v>Low</v>
      </c>
      <c r="H218" s="16">
        <f t="shared" si="43"/>
        <v>0</v>
      </c>
      <c r="I218" s="1" t="str">
        <f t="shared" si="38"/>
        <v>Low</v>
      </c>
      <c r="J218" s="16">
        <f t="shared" si="44"/>
        <v>0</v>
      </c>
      <c r="K218" s="1" t="str">
        <f t="shared" si="39"/>
        <v>Low</v>
      </c>
      <c r="L218" s="9">
        <f t="shared" si="45"/>
        <v>0</v>
      </c>
      <c r="M218" s="1" t="str">
        <f t="shared" si="40"/>
        <v>Low</v>
      </c>
      <c r="O218" s="49"/>
      <c r="P218" s="51" t="s">
        <v>13</v>
      </c>
      <c r="Q218" s="53">
        <v>58</v>
      </c>
      <c r="R218" s="54">
        <v>47715</v>
      </c>
      <c r="S218" s="54">
        <v>43989</v>
      </c>
      <c r="T218" s="54">
        <v>51843</v>
      </c>
      <c r="U218" s="54">
        <v>54310</v>
      </c>
      <c r="V218" s="54">
        <v>59152</v>
      </c>
    </row>
    <row r="219" spans="1:22" x14ac:dyDescent="0.2">
      <c r="C219" s="8" t="s">
        <v>14</v>
      </c>
      <c r="D219" s="9" t="str">
        <f t="shared" si="41"/>
        <v>N/A</v>
      </c>
      <c r="E219" s="1" t="str">
        <f t="shared" si="36"/>
        <v>N/A</v>
      </c>
      <c r="F219" s="9" t="str">
        <f t="shared" si="42"/>
        <v>N/A</v>
      </c>
      <c r="G219" s="1" t="str">
        <f t="shared" si="37"/>
        <v>N/A</v>
      </c>
      <c r="H219" s="16">
        <f t="shared" si="43"/>
        <v>0</v>
      </c>
      <c r="I219" s="1" t="str">
        <f t="shared" si="38"/>
        <v>Low</v>
      </c>
      <c r="J219" s="16">
        <f t="shared" si="44"/>
        <v>0</v>
      </c>
      <c r="K219" s="1" t="str">
        <f t="shared" si="39"/>
        <v>Low</v>
      </c>
      <c r="L219" s="9">
        <f t="shared" si="45"/>
        <v>0</v>
      </c>
      <c r="M219" s="1" t="str">
        <f t="shared" si="40"/>
        <v>Low</v>
      </c>
      <c r="O219" s="49"/>
      <c r="P219" s="51" t="s">
        <v>14</v>
      </c>
      <c r="Q219" s="53">
        <v>31</v>
      </c>
      <c r="R219" s="52" t="s">
        <v>10</v>
      </c>
      <c r="S219" s="52" t="s">
        <v>10</v>
      </c>
      <c r="T219" s="54">
        <v>72515</v>
      </c>
      <c r="U219" s="54">
        <v>64800</v>
      </c>
      <c r="V219" s="54">
        <v>70756</v>
      </c>
    </row>
    <row r="220" spans="1:22" x14ac:dyDescent="0.2">
      <c r="C220" s="8" t="s">
        <v>15</v>
      </c>
      <c r="D220" s="9" t="str">
        <f t="shared" si="41"/>
        <v>N/A</v>
      </c>
      <c r="E220" s="1" t="str">
        <f t="shared" si="36"/>
        <v>N/A</v>
      </c>
      <c r="F220" s="9" t="str">
        <f t="shared" si="42"/>
        <v>N/A</v>
      </c>
      <c r="G220" s="1" t="str">
        <f t="shared" si="37"/>
        <v>N/A</v>
      </c>
      <c r="H220" s="16" t="str">
        <f t="shared" si="43"/>
        <v>N/A</v>
      </c>
      <c r="I220" s="1" t="str">
        <f t="shared" si="38"/>
        <v>N/A</v>
      </c>
      <c r="J220" s="16">
        <f t="shared" si="44"/>
        <v>0</v>
      </c>
      <c r="K220" s="1" t="str">
        <f t="shared" si="39"/>
        <v>Low</v>
      </c>
      <c r="L220" s="9">
        <f t="shared" si="45"/>
        <v>0</v>
      </c>
      <c r="M220" s="1" t="str">
        <f t="shared" si="40"/>
        <v>Low</v>
      </c>
      <c r="O220" s="49"/>
      <c r="P220" s="51" t="s">
        <v>15</v>
      </c>
      <c r="Q220" s="53">
        <v>25</v>
      </c>
      <c r="R220" s="52" t="s">
        <v>10</v>
      </c>
      <c r="S220" s="52" t="s">
        <v>10</v>
      </c>
      <c r="T220" s="52" t="s">
        <v>10</v>
      </c>
      <c r="U220" s="54">
        <v>118597</v>
      </c>
      <c r="V220" s="54">
        <v>94469</v>
      </c>
    </row>
    <row r="221" spans="1:22" x14ac:dyDescent="0.2">
      <c r="C221" s="8" t="s">
        <v>17</v>
      </c>
      <c r="D221" s="9" t="str">
        <f t="shared" si="41"/>
        <v>N/A</v>
      </c>
      <c r="E221" s="1" t="str">
        <f t="shared" si="36"/>
        <v>N/A</v>
      </c>
      <c r="F221" s="9" t="str">
        <f t="shared" si="42"/>
        <v>N/A</v>
      </c>
      <c r="G221" s="1" t="str">
        <f t="shared" si="37"/>
        <v>N/A</v>
      </c>
      <c r="H221" s="16" t="str">
        <f t="shared" si="43"/>
        <v>N/A</v>
      </c>
      <c r="I221" s="1" t="str">
        <f t="shared" si="38"/>
        <v>N/A</v>
      </c>
      <c r="J221" s="16" t="str">
        <f t="shared" si="44"/>
        <v>N/A</v>
      </c>
      <c r="K221" s="1" t="str">
        <f t="shared" si="39"/>
        <v>N/A</v>
      </c>
      <c r="L221" s="9">
        <f t="shared" si="45"/>
        <v>0</v>
      </c>
      <c r="M221" s="1" t="str">
        <f t="shared" si="40"/>
        <v>Low</v>
      </c>
      <c r="O221" s="49"/>
      <c r="P221" s="51" t="s">
        <v>17</v>
      </c>
      <c r="Q221" s="53">
        <v>16</v>
      </c>
      <c r="R221" s="52" t="s">
        <v>10</v>
      </c>
      <c r="S221" s="52" t="s">
        <v>10</v>
      </c>
      <c r="T221" s="52" t="s">
        <v>10</v>
      </c>
      <c r="U221" s="52" t="s">
        <v>10</v>
      </c>
      <c r="V221" s="54">
        <v>142414</v>
      </c>
    </row>
    <row r="222" spans="1:22" x14ac:dyDescent="0.2">
      <c r="C222" s="8" t="s">
        <v>18</v>
      </c>
      <c r="D222" s="9" t="str">
        <f t="shared" si="41"/>
        <v>N/A</v>
      </c>
      <c r="E222" s="1" t="str">
        <f t="shared" si="36"/>
        <v>N/A</v>
      </c>
      <c r="F222" s="9" t="str">
        <f t="shared" si="42"/>
        <v>N/A</v>
      </c>
      <c r="G222" s="1" t="str">
        <f t="shared" si="37"/>
        <v>N/A</v>
      </c>
      <c r="H222" s="16" t="str">
        <f t="shared" si="43"/>
        <v>N/A</v>
      </c>
      <c r="I222" s="1" t="str">
        <f t="shared" si="38"/>
        <v>N/A</v>
      </c>
      <c r="J222" s="16" t="str">
        <f t="shared" si="44"/>
        <v>N/A</v>
      </c>
      <c r="K222" s="1" t="str">
        <f t="shared" si="39"/>
        <v>N/A</v>
      </c>
      <c r="L222" s="9">
        <f t="shared" si="45"/>
        <v>0</v>
      </c>
      <c r="M222" s="1" t="str">
        <f t="shared" si="40"/>
        <v>Low</v>
      </c>
      <c r="O222" s="49"/>
      <c r="P222" s="51" t="s">
        <v>18</v>
      </c>
      <c r="Q222" s="53">
        <v>6</v>
      </c>
      <c r="R222" s="52" t="s">
        <v>10</v>
      </c>
      <c r="S222" s="52" t="s">
        <v>10</v>
      </c>
      <c r="T222" s="52" t="s">
        <v>10</v>
      </c>
      <c r="U222" s="52" t="s">
        <v>10</v>
      </c>
      <c r="V222" s="54">
        <v>201351</v>
      </c>
    </row>
    <row r="223" spans="1:22" x14ac:dyDescent="0.2">
      <c r="C223" s="8" t="s">
        <v>79</v>
      </c>
      <c r="D223" s="9" t="str">
        <f t="shared" si="41"/>
        <v>N/A</v>
      </c>
      <c r="E223" s="1" t="str">
        <f t="shared" si="36"/>
        <v>N/A</v>
      </c>
      <c r="F223" s="9" t="str">
        <f t="shared" si="42"/>
        <v>N/A</v>
      </c>
      <c r="G223" s="1" t="str">
        <f t="shared" si="37"/>
        <v>N/A</v>
      </c>
      <c r="H223" s="16" t="str">
        <f t="shared" si="43"/>
        <v>N/A</v>
      </c>
      <c r="I223" s="1" t="str">
        <f t="shared" si="38"/>
        <v>N/A</v>
      </c>
      <c r="J223" s="16" t="str">
        <f t="shared" si="44"/>
        <v>N/A</v>
      </c>
      <c r="K223" s="1" t="str">
        <f t="shared" si="39"/>
        <v>N/A</v>
      </c>
      <c r="L223" s="9">
        <f t="shared" si="45"/>
        <v>0</v>
      </c>
      <c r="M223" s="1" t="str">
        <f t="shared" si="40"/>
        <v>Low</v>
      </c>
      <c r="O223" s="49"/>
      <c r="P223" s="51" t="s">
        <v>79</v>
      </c>
      <c r="Q223" s="53">
        <v>5</v>
      </c>
      <c r="R223" s="52" t="s">
        <v>10</v>
      </c>
      <c r="S223" s="52" t="s">
        <v>10</v>
      </c>
      <c r="T223" s="52" t="s">
        <v>10</v>
      </c>
      <c r="U223" s="52" t="s">
        <v>10</v>
      </c>
      <c r="V223" s="54">
        <v>218609</v>
      </c>
    </row>
    <row r="224" spans="1:22" ht="15" customHeight="1" thickBot="1" x14ac:dyDescent="0.25">
      <c r="A224" s="2"/>
      <c r="B224" s="2"/>
      <c r="C224" s="11" t="s">
        <v>80</v>
      </c>
      <c r="D224" s="12" t="str">
        <f t="shared" si="41"/>
        <v>N/A</v>
      </c>
      <c r="E224" s="2" t="str">
        <f t="shared" si="36"/>
        <v>N/A</v>
      </c>
      <c r="F224" s="12" t="str">
        <f t="shared" si="42"/>
        <v>N/A</v>
      </c>
      <c r="G224" s="2" t="str">
        <f t="shared" si="37"/>
        <v>N/A</v>
      </c>
      <c r="H224" s="12" t="str">
        <f t="shared" si="43"/>
        <v>N/A</v>
      </c>
      <c r="I224" s="2" t="str">
        <f t="shared" si="38"/>
        <v>N/A</v>
      </c>
      <c r="J224" s="12" t="str">
        <f t="shared" si="44"/>
        <v>N/A</v>
      </c>
      <c r="K224" s="2" t="str">
        <f t="shared" si="39"/>
        <v>N/A</v>
      </c>
      <c r="L224" s="12" t="str">
        <f t="shared" si="45"/>
        <v>N/A</v>
      </c>
      <c r="M224" s="2" t="str">
        <f t="shared" si="40"/>
        <v>N/A</v>
      </c>
      <c r="O224" s="49"/>
      <c r="P224" s="51" t="s">
        <v>80</v>
      </c>
      <c r="Q224" s="53">
        <v>1</v>
      </c>
      <c r="R224" s="52" t="s">
        <v>10</v>
      </c>
      <c r="S224" s="52" t="s">
        <v>10</v>
      </c>
      <c r="T224" s="52" t="s">
        <v>10</v>
      </c>
      <c r="U224" s="52" t="s">
        <v>10</v>
      </c>
      <c r="V224" s="52" t="s">
        <v>10</v>
      </c>
    </row>
    <row r="225" spans="1:22" x14ac:dyDescent="0.2">
      <c r="A225" s="8" t="s">
        <v>88</v>
      </c>
      <c r="O225" s="74" t="s">
        <v>69</v>
      </c>
      <c r="P225" s="74"/>
      <c r="Q225" s="74"/>
      <c r="R225" s="74"/>
      <c r="S225" s="74"/>
      <c r="T225" s="74"/>
      <c r="U225" s="74"/>
      <c r="V225" s="74"/>
    </row>
    <row r="226" spans="1:22" x14ac:dyDescent="0.2">
      <c r="A226" s="8" t="s">
        <v>89</v>
      </c>
    </row>
    <row r="232" spans="1:22" ht="15" customHeight="1" x14ac:dyDescent="0.25">
      <c r="A232" s="76" t="s">
        <v>115</v>
      </c>
      <c r="C232" s="8"/>
      <c r="D232" s="75" t="s">
        <v>124</v>
      </c>
      <c r="E232" s="75"/>
      <c r="F232" s="75"/>
      <c r="G232" s="75"/>
      <c r="H232" s="75"/>
      <c r="I232" s="75"/>
      <c r="J232" s="75"/>
      <c r="K232" s="75"/>
      <c r="L232" s="75"/>
      <c r="M232" s="75"/>
      <c r="O232" s="73" t="s">
        <v>140</v>
      </c>
      <c r="P232" s="73"/>
      <c r="Q232" s="73"/>
      <c r="R232" s="73"/>
      <c r="S232" s="73"/>
      <c r="T232" s="73"/>
      <c r="U232" s="73"/>
      <c r="V232" s="73"/>
    </row>
    <row r="233" spans="1:22" ht="13.5" customHeight="1" x14ac:dyDescent="0.25">
      <c r="A233" s="76"/>
      <c r="D233" s="79" t="s">
        <v>70</v>
      </c>
      <c r="E233" s="79"/>
      <c r="F233" s="75" t="s">
        <v>71</v>
      </c>
      <c r="G233" s="75"/>
      <c r="H233" s="75" t="s">
        <v>72</v>
      </c>
      <c r="I233" s="75"/>
      <c r="J233" s="75" t="s">
        <v>73</v>
      </c>
      <c r="K233" s="75"/>
      <c r="L233" s="75" t="s">
        <v>74</v>
      </c>
      <c r="M233" s="75"/>
      <c r="O233" s="73" t="s">
        <v>141</v>
      </c>
      <c r="P233" s="73"/>
      <c r="Q233" s="73"/>
      <c r="R233" s="73"/>
      <c r="S233" s="73"/>
      <c r="T233" s="73"/>
      <c r="U233" s="73"/>
      <c r="V233" s="73"/>
    </row>
    <row r="234" spans="1:22" ht="18" customHeight="1" thickBot="1" x14ac:dyDescent="0.25">
      <c r="A234" s="7" t="s">
        <v>93</v>
      </c>
      <c r="B234" s="13"/>
      <c r="C234" s="13"/>
      <c r="D234" s="14" t="s">
        <v>0</v>
      </c>
      <c r="E234" s="15" t="s">
        <v>90</v>
      </c>
      <c r="F234" s="14" t="s">
        <v>0</v>
      </c>
      <c r="G234" s="15" t="s">
        <v>90</v>
      </c>
      <c r="H234" s="14" t="s">
        <v>0</v>
      </c>
      <c r="I234" s="15" t="s">
        <v>90</v>
      </c>
      <c r="J234" s="14" t="s">
        <v>0</v>
      </c>
      <c r="K234" s="15" t="s">
        <v>90</v>
      </c>
      <c r="L234" s="14" t="s">
        <v>0</v>
      </c>
      <c r="M234" s="15" t="s">
        <v>90</v>
      </c>
      <c r="O234" s="56"/>
      <c r="P234" s="56"/>
      <c r="Q234" s="56" t="s">
        <v>1</v>
      </c>
      <c r="R234" s="56" t="s">
        <v>70</v>
      </c>
      <c r="S234" s="56" t="s">
        <v>71</v>
      </c>
      <c r="T234" s="56" t="s">
        <v>72</v>
      </c>
      <c r="U234" s="56" t="s">
        <v>73</v>
      </c>
      <c r="V234" s="56" t="s">
        <v>74</v>
      </c>
    </row>
    <row r="235" spans="1:22" ht="13.5" thickTop="1" x14ac:dyDescent="0.2">
      <c r="A235" s="82">
        <f>A4</f>
        <v>0</v>
      </c>
      <c r="B235" s="8" t="s">
        <v>7</v>
      </c>
      <c r="C235" s="8"/>
      <c r="D235" s="9">
        <f>IF(R235="*", "N/A", $A$235/R235)</f>
        <v>0</v>
      </c>
      <c r="E235" s="1" t="str">
        <f t="shared" ref="E235:E246" si="46">IF(D235="N/A",D235,IF(AND(D235&gt;0.949,D235&lt;1.051),"Competitive",IF(D235&lt;0.949,"Low","High")))</f>
        <v>Low</v>
      </c>
      <c r="F235" s="9">
        <f>IF(S235="*", "N/A", $A$235/S235)</f>
        <v>0</v>
      </c>
      <c r="G235" s="1" t="str">
        <f t="shared" ref="G235:G246" si="47">IF(F235="N/A",F235,IF(AND(F235&gt;0.949,F235&lt;1.051),"Competitive",IF(F235&lt;0.949,"Low","High")))</f>
        <v>Low</v>
      </c>
      <c r="H235" s="9">
        <f>IF(T235="*", "N/A", $A$235/T235)</f>
        <v>0</v>
      </c>
      <c r="I235" s="1" t="str">
        <f t="shared" ref="I235:I246" si="48">IF(H235="N/A",H235,IF(AND(H235&gt;0.949,H235&lt;1.051),"Competitive",IF(H235&lt;0.949,"Low","High")))</f>
        <v>Low</v>
      </c>
      <c r="J235" s="9">
        <f>IF(U235="*", "N/A", $A$235/U235)</f>
        <v>0</v>
      </c>
      <c r="K235" s="1" t="str">
        <f t="shared" ref="K235:K246" si="49">IF(J235="N/A",J235,IF(AND(J235&gt;0.949,J235&lt;1.051),"Competitive",IF(J235&lt;0.949,"Low","High")))</f>
        <v>Low</v>
      </c>
      <c r="L235" s="9">
        <f>IF(V235="*", "N/A", $A$235/V235)</f>
        <v>0</v>
      </c>
      <c r="M235" s="1" t="str">
        <f t="shared" ref="M235:M246" si="50">IF(L235="N/A",L235,IF(AND(L235&gt;0.949,L235&lt;1.051),"Competitive",IF(L235&lt;0.949,"Low","High")))</f>
        <v>Low</v>
      </c>
      <c r="O235" s="57" t="s">
        <v>7</v>
      </c>
      <c r="P235" s="57"/>
      <c r="Q235" s="59">
        <v>384</v>
      </c>
      <c r="R235" s="60">
        <v>49661</v>
      </c>
      <c r="S235" s="60">
        <v>56343</v>
      </c>
      <c r="T235" s="60">
        <v>87372</v>
      </c>
      <c r="U235" s="60">
        <v>72310</v>
      </c>
      <c r="V235" s="60">
        <v>133855</v>
      </c>
    </row>
    <row r="236" spans="1:22" x14ac:dyDescent="0.2">
      <c r="B236" s="8" t="s">
        <v>8</v>
      </c>
      <c r="C236" s="8" t="s">
        <v>110</v>
      </c>
      <c r="D236" s="9">
        <f t="shared" ref="D236:D246" si="51">IF(R236="*", "N/A", $A$235/R236)</f>
        <v>0</v>
      </c>
      <c r="E236" s="1" t="str">
        <f t="shared" si="46"/>
        <v>Low</v>
      </c>
      <c r="F236" s="9" t="str">
        <f t="shared" ref="F236:F246" si="52">IF(S236="*", "N/A", $A$235/S236)</f>
        <v>N/A</v>
      </c>
      <c r="G236" s="1" t="str">
        <f t="shared" si="47"/>
        <v>N/A</v>
      </c>
      <c r="H236" s="9" t="str">
        <f t="shared" ref="H236:H246" si="53">IF(T236="*", "N/A", $A$235/T236)</f>
        <v>N/A</v>
      </c>
      <c r="I236" s="1" t="str">
        <f t="shared" si="48"/>
        <v>N/A</v>
      </c>
      <c r="J236" s="9" t="str">
        <f t="shared" ref="J236:J246" si="54">IF(U236="*", "N/A", $A$235/U236)</f>
        <v>N/A</v>
      </c>
      <c r="K236" s="1" t="str">
        <f t="shared" si="49"/>
        <v>N/A</v>
      </c>
      <c r="L236" s="9" t="str">
        <f t="shared" ref="L236:L246" si="55">IF(V236="*", "N/A", $A$235/V236)</f>
        <v>N/A</v>
      </c>
      <c r="M236" s="1" t="str">
        <f t="shared" si="50"/>
        <v>N/A</v>
      </c>
      <c r="O236" s="57" t="s">
        <v>8</v>
      </c>
      <c r="P236" s="57" t="s">
        <v>110</v>
      </c>
      <c r="Q236" s="59">
        <v>4</v>
      </c>
      <c r="R236" s="60">
        <v>21815</v>
      </c>
      <c r="S236" s="58" t="s">
        <v>10</v>
      </c>
      <c r="T236" s="58" t="s">
        <v>10</v>
      </c>
      <c r="U236" s="58" t="s">
        <v>10</v>
      </c>
      <c r="V236" s="58" t="s">
        <v>10</v>
      </c>
    </row>
    <row r="237" spans="1:22" x14ac:dyDescent="0.2">
      <c r="C237" s="8" t="s">
        <v>40</v>
      </c>
      <c r="D237" s="9">
        <f t="shared" si="51"/>
        <v>0</v>
      </c>
      <c r="E237" s="1" t="str">
        <f t="shared" si="46"/>
        <v>Low</v>
      </c>
      <c r="F237" s="9">
        <f t="shared" si="52"/>
        <v>0</v>
      </c>
      <c r="G237" s="1" t="str">
        <f t="shared" si="47"/>
        <v>Low</v>
      </c>
      <c r="H237" s="9">
        <f t="shared" si="53"/>
        <v>0</v>
      </c>
      <c r="I237" s="1" t="str">
        <f t="shared" si="48"/>
        <v>Low</v>
      </c>
      <c r="J237" s="9" t="str">
        <f t="shared" si="54"/>
        <v>N/A</v>
      </c>
      <c r="K237" s="1" t="str">
        <f t="shared" si="49"/>
        <v>N/A</v>
      </c>
      <c r="L237" s="9" t="str">
        <f t="shared" si="55"/>
        <v>N/A</v>
      </c>
      <c r="M237" s="1" t="str">
        <f t="shared" si="50"/>
        <v>N/A</v>
      </c>
      <c r="O237" s="55"/>
      <c r="P237" s="57" t="s">
        <v>40</v>
      </c>
      <c r="Q237" s="59">
        <v>12</v>
      </c>
      <c r="R237" s="60">
        <v>30450</v>
      </c>
      <c r="S237" s="60">
        <v>35053</v>
      </c>
      <c r="T237" s="60">
        <v>35100</v>
      </c>
      <c r="U237" s="58" t="s">
        <v>10</v>
      </c>
      <c r="V237" s="58" t="s">
        <v>10</v>
      </c>
    </row>
    <row r="238" spans="1:22" x14ac:dyDescent="0.2">
      <c r="C238" s="8" t="s">
        <v>9</v>
      </c>
      <c r="D238" s="9">
        <f t="shared" si="51"/>
        <v>0</v>
      </c>
      <c r="E238" s="1" t="str">
        <f t="shared" si="46"/>
        <v>Low</v>
      </c>
      <c r="F238" s="9">
        <f t="shared" si="52"/>
        <v>0</v>
      </c>
      <c r="G238" s="1" t="str">
        <f t="shared" si="47"/>
        <v>Low</v>
      </c>
      <c r="H238" s="9">
        <f t="shared" si="53"/>
        <v>0</v>
      </c>
      <c r="I238" s="1" t="str">
        <f t="shared" si="48"/>
        <v>Low</v>
      </c>
      <c r="J238" s="9" t="str">
        <f t="shared" si="54"/>
        <v>N/A</v>
      </c>
      <c r="K238" s="1" t="str">
        <f t="shared" si="49"/>
        <v>N/A</v>
      </c>
      <c r="L238" s="9" t="str">
        <f t="shared" si="55"/>
        <v>N/A</v>
      </c>
      <c r="M238" s="1" t="str">
        <f t="shared" si="50"/>
        <v>N/A</v>
      </c>
      <c r="O238" s="55"/>
      <c r="P238" s="57" t="s">
        <v>9</v>
      </c>
      <c r="Q238" s="59">
        <v>42</v>
      </c>
      <c r="R238" s="60">
        <v>37395</v>
      </c>
      <c r="S238" s="60">
        <v>34031</v>
      </c>
      <c r="T238" s="60">
        <v>33275</v>
      </c>
      <c r="U238" s="58" t="s">
        <v>10</v>
      </c>
      <c r="V238" s="58" t="s">
        <v>10</v>
      </c>
    </row>
    <row r="239" spans="1:22" x14ac:dyDescent="0.2">
      <c r="C239" s="8" t="s">
        <v>12</v>
      </c>
      <c r="D239" s="9">
        <f t="shared" si="51"/>
        <v>0</v>
      </c>
      <c r="E239" s="1" t="str">
        <f t="shared" si="46"/>
        <v>Low</v>
      </c>
      <c r="F239" s="9">
        <f t="shared" si="52"/>
        <v>0</v>
      </c>
      <c r="G239" s="1" t="str">
        <f t="shared" si="47"/>
        <v>Low</v>
      </c>
      <c r="H239" s="9">
        <f t="shared" si="53"/>
        <v>0</v>
      </c>
      <c r="I239" s="1" t="str">
        <f t="shared" si="48"/>
        <v>Low</v>
      </c>
      <c r="J239" s="9" t="str">
        <f t="shared" si="54"/>
        <v>N/A</v>
      </c>
      <c r="K239" s="1" t="str">
        <f t="shared" si="49"/>
        <v>N/A</v>
      </c>
      <c r="L239" s="9">
        <f t="shared" si="55"/>
        <v>0</v>
      </c>
      <c r="M239" s="1" t="str">
        <f t="shared" si="50"/>
        <v>Low</v>
      </c>
      <c r="O239" s="55"/>
      <c r="P239" s="57" t="s">
        <v>12</v>
      </c>
      <c r="Q239" s="59">
        <v>73</v>
      </c>
      <c r="R239" s="60">
        <v>40680</v>
      </c>
      <c r="S239" s="60">
        <v>42952</v>
      </c>
      <c r="T239" s="60">
        <v>44807</v>
      </c>
      <c r="U239" s="58" t="s">
        <v>10</v>
      </c>
      <c r="V239" s="60">
        <v>36000</v>
      </c>
    </row>
    <row r="240" spans="1:22" x14ac:dyDescent="0.2">
      <c r="C240" s="8" t="s">
        <v>13</v>
      </c>
      <c r="D240" s="9">
        <f t="shared" si="51"/>
        <v>0</v>
      </c>
      <c r="E240" s="1" t="str">
        <f t="shared" si="46"/>
        <v>Low</v>
      </c>
      <c r="F240" s="9">
        <f t="shared" si="52"/>
        <v>0</v>
      </c>
      <c r="G240" s="1" t="str">
        <f t="shared" si="47"/>
        <v>Low</v>
      </c>
      <c r="H240" s="9">
        <f t="shared" si="53"/>
        <v>0</v>
      </c>
      <c r="I240" s="1" t="str">
        <f t="shared" si="48"/>
        <v>Low</v>
      </c>
      <c r="J240" s="9">
        <f t="shared" si="54"/>
        <v>0</v>
      </c>
      <c r="K240" s="1" t="str">
        <f t="shared" si="49"/>
        <v>Low</v>
      </c>
      <c r="L240" s="9">
        <f t="shared" si="55"/>
        <v>0</v>
      </c>
      <c r="M240" s="1" t="str">
        <f t="shared" si="50"/>
        <v>Low</v>
      </c>
      <c r="O240" s="55"/>
      <c r="P240" s="57" t="s">
        <v>13</v>
      </c>
      <c r="Q240" s="59">
        <v>100</v>
      </c>
      <c r="R240" s="60">
        <v>54440</v>
      </c>
      <c r="S240" s="60">
        <v>54801</v>
      </c>
      <c r="T240" s="60">
        <v>56771</v>
      </c>
      <c r="U240" s="60">
        <v>54629</v>
      </c>
      <c r="V240" s="60">
        <v>64480</v>
      </c>
    </row>
    <row r="241" spans="1:22" x14ac:dyDescent="0.2">
      <c r="C241" s="8" t="s">
        <v>14</v>
      </c>
      <c r="D241" s="9">
        <f t="shared" si="51"/>
        <v>0</v>
      </c>
      <c r="E241" s="1" t="str">
        <f t="shared" si="46"/>
        <v>Low</v>
      </c>
      <c r="F241" s="9">
        <f t="shared" si="52"/>
        <v>0</v>
      </c>
      <c r="G241" s="1" t="str">
        <f t="shared" si="47"/>
        <v>Low</v>
      </c>
      <c r="H241" s="9">
        <f t="shared" si="53"/>
        <v>0</v>
      </c>
      <c r="I241" s="1" t="str">
        <f t="shared" si="48"/>
        <v>Low</v>
      </c>
      <c r="J241" s="9" t="str">
        <f t="shared" si="54"/>
        <v>N/A</v>
      </c>
      <c r="K241" s="1" t="str">
        <f t="shared" si="49"/>
        <v>N/A</v>
      </c>
      <c r="L241" s="9">
        <f t="shared" si="55"/>
        <v>0</v>
      </c>
      <c r="M241" s="1" t="str">
        <f t="shared" si="50"/>
        <v>Low</v>
      </c>
      <c r="O241" s="55"/>
      <c r="P241" s="57" t="s">
        <v>14</v>
      </c>
      <c r="Q241" s="59">
        <v>49</v>
      </c>
      <c r="R241" s="60">
        <v>59902</v>
      </c>
      <c r="S241" s="60">
        <v>65808</v>
      </c>
      <c r="T241" s="60">
        <v>72512</v>
      </c>
      <c r="U241" s="58" t="s">
        <v>10</v>
      </c>
      <c r="V241" s="60">
        <v>82893</v>
      </c>
    </row>
    <row r="242" spans="1:22" x14ac:dyDescent="0.2">
      <c r="C242" s="8" t="s">
        <v>15</v>
      </c>
      <c r="D242" s="9">
        <f t="shared" si="51"/>
        <v>0</v>
      </c>
      <c r="E242" s="1" t="str">
        <f t="shared" si="46"/>
        <v>Low</v>
      </c>
      <c r="F242" s="9">
        <f t="shared" si="52"/>
        <v>0</v>
      </c>
      <c r="G242" s="1" t="str">
        <f t="shared" si="47"/>
        <v>Low</v>
      </c>
      <c r="H242" s="9">
        <f t="shared" si="53"/>
        <v>0</v>
      </c>
      <c r="I242" s="1" t="str">
        <f t="shared" si="48"/>
        <v>Low</v>
      </c>
      <c r="J242" s="9" t="str">
        <f t="shared" si="54"/>
        <v>N/A</v>
      </c>
      <c r="K242" s="1" t="str">
        <f t="shared" si="49"/>
        <v>N/A</v>
      </c>
      <c r="L242" s="9">
        <f t="shared" si="55"/>
        <v>0</v>
      </c>
      <c r="M242" s="1" t="str">
        <f t="shared" si="50"/>
        <v>Low</v>
      </c>
      <c r="O242" s="55"/>
      <c r="P242" s="57" t="s">
        <v>15</v>
      </c>
      <c r="Q242" s="59">
        <v>40</v>
      </c>
      <c r="R242" s="60">
        <v>84102</v>
      </c>
      <c r="S242" s="60">
        <v>99297</v>
      </c>
      <c r="T242" s="60">
        <v>94577</v>
      </c>
      <c r="U242" s="58" t="s">
        <v>10</v>
      </c>
      <c r="V242" s="60">
        <v>109341</v>
      </c>
    </row>
    <row r="243" spans="1:22" x14ac:dyDescent="0.2">
      <c r="C243" s="8" t="s">
        <v>17</v>
      </c>
      <c r="D243" s="9">
        <f t="shared" si="51"/>
        <v>0</v>
      </c>
      <c r="E243" s="1" t="str">
        <f t="shared" si="46"/>
        <v>Low</v>
      </c>
      <c r="F243" s="9">
        <f t="shared" si="52"/>
        <v>0</v>
      </c>
      <c r="G243" s="1" t="str">
        <f t="shared" si="47"/>
        <v>Low</v>
      </c>
      <c r="H243" s="9">
        <f t="shared" si="53"/>
        <v>0</v>
      </c>
      <c r="I243" s="1" t="str">
        <f t="shared" si="48"/>
        <v>Low</v>
      </c>
      <c r="J243" s="9">
        <f t="shared" si="54"/>
        <v>0</v>
      </c>
      <c r="K243" s="1" t="str">
        <f t="shared" si="49"/>
        <v>Low</v>
      </c>
      <c r="L243" s="9">
        <f t="shared" si="55"/>
        <v>0</v>
      </c>
      <c r="M243" s="1" t="str">
        <f t="shared" si="50"/>
        <v>Low</v>
      </c>
      <c r="O243" s="55"/>
      <c r="P243" s="57" t="s">
        <v>17</v>
      </c>
      <c r="Q243" s="59">
        <v>34</v>
      </c>
      <c r="R243" s="60">
        <v>142500</v>
      </c>
      <c r="S243" s="60">
        <v>119964</v>
      </c>
      <c r="T243" s="60">
        <v>126036</v>
      </c>
      <c r="U243" s="60">
        <v>153707</v>
      </c>
      <c r="V243" s="60">
        <v>148569</v>
      </c>
    </row>
    <row r="244" spans="1:22" x14ac:dyDescent="0.2">
      <c r="C244" s="8" t="s">
        <v>18</v>
      </c>
      <c r="D244" s="9" t="str">
        <f t="shared" si="51"/>
        <v>N/A</v>
      </c>
      <c r="E244" s="1" t="str">
        <f t="shared" si="46"/>
        <v>N/A</v>
      </c>
      <c r="F244" s="9" t="str">
        <f t="shared" si="52"/>
        <v>N/A</v>
      </c>
      <c r="G244" s="1" t="str">
        <f t="shared" si="47"/>
        <v>N/A</v>
      </c>
      <c r="H244" s="9">
        <f t="shared" si="53"/>
        <v>0</v>
      </c>
      <c r="I244" s="1" t="str">
        <f t="shared" si="48"/>
        <v>Low</v>
      </c>
      <c r="J244" s="9" t="str">
        <f t="shared" si="54"/>
        <v>N/A</v>
      </c>
      <c r="K244" s="1" t="str">
        <f t="shared" si="49"/>
        <v>N/A</v>
      </c>
      <c r="L244" s="9">
        <f t="shared" si="55"/>
        <v>0</v>
      </c>
      <c r="M244" s="1" t="str">
        <f t="shared" si="50"/>
        <v>Low</v>
      </c>
      <c r="O244" s="55"/>
      <c r="P244" s="57" t="s">
        <v>18</v>
      </c>
      <c r="Q244" s="59">
        <v>13</v>
      </c>
      <c r="R244" s="58" t="s">
        <v>10</v>
      </c>
      <c r="S244" s="58" t="s">
        <v>10</v>
      </c>
      <c r="T244" s="60">
        <v>198684</v>
      </c>
      <c r="U244" s="58" t="s">
        <v>10</v>
      </c>
      <c r="V244" s="60">
        <v>230950</v>
      </c>
    </row>
    <row r="245" spans="1:22" x14ac:dyDescent="0.2">
      <c r="C245" s="8" t="s">
        <v>79</v>
      </c>
      <c r="D245" s="9" t="str">
        <f t="shared" si="51"/>
        <v>N/A</v>
      </c>
      <c r="E245" s="1" t="str">
        <f t="shared" si="46"/>
        <v>N/A</v>
      </c>
      <c r="F245" s="9" t="str">
        <f t="shared" si="52"/>
        <v>N/A</v>
      </c>
      <c r="G245" s="1" t="str">
        <f t="shared" si="47"/>
        <v>N/A</v>
      </c>
      <c r="H245" s="9">
        <f t="shared" si="53"/>
        <v>0</v>
      </c>
      <c r="I245" s="1" t="str">
        <f t="shared" si="48"/>
        <v>Low</v>
      </c>
      <c r="J245" s="9" t="str">
        <f t="shared" si="54"/>
        <v>N/A</v>
      </c>
      <c r="K245" s="1" t="str">
        <f t="shared" si="49"/>
        <v>N/A</v>
      </c>
      <c r="L245" s="9">
        <f t="shared" si="55"/>
        <v>0</v>
      </c>
      <c r="M245" s="1" t="str">
        <f t="shared" si="50"/>
        <v>Low</v>
      </c>
      <c r="O245" s="55"/>
      <c r="P245" s="57" t="s">
        <v>79</v>
      </c>
      <c r="Q245" s="59">
        <v>15</v>
      </c>
      <c r="R245" s="58" t="s">
        <v>10</v>
      </c>
      <c r="S245" s="58" t="s">
        <v>10</v>
      </c>
      <c r="T245" s="60">
        <v>216676</v>
      </c>
      <c r="U245" s="58" t="s">
        <v>10</v>
      </c>
      <c r="V245" s="60">
        <v>231780</v>
      </c>
    </row>
    <row r="246" spans="1:22" ht="13.5" thickBot="1" x14ac:dyDescent="0.25">
      <c r="A246" s="2"/>
      <c r="B246" s="2"/>
      <c r="C246" s="11" t="s">
        <v>80</v>
      </c>
      <c r="D246" s="12" t="str">
        <f t="shared" si="51"/>
        <v>N/A</v>
      </c>
      <c r="E246" s="2" t="str">
        <f t="shared" si="46"/>
        <v>N/A</v>
      </c>
      <c r="F246" s="12" t="str">
        <f t="shared" si="52"/>
        <v>N/A</v>
      </c>
      <c r="G246" s="2" t="str">
        <f t="shared" si="47"/>
        <v>N/A</v>
      </c>
      <c r="H246" s="12" t="str">
        <f t="shared" si="53"/>
        <v>N/A</v>
      </c>
      <c r="I246" s="2" t="str">
        <f t="shared" si="48"/>
        <v>N/A</v>
      </c>
      <c r="J246" s="12" t="str">
        <f t="shared" si="54"/>
        <v>N/A</v>
      </c>
      <c r="K246" s="2" t="str">
        <f t="shared" si="49"/>
        <v>N/A</v>
      </c>
      <c r="L246" s="12">
        <f t="shared" si="55"/>
        <v>0</v>
      </c>
      <c r="M246" s="2" t="str">
        <f t="shared" si="50"/>
        <v>Low</v>
      </c>
      <c r="O246" s="55"/>
      <c r="P246" s="57" t="s">
        <v>80</v>
      </c>
      <c r="Q246" s="59">
        <v>2</v>
      </c>
      <c r="R246" s="58" t="s">
        <v>10</v>
      </c>
      <c r="S246" s="58" t="s">
        <v>10</v>
      </c>
      <c r="T246" s="58" t="s">
        <v>10</v>
      </c>
      <c r="U246" s="58" t="s">
        <v>10</v>
      </c>
      <c r="V246" s="60">
        <v>303899</v>
      </c>
    </row>
    <row r="247" spans="1:22" x14ac:dyDescent="0.2">
      <c r="A247" s="8" t="s">
        <v>88</v>
      </c>
      <c r="O247" s="74" t="s">
        <v>69</v>
      </c>
      <c r="P247" s="74"/>
      <c r="Q247" s="74"/>
      <c r="R247" s="74"/>
      <c r="S247" s="74"/>
      <c r="T247" s="74"/>
      <c r="U247" s="74"/>
      <c r="V247" s="74"/>
    </row>
    <row r="248" spans="1:22" x14ac:dyDescent="0.2">
      <c r="A248" s="8" t="s">
        <v>89</v>
      </c>
    </row>
    <row r="251" spans="1:22" x14ac:dyDescent="0.2">
      <c r="D251" s="75" t="s">
        <v>125</v>
      </c>
      <c r="E251" s="75"/>
      <c r="F251" s="75"/>
      <c r="G251" s="75"/>
      <c r="H251" s="75"/>
      <c r="I251" s="75"/>
      <c r="J251" s="75"/>
      <c r="K251" s="75"/>
    </row>
    <row r="252" spans="1:22" ht="18" customHeight="1" x14ac:dyDescent="0.25">
      <c r="A252" s="76" t="s">
        <v>116</v>
      </c>
      <c r="F252" s="76" t="s">
        <v>117</v>
      </c>
      <c r="I252" s="76" t="s">
        <v>118</v>
      </c>
      <c r="O252" s="73" t="s">
        <v>142</v>
      </c>
      <c r="P252" s="73"/>
      <c r="Q252" s="73"/>
      <c r="R252" s="73"/>
      <c r="S252" s="73"/>
      <c r="T252" s="73"/>
    </row>
    <row r="253" spans="1:22" ht="18" customHeight="1" x14ac:dyDescent="0.25">
      <c r="A253" s="76"/>
      <c r="D253" s="75" t="s">
        <v>75</v>
      </c>
      <c r="E253" s="75"/>
      <c r="F253" s="76"/>
      <c r="G253" s="19" t="s">
        <v>76</v>
      </c>
      <c r="I253" s="76"/>
      <c r="J253" s="19" t="s">
        <v>77</v>
      </c>
      <c r="O253" s="73" t="s">
        <v>143</v>
      </c>
      <c r="P253" s="73"/>
      <c r="Q253" s="73"/>
      <c r="R253" s="73"/>
      <c r="S253" s="73"/>
      <c r="T253" s="73"/>
    </row>
    <row r="254" spans="1:22" ht="13.5" thickBot="1" x14ac:dyDescent="0.25">
      <c r="A254" s="13" t="s">
        <v>75</v>
      </c>
      <c r="B254" s="13"/>
      <c r="C254" s="13"/>
      <c r="D254" s="14" t="s">
        <v>0</v>
      </c>
      <c r="E254" s="15" t="s">
        <v>90</v>
      </c>
      <c r="F254" s="13" t="s">
        <v>76</v>
      </c>
      <c r="G254" s="14" t="s">
        <v>0</v>
      </c>
      <c r="H254" s="15" t="s">
        <v>90</v>
      </c>
      <c r="I254" s="13" t="s">
        <v>77</v>
      </c>
      <c r="J254" s="14" t="s">
        <v>0</v>
      </c>
      <c r="K254" s="15" t="s">
        <v>90</v>
      </c>
      <c r="O254" s="62"/>
      <c r="P254" s="62"/>
      <c r="Q254" s="62" t="s">
        <v>1</v>
      </c>
      <c r="R254" s="62" t="s">
        <v>75</v>
      </c>
      <c r="S254" s="62" t="s">
        <v>76</v>
      </c>
      <c r="T254" s="62" t="s">
        <v>77</v>
      </c>
    </row>
    <row r="255" spans="1:22" x14ac:dyDescent="0.2">
      <c r="A255" s="17"/>
      <c r="B255" s="8" t="s">
        <v>7</v>
      </c>
      <c r="C255" s="8"/>
      <c r="D255" s="9">
        <f>IF(R255="*", "N/A", $A$255/R255)</f>
        <v>0</v>
      </c>
      <c r="E255" s="1" t="str">
        <f t="shared" ref="E255:E264" si="56">IF(D255="N/A",D255,IF(AND(D255&gt;0.949,D255&lt;1.051),"Competitive",IF(D255&lt;0.949,"Low","High")))</f>
        <v>Low</v>
      </c>
      <c r="F255" s="17"/>
      <c r="G255" s="9">
        <f>IF(S255="*", "N/A", $F$255/S255)</f>
        <v>0</v>
      </c>
      <c r="H255" s="1" t="str">
        <f t="shared" ref="H255:H264" si="57">IF(G255="N/A",G255,IF(AND(G255&gt;0.949,G255&lt;1.051),"Competitive",IF(G255&lt;0.949,"Low","High")))</f>
        <v>Low</v>
      </c>
      <c r="I255" s="17"/>
      <c r="J255" s="9">
        <f>IF(T255="*", "N/A", $I$255/T255)</f>
        <v>0</v>
      </c>
      <c r="K255" s="1" t="str">
        <f t="shared" ref="K255:K264" si="58">IF(J255="N/A",J255,IF(AND(J255&gt;0.949,J255&lt;1.051),"Competitive",IF(J255&lt;0.949,"Low","High")))</f>
        <v>Low</v>
      </c>
      <c r="O255" s="63" t="s">
        <v>7</v>
      </c>
      <c r="P255" s="63"/>
      <c r="Q255" s="65">
        <v>102</v>
      </c>
      <c r="R255" s="66">
        <v>76458</v>
      </c>
      <c r="S255" s="66">
        <v>100135</v>
      </c>
      <c r="T255" s="66">
        <v>123812</v>
      </c>
    </row>
    <row r="256" spans="1:22" x14ac:dyDescent="0.2">
      <c r="B256" s="8" t="s">
        <v>8</v>
      </c>
      <c r="C256" s="63" t="s">
        <v>9</v>
      </c>
      <c r="D256" s="9" t="str">
        <f t="shared" ref="D256:D264" si="59">IF(R256="*", "N/A", $A$255/R256)</f>
        <v>N/A</v>
      </c>
      <c r="E256" s="1" t="str">
        <f t="shared" si="56"/>
        <v>N/A</v>
      </c>
      <c r="G256" s="9" t="str">
        <f t="shared" ref="G256:G264" si="60">IF(S256="*", "N/A", $F$255/S256)</f>
        <v>N/A</v>
      </c>
      <c r="H256" s="1" t="str">
        <f t="shared" si="57"/>
        <v>N/A</v>
      </c>
      <c r="J256" s="9" t="str">
        <f t="shared" ref="J256:J264" si="61">IF(T256="*", "N/A", $I$255/T256)</f>
        <v>N/A</v>
      </c>
      <c r="K256" s="1" t="str">
        <f t="shared" si="58"/>
        <v>N/A</v>
      </c>
      <c r="O256" s="63" t="s">
        <v>8</v>
      </c>
      <c r="P256" s="63" t="s">
        <v>9</v>
      </c>
      <c r="Q256" s="65">
        <v>1</v>
      </c>
      <c r="R256" s="64" t="s">
        <v>10</v>
      </c>
      <c r="S256" s="64" t="s">
        <v>10</v>
      </c>
      <c r="T256" s="64" t="s">
        <v>10</v>
      </c>
    </row>
    <row r="257" spans="1:20" x14ac:dyDescent="0.2">
      <c r="C257" s="63" t="s">
        <v>12</v>
      </c>
      <c r="D257" s="9">
        <f t="shared" si="59"/>
        <v>0</v>
      </c>
      <c r="E257" s="1" t="str">
        <f t="shared" si="56"/>
        <v>Low</v>
      </c>
      <c r="G257" s="9">
        <f t="shared" si="60"/>
        <v>0</v>
      </c>
      <c r="H257" s="1" t="str">
        <f t="shared" si="57"/>
        <v>Low</v>
      </c>
      <c r="J257" s="9">
        <f t="shared" si="61"/>
        <v>0</v>
      </c>
      <c r="K257" s="1" t="str">
        <f t="shared" si="58"/>
        <v>Low</v>
      </c>
      <c r="O257" s="61"/>
      <c r="P257" s="63" t="s">
        <v>12</v>
      </c>
      <c r="Q257" s="65">
        <v>5</v>
      </c>
      <c r="R257" s="66">
        <v>34831</v>
      </c>
      <c r="S257" s="66">
        <v>45650</v>
      </c>
      <c r="T257" s="66">
        <v>56469</v>
      </c>
    </row>
    <row r="258" spans="1:20" x14ac:dyDescent="0.2">
      <c r="C258" s="63" t="s">
        <v>13</v>
      </c>
      <c r="D258" s="9">
        <f t="shared" si="59"/>
        <v>0</v>
      </c>
      <c r="E258" s="1" t="str">
        <f t="shared" si="56"/>
        <v>Low</v>
      </c>
      <c r="G258" s="9">
        <f t="shared" si="60"/>
        <v>0</v>
      </c>
      <c r="H258" s="1" t="str">
        <f t="shared" si="57"/>
        <v>Low</v>
      </c>
      <c r="J258" s="9">
        <f t="shared" si="61"/>
        <v>0</v>
      </c>
      <c r="K258" s="1" t="str">
        <f t="shared" si="58"/>
        <v>Low</v>
      </c>
      <c r="O258" s="61"/>
      <c r="P258" s="63" t="s">
        <v>13</v>
      </c>
      <c r="Q258" s="65">
        <v>24</v>
      </c>
      <c r="R258" s="66">
        <v>42579</v>
      </c>
      <c r="S258" s="66">
        <v>53219</v>
      </c>
      <c r="T258" s="66">
        <v>63860</v>
      </c>
    </row>
    <row r="259" spans="1:20" x14ac:dyDescent="0.2">
      <c r="C259" s="63" t="s">
        <v>14</v>
      </c>
      <c r="D259" s="9">
        <f t="shared" si="59"/>
        <v>0</v>
      </c>
      <c r="E259" s="1" t="str">
        <f t="shared" si="56"/>
        <v>Low</v>
      </c>
      <c r="G259" s="9">
        <f t="shared" si="60"/>
        <v>0</v>
      </c>
      <c r="H259" s="1" t="str">
        <f t="shared" si="57"/>
        <v>Low</v>
      </c>
      <c r="J259" s="9">
        <f t="shared" si="61"/>
        <v>0</v>
      </c>
      <c r="K259" s="1" t="str">
        <f t="shared" si="58"/>
        <v>Low</v>
      </c>
      <c r="O259" s="61"/>
      <c r="P259" s="63" t="s">
        <v>14</v>
      </c>
      <c r="Q259" s="65">
        <v>18</v>
      </c>
      <c r="R259" s="66">
        <v>56427</v>
      </c>
      <c r="S259" s="66">
        <v>70944</v>
      </c>
      <c r="T259" s="66">
        <v>85461</v>
      </c>
    </row>
    <row r="260" spans="1:20" x14ac:dyDescent="0.2">
      <c r="C260" s="63" t="s">
        <v>15</v>
      </c>
      <c r="D260" s="9">
        <f t="shared" si="59"/>
        <v>0</v>
      </c>
      <c r="E260" s="1" t="str">
        <f t="shared" si="56"/>
        <v>Low</v>
      </c>
      <c r="G260" s="9">
        <f t="shared" si="60"/>
        <v>0</v>
      </c>
      <c r="H260" s="1" t="str">
        <f t="shared" si="57"/>
        <v>Low</v>
      </c>
      <c r="J260" s="9">
        <f t="shared" si="61"/>
        <v>0</v>
      </c>
      <c r="K260" s="1" t="str">
        <f t="shared" si="58"/>
        <v>Low</v>
      </c>
      <c r="O260" s="61"/>
      <c r="P260" s="63" t="s">
        <v>15</v>
      </c>
      <c r="Q260" s="65">
        <v>16</v>
      </c>
      <c r="R260" s="66">
        <v>79752</v>
      </c>
      <c r="S260" s="66">
        <v>103520</v>
      </c>
      <c r="T260" s="66">
        <v>127288</v>
      </c>
    </row>
    <row r="261" spans="1:20" x14ac:dyDescent="0.2">
      <c r="C261" s="63" t="s">
        <v>17</v>
      </c>
      <c r="D261" s="9">
        <f t="shared" si="59"/>
        <v>0</v>
      </c>
      <c r="E261" s="1" t="str">
        <f t="shared" si="56"/>
        <v>Low</v>
      </c>
      <c r="G261" s="9">
        <f t="shared" si="60"/>
        <v>0</v>
      </c>
      <c r="H261" s="1" t="str">
        <f t="shared" si="57"/>
        <v>Low</v>
      </c>
      <c r="J261" s="9">
        <f t="shared" si="61"/>
        <v>0</v>
      </c>
      <c r="K261" s="1" t="str">
        <f t="shared" si="58"/>
        <v>Low</v>
      </c>
      <c r="O261" s="61"/>
      <c r="P261" s="63" t="s">
        <v>17</v>
      </c>
      <c r="Q261" s="65">
        <v>19</v>
      </c>
      <c r="R261" s="66">
        <v>96925</v>
      </c>
      <c r="S261" s="66">
        <v>129175</v>
      </c>
      <c r="T261" s="66">
        <v>161426</v>
      </c>
    </row>
    <row r="262" spans="1:20" x14ac:dyDescent="0.2">
      <c r="C262" s="63" t="s">
        <v>18</v>
      </c>
      <c r="D262" s="9">
        <f t="shared" si="59"/>
        <v>0</v>
      </c>
      <c r="E262" s="1" t="str">
        <f t="shared" si="56"/>
        <v>Low</v>
      </c>
      <c r="G262" s="9">
        <f t="shared" si="60"/>
        <v>0</v>
      </c>
      <c r="H262" s="1" t="str">
        <f t="shared" si="57"/>
        <v>Low</v>
      </c>
      <c r="J262" s="9">
        <f t="shared" si="61"/>
        <v>0</v>
      </c>
      <c r="K262" s="1" t="str">
        <f t="shared" si="58"/>
        <v>Low</v>
      </c>
      <c r="O262" s="61"/>
      <c r="P262" s="63" t="s">
        <v>18</v>
      </c>
      <c r="Q262" s="65">
        <v>11</v>
      </c>
      <c r="R262" s="66">
        <v>138551</v>
      </c>
      <c r="S262" s="66">
        <v>182482</v>
      </c>
      <c r="T262" s="66">
        <v>226413</v>
      </c>
    </row>
    <row r="263" spans="1:20" x14ac:dyDescent="0.2">
      <c r="C263" s="63" t="s">
        <v>79</v>
      </c>
      <c r="D263" s="9">
        <f t="shared" si="59"/>
        <v>0</v>
      </c>
      <c r="E263" s="1" t="str">
        <f t="shared" si="56"/>
        <v>Low</v>
      </c>
      <c r="G263" s="9">
        <f t="shared" si="60"/>
        <v>0</v>
      </c>
      <c r="H263" s="1" t="str">
        <f t="shared" si="57"/>
        <v>Low</v>
      </c>
      <c r="J263" s="9">
        <f t="shared" si="61"/>
        <v>0</v>
      </c>
      <c r="K263" s="1" t="str">
        <f t="shared" si="58"/>
        <v>Low</v>
      </c>
      <c r="O263" s="61"/>
      <c r="P263" s="63" t="s">
        <v>79</v>
      </c>
      <c r="Q263" s="65">
        <v>6</v>
      </c>
      <c r="R263" s="66">
        <v>171348</v>
      </c>
      <c r="S263" s="66">
        <v>235084</v>
      </c>
      <c r="T263" s="66">
        <v>298820</v>
      </c>
    </row>
    <row r="264" spans="1:20" ht="13.5" thickBot="1" x14ac:dyDescent="0.25">
      <c r="A264" s="10"/>
      <c r="B264" s="10"/>
      <c r="C264" s="30" t="s">
        <v>80</v>
      </c>
      <c r="D264" s="12">
        <f t="shared" si="59"/>
        <v>0</v>
      </c>
      <c r="E264" s="2" t="str">
        <f t="shared" si="56"/>
        <v>Low</v>
      </c>
      <c r="F264" s="10"/>
      <c r="G264" s="12">
        <f t="shared" si="60"/>
        <v>0</v>
      </c>
      <c r="H264" s="2" t="str">
        <f t="shared" si="57"/>
        <v>Low</v>
      </c>
      <c r="I264" s="10"/>
      <c r="J264" s="12">
        <f t="shared" si="61"/>
        <v>0</v>
      </c>
      <c r="K264" s="2" t="str">
        <f t="shared" si="58"/>
        <v>Low</v>
      </c>
      <c r="O264" s="61"/>
      <c r="P264" s="63" t="s">
        <v>80</v>
      </c>
      <c r="Q264" s="65">
        <v>2</v>
      </c>
      <c r="R264" s="66">
        <v>165273</v>
      </c>
      <c r="S264" s="66">
        <v>240402</v>
      </c>
      <c r="T264" s="66">
        <v>315531</v>
      </c>
    </row>
    <row r="265" spans="1:20" ht="12.75" customHeight="1" x14ac:dyDescent="0.2">
      <c r="A265" s="8" t="s">
        <v>88</v>
      </c>
      <c r="O265" s="74" t="s">
        <v>78</v>
      </c>
      <c r="P265" s="74"/>
      <c r="Q265" s="74"/>
      <c r="R265" s="74"/>
      <c r="S265" s="74"/>
      <c r="T265" s="74"/>
    </row>
    <row r="266" spans="1:20" x14ac:dyDescent="0.2">
      <c r="A266" s="8" t="s">
        <v>89</v>
      </c>
    </row>
  </sheetData>
  <sheetProtection password="DF87" sheet="1" objects="1" scenarios="1"/>
  <mergeCells count="69">
    <mergeCell ref="A1:A2"/>
    <mergeCell ref="D1:M1"/>
    <mergeCell ref="D2:E2"/>
    <mergeCell ref="F2:G2"/>
    <mergeCell ref="H2:I2"/>
    <mergeCell ref="J2:K2"/>
    <mergeCell ref="L2:M2"/>
    <mergeCell ref="A63:A65"/>
    <mergeCell ref="B63:K63"/>
    <mergeCell ref="F64:F65"/>
    <mergeCell ref="I64:I65"/>
    <mergeCell ref="D65:E65"/>
    <mergeCell ref="G65:H65"/>
    <mergeCell ref="J65:K65"/>
    <mergeCell ref="A128:A129"/>
    <mergeCell ref="D129:M129"/>
    <mergeCell ref="A130:A131"/>
    <mergeCell ref="D130:E130"/>
    <mergeCell ref="F130:G130"/>
    <mergeCell ref="H130:I130"/>
    <mergeCell ref="J130:K130"/>
    <mergeCell ref="L130:M130"/>
    <mergeCell ref="A192:A193"/>
    <mergeCell ref="D192:M192"/>
    <mergeCell ref="D193:E193"/>
    <mergeCell ref="F193:G193"/>
    <mergeCell ref="H193:I193"/>
    <mergeCell ref="J193:K193"/>
    <mergeCell ref="L193:M193"/>
    <mergeCell ref="O265:T265"/>
    <mergeCell ref="O252:T252"/>
    <mergeCell ref="O253:T253"/>
    <mergeCell ref="A232:A233"/>
    <mergeCell ref="D232:M232"/>
    <mergeCell ref="D233:E233"/>
    <mergeCell ref="F233:G233"/>
    <mergeCell ref="H233:I233"/>
    <mergeCell ref="J233:K233"/>
    <mergeCell ref="L233:M233"/>
    <mergeCell ref="O232:V232"/>
    <mergeCell ref="O233:V233"/>
    <mergeCell ref="O247:V247"/>
    <mergeCell ref="O210:V210"/>
    <mergeCell ref="O211:V211"/>
    <mergeCell ref="O225:V225"/>
    <mergeCell ref="D251:K251"/>
    <mergeCell ref="A252:A253"/>
    <mergeCell ref="F252:F253"/>
    <mergeCell ref="I252:I253"/>
    <mergeCell ref="D253:E253"/>
    <mergeCell ref="L211:M211"/>
    <mergeCell ref="A210:A211"/>
    <mergeCell ref="D210:M210"/>
    <mergeCell ref="D211:E211"/>
    <mergeCell ref="F211:G211"/>
    <mergeCell ref="H211:I211"/>
    <mergeCell ref="J211:K211"/>
    <mergeCell ref="O123:V123"/>
    <mergeCell ref="O129:V129"/>
    <mergeCell ref="O130:V130"/>
    <mergeCell ref="O188:V188"/>
    <mergeCell ref="O207:V207"/>
    <mergeCell ref="O192:V192"/>
    <mergeCell ref="O193:V193"/>
    <mergeCell ref="O1:V1"/>
    <mergeCell ref="O2:V2"/>
    <mergeCell ref="O60:V60"/>
    <mergeCell ref="O64:V64"/>
    <mergeCell ref="O65:V65"/>
  </mergeCells>
  <conditionalFormatting sqref="A224 A246">
    <cfRule type="expression" dxfId="104" priority="136">
      <formula>IF(XFD224&gt;0.95,XFD224&lt;1.05)</formula>
    </cfRule>
    <cfRule type="expression" dxfId="103" priority="137">
      <formula>XFD224&gt;1.05</formula>
    </cfRule>
    <cfRule type="expression" dxfId="102" priority="138">
      <formula>XFD224&lt;0.95</formula>
    </cfRule>
  </conditionalFormatting>
  <conditionalFormatting sqref="N68:N123">
    <cfRule type="expression" dxfId="101" priority="133">
      <formula>IF(M68&gt;0.95,M68&lt;1.05)</formula>
    </cfRule>
    <cfRule type="expression" dxfId="100" priority="134">
      <formula>M68&gt;1.05</formula>
    </cfRule>
    <cfRule type="expression" dxfId="99" priority="135">
      <formula>M68&lt;0.95</formula>
    </cfRule>
  </conditionalFormatting>
  <conditionalFormatting sqref="A187:B187">
    <cfRule type="expression" dxfId="98" priority="130">
      <formula>IF(XFD187&gt;0.95,XFD187&lt;1.05)</formula>
    </cfRule>
    <cfRule type="expression" dxfId="97" priority="131">
      <formula>XFD187&gt;1.05</formula>
    </cfRule>
    <cfRule type="expression" dxfId="96" priority="132">
      <formula>XFD187&lt;0.95</formula>
    </cfRule>
  </conditionalFormatting>
  <conditionalFormatting sqref="A206:B206">
    <cfRule type="expression" dxfId="95" priority="127">
      <formula>IF(XFD206&gt;0.95,XFD206&lt;1.05)</formula>
    </cfRule>
    <cfRule type="expression" dxfId="94" priority="128">
      <formula>XFD206&gt;1.05</formula>
    </cfRule>
    <cfRule type="expression" dxfId="93" priority="129">
      <formula>XFD206&lt;0.95</formula>
    </cfRule>
  </conditionalFormatting>
  <conditionalFormatting sqref="B224">
    <cfRule type="expression" dxfId="92" priority="124">
      <formula>IF(A224&gt;0.95,A224&lt;1.05)</formula>
    </cfRule>
    <cfRule type="expression" dxfId="91" priority="125">
      <formula>A224&gt;1.05</formula>
    </cfRule>
    <cfRule type="expression" dxfId="90" priority="126">
      <formula>A224&lt;0.95</formula>
    </cfRule>
  </conditionalFormatting>
  <conditionalFormatting sqref="B246">
    <cfRule type="expression" dxfId="89" priority="115">
      <formula>IF(A246&gt;0.95,A246&lt;1.05)</formula>
    </cfRule>
    <cfRule type="expression" dxfId="88" priority="116">
      <formula>A246&gt;1.05</formula>
    </cfRule>
    <cfRule type="expression" dxfId="87" priority="117">
      <formula>A246&lt;0.95</formula>
    </cfRule>
  </conditionalFormatting>
  <conditionalFormatting sqref="G4:G59 E255:E264 H255:H264 K255:K264">
    <cfRule type="expression" dxfId="86" priority="106">
      <formula>IF(D4&gt;0.949,D4&lt;1.051)</formula>
    </cfRule>
    <cfRule type="expression" dxfId="85" priority="107">
      <formula>D4&gt;1.05</formula>
    </cfRule>
    <cfRule type="expression" dxfId="84" priority="108">
      <formula>D4&lt;0.95</formula>
    </cfRule>
  </conditionalFormatting>
  <conditionalFormatting sqref="I4:I59">
    <cfRule type="expression" dxfId="83" priority="103">
      <formula>IF(H4&gt;0.949,H4&lt;1.051)</formula>
    </cfRule>
    <cfRule type="expression" dxfId="82" priority="104">
      <formula>H4&gt;1.05</formula>
    </cfRule>
    <cfRule type="expression" dxfId="81" priority="105">
      <formula>H4&lt;0.95</formula>
    </cfRule>
  </conditionalFormatting>
  <conditionalFormatting sqref="K4:K59">
    <cfRule type="expression" dxfId="80" priority="100">
      <formula>IF(J4&gt;0.949,J4&lt;1.051)</formula>
    </cfRule>
    <cfRule type="expression" dxfId="79" priority="101">
      <formula>J4&gt;1.05</formula>
    </cfRule>
    <cfRule type="expression" dxfId="78" priority="102">
      <formula>J4&lt;0.95</formula>
    </cfRule>
  </conditionalFormatting>
  <conditionalFormatting sqref="M4:M59">
    <cfRule type="expression" dxfId="77" priority="97">
      <formula>IF(L4&gt;0.949,L4&lt;1.051)</formula>
    </cfRule>
    <cfRule type="expression" dxfId="76" priority="98">
      <formula>L4&gt;1.05</formula>
    </cfRule>
    <cfRule type="expression" dxfId="75" priority="99">
      <formula>L4&lt;0.95</formula>
    </cfRule>
  </conditionalFormatting>
  <conditionalFormatting sqref="K67:K122">
    <cfRule type="expression" dxfId="74" priority="94">
      <formula>IF(J67&gt;0.949,J67&lt;1.051)</formula>
    </cfRule>
    <cfRule type="expression" dxfId="73" priority="95">
      <formula>J67&gt;1.05</formula>
    </cfRule>
    <cfRule type="expression" dxfId="72" priority="96">
      <formula>J67&lt;0.95</formula>
    </cfRule>
  </conditionalFormatting>
  <conditionalFormatting sqref="H67:H122">
    <cfRule type="expression" dxfId="71" priority="91">
      <formula>IF(G67&gt;0.949,G67&lt;1.051)</formula>
    </cfRule>
    <cfRule type="expression" dxfId="70" priority="92">
      <formula>G67&gt;1.05</formula>
    </cfRule>
    <cfRule type="expression" dxfId="69" priority="93">
      <formula>G67&lt;0.95</formula>
    </cfRule>
  </conditionalFormatting>
  <conditionalFormatting sqref="E67:E122">
    <cfRule type="expression" dxfId="68" priority="88">
      <formula>IF(D67&gt;0.949,D67&lt;1.051)</formula>
    </cfRule>
    <cfRule type="expression" dxfId="67" priority="89">
      <formula>D67&gt;1.05</formula>
    </cfRule>
    <cfRule type="expression" dxfId="66" priority="90">
      <formula>D67&lt;0.95</formula>
    </cfRule>
  </conditionalFormatting>
  <conditionalFormatting sqref="E133:E187">
    <cfRule type="expression" dxfId="65" priority="85">
      <formula>IF(D133&gt;0.949,D133&lt;1.051)</formula>
    </cfRule>
    <cfRule type="expression" dxfId="64" priority="86">
      <formula>D133&gt;1.05</formula>
    </cfRule>
    <cfRule type="expression" dxfId="63" priority="87">
      <formula>D133&lt;0.95</formula>
    </cfRule>
  </conditionalFormatting>
  <conditionalFormatting sqref="E132">
    <cfRule type="expression" dxfId="62" priority="82">
      <formula>IF(D132&gt;0.949,D132&lt;1.051)</formula>
    </cfRule>
    <cfRule type="expression" dxfId="61" priority="83">
      <formula>D132&gt;1.05</formula>
    </cfRule>
    <cfRule type="expression" dxfId="60" priority="84">
      <formula>D132&lt;0.95</formula>
    </cfRule>
  </conditionalFormatting>
  <conditionalFormatting sqref="G132:G187">
    <cfRule type="expression" dxfId="59" priority="79">
      <formula>IF(F132&gt;0.949,F132&lt;1.051)</formula>
    </cfRule>
    <cfRule type="expression" dxfId="58" priority="80">
      <formula>F132&gt;1.05</formula>
    </cfRule>
    <cfRule type="expression" dxfId="57" priority="81">
      <formula>F132&lt;0.95</formula>
    </cfRule>
  </conditionalFormatting>
  <conditionalFormatting sqref="I132:I187">
    <cfRule type="expression" dxfId="56" priority="76">
      <formula>IF(H132&gt;0.949,H132&lt;1.051)</formula>
    </cfRule>
    <cfRule type="expression" dxfId="55" priority="77">
      <formula>H132&gt;1.05</formula>
    </cfRule>
    <cfRule type="expression" dxfId="54" priority="78">
      <formula>H132&lt;0.95</formula>
    </cfRule>
  </conditionalFormatting>
  <conditionalFormatting sqref="K132:K187">
    <cfRule type="expression" dxfId="53" priority="73">
      <formula>IF(J132&gt;0.949,J132&lt;1.051)</formula>
    </cfRule>
    <cfRule type="expression" dxfId="52" priority="74">
      <formula>J132&gt;1.05</formula>
    </cfRule>
    <cfRule type="expression" dxfId="51" priority="75">
      <formula>J132&lt;0.95</formula>
    </cfRule>
  </conditionalFormatting>
  <conditionalFormatting sqref="M132:M187">
    <cfRule type="expression" dxfId="50" priority="70">
      <formula>IF(L132&gt;0.949,L132&lt;1.051)</formula>
    </cfRule>
    <cfRule type="expression" dxfId="49" priority="71">
      <formula>L132&gt;1.05</formula>
    </cfRule>
    <cfRule type="expression" dxfId="48" priority="72">
      <formula>L132&lt;0.95</formula>
    </cfRule>
  </conditionalFormatting>
  <conditionalFormatting sqref="M195:M206">
    <cfRule type="expression" dxfId="47" priority="67">
      <formula>IF(L195&gt;0.949,L195&lt;1.051)</formula>
    </cfRule>
    <cfRule type="expression" dxfId="46" priority="68">
      <formula>L195&gt;1.05</formula>
    </cfRule>
    <cfRule type="expression" dxfId="45" priority="69">
      <formula>L195&lt;0.95</formula>
    </cfRule>
  </conditionalFormatting>
  <conditionalFormatting sqref="K195:K206">
    <cfRule type="expression" dxfId="44" priority="64">
      <formula>IF(J195&gt;0.949,J195&lt;1.051)</formula>
    </cfRule>
    <cfRule type="expression" dxfId="43" priority="65">
      <formula>J195&gt;1.05</formula>
    </cfRule>
    <cfRule type="expression" dxfId="42" priority="66">
      <formula>J195&lt;0.95</formula>
    </cfRule>
  </conditionalFormatting>
  <conditionalFormatting sqref="M213:M224">
    <cfRule type="expression" dxfId="41" priority="61">
      <formula>IF(L213&gt;0.949,L213&lt;1.051)</formula>
    </cfRule>
    <cfRule type="expression" dxfId="40" priority="62">
      <formula>L213&gt;1.05</formula>
    </cfRule>
    <cfRule type="expression" dxfId="39" priority="63">
      <formula>L213&lt;0.95</formula>
    </cfRule>
  </conditionalFormatting>
  <conditionalFormatting sqref="K213:K224">
    <cfRule type="expression" dxfId="38" priority="58">
      <formula>IF(J213&gt;0.949,J213&lt;1.051)</formula>
    </cfRule>
    <cfRule type="expression" dxfId="37" priority="59">
      <formula>J213&gt;1.05</formula>
    </cfRule>
    <cfRule type="expression" dxfId="36" priority="60">
      <formula>J213&lt;0.95</formula>
    </cfRule>
  </conditionalFormatting>
  <conditionalFormatting sqref="I213:I224">
    <cfRule type="expression" dxfId="35" priority="55">
      <formula>IF(H213&gt;0.949,H213&lt;1.051)</formula>
    </cfRule>
    <cfRule type="expression" dxfId="34" priority="56">
      <formula>H213&gt;1.05</formula>
    </cfRule>
    <cfRule type="expression" dxfId="33" priority="57">
      <formula>H213&lt;0.95</formula>
    </cfRule>
  </conditionalFormatting>
  <conditionalFormatting sqref="I195:I206">
    <cfRule type="expression" dxfId="32" priority="52">
      <formula>IF(H195&gt;0.949,H195&lt;1.051)</formula>
    </cfRule>
    <cfRule type="expression" dxfId="31" priority="53">
      <formula>H195&gt;1.05</formula>
    </cfRule>
    <cfRule type="expression" dxfId="30" priority="54">
      <formula>H195&lt;0.95</formula>
    </cfRule>
  </conditionalFormatting>
  <conditionalFormatting sqref="G195:G206">
    <cfRule type="expression" dxfId="29" priority="49">
      <formula>IF(F195&gt;0.949,F195&lt;1.051)</formula>
    </cfRule>
    <cfRule type="expression" dxfId="28" priority="50">
      <formula>F195&gt;1.05</formula>
    </cfRule>
    <cfRule type="expression" dxfId="27" priority="51">
      <formula>F195&lt;0.95</formula>
    </cfRule>
  </conditionalFormatting>
  <conditionalFormatting sqref="G213:G224">
    <cfRule type="expression" dxfId="26" priority="46">
      <formula>IF(F213&gt;0.949,F213&lt;1.051)</formula>
    </cfRule>
    <cfRule type="expression" dxfId="25" priority="47">
      <formula>F213&gt;1.05</formula>
    </cfRule>
    <cfRule type="expression" dxfId="24" priority="48">
      <formula>F213&lt;0.95</formula>
    </cfRule>
  </conditionalFormatting>
  <conditionalFormatting sqref="E213:E224">
    <cfRule type="expression" dxfId="23" priority="43">
      <formula>IF(D213&gt;0.949,D213&lt;1.051)</formula>
    </cfRule>
    <cfRule type="expression" dxfId="22" priority="44">
      <formula>D213&gt;1.05</formula>
    </cfRule>
    <cfRule type="expression" dxfId="21" priority="45">
      <formula>D213&lt;0.95</formula>
    </cfRule>
  </conditionalFormatting>
  <conditionalFormatting sqref="E195:E206">
    <cfRule type="expression" dxfId="20" priority="40">
      <formula>IF(D195&gt;0.949,D195&lt;1.051)</formula>
    </cfRule>
    <cfRule type="expression" dxfId="19" priority="41">
      <formula>D195&gt;1.05</formula>
    </cfRule>
    <cfRule type="expression" dxfId="18" priority="42">
      <formula>D195&lt;0.95</formula>
    </cfRule>
  </conditionalFormatting>
  <conditionalFormatting sqref="M235:M246">
    <cfRule type="expression" dxfId="17" priority="22">
      <formula>IF(L235&gt;0.949,L235&lt;1.051)</formula>
    </cfRule>
    <cfRule type="expression" dxfId="16" priority="23">
      <formula>L235&gt;1.05</formula>
    </cfRule>
    <cfRule type="expression" dxfId="15" priority="24">
      <formula>L235&lt;0.95</formula>
    </cfRule>
  </conditionalFormatting>
  <conditionalFormatting sqref="I235:I246">
    <cfRule type="expression" dxfId="14" priority="19">
      <formula>IF(H235&gt;0.949,H235&lt;1.051)</formula>
    </cfRule>
    <cfRule type="expression" dxfId="13" priority="20">
      <formula>H235&gt;1.05</formula>
    </cfRule>
    <cfRule type="expression" dxfId="12" priority="21">
      <formula>H235&lt;0.95</formula>
    </cfRule>
  </conditionalFormatting>
  <conditionalFormatting sqref="K235:K246">
    <cfRule type="expression" dxfId="11" priority="16">
      <formula>IF(J235&gt;0.949,J235&lt;1.051)</formula>
    </cfRule>
    <cfRule type="expression" dxfId="10" priority="17">
      <formula>J235&gt;1.05</formula>
    </cfRule>
    <cfRule type="expression" dxfId="9" priority="18">
      <formula>J235&lt;0.95</formula>
    </cfRule>
  </conditionalFormatting>
  <conditionalFormatting sqref="G235:G246">
    <cfRule type="expression" dxfId="8" priority="13">
      <formula>IF(F235&gt;0.949,F235&lt;1.051)</formula>
    </cfRule>
    <cfRule type="expression" dxfId="7" priority="14">
      <formula>F235&gt;1.05</formula>
    </cfRule>
    <cfRule type="expression" dxfId="6" priority="15">
      <formula>F235&lt;0.95</formula>
    </cfRule>
  </conditionalFormatting>
  <conditionalFormatting sqref="E235:E246">
    <cfRule type="expression" dxfId="5" priority="10">
      <formula>IF(D235&gt;0.949,D235&lt;1.051)</formula>
    </cfRule>
    <cfRule type="expression" dxfId="4" priority="11">
      <formula>D235&gt;1.05</formula>
    </cfRule>
    <cfRule type="expression" dxfId="3" priority="12">
      <formula>D235&lt;0.95</formula>
    </cfRule>
  </conditionalFormatting>
  <conditionalFormatting sqref="E4:E59">
    <cfRule type="expression" dxfId="2" priority="109">
      <formula>IF(D4&gt;0.949,D4&lt;1.051)</formula>
    </cfRule>
    <cfRule type="expression" dxfId="1" priority="110">
      <formula>D4&gt;1.05</formula>
    </cfRule>
    <cfRule type="expression" dxfId="0" priority="111">
      <formula>D4&lt;0.95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XYZ</vt:lpstr>
    </vt:vector>
  </TitlesOfParts>
  <Company>Credit Union National Association,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 Soltis</dc:creator>
  <cp:lastModifiedBy>Beth Soltis</cp:lastModifiedBy>
  <cp:lastPrinted>2012-10-11T12:41:40Z</cp:lastPrinted>
  <dcterms:created xsi:type="dcterms:W3CDTF">2011-08-30T18:38:56Z</dcterms:created>
  <dcterms:modified xsi:type="dcterms:W3CDTF">2013-01-22T18:41:13Z</dcterms:modified>
</cp:coreProperties>
</file>