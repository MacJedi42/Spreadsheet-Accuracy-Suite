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350" yWindow="1080" windowWidth="15480" windowHeight="9735" tabRatio="965"/>
  </bookViews>
  <sheets>
    <sheet name="Chapter Scoring Tool" sheetId="19" r:id="rId1"/>
    <sheet name="F Fraternity" sheetId="17" r:id="rId2"/>
    <sheet name="FC Financial Commitment" sheetId="10" r:id="rId3"/>
    <sheet name="PC Personal Conduct" sheetId="11" r:id="rId4"/>
    <sheet name="L Leadership" sheetId="12" r:id="rId5"/>
    <sheet name="S Scholarship" sheetId="13" r:id="rId6"/>
    <sheet name="CR Collegiate-Comm Relations" sheetId="14" r:id="rId7"/>
    <sheet name="PD Pers Development" sheetId="15" r:id="rId8"/>
    <sheet name="IS Intl Support" sheetId="16" r:id="rId9"/>
  </sheets>
  <definedNames>
    <definedName name="_xlnm.Print_Area" localSheetId="0">'Chapter Scoring Tool'!$A$1:$I$76</definedName>
    <definedName name="_xlnm.Print_Area" localSheetId="6">'CR Collegiate-Comm Relations'!$A$1:$S$16</definedName>
    <definedName name="_xlnm.Print_Area" localSheetId="1">'F Fraternity'!$A$1:$S$16</definedName>
    <definedName name="_xlnm.Print_Area" localSheetId="2">'FC Financial Commitment'!$A$1:$Q$16</definedName>
    <definedName name="_xlnm.Print_Area" localSheetId="8">'IS Intl Support'!$A$1:$S$14</definedName>
    <definedName name="_xlnm.Print_Area" localSheetId="4">'L Leadership'!$A$1:$S$15</definedName>
    <definedName name="_xlnm.Print_Area" localSheetId="3">'PC Personal Conduct'!$A$1:$S$16</definedName>
    <definedName name="_xlnm.Print_Area" localSheetId="7">'PD Pers Development'!$A$1:$S$15</definedName>
    <definedName name="_xlnm.Print_Area" localSheetId="5">'S Scholarship'!$A$1:$S$16</definedName>
  </definedNames>
  <calcPr calcId="125725"/>
</workbook>
</file>

<file path=xl/calcChain.xml><?xml version="1.0" encoding="utf-8"?>
<calcChain xmlns="http://schemas.openxmlformats.org/spreadsheetml/2006/main">
  <c r="D67" i="19"/>
  <c r="G71" s="1"/>
  <c r="G61" l="1"/>
  <c r="G62"/>
  <c r="G63"/>
  <c r="G64"/>
  <c r="G60"/>
  <c r="G65" s="1"/>
  <c r="E61"/>
  <c r="E62"/>
  <c r="E63"/>
  <c r="E64"/>
  <c r="E60"/>
  <c r="G54"/>
  <c r="G55"/>
  <c r="G56"/>
  <c r="G57"/>
  <c r="G53"/>
  <c r="E54"/>
  <c r="E55"/>
  <c r="E56"/>
  <c r="E57"/>
  <c r="E53"/>
  <c r="G44"/>
  <c r="G45"/>
  <c r="G46"/>
  <c r="G47"/>
  <c r="G48"/>
  <c r="G49"/>
  <c r="G50"/>
  <c r="G43"/>
  <c r="E44"/>
  <c r="E45"/>
  <c r="E46"/>
  <c r="E47"/>
  <c r="E48"/>
  <c r="E49"/>
  <c r="E50"/>
  <c r="E43"/>
  <c r="G39"/>
  <c r="G40"/>
  <c r="G38"/>
  <c r="E39"/>
  <c r="E40"/>
  <c r="E38"/>
  <c r="C38"/>
  <c r="G32"/>
  <c r="G33"/>
  <c r="G34"/>
  <c r="G35"/>
  <c r="G31"/>
  <c r="E32"/>
  <c r="E33"/>
  <c r="E34"/>
  <c r="E35"/>
  <c r="E31"/>
  <c r="E36" s="1"/>
  <c r="G27"/>
  <c r="G28"/>
  <c r="G26"/>
  <c r="E27"/>
  <c r="E28"/>
  <c r="E26"/>
  <c r="E29" s="1"/>
  <c r="G20"/>
  <c r="G21"/>
  <c r="G22"/>
  <c r="G23"/>
  <c r="G19"/>
  <c r="E20"/>
  <c r="E21"/>
  <c r="E22"/>
  <c r="E23"/>
  <c r="E19"/>
  <c r="E24" s="1"/>
  <c r="G11"/>
  <c r="G12"/>
  <c r="G13"/>
  <c r="G14"/>
  <c r="G15"/>
  <c r="G16"/>
  <c r="G10"/>
  <c r="E11"/>
  <c r="E12"/>
  <c r="E13"/>
  <c r="E14"/>
  <c r="E15"/>
  <c r="E16"/>
  <c r="E10"/>
  <c r="E17" s="1"/>
  <c r="H65"/>
  <c r="H58"/>
  <c r="H51"/>
  <c r="H41"/>
  <c r="H36"/>
  <c r="H29"/>
  <c r="H24"/>
  <c r="H17"/>
  <c r="G24"/>
  <c r="F24"/>
  <c r="F29"/>
  <c r="F36"/>
  <c r="F41"/>
  <c r="F51"/>
  <c r="F58"/>
  <c r="F65"/>
  <c r="F17"/>
  <c r="C64"/>
  <c r="B64"/>
  <c r="C63"/>
  <c r="B63"/>
  <c r="C62"/>
  <c r="B62"/>
  <c r="C61"/>
  <c r="B61"/>
  <c r="C60"/>
  <c r="B60"/>
  <c r="C57"/>
  <c r="B57"/>
  <c r="C56"/>
  <c r="B56"/>
  <c r="C55"/>
  <c r="B55"/>
  <c r="C54"/>
  <c r="B54"/>
  <c r="C53"/>
  <c r="B53"/>
  <c r="C50"/>
  <c r="B50"/>
  <c r="C49"/>
  <c r="B49"/>
  <c r="C48"/>
  <c r="B48"/>
  <c r="C47"/>
  <c r="B47"/>
  <c r="C46"/>
  <c r="B46"/>
  <c r="C45"/>
  <c r="B45"/>
  <c r="C44"/>
  <c r="B44"/>
  <c r="C43"/>
  <c r="B43"/>
  <c r="C40"/>
  <c r="B40"/>
  <c r="C39"/>
  <c r="B39"/>
  <c r="B38"/>
  <c r="C35"/>
  <c r="B35"/>
  <c r="C34"/>
  <c r="B34"/>
  <c r="C33"/>
  <c r="B33"/>
  <c r="C32"/>
  <c r="B32"/>
  <c r="C31"/>
  <c r="B31"/>
  <c r="C28"/>
  <c r="B28"/>
  <c r="C27"/>
  <c r="B27"/>
  <c r="C26"/>
  <c r="B26"/>
  <c r="C23"/>
  <c r="B23"/>
  <c r="C22"/>
  <c r="B22"/>
  <c r="C21"/>
  <c r="B21"/>
  <c r="C20"/>
  <c r="B20"/>
  <c r="C19"/>
  <c r="B19"/>
  <c r="C16"/>
  <c r="B16"/>
  <c r="C15"/>
  <c r="B15"/>
  <c r="C14"/>
  <c r="B14"/>
  <c r="C13"/>
  <c r="B13"/>
  <c r="C12"/>
  <c r="B12"/>
  <c r="C11"/>
  <c r="B11"/>
  <c r="C10"/>
  <c r="B10"/>
  <c r="E41" l="1"/>
  <c r="G51"/>
  <c r="E65"/>
  <c r="F67"/>
  <c r="G36"/>
  <c r="E51"/>
  <c r="G17"/>
  <c r="G29"/>
  <c r="G58"/>
  <c r="H67"/>
  <c r="G41"/>
  <c r="E58"/>
  <c r="E67" s="1"/>
  <c r="F69" l="1"/>
  <c r="G67"/>
  <c r="F70" s="1"/>
  <c r="F71" l="1"/>
</calcChain>
</file>

<file path=xl/sharedStrings.xml><?xml version="1.0" encoding="utf-8"?>
<sst xmlns="http://schemas.openxmlformats.org/spreadsheetml/2006/main" count="624" uniqueCount="308">
  <si>
    <t>75% or more of active Chapter members are members of another campus organization</t>
  </si>
  <si>
    <t>A Chapter representative meets with the Greek Advisor at least once per month to discuss their office, Chapter operations, or another Fraternity/Chapter related topic</t>
  </si>
  <si>
    <t>F1</t>
  </si>
  <si>
    <t>F2</t>
  </si>
  <si>
    <t>F3</t>
  </si>
  <si>
    <t>F4</t>
  </si>
  <si>
    <t>F5</t>
  </si>
  <si>
    <t>F6</t>
  </si>
  <si>
    <t>F7</t>
  </si>
  <si>
    <t>FC1</t>
  </si>
  <si>
    <t>FC2</t>
  </si>
  <si>
    <t>FC3</t>
  </si>
  <si>
    <t>FC4</t>
  </si>
  <si>
    <t>FC5</t>
  </si>
  <si>
    <t>PC1</t>
  </si>
  <si>
    <t>PC2</t>
  </si>
  <si>
    <t>PC3</t>
  </si>
  <si>
    <t>L1</t>
  </si>
  <si>
    <t>L2</t>
  </si>
  <si>
    <t>L3</t>
  </si>
  <si>
    <t>L4</t>
  </si>
  <si>
    <t>L5</t>
  </si>
  <si>
    <t>S1</t>
  </si>
  <si>
    <t>S2</t>
  </si>
  <si>
    <t>S3</t>
  </si>
  <si>
    <t>CR1</t>
  </si>
  <si>
    <t>CR2</t>
  </si>
  <si>
    <t>CR3</t>
  </si>
  <si>
    <t>CR4</t>
  </si>
  <si>
    <t>CR5</t>
  </si>
  <si>
    <t>CR6</t>
  </si>
  <si>
    <t>CR7</t>
  </si>
  <si>
    <t>CR8</t>
  </si>
  <si>
    <t>PD1</t>
  </si>
  <si>
    <t>PD2</t>
  </si>
  <si>
    <t>PD3</t>
  </si>
  <si>
    <t>PD4</t>
  </si>
  <si>
    <t>PD5</t>
  </si>
  <si>
    <t>IS1</t>
  </si>
  <si>
    <t>IS2</t>
  </si>
  <si>
    <t>IS3</t>
  </si>
  <si>
    <t>IS4</t>
  </si>
  <si>
    <t>IS5</t>
  </si>
  <si>
    <t>Fraternity</t>
  </si>
  <si>
    <t>Financial Commitment</t>
  </si>
  <si>
    <t>Personal Conduct</t>
  </si>
  <si>
    <t>Leadership</t>
  </si>
  <si>
    <t>Scholarship</t>
  </si>
  <si>
    <t>Collegiate-Community Relations</t>
  </si>
  <si>
    <t>Personal Development</t>
  </si>
  <si>
    <t>International Support</t>
  </si>
  <si>
    <t>Develop and update a strategic plan including SWOT analysis, mission statement and SMART goals.</t>
  </si>
  <si>
    <t>Chapter Financial Commitments</t>
  </si>
  <si>
    <t>Financial Planning &amp; Management</t>
  </si>
  <si>
    <t>Financial Reporting</t>
  </si>
  <si>
    <t>Personal Financial Commitments</t>
  </si>
  <si>
    <t>Fall/Spring</t>
  </si>
  <si>
    <t>Templates</t>
  </si>
  <si>
    <t>CA
Verif.</t>
  </si>
  <si>
    <t>GA/UO
Verif.</t>
  </si>
  <si>
    <t>IFC
Verif.</t>
  </si>
  <si>
    <t>Written
Descript.</t>
  </si>
  <si>
    <t>Other</t>
  </si>
  <si>
    <t>Chapter submits income statements and balance sheets on a monthly basis</t>
  </si>
  <si>
    <t>Spring</t>
  </si>
  <si>
    <t>Web link; comments/ guidance on rules</t>
  </si>
  <si>
    <t>Copy of Form 990</t>
  </si>
  <si>
    <t>Chapter uses a 3rd party financial mgt. service (i.e. Omega Fi, Greek Bill, Bill Highway or a CPA firm)</t>
  </si>
  <si>
    <t>Chapter has an Accounts Receivable (among its members) less than 5% of total amt. owed as of May 1st.</t>
  </si>
  <si>
    <t>Monthly statements (using templates)</t>
  </si>
  <si>
    <t>Chapter has a written policy/process in bylaws to address delinquent payments by members.</t>
  </si>
  <si>
    <t>X</t>
  </si>
  <si>
    <t>Regulatory Compliance</t>
  </si>
  <si>
    <t>Accountability</t>
  </si>
  <si>
    <t>Risk Management</t>
  </si>
  <si>
    <t>Chapter has a Judicial Board process described in their bylaws and uses it to adjudicate issues with members.</t>
  </si>
  <si>
    <t>Chapter complies with all Phi Kappa Sigma and University Risk Management policies/guidelines; Chapter submits an Officer Compliance Form to HQ in September.</t>
  </si>
  <si>
    <t>Sample Bylaws</t>
  </si>
  <si>
    <t>Notes:</t>
  </si>
  <si>
    <t>1.</t>
  </si>
  <si>
    <t>Chapter has no "Show Cause" incidents for the year.</t>
  </si>
  <si>
    <t>Conduct</t>
  </si>
  <si>
    <t>Fall</t>
  </si>
  <si>
    <t>Strategic Planning</t>
  </si>
  <si>
    <t>Continuity</t>
  </si>
  <si>
    <t>Advising Structure</t>
  </si>
  <si>
    <t>Written Plans</t>
  </si>
  <si>
    <t>Officers maintain officer notebooks addressing roles/responsibilities, action plans and notes on lessons learned.</t>
  </si>
  <si>
    <t>Chapter conducts an Officer Training and Transition Retreat after officer elections.</t>
  </si>
  <si>
    <t>Sample retreat agendas/transition forms</t>
  </si>
  <si>
    <t>Chapter Organization</t>
  </si>
  <si>
    <t>Chapter conducts at least one (1) planning retreat each year.</t>
  </si>
  <si>
    <t>Chapter Executive Committee conducts weekly meetings during the academic year.</t>
  </si>
  <si>
    <t>Chapter has at least 80% attendance at all meetings.</t>
  </si>
  <si>
    <t>Academic Performance</t>
  </si>
  <si>
    <t>Programming</t>
  </si>
  <si>
    <t>PKS Scholarships</t>
  </si>
  <si>
    <t>At least one (1) member applies for a PKS Foundation scholarship</t>
  </si>
  <si>
    <t>Submit academic program description and chapter budget.</t>
  </si>
  <si>
    <t>Chapter bylaws make provision for a mandatory academic mentoring program for those below a 2.5 GPA.</t>
  </si>
  <si>
    <t>Scholarship applications</t>
  </si>
  <si>
    <t>Arches Membership Development Guide</t>
  </si>
  <si>
    <t>Philanthropy</t>
  </si>
  <si>
    <t>Community Service</t>
  </si>
  <si>
    <t>Support for International Partners</t>
  </si>
  <si>
    <t>College/University Relations</t>
  </si>
  <si>
    <t>IFC/Greek Council Relations</t>
  </si>
  <si>
    <t>Campus Community Relations</t>
  </si>
  <si>
    <t>Chapter sponsors at least one event benefiting the Leukemia and Lymphoma Society</t>
  </si>
  <si>
    <t>Intramural Sports</t>
  </si>
  <si>
    <t>Chapter fields at least two officially sanctioned intramural teams per year</t>
  </si>
  <si>
    <t>Properly-Programmed Events</t>
  </si>
  <si>
    <t>Chapter uses campus media outlets for positive messaging regarding recruitment, philanthropy, community service events.</t>
  </si>
  <si>
    <t>50% or more of active Chapter members are members of another campus organization</t>
  </si>
  <si>
    <t>Chapter performs at least 16 hours of service per man during the year.</t>
  </si>
  <si>
    <t>Organization rosters, web page prints</t>
  </si>
  <si>
    <t>Event planning forms, flyers, photos</t>
  </si>
  <si>
    <t>GreekLife.edu</t>
  </si>
  <si>
    <t>Communications</t>
  </si>
  <si>
    <t>Reporting</t>
  </si>
  <si>
    <t>Member Referrals</t>
  </si>
  <si>
    <t>Prior HQ approval</t>
  </si>
  <si>
    <t>Volunteering/Support</t>
  </si>
  <si>
    <t>Recruitment</t>
  </si>
  <si>
    <t>New Member Education</t>
  </si>
  <si>
    <t>Ritual</t>
  </si>
  <si>
    <t>Brotherhood</t>
  </si>
  <si>
    <t>Alumni Relations</t>
  </si>
  <si>
    <t>Chapter uses the Pillars New Member Education program to educate all New Members.</t>
  </si>
  <si>
    <t>Chapter has a written year-round recruitment plan.</t>
  </si>
  <si>
    <t>Chapter Growth</t>
  </si>
  <si>
    <t>Chapter has a recruitment committee established in the Chapter bylaws.</t>
  </si>
  <si>
    <t>List of dates, events</t>
  </si>
  <si>
    <t>Sample program materials</t>
  </si>
  <si>
    <t>Book of Ceremonies, other material re: Ritual</t>
  </si>
  <si>
    <t>Alumni Relations Manual</t>
  </si>
  <si>
    <t>Ideas for Brotherhood Building Activities</t>
  </si>
  <si>
    <t>Officer Compliance Form, Sample Presentations</t>
  </si>
  <si>
    <t>Chapter tracks budget and income/expenses using spreadsheets or other software (i.e. Quickbooks).</t>
  </si>
  <si>
    <t>Chapter provides ongoing (2 or more times/year) formal recruitment training for Members/New Members.</t>
  </si>
  <si>
    <t>Year-round plan should be based on Foundations Recruitment Manual or Phired Up Dynamic Recruitment techniques. Maintain names list year-round, etc.</t>
  </si>
  <si>
    <t>Sample presentations</t>
  </si>
  <si>
    <t>GLEdu Instructions</t>
  </si>
  <si>
    <t>Scepter Program Guide</t>
  </si>
  <si>
    <t>Guide/svc. ideas</t>
  </si>
  <si>
    <t>Guide/event ideas</t>
  </si>
  <si>
    <t>Event planning guide</t>
  </si>
  <si>
    <t>Officer Guide</t>
  </si>
  <si>
    <t>Contact information, letter from Faculty Advisor</t>
  </si>
  <si>
    <t>For each member receiving awards/recognition for citizenship, honorable actions in the community, etc.</t>
  </si>
  <si>
    <t>Active Chapter size is equal to or above 40 or the average campus size (whichever is greater).</t>
  </si>
  <si>
    <t>HQ
Verif.</t>
  </si>
  <si>
    <t>Active Chapter size is equal to or above 20.</t>
  </si>
  <si>
    <t>Copy of Recruitment Plan; Bylaws;Training Program Materials</t>
  </si>
  <si>
    <t>Copy of contact list, award/presentation photos; event photos, copies of newsletters</t>
  </si>
  <si>
    <t>Chapter GPA (including Members and New Members) is equal to or greater than the All-Fraternity or All-Mens' average for the year.</t>
  </si>
  <si>
    <t>Program materials, confirmation of attendance</t>
  </si>
  <si>
    <t>Member Development Programming</t>
  </si>
  <si>
    <t>New members attend formal programming on recruitment, financial management, risk management or fire safety outside the chapter.</t>
  </si>
  <si>
    <r>
      <t xml:space="preserve">The number of NMs initiated is equal or above 30% of the Active Membership (based on # of actives at the beginning of each academic year) for the year </t>
    </r>
    <r>
      <rPr>
        <i/>
        <sz val="10"/>
        <rFont val="Arial"/>
        <family val="2"/>
      </rPr>
      <t>(e.g. if the Chapter started the year with 30 active members and initiated 9 new members by the end of the year they would have met the 30% growth goal)</t>
    </r>
  </si>
  <si>
    <r>
      <t xml:space="preserve">Total NM's for year is equal to or greater than 20 or average campus size </t>
    </r>
    <r>
      <rPr>
        <i/>
        <sz val="10"/>
        <rFont val="Arial"/>
        <family val="2"/>
      </rPr>
      <t>(whichever is greater)</t>
    </r>
  </si>
  <si>
    <r>
      <t xml:space="preserve">Chapter serves as a “Big Brother Chapter” for a Colony </t>
    </r>
    <r>
      <rPr>
        <i/>
        <sz val="10"/>
        <rFont val="Arial"/>
        <family val="2"/>
      </rPr>
      <t>(mentor officers and supervise New Member Education)</t>
    </r>
  </si>
  <si>
    <r>
      <t>Chapter sponsors at least two philanthropic events (</t>
    </r>
    <r>
      <rPr>
        <i/>
        <sz val="10"/>
        <rFont val="Arial"/>
        <family val="2"/>
      </rPr>
      <t>Instances of the word “sponsor” indicate that the Chapter is expected to plan, organize, and coordinate an event in the name of Phi Kappa Sigma.  Merely attending an event sponsored by someone else or another organization will not satisfy these items. “Non-sponsored” events can still count towards each individual member’s community service hours.</t>
    </r>
  </si>
  <si>
    <r>
      <t xml:space="preserve">Chapter submits all required information and documentation to the school when requested </t>
    </r>
    <r>
      <rPr>
        <i/>
        <sz val="10"/>
        <rFont val="Arial"/>
        <family val="2"/>
      </rPr>
      <t>(e.g. rosters, event planning forms, by-laws, certificate of insurance, etc.)</t>
    </r>
  </si>
  <si>
    <r>
      <t>A chapter representative attends all IFC/Greek Council meetings</t>
    </r>
    <r>
      <rPr>
        <i/>
        <sz val="10"/>
        <rFont val="Arial"/>
        <family val="2"/>
      </rPr>
      <t xml:space="preserve"> (one excused absence permitted)</t>
    </r>
    <r>
      <rPr>
        <sz val="10"/>
        <rFont val="Arial"/>
        <family val="2"/>
      </rPr>
      <t>.</t>
    </r>
  </si>
  <si>
    <r>
      <rPr>
        <sz val="10"/>
        <rFont val="Arial"/>
        <family val="2"/>
      </rPr>
      <t>Chapter has a program to reinforce Phi Kappa Sigma’s policies to all members</t>
    </r>
    <r>
      <rPr>
        <b/>
        <sz val="10"/>
        <rFont val="Arial"/>
        <family val="2"/>
      </rPr>
      <t xml:space="preserve"> </t>
    </r>
    <r>
      <rPr>
        <i/>
        <sz val="10"/>
        <rFont val="Arial"/>
        <family val="2"/>
      </rPr>
      <t>(e.g. taking time during weekly meetings to read a section of Phi Kappa Sigma’s Risk Management Policy, Constitution and Acts, Chapter By-Laws, etc. then briefly discussing its significance and how the Chapter and members can act on it)</t>
    </r>
  </si>
  <si>
    <t>Category</t>
  </si>
  <si>
    <t>Item No.</t>
  </si>
  <si>
    <t>Subtotal</t>
  </si>
  <si>
    <t>Performance Area</t>
  </si>
  <si>
    <t>Avail.</t>
  </si>
  <si>
    <t>Claimed</t>
  </si>
  <si>
    <t>Total Points</t>
  </si>
  <si>
    <t>Subtotal Points</t>
  </si>
  <si>
    <t>Remarks</t>
  </si>
  <si>
    <t>Coll.- Comm. Relations</t>
  </si>
  <si>
    <t>Intl. Support</t>
  </si>
  <si>
    <t>Documentation Requirements</t>
  </si>
  <si>
    <t>Points</t>
  </si>
  <si>
    <t>Std.</t>
  </si>
  <si>
    <t>Bonus</t>
  </si>
  <si>
    <t>Reporting
Time(s)</t>
  </si>
  <si>
    <t>Tools</t>
  </si>
  <si>
    <t>MCS 2011-2012 Summary</t>
  </si>
  <si>
    <t>Officer Compliance Form; Presentation materials, photos</t>
  </si>
  <si>
    <r>
      <t>Chapter has a program to promote scholarship among all members</t>
    </r>
    <r>
      <rPr>
        <i/>
        <sz val="10"/>
        <rFont val="Arial"/>
        <family val="2"/>
      </rPr>
      <t xml:space="preserve"> (e.g. using “Making the Grade”, “Grade Point League”, study tables, group/school support, incentive/point systems, etc.)</t>
    </r>
  </si>
  <si>
    <t>Officer Compliance Forms; Presentation materials, photos</t>
  </si>
  <si>
    <t>Chapter uses committee structure for recruitment, finance and philanthropy/community service as a minimum. Committee participation is mandatory under bylaws for 1st year after initiation.</t>
  </si>
  <si>
    <t>Officer transition forms, meeting notes;bylaws</t>
  </si>
  <si>
    <t>Copies of bylaws/goals/plans</t>
  </si>
  <si>
    <t>(Y/N)</t>
  </si>
  <si>
    <t>Tier 1</t>
  </si>
  <si>
    <t>Tier 3</t>
  </si>
  <si>
    <t>Active Chapter size is equal to or above 30.</t>
  </si>
  <si>
    <r>
      <t xml:space="preserve">Chapter conducts at least one Brotherhood Building Activity per month </t>
    </r>
    <r>
      <rPr>
        <i/>
        <sz val="10"/>
        <rFont val="Arial"/>
        <family val="2"/>
      </rPr>
      <t xml:space="preserve">(e.g. any sport/game the Chapter participates in together, Chapter meals/cookouts, movie/game night, Paintball, Ropes Course, etc.) </t>
    </r>
  </si>
  <si>
    <t xml:space="preserve">Chapter conducts at least two Brotherhood Building Activities per month </t>
  </si>
  <si>
    <t xml:space="preserve">Chapter conducts at least three Brotherhood Building Activities per month </t>
  </si>
  <si>
    <t>Chapter sponsors at least one properly-programmed alumni event each year.</t>
  </si>
  <si>
    <t>Chapter produces and distributes a newsletter once per year (electronic or hard copy) and maintains/submits to HQ a current alumni contact list.</t>
  </si>
  <si>
    <r>
      <t>Chapter maintains a formal alumni recognition program (i.e. alumnus of the year award).</t>
    </r>
    <r>
      <rPr>
        <i/>
        <sz val="10"/>
        <rFont val="Arial"/>
        <family val="2"/>
      </rPr>
      <t/>
    </r>
  </si>
  <si>
    <t>Chapter submits a budget at the beginning of each academic term</t>
  </si>
  <si>
    <t>Chapter creates/maintains a long-term capital/housing fund with minimum $25/member contribution per year.</t>
  </si>
  <si>
    <t>Chapter tracks all income/expenses against budget and maintains total expenses within budgeted amount and increases reserve account by $25/member per year. Chapter evaluates lessons learned and submits an annual report.</t>
  </si>
  <si>
    <t>Chapter New Members submit completed Membership Agreements to HQ prior to initiation.</t>
  </si>
  <si>
    <t>Chapter voluntarily sponsors risk management training for other campus organization(s). Training provided by qualified individual approved by HQ.</t>
  </si>
  <si>
    <t>Chapter conducts at least one (1) planning retreat each academic term.</t>
  </si>
  <si>
    <t>Chapter has a Chapter Advisor approved by HQ. Chapter Alpha communicates with the Chapter Advisor at least once per month.</t>
  </si>
  <si>
    <t>Chapter has an active Faculty Advisor appointed by the college/university. Either the Chapter Advisor or Faculty Advisor attends at least one (1) meeting per month.</t>
  </si>
  <si>
    <t>Chapter budgets for and provides cash awards or non-monetary incentives for academic performance and improvement (i.e. highest GPA, most improved GPA) each year.</t>
  </si>
  <si>
    <t>At least three (3) members apply for a PKS Foundation scholarship</t>
  </si>
  <si>
    <t>Chapter raises at least $2,500 for philanthropy.</t>
  </si>
  <si>
    <t>Chapter raises at least $500 for philanthropy</t>
  </si>
  <si>
    <t>Chapter performs at least 24 hours of service per man during the year.</t>
  </si>
  <si>
    <t>Chapter performs at least 32 hours of service per man during the year.</t>
  </si>
  <si>
    <t>A chapter member holds a leadership/officer position in the IFC.</t>
  </si>
  <si>
    <t>A chapter member participates in an IFC/Greek Council committee.</t>
  </si>
  <si>
    <t>Chapter fields at least five officially sanctioned intramural teams per year</t>
  </si>
  <si>
    <t>100% of active Chapter members are members of another campus organization</t>
  </si>
  <si>
    <r>
      <t>Chapter sponsors at least two properly programmed social events per year (</t>
    </r>
    <r>
      <rPr>
        <i/>
        <sz val="10"/>
        <rFont val="Arial"/>
        <family val="2"/>
      </rPr>
      <t>A “properly programmed event” is an activity planned and coordinated by the Chapter that complies with ALL Phi Kappa Sigma and School Policies regarding alcohol and risk management.  The event must be registered with the school.  In addition, events with alcohol must follow Phi Kappa Sigma’s Third Party Vendor Guidelines and the Event Planning Form must be sent to the International Headquarters 30 days prior to the event.)</t>
    </r>
  </si>
  <si>
    <t>Chapter sponsors a properly-programmed social event with another registered student organization.</t>
  </si>
  <si>
    <t>For each properly programmed parent event sponsored.</t>
  </si>
  <si>
    <t>Mentoring</t>
  </si>
  <si>
    <t>At least 3 chapter members attend the Men of Honor Leadership Institute or another Phi Kappa Sigma leadership program.</t>
  </si>
  <si>
    <t>Fraternal Leadership Programs</t>
  </si>
  <si>
    <r>
      <t xml:space="preserve">At least 1 chapter member attends a nationally-recognized fraternal (greek) leadership development program </t>
    </r>
    <r>
      <rPr>
        <i/>
        <sz val="10"/>
        <rFont val="Arial"/>
        <family val="2"/>
      </rPr>
      <t>(e.g.UIFI, NGLA, AFLV, SEIFC, etc.)</t>
    </r>
  </si>
  <si>
    <t>Non-Fraternal Leadership Programs</t>
  </si>
  <si>
    <t>At least three (3) chapter members attend a non-fraternal leadership retreat or conference (e.g. any non-greek sponsored leadership program).</t>
  </si>
  <si>
    <t>At least one (1) chapter member attends a non-fraternal leadership retreat or conference (e.g. any non-greek sponsored leadership program).</t>
  </si>
  <si>
    <t>At least five (5) chapter members attend a non-fraternal leadership retreat or conference (e.g. any non-greek sponsored leadership program).</t>
  </si>
  <si>
    <t>Chapter plans and conducts at least three (3) formal training sessions for Members (with at least 50% attendance) in time management, personal finance, conflict resolution, leadership styles, etiquette or other approved subject.</t>
  </si>
  <si>
    <t>Chapter plans and conducts at least one (1) formal training session for Members (with at least 50% attendance) in time management, personal finance, conflict resolution, leadership styles, etiquette or other approved subject.</t>
  </si>
  <si>
    <t xml:space="preserve">Chapter achieves at least 90% participation level of applicable members successfully  completing the GreekLife.Edu program      </t>
  </si>
  <si>
    <r>
      <t>Chapter distributes information sent from the International Headquarters that concerns the Chapter to all members</t>
    </r>
    <r>
      <rPr>
        <i/>
        <sz val="10"/>
        <rFont val="Arial"/>
        <family val="2"/>
      </rPr>
      <t xml:space="preserve"> (e.g. “Chapter Updates”)</t>
    </r>
  </si>
  <si>
    <t>Chapter maintains an active website or social media (i.e. Facebook) group with link to www.pks.org that is current to the present semester and does not contain inappropriate material or photos.</t>
  </si>
  <si>
    <t>Chapter has contact with the International Headquarters, Executive Committee Member, or their regional Grand Delta at least once a month (e-mail or telephone).</t>
  </si>
  <si>
    <t>Expansion/Recruitment Assistance</t>
  </si>
  <si>
    <r>
      <t xml:space="preserve">Chapter members go to another campus and actively recruit members of a Chapter, Interest Group or Colony </t>
    </r>
    <r>
      <rPr>
        <i/>
        <sz val="10"/>
        <rFont val="Arial"/>
        <family val="2"/>
      </rPr>
      <t>(a minimum of 4 Chapter members must participate).</t>
    </r>
  </si>
  <si>
    <t>Chapter refers at least one prospective member that is initiated at another Chapter (the Chapter must submit a referral form to the Int. HQ the term prior to the referral’s initiation to be eligible).</t>
  </si>
  <si>
    <t>Chapter refers at least three prospective member that are initiated at another Chapter (the Chapter must submit a referral form to the Int. HQ the term prior to the referral’s initiation to be eligible).</t>
  </si>
  <si>
    <t>At least one chapter member serves as a volunteer for International Fraternity programs, committees, events or other approved HQ initiative.</t>
  </si>
  <si>
    <t>At least 90% of the Chapter members have a 2.25 GPA for the academic year.</t>
  </si>
  <si>
    <t>Total NM's for year is equal to or greater than 15</t>
  </si>
  <si>
    <t>Chapter conducts weekly Chapter meetings during the academic year (based on an academic year calendar).</t>
  </si>
  <si>
    <t>Chapter Alumni sponsor scholarship for at least one active member in a minimum amount of $500.</t>
  </si>
  <si>
    <t>Chapter sponsors more than one event benefiting the Leukemia and Lymphoma Society.</t>
  </si>
  <si>
    <t xml:space="preserve">At least one chapter member attends the Men of Honor Leadership Institute and in Grand Chapter years at least one chapter member attends Grand Chapter. </t>
  </si>
  <si>
    <t>For 100% of applicable members successfully completing Greek Life Edu.</t>
  </si>
  <si>
    <t>xxxx Chapter - yyyy College/University</t>
  </si>
  <si>
    <r>
      <t xml:space="preserve">Chapter pays all bills within 30 days of invoice:
</t>
    </r>
    <r>
      <rPr>
        <i/>
        <sz val="10"/>
        <rFont val="Arial"/>
        <family val="2"/>
      </rPr>
      <t>·         Insurance due November 1
·         Undergraduate Fee due November 1
·         Chapter Assessment due February 15
·         Grand Chapter Assessment due February 15
·         NM Fees online within 2 wks of bid acceptance
·         Initiation Fees due  2 weeks prior to initiation.</t>
    </r>
  </si>
  <si>
    <t>Chapter completes &amp; submits IRS Form 990 if required.</t>
  </si>
  <si>
    <t>National volunteer or HQ Staff delivers formal Ritual Training Pgm once per year.</t>
  </si>
  <si>
    <t>Deleted (submission of meeting minutes/financial reports) - these are the documentation for other goals.</t>
  </si>
  <si>
    <r>
      <t xml:space="preserve">At least one (1) member participates in the Scepter Mentorship Program </t>
    </r>
    <r>
      <rPr>
        <i/>
        <sz val="10"/>
        <rFont val="Arial"/>
        <family val="2"/>
      </rPr>
      <t>(must be paired with a mentee and meet with them at least twice during the year)</t>
    </r>
  </si>
  <si>
    <r>
      <t xml:space="preserve">At least three (3) members participate in the Scepter Mentorship Program </t>
    </r>
    <r>
      <rPr>
        <i/>
        <sz val="10"/>
        <rFont val="Arial"/>
        <family val="2"/>
      </rPr>
      <t>(must be paired with a mentee and meet with them at least twice during the year)</t>
    </r>
  </si>
  <si>
    <t>Tier 1
Foundational Elements</t>
  </si>
  <si>
    <t>Secondary</t>
  </si>
  <si>
    <t>Primary</t>
  </si>
  <si>
    <t>Meeting minutes, List of dates of Ritual Meetings</t>
  </si>
  <si>
    <r>
      <rPr>
        <b/>
        <sz val="10"/>
        <rFont val="Arial"/>
        <family val="2"/>
      </rPr>
      <t xml:space="preserve">Tier 1: </t>
    </r>
    <r>
      <rPr>
        <sz val="10"/>
        <rFont val="Arial"/>
        <family val="2"/>
      </rPr>
      <t xml:space="preserve">Copy of Bylaws and reference to location of policy
</t>
    </r>
    <r>
      <rPr>
        <b/>
        <sz val="10"/>
        <rFont val="Arial"/>
        <family val="2"/>
      </rPr>
      <t>Tier 2:</t>
    </r>
    <r>
      <rPr>
        <sz val="10"/>
        <rFont val="Arial"/>
        <family val="2"/>
      </rPr>
      <t xml:space="preserve">monthly statements (using templates)
</t>
    </r>
    <r>
      <rPr>
        <b/>
        <sz val="10"/>
        <rFont val="Arial"/>
        <family val="2"/>
      </rPr>
      <t>Tier 3:</t>
    </r>
    <r>
      <rPr>
        <sz val="10"/>
        <rFont val="Arial"/>
        <family val="2"/>
      </rPr>
      <t>documentation indicating Chapter uses a 3rd Party Financial Service.</t>
    </r>
  </si>
  <si>
    <r>
      <rPr>
        <b/>
        <sz val="10"/>
        <rFont val="Arial"/>
        <family val="2"/>
      </rPr>
      <t xml:space="preserve">Tier 3: </t>
    </r>
    <r>
      <rPr>
        <sz val="10"/>
        <rFont val="Arial"/>
        <family val="2"/>
      </rPr>
      <t>Photos/copies of awards/citations</t>
    </r>
  </si>
  <si>
    <t xml:space="preserve">Tier 1: Copy of Bylaws with included reference to section  </t>
  </si>
  <si>
    <r>
      <rPr>
        <b/>
        <sz val="10"/>
        <rFont val="Arial"/>
        <family val="2"/>
      </rPr>
      <t xml:space="preserve">Tier 1: </t>
    </r>
    <r>
      <rPr>
        <sz val="10"/>
        <rFont val="Arial"/>
        <family val="2"/>
      </rPr>
      <t xml:space="preserve">Meeting Minutes
</t>
    </r>
    <r>
      <rPr>
        <b/>
        <sz val="10"/>
        <rFont val="Arial"/>
        <family val="2"/>
      </rPr>
      <t xml:space="preserve">Tier 2: </t>
    </r>
    <r>
      <rPr>
        <sz val="10"/>
        <rFont val="Arial"/>
        <family val="2"/>
      </rPr>
      <t xml:space="preserve">Exec. Comm Meeting Minutes
</t>
    </r>
    <r>
      <rPr>
        <b/>
        <sz val="10"/>
        <rFont val="Arial"/>
        <family val="2"/>
      </rPr>
      <t xml:space="preserve">Tier 3: </t>
    </r>
    <r>
      <rPr>
        <sz val="10"/>
        <rFont val="Arial"/>
        <family val="2"/>
      </rPr>
      <t>Attendence Sheet showing attendance record</t>
    </r>
  </si>
  <si>
    <t>Retreat materials, output materials, retreat agenda</t>
  </si>
  <si>
    <r>
      <t xml:space="preserve">Grade reports; transcripts (unofficial OK) Chapter generated materials </t>
    </r>
    <r>
      <rPr>
        <u/>
        <sz val="10"/>
        <rFont val="Arial"/>
        <family val="2"/>
      </rPr>
      <t>WILL NOT BE ACCEPTED</t>
    </r>
  </si>
  <si>
    <r>
      <rPr>
        <b/>
        <sz val="10"/>
        <rFont val="Arial"/>
        <family val="2"/>
      </rPr>
      <t>Tier 1</t>
    </r>
    <r>
      <rPr>
        <sz val="10"/>
        <rFont val="Arial"/>
        <family val="2"/>
      </rPr>
      <t xml:space="preserve">:Copy of scholarship program; 
</t>
    </r>
    <r>
      <rPr>
        <b/>
        <sz val="10"/>
        <rFont val="Arial"/>
        <family val="2"/>
      </rPr>
      <t>Tier 2</t>
    </r>
    <r>
      <rPr>
        <sz val="10"/>
        <rFont val="Arial"/>
        <family val="2"/>
      </rPr>
      <t xml:space="preserve">:bylaws (reference to location) 
</t>
    </r>
    <r>
      <rPr>
        <b/>
        <sz val="10"/>
        <rFont val="Arial"/>
        <family val="2"/>
      </rPr>
      <t>Tier 3</t>
    </r>
    <r>
      <rPr>
        <sz val="10"/>
        <rFont val="Arial"/>
        <family val="2"/>
      </rPr>
      <t xml:space="preserve">: budget; copies/photos of awards </t>
    </r>
  </si>
  <si>
    <r>
      <rPr>
        <b/>
        <sz val="10"/>
        <rFont val="Arial"/>
        <family val="2"/>
      </rPr>
      <t xml:space="preserve">Tier 1: </t>
    </r>
    <r>
      <rPr>
        <sz val="10"/>
        <rFont val="Arial"/>
        <family val="2"/>
      </rPr>
      <t xml:space="preserve">Descriptions, photos, flyers, letters from recipients 
</t>
    </r>
    <r>
      <rPr>
        <b/>
        <sz val="10"/>
        <rFont val="Arial"/>
        <family val="2"/>
      </rPr>
      <t>Tier 2 &amp; 3:</t>
    </r>
    <r>
      <rPr>
        <sz val="10"/>
        <rFont val="Arial"/>
        <family val="2"/>
      </rPr>
      <t xml:space="preserve"> letters from recipients, copies of checks</t>
    </r>
  </si>
  <si>
    <t>Philanthropy/Comm. Service Forms, letters from service organizations, descriptions of events, photos, dates and times of events</t>
  </si>
  <si>
    <t xml:space="preserve">Descriptions, photos, flyers, letters from recipients </t>
  </si>
  <si>
    <r>
      <rPr>
        <b/>
        <sz val="10"/>
        <rFont val="Arial"/>
        <family val="2"/>
      </rPr>
      <t>Tier 1 and 2:</t>
    </r>
    <r>
      <rPr>
        <sz val="10"/>
        <rFont val="Arial"/>
        <family val="2"/>
      </rPr>
      <t xml:space="preserve"> GA verification
</t>
    </r>
    <r>
      <rPr>
        <b/>
        <sz val="10"/>
        <rFont val="Arial"/>
        <family val="2"/>
      </rPr>
      <t xml:space="preserve">Tier 3: </t>
    </r>
    <r>
      <rPr>
        <sz val="10"/>
        <rFont val="Arial"/>
        <family val="2"/>
      </rPr>
      <t>Copies of print ads; audio files of radio spots</t>
    </r>
  </si>
  <si>
    <r>
      <rPr>
        <b/>
        <sz val="10"/>
        <rFont val="Arial"/>
        <family val="2"/>
      </rPr>
      <t>Tier 1:</t>
    </r>
    <r>
      <rPr>
        <sz val="10"/>
        <rFont val="Arial"/>
        <family val="2"/>
      </rPr>
      <t xml:space="preserve"> Budget submitted
</t>
    </r>
    <r>
      <rPr>
        <b/>
        <sz val="10"/>
        <rFont val="Arial"/>
        <family val="2"/>
      </rPr>
      <t xml:space="preserve">Tier 2: </t>
    </r>
    <r>
      <rPr>
        <sz val="10"/>
        <rFont val="Arial"/>
        <family val="2"/>
      </rPr>
      <t xml:space="preserve">Chapter provides budget vs. actuals report with a written analyis of same monthly statements (using templates), proof of increase to reserve at $25 /man
</t>
    </r>
    <r>
      <rPr>
        <b/>
        <sz val="10"/>
        <rFont val="Arial"/>
        <family val="2"/>
      </rPr>
      <t>Tier 3:</t>
    </r>
    <r>
      <rPr>
        <sz val="10"/>
        <rFont val="Arial"/>
        <family val="2"/>
      </rPr>
      <t xml:space="preserve"> evidence of $25/man capital/housing fund being maintained
</t>
    </r>
  </si>
  <si>
    <r>
      <rPr>
        <b/>
        <sz val="10"/>
        <rFont val="Arial"/>
        <family val="2"/>
      </rPr>
      <t xml:space="preserve">Tier 3: </t>
    </r>
    <r>
      <rPr>
        <sz val="10"/>
        <rFont val="Arial"/>
        <family val="2"/>
      </rPr>
      <t>Program materials, confirmation of attendance</t>
    </r>
  </si>
  <si>
    <t>Tier 3 Points</t>
  </si>
  <si>
    <t>Tier 2 Points</t>
  </si>
  <si>
    <t>Tier 2 Points Claimed ÷ Points Avail. x 100</t>
  </si>
  <si>
    <t>+ Tier 3 Points Claimed ÷ Points Avail. x 200</t>
  </si>
  <si>
    <t>1. All Foundational Elements in all Categories must be met to be eligible for Awards (in all Categories.)</t>
  </si>
  <si>
    <t>All Foundational Elements in all Categories must be met to be eligible for points (in all Categories.)</t>
  </si>
  <si>
    <t>Foundational Elements</t>
  </si>
  <si>
    <t>Chapter Size (as of Fall academic term)</t>
  </si>
  <si>
    <r>
      <t xml:space="preserve">The Chapter conducts one (1) Ritual meeting per month and has all Ritual Paraphernalia </t>
    </r>
    <r>
      <rPr>
        <i/>
        <sz val="10"/>
        <rFont val="Arial"/>
        <family val="2"/>
      </rPr>
      <t>(e.g. Book of Ceremonies, Ritual Board, robes, insignia, etc. Call the International Headquarters if you have questions or need to order something.)</t>
    </r>
  </si>
  <si>
    <t>All invoices are paid no worse than Net 60 and Chapter has zero ($0) balance with International Headquarters and all other creditors at June 15th.</t>
  </si>
  <si>
    <t>Chapter is in good standing with Phi Kappa Sigma and University with regard to Chapter conduct.</t>
  </si>
  <si>
    <t>Chapter has an Advisory board with at least 3 alumni/faculty/university staff members (members must be approved by the Exec. Committee of International Fraternity)</t>
  </si>
  <si>
    <t>Chapter has current chapter-approved bylaws which have been distributed to the entire membership within the past year.</t>
  </si>
  <si>
    <t>Officers prepare written goals based on Doctrine Of Excellence.</t>
  </si>
  <si>
    <t>Chapter prepares and submits a written strategic plan addressing (minimum) recruitment, financial management, philanthropy/community service and membership development. Plan shall be prepared using template available from HQ.</t>
  </si>
  <si>
    <t>No members (including new members) have below a 2.25 GPA for each academic term.</t>
  </si>
  <si>
    <t>Chapter submits Roster with detailed (name, addr, phone#'s, init and grad dates, etc.) Contact information (including alumni advisor(s) and housing corporation board using HQ-approved Roster template. Minimum requirement during 1st week of Each Term and Last week of Academic year.</t>
  </si>
  <si>
    <r>
      <t xml:space="preserve">Chapter includes a transmittal with detailed explanation of contents for all submissions/payments/communication to the International Headquarters </t>
    </r>
    <r>
      <rPr>
        <i/>
        <sz val="10"/>
        <rFont val="Arial"/>
        <family val="2"/>
      </rPr>
      <t>(e.g. Phi Kappa Sigma Transmittal Form, Detailed Email, etc.)</t>
    </r>
  </si>
  <si>
    <t>A chapter member that applies to work as an Educational Consultant or Intern.</t>
  </si>
  <si>
    <t>Y</t>
  </si>
  <si>
    <t>N</t>
  </si>
  <si>
    <t>Directions</t>
  </si>
  <si>
    <t>1. Please follow prompts below, filling in columns in Tier 1, Tier 2 Claimed and Tier 3 Claimed</t>
  </si>
  <si>
    <t>2. Specifics regarding each Category and the points within may be found within the corresponding worksheet (worksheets are located across the bottom of the page below.)</t>
  </si>
  <si>
    <t>3. Documentation requirements for each requirement are located at the end of each corresponding category's worksheet</t>
  </si>
  <si>
    <t>4. Foundational Elements requirements and Tier 2 and 3 points will not count without the proper documenation accompanying the item</t>
  </si>
  <si>
    <t xml:space="preserve">Fraternity </t>
  </si>
  <si>
    <t xml:space="preserve"> is the growth, development, and interaction of the individual members in a diverse Brotherhood who are united by the Ritual of Phi Kappa Sigma and share common beliefs, goals, and values.  Fraternity builds character, enhances the collegiate and life experience, provides service to the community, promotes unity, establishes eternal bonds, and creates synergy.  
~Doctrine of Excellence</t>
  </si>
  <si>
    <t>is the effective and responsible management of income and expenses by individual members, Chapters, and the International Fraternity.  Financial commitment provides the means for all fraternal operations, programs, and services as well as realistic fiscal training for members. 
~Doctrine of Excellence</t>
  </si>
  <si>
    <t>is living as Men of Honor by embodying our Core Values. Personal conduct reflects the integrity of the Fraternity, determines future reputations within the community, and defines relationships with others. 
~Doctrine of Excellence</t>
  </si>
  <si>
    <t>is the ability to bring out the best in those around you through vision and initiative. Leadership is the cornerstone of a strong Chapter, encourages effective collaboration, and drives the Fraternity toward a common goal.
~Doctrine of Excellence</t>
  </si>
  <si>
    <t xml:space="preserve"> is the dedication to life-long learning in the pursuit of knowledge and wisdom through the use of resources including both people and information which leads to intellectual growth and satisfaction.  Scholarship opens doors to opportunities, enables one to impart insight to others, engenders progress in society, helps promote recruitment and campus relations, and makes one invaluable to their community.
~Doctrine of Excellence</t>
  </si>
  <si>
    <t>include interactions with groups that coexist with the Fraternity. Collegiate and community relations create mutually beneficial working relationships that expand opportunities and generate positive perceptions.
~Doctrine of Excellence</t>
  </si>
  <si>
    <t>is growth through applying knowledge gained from life experiences. Personal development leads to a strong foundation of character and competence, fosters balanced and focused individuals, and establishes confidence in real world situations.
~Doctrine of Excellence</t>
  </si>
  <si>
    <t>includes Headquarters Staff and local, regional, and international volunteers who provide resources to assist Chapters in fulfilling the Objects of the Fraternity. International support creates a structure that assists in networking, maintains history, and establishes vision for the future.
~Doctrine of Excellence</t>
  </si>
  <si>
    <r>
      <rPr>
        <b/>
        <sz val="10"/>
        <rFont val="Arial"/>
        <family val="2"/>
      </rPr>
      <t xml:space="preserve">Tier 3: </t>
    </r>
    <r>
      <rPr>
        <sz val="10"/>
        <rFont val="Arial"/>
        <family val="2"/>
      </rPr>
      <t>Verification from International Headquarters staff member, Executive Committee Member, or Grand Delta submitted</t>
    </r>
  </si>
  <si>
    <t>n</t>
  </si>
</sst>
</file>

<file path=xl/styles.xml><?xml version="1.0" encoding="utf-8"?>
<styleSheet xmlns="http://schemas.openxmlformats.org/spreadsheetml/2006/main">
  <numFmts count="1">
    <numFmt numFmtId="41" formatCode="_(* #,##0_);_(* \(#,##0\);_(* &quot;-&quot;_);_(@_)"/>
  </numFmts>
  <fonts count="27">
    <font>
      <sz val="10"/>
      <color theme="1"/>
      <name val="Calibri"/>
      <family val="2"/>
      <scheme val="minor"/>
    </font>
    <font>
      <sz val="10"/>
      <color theme="1"/>
      <name val="Arial"/>
      <family val="2"/>
    </font>
    <font>
      <sz val="10"/>
      <color theme="1"/>
      <name val="Arial"/>
      <family val="2"/>
    </font>
    <font>
      <sz val="14"/>
      <name val="Arial Black"/>
      <family val="2"/>
    </font>
    <font>
      <sz val="10"/>
      <name val="Arial"/>
      <family val="2"/>
    </font>
    <font>
      <i/>
      <sz val="10"/>
      <name val="Arial"/>
      <family val="2"/>
    </font>
    <font>
      <b/>
      <sz val="10"/>
      <name val="Arial"/>
      <family val="2"/>
    </font>
    <font>
      <u/>
      <sz val="6"/>
      <color theme="10"/>
      <name val="Calibri"/>
      <family val="2"/>
    </font>
    <font>
      <sz val="10"/>
      <name val="Calibri"/>
      <family val="2"/>
      <scheme val="minor"/>
    </font>
    <font>
      <b/>
      <sz val="10"/>
      <name val="Calibri"/>
      <family val="2"/>
      <scheme val="minor"/>
    </font>
    <font>
      <u/>
      <sz val="10"/>
      <name val="Calibri"/>
      <family val="2"/>
      <scheme val="minor"/>
    </font>
    <font>
      <sz val="10"/>
      <color theme="1"/>
      <name val="Arial"/>
      <family val="2"/>
    </font>
    <font>
      <sz val="14"/>
      <color theme="1"/>
      <name val="Arial Black"/>
      <family val="2"/>
    </font>
    <font>
      <sz val="10"/>
      <color theme="1"/>
      <name val="Arial Black"/>
      <family val="2"/>
    </font>
    <font>
      <sz val="12"/>
      <color theme="0"/>
      <name val="Arial Black"/>
      <family val="2"/>
    </font>
    <font>
      <b/>
      <sz val="12"/>
      <color theme="0"/>
      <name val="Arial Black"/>
      <family val="2"/>
    </font>
    <font>
      <b/>
      <sz val="10"/>
      <color theme="1"/>
      <name val="Arial"/>
      <family val="2"/>
    </font>
    <font>
      <b/>
      <sz val="10"/>
      <color theme="1"/>
      <name val="Arial Black"/>
      <family val="2"/>
    </font>
    <font>
      <u/>
      <sz val="10"/>
      <color theme="1"/>
      <name val="Arial"/>
      <family val="2"/>
    </font>
    <font>
      <u/>
      <sz val="10"/>
      <name val="Arial"/>
      <family val="2"/>
    </font>
    <font>
      <sz val="12"/>
      <name val="Arial Black"/>
      <family val="2"/>
    </font>
    <font>
      <sz val="10"/>
      <color theme="0"/>
      <name val="Arial"/>
      <family val="2"/>
    </font>
    <font>
      <u/>
      <sz val="14"/>
      <color theme="1"/>
      <name val="Arial Black"/>
      <family val="2"/>
    </font>
    <font>
      <sz val="12"/>
      <name val="Calibri"/>
      <family val="2"/>
      <scheme val="minor"/>
    </font>
    <font>
      <i/>
      <sz val="12"/>
      <name val="Calibri"/>
      <family val="2"/>
      <scheme val="minor"/>
    </font>
    <font>
      <i/>
      <sz val="12"/>
      <color theme="1"/>
      <name val="Calibri"/>
      <family val="2"/>
    </font>
    <font>
      <i/>
      <sz val="12"/>
      <color theme="1"/>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1"/>
        <bgColor indexed="64"/>
      </patternFill>
    </fill>
    <fill>
      <patternFill patternType="solid">
        <fgColor rgb="FF92D050"/>
        <bgColor indexed="64"/>
      </patternFill>
    </fill>
  </fills>
  <borders count="45">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thin">
        <color indexed="64"/>
      </left>
      <right style="thin">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bottom style="double">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medium">
        <color theme="0" tint="-0.34998626667073579"/>
      </top>
      <bottom style="medium">
        <color theme="0" tint="-0.34998626667073579"/>
      </bottom>
      <diagonal/>
    </border>
    <border>
      <left/>
      <right style="thin">
        <color indexed="64"/>
      </right>
      <top style="medium">
        <color theme="0" tint="-0.34998626667073579"/>
      </top>
      <bottom style="medium">
        <color theme="0" tint="-0.34998626667073579"/>
      </bottom>
      <diagonal/>
    </border>
    <border>
      <left style="thin">
        <color indexed="64"/>
      </left>
      <right/>
      <top style="medium">
        <color theme="0" tint="-0.34998626667073579"/>
      </top>
      <bottom style="medium">
        <color theme="0" tint="-0.34998626667073579"/>
      </bottom>
      <diagonal/>
    </border>
    <border>
      <left style="thin">
        <color indexed="64"/>
      </left>
      <right/>
      <top style="double">
        <color indexed="64"/>
      </top>
      <bottom style="medium">
        <color theme="0" tint="-0.34998626667073579"/>
      </bottom>
      <diagonal/>
    </border>
    <border>
      <left/>
      <right/>
      <top style="double">
        <color indexed="64"/>
      </top>
      <bottom style="medium">
        <color theme="0" tint="-0.34998626667073579"/>
      </bottom>
      <diagonal/>
    </border>
    <border>
      <left style="thin">
        <color indexed="64"/>
      </left>
      <right style="thin">
        <color indexed="64"/>
      </right>
      <top style="thick">
        <color theme="0" tint="-0.34998626667073579"/>
      </top>
      <bottom/>
      <diagonal/>
    </border>
    <border>
      <left style="thin">
        <color indexed="64"/>
      </left>
      <right style="hair">
        <color indexed="64"/>
      </right>
      <top style="thick">
        <color theme="0" tint="-0.34998626667073579"/>
      </top>
      <bottom style="hair">
        <color indexed="64"/>
      </bottom>
      <diagonal/>
    </border>
    <border>
      <left style="hair">
        <color indexed="64"/>
      </left>
      <right style="hair">
        <color indexed="64"/>
      </right>
      <top style="thick">
        <color theme="0" tint="-0.34998626667073579"/>
      </top>
      <bottom style="hair">
        <color indexed="64"/>
      </bottom>
      <diagonal/>
    </border>
    <border>
      <left style="hair">
        <color indexed="64"/>
      </left>
      <right style="thin">
        <color indexed="64"/>
      </right>
      <top style="thick">
        <color theme="0" tint="-0.34998626667073579"/>
      </top>
      <bottom style="hair">
        <color indexed="64"/>
      </bottom>
      <diagonal/>
    </border>
    <border>
      <left/>
      <right/>
      <top style="medium">
        <color theme="0" tint="-0.34998626667073579"/>
      </top>
      <bottom/>
      <diagonal/>
    </border>
    <border>
      <left/>
      <right style="thin">
        <color indexed="64"/>
      </right>
      <top style="double">
        <color indexed="64"/>
      </top>
      <bottom/>
      <diagonal/>
    </border>
    <border>
      <left style="hair">
        <color indexed="64"/>
      </left>
      <right style="hair">
        <color indexed="64"/>
      </right>
      <top style="medium">
        <color theme="0" tint="-0.34998626667073579"/>
      </top>
      <bottom style="hair">
        <color indexed="64"/>
      </bottom>
      <diagonal/>
    </border>
    <border>
      <left style="hair">
        <color indexed="64"/>
      </left>
      <right style="hair">
        <color indexed="64"/>
      </right>
      <top style="thin">
        <color indexed="64"/>
      </top>
      <bottom/>
      <diagonal/>
    </border>
    <border>
      <left style="hair">
        <color indexed="64"/>
      </left>
      <right style="hair">
        <color indexed="64"/>
      </right>
      <top style="hair">
        <color indexed="64"/>
      </top>
      <bottom/>
      <diagonal/>
    </border>
    <border>
      <left/>
      <right/>
      <top/>
      <bottom style="medium">
        <color theme="0" tint="-0.34998626667073579"/>
      </bottom>
      <diagonal/>
    </border>
    <border>
      <left/>
      <right style="thin">
        <color indexed="64"/>
      </right>
      <top/>
      <bottom style="thin">
        <color indexed="64"/>
      </bottom>
      <diagonal/>
    </border>
    <border>
      <left/>
      <right style="thin">
        <color indexed="64"/>
      </right>
      <top/>
      <bottom/>
      <diagonal/>
    </border>
    <border>
      <left style="medium">
        <color indexed="64"/>
      </left>
      <right style="thin">
        <color indexed="64"/>
      </right>
      <top/>
      <bottom style="thin">
        <color indexed="64"/>
      </bottom>
      <diagonal/>
    </border>
  </borders>
  <cellStyleXfs count="2">
    <xf numFmtId="0" fontId="0" fillId="0" borderId="0"/>
    <xf numFmtId="0" fontId="7" fillId="0" borderId="0" applyNumberFormat="0" applyFill="0" applyBorder="0" applyAlignment="0" applyProtection="0">
      <alignment vertical="top"/>
      <protection locked="0"/>
    </xf>
  </cellStyleXfs>
  <cellXfs count="153">
    <xf numFmtId="0" fontId="0" fillId="0" borderId="0" xfId="0"/>
    <xf numFmtId="0" fontId="8" fillId="0" borderId="0" xfId="0" applyFont="1" applyAlignment="1">
      <alignment vertical="center"/>
    </xf>
    <xf numFmtId="0" fontId="9" fillId="0" borderId="0" xfId="0" applyFont="1" applyAlignment="1">
      <alignment horizontal="center" vertical="center"/>
    </xf>
    <xf numFmtId="0" fontId="8" fillId="0" borderId="0" xfId="0" applyFont="1" applyAlignment="1">
      <alignment vertical="center" wrapText="1"/>
    </xf>
    <xf numFmtId="0" fontId="4" fillId="0" borderId="1"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2" xfId="0" applyFont="1" applyFill="1" applyBorder="1" applyAlignment="1">
      <alignment vertical="center" wrapText="1"/>
    </xf>
    <xf numFmtId="0" fontId="4" fillId="0" borderId="2" xfId="0" applyFont="1" applyBorder="1" applyAlignment="1">
      <alignment horizontal="center" vertical="center" wrapText="1"/>
    </xf>
    <xf numFmtId="0" fontId="4" fillId="0" borderId="3" xfId="0" applyFont="1" applyBorder="1" applyAlignment="1">
      <alignment vertical="center" wrapText="1"/>
    </xf>
    <xf numFmtId="0" fontId="8" fillId="0" borderId="0" xfId="0" applyFont="1" applyAlignment="1">
      <alignment horizontal="center"/>
    </xf>
    <xf numFmtId="0" fontId="8" fillId="0" borderId="0" xfId="0" applyFont="1"/>
    <xf numFmtId="0" fontId="9" fillId="0" borderId="0" xfId="0" applyFont="1" applyAlignment="1">
      <alignment horizontal="center"/>
    </xf>
    <xf numFmtId="0" fontId="10" fillId="0" borderId="0" xfId="0" applyFont="1" applyBorder="1" applyAlignment="1">
      <alignment horizontal="right"/>
    </xf>
    <xf numFmtId="0" fontId="4" fillId="0" borderId="0" xfId="0" applyFont="1" applyFill="1" applyBorder="1" applyAlignment="1">
      <alignment vertical="center" wrapText="1"/>
    </xf>
    <xf numFmtId="0" fontId="8" fillId="0" borderId="0" xfId="0" quotePrefix="1" applyFont="1" applyAlignment="1">
      <alignment horizontal="right"/>
    </xf>
    <xf numFmtId="0" fontId="4" fillId="0" borderId="2" xfId="0" applyFont="1" applyBorder="1" applyAlignment="1">
      <alignment vertical="center" wrapText="1"/>
    </xf>
    <xf numFmtId="0" fontId="4" fillId="0" borderId="4" xfId="0" applyFont="1" applyFill="1" applyBorder="1" applyAlignment="1">
      <alignment horizontal="left" vertical="center" wrapText="1"/>
    </xf>
    <xf numFmtId="0" fontId="4" fillId="0" borderId="4"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11" fillId="0" borderId="0" xfId="0" applyFont="1" applyAlignment="1">
      <alignment vertical="center" wrapText="1"/>
    </xf>
    <xf numFmtId="0" fontId="11" fillId="0" borderId="0" xfId="0" applyFont="1" applyAlignment="1">
      <alignment vertical="center"/>
    </xf>
    <xf numFmtId="0" fontId="11" fillId="0" borderId="0" xfId="0" applyFont="1" applyAlignment="1">
      <alignment horizontal="center" vertical="center"/>
    </xf>
    <xf numFmtId="41" fontId="11" fillId="0" borderId="0" xfId="0" applyNumberFormat="1" applyFont="1" applyAlignment="1">
      <alignment horizontal="center" vertical="center"/>
    </xf>
    <xf numFmtId="0" fontId="12" fillId="0" borderId="0" xfId="0" applyFont="1" applyAlignment="1">
      <alignment vertical="center"/>
    </xf>
    <xf numFmtId="0" fontId="11" fillId="0" borderId="0" xfId="0" quotePrefix="1" applyFont="1" applyAlignment="1">
      <alignment vertical="center"/>
    </xf>
    <xf numFmtId="0" fontId="11" fillId="0" borderId="0" xfId="0" applyNumberFormat="1" applyFont="1" applyAlignment="1">
      <alignment horizontal="center" vertical="center"/>
    </xf>
    <xf numFmtId="0" fontId="14" fillId="2" borderId="0" xfId="0" applyFont="1" applyFill="1" applyBorder="1" applyAlignment="1">
      <alignment vertical="center"/>
    </xf>
    <xf numFmtId="0" fontId="14" fillId="2" borderId="0" xfId="0" applyFont="1" applyFill="1" applyBorder="1" applyAlignment="1">
      <alignment horizontal="center" vertical="center"/>
    </xf>
    <xf numFmtId="41" fontId="15" fillId="2" borderId="0" xfId="0" applyNumberFormat="1" applyFont="1" applyFill="1" applyBorder="1" applyAlignment="1">
      <alignment horizontal="centerContinuous"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27" xfId="0" applyFont="1" applyBorder="1" applyAlignment="1">
      <alignment horizontal="center" vertical="center"/>
    </xf>
    <xf numFmtId="0" fontId="11" fillId="0" borderId="27" xfId="0" applyNumberFormat="1" applyFont="1" applyBorder="1" applyAlignment="1">
      <alignment horizontal="center" vertical="center"/>
    </xf>
    <xf numFmtId="0" fontId="11" fillId="0" borderId="28" xfId="0" applyFont="1" applyBorder="1" applyAlignment="1">
      <alignment horizontal="left" vertical="center"/>
    </xf>
    <xf numFmtId="0" fontId="17" fillId="0" borderId="7" xfId="0" applyFont="1" applyBorder="1" applyAlignment="1">
      <alignment vertical="center"/>
    </xf>
    <xf numFmtId="0" fontId="13" fillId="0" borderId="17" xfId="0" applyFont="1" applyBorder="1" applyAlignment="1">
      <alignment vertical="center"/>
    </xf>
    <xf numFmtId="0" fontId="13" fillId="0" borderId="29" xfId="0" applyFont="1" applyBorder="1" applyAlignment="1">
      <alignment vertical="center"/>
    </xf>
    <xf numFmtId="0" fontId="17" fillId="0" borderId="17" xfId="0" applyFont="1" applyBorder="1" applyAlignment="1">
      <alignment vertical="center"/>
    </xf>
    <xf numFmtId="0" fontId="17" fillId="0" borderId="30" xfId="0" applyFont="1" applyBorder="1" applyAlignment="1">
      <alignment horizontal="center" vertical="center"/>
    </xf>
    <xf numFmtId="0" fontId="16" fillId="0" borderId="31" xfId="0" applyFont="1" applyBorder="1" applyAlignment="1">
      <alignment horizontal="center" vertical="center"/>
    </xf>
    <xf numFmtId="0" fontId="11" fillId="0" borderId="18" xfId="0" applyFont="1" applyBorder="1" applyAlignment="1">
      <alignment horizontal="center" vertical="center"/>
    </xf>
    <xf numFmtId="0" fontId="11" fillId="0" borderId="19" xfId="0" applyFont="1" applyBorder="1" applyAlignment="1">
      <alignment horizontal="center" vertical="center"/>
    </xf>
    <xf numFmtId="0" fontId="11" fillId="0" borderId="21" xfId="0" applyFont="1" applyBorder="1" applyAlignment="1">
      <alignment horizontal="center" vertical="center"/>
    </xf>
    <xf numFmtId="0" fontId="11" fillId="0" borderId="22" xfId="0" applyFont="1" applyBorder="1" applyAlignment="1">
      <alignment horizontal="center" vertical="center"/>
    </xf>
    <xf numFmtId="0" fontId="17" fillId="0" borderId="0" xfId="0" applyFont="1" applyAlignment="1">
      <alignment horizontal="left" vertical="center"/>
    </xf>
    <xf numFmtId="0" fontId="17" fillId="0" borderId="0" xfId="0" applyFont="1" applyAlignment="1">
      <alignment horizontal="center" vertical="center"/>
    </xf>
    <xf numFmtId="0" fontId="17" fillId="0" borderId="0" xfId="0" applyNumberFormat="1" applyFont="1" applyAlignment="1">
      <alignment horizontal="center" vertical="center"/>
    </xf>
    <xf numFmtId="0" fontId="17" fillId="0" borderId="0" xfId="0" applyFont="1" applyAlignment="1">
      <alignment vertical="center"/>
    </xf>
    <xf numFmtId="0" fontId="17" fillId="0" borderId="24" xfId="0" quotePrefix="1" applyFont="1" applyBorder="1" applyAlignment="1">
      <alignment vertical="center"/>
    </xf>
    <xf numFmtId="0" fontId="17" fillId="0" borderId="24" xfId="0" applyFont="1" applyBorder="1" applyAlignment="1">
      <alignment horizontal="center" vertical="center"/>
    </xf>
    <xf numFmtId="0" fontId="17" fillId="0" borderId="24" xfId="0" applyNumberFormat="1" applyFont="1" applyBorder="1" applyAlignment="1">
      <alignment horizontal="center" vertical="center"/>
    </xf>
    <xf numFmtId="0" fontId="13" fillId="0" borderId="0" xfId="0" applyFont="1" applyAlignment="1">
      <alignment horizontal="center" vertical="center"/>
    </xf>
    <xf numFmtId="0" fontId="18" fillId="0" borderId="0" xfId="0" applyFont="1" applyAlignment="1">
      <alignment vertical="center"/>
    </xf>
    <xf numFmtId="0" fontId="12" fillId="0" borderId="0" xfId="0" applyFont="1" applyAlignment="1">
      <alignment horizontal="left"/>
    </xf>
    <xf numFmtId="0" fontId="15" fillId="2" borderId="0" xfId="0" applyFont="1" applyFill="1" applyBorder="1" applyAlignment="1">
      <alignment vertical="center" wrapText="1"/>
    </xf>
    <xf numFmtId="0" fontId="15" fillId="2" borderId="0" xfId="0" applyFont="1" applyFill="1" applyBorder="1" applyAlignment="1">
      <alignment horizontal="center" vertical="center" wrapText="1"/>
    </xf>
    <xf numFmtId="41" fontId="15" fillId="2" borderId="0" xfId="0" applyNumberFormat="1" applyFont="1" applyFill="1" applyBorder="1" applyAlignment="1">
      <alignment horizontal="center" vertical="center" wrapText="1"/>
    </xf>
    <xf numFmtId="0" fontId="17" fillId="0" borderId="32" xfId="0" applyFont="1" applyBorder="1" applyAlignment="1">
      <alignment vertical="center"/>
    </xf>
    <xf numFmtId="0" fontId="11" fillId="0" borderId="33" xfId="0" applyFont="1" applyBorder="1" applyAlignment="1">
      <alignment horizontal="center" vertical="center"/>
    </xf>
    <xf numFmtId="0" fontId="11" fillId="0" borderId="34" xfId="0" applyFont="1" applyBorder="1" applyAlignment="1">
      <alignment horizontal="center" vertical="center"/>
    </xf>
    <xf numFmtId="0" fontId="4" fillId="0" borderId="2" xfId="1" applyFont="1" applyFill="1" applyBorder="1" applyAlignment="1" applyProtection="1">
      <alignment horizontal="center" vertical="center" wrapText="1"/>
    </xf>
    <xf numFmtId="0" fontId="4" fillId="0" borderId="2" xfId="1" applyFont="1" applyFill="1" applyBorder="1" applyAlignment="1" applyProtection="1">
      <alignment vertical="center" wrapText="1"/>
    </xf>
    <xf numFmtId="0" fontId="4" fillId="0" borderId="2" xfId="1" applyFont="1" applyBorder="1" applyAlignment="1" applyProtection="1">
      <alignment horizontal="center" vertical="center" wrapText="1"/>
    </xf>
    <xf numFmtId="41" fontId="15" fillId="2" borderId="0" xfId="0" applyNumberFormat="1" applyFont="1" applyFill="1" applyBorder="1" applyAlignment="1">
      <alignment horizontal="centerContinuous" vertical="center" wrapText="1"/>
    </xf>
    <xf numFmtId="0" fontId="4" fillId="0" borderId="1" xfId="0" applyFont="1" applyFill="1" applyBorder="1" applyAlignment="1">
      <alignment horizontal="center" vertical="center" wrapText="1"/>
    </xf>
    <xf numFmtId="0" fontId="4" fillId="0" borderId="3" xfId="0" applyFont="1" applyFill="1" applyBorder="1" applyAlignment="1">
      <alignment vertical="center" wrapText="1"/>
    </xf>
    <xf numFmtId="0" fontId="4" fillId="0" borderId="4" xfId="1" applyFont="1" applyFill="1" applyBorder="1" applyAlignment="1" applyProtection="1">
      <alignment vertical="center" wrapText="1"/>
    </xf>
    <xf numFmtId="0" fontId="4" fillId="0" borderId="26" xfId="0" applyFont="1" applyFill="1" applyBorder="1" applyAlignment="1">
      <alignment horizontal="center" vertical="center" wrapText="1"/>
    </xf>
    <xf numFmtId="0" fontId="6" fillId="0" borderId="2" xfId="0" applyFont="1" applyFill="1" applyBorder="1" applyAlignment="1">
      <alignment vertical="center" wrapText="1"/>
    </xf>
    <xf numFmtId="0" fontId="4" fillId="0" borderId="7" xfId="1" applyFont="1" applyFill="1" applyBorder="1" applyAlignment="1" applyProtection="1">
      <alignment vertical="center" wrapText="1"/>
    </xf>
    <xf numFmtId="0" fontId="4" fillId="0" borderId="26" xfId="0" applyFont="1" applyFill="1" applyBorder="1" applyAlignment="1">
      <alignment vertical="center" wrapText="1"/>
    </xf>
    <xf numFmtId="0" fontId="4" fillId="0" borderId="6" xfId="0" applyFont="1" applyFill="1" applyBorder="1" applyAlignment="1">
      <alignment vertical="center" wrapText="1"/>
    </xf>
    <xf numFmtId="0" fontId="4" fillId="0" borderId="5" xfId="0" applyFont="1" applyFill="1" applyBorder="1" applyAlignment="1">
      <alignment vertical="center" wrapText="1"/>
    </xf>
    <xf numFmtId="0" fontId="4" fillId="0" borderId="2" xfId="0" quotePrefix="1" applyFont="1" applyFill="1" applyBorder="1" applyAlignment="1">
      <alignment horizontal="center" vertical="center" wrapText="1"/>
    </xf>
    <xf numFmtId="0" fontId="11" fillId="0" borderId="36" xfId="0" applyNumberFormat="1" applyFont="1" applyBorder="1" applyAlignment="1">
      <alignment horizontal="center" vertical="center"/>
    </xf>
    <xf numFmtId="0" fontId="11" fillId="0" borderId="36" xfId="0" applyFont="1" applyBorder="1" applyAlignment="1">
      <alignment horizontal="center" vertical="center"/>
    </xf>
    <xf numFmtId="0" fontId="11" fillId="0" borderId="31" xfId="0" applyNumberFormat="1" applyFont="1" applyBorder="1" applyAlignment="1">
      <alignment horizontal="center" vertical="center"/>
    </xf>
    <xf numFmtId="0" fontId="17" fillId="0" borderId="31" xfId="0" applyNumberFormat="1" applyFont="1" applyBorder="1" applyAlignment="1">
      <alignment horizontal="center" vertical="center"/>
    </xf>
    <xf numFmtId="0" fontId="16" fillId="0" borderId="37" xfId="0" applyFont="1" applyBorder="1" applyAlignment="1">
      <alignment horizontal="left" vertical="center"/>
    </xf>
    <xf numFmtId="0" fontId="17" fillId="0" borderId="31" xfId="0" applyFont="1" applyBorder="1" applyAlignment="1">
      <alignment horizontal="center" vertical="center"/>
    </xf>
    <xf numFmtId="0" fontId="2" fillId="0" borderId="41" xfId="0" applyNumberFormat="1" applyFont="1" applyBorder="1" applyAlignment="1">
      <alignment horizontal="center" vertical="center"/>
    </xf>
    <xf numFmtId="0" fontId="2" fillId="0" borderId="31" xfId="0" applyNumberFormat="1" applyFont="1" applyBorder="1" applyAlignment="1">
      <alignment horizontal="center" vertical="center"/>
    </xf>
    <xf numFmtId="0" fontId="12" fillId="0" borderId="0" xfId="0" applyFont="1" applyAlignment="1">
      <alignment horizontal="left" vertical="top"/>
    </xf>
    <xf numFmtId="0" fontId="2" fillId="4" borderId="34" xfId="0" applyNumberFormat="1" applyFont="1" applyFill="1" applyBorder="1" applyAlignment="1">
      <alignment horizontal="center" vertical="center"/>
    </xf>
    <xf numFmtId="0" fontId="2" fillId="4" borderId="12" xfId="0" applyNumberFormat="1" applyFont="1" applyFill="1" applyBorder="1" applyAlignment="1">
      <alignment horizontal="center" vertical="center"/>
    </xf>
    <xf numFmtId="0" fontId="11" fillId="4" borderId="19" xfId="0" applyNumberFormat="1" applyFont="1" applyFill="1" applyBorder="1" applyAlignment="1">
      <alignment horizontal="center" vertical="center"/>
    </xf>
    <xf numFmtId="0" fontId="2" fillId="4" borderId="19" xfId="0" applyNumberFormat="1" applyFont="1" applyFill="1" applyBorder="1" applyAlignment="1">
      <alignment horizontal="center" vertical="center"/>
    </xf>
    <xf numFmtId="0" fontId="2" fillId="4" borderId="15" xfId="0" applyNumberFormat="1" applyFont="1" applyFill="1" applyBorder="1" applyAlignment="1">
      <alignment horizontal="center" vertical="center"/>
    </xf>
    <xf numFmtId="0" fontId="2" fillId="4" borderId="39" xfId="0" applyNumberFormat="1" applyFont="1" applyFill="1" applyBorder="1" applyAlignment="1">
      <alignment horizontal="center" vertical="center"/>
    </xf>
    <xf numFmtId="0" fontId="2" fillId="4" borderId="38" xfId="0" applyNumberFormat="1" applyFont="1" applyFill="1" applyBorder="1" applyAlignment="1">
      <alignment horizontal="center" vertical="center"/>
    </xf>
    <xf numFmtId="0" fontId="2" fillId="4" borderId="40" xfId="0" applyNumberFormat="1" applyFont="1" applyFill="1" applyBorder="1" applyAlignment="1">
      <alignment horizontal="center" vertical="center"/>
    </xf>
    <xf numFmtId="0" fontId="11" fillId="4" borderId="12" xfId="0" applyNumberFormat="1" applyFont="1" applyFill="1" applyBorder="1" applyAlignment="1">
      <alignment horizontal="center" vertical="center"/>
    </xf>
    <xf numFmtId="0" fontId="4" fillId="0" borderId="2" xfId="0" applyFont="1" applyFill="1" applyBorder="1" applyAlignment="1">
      <alignment horizontal="left" vertical="top" wrapText="1"/>
    </xf>
    <xf numFmtId="0" fontId="4" fillId="0" borderId="4" xfId="0" applyFont="1" applyFill="1" applyBorder="1" applyAlignment="1">
      <alignment horizontal="left" vertical="top" wrapText="1"/>
    </xf>
    <xf numFmtId="0" fontId="4" fillId="0" borderId="2" xfId="0" applyFont="1" applyBorder="1" applyAlignment="1">
      <alignment horizontal="left" vertical="top" wrapText="1"/>
    </xf>
    <xf numFmtId="0" fontId="1" fillId="0" borderId="0" xfId="0" applyFont="1" applyAlignment="1">
      <alignment vertical="center"/>
    </xf>
    <xf numFmtId="0" fontId="13" fillId="0" borderId="0" xfId="0" applyNumberFormat="1" applyFont="1" applyAlignment="1">
      <alignment horizontal="left" vertical="center"/>
    </xf>
    <xf numFmtId="0" fontId="20" fillId="2" borderId="0" xfId="0" applyFont="1" applyFill="1" applyBorder="1" applyAlignment="1">
      <alignment horizontal="center" vertical="center" wrapText="1"/>
    </xf>
    <xf numFmtId="0" fontId="20" fillId="2" borderId="0" xfId="0" applyFont="1" applyFill="1" applyBorder="1" applyAlignment="1">
      <alignment horizontal="centerContinuous" vertical="center" wrapText="1"/>
    </xf>
    <xf numFmtId="0" fontId="20" fillId="2" borderId="25" xfId="0" applyFont="1" applyFill="1" applyBorder="1" applyAlignment="1">
      <alignment horizontal="center" vertical="center" wrapText="1"/>
    </xf>
    <xf numFmtId="0" fontId="8" fillId="0" borderId="0" xfId="0" applyFont="1" applyFill="1" applyAlignment="1">
      <alignment vertical="center" wrapText="1"/>
    </xf>
    <xf numFmtId="0" fontId="4" fillId="0" borderId="2" xfId="0" applyFont="1" applyFill="1" applyBorder="1" applyAlignment="1">
      <alignment horizontal="left" vertical="center" wrapText="1"/>
    </xf>
    <xf numFmtId="0" fontId="20" fillId="2" borderId="43" xfId="0" applyFont="1" applyFill="1" applyBorder="1" applyAlignment="1">
      <alignment horizontal="center" vertical="center" wrapText="1"/>
    </xf>
    <xf numFmtId="0" fontId="20" fillId="2" borderId="42" xfId="0" applyFont="1" applyFill="1" applyBorder="1" applyAlignment="1">
      <alignment horizontal="center" vertical="center" wrapText="1"/>
    </xf>
    <xf numFmtId="0" fontId="20" fillId="2" borderId="43" xfId="0" applyFont="1" applyFill="1" applyBorder="1" applyAlignment="1">
      <alignment horizontal="center" wrapText="1"/>
    </xf>
    <xf numFmtId="0" fontId="20" fillId="2" borderId="42" xfId="0" applyFont="1" applyFill="1" applyBorder="1" applyAlignment="1">
      <alignment horizontal="center" vertical="top" wrapText="1"/>
    </xf>
    <xf numFmtId="0" fontId="20" fillId="2" borderId="43" xfId="0" applyFont="1" applyFill="1" applyBorder="1" applyAlignment="1">
      <alignment horizontal="centerContinuous" vertical="center" wrapText="1"/>
    </xf>
    <xf numFmtId="0" fontId="4" fillId="0" borderId="4" xfId="0" applyFont="1" applyFill="1" applyBorder="1" applyAlignment="1">
      <alignment vertical="center" wrapText="1"/>
    </xf>
    <xf numFmtId="0" fontId="20" fillId="2" borderId="43" xfId="0" applyFont="1" applyFill="1" applyBorder="1" applyAlignment="1">
      <alignment horizontal="center" vertical="top" wrapText="1"/>
    </xf>
    <xf numFmtId="0" fontId="4" fillId="0" borderId="44" xfId="0" applyFont="1" applyBorder="1" applyAlignment="1">
      <alignment horizontal="center" vertical="center" wrapText="1"/>
    </xf>
    <xf numFmtId="0" fontId="20" fillId="2" borderId="4" xfId="0" applyFont="1" applyFill="1" applyBorder="1" applyAlignment="1">
      <alignment horizontal="center" vertical="top" wrapText="1"/>
    </xf>
    <xf numFmtId="0" fontId="16" fillId="4" borderId="34" xfId="0" applyNumberFormat="1" applyFont="1" applyFill="1" applyBorder="1" applyAlignment="1" applyProtection="1">
      <alignment horizontal="center" vertical="center"/>
      <protection locked="0"/>
    </xf>
    <xf numFmtId="0" fontId="16" fillId="4" borderId="12" xfId="0" applyNumberFormat="1" applyFont="1" applyFill="1" applyBorder="1" applyAlignment="1" applyProtection="1">
      <alignment horizontal="center" vertical="center"/>
      <protection locked="0"/>
    </xf>
    <xf numFmtId="0" fontId="16" fillId="3" borderId="12" xfId="0" applyNumberFormat="1" applyFont="1" applyFill="1" applyBorder="1" applyAlignment="1" applyProtection="1">
      <alignment horizontal="center" vertical="center"/>
      <protection locked="0"/>
    </xf>
    <xf numFmtId="0" fontId="16" fillId="4" borderId="15" xfId="0" applyNumberFormat="1" applyFont="1" applyFill="1" applyBorder="1" applyAlignment="1" applyProtection="1">
      <alignment horizontal="center" vertical="center"/>
      <protection locked="0"/>
    </xf>
    <xf numFmtId="0" fontId="16" fillId="4" borderId="19" xfId="0" applyNumberFormat="1" applyFont="1" applyFill="1" applyBorder="1" applyAlignment="1" applyProtection="1">
      <alignment horizontal="center" vertical="center"/>
      <protection locked="0"/>
    </xf>
    <xf numFmtId="0" fontId="16" fillId="3" borderId="22" xfId="0" applyNumberFormat="1" applyFont="1" applyFill="1" applyBorder="1" applyAlignment="1" applyProtection="1">
      <alignment horizontal="center" vertical="center"/>
      <protection locked="0"/>
    </xf>
    <xf numFmtId="0" fontId="16" fillId="4" borderId="9" xfId="0" applyNumberFormat="1" applyFont="1" applyFill="1" applyBorder="1" applyAlignment="1" applyProtection="1">
      <alignment horizontal="center" vertical="center"/>
      <protection locked="0"/>
    </xf>
    <xf numFmtId="0" fontId="16" fillId="4" borderId="22" xfId="0" applyNumberFormat="1" applyFont="1" applyFill="1" applyBorder="1" applyAlignment="1" applyProtection="1">
      <alignment horizontal="center" vertical="center"/>
      <protection locked="0"/>
    </xf>
    <xf numFmtId="0" fontId="16" fillId="4" borderId="9" xfId="0" applyFont="1" applyFill="1" applyBorder="1" applyAlignment="1" applyProtection="1">
      <alignment horizontal="center" vertical="center"/>
      <protection locked="0"/>
    </xf>
    <xf numFmtId="0" fontId="16" fillId="3" borderId="12" xfId="0" applyFont="1" applyFill="1" applyBorder="1" applyAlignment="1" applyProtection="1">
      <alignment horizontal="center" vertical="center"/>
      <protection locked="0"/>
    </xf>
    <xf numFmtId="0" fontId="16" fillId="4" borderId="12" xfId="0" applyFont="1" applyFill="1" applyBorder="1" applyAlignment="1" applyProtection="1">
      <alignment horizontal="center" vertical="center"/>
      <protection locked="0"/>
    </xf>
    <xf numFmtId="0" fontId="16" fillId="4" borderId="22" xfId="0" applyFont="1" applyFill="1" applyBorder="1" applyAlignment="1" applyProtection="1">
      <alignment horizontal="center" vertical="center"/>
      <protection locked="0"/>
    </xf>
    <xf numFmtId="0" fontId="11" fillId="0" borderId="27" xfId="0" applyFont="1" applyBorder="1" applyAlignment="1" applyProtection="1">
      <alignment horizontal="center" vertical="center"/>
      <protection locked="0"/>
    </xf>
    <xf numFmtId="0" fontId="16" fillId="4" borderId="38" xfId="0" applyNumberFormat="1" applyFont="1" applyFill="1" applyBorder="1" applyAlignment="1" applyProtection="1">
      <alignment horizontal="center" vertical="center"/>
      <protection locked="0"/>
    </xf>
    <xf numFmtId="0" fontId="16" fillId="3" borderId="22" xfId="0" applyFont="1" applyFill="1" applyBorder="1" applyAlignment="1" applyProtection="1">
      <alignment horizontal="center" vertical="center"/>
      <protection locked="0"/>
    </xf>
    <xf numFmtId="0" fontId="16" fillId="4" borderId="34" xfId="0" applyFont="1" applyFill="1" applyBorder="1" applyAlignment="1" applyProtection="1">
      <alignment horizontal="center" vertical="center"/>
      <protection locked="0"/>
    </xf>
    <xf numFmtId="0" fontId="16" fillId="4" borderId="15" xfId="0" applyFont="1" applyFill="1" applyBorder="1" applyAlignment="1" applyProtection="1">
      <alignment horizontal="center" vertical="center"/>
      <protection locked="0"/>
    </xf>
    <xf numFmtId="0" fontId="21" fillId="0" borderId="0" xfId="0" applyFont="1" applyAlignment="1">
      <alignment vertical="center"/>
    </xf>
    <xf numFmtId="0" fontId="11" fillId="0" borderId="35" xfId="0" applyFont="1" applyBorder="1" applyAlignment="1" applyProtection="1">
      <alignment horizontal="left" vertical="center"/>
      <protection locked="0"/>
    </xf>
    <xf numFmtId="0" fontId="11" fillId="0" borderId="13" xfId="0" applyFont="1" applyBorder="1" applyAlignment="1" applyProtection="1">
      <alignment horizontal="left" vertical="center"/>
      <protection locked="0"/>
    </xf>
    <xf numFmtId="0" fontId="11" fillId="0" borderId="16" xfId="0" applyFont="1" applyBorder="1" applyAlignment="1" applyProtection="1">
      <alignment horizontal="left" vertical="center"/>
      <protection locked="0"/>
    </xf>
    <xf numFmtId="0" fontId="16" fillId="0" borderId="37" xfId="0" applyFont="1" applyBorder="1" applyAlignment="1" applyProtection="1">
      <alignment horizontal="left" vertical="center"/>
      <protection locked="0"/>
    </xf>
    <xf numFmtId="0" fontId="11" fillId="0" borderId="28" xfId="0" applyFont="1" applyBorder="1" applyAlignment="1" applyProtection="1">
      <alignment horizontal="left" vertical="center"/>
      <protection locked="0"/>
    </xf>
    <xf numFmtId="0" fontId="11" fillId="0" borderId="20" xfId="0" applyFont="1" applyBorder="1" applyAlignment="1" applyProtection="1">
      <alignment horizontal="left" vertical="center"/>
      <protection locked="0"/>
    </xf>
    <xf numFmtId="0" fontId="11" fillId="0" borderId="23" xfId="0" applyFont="1" applyBorder="1" applyAlignment="1" applyProtection="1">
      <alignment horizontal="left" vertical="center"/>
      <protection locked="0"/>
    </xf>
    <xf numFmtId="0" fontId="11" fillId="0" borderId="10" xfId="0" applyFont="1" applyBorder="1" applyAlignment="1" applyProtection="1">
      <alignment horizontal="left" vertical="center"/>
      <protection locked="0"/>
    </xf>
    <xf numFmtId="0" fontId="1" fillId="0" borderId="13" xfId="0" applyFont="1" applyBorder="1" applyAlignment="1" applyProtection="1">
      <alignment horizontal="left" vertical="center"/>
      <protection locked="0"/>
    </xf>
    <xf numFmtId="0" fontId="20" fillId="2" borderId="17" xfId="0" applyFont="1" applyFill="1" applyBorder="1" applyAlignment="1">
      <alignment horizontal="center" vertical="center" wrapText="1"/>
    </xf>
    <xf numFmtId="0" fontId="20" fillId="2" borderId="17" xfId="0" applyFont="1" applyFill="1" applyBorder="1" applyAlignment="1">
      <alignment horizontal="center" wrapText="1"/>
    </xf>
    <xf numFmtId="0" fontId="3" fillId="0" borderId="0" xfId="0" applyFont="1" applyAlignment="1">
      <alignment vertical="top"/>
    </xf>
    <xf numFmtId="0" fontId="3" fillId="0" borderId="0" xfId="0" applyFont="1" applyAlignment="1">
      <alignment horizontal="left" vertical="top"/>
    </xf>
    <xf numFmtId="0" fontId="16" fillId="3" borderId="12" xfId="0" applyNumberFormat="1" applyFont="1" applyFill="1" applyBorder="1" applyAlignment="1" applyProtection="1">
      <alignment horizontal="center" vertical="center"/>
    </xf>
    <xf numFmtId="0" fontId="22" fillId="0" borderId="0" xfId="0" applyFont="1" applyAlignment="1">
      <alignment horizontal="center" vertical="center"/>
    </xf>
    <xf numFmtId="0" fontId="24" fillId="0" borderId="0" xfId="0" applyNumberFormat="1" applyFont="1" applyAlignment="1">
      <alignment horizontal="left" vertical="top" wrapText="1"/>
    </xf>
    <xf numFmtId="0" fontId="25" fillId="0" borderId="0" xfId="0" applyFont="1" applyAlignment="1">
      <alignment horizontal="left" vertical="top" wrapText="1"/>
    </xf>
    <xf numFmtId="0" fontId="24" fillId="0" borderId="0" xfId="0" applyFont="1" applyAlignment="1">
      <alignment horizontal="left" vertical="top" wrapText="1"/>
    </xf>
    <xf numFmtId="0" fontId="23" fillId="0" borderId="0" xfId="0" applyFont="1" applyAlignment="1">
      <alignment horizontal="left" vertical="top" wrapText="1"/>
    </xf>
    <xf numFmtId="0" fontId="26" fillId="0" borderId="0" xfId="0" applyFont="1" applyAlignment="1">
      <alignment horizontal="left" vertical="top" wrapText="1"/>
    </xf>
  </cellXfs>
  <cellStyles count="2">
    <cellStyle name="Hyperlink" xfId="1" builtinId="8"/>
    <cellStyle name="Normal" xfId="0" builtinId="0"/>
  </cellStyles>
  <dxfs count="2">
    <dxf>
      <font>
        <color auto="1"/>
      </font>
      <fill>
        <patternFill patternType="none">
          <bgColor auto="1"/>
        </patternFill>
      </fill>
    </dxf>
    <dxf>
      <fill>
        <patternFill>
          <bgColor rgb="FFFF000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561975</xdr:colOff>
      <xdr:row>1</xdr:row>
      <xdr:rowOff>152400</xdr:rowOff>
    </xdr:to>
    <xdr:pic>
      <xdr:nvPicPr>
        <xdr:cNvPr id="1113" name="Picture 12" descr="Crest_bw_large"/>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561975" cy="676275"/>
        </a:xfrm>
        <a:prstGeom prst="rect">
          <a:avLst/>
        </a:prstGeom>
        <a:noFill/>
        <a:ln w="9525">
          <a:noFill/>
          <a:miter lim="800000"/>
          <a:headEnd/>
          <a:tailEnd/>
        </a:ln>
      </xdr:spPr>
    </xdr:pic>
    <xdr:clientData/>
  </xdr:twoCellAnchor>
  <xdr:twoCellAnchor>
    <xdr:from>
      <xdr:col>0</xdr:col>
      <xdr:colOff>720725</xdr:colOff>
      <xdr:row>0</xdr:row>
      <xdr:rowOff>104775</xdr:rowOff>
    </xdr:from>
    <xdr:to>
      <xdr:col>2</xdr:col>
      <xdr:colOff>1535206</xdr:colOff>
      <xdr:row>1</xdr:row>
      <xdr:rowOff>22413</xdr:rowOff>
    </xdr:to>
    <xdr:sp macro="" textlink="">
      <xdr:nvSpPr>
        <xdr:cNvPr id="5" name="Text Box 13"/>
        <xdr:cNvSpPr txBox="1">
          <a:spLocks noChangeArrowheads="1"/>
        </xdr:cNvSpPr>
      </xdr:nvSpPr>
      <xdr:spPr bwMode="auto">
        <a:xfrm>
          <a:off x="720725" y="104775"/>
          <a:ext cx="3167716" cy="444314"/>
        </a:xfrm>
        <a:prstGeom prst="rect">
          <a:avLst/>
        </a:prstGeom>
        <a:solidFill>
          <a:srgbClr val="FFFFFF"/>
        </a:solidFill>
        <a:ln w="9525">
          <a:noFill/>
          <a:miter lim="800000"/>
          <a:headEnd/>
          <a:tailEnd/>
        </a:ln>
      </xdr:spPr>
      <xdr:txBody>
        <a:bodyPr vertOverflow="clip" wrap="square" lIns="36576" tIns="22860" rIns="0" bIns="0" anchor="t" upright="1"/>
        <a:lstStyle/>
        <a:p>
          <a:pPr algn="l" rtl="0">
            <a:defRPr sz="1000"/>
          </a:pPr>
          <a:r>
            <a:rPr lang="en-US" sz="1000" b="0" i="0" u="none" strike="noStrike" baseline="0">
              <a:solidFill>
                <a:srgbClr val="000000"/>
              </a:solidFill>
              <a:latin typeface="Copperplate Gothic Bold"/>
            </a:rPr>
            <a:t>Phi Kappa Sigma International Fraternity</a:t>
          </a:r>
        </a:p>
        <a:p>
          <a:pPr algn="l" rtl="0">
            <a:defRPr sz="1000"/>
          </a:pPr>
          <a:r>
            <a:rPr lang="en-US" sz="1000" b="0" i="0" u="none" strike="noStrike" baseline="0">
              <a:solidFill>
                <a:srgbClr val="000000"/>
              </a:solidFill>
              <a:latin typeface="Copperplate Gothic Bold"/>
            </a:rPr>
            <a:t>Mitchell Chapter Standards Program</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sheetPr>
    <pageSetUpPr fitToPage="1"/>
  </sheetPr>
  <dimension ref="A1:L76"/>
  <sheetViews>
    <sheetView showGridLines="0" tabSelected="1" zoomScale="60" zoomScaleNormal="60" zoomScaleSheetLayoutView="70" workbookViewId="0">
      <pane ySplit="9" topLeftCell="A37" activePane="bottomLeft" state="frozen"/>
      <selection sqref="A1:IV65536"/>
      <selection pane="bottomLeft" activeCell="D10" sqref="D10"/>
    </sheetView>
  </sheetViews>
  <sheetFormatPr defaultRowHeight="12.75"/>
  <cols>
    <col min="1" max="1" width="25.7109375" style="20" customWidth="1"/>
    <col min="2" max="2" width="9.5703125" style="21" customWidth="1"/>
    <col min="3" max="3" width="34" style="21" customWidth="1"/>
    <col min="4" max="4" width="19.42578125" style="21" customWidth="1"/>
    <col min="5" max="7" width="13.42578125" style="22" customWidth="1"/>
    <col min="8" max="8" width="13.42578125" style="21" customWidth="1"/>
    <col min="9" max="9" width="40.28515625" style="20" customWidth="1"/>
    <col min="10" max="16384" width="9.140625" style="20"/>
  </cols>
  <sheetData>
    <row r="1" spans="1:12" ht="41.25" customHeight="1">
      <c r="A1" s="23"/>
      <c r="D1" s="57" t="s">
        <v>247</v>
      </c>
      <c r="L1" s="132" t="s">
        <v>290</v>
      </c>
    </row>
    <row r="2" spans="1:12" ht="22.5">
      <c r="A2" s="23"/>
      <c r="D2" s="86" t="s">
        <v>183</v>
      </c>
      <c r="L2" s="132" t="s">
        <v>291</v>
      </c>
    </row>
    <row r="3" spans="1:12" ht="22.5">
      <c r="A3" s="147" t="s">
        <v>292</v>
      </c>
      <c r="B3" s="147"/>
      <c r="C3" s="147"/>
      <c r="D3" s="147"/>
      <c r="E3" s="147"/>
      <c r="F3" s="147"/>
      <c r="G3" s="147"/>
      <c r="H3" s="147"/>
      <c r="I3" s="147"/>
      <c r="L3" s="132"/>
    </row>
    <row r="4" spans="1:12" ht="22.5">
      <c r="A4" s="23" t="s">
        <v>293</v>
      </c>
      <c r="D4" s="86"/>
      <c r="L4" s="132"/>
    </row>
    <row r="5" spans="1:12" ht="22.5">
      <c r="A5" s="23" t="s">
        <v>294</v>
      </c>
      <c r="D5" s="86"/>
      <c r="L5" s="132"/>
    </row>
    <row r="6" spans="1:12" ht="22.5">
      <c r="A6" s="23" t="s">
        <v>295</v>
      </c>
      <c r="D6" s="86"/>
      <c r="L6" s="132"/>
    </row>
    <row r="7" spans="1:12" ht="22.5">
      <c r="A7" s="23" t="s">
        <v>296</v>
      </c>
      <c r="D7" s="86"/>
      <c r="L7" s="132"/>
    </row>
    <row r="8" spans="1:12" ht="58.5">
      <c r="A8" s="26"/>
      <c r="B8" s="27"/>
      <c r="C8" s="27"/>
      <c r="D8" s="59" t="s">
        <v>254</v>
      </c>
      <c r="E8" s="67" t="s">
        <v>272</v>
      </c>
      <c r="F8" s="28"/>
      <c r="G8" s="67" t="s">
        <v>271</v>
      </c>
      <c r="H8" s="28"/>
      <c r="I8" s="27"/>
    </row>
    <row r="9" spans="1:12" s="19" customFormat="1" ht="41.25" customHeight="1" thickBot="1">
      <c r="A9" s="58" t="s">
        <v>166</v>
      </c>
      <c r="B9" s="59" t="s">
        <v>167</v>
      </c>
      <c r="C9" s="59" t="s">
        <v>169</v>
      </c>
      <c r="D9" s="59" t="s">
        <v>190</v>
      </c>
      <c r="E9" s="60" t="s">
        <v>170</v>
      </c>
      <c r="F9" s="60" t="s">
        <v>171</v>
      </c>
      <c r="G9" s="60" t="s">
        <v>170</v>
      </c>
      <c r="H9" s="60" t="s">
        <v>171</v>
      </c>
      <c r="I9" s="59" t="s">
        <v>174</v>
      </c>
    </row>
    <row r="10" spans="1:12" ht="18" customHeight="1" thickTop="1">
      <c r="A10" s="61" t="s">
        <v>43</v>
      </c>
      <c r="B10" s="62" t="str">
        <f>'F Fraternity'!A4</f>
        <v>F1</v>
      </c>
      <c r="C10" s="63" t="str">
        <f>'F Fraternity'!B4</f>
        <v>Chapter Size (as of Fall academic term)</v>
      </c>
      <c r="D10" s="116" t="s">
        <v>307</v>
      </c>
      <c r="E10" s="87">
        <f>'F Fraternity'!L4</f>
        <v>1</v>
      </c>
      <c r="F10" s="115">
        <v>0</v>
      </c>
      <c r="G10" s="87">
        <f>'F Fraternity'!M4</f>
        <v>1</v>
      </c>
      <c r="H10" s="130">
        <v>0</v>
      </c>
      <c r="I10" s="133"/>
    </row>
    <row r="11" spans="1:12" ht="18" customHeight="1">
      <c r="A11" s="39"/>
      <c r="B11" s="31" t="str">
        <f>'F Fraternity'!A5</f>
        <v>F2</v>
      </c>
      <c r="C11" s="32" t="str">
        <f>'F Fraternity'!B5</f>
        <v>Chapter Growth</v>
      </c>
      <c r="D11" s="116" t="s">
        <v>307</v>
      </c>
      <c r="E11" s="88">
        <f>'F Fraternity'!L5</f>
        <v>1</v>
      </c>
      <c r="F11" s="116">
        <v>0</v>
      </c>
      <c r="G11" s="88">
        <f>'F Fraternity'!M5</f>
        <v>1</v>
      </c>
      <c r="H11" s="125">
        <v>0</v>
      </c>
      <c r="I11" s="141"/>
    </row>
    <row r="12" spans="1:12" ht="18" customHeight="1">
      <c r="A12" s="39"/>
      <c r="B12" s="31" t="str">
        <f>'F Fraternity'!A6</f>
        <v>F3</v>
      </c>
      <c r="C12" s="32" t="str">
        <f>'F Fraternity'!B6</f>
        <v>Recruitment</v>
      </c>
      <c r="D12" s="116" t="s">
        <v>307</v>
      </c>
      <c r="E12" s="88">
        <f>'F Fraternity'!L6</f>
        <v>1</v>
      </c>
      <c r="F12" s="116">
        <v>0</v>
      </c>
      <c r="G12" s="88">
        <f>'F Fraternity'!M6</f>
        <v>1</v>
      </c>
      <c r="H12" s="125">
        <v>0</v>
      </c>
      <c r="I12" s="134"/>
    </row>
    <row r="13" spans="1:12" ht="18" customHeight="1">
      <c r="A13" s="39"/>
      <c r="B13" s="31" t="str">
        <f>'F Fraternity'!A7</f>
        <v>F4</v>
      </c>
      <c r="C13" s="32" t="str">
        <f>'F Fraternity'!B7</f>
        <v>New Member Education</v>
      </c>
      <c r="D13" s="116" t="s">
        <v>307</v>
      </c>
      <c r="E13" s="88">
        <f>'F Fraternity'!L7</f>
        <v>0</v>
      </c>
      <c r="F13" s="117"/>
      <c r="G13" s="88">
        <f>'F Fraternity'!M7</f>
        <v>1</v>
      </c>
      <c r="H13" s="125">
        <v>0</v>
      </c>
      <c r="I13" s="134"/>
    </row>
    <row r="14" spans="1:12" ht="18" customHeight="1">
      <c r="A14" s="39"/>
      <c r="B14" s="31" t="str">
        <f>'F Fraternity'!A8</f>
        <v>F5</v>
      </c>
      <c r="C14" s="32" t="str">
        <f>'F Fraternity'!B8</f>
        <v>Ritual</v>
      </c>
      <c r="D14" s="116" t="s">
        <v>307</v>
      </c>
      <c r="E14" s="88">
        <f>'F Fraternity'!L8</f>
        <v>0</v>
      </c>
      <c r="F14" s="117"/>
      <c r="G14" s="88">
        <f>'F Fraternity'!M8</f>
        <v>1</v>
      </c>
      <c r="H14" s="125">
        <v>0</v>
      </c>
      <c r="I14" s="134"/>
    </row>
    <row r="15" spans="1:12" ht="18" customHeight="1">
      <c r="A15" s="39"/>
      <c r="B15" s="31" t="str">
        <f>'F Fraternity'!A9</f>
        <v>F6</v>
      </c>
      <c r="C15" s="32" t="str">
        <f>'F Fraternity'!B9</f>
        <v>Brotherhood</v>
      </c>
      <c r="D15" s="116" t="s">
        <v>307</v>
      </c>
      <c r="E15" s="88">
        <f>'F Fraternity'!L9</f>
        <v>1</v>
      </c>
      <c r="F15" s="116">
        <v>0</v>
      </c>
      <c r="G15" s="88">
        <f>'F Fraternity'!M9</f>
        <v>1</v>
      </c>
      <c r="H15" s="125">
        <v>0</v>
      </c>
      <c r="I15" s="134"/>
    </row>
    <row r="16" spans="1:12" ht="18" customHeight="1" thickBot="1">
      <c r="A16" s="39"/>
      <c r="B16" s="33" t="str">
        <f>'F Fraternity'!A10</f>
        <v>F7</v>
      </c>
      <c r="C16" s="34" t="str">
        <f>'F Fraternity'!B10</f>
        <v>Alumni Relations</v>
      </c>
      <c r="D16" s="118" t="s">
        <v>307</v>
      </c>
      <c r="E16" s="88">
        <f>'F Fraternity'!L10</f>
        <v>1</v>
      </c>
      <c r="F16" s="118">
        <v>0</v>
      </c>
      <c r="G16" s="88">
        <f>'F Fraternity'!M10</f>
        <v>1</v>
      </c>
      <c r="H16" s="131">
        <v>0</v>
      </c>
      <c r="I16" s="135"/>
    </row>
    <row r="17" spans="1:9" ht="18" customHeight="1" thickTop="1" thickBot="1">
      <c r="A17" s="39"/>
      <c r="B17" s="42" t="s">
        <v>168</v>
      </c>
      <c r="C17" s="43"/>
      <c r="D17" s="43"/>
      <c r="E17" s="80">
        <f>SUM(E10:E16)</f>
        <v>5</v>
      </c>
      <c r="F17" s="81">
        <f>SUM(F10:F16)</f>
        <v>0</v>
      </c>
      <c r="G17" s="85">
        <f>SUM(G10:G16)</f>
        <v>7</v>
      </c>
      <c r="H17" s="83">
        <f>SUM(H10:H16)</f>
        <v>0</v>
      </c>
      <c r="I17" s="136"/>
    </row>
    <row r="18" spans="1:9" ht="5.0999999999999996" customHeight="1" thickBot="1">
      <c r="A18" s="40"/>
      <c r="B18" s="35"/>
      <c r="C18" s="35"/>
      <c r="D18" s="35"/>
      <c r="E18" s="36"/>
      <c r="F18" s="36"/>
      <c r="G18" s="36"/>
      <c r="H18" s="35"/>
      <c r="I18" s="137"/>
    </row>
    <row r="19" spans="1:9" ht="18" customHeight="1">
      <c r="A19" s="41" t="s">
        <v>44</v>
      </c>
      <c r="B19" s="44" t="str">
        <f>'FC Financial Commitment'!A4</f>
        <v>FC1</v>
      </c>
      <c r="C19" s="45" t="str">
        <f>'FC Financial Commitment'!B4</f>
        <v>Chapter Financial Commitments</v>
      </c>
      <c r="D19" s="119" t="s">
        <v>307</v>
      </c>
      <c r="E19" s="89">
        <f>'FC Financial Commitment'!L4</f>
        <v>1</v>
      </c>
      <c r="F19" s="119">
        <v>0</v>
      </c>
      <c r="G19" s="89">
        <f>'FC Financial Commitment'!M4</f>
        <v>0</v>
      </c>
      <c r="H19" s="117"/>
      <c r="I19" s="138"/>
    </row>
    <row r="20" spans="1:9" ht="18" customHeight="1">
      <c r="A20" s="39"/>
      <c r="B20" s="31" t="str">
        <f>'FC Financial Commitment'!A5</f>
        <v>FC2</v>
      </c>
      <c r="C20" s="32" t="str">
        <f>'FC Financial Commitment'!B5</f>
        <v>Personal Financial Commitments</v>
      </c>
      <c r="D20" s="125" t="s">
        <v>307</v>
      </c>
      <c r="E20" s="89">
        <f>'FC Financial Commitment'!L5</f>
        <v>1</v>
      </c>
      <c r="F20" s="116">
        <v>0</v>
      </c>
      <c r="G20" s="89">
        <f>'FC Financial Commitment'!M5</f>
        <v>1</v>
      </c>
      <c r="H20" s="125">
        <v>0</v>
      </c>
      <c r="I20" s="134"/>
    </row>
    <row r="21" spans="1:9" ht="18" customHeight="1">
      <c r="A21" s="39"/>
      <c r="B21" s="31" t="str">
        <f>'FC Financial Commitment'!A6</f>
        <v>FC3</v>
      </c>
      <c r="C21" s="32" t="str">
        <f>'FC Financial Commitment'!B6</f>
        <v>Financial Planning &amp; Management</v>
      </c>
      <c r="D21" s="125" t="s">
        <v>307</v>
      </c>
      <c r="E21" s="89">
        <f>'FC Financial Commitment'!L6</f>
        <v>1</v>
      </c>
      <c r="F21" s="116">
        <v>0</v>
      </c>
      <c r="G21" s="89">
        <f>'FC Financial Commitment'!M6</f>
        <v>1</v>
      </c>
      <c r="H21" s="125">
        <v>0</v>
      </c>
      <c r="I21" s="134"/>
    </row>
    <row r="22" spans="1:9" ht="18" customHeight="1">
      <c r="A22" s="39"/>
      <c r="B22" s="31" t="str">
        <f>'FC Financial Commitment'!A7</f>
        <v>FC4</v>
      </c>
      <c r="C22" s="32" t="str">
        <f>'FC Financial Commitment'!B7</f>
        <v>Financial Reporting</v>
      </c>
      <c r="D22" s="125" t="s">
        <v>307</v>
      </c>
      <c r="E22" s="89">
        <f>'FC Financial Commitment'!L7</f>
        <v>1</v>
      </c>
      <c r="F22" s="116">
        <v>0</v>
      </c>
      <c r="G22" s="89">
        <f>'FC Financial Commitment'!M7</f>
        <v>0</v>
      </c>
      <c r="H22" s="124"/>
      <c r="I22" s="134"/>
    </row>
    <row r="23" spans="1:9" ht="18" customHeight="1" thickBot="1">
      <c r="A23" s="39"/>
      <c r="B23" s="46" t="str">
        <f>'FC Financial Commitment'!A8</f>
        <v>FC5</v>
      </c>
      <c r="C23" s="47" t="str">
        <f>'FC Financial Commitment'!B8</f>
        <v>Regulatory Compliance</v>
      </c>
      <c r="D23" s="126" t="s">
        <v>307</v>
      </c>
      <c r="E23" s="89">
        <f>'FC Financial Commitment'!L8</f>
        <v>0</v>
      </c>
      <c r="F23" s="120"/>
      <c r="G23" s="89">
        <f>'FC Financial Commitment'!M8</f>
        <v>0</v>
      </c>
      <c r="H23" s="129"/>
      <c r="I23" s="139"/>
    </row>
    <row r="24" spans="1:9" ht="18" customHeight="1" thickTop="1" thickBot="1">
      <c r="A24" s="39"/>
      <c r="B24" s="42" t="s">
        <v>168</v>
      </c>
      <c r="C24" s="43"/>
      <c r="D24" s="43"/>
      <c r="E24" s="80">
        <f>SUM(E19:E23)</f>
        <v>4</v>
      </c>
      <c r="F24" s="81">
        <f>SUM(F19:F23)</f>
        <v>0</v>
      </c>
      <c r="G24" s="85">
        <f>SUM(G19:G23)</f>
        <v>2</v>
      </c>
      <c r="H24" s="83">
        <f>SUM(H19:H23)</f>
        <v>0</v>
      </c>
      <c r="I24" s="136"/>
    </row>
    <row r="25" spans="1:9" ht="5.0999999999999996" customHeight="1" thickBot="1">
      <c r="A25" s="40"/>
      <c r="B25" s="35"/>
      <c r="C25" s="35"/>
      <c r="D25" s="35"/>
      <c r="E25" s="36"/>
      <c r="F25" s="36"/>
      <c r="G25" s="36"/>
      <c r="H25" s="36"/>
      <c r="I25" s="137"/>
    </row>
    <row r="26" spans="1:9" ht="18" customHeight="1">
      <c r="A26" s="38" t="s">
        <v>45</v>
      </c>
      <c r="B26" s="29" t="str">
        <f>'PC Personal Conduct'!A4</f>
        <v>PC1</v>
      </c>
      <c r="C26" s="30" t="str">
        <f>'PC Personal Conduct'!B4</f>
        <v>Conduct</v>
      </c>
      <c r="D26" s="121" t="s">
        <v>307</v>
      </c>
      <c r="E26" s="90">
        <f>'PC Personal Conduct'!L4</f>
        <v>1</v>
      </c>
      <c r="F26" s="121">
        <v>0</v>
      </c>
      <c r="G26" s="88">
        <f>'PC Personal Conduct'!M4</f>
        <v>1</v>
      </c>
      <c r="H26" s="128">
        <v>0</v>
      </c>
      <c r="I26" s="140"/>
    </row>
    <row r="27" spans="1:9" ht="18" customHeight="1">
      <c r="A27" s="39"/>
      <c r="B27" s="31" t="str">
        <f>'PC Personal Conduct'!A5</f>
        <v>PC2</v>
      </c>
      <c r="C27" s="32" t="str">
        <f>'PC Personal Conduct'!B5</f>
        <v>Accountability</v>
      </c>
      <c r="D27" s="125" t="s">
        <v>307</v>
      </c>
      <c r="E27" s="88">
        <f>'PC Personal Conduct'!L5</f>
        <v>0</v>
      </c>
      <c r="F27" s="117"/>
      <c r="G27" s="88">
        <f>'PC Personal Conduct'!M5</f>
        <v>1</v>
      </c>
      <c r="H27" s="119">
        <v>0</v>
      </c>
      <c r="I27" s="134"/>
    </row>
    <row r="28" spans="1:9" ht="18" customHeight="1" thickBot="1">
      <c r="A28" s="39"/>
      <c r="B28" s="46" t="str">
        <f>'PC Personal Conduct'!A6</f>
        <v>PC3</v>
      </c>
      <c r="C28" s="47" t="str">
        <f>'PC Personal Conduct'!B6</f>
        <v>Risk Management</v>
      </c>
      <c r="D28" s="131" t="s">
        <v>307</v>
      </c>
      <c r="E28" s="91">
        <f>'PC Personal Conduct'!L6</f>
        <v>1</v>
      </c>
      <c r="F28" s="118">
        <v>0</v>
      </c>
      <c r="G28" s="91">
        <f>'PC Personal Conduct'!M6</f>
        <v>1</v>
      </c>
      <c r="H28" s="119">
        <v>0</v>
      </c>
      <c r="I28" s="139"/>
    </row>
    <row r="29" spans="1:9" ht="18" customHeight="1" thickTop="1" thickBot="1">
      <c r="A29" s="39"/>
      <c r="B29" s="42" t="s">
        <v>168</v>
      </c>
      <c r="C29" s="43"/>
      <c r="D29" s="43"/>
      <c r="E29" s="80">
        <f>SUM(E26:E28)</f>
        <v>2</v>
      </c>
      <c r="F29" s="81">
        <f>SUM(F26:F28)</f>
        <v>0</v>
      </c>
      <c r="G29" s="85">
        <f>SUM(G26:G28)</f>
        <v>3</v>
      </c>
      <c r="H29" s="83">
        <f>SUM(H26:H28)</f>
        <v>0</v>
      </c>
      <c r="I29" s="136"/>
    </row>
    <row r="30" spans="1:9" ht="5.0999999999999996" customHeight="1" thickBot="1">
      <c r="A30" s="40"/>
      <c r="B30" s="35"/>
      <c r="C30" s="35"/>
      <c r="D30" s="35"/>
      <c r="E30" s="36"/>
      <c r="F30" s="36"/>
      <c r="G30" s="36"/>
      <c r="H30" s="35"/>
      <c r="I30" s="137"/>
    </row>
    <row r="31" spans="1:9" ht="18" customHeight="1">
      <c r="A31" s="38" t="s">
        <v>46</v>
      </c>
      <c r="B31" s="29" t="str">
        <f>'L Leadership'!A4</f>
        <v>L1</v>
      </c>
      <c r="C31" s="30" t="str">
        <f>'L Leadership'!B4</f>
        <v>Chapter Organization</v>
      </c>
      <c r="D31" s="121" t="s">
        <v>307</v>
      </c>
      <c r="E31" s="92">
        <f>'L Leadership'!L4</f>
        <v>1</v>
      </c>
      <c r="F31" s="121">
        <v>0</v>
      </c>
      <c r="G31" s="93">
        <f>'L Leadership'!M4</f>
        <v>1</v>
      </c>
      <c r="H31" s="123">
        <v>0</v>
      </c>
      <c r="I31" s="140"/>
    </row>
    <row r="32" spans="1:9" ht="18" customHeight="1">
      <c r="A32" s="39"/>
      <c r="B32" s="31" t="str">
        <f>'L Leadership'!A5</f>
        <v>L2</v>
      </c>
      <c r="C32" s="32" t="str">
        <f>'L Leadership'!B5</f>
        <v>Strategic Planning</v>
      </c>
      <c r="D32" s="125" t="s">
        <v>307</v>
      </c>
      <c r="E32" s="94">
        <f>'L Leadership'!L5</f>
        <v>1</v>
      </c>
      <c r="F32" s="116">
        <v>0</v>
      </c>
      <c r="G32" s="88">
        <f>'L Leadership'!M5</f>
        <v>0</v>
      </c>
      <c r="H32" s="124"/>
      <c r="I32" s="134"/>
    </row>
    <row r="33" spans="1:9" ht="18" customHeight="1">
      <c r="A33" s="39"/>
      <c r="B33" s="31" t="str">
        <f>'L Leadership'!A6</f>
        <v>L3</v>
      </c>
      <c r="C33" s="32" t="str">
        <f>'L Leadership'!B6</f>
        <v>Continuity</v>
      </c>
      <c r="D33" s="125" t="s">
        <v>307</v>
      </c>
      <c r="E33" s="94">
        <f>'L Leadership'!L6</f>
        <v>1</v>
      </c>
      <c r="F33" s="116">
        <v>0</v>
      </c>
      <c r="G33" s="88">
        <f>'L Leadership'!M6</f>
        <v>1</v>
      </c>
      <c r="H33" s="125">
        <v>0</v>
      </c>
      <c r="I33" s="134"/>
    </row>
    <row r="34" spans="1:9" ht="18" customHeight="1">
      <c r="A34" s="39"/>
      <c r="B34" s="31" t="str">
        <f>'L Leadership'!A7</f>
        <v>L4</v>
      </c>
      <c r="C34" s="32" t="str">
        <f>'L Leadership'!B7</f>
        <v>Advising Structure</v>
      </c>
      <c r="D34" s="125" t="s">
        <v>307</v>
      </c>
      <c r="E34" s="94">
        <f>'L Leadership'!L7</f>
        <v>1</v>
      </c>
      <c r="F34" s="116">
        <v>0</v>
      </c>
      <c r="G34" s="88">
        <f>'L Leadership'!M7</f>
        <v>1</v>
      </c>
      <c r="H34" s="125">
        <v>0</v>
      </c>
      <c r="I34" s="134"/>
    </row>
    <row r="35" spans="1:9" ht="18" customHeight="1" thickBot="1">
      <c r="A35" s="39"/>
      <c r="B35" s="46" t="str">
        <f>'L Leadership'!A8</f>
        <v>L5</v>
      </c>
      <c r="C35" s="47" t="str">
        <f>'L Leadership'!B8</f>
        <v>Written Plans</v>
      </c>
      <c r="D35" s="126" t="s">
        <v>307</v>
      </c>
      <c r="E35" s="91">
        <f>'L Leadership'!L8</f>
        <v>1</v>
      </c>
      <c r="F35" s="122">
        <v>0</v>
      </c>
      <c r="G35" s="91">
        <f>'L Leadership'!M8</f>
        <v>1</v>
      </c>
      <c r="H35" s="126">
        <v>0</v>
      </c>
      <c r="I35" s="139"/>
    </row>
    <row r="36" spans="1:9" ht="18" customHeight="1" thickTop="1" thickBot="1">
      <c r="A36" s="39"/>
      <c r="B36" s="42" t="s">
        <v>168</v>
      </c>
      <c r="C36" s="43"/>
      <c r="D36" s="43"/>
      <c r="E36" s="80">
        <f>SUM(E31:E35)</f>
        <v>5</v>
      </c>
      <c r="F36" s="81">
        <f>SUM(F31:F35)</f>
        <v>0</v>
      </c>
      <c r="G36" s="84">
        <f>SUM(G31:G35)</f>
        <v>4</v>
      </c>
      <c r="H36" s="83">
        <f>SUM(H31:H35)</f>
        <v>0</v>
      </c>
      <c r="I36" s="136"/>
    </row>
    <row r="37" spans="1:9" ht="5.0999999999999996" customHeight="1" thickBot="1">
      <c r="A37" s="40"/>
      <c r="B37" s="35"/>
      <c r="C37" s="35"/>
      <c r="D37" s="35"/>
      <c r="E37" s="35"/>
      <c r="F37" s="36"/>
      <c r="G37" s="36"/>
      <c r="H37" s="35"/>
      <c r="I37" s="137"/>
    </row>
    <row r="38" spans="1:9" ht="18" customHeight="1">
      <c r="A38" s="38" t="s">
        <v>47</v>
      </c>
      <c r="B38" s="29" t="str">
        <f>'S Scholarship'!A4</f>
        <v>S1</v>
      </c>
      <c r="C38" s="30" t="str">
        <f>'S Scholarship'!B4</f>
        <v>Academic Performance</v>
      </c>
      <c r="D38" s="121" t="s">
        <v>307</v>
      </c>
      <c r="E38" s="95">
        <f>'S Scholarship'!L4</f>
        <v>1</v>
      </c>
      <c r="F38" s="121">
        <v>0</v>
      </c>
      <c r="G38" s="95">
        <f>'S Scholarship'!M4</f>
        <v>1</v>
      </c>
      <c r="H38" s="123">
        <v>0</v>
      </c>
      <c r="I38" s="140"/>
    </row>
    <row r="39" spans="1:9" ht="18" customHeight="1">
      <c r="A39" s="39"/>
      <c r="B39" s="31" t="str">
        <f>'S Scholarship'!A5</f>
        <v>S2</v>
      </c>
      <c r="C39" s="32" t="str">
        <f>'S Scholarship'!B5</f>
        <v>Programming</v>
      </c>
      <c r="D39" s="125" t="s">
        <v>307</v>
      </c>
      <c r="E39" s="95">
        <f>'S Scholarship'!L5</f>
        <v>1</v>
      </c>
      <c r="F39" s="116">
        <v>0</v>
      </c>
      <c r="G39" s="95">
        <f>'S Scholarship'!M5</f>
        <v>1</v>
      </c>
      <c r="H39" s="125">
        <v>0</v>
      </c>
      <c r="I39" s="134"/>
    </row>
    <row r="40" spans="1:9" ht="18" customHeight="1" thickBot="1">
      <c r="A40" s="39"/>
      <c r="B40" s="46" t="str">
        <f>'S Scholarship'!A6</f>
        <v>S3</v>
      </c>
      <c r="C40" s="47" t="str">
        <f>'S Scholarship'!B6</f>
        <v>PKS Scholarships</v>
      </c>
      <c r="D40" s="126" t="s">
        <v>307</v>
      </c>
      <c r="E40" s="95">
        <f>'S Scholarship'!L6</f>
        <v>1</v>
      </c>
      <c r="F40" s="122">
        <v>0</v>
      </c>
      <c r="G40" s="95">
        <f>'S Scholarship'!M6</f>
        <v>1</v>
      </c>
      <c r="H40" s="126">
        <v>0</v>
      </c>
      <c r="I40" s="139"/>
    </row>
    <row r="41" spans="1:9" ht="18" customHeight="1" thickTop="1" thickBot="1">
      <c r="A41" s="39"/>
      <c r="B41" s="42" t="s">
        <v>168</v>
      </c>
      <c r="C41" s="43"/>
      <c r="D41" s="43"/>
      <c r="E41" s="80">
        <f>SUM(E38:E40)</f>
        <v>3</v>
      </c>
      <c r="F41" s="81">
        <f>SUM(F38:F40)</f>
        <v>0</v>
      </c>
      <c r="G41" s="85">
        <f>SUM(G38:G40)</f>
        <v>3</v>
      </c>
      <c r="H41" s="83">
        <f>SUM(H38:H40)</f>
        <v>0</v>
      </c>
      <c r="I41" s="136"/>
    </row>
    <row r="42" spans="1:9" ht="5.0999999999999996" customHeight="1" thickBot="1">
      <c r="A42" s="40"/>
      <c r="B42" s="35"/>
      <c r="C42" s="35"/>
      <c r="D42" s="35"/>
      <c r="E42" s="35"/>
      <c r="F42" s="35"/>
      <c r="G42" s="35"/>
      <c r="H42" s="127"/>
      <c r="I42" s="137"/>
    </row>
    <row r="43" spans="1:9" ht="18" customHeight="1">
      <c r="A43" s="38" t="s">
        <v>175</v>
      </c>
      <c r="B43" s="29" t="str">
        <f>'CR Collegiate-Comm Relations'!A4</f>
        <v>CR1</v>
      </c>
      <c r="C43" s="30" t="str">
        <f>'CR Collegiate-Comm Relations'!B4</f>
        <v>Philanthropy</v>
      </c>
      <c r="D43" s="121" t="s">
        <v>307</v>
      </c>
      <c r="E43" s="95">
        <f>'CR Collegiate-Comm Relations'!L4</f>
        <v>1</v>
      </c>
      <c r="F43" s="121">
        <v>0</v>
      </c>
      <c r="G43" s="95">
        <f>'CR Collegiate-Comm Relations'!M4</f>
        <v>1</v>
      </c>
      <c r="H43" s="123">
        <v>0</v>
      </c>
      <c r="I43" s="140"/>
    </row>
    <row r="44" spans="1:9" ht="18" customHeight="1">
      <c r="A44" s="39"/>
      <c r="B44" s="31" t="str">
        <f>'CR Collegiate-Comm Relations'!A5</f>
        <v>CR2</v>
      </c>
      <c r="C44" s="32" t="str">
        <f>'CR Collegiate-Comm Relations'!B5</f>
        <v>Community Service</v>
      </c>
      <c r="D44" s="125" t="s">
        <v>307</v>
      </c>
      <c r="E44" s="95">
        <f>'CR Collegiate-Comm Relations'!L5</f>
        <v>1</v>
      </c>
      <c r="F44" s="116">
        <v>0</v>
      </c>
      <c r="G44" s="95">
        <f>'CR Collegiate-Comm Relations'!M5</f>
        <v>1</v>
      </c>
      <c r="H44" s="125">
        <v>0</v>
      </c>
      <c r="I44" s="134"/>
    </row>
    <row r="45" spans="1:9" ht="18" customHeight="1">
      <c r="A45" s="39"/>
      <c r="B45" s="31" t="str">
        <f>'CR Collegiate-Comm Relations'!A6</f>
        <v>CR3</v>
      </c>
      <c r="C45" s="32" t="str">
        <f>'CR Collegiate-Comm Relations'!B6</f>
        <v>Support for International Partners</v>
      </c>
      <c r="D45" s="125" t="s">
        <v>307</v>
      </c>
      <c r="E45" s="95">
        <f>'CR Collegiate-Comm Relations'!L6</f>
        <v>1</v>
      </c>
      <c r="F45" s="116">
        <v>0</v>
      </c>
      <c r="G45" s="95">
        <f>'CR Collegiate-Comm Relations'!M6</f>
        <v>0</v>
      </c>
      <c r="H45" s="124"/>
      <c r="I45" s="134"/>
    </row>
    <row r="46" spans="1:9" ht="18" customHeight="1">
      <c r="A46" s="39"/>
      <c r="B46" s="31" t="str">
        <f>'CR Collegiate-Comm Relations'!A7</f>
        <v>CR4</v>
      </c>
      <c r="C46" s="32" t="str">
        <f>'CR Collegiate-Comm Relations'!B7</f>
        <v>College/University Relations</v>
      </c>
      <c r="D46" s="125" t="s">
        <v>307</v>
      </c>
      <c r="E46" s="95">
        <f>'CR Collegiate-Comm Relations'!L7</f>
        <v>1</v>
      </c>
      <c r="F46" s="116">
        <v>0</v>
      </c>
      <c r="G46" s="95">
        <f>'CR Collegiate-Comm Relations'!M7</f>
        <v>1</v>
      </c>
      <c r="H46" s="125">
        <v>0</v>
      </c>
      <c r="I46" s="134"/>
    </row>
    <row r="47" spans="1:9" ht="18" customHeight="1">
      <c r="A47" s="39"/>
      <c r="B47" s="31" t="str">
        <f>'CR Collegiate-Comm Relations'!A8</f>
        <v>CR5</v>
      </c>
      <c r="C47" s="32" t="str">
        <f>'CR Collegiate-Comm Relations'!B8</f>
        <v>IFC/Greek Council Relations</v>
      </c>
      <c r="D47" s="125" t="s">
        <v>307</v>
      </c>
      <c r="E47" s="95">
        <f>'CR Collegiate-Comm Relations'!L8</f>
        <v>1</v>
      </c>
      <c r="F47" s="116">
        <v>0</v>
      </c>
      <c r="G47" s="95">
        <f>'CR Collegiate-Comm Relations'!M8</f>
        <v>1</v>
      </c>
      <c r="H47" s="125">
        <v>0</v>
      </c>
      <c r="I47" s="134"/>
    </row>
    <row r="48" spans="1:9" ht="18" customHeight="1">
      <c r="A48" s="39"/>
      <c r="B48" s="31" t="str">
        <f>'CR Collegiate-Comm Relations'!A9</f>
        <v>CR6</v>
      </c>
      <c r="C48" s="32" t="str">
        <f>'CR Collegiate-Comm Relations'!B9</f>
        <v>Campus Community Relations</v>
      </c>
      <c r="D48" s="125" t="s">
        <v>307</v>
      </c>
      <c r="E48" s="95">
        <f>'CR Collegiate-Comm Relations'!L9</f>
        <v>1</v>
      </c>
      <c r="F48" s="116">
        <v>0</v>
      </c>
      <c r="G48" s="95">
        <f>'CR Collegiate-Comm Relations'!M9</f>
        <v>1</v>
      </c>
      <c r="H48" s="125">
        <v>0</v>
      </c>
      <c r="I48" s="134"/>
    </row>
    <row r="49" spans="1:9" ht="18" customHeight="1">
      <c r="A49" s="39"/>
      <c r="B49" s="31" t="str">
        <f>'CR Collegiate-Comm Relations'!A10</f>
        <v>CR7</v>
      </c>
      <c r="C49" s="32" t="str">
        <f>'CR Collegiate-Comm Relations'!B10</f>
        <v>Intramural Sports</v>
      </c>
      <c r="D49" s="146"/>
      <c r="E49" s="95">
        <f>'CR Collegiate-Comm Relations'!L10</f>
        <v>1</v>
      </c>
      <c r="F49" s="116">
        <v>0</v>
      </c>
      <c r="G49" s="95">
        <f>'CR Collegiate-Comm Relations'!M10</f>
        <v>1</v>
      </c>
      <c r="H49" s="125">
        <v>0</v>
      </c>
      <c r="I49" s="134"/>
    </row>
    <row r="50" spans="1:9" ht="18" customHeight="1" thickBot="1">
      <c r="A50" s="39"/>
      <c r="B50" s="46" t="str">
        <f>'CR Collegiate-Comm Relations'!A11</f>
        <v>CR8</v>
      </c>
      <c r="C50" s="47" t="str">
        <f>'CR Collegiate-Comm Relations'!B11</f>
        <v>Properly-Programmed Events</v>
      </c>
      <c r="D50" s="126" t="s">
        <v>307</v>
      </c>
      <c r="E50" s="95">
        <f>'CR Collegiate-Comm Relations'!L11</f>
        <v>1</v>
      </c>
      <c r="F50" s="122">
        <v>0</v>
      </c>
      <c r="G50" s="95">
        <f>'CR Collegiate-Comm Relations'!M11</f>
        <v>1</v>
      </c>
      <c r="H50" s="126">
        <v>0</v>
      </c>
      <c r="I50" s="139"/>
    </row>
    <row r="51" spans="1:9" ht="18" customHeight="1" thickTop="1" thickBot="1">
      <c r="A51" s="39"/>
      <c r="B51" s="42" t="s">
        <v>168</v>
      </c>
      <c r="C51" s="43"/>
      <c r="D51" s="43"/>
      <c r="E51" s="80">
        <f>SUM(E43:E50)</f>
        <v>8</v>
      </c>
      <c r="F51" s="81">
        <f>SUM(F43:F50)</f>
        <v>0</v>
      </c>
      <c r="G51" s="85">
        <f>SUM(G43:G50)</f>
        <v>7</v>
      </c>
      <c r="H51" s="83">
        <f>SUM(H43:H50)</f>
        <v>0</v>
      </c>
      <c r="I51" s="136"/>
    </row>
    <row r="52" spans="1:9" ht="5.0999999999999996" customHeight="1" thickBot="1">
      <c r="A52" s="40"/>
      <c r="B52" s="35"/>
      <c r="C52" s="35"/>
      <c r="D52" s="35"/>
      <c r="E52" s="35"/>
      <c r="F52" s="35"/>
      <c r="G52" s="35"/>
      <c r="H52" s="35"/>
      <c r="I52" s="137"/>
    </row>
    <row r="53" spans="1:9" ht="18" customHeight="1">
      <c r="A53" s="38" t="s">
        <v>49</v>
      </c>
      <c r="B53" s="29" t="str">
        <f>'PD Pers Development'!A4</f>
        <v>PD1</v>
      </c>
      <c r="C53" s="30" t="str">
        <f>'PD Pers Development'!B4</f>
        <v>Fraternal Leadership Programs</v>
      </c>
      <c r="D53" s="121" t="s">
        <v>307</v>
      </c>
      <c r="E53" s="95">
        <f>'PD Pers Development'!L4</f>
        <v>1</v>
      </c>
      <c r="F53" s="121">
        <v>0</v>
      </c>
      <c r="G53" s="95">
        <f>'PD Pers Development'!M4</f>
        <v>1</v>
      </c>
      <c r="H53" s="123">
        <v>0</v>
      </c>
      <c r="I53" s="140"/>
    </row>
    <row r="54" spans="1:9" ht="18" customHeight="1">
      <c r="A54" s="39"/>
      <c r="B54" s="31" t="str">
        <f>'PD Pers Development'!A5</f>
        <v>PD2</v>
      </c>
      <c r="C54" s="32" t="str">
        <f>'PD Pers Development'!B5</f>
        <v>Non-Fraternal Leadership Programs</v>
      </c>
      <c r="D54" s="125" t="s">
        <v>307</v>
      </c>
      <c r="E54" s="95">
        <f>'PD Pers Development'!L5</f>
        <v>1</v>
      </c>
      <c r="F54" s="116">
        <v>0</v>
      </c>
      <c r="G54" s="95">
        <f>'PD Pers Development'!M5</f>
        <v>1</v>
      </c>
      <c r="H54" s="125">
        <v>0</v>
      </c>
      <c r="I54" s="134"/>
    </row>
    <row r="55" spans="1:9" ht="18" customHeight="1">
      <c r="A55" s="39"/>
      <c r="B55" s="31" t="str">
        <f>'PD Pers Development'!A6</f>
        <v>PD3</v>
      </c>
      <c r="C55" s="32" t="str">
        <f>'PD Pers Development'!B6</f>
        <v>Mentoring</v>
      </c>
      <c r="D55" s="146"/>
      <c r="E55" s="95">
        <f>'PD Pers Development'!L6</f>
        <v>1</v>
      </c>
      <c r="F55" s="116">
        <v>0</v>
      </c>
      <c r="G55" s="95">
        <f>'PD Pers Development'!M6</f>
        <v>1</v>
      </c>
      <c r="H55" s="125">
        <v>0</v>
      </c>
      <c r="I55" s="134"/>
    </row>
    <row r="56" spans="1:9" ht="18" customHeight="1">
      <c r="A56" s="39"/>
      <c r="B56" s="31" t="str">
        <f>'PD Pers Development'!A7</f>
        <v>PD4</v>
      </c>
      <c r="C56" s="32" t="str">
        <f>'PD Pers Development'!B7</f>
        <v>GreekLife.edu</v>
      </c>
      <c r="D56" s="125" t="s">
        <v>307</v>
      </c>
      <c r="E56" s="95">
        <f>'PD Pers Development'!L7</f>
        <v>0</v>
      </c>
      <c r="F56" s="117"/>
      <c r="G56" s="95">
        <f>'PD Pers Development'!M7</f>
        <v>1</v>
      </c>
      <c r="H56" s="125">
        <v>0</v>
      </c>
      <c r="I56" s="134"/>
    </row>
    <row r="57" spans="1:9" ht="18" customHeight="1" thickBot="1">
      <c r="A57" s="39"/>
      <c r="B57" s="46" t="str">
        <f>'PD Pers Development'!A8</f>
        <v>PD5</v>
      </c>
      <c r="C57" s="47" t="str">
        <f>'PD Pers Development'!B8</f>
        <v>Member Development Programming</v>
      </c>
      <c r="D57" s="146"/>
      <c r="E57" s="95">
        <f>'PD Pers Development'!L8</f>
        <v>1</v>
      </c>
      <c r="F57" s="122">
        <v>0</v>
      </c>
      <c r="G57" s="95">
        <f>'PD Pers Development'!M8</f>
        <v>1</v>
      </c>
      <c r="H57" s="126">
        <v>0</v>
      </c>
      <c r="I57" s="139"/>
    </row>
    <row r="58" spans="1:9" ht="18" customHeight="1" thickTop="1" thickBot="1">
      <c r="A58" s="39"/>
      <c r="B58" s="42" t="s">
        <v>168</v>
      </c>
      <c r="C58" s="43"/>
      <c r="D58" s="43"/>
      <c r="E58" s="80">
        <f>SUM(E53:E57)</f>
        <v>4</v>
      </c>
      <c r="F58" s="81">
        <f>SUM(F53:F57)</f>
        <v>0</v>
      </c>
      <c r="G58" s="85">
        <f>SUM(G53:G57)</f>
        <v>5</v>
      </c>
      <c r="H58" s="83">
        <f>SUM(H53:H57)</f>
        <v>0</v>
      </c>
      <c r="I58" s="136"/>
    </row>
    <row r="59" spans="1:9" ht="5.0999999999999996" customHeight="1" thickBot="1">
      <c r="A59" s="40"/>
      <c r="B59" s="35"/>
      <c r="C59" s="35"/>
      <c r="D59" s="35"/>
      <c r="E59" s="35"/>
      <c r="F59" s="35"/>
      <c r="G59" s="36"/>
      <c r="H59" s="35"/>
      <c r="I59" s="137"/>
    </row>
    <row r="60" spans="1:9" ht="18" customHeight="1">
      <c r="A60" s="38" t="s">
        <v>176</v>
      </c>
      <c r="B60" s="29" t="str">
        <f>'IS Intl Support'!A4</f>
        <v>IS1</v>
      </c>
      <c r="C60" s="30" t="str">
        <f>'IS Intl Support'!B4</f>
        <v>Communications</v>
      </c>
      <c r="D60" s="121" t="s">
        <v>307</v>
      </c>
      <c r="E60" s="95">
        <f>'IS Intl Support'!L4</f>
        <v>1</v>
      </c>
      <c r="F60" s="121">
        <v>0</v>
      </c>
      <c r="G60" s="95">
        <f>'IS Intl Support'!M4</f>
        <v>1</v>
      </c>
      <c r="H60" s="123">
        <v>0</v>
      </c>
      <c r="I60" s="140"/>
    </row>
    <row r="61" spans="1:9" ht="18" customHeight="1">
      <c r="A61" s="39"/>
      <c r="B61" s="31" t="str">
        <f>'IS Intl Support'!A5</f>
        <v>IS2</v>
      </c>
      <c r="C61" s="32" t="str">
        <f>'IS Intl Support'!B5</f>
        <v>Reporting</v>
      </c>
      <c r="D61" s="125" t="s">
        <v>307</v>
      </c>
      <c r="E61" s="95">
        <f>'IS Intl Support'!L5</f>
        <v>1</v>
      </c>
      <c r="F61" s="116">
        <v>0</v>
      </c>
      <c r="G61" s="95">
        <f>'IS Intl Support'!M5</f>
        <v>0</v>
      </c>
      <c r="H61" s="124"/>
      <c r="I61" s="134"/>
    </row>
    <row r="62" spans="1:9" ht="18" customHeight="1">
      <c r="A62" s="39"/>
      <c r="B62" s="31" t="str">
        <f>'IS Intl Support'!A6</f>
        <v>IS3</v>
      </c>
      <c r="C62" s="32" t="str">
        <f>'IS Intl Support'!B6</f>
        <v>Expansion/Recruitment Assistance</v>
      </c>
      <c r="D62" s="146"/>
      <c r="E62" s="95">
        <f>'IS Intl Support'!L6</f>
        <v>1</v>
      </c>
      <c r="F62" s="116">
        <v>0</v>
      </c>
      <c r="G62" s="95">
        <f>'IS Intl Support'!M6</f>
        <v>1</v>
      </c>
      <c r="H62" s="125">
        <v>0</v>
      </c>
      <c r="I62" s="134"/>
    </row>
    <row r="63" spans="1:9" ht="18" customHeight="1">
      <c r="A63" s="39"/>
      <c r="B63" s="31" t="str">
        <f>'IS Intl Support'!A7</f>
        <v>IS4</v>
      </c>
      <c r="C63" s="32" t="str">
        <f>'IS Intl Support'!B7</f>
        <v>Member Referrals</v>
      </c>
      <c r="D63" s="146"/>
      <c r="E63" s="95">
        <f>'IS Intl Support'!L7</f>
        <v>1</v>
      </c>
      <c r="F63" s="116">
        <v>0</v>
      </c>
      <c r="G63" s="95">
        <f>'IS Intl Support'!M7</f>
        <v>1</v>
      </c>
      <c r="H63" s="125">
        <v>0</v>
      </c>
      <c r="I63" s="134"/>
    </row>
    <row r="64" spans="1:9" ht="18" customHeight="1" thickBot="1">
      <c r="A64" s="39"/>
      <c r="B64" s="46" t="str">
        <f>'IS Intl Support'!A8</f>
        <v>IS5</v>
      </c>
      <c r="C64" s="47" t="str">
        <f>'IS Intl Support'!B8</f>
        <v>Volunteering/Support</v>
      </c>
      <c r="D64" s="146"/>
      <c r="E64" s="95">
        <f>'IS Intl Support'!L8</f>
        <v>1</v>
      </c>
      <c r="F64" s="122">
        <v>0</v>
      </c>
      <c r="G64" s="95">
        <f>'IS Intl Support'!M8</f>
        <v>1</v>
      </c>
      <c r="H64" s="126">
        <v>0</v>
      </c>
      <c r="I64" s="139"/>
    </row>
    <row r="65" spans="1:10" ht="18" customHeight="1" thickTop="1" thickBot="1">
      <c r="A65" s="39"/>
      <c r="B65" s="42" t="s">
        <v>168</v>
      </c>
      <c r="C65" s="43"/>
      <c r="D65" s="43"/>
      <c r="E65" s="80">
        <f>SUM(E60:E64)</f>
        <v>5</v>
      </c>
      <c r="F65" s="81">
        <f>SUM(F60:F64)</f>
        <v>0</v>
      </c>
      <c r="G65" s="85">
        <f>SUM(G60:G64)</f>
        <v>4</v>
      </c>
      <c r="H65" s="83">
        <f>SUM(H60:H64)</f>
        <v>0</v>
      </c>
      <c r="I65" s="82"/>
    </row>
    <row r="66" spans="1:10" ht="5.0999999999999996" customHeight="1" thickBot="1">
      <c r="A66" s="40"/>
      <c r="B66" s="35"/>
      <c r="C66" s="35"/>
      <c r="D66" s="35"/>
      <c r="E66" s="78"/>
      <c r="F66" s="78"/>
      <c r="G66" s="78"/>
      <c r="H66" s="79"/>
      <c r="I66" s="37"/>
    </row>
    <row r="67" spans="1:10" ht="16.5" thickTop="1" thickBot="1">
      <c r="B67" s="48" t="s">
        <v>173</v>
      </c>
      <c r="C67" s="49"/>
      <c r="D67" s="43">
        <f>COUNTIF(D10:D64, "Y")</f>
        <v>0</v>
      </c>
      <c r="E67" s="81">
        <f>SUM(E17,E24,E29,E36,E41,E51,E58,E65)</f>
        <v>36</v>
      </c>
      <c r="F67" s="81">
        <f>SUM(F17,F24,F29,F36,F41,F51,F58,F65)</f>
        <v>0</v>
      </c>
      <c r="G67" s="81">
        <f>SUM(G17,G24,G29,G36,G41,G51,G58,G65)</f>
        <v>35</v>
      </c>
      <c r="H67" s="81">
        <f>SUM(H17,H24,H29,H36,H41,H51,H58,H65)</f>
        <v>0</v>
      </c>
    </row>
    <row r="68" spans="1:10" ht="15">
      <c r="B68" s="48"/>
      <c r="C68" s="49"/>
      <c r="D68" s="49"/>
      <c r="E68" s="50"/>
      <c r="F68" s="50"/>
      <c r="G68" s="50"/>
      <c r="H68" s="49"/>
    </row>
    <row r="69" spans="1:10" ht="15">
      <c r="B69" s="51" t="s">
        <v>273</v>
      </c>
      <c r="C69" s="49"/>
      <c r="D69" s="49"/>
      <c r="E69" s="50"/>
      <c r="F69" s="50">
        <f>ROUNDUP(F67/E67*100,0)</f>
        <v>0</v>
      </c>
      <c r="G69" s="50"/>
      <c r="H69" s="49"/>
    </row>
    <row r="70" spans="1:10" ht="15.75" thickBot="1">
      <c r="B70" s="52" t="s">
        <v>274</v>
      </c>
      <c r="C70" s="53"/>
      <c r="D70" s="53"/>
      <c r="E70" s="54"/>
      <c r="F70" s="54">
        <f>ROUNDUP(H67/G67*200,0)</f>
        <v>0</v>
      </c>
      <c r="G70" s="50"/>
      <c r="H70" s="49"/>
    </row>
    <row r="71" spans="1:10" ht="15.75" thickTop="1">
      <c r="B71" s="51" t="s">
        <v>172</v>
      </c>
      <c r="C71" s="49"/>
      <c r="D71" s="49"/>
      <c r="E71" s="50"/>
      <c r="F71" s="50">
        <f>SUM(F69:F70)</f>
        <v>0</v>
      </c>
      <c r="G71" s="100" t="str">
        <f>IF(D67=35,"Elgible For Awards","Not Eligible For Awards")</f>
        <v>Not Eligible For Awards</v>
      </c>
      <c r="H71" s="55"/>
    </row>
    <row r="72" spans="1:10">
      <c r="B72" s="20"/>
      <c r="E72" s="25"/>
      <c r="F72" s="25"/>
      <c r="G72" s="25"/>
    </row>
    <row r="73" spans="1:10" s="21" customFormat="1">
      <c r="A73" s="56" t="s">
        <v>78</v>
      </c>
      <c r="E73" s="25"/>
      <c r="F73" s="25"/>
      <c r="G73" s="25"/>
      <c r="I73" s="20"/>
      <c r="J73" s="20"/>
    </row>
    <row r="74" spans="1:10" s="21" customFormat="1">
      <c r="A74" s="10" t="s">
        <v>275</v>
      </c>
      <c r="E74" s="25"/>
      <c r="F74" s="25"/>
      <c r="G74" s="25"/>
      <c r="I74" s="20"/>
      <c r="J74" s="20"/>
    </row>
    <row r="75" spans="1:10" s="21" customFormat="1">
      <c r="A75" s="99"/>
      <c r="E75" s="25"/>
      <c r="F75" s="25"/>
      <c r="G75" s="25"/>
      <c r="I75" s="20"/>
      <c r="J75" s="20"/>
    </row>
    <row r="76" spans="1:10" s="21" customFormat="1">
      <c r="A76" s="24"/>
      <c r="E76" s="25"/>
      <c r="F76" s="25"/>
      <c r="G76" s="25"/>
      <c r="I76" s="20"/>
      <c r="J76" s="20"/>
    </row>
  </sheetData>
  <sheetProtection password="DD16" sheet="1" objects="1" scenarios="1" selectLockedCells="1"/>
  <mergeCells count="1">
    <mergeCell ref="A3:I3"/>
  </mergeCells>
  <conditionalFormatting sqref="D67">
    <cfRule type="cellIs" dxfId="1" priority="1" operator="lessThan">
      <formula>35</formula>
    </cfRule>
    <cfRule type="cellIs" dxfId="0" priority="2" operator="equal">
      <formula>35</formula>
    </cfRule>
  </conditionalFormatting>
  <dataValidations count="2">
    <dataValidation type="whole" allowBlank="1" showInputMessage="1" showErrorMessage="1" errorTitle="Point  Must Equal a 0 or 1" error="Pllease enter a 0 or 1" promptTitle="Please Enter a 0 or 1" prompt="If the Chapter has achieved a point, please enter a 1, otherwise, please leave the point at a 0." sqref="F10:F12 F15:F16 H10:H16 F19:F22 H20:H21 F26 F28 H26:H28 F31:F35 H31 H33:H35 F38:F40 H38:H40 F43:F50 H43:H44 H46:H50 F53:F55 F57 H53:H57 F60:F64 H60 H62:H64">
      <formula1>0</formula1>
      <formula2>1</formula2>
    </dataValidation>
    <dataValidation type="list" allowBlank="1" showInputMessage="1" showErrorMessage="1" errorTitle="Not a &quot;Y&quot; or &quot;N&quot;" error="Please select a &quot;Y&quot; or &quot;N&quot; from the dropdown menu_x000a_" promptTitle="Please Select one" prompt="Please Select (or Type) a &quot;Y&quot; for Yes or a &quot;N&quot; for No depending on whether your Chapter has or has not met the criteria_x000a_" sqref="D10:D16 D19:D23 D26:D28 D31:D35 D38:D40 D56 D50 D43:D48 D53:D54 D60:D61">
      <formula1>$L$1:$L$2</formula1>
    </dataValidation>
  </dataValidations>
  <pageMargins left="0.7" right="0.7" top="0.75" bottom="0.75" header="0.3" footer="0.3"/>
  <pageSetup scale="53" orientation="portrait" horizontalDpi="1200" verticalDpi="1200" r:id="rId1"/>
  <headerFooter>
    <oddHeader>&amp;R&amp;"Arial,Regular"Print Date: &amp;D</oddHeader>
    <oddFooter>&amp;L&amp;"Arial,Regular"&amp;F&amp;R&amp;"Arial,Regular"Page &amp;P of &amp;N</oddFooter>
  </headerFooter>
  <drawing r:id="rId2"/>
</worksheet>
</file>

<file path=xl/worksheets/sheet2.xml><?xml version="1.0" encoding="utf-8"?>
<worksheet xmlns="http://schemas.openxmlformats.org/spreadsheetml/2006/main" xmlns:r="http://schemas.openxmlformats.org/officeDocument/2006/relationships">
  <sheetPr>
    <pageSetUpPr fitToPage="1"/>
  </sheetPr>
  <dimension ref="A1:P16"/>
  <sheetViews>
    <sheetView zoomScale="70" zoomScaleNormal="70" zoomScaleSheetLayoutView="75" workbookViewId="0">
      <pane xSplit="1" ySplit="3" topLeftCell="B4" activePane="bottomRight" state="frozen"/>
      <selection pane="topRight" activeCell="B1" sqref="B1"/>
      <selection pane="bottomLeft" activeCell="A6" sqref="A6"/>
      <selection pane="bottomRight" activeCell="C4" sqref="C4:C10"/>
    </sheetView>
  </sheetViews>
  <sheetFormatPr defaultRowHeight="12.75"/>
  <cols>
    <col min="1" max="1" width="15.85546875" style="11" customWidth="1"/>
    <col min="2" max="2" width="45.42578125" style="10" customWidth="1"/>
    <col min="3" max="5" width="50" style="10" customWidth="1"/>
    <col min="6" max="10" width="13.140625" style="10" customWidth="1"/>
    <col min="11" max="11" width="21.7109375" style="10" customWidth="1"/>
    <col min="12" max="12" width="13.85546875" style="10" customWidth="1"/>
    <col min="13" max="13" width="13.85546875" style="11" customWidth="1"/>
    <col min="14" max="14" width="17.5703125" style="11" customWidth="1"/>
    <col min="15" max="15" width="26" style="11" customWidth="1"/>
    <col min="16" max="16" width="54.5703125" style="10" customWidth="1"/>
    <col min="17" max="16384" width="9.140625" style="10"/>
  </cols>
  <sheetData>
    <row r="1" spans="1:16" s="1" customFormat="1" ht="52.5" customHeight="1">
      <c r="A1" s="144" t="s">
        <v>297</v>
      </c>
      <c r="B1" s="148" t="s">
        <v>298</v>
      </c>
      <c r="C1" s="148"/>
      <c r="D1" s="148"/>
      <c r="E1" s="148"/>
      <c r="M1" s="2"/>
      <c r="N1" s="2"/>
      <c r="O1" s="2"/>
    </row>
    <row r="2" spans="1:16" s="3" customFormat="1" ht="39.950000000000003" customHeight="1">
      <c r="A2" s="106"/>
      <c r="B2" s="106"/>
      <c r="C2" s="108" t="s">
        <v>191</v>
      </c>
      <c r="D2" s="108" t="s">
        <v>272</v>
      </c>
      <c r="E2" s="108" t="s">
        <v>271</v>
      </c>
      <c r="F2" s="102" t="s">
        <v>177</v>
      </c>
      <c r="G2" s="102"/>
      <c r="H2" s="102"/>
      <c r="I2" s="102"/>
      <c r="J2" s="102"/>
      <c r="K2" s="110"/>
      <c r="L2" s="102" t="s">
        <v>178</v>
      </c>
      <c r="M2" s="110"/>
      <c r="N2" s="106"/>
      <c r="O2" s="106"/>
      <c r="P2" s="106"/>
    </row>
    <row r="3" spans="1:16" s="3" customFormat="1" ht="39.950000000000003" customHeight="1">
      <c r="A3" s="107" t="s">
        <v>167</v>
      </c>
      <c r="B3" s="107" t="s">
        <v>169</v>
      </c>
      <c r="C3" s="114" t="s">
        <v>277</v>
      </c>
      <c r="D3" s="109"/>
      <c r="E3" s="109"/>
      <c r="F3" s="101" t="s">
        <v>58</v>
      </c>
      <c r="G3" s="103" t="s">
        <v>59</v>
      </c>
      <c r="H3" s="103" t="s">
        <v>60</v>
      </c>
      <c r="I3" s="103" t="s">
        <v>61</v>
      </c>
      <c r="J3" s="103" t="s">
        <v>151</v>
      </c>
      <c r="K3" s="107" t="s">
        <v>62</v>
      </c>
      <c r="L3" s="101" t="s">
        <v>179</v>
      </c>
      <c r="M3" s="107" t="s">
        <v>192</v>
      </c>
      <c r="N3" s="107" t="s">
        <v>181</v>
      </c>
      <c r="O3" s="107" t="s">
        <v>182</v>
      </c>
      <c r="P3" s="107" t="s">
        <v>174</v>
      </c>
    </row>
    <row r="4" spans="1:16" s="3" customFormat="1" ht="31.5" customHeight="1">
      <c r="A4" s="68" t="s">
        <v>2</v>
      </c>
      <c r="B4" s="5" t="s">
        <v>278</v>
      </c>
      <c r="C4" s="6" t="s">
        <v>152</v>
      </c>
      <c r="D4" s="6" t="s">
        <v>193</v>
      </c>
      <c r="E4" s="6" t="s">
        <v>150</v>
      </c>
      <c r="F4" s="5"/>
      <c r="G4" s="5" t="s">
        <v>255</v>
      </c>
      <c r="H4" s="5"/>
      <c r="I4" s="5"/>
      <c r="J4" s="5" t="s">
        <v>256</v>
      </c>
      <c r="K4" s="5"/>
      <c r="L4" s="5">
        <v>1</v>
      </c>
      <c r="M4" s="5">
        <v>1</v>
      </c>
      <c r="N4" s="5" t="s">
        <v>64</v>
      </c>
      <c r="O4" s="5"/>
      <c r="P4" s="69"/>
    </row>
    <row r="5" spans="1:16" s="3" customFormat="1" ht="103.5" customHeight="1">
      <c r="A5" s="68" t="s">
        <v>3</v>
      </c>
      <c r="B5" s="5" t="s">
        <v>130</v>
      </c>
      <c r="C5" s="6" t="s">
        <v>159</v>
      </c>
      <c r="D5" s="6" t="s">
        <v>241</v>
      </c>
      <c r="E5" s="6" t="s">
        <v>160</v>
      </c>
      <c r="F5" s="5"/>
      <c r="G5" s="5"/>
      <c r="H5" s="5"/>
      <c r="I5" s="5"/>
      <c r="J5" s="5" t="s">
        <v>71</v>
      </c>
      <c r="K5" s="5"/>
      <c r="L5" s="5">
        <v>1</v>
      </c>
      <c r="M5" s="5">
        <v>1</v>
      </c>
      <c r="N5" s="5" t="s">
        <v>64</v>
      </c>
      <c r="O5" s="5"/>
      <c r="P5" s="69"/>
    </row>
    <row r="6" spans="1:16" s="3" customFormat="1" ht="53.25" customHeight="1">
      <c r="A6" s="68" t="s">
        <v>4</v>
      </c>
      <c r="B6" s="64" t="s">
        <v>123</v>
      </c>
      <c r="C6" s="65" t="s">
        <v>129</v>
      </c>
      <c r="D6" s="65" t="s">
        <v>131</v>
      </c>
      <c r="E6" s="65" t="s">
        <v>139</v>
      </c>
      <c r="F6" s="64" t="s">
        <v>71</v>
      </c>
      <c r="G6" s="64"/>
      <c r="H6" s="64"/>
      <c r="I6" s="64" t="s">
        <v>71</v>
      </c>
      <c r="J6" s="64"/>
      <c r="K6" s="5" t="s">
        <v>153</v>
      </c>
      <c r="L6" s="5">
        <v>1</v>
      </c>
      <c r="M6" s="5">
        <v>1</v>
      </c>
      <c r="N6" s="5" t="s">
        <v>64</v>
      </c>
      <c r="O6" s="5"/>
      <c r="P6" s="69" t="s">
        <v>140</v>
      </c>
    </row>
    <row r="7" spans="1:16" s="3" customFormat="1" ht="48.75" customHeight="1">
      <c r="A7" s="68" t="s">
        <v>5</v>
      </c>
      <c r="B7" s="5" t="s">
        <v>124</v>
      </c>
      <c r="C7" s="6" t="s">
        <v>128</v>
      </c>
      <c r="D7" s="6"/>
      <c r="E7" s="6" t="s">
        <v>158</v>
      </c>
      <c r="F7" s="5" t="s">
        <v>71</v>
      </c>
      <c r="G7" s="5"/>
      <c r="H7" s="5"/>
      <c r="I7" s="5" t="s">
        <v>71</v>
      </c>
      <c r="J7" s="5"/>
      <c r="K7" s="5" t="s">
        <v>184</v>
      </c>
      <c r="L7" s="5"/>
      <c r="M7" s="5">
        <v>1</v>
      </c>
      <c r="N7" s="5" t="s">
        <v>56</v>
      </c>
      <c r="O7" s="5" t="s">
        <v>133</v>
      </c>
      <c r="P7" s="69"/>
    </row>
    <row r="8" spans="1:16" s="3" customFormat="1" ht="78.75" customHeight="1">
      <c r="A8" s="68" t="s">
        <v>6</v>
      </c>
      <c r="B8" s="64" t="s">
        <v>125</v>
      </c>
      <c r="C8" s="6" t="s">
        <v>279</v>
      </c>
      <c r="D8" s="6"/>
      <c r="E8" s="6" t="s">
        <v>250</v>
      </c>
      <c r="F8" s="64" t="s">
        <v>71</v>
      </c>
      <c r="G8" s="64"/>
      <c r="H8" s="64"/>
      <c r="I8" s="64" t="s">
        <v>71</v>
      </c>
      <c r="J8" s="64"/>
      <c r="K8" s="5" t="s">
        <v>257</v>
      </c>
      <c r="L8" s="5"/>
      <c r="M8" s="5">
        <v>1</v>
      </c>
      <c r="N8" s="5" t="s">
        <v>56</v>
      </c>
      <c r="O8" s="5" t="s">
        <v>134</v>
      </c>
      <c r="P8" s="69"/>
    </row>
    <row r="9" spans="1:16" s="3" customFormat="1" ht="66" customHeight="1">
      <c r="A9" s="68" t="s">
        <v>7</v>
      </c>
      <c r="B9" s="5" t="s">
        <v>126</v>
      </c>
      <c r="C9" s="6" t="s">
        <v>194</v>
      </c>
      <c r="D9" s="6" t="s">
        <v>195</v>
      </c>
      <c r="E9" s="6" t="s">
        <v>196</v>
      </c>
      <c r="F9" s="5" t="s">
        <v>71</v>
      </c>
      <c r="G9" s="5"/>
      <c r="H9" s="5"/>
      <c r="I9" s="5" t="s">
        <v>71</v>
      </c>
      <c r="J9" s="5"/>
      <c r="K9" s="5" t="s">
        <v>132</v>
      </c>
      <c r="L9" s="5">
        <v>1</v>
      </c>
      <c r="M9" s="5">
        <v>1</v>
      </c>
      <c r="N9" s="5" t="s">
        <v>64</v>
      </c>
      <c r="O9" s="5" t="s">
        <v>136</v>
      </c>
      <c r="P9" s="69"/>
    </row>
    <row r="10" spans="1:16" s="3" customFormat="1" ht="66" customHeight="1">
      <c r="A10" s="68" t="s">
        <v>8</v>
      </c>
      <c r="B10" s="5" t="s">
        <v>127</v>
      </c>
      <c r="C10" s="6" t="s">
        <v>198</v>
      </c>
      <c r="D10" s="6" t="s">
        <v>197</v>
      </c>
      <c r="E10" s="6" t="s">
        <v>199</v>
      </c>
      <c r="F10" s="5"/>
      <c r="G10" s="5"/>
      <c r="H10" s="5"/>
      <c r="I10" s="5"/>
      <c r="J10" s="5" t="s">
        <v>71</v>
      </c>
      <c r="K10" s="5" t="s">
        <v>154</v>
      </c>
      <c r="L10" s="5">
        <v>1</v>
      </c>
      <c r="M10" s="5">
        <v>1</v>
      </c>
      <c r="N10" s="5" t="s">
        <v>64</v>
      </c>
      <c r="O10" s="5" t="s">
        <v>135</v>
      </c>
      <c r="P10" s="69"/>
    </row>
    <row r="11" spans="1:16">
      <c r="A11" s="9"/>
    </row>
    <row r="12" spans="1:16">
      <c r="A12" s="12" t="s">
        <v>78</v>
      </c>
      <c r="B12" s="13"/>
      <c r="C12" s="13"/>
      <c r="D12" s="13"/>
      <c r="E12" s="13"/>
      <c r="F12" s="13"/>
      <c r="G12" s="13"/>
      <c r="H12" s="13"/>
      <c r="I12" s="13"/>
      <c r="J12" s="13"/>
    </row>
    <row r="13" spans="1:16">
      <c r="A13" s="14" t="s">
        <v>79</v>
      </c>
      <c r="B13" s="10" t="s">
        <v>276</v>
      </c>
    </row>
    <row r="14" spans="1:16">
      <c r="A14" s="14"/>
    </row>
    <row r="15" spans="1:16">
      <c r="A15" s="9"/>
    </row>
    <row r="16" spans="1:16">
      <c r="A16" s="9"/>
    </row>
  </sheetData>
  <sheetProtection password="DD16" sheet="1" objects="1" scenarios="1"/>
  <mergeCells count="1">
    <mergeCell ref="B1:E1"/>
  </mergeCells>
  <pageMargins left="0.7" right="0.7" top="0.75" bottom="0.75" header="0.3" footer="0.3"/>
  <pageSetup scale="48" orientation="landscape" r:id="rId1"/>
  <headerFooter>
    <oddHeader>&amp;CMitchell Chapter Standards Program&amp;RPrint Date: &amp;D</oddHeader>
    <oddFooter>&amp;LPhi Kappa Sigma International Fraternity, Inc.&amp;RPage &amp;P of &amp;N</oddFooter>
  </headerFooter>
  <ignoredErrors>
    <ignoredError sqref="A13" numberStoredAsText="1"/>
  </ignoredErrors>
</worksheet>
</file>

<file path=xl/worksheets/sheet3.xml><?xml version="1.0" encoding="utf-8"?>
<worksheet xmlns="http://schemas.openxmlformats.org/spreadsheetml/2006/main" xmlns:r="http://schemas.openxmlformats.org/officeDocument/2006/relationships">
  <sheetPr>
    <pageSetUpPr fitToPage="1"/>
  </sheetPr>
  <dimension ref="A1:P17"/>
  <sheetViews>
    <sheetView zoomScale="70" zoomScaleNormal="70" zoomScaleSheetLayoutView="75" workbookViewId="0">
      <pane xSplit="1" ySplit="3" topLeftCell="B4" activePane="bottomRight" state="frozen"/>
      <selection activeCell="B12" sqref="B12"/>
      <selection pane="topRight" activeCell="B12" sqref="B12"/>
      <selection pane="bottomLeft" activeCell="B12" sqref="B12"/>
      <selection pane="bottomRight" activeCell="F1" sqref="F1"/>
    </sheetView>
  </sheetViews>
  <sheetFormatPr defaultRowHeight="12.75"/>
  <cols>
    <col min="1" max="1" width="36.42578125" style="11" bestFit="1" customWidth="1"/>
    <col min="2" max="2" width="36.140625" style="10" customWidth="1"/>
    <col min="3" max="4" width="50" style="10" customWidth="1"/>
    <col min="5" max="5" width="51.7109375" style="10" customWidth="1"/>
    <col min="6" max="10" width="13.140625" style="10" customWidth="1"/>
    <col min="11" max="11" width="36.7109375" style="10" customWidth="1"/>
    <col min="12" max="12" width="13.85546875" style="10" customWidth="1"/>
    <col min="13" max="13" width="13.85546875" style="11" customWidth="1"/>
    <col min="14" max="14" width="17.5703125" style="11" customWidth="1"/>
    <col min="15" max="15" width="26" style="11" customWidth="1"/>
    <col min="16" max="16" width="54.5703125" style="10" customWidth="1"/>
    <col min="17" max="16384" width="9.140625" style="10"/>
  </cols>
  <sheetData>
    <row r="1" spans="1:16" s="1" customFormat="1" ht="55.5" customHeight="1">
      <c r="A1" s="144" t="s">
        <v>44</v>
      </c>
      <c r="B1" s="149" t="s">
        <v>299</v>
      </c>
      <c r="C1" s="149"/>
      <c r="D1" s="149"/>
      <c r="E1" s="149"/>
      <c r="M1" s="2"/>
      <c r="N1" s="2"/>
      <c r="O1" s="2"/>
    </row>
    <row r="2" spans="1:16" s="3" customFormat="1" ht="39.950000000000003" customHeight="1">
      <c r="A2" s="106"/>
      <c r="B2" s="142"/>
      <c r="C2" s="108" t="s">
        <v>191</v>
      </c>
      <c r="D2" s="108" t="s">
        <v>272</v>
      </c>
      <c r="E2" s="143" t="s">
        <v>271</v>
      </c>
      <c r="F2" s="102" t="s">
        <v>177</v>
      </c>
      <c r="G2" s="102"/>
      <c r="H2" s="102"/>
      <c r="I2" s="102"/>
      <c r="J2" s="102"/>
      <c r="K2" s="110"/>
      <c r="L2" s="102" t="s">
        <v>178</v>
      </c>
      <c r="M2" s="110"/>
      <c r="N2" s="106"/>
      <c r="O2" s="106"/>
      <c r="P2" s="106"/>
    </row>
    <row r="3" spans="1:16" s="3" customFormat="1" ht="39.950000000000003" customHeight="1">
      <c r="A3" s="107" t="s">
        <v>167</v>
      </c>
      <c r="B3" s="107" t="s">
        <v>169</v>
      </c>
      <c r="C3" s="109" t="s">
        <v>277</v>
      </c>
      <c r="D3" s="109"/>
      <c r="E3" s="109"/>
      <c r="F3" s="103" t="s">
        <v>58</v>
      </c>
      <c r="G3" s="103" t="s">
        <v>59</v>
      </c>
      <c r="H3" s="103" t="s">
        <v>60</v>
      </c>
      <c r="I3" s="103" t="s">
        <v>61</v>
      </c>
      <c r="J3" s="103" t="s">
        <v>151</v>
      </c>
      <c r="K3" s="107" t="s">
        <v>62</v>
      </c>
      <c r="L3" s="101" t="s">
        <v>179</v>
      </c>
      <c r="M3" s="107" t="s">
        <v>180</v>
      </c>
      <c r="N3" s="107" t="s">
        <v>181</v>
      </c>
      <c r="O3" s="107" t="s">
        <v>182</v>
      </c>
      <c r="P3" s="107" t="s">
        <v>174</v>
      </c>
    </row>
    <row r="4" spans="1:16" s="3" customFormat="1" ht="102.75" customHeight="1">
      <c r="A4" s="68" t="s">
        <v>9</v>
      </c>
      <c r="B4" s="71" t="s">
        <v>52</v>
      </c>
      <c r="C4" s="6" t="s">
        <v>280</v>
      </c>
      <c r="D4" s="6" t="s">
        <v>248</v>
      </c>
      <c r="E4" s="6"/>
      <c r="F4" s="5"/>
      <c r="G4" s="5"/>
      <c r="H4" s="5"/>
      <c r="I4" s="5"/>
      <c r="J4" s="5" t="s">
        <v>71</v>
      </c>
      <c r="K4" s="5"/>
      <c r="L4" s="5">
        <v>1</v>
      </c>
      <c r="M4" s="5"/>
      <c r="N4" s="5" t="s">
        <v>56</v>
      </c>
      <c r="O4" s="5"/>
      <c r="P4" s="69"/>
    </row>
    <row r="5" spans="1:16" s="3" customFormat="1" ht="76.5">
      <c r="A5" s="68" t="s">
        <v>10</v>
      </c>
      <c r="B5" s="64" t="s">
        <v>55</v>
      </c>
      <c r="C5" s="65" t="s">
        <v>70</v>
      </c>
      <c r="D5" s="65" t="s">
        <v>68</v>
      </c>
      <c r="E5" s="65" t="s">
        <v>67</v>
      </c>
      <c r="F5" s="64"/>
      <c r="G5" s="64"/>
      <c r="H5" s="64"/>
      <c r="I5" s="64" t="s">
        <v>71</v>
      </c>
      <c r="J5" s="64" t="s">
        <v>71</v>
      </c>
      <c r="K5" s="96" t="s">
        <v>258</v>
      </c>
      <c r="L5" s="5">
        <v>1</v>
      </c>
      <c r="M5" s="5">
        <v>1</v>
      </c>
      <c r="N5" s="5" t="s">
        <v>64</v>
      </c>
      <c r="O5" s="5"/>
      <c r="P5" s="69"/>
    </row>
    <row r="6" spans="1:16" s="3" customFormat="1" ht="114.75">
      <c r="A6" s="68" t="s">
        <v>11</v>
      </c>
      <c r="B6" s="5" t="s">
        <v>53</v>
      </c>
      <c r="C6" s="6" t="s">
        <v>200</v>
      </c>
      <c r="D6" s="6" t="s">
        <v>202</v>
      </c>
      <c r="E6" s="6" t="s">
        <v>201</v>
      </c>
      <c r="F6" s="5"/>
      <c r="G6" s="5"/>
      <c r="H6" s="5"/>
      <c r="I6" s="5"/>
      <c r="J6" s="5" t="s">
        <v>71</v>
      </c>
      <c r="K6" s="96" t="s">
        <v>269</v>
      </c>
      <c r="L6" s="5">
        <v>1</v>
      </c>
      <c r="M6" s="5">
        <v>1</v>
      </c>
      <c r="N6" s="5" t="s">
        <v>56</v>
      </c>
      <c r="O6" s="5" t="s">
        <v>57</v>
      </c>
      <c r="P6" s="69"/>
    </row>
    <row r="7" spans="1:16" s="3" customFormat="1" ht="35.25" customHeight="1">
      <c r="A7" s="68" t="s">
        <v>12</v>
      </c>
      <c r="B7" s="64" t="s">
        <v>54</v>
      </c>
      <c r="C7" s="65" t="s">
        <v>63</v>
      </c>
      <c r="D7" s="65" t="s">
        <v>138</v>
      </c>
      <c r="E7" s="65"/>
      <c r="F7" s="64"/>
      <c r="G7" s="64"/>
      <c r="H7" s="64"/>
      <c r="I7" s="64"/>
      <c r="J7" s="64" t="s">
        <v>71</v>
      </c>
      <c r="K7" s="5" t="s">
        <v>69</v>
      </c>
      <c r="L7" s="5">
        <v>1</v>
      </c>
      <c r="M7" s="5"/>
      <c r="N7" s="5" t="s">
        <v>56</v>
      </c>
      <c r="O7" s="5" t="s">
        <v>57</v>
      </c>
      <c r="P7" s="69"/>
    </row>
    <row r="8" spans="1:16" s="3" customFormat="1" ht="25.5">
      <c r="A8" s="68" t="s">
        <v>13</v>
      </c>
      <c r="B8" s="5" t="s">
        <v>72</v>
      </c>
      <c r="C8" s="6" t="s">
        <v>249</v>
      </c>
      <c r="D8" s="6"/>
      <c r="E8" s="6"/>
      <c r="F8" s="5"/>
      <c r="G8" s="5"/>
      <c r="H8" s="5"/>
      <c r="I8" s="5"/>
      <c r="J8" s="5" t="s">
        <v>71</v>
      </c>
      <c r="K8" s="5" t="s">
        <v>66</v>
      </c>
      <c r="L8" s="5"/>
      <c r="M8" s="5"/>
      <c r="N8" s="5" t="s">
        <v>82</v>
      </c>
      <c r="O8" s="5" t="s">
        <v>65</v>
      </c>
      <c r="P8" s="69"/>
    </row>
    <row r="10" spans="1:16">
      <c r="A10" s="12" t="s">
        <v>78</v>
      </c>
      <c r="B10" s="13"/>
      <c r="C10" s="13"/>
      <c r="D10" s="13"/>
      <c r="E10" s="13"/>
      <c r="F10" s="13"/>
      <c r="G10" s="13"/>
      <c r="H10" s="13"/>
      <c r="I10" s="13"/>
      <c r="J10" s="13"/>
    </row>
    <row r="11" spans="1:16">
      <c r="A11" s="14" t="s">
        <v>79</v>
      </c>
      <c r="B11" s="10" t="s">
        <v>276</v>
      </c>
    </row>
    <row r="12" spans="1:16">
      <c r="A12" s="14"/>
    </row>
    <row r="13" spans="1:16">
      <c r="A13" s="9"/>
    </row>
    <row r="14" spans="1:16">
      <c r="A14" s="14"/>
    </row>
    <row r="15" spans="1:16">
      <c r="A15" s="14"/>
    </row>
    <row r="16" spans="1:16">
      <c r="A16" s="9"/>
    </row>
    <row r="17" spans="1:1">
      <c r="A17" s="9"/>
    </row>
  </sheetData>
  <sheetProtection password="DD16" sheet="1" objects="1" scenarios="1"/>
  <mergeCells count="1">
    <mergeCell ref="B1:E1"/>
  </mergeCells>
  <pageMargins left="0.7" right="0.7" top="0.75" bottom="0.75" header="0.3" footer="0.3"/>
  <pageSetup scale="50" orientation="landscape" r:id="rId1"/>
  <headerFooter>
    <oddHeader>&amp;CMitchell Chapter Standards Program&amp;RPrint Date: &amp;D</oddHeader>
    <oddFooter>&amp;LPhi Kappa Sigma International Fraternity, Inc.&amp;RPage &amp;P of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P16"/>
  <sheetViews>
    <sheetView zoomScale="70" zoomScaleNormal="70" zoomScaleSheetLayoutView="75" workbookViewId="0">
      <pane xSplit="1" ySplit="3" topLeftCell="B4" activePane="bottomRight" state="frozen"/>
      <selection activeCell="B12" sqref="B12"/>
      <selection pane="topRight" activeCell="B12" sqref="B12"/>
      <selection pane="bottomLeft" activeCell="B12" sqref="B12"/>
      <selection pane="bottomRight" activeCell="B17" sqref="B17"/>
    </sheetView>
  </sheetViews>
  <sheetFormatPr defaultRowHeight="12.75"/>
  <cols>
    <col min="1" max="1" width="29.140625" style="11" bestFit="1" customWidth="1"/>
    <col min="2" max="2" width="36.140625" style="10" customWidth="1"/>
    <col min="3" max="5" width="50" style="10" customWidth="1"/>
    <col min="6" max="10" width="13.140625" style="10" customWidth="1"/>
    <col min="11" max="11" width="21.7109375" style="10" customWidth="1"/>
    <col min="12" max="12" width="13.85546875" style="10" customWidth="1"/>
    <col min="13" max="13" width="13.85546875" style="11" customWidth="1"/>
    <col min="14" max="14" width="17.5703125" style="11" customWidth="1"/>
    <col min="15" max="15" width="26" style="11" customWidth="1"/>
    <col min="16" max="16" width="54.5703125" style="10" customWidth="1"/>
    <col min="17" max="16384" width="9.140625" style="10"/>
  </cols>
  <sheetData>
    <row r="1" spans="1:16" s="1" customFormat="1" ht="51.75" customHeight="1">
      <c r="A1" s="145" t="s">
        <v>45</v>
      </c>
      <c r="B1" s="150" t="s">
        <v>300</v>
      </c>
      <c r="C1" s="151"/>
      <c r="D1" s="151"/>
      <c r="E1" s="151"/>
      <c r="M1" s="2"/>
      <c r="N1" s="2"/>
      <c r="O1" s="2"/>
    </row>
    <row r="2" spans="1:16" s="3" customFormat="1" ht="39.950000000000003" customHeight="1">
      <c r="A2" s="106"/>
      <c r="B2" s="106"/>
      <c r="C2" s="108" t="s">
        <v>191</v>
      </c>
      <c r="D2" s="108" t="s">
        <v>272</v>
      </c>
      <c r="E2" s="108" t="s">
        <v>271</v>
      </c>
      <c r="F2" s="102" t="s">
        <v>177</v>
      </c>
      <c r="G2" s="102"/>
      <c r="H2" s="102"/>
      <c r="I2" s="102"/>
      <c r="J2" s="102"/>
      <c r="K2" s="110"/>
      <c r="L2" s="102" t="s">
        <v>178</v>
      </c>
      <c r="M2" s="110"/>
      <c r="N2" s="106"/>
      <c r="O2" s="106"/>
      <c r="P2" s="106"/>
    </row>
    <row r="3" spans="1:16" s="3" customFormat="1" ht="39.950000000000003" customHeight="1">
      <c r="A3" s="107" t="s">
        <v>167</v>
      </c>
      <c r="B3" s="107" t="s">
        <v>169</v>
      </c>
      <c r="C3" s="109" t="s">
        <v>277</v>
      </c>
      <c r="D3" s="109"/>
      <c r="E3" s="109"/>
      <c r="F3" s="103" t="s">
        <v>58</v>
      </c>
      <c r="G3" s="103" t="s">
        <v>59</v>
      </c>
      <c r="H3" s="103" t="s">
        <v>60</v>
      </c>
      <c r="I3" s="103" t="s">
        <v>61</v>
      </c>
      <c r="J3" s="103" t="s">
        <v>151</v>
      </c>
      <c r="K3" s="107" t="s">
        <v>62</v>
      </c>
      <c r="L3" s="101" t="s">
        <v>179</v>
      </c>
      <c r="M3" s="107" t="s">
        <v>180</v>
      </c>
      <c r="N3" s="107" t="s">
        <v>181</v>
      </c>
      <c r="O3" s="107" t="s">
        <v>182</v>
      </c>
      <c r="P3" s="107" t="s">
        <v>174</v>
      </c>
    </row>
    <row r="4" spans="1:16" s="3" customFormat="1" ht="30.75" customHeight="1">
      <c r="A4" s="4" t="s">
        <v>14</v>
      </c>
      <c r="B4" s="71" t="s">
        <v>81</v>
      </c>
      <c r="C4" s="6" t="s">
        <v>281</v>
      </c>
      <c r="D4" s="6" t="s">
        <v>80</v>
      </c>
      <c r="E4" s="6" t="s">
        <v>149</v>
      </c>
      <c r="F4" s="5"/>
      <c r="G4" s="5" t="s">
        <v>71</v>
      </c>
      <c r="H4" s="5"/>
      <c r="I4" s="5" t="s">
        <v>71</v>
      </c>
      <c r="J4" s="5" t="s">
        <v>71</v>
      </c>
      <c r="K4" s="5" t="s">
        <v>259</v>
      </c>
      <c r="L4" s="5">
        <v>1</v>
      </c>
      <c r="M4" s="5">
        <v>1</v>
      </c>
      <c r="N4" s="5" t="s">
        <v>64</v>
      </c>
      <c r="O4" s="5"/>
      <c r="P4" s="69"/>
    </row>
    <row r="5" spans="1:16" s="3" customFormat="1" ht="38.25">
      <c r="A5" s="4" t="s">
        <v>15</v>
      </c>
      <c r="B5" s="64" t="s">
        <v>73</v>
      </c>
      <c r="C5" s="65" t="s">
        <v>75</v>
      </c>
      <c r="D5" s="73"/>
      <c r="E5" s="65" t="s">
        <v>203</v>
      </c>
      <c r="F5" s="64"/>
      <c r="G5" s="64"/>
      <c r="H5" s="64"/>
      <c r="I5" s="64" t="s">
        <v>71</v>
      </c>
      <c r="J5" s="64" t="s">
        <v>71</v>
      </c>
      <c r="K5" s="5" t="s">
        <v>260</v>
      </c>
      <c r="L5" s="5"/>
      <c r="M5" s="5">
        <v>1</v>
      </c>
      <c r="N5" s="5" t="s">
        <v>82</v>
      </c>
      <c r="O5" s="5" t="s">
        <v>77</v>
      </c>
      <c r="P5" s="69"/>
    </row>
    <row r="6" spans="1:16" s="3" customFormat="1" ht="89.25" customHeight="1">
      <c r="A6" s="4" t="s">
        <v>16</v>
      </c>
      <c r="B6" s="5" t="s">
        <v>74</v>
      </c>
      <c r="C6" s="74" t="s">
        <v>76</v>
      </c>
      <c r="D6" s="72" t="s">
        <v>165</v>
      </c>
      <c r="E6" s="75" t="s">
        <v>204</v>
      </c>
      <c r="F6" s="5" t="s">
        <v>71</v>
      </c>
      <c r="G6" s="5" t="s">
        <v>71</v>
      </c>
      <c r="H6" s="5"/>
      <c r="I6" s="5" t="s">
        <v>71</v>
      </c>
      <c r="J6" s="5" t="s">
        <v>71</v>
      </c>
      <c r="K6" s="5" t="s">
        <v>186</v>
      </c>
      <c r="L6" s="5">
        <v>1</v>
      </c>
      <c r="M6" s="5">
        <v>1</v>
      </c>
      <c r="N6" s="5" t="s">
        <v>56</v>
      </c>
      <c r="O6" s="5" t="s">
        <v>137</v>
      </c>
      <c r="P6" s="69"/>
    </row>
    <row r="7" spans="1:16">
      <c r="A7" s="9"/>
    </row>
    <row r="8" spans="1:16">
      <c r="A8" s="12" t="s">
        <v>78</v>
      </c>
      <c r="B8" s="13"/>
      <c r="C8" s="13"/>
      <c r="D8" s="13"/>
      <c r="E8" s="13"/>
      <c r="F8" s="13"/>
      <c r="G8" s="13"/>
      <c r="H8" s="13"/>
      <c r="I8" s="13"/>
      <c r="J8" s="13"/>
    </row>
    <row r="9" spans="1:16">
      <c r="A9" s="14" t="s">
        <v>79</v>
      </c>
      <c r="B9" s="10" t="s">
        <v>276</v>
      </c>
    </row>
    <row r="10" spans="1:16">
      <c r="A10" s="14"/>
    </row>
    <row r="11" spans="1:16">
      <c r="A11" s="9"/>
    </row>
    <row r="12" spans="1:16">
      <c r="A12" s="14"/>
    </row>
    <row r="13" spans="1:16">
      <c r="A13" s="14"/>
    </row>
    <row r="14" spans="1:16">
      <c r="A14" s="14"/>
    </row>
    <row r="15" spans="1:16">
      <c r="A15" s="9"/>
    </row>
    <row r="16" spans="1:16">
      <c r="A16" s="9"/>
    </row>
  </sheetData>
  <sheetProtection password="DD16" sheet="1" objects="1" scenarios="1"/>
  <mergeCells count="1">
    <mergeCell ref="B1:E1"/>
  </mergeCells>
  <pageMargins left="0.7" right="0.7" top="0.75" bottom="0.75" header="0.3" footer="0.3"/>
  <pageSetup scale="48" orientation="landscape" r:id="rId1"/>
  <headerFooter>
    <oddHeader>&amp;CMitchell Chapter Standards Program&amp;RPrint Date: &amp;D</oddHeader>
    <oddFooter>&amp;LPhi Kappa Sigma International Fraternity, Inc.&amp;RPage &amp;P of &amp;N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P15"/>
  <sheetViews>
    <sheetView zoomScale="70" zoomScaleNormal="70" zoomScaleSheetLayoutView="75" workbookViewId="0">
      <pane xSplit="1" ySplit="3" topLeftCell="B4" activePane="bottomRight" state="frozen"/>
      <selection activeCell="B12" sqref="B12"/>
      <selection pane="topRight" activeCell="B12" sqref="B12"/>
      <selection pane="bottomLeft" activeCell="B12" sqref="B12"/>
      <selection pane="bottomRight" activeCell="B4" sqref="B4"/>
    </sheetView>
  </sheetViews>
  <sheetFormatPr defaultRowHeight="12.75"/>
  <cols>
    <col min="1" max="1" width="18.7109375" style="11" bestFit="1" customWidth="1"/>
    <col min="2" max="2" width="36.140625" style="10" customWidth="1"/>
    <col min="3" max="5" width="50" style="10" customWidth="1"/>
    <col min="6" max="10" width="13.140625" style="10" customWidth="1"/>
    <col min="11" max="11" width="21.7109375" style="10" customWidth="1"/>
    <col min="12" max="12" width="13.85546875" style="10" customWidth="1"/>
    <col min="13" max="13" width="13.85546875" style="11" customWidth="1"/>
    <col min="14" max="14" width="17.5703125" style="11" customWidth="1"/>
    <col min="15" max="15" width="26" style="11" customWidth="1"/>
    <col min="16" max="16" width="54.5703125" style="10" customWidth="1"/>
    <col min="17" max="16384" width="9.140625" style="10"/>
  </cols>
  <sheetData>
    <row r="1" spans="1:16" s="1" customFormat="1" ht="51.75" customHeight="1">
      <c r="A1" s="144" t="s">
        <v>46</v>
      </c>
      <c r="B1" s="150" t="s">
        <v>301</v>
      </c>
      <c r="C1" s="150"/>
      <c r="D1" s="150"/>
      <c r="E1" s="150"/>
      <c r="M1" s="2"/>
      <c r="N1" s="2"/>
      <c r="O1" s="2"/>
    </row>
    <row r="2" spans="1:16" s="3" customFormat="1" ht="39.950000000000003" customHeight="1">
      <c r="A2" s="101"/>
      <c r="B2" s="106"/>
      <c r="C2" s="108" t="s">
        <v>191</v>
      </c>
      <c r="D2" s="108" t="s">
        <v>272</v>
      </c>
      <c r="E2" s="108" t="s">
        <v>271</v>
      </c>
      <c r="F2" s="102" t="s">
        <v>177</v>
      </c>
      <c r="G2" s="102"/>
      <c r="H2" s="102"/>
      <c r="I2" s="102"/>
      <c r="J2" s="102"/>
      <c r="K2" s="110"/>
      <c r="L2" s="102" t="s">
        <v>178</v>
      </c>
      <c r="M2" s="110"/>
      <c r="N2" s="106"/>
      <c r="O2" s="106"/>
      <c r="P2" s="106"/>
    </row>
    <row r="3" spans="1:16" s="3" customFormat="1" ht="39.950000000000003" customHeight="1">
      <c r="A3" s="107" t="s">
        <v>167</v>
      </c>
      <c r="B3" s="107" t="s">
        <v>169</v>
      </c>
      <c r="C3" s="109" t="s">
        <v>277</v>
      </c>
      <c r="D3" s="109"/>
      <c r="E3" s="109"/>
      <c r="F3" s="103" t="s">
        <v>58</v>
      </c>
      <c r="G3" s="103" t="s">
        <v>59</v>
      </c>
      <c r="H3" s="103" t="s">
        <v>60</v>
      </c>
      <c r="I3" s="103" t="s">
        <v>61</v>
      </c>
      <c r="J3" s="103" t="s">
        <v>151</v>
      </c>
      <c r="K3" s="107" t="s">
        <v>62</v>
      </c>
      <c r="L3" s="101" t="s">
        <v>179</v>
      </c>
      <c r="M3" s="107" t="s">
        <v>180</v>
      </c>
      <c r="N3" s="107" t="s">
        <v>181</v>
      </c>
      <c r="O3" s="107" t="s">
        <v>182</v>
      </c>
      <c r="P3" s="107" t="s">
        <v>174</v>
      </c>
    </row>
    <row r="4" spans="1:16" s="104" customFormat="1" ht="81" customHeight="1">
      <c r="A4" s="68" t="s">
        <v>17</v>
      </c>
      <c r="B4" s="5" t="s">
        <v>90</v>
      </c>
      <c r="C4" s="105" t="s">
        <v>242</v>
      </c>
      <c r="D4" s="105" t="s">
        <v>92</v>
      </c>
      <c r="E4" s="16" t="s">
        <v>93</v>
      </c>
      <c r="F4" s="17"/>
      <c r="G4" s="17"/>
      <c r="H4" s="17"/>
      <c r="I4" s="17" t="s">
        <v>71</v>
      </c>
      <c r="J4" s="17"/>
      <c r="K4" s="97" t="s">
        <v>261</v>
      </c>
      <c r="L4" s="5">
        <v>1</v>
      </c>
      <c r="M4" s="5">
        <v>1</v>
      </c>
      <c r="N4" s="17" t="s">
        <v>56</v>
      </c>
      <c r="O4" s="17" t="s">
        <v>147</v>
      </c>
      <c r="P4" s="18"/>
    </row>
    <row r="5" spans="1:16" s="3" customFormat="1" ht="38.25">
      <c r="A5" s="4" t="s">
        <v>18</v>
      </c>
      <c r="B5" s="71" t="s">
        <v>83</v>
      </c>
      <c r="C5" s="6" t="s">
        <v>91</v>
      </c>
      <c r="D5" s="6" t="s">
        <v>205</v>
      </c>
      <c r="F5" s="5"/>
      <c r="G5" s="5"/>
      <c r="H5" s="5"/>
      <c r="I5" s="17" t="s">
        <v>71</v>
      </c>
      <c r="J5" s="5" t="s">
        <v>71</v>
      </c>
      <c r="K5" s="5" t="s">
        <v>262</v>
      </c>
      <c r="L5" s="5">
        <v>1</v>
      </c>
      <c r="M5" s="5"/>
      <c r="N5" s="5" t="s">
        <v>56</v>
      </c>
      <c r="O5" s="5" t="s">
        <v>147</v>
      </c>
      <c r="P5" s="69" t="s">
        <v>51</v>
      </c>
    </row>
    <row r="6" spans="1:16" s="3" customFormat="1" ht="55.5" customHeight="1">
      <c r="A6" s="4" t="s">
        <v>19</v>
      </c>
      <c r="B6" s="64" t="s">
        <v>84</v>
      </c>
      <c r="C6" s="65" t="s">
        <v>87</v>
      </c>
      <c r="D6" s="73" t="s">
        <v>88</v>
      </c>
      <c r="E6" s="65" t="s">
        <v>187</v>
      </c>
      <c r="F6" s="64"/>
      <c r="G6" s="64"/>
      <c r="H6" s="64"/>
      <c r="I6" s="64" t="s">
        <v>71</v>
      </c>
      <c r="J6" s="64" t="s">
        <v>71</v>
      </c>
      <c r="K6" s="5" t="s">
        <v>188</v>
      </c>
      <c r="L6" s="5">
        <v>1</v>
      </c>
      <c r="M6" s="5">
        <v>1</v>
      </c>
      <c r="N6" s="5" t="s">
        <v>56</v>
      </c>
      <c r="O6" s="5" t="s">
        <v>89</v>
      </c>
      <c r="P6" s="69"/>
    </row>
    <row r="7" spans="1:16" s="3" customFormat="1" ht="63" customHeight="1">
      <c r="A7" s="4" t="s">
        <v>20</v>
      </c>
      <c r="B7" s="64" t="s">
        <v>85</v>
      </c>
      <c r="C7" s="65" t="s">
        <v>206</v>
      </c>
      <c r="D7" s="65" t="s">
        <v>207</v>
      </c>
      <c r="E7" s="70" t="s">
        <v>282</v>
      </c>
      <c r="F7" s="64" t="s">
        <v>71</v>
      </c>
      <c r="G7" s="64" t="s">
        <v>71</v>
      </c>
      <c r="H7" s="64"/>
      <c r="I7" s="64" t="s">
        <v>71</v>
      </c>
      <c r="J7" s="64"/>
      <c r="K7" s="5" t="s">
        <v>148</v>
      </c>
      <c r="L7" s="5">
        <v>1</v>
      </c>
      <c r="M7" s="5">
        <v>1</v>
      </c>
      <c r="N7" s="5" t="s">
        <v>64</v>
      </c>
      <c r="O7" s="5"/>
      <c r="P7" s="69"/>
    </row>
    <row r="8" spans="1:16" s="3" customFormat="1" ht="66.75" customHeight="1">
      <c r="A8" s="4" t="s">
        <v>21</v>
      </c>
      <c r="B8" s="5" t="s">
        <v>86</v>
      </c>
      <c r="C8" s="6" t="s">
        <v>283</v>
      </c>
      <c r="D8" s="6" t="s">
        <v>284</v>
      </c>
      <c r="E8" s="6" t="s">
        <v>285</v>
      </c>
      <c r="F8" s="5"/>
      <c r="G8" s="5"/>
      <c r="H8" s="5"/>
      <c r="I8" s="5" t="s">
        <v>71</v>
      </c>
      <c r="J8" s="5" t="s">
        <v>71</v>
      </c>
      <c r="K8" s="5" t="s">
        <v>189</v>
      </c>
      <c r="L8" s="5">
        <v>1</v>
      </c>
      <c r="M8" s="5">
        <v>1</v>
      </c>
      <c r="N8" s="5" t="s">
        <v>82</v>
      </c>
      <c r="O8" s="5" t="s">
        <v>147</v>
      </c>
      <c r="P8" s="69"/>
    </row>
    <row r="9" spans="1:16">
      <c r="A9" s="9"/>
    </row>
    <row r="10" spans="1:16">
      <c r="A10" s="12" t="s">
        <v>78</v>
      </c>
      <c r="B10" s="13"/>
      <c r="C10" s="13"/>
      <c r="D10" s="13"/>
      <c r="E10" s="13"/>
      <c r="F10" s="13"/>
      <c r="G10" s="13"/>
      <c r="H10" s="13"/>
      <c r="I10" s="13"/>
      <c r="J10" s="13"/>
    </row>
    <row r="11" spans="1:16">
      <c r="A11" s="14" t="s">
        <v>79</v>
      </c>
      <c r="B11" s="10" t="s">
        <v>276</v>
      </c>
    </row>
    <row r="12" spans="1:16">
      <c r="A12" s="14"/>
    </row>
    <row r="13" spans="1:16">
      <c r="A13" s="9"/>
    </row>
    <row r="14" spans="1:16">
      <c r="A14" s="9"/>
    </row>
    <row r="15" spans="1:16">
      <c r="A15" s="9"/>
    </row>
  </sheetData>
  <sheetProtection password="DD16" sheet="1" objects="1" scenarios="1"/>
  <mergeCells count="1">
    <mergeCell ref="B1:E1"/>
  </mergeCells>
  <pageMargins left="0.7" right="0.7" top="0.75" bottom="0.75" header="0.3" footer="0.3"/>
  <pageSetup scale="48" orientation="landscape" r:id="rId1"/>
  <headerFooter>
    <oddHeader>&amp;CMitchell Chapter Standards Program&amp;RPrint Date: &amp;D</oddHeader>
    <oddFooter>&amp;LPhi Kappa Sigma International Fraternity, Inc.&amp;RPage &amp;P of &amp;N</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P16"/>
  <sheetViews>
    <sheetView zoomScale="70" zoomScaleNormal="70" zoomScaleSheetLayoutView="75" workbookViewId="0">
      <pane xSplit="1" ySplit="3" topLeftCell="B4" activePane="bottomRight" state="frozen"/>
      <selection activeCell="B12" sqref="B12"/>
      <selection pane="topRight" activeCell="B12" sqref="B12"/>
      <selection pane="bottomLeft" activeCell="B12" sqref="B12"/>
      <selection pane="bottomRight" activeCell="B2" sqref="B2"/>
    </sheetView>
  </sheetViews>
  <sheetFormatPr defaultRowHeight="12.75"/>
  <cols>
    <col min="1" max="1" width="19.85546875" style="11" bestFit="1" customWidth="1"/>
    <col min="2" max="2" width="36.140625" style="10" customWidth="1"/>
    <col min="3" max="5" width="50" style="10" customWidth="1"/>
    <col min="6" max="10" width="13.140625" style="10" customWidth="1"/>
    <col min="11" max="11" width="21.7109375" style="10" customWidth="1"/>
    <col min="12" max="12" width="13.85546875" style="10" customWidth="1"/>
    <col min="13" max="13" width="13.85546875" style="11" customWidth="1"/>
    <col min="14" max="14" width="17.5703125" style="11" customWidth="1"/>
    <col min="15" max="15" width="26" style="11" customWidth="1"/>
    <col min="16" max="16" width="54.5703125" style="10" customWidth="1"/>
    <col min="17" max="16384" width="9.140625" style="10"/>
  </cols>
  <sheetData>
    <row r="1" spans="1:16" s="1" customFormat="1" ht="65.25" customHeight="1">
      <c r="A1" s="144" t="s">
        <v>47</v>
      </c>
      <c r="B1" s="150" t="s">
        <v>302</v>
      </c>
      <c r="C1" s="150"/>
      <c r="D1" s="150"/>
      <c r="E1" s="150"/>
      <c r="M1" s="2"/>
      <c r="N1" s="2"/>
      <c r="O1" s="2"/>
    </row>
    <row r="2" spans="1:16" s="3" customFormat="1" ht="39.950000000000003" customHeight="1">
      <c r="A2" s="106"/>
      <c r="B2" s="106"/>
      <c r="C2" s="108" t="s">
        <v>191</v>
      </c>
      <c r="D2" s="108" t="s">
        <v>272</v>
      </c>
      <c r="E2" s="108" t="s">
        <v>271</v>
      </c>
      <c r="F2" s="102" t="s">
        <v>177</v>
      </c>
      <c r="G2" s="102"/>
      <c r="H2" s="102"/>
      <c r="I2" s="102"/>
      <c r="J2" s="102"/>
      <c r="K2" s="110"/>
      <c r="L2" s="102" t="s">
        <v>178</v>
      </c>
      <c r="M2" s="110"/>
      <c r="N2" s="106"/>
      <c r="O2" s="106"/>
      <c r="P2" s="106"/>
    </row>
    <row r="3" spans="1:16" s="3" customFormat="1" ht="39.950000000000003" customHeight="1">
      <c r="A3" s="107" t="s">
        <v>167</v>
      </c>
      <c r="B3" s="107" t="s">
        <v>169</v>
      </c>
      <c r="C3" s="109" t="s">
        <v>277</v>
      </c>
      <c r="D3" s="109"/>
      <c r="E3" s="109"/>
      <c r="F3" s="103" t="s">
        <v>58</v>
      </c>
      <c r="G3" s="103" t="s">
        <v>59</v>
      </c>
      <c r="H3" s="103" t="s">
        <v>60</v>
      </c>
      <c r="I3" s="103" t="s">
        <v>61</v>
      </c>
      <c r="J3" s="103" t="s">
        <v>151</v>
      </c>
      <c r="K3" s="107" t="s">
        <v>62</v>
      </c>
      <c r="L3" s="101" t="s">
        <v>179</v>
      </c>
      <c r="M3" s="107" t="s">
        <v>180</v>
      </c>
      <c r="N3" s="107" t="s">
        <v>181</v>
      </c>
      <c r="O3" s="107" t="s">
        <v>182</v>
      </c>
      <c r="P3" s="107" t="s">
        <v>174</v>
      </c>
    </row>
    <row r="4" spans="1:16" s="3" customFormat="1" ht="71.25" customHeight="1">
      <c r="A4" s="4" t="s">
        <v>22</v>
      </c>
      <c r="B4" s="71" t="s">
        <v>94</v>
      </c>
      <c r="C4" s="6" t="s">
        <v>240</v>
      </c>
      <c r="D4" s="6" t="s">
        <v>286</v>
      </c>
      <c r="E4" s="6" t="s">
        <v>155</v>
      </c>
      <c r="F4" s="5"/>
      <c r="G4" s="5" t="s">
        <v>71</v>
      </c>
      <c r="H4" s="5"/>
      <c r="I4" s="5"/>
      <c r="J4" s="5" t="s">
        <v>71</v>
      </c>
      <c r="K4" s="5" t="s">
        <v>263</v>
      </c>
      <c r="L4" s="5">
        <v>1</v>
      </c>
      <c r="M4" s="5">
        <v>1</v>
      </c>
      <c r="N4" s="5" t="s">
        <v>64</v>
      </c>
      <c r="O4" s="5"/>
      <c r="P4" s="69"/>
    </row>
    <row r="5" spans="1:16" s="3" customFormat="1" ht="81" customHeight="1">
      <c r="A5" s="4" t="s">
        <v>23</v>
      </c>
      <c r="B5" s="64" t="s">
        <v>95</v>
      </c>
      <c r="C5" s="65" t="s">
        <v>185</v>
      </c>
      <c r="D5" s="73" t="s">
        <v>99</v>
      </c>
      <c r="E5" s="73" t="s">
        <v>208</v>
      </c>
      <c r="F5" s="64"/>
      <c r="G5" s="64"/>
      <c r="H5" s="64"/>
      <c r="I5" s="64" t="s">
        <v>71</v>
      </c>
      <c r="J5" s="64"/>
      <c r="K5" s="96" t="s">
        <v>264</v>
      </c>
      <c r="L5" s="5">
        <v>1</v>
      </c>
      <c r="M5" s="5">
        <v>1</v>
      </c>
      <c r="N5" s="5" t="s">
        <v>56</v>
      </c>
      <c r="O5" s="5" t="s">
        <v>101</v>
      </c>
      <c r="P5" s="69" t="s">
        <v>98</v>
      </c>
    </row>
    <row r="6" spans="1:16" s="3" customFormat="1" ht="42" customHeight="1">
      <c r="A6" s="4" t="s">
        <v>24</v>
      </c>
      <c r="B6" s="5" t="s">
        <v>96</v>
      </c>
      <c r="C6" s="74" t="s">
        <v>97</v>
      </c>
      <c r="D6" s="6" t="s">
        <v>209</v>
      </c>
      <c r="E6" s="75" t="s">
        <v>243</v>
      </c>
      <c r="F6" s="5"/>
      <c r="G6" s="5"/>
      <c r="H6" s="5"/>
      <c r="I6" s="5"/>
      <c r="J6" s="5" t="s">
        <v>71</v>
      </c>
      <c r="K6" s="5"/>
      <c r="L6" s="5">
        <v>1</v>
      </c>
      <c r="M6" s="5">
        <v>1</v>
      </c>
      <c r="N6" s="5" t="s">
        <v>64</v>
      </c>
      <c r="O6" s="5" t="s">
        <v>100</v>
      </c>
      <c r="P6" s="69"/>
    </row>
    <row r="7" spans="1:16">
      <c r="A7" s="9"/>
    </row>
    <row r="8" spans="1:16">
      <c r="A8" s="12" t="s">
        <v>78</v>
      </c>
      <c r="B8" s="13"/>
      <c r="C8" s="13"/>
      <c r="D8" s="13"/>
      <c r="E8" s="13"/>
      <c r="F8" s="13"/>
      <c r="G8" s="13"/>
      <c r="H8" s="13"/>
      <c r="I8" s="13"/>
      <c r="J8" s="13"/>
    </row>
    <row r="9" spans="1:16">
      <c r="A9" s="14" t="s">
        <v>79</v>
      </c>
      <c r="B9" s="10" t="s">
        <v>276</v>
      </c>
    </row>
    <row r="10" spans="1:16">
      <c r="A10" s="14"/>
    </row>
    <row r="11" spans="1:16">
      <c r="A11" s="9"/>
    </row>
    <row r="12" spans="1:16">
      <c r="A12" s="14"/>
    </row>
    <row r="13" spans="1:16">
      <c r="A13" s="14"/>
    </row>
    <row r="14" spans="1:16">
      <c r="A14" s="14"/>
    </row>
    <row r="15" spans="1:16">
      <c r="A15" s="9"/>
    </row>
    <row r="16" spans="1:16">
      <c r="A16" s="9"/>
    </row>
  </sheetData>
  <sheetProtection password="DD16" sheet="1" objects="1" scenarios="1"/>
  <mergeCells count="1">
    <mergeCell ref="B1:E1"/>
  </mergeCells>
  <pageMargins left="0.7" right="0.7" top="0.75" bottom="0.75" header="0.3" footer="0.3"/>
  <pageSetup scale="48" orientation="landscape" r:id="rId1"/>
  <headerFooter>
    <oddHeader>&amp;CMitchell Chapter Standards Program&amp;RPrint Date: &amp;D</oddHeader>
    <oddFooter>&amp;LPhi Kappa Sigma International Fraternity, Inc.&amp;RPage &amp;P of &amp;N</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P16"/>
  <sheetViews>
    <sheetView zoomScale="70" zoomScaleNormal="70" zoomScaleSheetLayoutView="70" workbookViewId="0">
      <pane xSplit="1" ySplit="3" topLeftCell="B4" activePane="bottomRight" state="frozen"/>
      <selection activeCell="B12" sqref="B12"/>
      <selection pane="topRight" activeCell="B12" sqref="B12"/>
      <selection pane="bottomLeft" activeCell="B12" sqref="B12"/>
      <selection pane="bottomRight" activeCell="A13" sqref="A13"/>
    </sheetView>
  </sheetViews>
  <sheetFormatPr defaultRowHeight="12.75"/>
  <cols>
    <col min="1" max="1" width="48.140625" style="11" customWidth="1"/>
    <col min="2" max="2" width="36.140625" style="10" customWidth="1"/>
    <col min="3" max="5" width="50" style="10" customWidth="1"/>
    <col min="6" max="10" width="13.140625" style="10" customWidth="1"/>
    <col min="11" max="11" width="21.7109375" style="10" customWidth="1"/>
    <col min="12" max="12" width="13.85546875" style="10" customWidth="1"/>
    <col min="13" max="13" width="13.85546875" style="11" customWidth="1"/>
    <col min="14" max="14" width="17.5703125" style="11" customWidth="1"/>
    <col min="15" max="15" width="26" style="11" customWidth="1"/>
    <col min="16" max="16" width="54.5703125" style="10" customWidth="1"/>
    <col min="17" max="16384" width="9.140625" style="10"/>
  </cols>
  <sheetData>
    <row r="1" spans="1:16" s="1" customFormat="1" ht="52.5" customHeight="1">
      <c r="A1" s="144" t="s">
        <v>48</v>
      </c>
      <c r="B1" s="152" t="s">
        <v>303</v>
      </c>
      <c r="C1" s="152"/>
      <c r="D1" s="152"/>
      <c r="E1" s="152"/>
      <c r="M1" s="2"/>
      <c r="N1" s="2"/>
      <c r="O1" s="2"/>
    </row>
    <row r="2" spans="1:16" s="3" customFormat="1" ht="39.950000000000003" customHeight="1">
      <c r="A2" s="106"/>
      <c r="B2" s="106"/>
      <c r="C2" s="108" t="s">
        <v>191</v>
      </c>
      <c r="D2" s="108" t="s">
        <v>272</v>
      </c>
      <c r="E2" s="108" t="s">
        <v>271</v>
      </c>
      <c r="F2" s="102" t="s">
        <v>177</v>
      </c>
      <c r="G2" s="102"/>
      <c r="H2" s="102"/>
      <c r="I2" s="102"/>
      <c r="J2" s="102"/>
      <c r="K2" s="110"/>
      <c r="L2" s="102" t="s">
        <v>178</v>
      </c>
      <c r="M2" s="110"/>
      <c r="N2" s="106"/>
      <c r="O2" s="106"/>
      <c r="P2" s="106"/>
    </row>
    <row r="3" spans="1:16" s="3" customFormat="1" ht="39.950000000000003" customHeight="1">
      <c r="A3" s="106" t="s">
        <v>167</v>
      </c>
      <c r="B3" s="106" t="s">
        <v>169</v>
      </c>
      <c r="C3" s="112" t="s">
        <v>277</v>
      </c>
      <c r="D3" s="112"/>
      <c r="E3" s="112"/>
      <c r="F3" s="101" t="s">
        <v>58</v>
      </c>
      <c r="G3" s="101" t="s">
        <v>59</v>
      </c>
      <c r="H3" s="101" t="s">
        <v>60</v>
      </c>
      <c r="I3" s="101" t="s">
        <v>61</v>
      </c>
      <c r="J3" s="101" t="s">
        <v>151</v>
      </c>
      <c r="K3" s="106" t="s">
        <v>62</v>
      </c>
      <c r="L3" s="101" t="s">
        <v>179</v>
      </c>
      <c r="M3" s="106" t="s">
        <v>180</v>
      </c>
      <c r="N3" s="106" t="s">
        <v>181</v>
      </c>
      <c r="O3" s="106" t="s">
        <v>182</v>
      </c>
      <c r="P3" s="106" t="s">
        <v>174</v>
      </c>
    </row>
    <row r="4" spans="1:16" s="3" customFormat="1" ht="102">
      <c r="A4" s="113" t="s">
        <v>25</v>
      </c>
      <c r="B4" s="17" t="s">
        <v>102</v>
      </c>
      <c r="C4" s="111" t="s">
        <v>162</v>
      </c>
      <c r="D4" s="111" t="s">
        <v>211</v>
      </c>
      <c r="E4" s="111" t="s">
        <v>210</v>
      </c>
      <c r="F4" s="5"/>
      <c r="G4" s="5"/>
      <c r="H4" s="5"/>
      <c r="I4" s="5"/>
      <c r="J4" s="5" t="s">
        <v>71</v>
      </c>
      <c r="K4" s="97" t="s">
        <v>265</v>
      </c>
      <c r="L4" s="5">
        <v>1</v>
      </c>
      <c r="M4" s="17">
        <v>1</v>
      </c>
      <c r="N4" s="17" t="s">
        <v>64</v>
      </c>
      <c r="O4" s="17" t="s">
        <v>145</v>
      </c>
      <c r="P4" s="76"/>
    </row>
    <row r="5" spans="1:16" s="3" customFormat="1" ht="89.25">
      <c r="A5" s="4" t="s">
        <v>26</v>
      </c>
      <c r="B5" s="64" t="s">
        <v>103</v>
      </c>
      <c r="C5" s="6" t="s">
        <v>114</v>
      </c>
      <c r="D5" s="6" t="s">
        <v>212</v>
      </c>
      <c r="E5" s="6" t="s">
        <v>213</v>
      </c>
      <c r="F5" s="64" t="s">
        <v>71</v>
      </c>
      <c r="G5" s="64" t="s">
        <v>71</v>
      </c>
      <c r="H5" s="64"/>
      <c r="I5" s="64" t="s">
        <v>71</v>
      </c>
      <c r="J5" s="64"/>
      <c r="K5" s="5" t="s">
        <v>266</v>
      </c>
      <c r="L5" s="5">
        <v>1</v>
      </c>
      <c r="M5" s="5">
        <v>1</v>
      </c>
      <c r="N5" s="5" t="s">
        <v>64</v>
      </c>
      <c r="O5" s="5" t="s">
        <v>144</v>
      </c>
      <c r="P5" s="76"/>
    </row>
    <row r="6" spans="1:16" s="3" customFormat="1" ht="38.25">
      <c r="A6" s="4" t="s">
        <v>27</v>
      </c>
      <c r="B6" s="5" t="s">
        <v>104</v>
      </c>
      <c r="C6" s="6" t="s">
        <v>108</v>
      </c>
      <c r="D6" s="6" t="s">
        <v>244</v>
      </c>
      <c r="E6" s="6"/>
      <c r="F6" s="5"/>
      <c r="G6" s="5"/>
      <c r="H6" s="5"/>
      <c r="I6" s="5"/>
      <c r="J6" s="5" t="s">
        <v>71</v>
      </c>
      <c r="K6" s="5" t="s">
        <v>267</v>
      </c>
      <c r="L6" s="5">
        <v>1</v>
      </c>
      <c r="M6" s="5"/>
      <c r="N6" s="5" t="s">
        <v>64</v>
      </c>
      <c r="O6" s="5" t="s">
        <v>145</v>
      </c>
      <c r="P6" s="76"/>
    </row>
    <row r="7" spans="1:16" s="3" customFormat="1" ht="63.75">
      <c r="A7" s="4" t="s">
        <v>28</v>
      </c>
      <c r="B7" s="64" t="s">
        <v>105</v>
      </c>
      <c r="C7" s="6" t="s">
        <v>163</v>
      </c>
      <c r="D7" s="6" t="s">
        <v>1</v>
      </c>
      <c r="E7" s="6" t="s">
        <v>112</v>
      </c>
      <c r="F7" s="64"/>
      <c r="G7" s="64" t="s">
        <v>71</v>
      </c>
      <c r="H7" s="64"/>
      <c r="I7" s="64" t="s">
        <v>71</v>
      </c>
      <c r="J7" s="64"/>
      <c r="K7" s="96" t="s">
        <v>268</v>
      </c>
      <c r="L7" s="5">
        <v>1</v>
      </c>
      <c r="M7" s="5">
        <v>1</v>
      </c>
      <c r="N7" s="5" t="s">
        <v>64</v>
      </c>
      <c r="O7" s="5"/>
      <c r="P7" s="76"/>
    </row>
    <row r="8" spans="1:16" s="3" customFormat="1" ht="25.5">
      <c r="A8" s="4" t="s">
        <v>29</v>
      </c>
      <c r="B8" s="5" t="s">
        <v>106</v>
      </c>
      <c r="C8" s="6" t="s">
        <v>164</v>
      </c>
      <c r="D8" s="6" t="s">
        <v>215</v>
      </c>
      <c r="E8" s="6" t="s">
        <v>214</v>
      </c>
      <c r="F8" s="5"/>
      <c r="G8" s="5" t="s">
        <v>71</v>
      </c>
      <c r="H8" s="5" t="s">
        <v>71</v>
      </c>
      <c r="I8" s="5"/>
      <c r="J8" s="5"/>
      <c r="K8" s="5"/>
      <c r="L8" s="5">
        <v>1</v>
      </c>
      <c r="M8" s="5">
        <v>1</v>
      </c>
      <c r="N8" s="5" t="s">
        <v>64</v>
      </c>
      <c r="O8" s="5"/>
      <c r="P8" s="76"/>
    </row>
    <row r="9" spans="1:16" s="3" customFormat="1" ht="25.5">
      <c r="A9" s="4" t="s">
        <v>30</v>
      </c>
      <c r="B9" s="5" t="s">
        <v>107</v>
      </c>
      <c r="C9" s="6" t="s">
        <v>113</v>
      </c>
      <c r="D9" s="6" t="s">
        <v>0</v>
      </c>
      <c r="E9" s="6" t="s">
        <v>217</v>
      </c>
      <c r="F9" s="5"/>
      <c r="G9" s="5" t="s">
        <v>71</v>
      </c>
      <c r="H9" s="5"/>
      <c r="I9" s="5"/>
      <c r="J9" s="5"/>
      <c r="K9" s="5" t="s">
        <v>115</v>
      </c>
      <c r="L9" s="5">
        <v>1</v>
      </c>
      <c r="M9" s="77">
        <v>1</v>
      </c>
      <c r="N9" s="5" t="s">
        <v>64</v>
      </c>
      <c r="O9" s="5"/>
      <c r="P9" s="76"/>
    </row>
    <row r="10" spans="1:16" s="3" customFormat="1" ht="25.5">
      <c r="A10" s="4" t="s">
        <v>31</v>
      </c>
      <c r="B10" s="5" t="s">
        <v>109</v>
      </c>
      <c r="C10" s="6"/>
      <c r="D10" s="6" t="s">
        <v>110</v>
      </c>
      <c r="E10" s="6" t="s">
        <v>216</v>
      </c>
      <c r="F10" s="5"/>
      <c r="G10" s="5" t="s">
        <v>71</v>
      </c>
      <c r="H10" s="5"/>
      <c r="I10" s="5"/>
      <c r="J10" s="5"/>
      <c r="K10" s="5"/>
      <c r="L10" s="5">
        <v>1</v>
      </c>
      <c r="M10" s="5">
        <v>1</v>
      </c>
      <c r="N10" s="5" t="s">
        <v>64</v>
      </c>
      <c r="O10" s="5"/>
      <c r="P10" s="76"/>
    </row>
    <row r="11" spans="1:16" s="3" customFormat="1" ht="127.5">
      <c r="A11" s="4" t="s">
        <v>32</v>
      </c>
      <c r="B11" s="5" t="s">
        <v>111</v>
      </c>
      <c r="C11" s="6" t="s">
        <v>218</v>
      </c>
      <c r="D11" s="6" t="s">
        <v>219</v>
      </c>
      <c r="E11" s="6" t="s">
        <v>220</v>
      </c>
      <c r="F11" s="5"/>
      <c r="G11" s="5" t="s">
        <v>71</v>
      </c>
      <c r="H11" s="5"/>
      <c r="I11" s="5"/>
      <c r="J11" s="5"/>
      <c r="K11" s="5" t="s">
        <v>116</v>
      </c>
      <c r="L11" s="5">
        <v>1</v>
      </c>
      <c r="M11" s="5">
        <v>1</v>
      </c>
      <c r="N11" s="5" t="s">
        <v>64</v>
      </c>
      <c r="O11" s="5" t="s">
        <v>146</v>
      </c>
      <c r="P11" s="76"/>
    </row>
    <row r="12" spans="1:16">
      <c r="A12" s="9"/>
    </row>
    <row r="13" spans="1:16">
      <c r="A13" s="12" t="s">
        <v>78</v>
      </c>
      <c r="B13" s="13"/>
      <c r="C13" s="13"/>
      <c r="D13" s="13"/>
      <c r="E13" s="13"/>
      <c r="F13" s="13"/>
      <c r="G13" s="13"/>
      <c r="H13" s="13"/>
      <c r="I13" s="13"/>
      <c r="J13" s="13"/>
    </row>
    <row r="14" spans="1:16">
      <c r="A14" s="14" t="s">
        <v>79</v>
      </c>
      <c r="B14" s="10" t="s">
        <v>276</v>
      </c>
    </row>
    <row r="15" spans="1:16">
      <c r="A15" s="14"/>
    </row>
    <row r="16" spans="1:16">
      <c r="A16" s="9"/>
    </row>
  </sheetData>
  <sheetProtection password="DD16" sheet="1" objects="1" scenarios="1"/>
  <mergeCells count="1">
    <mergeCell ref="B1:E1"/>
  </mergeCells>
  <pageMargins left="0.7" right="0.7" top="0.75" bottom="0.75" header="0.3" footer="0.3"/>
  <pageSetup scale="48" orientation="landscape" r:id="rId1"/>
  <headerFooter>
    <oddHeader>&amp;CMitchell Chapter Standards Program&amp;RPrint Date: &amp;D</oddHeader>
    <oddFooter>&amp;LPhi Kappa Sigma International Fraternity, Inc.&amp;RPage &amp;P of &amp;N</oddFooter>
  </headerFooter>
  <ignoredErrors>
    <ignoredError sqref="A14" numberStoredAsText="1"/>
  </ignoredErrors>
</worksheet>
</file>

<file path=xl/worksheets/sheet8.xml><?xml version="1.0" encoding="utf-8"?>
<worksheet xmlns="http://schemas.openxmlformats.org/spreadsheetml/2006/main" xmlns:r="http://schemas.openxmlformats.org/officeDocument/2006/relationships">
  <sheetPr>
    <pageSetUpPr fitToPage="1"/>
  </sheetPr>
  <dimension ref="A1:P15"/>
  <sheetViews>
    <sheetView zoomScale="70" zoomScaleNormal="70" zoomScaleSheetLayoutView="75" workbookViewId="0">
      <pane xSplit="1" ySplit="3" topLeftCell="B4" activePane="bottomRight" state="frozen"/>
      <selection activeCell="B12" sqref="B12"/>
      <selection pane="topRight" activeCell="B12" sqref="B12"/>
      <selection pane="bottomLeft" activeCell="B12" sqref="B12"/>
      <selection pane="bottomRight" activeCell="C2" sqref="C2"/>
    </sheetView>
  </sheetViews>
  <sheetFormatPr defaultRowHeight="12.75"/>
  <cols>
    <col min="1" max="1" width="34.5703125" style="11" customWidth="1"/>
    <col min="2" max="2" width="34.5703125" style="10" customWidth="1"/>
    <col min="3" max="5" width="50" style="10" customWidth="1"/>
    <col min="6" max="10" width="13.140625" style="10" customWidth="1"/>
    <col min="11" max="11" width="21.7109375" style="10" customWidth="1"/>
    <col min="12" max="12" width="13.85546875" style="10" customWidth="1"/>
    <col min="13" max="13" width="13.85546875" style="11" customWidth="1"/>
    <col min="14" max="14" width="17.5703125" style="11" customWidth="1"/>
    <col min="15" max="15" width="26" style="11" customWidth="1"/>
    <col min="16" max="16" width="54.5703125" style="10" customWidth="1"/>
    <col min="17" max="16384" width="9.140625" style="10"/>
  </cols>
  <sheetData>
    <row r="1" spans="1:16" s="1" customFormat="1" ht="48" customHeight="1">
      <c r="A1" s="144" t="s">
        <v>49</v>
      </c>
      <c r="B1" s="150" t="s">
        <v>304</v>
      </c>
      <c r="C1" s="150"/>
      <c r="D1" s="150"/>
      <c r="E1" s="150"/>
      <c r="M1" s="2"/>
      <c r="N1" s="2"/>
      <c r="O1" s="2"/>
    </row>
    <row r="2" spans="1:16" s="3" customFormat="1" ht="39.950000000000003" customHeight="1">
      <c r="A2" s="101"/>
      <c r="B2" s="106"/>
      <c r="C2" s="108" t="s">
        <v>191</v>
      </c>
      <c r="D2" s="108" t="s">
        <v>272</v>
      </c>
      <c r="E2" s="108" t="s">
        <v>271</v>
      </c>
      <c r="F2" s="102" t="s">
        <v>177</v>
      </c>
      <c r="G2" s="102"/>
      <c r="H2" s="102"/>
      <c r="I2" s="102"/>
      <c r="J2" s="110"/>
      <c r="K2" s="110"/>
      <c r="L2" s="102" t="s">
        <v>178</v>
      </c>
      <c r="M2" s="110"/>
      <c r="N2" s="106"/>
      <c r="O2" s="106"/>
      <c r="P2" s="106"/>
    </row>
    <row r="3" spans="1:16" s="3" customFormat="1" ht="39.950000000000003" customHeight="1">
      <c r="A3" s="103" t="s">
        <v>167</v>
      </c>
      <c r="B3" s="107" t="s">
        <v>169</v>
      </c>
      <c r="C3" s="109" t="s">
        <v>277</v>
      </c>
      <c r="D3" s="109"/>
      <c r="E3" s="109"/>
      <c r="F3" s="101" t="s">
        <v>58</v>
      </c>
      <c r="G3" s="101" t="s">
        <v>59</v>
      </c>
      <c r="H3" s="101" t="s">
        <v>60</v>
      </c>
      <c r="I3" s="101" t="s">
        <v>61</v>
      </c>
      <c r="J3" s="103" t="s">
        <v>151</v>
      </c>
      <c r="K3" s="107" t="s">
        <v>62</v>
      </c>
      <c r="L3" s="101" t="s">
        <v>179</v>
      </c>
      <c r="M3" s="107" t="s">
        <v>180</v>
      </c>
      <c r="N3" s="107" t="s">
        <v>181</v>
      </c>
      <c r="O3" s="107" t="s">
        <v>182</v>
      </c>
      <c r="P3" s="107" t="s">
        <v>174</v>
      </c>
    </row>
    <row r="4" spans="1:16" s="3" customFormat="1" ht="43.5" customHeight="1">
      <c r="A4" s="4" t="s">
        <v>33</v>
      </c>
      <c r="B4" s="7" t="s">
        <v>223</v>
      </c>
      <c r="C4" s="15" t="s">
        <v>245</v>
      </c>
      <c r="D4" s="15" t="s">
        <v>222</v>
      </c>
      <c r="E4" s="15" t="s">
        <v>224</v>
      </c>
      <c r="F4" s="7"/>
      <c r="G4" s="7"/>
      <c r="H4" s="7"/>
      <c r="I4" s="7"/>
      <c r="J4" s="7" t="s">
        <v>71</v>
      </c>
      <c r="K4" s="98" t="s">
        <v>270</v>
      </c>
      <c r="L4" s="7">
        <v>1</v>
      </c>
      <c r="M4" s="7">
        <v>1</v>
      </c>
      <c r="N4" s="7" t="s">
        <v>64</v>
      </c>
      <c r="O4" s="7"/>
      <c r="P4" s="8"/>
    </row>
    <row r="5" spans="1:16" s="3" customFormat="1" ht="42.75" customHeight="1">
      <c r="A5" s="4" t="s">
        <v>34</v>
      </c>
      <c r="B5" s="66" t="s">
        <v>225</v>
      </c>
      <c r="C5" s="6" t="s">
        <v>227</v>
      </c>
      <c r="D5" s="6" t="s">
        <v>226</v>
      </c>
      <c r="E5" s="6" t="s">
        <v>228</v>
      </c>
      <c r="F5" s="66"/>
      <c r="G5" s="66" t="s">
        <v>71</v>
      </c>
      <c r="H5" s="66"/>
      <c r="I5" s="66" t="s">
        <v>71</v>
      </c>
      <c r="J5" s="66" t="s">
        <v>71</v>
      </c>
      <c r="K5" s="7" t="s">
        <v>156</v>
      </c>
      <c r="L5" s="7">
        <v>1</v>
      </c>
      <c r="M5" s="7">
        <v>1</v>
      </c>
      <c r="N5" s="7" t="s">
        <v>64</v>
      </c>
      <c r="O5" s="7"/>
      <c r="P5" s="8"/>
    </row>
    <row r="6" spans="1:16" s="3" customFormat="1" ht="45" customHeight="1">
      <c r="A6" s="4" t="s">
        <v>35</v>
      </c>
      <c r="B6" s="7" t="s">
        <v>221</v>
      </c>
      <c r="C6" s="15"/>
      <c r="D6" s="6" t="s">
        <v>252</v>
      </c>
      <c r="E6" s="6" t="s">
        <v>253</v>
      </c>
      <c r="F6" s="7"/>
      <c r="G6" s="7"/>
      <c r="H6" s="7"/>
      <c r="I6" s="7"/>
      <c r="J6" s="7" t="s">
        <v>71</v>
      </c>
      <c r="K6" s="7"/>
      <c r="L6" s="7">
        <v>1</v>
      </c>
      <c r="M6" s="7">
        <v>1</v>
      </c>
      <c r="N6" s="7" t="s">
        <v>64</v>
      </c>
      <c r="O6" s="7" t="s">
        <v>143</v>
      </c>
      <c r="P6" s="8"/>
    </row>
    <row r="7" spans="1:16" s="3" customFormat="1" ht="38.25">
      <c r="A7" s="4" t="s">
        <v>36</v>
      </c>
      <c r="B7" s="7" t="s">
        <v>117</v>
      </c>
      <c r="C7" s="15" t="s">
        <v>231</v>
      </c>
      <c r="E7" s="15" t="s">
        <v>246</v>
      </c>
      <c r="F7" s="7"/>
      <c r="G7" s="7"/>
      <c r="H7" s="7"/>
      <c r="I7" s="7"/>
      <c r="J7" s="7" t="s">
        <v>71</v>
      </c>
      <c r="K7" s="7"/>
      <c r="L7" s="7"/>
      <c r="M7" s="7">
        <v>1</v>
      </c>
      <c r="N7" s="7" t="s">
        <v>64</v>
      </c>
      <c r="O7" s="7" t="s">
        <v>142</v>
      </c>
      <c r="P7" s="8"/>
    </row>
    <row r="8" spans="1:16" s="3" customFormat="1" ht="70.5" customHeight="1">
      <c r="A8" s="4" t="s">
        <v>37</v>
      </c>
      <c r="B8" s="7" t="s">
        <v>157</v>
      </c>
      <c r="C8" s="15"/>
      <c r="D8" s="15" t="s">
        <v>230</v>
      </c>
      <c r="E8" s="15" t="s">
        <v>229</v>
      </c>
      <c r="F8" s="7"/>
      <c r="G8" s="7"/>
      <c r="H8" s="7"/>
      <c r="I8" s="7" t="s">
        <v>71</v>
      </c>
      <c r="J8" s="7"/>
      <c r="K8" s="7" t="s">
        <v>156</v>
      </c>
      <c r="L8" s="7">
        <v>1</v>
      </c>
      <c r="M8" s="7">
        <v>1</v>
      </c>
      <c r="N8" s="7" t="s">
        <v>64</v>
      </c>
      <c r="O8" s="7" t="s">
        <v>141</v>
      </c>
      <c r="P8" s="8"/>
    </row>
    <row r="9" spans="1:16">
      <c r="A9" s="9"/>
    </row>
    <row r="10" spans="1:16">
      <c r="A10" s="12" t="s">
        <v>78</v>
      </c>
      <c r="B10" s="13"/>
      <c r="C10" s="13"/>
      <c r="D10" s="13"/>
      <c r="E10" s="13"/>
      <c r="F10" s="13"/>
      <c r="G10" s="13"/>
      <c r="H10" s="13"/>
      <c r="I10" s="13"/>
      <c r="J10" s="13"/>
    </row>
    <row r="11" spans="1:16">
      <c r="A11" s="14" t="s">
        <v>79</v>
      </c>
      <c r="B11" s="10" t="s">
        <v>276</v>
      </c>
    </row>
    <row r="12" spans="1:16">
      <c r="A12" s="14"/>
    </row>
    <row r="13" spans="1:16">
      <c r="A13" s="9"/>
    </row>
    <row r="14" spans="1:16">
      <c r="A14" s="9"/>
    </row>
    <row r="15" spans="1:16">
      <c r="A15" s="9"/>
    </row>
  </sheetData>
  <sheetProtection password="DD16" sheet="1" objects="1" scenarios="1"/>
  <mergeCells count="1">
    <mergeCell ref="B1:E1"/>
  </mergeCells>
  <pageMargins left="0.7" right="0.7" top="0.75" bottom="0.75" header="0.3" footer="0.3"/>
  <pageSetup scale="48" orientation="landscape" r:id="rId1"/>
  <headerFooter>
    <oddHeader>&amp;CMitchell Chapter Standards Program&amp;RPrint Date: &amp;D</oddHeader>
    <oddFooter>&amp;LPhi Kappa Sigma International Fraternity, Inc.&amp;RPage &amp;P of &amp;N</oddFooter>
  </headerFooter>
  <ignoredErrors>
    <ignoredError sqref="A11" numberStoredAsText="1"/>
  </ignoredErrors>
</worksheet>
</file>

<file path=xl/worksheets/sheet9.xml><?xml version="1.0" encoding="utf-8"?>
<worksheet xmlns="http://schemas.openxmlformats.org/spreadsheetml/2006/main" xmlns:r="http://schemas.openxmlformats.org/officeDocument/2006/relationships">
  <sheetPr>
    <pageSetUpPr fitToPage="1"/>
  </sheetPr>
  <dimension ref="A1:P14"/>
  <sheetViews>
    <sheetView zoomScale="70" zoomScaleNormal="70" zoomScaleSheetLayoutView="75" workbookViewId="0">
      <pane xSplit="1" ySplit="3" topLeftCell="B4" activePane="bottomRight" state="frozen"/>
      <selection activeCell="B12" sqref="B12"/>
      <selection pane="topRight" activeCell="B12" sqref="B12"/>
      <selection pane="bottomLeft" activeCell="B12" sqref="B12"/>
      <selection pane="bottomRight"/>
    </sheetView>
  </sheetViews>
  <sheetFormatPr defaultRowHeight="12.75"/>
  <cols>
    <col min="1" max="1" width="33.140625" style="11" customWidth="1"/>
    <col min="2" max="2" width="36.140625" style="10" customWidth="1"/>
    <col min="3" max="5" width="50" style="10" customWidth="1"/>
    <col min="6" max="10" width="13.140625" style="10" customWidth="1"/>
    <col min="11" max="11" width="21.7109375" style="10" customWidth="1"/>
    <col min="12" max="12" width="13.85546875" style="10" customWidth="1"/>
    <col min="13" max="13" width="13.85546875" style="11" customWidth="1"/>
    <col min="14" max="14" width="17.5703125" style="11" customWidth="1"/>
    <col min="15" max="15" width="26" style="11" customWidth="1"/>
    <col min="16" max="16" width="54.5703125" style="10" customWidth="1"/>
    <col min="17" max="16384" width="9.140625" style="10"/>
  </cols>
  <sheetData>
    <row r="1" spans="1:16" s="1" customFormat="1" ht="49.5" customHeight="1">
      <c r="A1" s="144" t="s">
        <v>50</v>
      </c>
      <c r="B1" s="150" t="s">
        <v>305</v>
      </c>
      <c r="C1" s="150"/>
      <c r="D1" s="150"/>
      <c r="E1" s="150"/>
      <c r="M1" s="2"/>
      <c r="N1" s="2"/>
      <c r="O1" s="2"/>
    </row>
    <row r="2" spans="1:16" s="3" customFormat="1" ht="39.950000000000003" customHeight="1">
      <c r="A2" s="106"/>
      <c r="B2" s="106"/>
      <c r="C2" s="108" t="s">
        <v>191</v>
      </c>
      <c r="D2" s="108" t="s">
        <v>272</v>
      </c>
      <c r="E2" s="108" t="s">
        <v>271</v>
      </c>
      <c r="F2" s="102" t="s">
        <v>177</v>
      </c>
      <c r="G2" s="102"/>
      <c r="H2" s="102"/>
      <c r="I2" s="102"/>
      <c r="J2" s="102"/>
      <c r="K2" s="110"/>
      <c r="L2" s="102" t="s">
        <v>178</v>
      </c>
      <c r="M2" s="110"/>
      <c r="N2" s="101"/>
      <c r="O2" s="106"/>
      <c r="P2" s="106"/>
    </row>
    <row r="3" spans="1:16" s="3" customFormat="1" ht="39.950000000000003" customHeight="1">
      <c r="A3" s="107" t="s">
        <v>167</v>
      </c>
      <c r="B3" s="107" t="s">
        <v>169</v>
      </c>
      <c r="C3" s="109" t="s">
        <v>277</v>
      </c>
      <c r="D3" s="109"/>
      <c r="E3" s="109"/>
      <c r="F3" s="101" t="s">
        <v>58</v>
      </c>
      <c r="G3" s="101" t="s">
        <v>59</v>
      </c>
      <c r="H3" s="101" t="s">
        <v>60</v>
      </c>
      <c r="I3" s="101" t="s">
        <v>61</v>
      </c>
      <c r="J3" s="101" t="s">
        <v>151</v>
      </c>
      <c r="K3" s="107" t="s">
        <v>62</v>
      </c>
      <c r="L3" s="101" t="s">
        <v>179</v>
      </c>
      <c r="M3" s="107" t="s">
        <v>180</v>
      </c>
      <c r="N3" s="103" t="s">
        <v>181</v>
      </c>
      <c r="O3" s="107" t="s">
        <v>182</v>
      </c>
      <c r="P3" s="107" t="s">
        <v>174</v>
      </c>
    </row>
    <row r="4" spans="1:16" s="3" customFormat="1" ht="79.5" customHeight="1">
      <c r="A4" s="4" t="s">
        <v>38</v>
      </c>
      <c r="B4" s="5" t="s">
        <v>118</v>
      </c>
      <c r="C4" s="6" t="s">
        <v>232</v>
      </c>
      <c r="D4" s="6" t="s">
        <v>233</v>
      </c>
      <c r="E4" s="5" t="s">
        <v>234</v>
      </c>
      <c r="F4" s="5" t="s">
        <v>71</v>
      </c>
      <c r="G4" s="5"/>
      <c r="H4" s="5"/>
      <c r="I4" s="5" t="s">
        <v>71</v>
      </c>
      <c r="J4" s="5" t="s">
        <v>71</v>
      </c>
      <c r="K4" s="96" t="s">
        <v>306</v>
      </c>
      <c r="L4" s="5">
        <v>1</v>
      </c>
      <c r="M4" s="5">
        <v>1</v>
      </c>
      <c r="N4" s="5" t="s">
        <v>64</v>
      </c>
      <c r="O4" s="5"/>
      <c r="P4" s="69"/>
    </row>
    <row r="5" spans="1:16" s="104" customFormat="1" ht="99.75" customHeight="1">
      <c r="A5" s="68" t="s">
        <v>39</v>
      </c>
      <c r="B5" s="64" t="s">
        <v>119</v>
      </c>
      <c r="C5" s="6" t="s">
        <v>287</v>
      </c>
      <c r="D5" s="6" t="s">
        <v>288</v>
      </c>
      <c r="E5" s="6" t="s">
        <v>251</v>
      </c>
      <c r="F5" s="64"/>
      <c r="G5" s="64"/>
      <c r="H5" s="64"/>
      <c r="I5" s="64"/>
      <c r="J5" s="64" t="s">
        <v>71</v>
      </c>
      <c r="K5" s="5"/>
      <c r="L5" s="5">
        <v>1</v>
      </c>
      <c r="M5" s="5"/>
      <c r="N5" s="5" t="s">
        <v>64</v>
      </c>
      <c r="O5" s="5"/>
      <c r="P5" s="69"/>
    </row>
    <row r="6" spans="1:16" s="3" customFormat="1" ht="45.75" customHeight="1">
      <c r="A6" s="4" t="s">
        <v>40</v>
      </c>
      <c r="B6" s="5" t="s">
        <v>235</v>
      </c>
      <c r="C6" s="6"/>
      <c r="D6" s="6" t="s">
        <v>236</v>
      </c>
      <c r="E6" s="6" t="s">
        <v>161</v>
      </c>
      <c r="F6" s="5"/>
      <c r="G6" s="5"/>
      <c r="H6" s="5"/>
      <c r="I6" s="5"/>
      <c r="J6" s="5" t="s">
        <v>71</v>
      </c>
      <c r="K6" s="5" t="s">
        <v>121</v>
      </c>
      <c r="L6" s="5">
        <v>1</v>
      </c>
      <c r="M6" s="5">
        <v>1</v>
      </c>
      <c r="N6" s="5" t="s">
        <v>64</v>
      </c>
      <c r="O6" s="5"/>
      <c r="P6" s="69"/>
    </row>
    <row r="7" spans="1:16" s="3" customFormat="1" ht="67.5" customHeight="1">
      <c r="A7" s="4" t="s">
        <v>41</v>
      </c>
      <c r="B7" s="64" t="s">
        <v>120</v>
      </c>
      <c r="C7" s="6"/>
      <c r="D7" s="6" t="s">
        <v>237</v>
      </c>
      <c r="E7" s="6" t="s">
        <v>238</v>
      </c>
      <c r="F7" s="64"/>
      <c r="G7" s="64"/>
      <c r="H7" s="64"/>
      <c r="I7" s="64" t="s">
        <v>71</v>
      </c>
      <c r="J7" s="64" t="s">
        <v>71</v>
      </c>
      <c r="K7" s="5" t="s">
        <v>121</v>
      </c>
      <c r="L7" s="5">
        <v>1</v>
      </c>
      <c r="M7" s="5">
        <v>1</v>
      </c>
      <c r="N7" s="5" t="s">
        <v>64</v>
      </c>
      <c r="O7" s="5"/>
      <c r="P7" s="69"/>
    </row>
    <row r="8" spans="1:16" s="3" customFormat="1" ht="56.25" customHeight="1">
      <c r="A8" s="4" t="s">
        <v>42</v>
      </c>
      <c r="B8" s="5" t="s">
        <v>122</v>
      </c>
      <c r="C8" s="6"/>
      <c r="D8" s="6" t="s">
        <v>239</v>
      </c>
      <c r="E8" s="6" t="s">
        <v>289</v>
      </c>
      <c r="F8" s="5"/>
      <c r="G8" s="5"/>
      <c r="H8" s="5"/>
      <c r="I8" s="5"/>
      <c r="J8" s="5" t="s">
        <v>71</v>
      </c>
      <c r="K8" s="5"/>
      <c r="L8" s="5">
        <v>1</v>
      </c>
      <c r="M8" s="5">
        <v>1</v>
      </c>
      <c r="N8" s="5" t="s">
        <v>64</v>
      </c>
      <c r="O8" s="5"/>
      <c r="P8" s="69"/>
    </row>
    <row r="9" spans="1:16">
      <c r="A9" s="9"/>
    </row>
    <row r="10" spans="1:16">
      <c r="A10" s="12" t="s">
        <v>78</v>
      </c>
      <c r="B10" s="13"/>
      <c r="C10" s="13"/>
      <c r="D10" s="13"/>
      <c r="E10" s="13"/>
      <c r="F10" s="13"/>
      <c r="G10" s="13"/>
      <c r="H10" s="13"/>
      <c r="I10" s="13"/>
      <c r="J10" s="13"/>
    </row>
    <row r="11" spans="1:16">
      <c r="A11" s="14" t="s">
        <v>79</v>
      </c>
      <c r="B11" s="10" t="s">
        <v>276</v>
      </c>
    </row>
    <row r="12" spans="1:16">
      <c r="A12" s="14"/>
    </row>
    <row r="13" spans="1:16">
      <c r="A13" s="9"/>
    </row>
    <row r="14" spans="1:16">
      <c r="A14" s="9"/>
    </row>
  </sheetData>
  <sheetProtection password="DD16" sheet="1" objects="1" scenarios="1"/>
  <mergeCells count="1">
    <mergeCell ref="B1:E1"/>
  </mergeCells>
  <pageMargins left="0.7" right="0.7" top="0.75" bottom="0.75" header="0.3" footer="0.3"/>
  <pageSetup scale="48" orientation="landscape" r:id="rId1"/>
  <headerFooter>
    <oddHeader>&amp;CMitchell Chapter Standards Program&amp;RPrint Date: &amp;D</oddHeader>
    <oddFooter>&amp;LPhi Kappa Sigma International Fraternity, Inc.&amp;RPage &amp;P of &amp;N</oddFooter>
  </headerFooter>
  <ignoredErrors>
    <ignoredError sqref="A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Chapter Scoring Tool</vt:lpstr>
      <vt:lpstr>F Fraternity</vt:lpstr>
      <vt:lpstr>FC Financial Commitment</vt:lpstr>
      <vt:lpstr>PC Personal Conduct</vt:lpstr>
      <vt:lpstr>L Leadership</vt:lpstr>
      <vt:lpstr>S Scholarship</vt:lpstr>
      <vt:lpstr>CR Collegiate-Comm Relations</vt:lpstr>
      <vt:lpstr>PD Pers Development</vt:lpstr>
      <vt:lpstr>IS Intl Support</vt:lpstr>
      <vt:lpstr>'Chapter Scoring Tool'!Print_Area</vt:lpstr>
      <vt:lpstr>'CR Collegiate-Comm Relations'!Print_Area</vt:lpstr>
      <vt:lpstr>'F Fraternity'!Print_Area</vt:lpstr>
      <vt:lpstr>'FC Financial Commitment'!Print_Area</vt:lpstr>
      <vt:lpstr>'IS Intl Support'!Print_Area</vt:lpstr>
      <vt:lpstr>'L Leadership'!Print_Area</vt:lpstr>
      <vt:lpstr>'PC Personal Conduct'!Print_Area</vt:lpstr>
      <vt:lpstr>'PD Pers Development'!Print_Area</vt:lpstr>
      <vt:lpstr>'S Scholarship'!Print_Area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kolsavsky</dc:creator>
  <cp:lastModifiedBy>Vincent Grim</cp:lastModifiedBy>
  <cp:lastPrinted>2011-07-12T01:02:35Z</cp:lastPrinted>
  <dcterms:created xsi:type="dcterms:W3CDTF">2010-12-10T10:37:50Z</dcterms:created>
  <dcterms:modified xsi:type="dcterms:W3CDTF">2011-08-05T17:52:49Z</dcterms:modified>
</cp:coreProperties>
</file>