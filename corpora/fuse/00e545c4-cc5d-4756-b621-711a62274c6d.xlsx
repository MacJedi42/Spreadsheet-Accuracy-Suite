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35" windowWidth="17955" windowHeight="115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Sheet1!$B$1:$H$34</definedName>
  </definedNames>
  <calcPr calcId="145621"/>
</workbook>
</file>

<file path=xl/calcChain.xml><?xml version="1.0" encoding="utf-8"?>
<calcChain xmlns="http://schemas.openxmlformats.org/spreadsheetml/2006/main">
  <c r="H29" i="1" l="1"/>
  <c r="I10" i="1"/>
  <c r="I9" i="1"/>
  <c r="I8" i="1"/>
  <c r="I7" i="1"/>
  <c r="I6" i="1"/>
  <c r="H24" i="1"/>
  <c r="H10" i="1" l="1"/>
  <c r="H26" i="1" l="1"/>
  <c r="H28" i="1"/>
  <c r="H27" i="1"/>
  <c r="H19" i="1"/>
  <c r="H16" i="1"/>
  <c r="H32" i="1" l="1"/>
</calcChain>
</file>

<file path=xl/comments1.xml><?xml version="1.0" encoding="utf-8"?>
<comments xmlns="http://schemas.openxmlformats.org/spreadsheetml/2006/main">
  <authors>
    <author>Kiley, Brian</author>
  </authors>
  <commentList>
    <comment ref="G29" authorId="0">
      <text>
        <r>
          <rPr>
            <b/>
            <sz val="9"/>
            <color indexed="81"/>
            <rFont val="Tahoma"/>
            <family val="2"/>
          </rPr>
          <t>Kiley, Brian:</t>
        </r>
        <r>
          <rPr>
            <sz val="9"/>
            <color indexed="81"/>
            <rFont val="Tahoma"/>
            <family val="2"/>
          </rPr>
          <t xml:space="preserve">
What if study IS Break even?
</t>
        </r>
      </text>
    </comment>
  </commentList>
</comments>
</file>

<file path=xl/sharedStrings.xml><?xml version="1.0" encoding="utf-8"?>
<sst xmlns="http://schemas.openxmlformats.org/spreadsheetml/2006/main" count="66" uniqueCount="59">
  <si>
    <t>Short Title:</t>
  </si>
  <si>
    <t>PI Name:</t>
  </si>
  <si>
    <t>Study Number:</t>
  </si>
  <si>
    <t>Factor</t>
  </si>
  <si>
    <t>Points Available</t>
  </si>
  <si>
    <t>LCCC IIT</t>
  </si>
  <si>
    <t xml:space="preserve"> Externally  Peer Reviewed</t>
  </si>
  <si>
    <t>Cooperative Group</t>
  </si>
  <si>
    <t>Industry</t>
  </si>
  <si>
    <t>**to be provided to PI by Finance. Trials with insufficient funding will be reviewed by POEC.</t>
  </si>
  <si>
    <t>LCCC Prioritization Checklist for New Trials</t>
  </si>
  <si>
    <t>Total Points</t>
  </si>
  <si>
    <t>Expected accrual 5, 10 or greater.</t>
  </si>
  <si>
    <t>1 for &gt;=5, 3 for &gt;=10</t>
  </si>
  <si>
    <r>
      <t>1 for</t>
    </r>
    <r>
      <rPr>
        <b/>
        <sz val="11"/>
        <color theme="1"/>
        <rFont val="Arial Narrow"/>
        <family val="2"/>
      </rPr>
      <t xml:space="preserve"> Yes</t>
    </r>
    <r>
      <rPr>
        <sz val="11"/>
        <color theme="1"/>
        <rFont val="Arial Narrow"/>
        <family val="2"/>
      </rPr>
      <t xml:space="preserve">, 0 for </t>
    </r>
    <r>
      <rPr>
        <b/>
        <sz val="11"/>
        <color theme="1"/>
        <rFont val="Arial Narrow"/>
        <family val="2"/>
      </rPr>
      <t>No</t>
    </r>
  </si>
  <si>
    <t>Calculated Points</t>
  </si>
  <si>
    <r>
      <t xml:space="preserve">2 for </t>
    </r>
    <r>
      <rPr>
        <b/>
        <sz val="11"/>
        <color theme="1"/>
        <rFont val="Arial Narrow"/>
        <family val="2"/>
      </rPr>
      <t>Yes,</t>
    </r>
    <r>
      <rPr>
        <sz val="11"/>
        <color theme="1"/>
        <rFont val="Arial Narrow"/>
        <family val="2"/>
      </rPr>
      <t xml:space="preserve"> 0 for </t>
    </r>
    <r>
      <rPr>
        <b/>
        <sz val="11"/>
        <color theme="1"/>
        <rFont val="Arial Narrow"/>
        <family val="2"/>
      </rPr>
      <t>No</t>
    </r>
  </si>
  <si>
    <r>
      <t xml:space="preserve">2 for </t>
    </r>
    <r>
      <rPr>
        <b/>
        <sz val="11"/>
        <color theme="1"/>
        <rFont val="Arial Narrow"/>
        <family val="2"/>
      </rPr>
      <t>Yes</t>
    </r>
    <r>
      <rPr>
        <sz val="11"/>
        <color theme="1"/>
        <rFont val="Arial Narrow"/>
        <family val="2"/>
      </rPr>
      <t xml:space="preserve">, 0 for </t>
    </r>
    <r>
      <rPr>
        <b/>
        <sz val="11"/>
        <color theme="1"/>
        <rFont val="Arial Narrow"/>
        <family val="2"/>
      </rPr>
      <t>No</t>
    </r>
  </si>
  <si>
    <r>
      <t>1 for</t>
    </r>
    <r>
      <rPr>
        <b/>
        <sz val="11"/>
        <color theme="1"/>
        <rFont val="Arial Narrow"/>
        <family val="2"/>
      </rPr>
      <t xml:space="preserve"> Yes</t>
    </r>
    <r>
      <rPr>
        <sz val="11"/>
        <color theme="1"/>
        <rFont val="Arial Narrow"/>
        <family val="2"/>
      </rPr>
      <t>, 0 for No</t>
    </r>
  </si>
  <si>
    <r>
      <t xml:space="preserve">1 for </t>
    </r>
    <r>
      <rPr>
        <b/>
        <sz val="11"/>
        <color theme="1"/>
        <rFont val="Arial Narrow"/>
        <family val="2"/>
      </rPr>
      <t>Yes</t>
    </r>
    <r>
      <rPr>
        <sz val="11"/>
        <color theme="1"/>
        <rFont val="Arial Narrow"/>
        <family val="2"/>
      </rPr>
      <t xml:space="preserve">, 0 for </t>
    </r>
    <r>
      <rPr>
        <b/>
        <sz val="11"/>
        <color theme="1"/>
        <rFont val="Arial Narrow"/>
        <family val="2"/>
      </rPr>
      <t>No</t>
    </r>
  </si>
  <si>
    <t>Non-UNC IIT</t>
  </si>
  <si>
    <r>
      <t>Sponsor Type: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</si>
  <si>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>(</t>
    </r>
    <r>
      <rPr>
        <i/>
        <sz val="11"/>
        <color rgb="FFFF0000"/>
        <rFont val="Calibri"/>
        <family val="2"/>
        <scheme val="minor"/>
      </rPr>
      <t xml:space="preserve">please place an </t>
    </r>
    <r>
      <rPr>
        <b/>
        <i/>
        <sz val="11"/>
        <color rgb="FFFF0000"/>
        <rFont val="Calibri"/>
        <family val="2"/>
        <scheme val="minor"/>
      </rPr>
      <t xml:space="preserve">"x" </t>
    </r>
    <r>
      <rPr>
        <i/>
        <sz val="11"/>
        <color rgb="FFFF0000"/>
        <rFont val="Calibri"/>
        <family val="2"/>
        <scheme val="minor"/>
      </rPr>
      <t>beside the applicable entry)</t>
    </r>
  </si>
  <si>
    <t>Collaboration:</t>
  </si>
  <si>
    <t>Science</t>
  </si>
  <si>
    <t>Phase I Trial</t>
  </si>
  <si>
    <t>Income &amp; Clinical Potential</t>
  </si>
  <si>
    <t>Enter Target Accrual #</t>
  </si>
  <si>
    <t>LCCC IIT multicenter with academic sites</t>
  </si>
  <si>
    <r>
      <t xml:space="preserve">3 for </t>
    </r>
    <r>
      <rPr>
        <b/>
        <sz val="11"/>
        <color theme="1"/>
        <rFont val="Arial Narrow"/>
        <family val="2"/>
      </rPr>
      <t>Yes</t>
    </r>
    <r>
      <rPr>
        <sz val="11"/>
        <color theme="1"/>
        <rFont val="Arial Narrow"/>
        <family val="2"/>
      </rPr>
      <t xml:space="preserve">, 0 for </t>
    </r>
    <r>
      <rPr>
        <b/>
        <sz val="11"/>
        <color theme="1"/>
        <rFont val="Arial Narrow"/>
        <family val="2"/>
      </rPr>
      <t>No</t>
    </r>
  </si>
  <si>
    <t>LCCC IIT multicenter with community sites</t>
  </si>
  <si>
    <t>Provides Support for LCCC correlative research?                                                                                          Explain&gt;&gt;</t>
  </si>
  <si>
    <t>Phase II for UNC Cancer Network?</t>
  </si>
  <si>
    <t>Builds on Previous/Existing LCCC Research or continues prior phase trial completed here.                Explain&gt;&gt;</t>
  </si>
  <si>
    <r>
      <t xml:space="preserve">3  for </t>
    </r>
    <r>
      <rPr>
        <b/>
        <sz val="11"/>
        <color theme="1"/>
        <rFont val="Arial Narrow"/>
        <family val="2"/>
      </rPr>
      <t>Yes,</t>
    </r>
    <r>
      <rPr>
        <sz val="11"/>
        <color theme="1"/>
        <rFont val="Arial Narrow"/>
        <family val="2"/>
      </rPr>
      <t xml:space="preserve"> 0 for </t>
    </r>
    <r>
      <rPr>
        <b/>
        <sz val="11"/>
        <color theme="1"/>
        <rFont val="Arial Narrow"/>
        <family val="2"/>
      </rPr>
      <t>No</t>
    </r>
  </si>
  <si>
    <t>….If not, is trial projected to break even? (revenue = costs)</t>
  </si>
  <si>
    <t>Sub-Factors</t>
  </si>
  <si>
    <t>Finance comment:</t>
  </si>
  <si>
    <t>Authorship Potential</t>
  </si>
  <si>
    <t xml:space="preserve">UNC Authorship Potential: </t>
  </si>
  <si>
    <t>No Authorship Potential (respond No to both above)</t>
  </si>
  <si>
    <t>Collaboration outside of LCCC with in UNC?                                                                                                  Explain&gt;&gt;</t>
  </si>
  <si>
    <t>Involves named Consortia?                                       (Indicate name:  ACCRU, Aptium, BTTC,SEP2C, TBCRC)&gt;&gt;</t>
  </si>
  <si>
    <r>
      <t xml:space="preserve">Yes, UNC PI </t>
    </r>
    <r>
      <rPr>
        <b/>
        <sz val="11"/>
        <color theme="1"/>
        <rFont val="Arial Narrow"/>
        <family val="2"/>
      </rPr>
      <t xml:space="preserve">will </t>
    </r>
    <r>
      <rPr>
        <sz val="11"/>
        <color theme="1"/>
        <rFont val="Arial Narrow"/>
        <family val="2"/>
      </rPr>
      <t>be first author</t>
    </r>
  </si>
  <si>
    <r>
      <t xml:space="preserve">Yes, UNC PI </t>
    </r>
    <r>
      <rPr>
        <b/>
        <sz val="11"/>
        <color theme="1"/>
        <rFont val="Arial Narrow"/>
        <family val="2"/>
      </rPr>
      <t xml:space="preserve">will not </t>
    </r>
    <r>
      <rPr>
        <sz val="11"/>
        <color theme="1"/>
        <rFont val="Arial Narrow"/>
        <family val="2"/>
      </rPr>
      <t>be first author</t>
    </r>
  </si>
  <si>
    <t>PI is Study Chair  for Cooperative Group Trial</t>
  </si>
  <si>
    <t>Budget (Expected Revenue)</t>
  </si>
  <si>
    <t>Minimum Score for CPO implentation = 4</t>
  </si>
  <si>
    <t>x=3</t>
  </si>
  <si>
    <t>x=1</t>
  </si>
  <si>
    <t>X=6</t>
  </si>
  <si>
    <t>X=3</t>
  </si>
  <si>
    <t>Projected Trial Income will exceed costs</t>
  </si>
  <si>
    <r>
      <t>Compelling clinical need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(i.e.</t>
    </r>
    <r>
      <rPr>
        <i/>
        <sz val="10"/>
        <color theme="1"/>
        <rFont val="Calibri"/>
        <family val="2"/>
        <scheme val="minor"/>
      </rPr>
      <t xml:space="preserve"> drug with documented efficacy that is not yet commercially available)</t>
    </r>
    <r>
      <rPr>
        <sz val="10"/>
        <color theme="1"/>
        <rFont val="Calibri"/>
        <family val="2"/>
        <scheme val="minor"/>
      </rPr>
      <t xml:space="preserve">.                                                                                                                </t>
    </r>
    <r>
      <rPr>
        <sz val="12"/>
        <color theme="1"/>
        <rFont val="Arial Narrow"/>
        <family val="2"/>
      </rPr>
      <t>Explain&gt;&gt;</t>
    </r>
  </si>
  <si>
    <t>(added by POEC only)</t>
  </si>
  <si>
    <t>POEC Bonus</t>
  </si>
  <si>
    <t>POD Leader to Validate score at sign off.</t>
  </si>
  <si>
    <t>Inter Institutional Collaboration.</t>
  </si>
  <si>
    <t>Version 2-12-2013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</si>
</sst>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Aharoni"/>
      <charset val="177"/>
    </font>
    <font>
      <b/>
      <sz val="14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i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2"/>
      <color theme="1"/>
      <name val="Arial Narrow"/>
      <family val="2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Arial Narrow"/>
      <family val="2"/>
    </font>
    <font>
      <b/>
      <i/>
      <sz val="11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/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lightUp">
        <bgColor theme="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Border="1"/>
    <xf numFmtId="0" fontId="2" fillId="0" borderId="0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2" xfId="0" applyFont="1" applyFill="1" applyBorder="1"/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7" xfId="0" applyFont="1" applyBorder="1"/>
    <xf numFmtId="0" fontId="9" fillId="0" borderId="9" xfId="0" applyFont="1" applyBorder="1"/>
    <xf numFmtId="0" fontId="0" fillId="0" borderId="14" xfId="0" applyBorder="1"/>
    <xf numFmtId="0" fontId="6" fillId="0" borderId="17" xfId="0" applyFont="1" applyBorder="1" applyAlignment="1">
      <alignment horizontal="center"/>
    </xf>
    <xf numFmtId="0" fontId="0" fillId="0" borderId="18" xfId="0" applyBorder="1"/>
    <xf numFmtId="0" fontId="6" fillId="0" borderId="19" xfId="0" applyFont="1" applyBorder="1" applyAlignment="1">
      <alignment horizontal="center"/>
    </xf>
    <xf numFmtId="0" fontId="0" fillId="0" borderId="21" xfId="0" applyBorder="1"/>
    <xf numFmtId="0" fontId="6" fillId="0" borderId="23" xfId="0" applyFont="1" applyBorder="1" applyAlignment="1">
      <alignment horizontal="center"/>
    </xf>
    <xf numFmtId="0" fontId="9" fillId="5" borderId="26" xfId="0" applyFont="1" applyFill="1" applyBorder="1"/>
    <xf numFmtId="0" fontId="9" fillId="5" borderId="25" xfId="0" applyFont="1" applyFill="1" applyBorder="1"/>
    <xf numFmtId="0" fontId="10" fillId="0" borderId="20" xfId="0" applyFont="1" applyBorder="1" applyAlignment="1"/>
    <xf numFmtId="0" fontId="9" fillId="5" borderId="15" xfId="0" applyFont="1" applyFill="1" applyBorder="1"/>
    <xf numFmtId="0" fontId="9" fillId="5" borderId="29" xfId="0" applyFont="1" applyFill="1" applyBorder="1"/>
    <xf numFmtId="0" fontId="9" fillId="0" borderId="12" xfId="0" applyFont="1" applyBorder="1" applyAlignment="1">
      <alignment horizontal="center"/>
    </xf>
    <xf numFmtId="0" fontId="6" fillId="2" borderId="27" xfId="0" applyFont="1" applyFill="1" applyBorder="1" applyAlignment="1">
      <alignment vertical="top" wrapText="1"/>
    </xf>
    <xf numFmtId="0" fontId="6" fillId="0" borderId="27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9" fillId="5" borderId="4" xfId="0" applyFont="1" applyFill="1" applyBorder="1"/>
    <xf numFmtId="0" fontId="9" fillId="5" borderId="5" xfId="0" applyFont="1" applyFill="1" applyBorder="1"/>
    <xf numFmtId="0" fontId="9" fillId="5" borderId="32" xfId="0" applyFont="1" applyFill="1" applyBorder="1"/>
    <xf numFmtId="0" fontId="8" fillId="6" borderId="0" xfId="0" applyFont="1" applyFill="1"/>
    <xf numFmtId="0" fontId="8" fillId="8" borderId="0" xfId="0" applyFont="1" applyFill="1"/>
    <xf numFmtId="0" fontId="6" fillId="0" borderId="33" xfId="0" applyFont="1" applyBorder="1" applyAlignment="1">
      <alignment horizontal="center"/>
    </xf>
    <xf numFmtId="0" fontId="9" fillId="5" borderId="16" xfId="0" applyFont="1" applyFill="1" applyBorder="1"/>
    <xf numFmtId="0" fontId="2" fillId="0" borderId="34" xfId="0" applyFont="1" applyBorder="1" applyAlignment="1">
      <alignment horizontal="center"/>
    </xf>
    <xf numFmtId="0" fontId="5" fillId="4" borderId="13" xfId="0" applyFont="1" applyFill="1" applyBorder="1"/>
    <xf numFmtId="0" fontId="11" fillId="0" borderId="0" xfId="0" applyFont="1" applyBorder="1" applyAlignment="1"/>
    <xf numFmtId="0" fontId="5" fillId="4" borderId="14" xfId="0" applyFont="1" applyFill="1" applyBorder="1"/>
    <xf numFmtId="0" fontId="5" fillId="4" borderId="14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11" fillId="0" borderId="14" xfId="0" applyFont="1" applyBorder="1" applyAlignment="1"/>
    <xf numFmtId="0" fontId="11" fillId="0" borderId="18" xfId="0" applyFont="1" applyBorder="1" applyAlignment="1"/>
    <xf numFmtId="0" fontId="6" fillId="3" borderId="3" xfId="0" applyFont="1" applyFill="1" applyBorder="1" applyAlignment="1">
      <alignment horizontal="center"/>
    </xf>
    <xf numFmtId="0" fontId="9" fillId="0" borderId="8" xfId="0" applyFont="1" applyBorder="1"/>
    <xf numFmtId="0" fontId="4" fillId="4" borderId="35" xfId="0" applyFont="1" applyFill="1" applyBorder="1" applyAlignment="1">
      <alignment horizontal="center"/>
    </xf>
    <xf numFmtId="0" fontId="6" fillId="0" borderId="30" xfId="0" applyFont="1" applyBorder="1" applyAlignment="1">
      <alignment horizontal="right" vertical="top"/>
    </xf>
    <xf numFmtId="0" fontId="9" fillId="0" borderId="6" xfId="0" applyFont="1" applyBorder="1"/>
    <xf numFmtId="0" fontId="9" fillId="0" borderId="31" xfId="0" applyFont="1" applyBorder="1"/>
    <xf numFmtId="0" fontId="9" fillId="0" borderId="18" xfId="0" applyFont="1" applyBorder="1"/>
    <xf numFmtId="0" fontId="9" fillId="0" borderId="20" xfId="0" applyFont="1" applyBorder="1"/>
    <xf numFmtId="0" fontId="9" fillId="8" borderId="12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0" fillId="5" borderId="15" xfId="0" applyFill="1" applyBorder="1"/>
    <xf numFmtId="0" fontId="6" fillId="9" borderId="29" xfId="0" applyFont="1" applyFill="1" applyBorder="1" applyAlignment="1">
      <alignment horizontal="center"/>
    </xf>
    <xf numFmtId="0" fontId="0" fillId="5" borderId="16" xfId="0" applyFill="1" applyBorder="1"/>
    <xf numFmtId="0" fontId="9" fillId="8" borderId="24" xfId="0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9" fillId="0" borderId="8" xfId="0" applyFont="1" applyFill="1" applyBorder="1"/>
    <xf numFmtId="0" fontId="9" fillId="0" borderId="1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0" xfId="0" applyFont="1" applyBorder="1"/>
    <xf numFmtId="0" fontId="0" fillId="0" borderId="18" xfId="0" applyFont="1" applyBorder="1"/>
    <xf numFmtId="0" fontId="0" fillId="5" borderId="2" xfId="0" applyFill="1" applyBorder="1"/>
    <xf numFmtId="0" fontId="9" fillId="5" borderId="3" xfId="0" applyFont="1" applyFill="1" applyBorder="1"/>
    <xf numFmtId="0" fontId="2" fillId="0" borderId="38" xfId="0" applyFont="1" applyBorder="1" applyAlignment="1">
      <alignment horizontal="center"/>
    </xf>
    <xf numFmtId="0" fontId="9" fillId="5" borderId="39" xfId="0" applyFont="1" applyFill="1" applyBorder="1"/>
    <xf numFmtId="0" fontId="9" fillId="0" borderId="14" xfId="0" applyFont="1" applyBorder="1"/>
    <xf numFmtId="0" fontId="6" fillId="3" borderId="4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5" borderId="18" xfId="0" applyFont="1" applyFill="1" applyBorder="1"/>
    <xf numFmtId="0" fontId="0" fillId="5" borderId="9" xfId="0" applyFill="1" applyBorder="1"/>
    <xf numFmtId="0" fontId="0" fillId="5" borderId="8" xfId="0" applyFill="1" applyBorder="1"/>
    <xf numFmtId="0" fontId="6" fillId="9" borderId="39" xfId="0" applyFont="1" applyFill="1" applyBorder="1" applyAlignment="1">
      <alignment horizontal="center"/>
    </xf>
    <xf numFmtId="0" fontId="0" fillId="0" borderId="20" xfId="0" applyBorder="1"/>
    <xf numFmtId="0" fontId="9" fillId="0" borderId="41" xfId="0" applyFont="1" applyBorder="1"/>
    <xf numFmtId="0" fontId="9" fillId="0" borderId="40" xfId="0" applyFont="1" applyBorder="1"/>
    <xf numFmtId="0" fontId="20" fillId="0" borderId="0" xfId="0" applyFont="1" applyBorder="1"/>
    <xf numFmtId="0" fontId="21" fillId="0" borderId="0" xfId="0" applyFont="1" applyBorder="1" applyAlignment="1">
      <alignment horizontal="center"/>
    </xf>
    <xf numFmtId="0" fontId="17" fillId="0" borderId="0" xfId="0" applyFont="1" applyBorder="1"/>
    <xf numFmtId="0" fontId="9" fillId="0" borderId="21" xfId="0" applyFont="1" applyBorder="1"/>
    <xf numFmtId="0" fontId="6" fillId="0" borderId="4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3" borderId="42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9" fillId="0" borderId="45" xfId="0" applyFont="1" applyBorder="1"/>
    <xf numFmtId="0" fontId="9" fillId="8" borderId="46" xfId="0" applyFont="1" applyFill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9" fillId="0" borderId="27" xfId="0" applyFont="1" applyBorder="1"/>
    <xf numFmtId="0" fontId="2" fillId="0" borderId="37" xfId="0" applyFont="1" applyBorder="1"/>
    <xf numFmtId="0" fontId="9" fillId="5" borderId="7" xfId="0" applyFont="1" applyFill="1" applyBorder="1"/>
    <xf numFmtId="0" fontId="9" fillId="7" borderId="7" xfId="0" applyFont="1" applyFill="1" applyBorder="1" applyAlignment="1">
      <alignment wrapText="1"/>
    </xf>
    <xf numFmtId="0" fontId="9" fillId="7" borderId="11" xfId="0" applyFont="1" applyFill="1" applyBorder="1" applyAlignment="1">
      <alignment wrapText="1"/>
    </xf>
    <xf numFmtId="0" fontId="9" fillId="0" borderId="47" xfId="0" applyFont="1" applyBorder="1"/>
    <xf numFmtId="0" fontId="6" fillId="3" borderId="12" xfId="0" applyFont="1" applyFill="1" applyBorder="1" applyAlignment="1">
      <alignment horizontal="center" vertical="center"/>
    </xf>
    <xf numFmtId="0" fontId="22" fillId="8" borderId="0" xfId="0" applyFont="1" applyFill="1"/>
    <xf numFmtId="0" fontId="7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9" fillId="0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9" fillId="0" borderId="18" xfId="0" applyFont="1" applyBorder="1" applyAlignment="1"/>
    <xf numFmtId="0" fontId="0" fillId="0" borderId="7" xfId="0" applyBorder="1" applyAlignmen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9" fillId="0" borderId="18" xfId="0" applyFont="1" applyBorder="1" applyAlignment="1">
      <alignment horizontal="right" vertical="top" wrapText="1"/>
    </xf>
    <xf numFmtId="0" fontId="0" fillId="0" borderId="7" xfId="0" applyBorder="1" applyAlignment="1">
      <alignment horizontal="right" wrapText="1"/>
    </xf>
    <xf numFmtId="0" fontId="6" fillId="2" borderId="26" xfId="0" applyFont="1" applyFill="1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9" fillId="7" borderId="4" xfId="0" applyFont="1" applyFill="1" applyBorder="1" applyAlignment="1">
      <alignment horizontal="right"/>
    </xf>
    <xf numFmtId="0" fontId="0" fillId="0" borderId="5" xfId="0" applyBorder="1" applyAlignment="1">
      <alignment horizontal="right"/>
    </xf>
    <xf numFmtId="0" fontId="9" fillId="0" borderId="22" xfId="0" applyFont="1" applyBorder="1" applyAlignment="1">
      <alignment horizontal="right" vertical="top"/>
    </xf>
    <xf numFmtId="0" fontId="0" fillId="0" borderId="22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1924050</xdr:colOff>
      <xdr:row>4</xdr:row>
      <xdr:rowOff>28576</xdr:rowOff>
    </xdr:from>
    <xdr:to>
      <xdr:col>6</xdr:col>
      <xdr:colOff>485776</xdr:colOff>
      <xdr:row>4</xdr:row>
      <xdr:rowOff>600076</xdr:rowOff>
    </xdr:to>
    <xdr:sp macro="" textlink="">
      <xdr:nvSpPr>
        <xdr:cNvPr id="3" name="Down Arrow 2"/>
        <xdr:cNvSpPr/>
      </xdr:nvSpPr>
      <xdr:spPr>
        <a:xfrm>
          <a:off x="9172575" y="1228726"/>
          <a:ext cx="1362076" cy="571500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/>
            <a:t>Make      Entries</a:t>
          </a:r>
        </a:p>
        <a:p>
          <a:pPr algn="ctr"/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I34"/>
  <sheetViews>
    <sheetView tabSelected="1" workbookViewId="0">
      <selection activeCell="B4" sqref="B4"/>
    </sheetView>
  </sheetViews>
  <sheetFormatPr defaultRowHeight="15" x14ac:dyDescent="0.25"/>
  <cols>
    <col min="2" max="2" width="27.7109375" customWidth="1"/>
    <col min="3" max="3" width="58.140625" customWidth="1"/>
    <col min="4" max="4" width="13.7109375" customWidth="1"/>
    <col min="5" max="5" width="35.5703125" customWidth="1"/>
    <col min="6" max="6" width="6.42578125" customWidth="1"/>
    <col min="7" max="7" width="22" customWidth="1"/>
    <col min="8" max="8" width="35.85546875" customWidth="1"/>
    <col min="9" max="9" width="7.7109375" hidden="1" customWidth="1"/>
  </cols>
  <sheetData>
    <row r="1" spans="2:9" ht="27.75" x14ac:dyDescent="0.4">
      <c r="B1" s="102"/>
      <c r="C1" s="102"/>
      <c r="D1" s="102"/>
      <c r="E1" s="102"/>
      <c r="F1" s="102"/>
      <c r="G1" s="102"/>
      <c r="H1" s="102"/>
    </row>
    <row r="2" spans="2:9" ht="27.75" x14ac:dyDescent="0.4">
      <c r="B2" s="102" t="s">
        <v>10</v>
      </c>
      <c r="C2" s="102"/>
      <c r="D2" s="102"/>
      <c r="E2" s="102"/>
      <c r="F2" s="102"/>
      <c r="G2" s="102"/>
      <c r="H2" s="102"/>
    </row>
    <row r="3" spans="2:9" ht="4.5" customHeight="1" thickBot="1" x14ac:dyDescent="0.3"/>
    <row r="4" spans="2:9" ht="34.5" customHeight="1" thickBot="1" x14ac:dyDescent="0.3">
      <c r="B4" s="49" t="s">
        <v>1</v>
      </c>
      <c r="C4" s="23"/>
      <c r="D4" s="24" t="s">
        <v>2</v>
      </c>
      <c r="E4" s="23"/>
      <c r="F4" s="25" t="s">
        <v>0</v>
      </c>
      <c r="G4" s="111"/>
      <c r="H4" s="112"/>
    </row>
    <row r="5" spans="2:9" ht="49.5" customHeight="1" thickBot="1" x14ac:dyDescent="0.3">
      <c r="B5" s="39"/>
      <c r="C5" s="41" t="s">
        <v>3</v>
      </c>
      <c r="D5" s="41" t="s">
        <v>36</v>
      </c>
      <c r="E5" s="41"/>
      <c r="F5" s="41"/>
      <c r="G5" s="42" t="s">
        <v>4</v>
      </c>
      <c r="H5" s="43" t="s">
        <v>15</v>
      </c>
      <c r="I5" s="80"/>
    </row>
    <row r="6" spans="2:9" ht="16.5" x14ac:dyDescent="0.3">
      <c r="B6" s="38" t="s">
        <v>21</v>
      </c>
      <c r="C6" s="44" t="s">
        <v>22</v>
      </c>
      <c r="D6" s="89" t="s">
        <v>5</v>
      </c>
      <c r="E6" s="70"/>
      <c r="F6" s="86"/>
      <c r="G6" s="90" t="s">
        <v>50</v>
      </c>
      <c r="H6" s="84"/>
      <c r="I6" s="81">
        <f>IF(F6="X",6,0)</f>
        <v>0</v>
      </c>
    </row>
    <row r="7" spans="2:9" ht="16.5" x14ac:dyDescent="0.3">
      <c r="B7" s="45"/>
      <c r="C7" s="40"/>
      <c r="D7" s="50" t="s">
        <v>20</v>
      </c>
      <c r="E7" s="64"/>
      <c r="F7" s="27"/>
      <c r="G7" s="87" t="s">
        <v>51</v>
      </c>
      <c r="H7" s="36"/>
      <c r="I7" s="81">
        <f>IF(F7="X",3,0)</f>
        <v>0</v>
      </c>
    </row>
    <row r="8" spans="2:9" ht="16.5" x14ac:dyDescent="0.3">
      <c r="B8" s="13"/>
      <c r="C8" s="1"/>
      <c r="D8" s="50" t="s">
        <v>6</v>
      </c>
      <c r="E8" s="64"/>
      <c r="F8" s="27"/>
      <c r="G8" s="87" t="s">
        <v>51</v>
      </c>
      <c r="H8" s="36"/>
      <c r="I8" s="81">
        <f>IF(F8="X",3,0)</f>
        <v>0</v>
      </c>
    </row>
    <row r="9" spans="2:9" ht="16.5" x14ac:dyDescent="0.3">
      <c r="B9" s="13"/>
      <c r="C9" s="1"/>
      <c r="D9" s="50" t="s">
        <v>7</v>
      </c>
      <c r="E9" s="64"/>
      <c r="F9" s="27"/>
      <c r="G9" s="88" t="s">
        <v>48</v>
      </c>
      <c r="H9" s="36"/>
      <c r="I9" s="81">
        <f>IF(F9="X",3,0)</f>
        <v>0</v>
      </c>
    </row>
    <row r="10" spans="2:9" ht="17.25" thickBot="1" x14ac:dyDescent="0.35">
      <c r="B10" s="77"/>
      <c r="C10" s="15"/>
      <c r="D10" s="51" t="s">
        <v>8</v>
      </c>
      <c r="E10" s="83"/>
      <c r="F10" s="28"/>
      <c r="G10" s="91" t="s">
        <v>49</v>
      </c>
      <c r="H10" s="85">
        <f>SUM(I6:I10)</f>
        <v>0</v>
      </c>
      <c r="I10" s="81">
        <f>IF(F10="X",1,0)</f>
        <v>0</v>
      </c>
    </row>
    <row r="11" spans="2:9" ht="16.5" x14ac:dyDescent="0.3">
      <c r="B11" s="68" t="s">
        <v>23</v>
      </c>
      <c r="C11" s="1"/>
      <c r="D11" s="75"/>
      <c r="E11" s="69"/>
      <c r="F11" s="76"/>
      <c r="G11" s="74"/>
      <c r="H11" s="14"/>
      <c r="I11" s="82"/>
    </row>
    <row r="12" spans="2:9" ht="16.5" x14ac:dyDescent="0.3">
      <c r="B12" s="52" t="s">
        <v>32</v>
      </c>
      <c r="C12" s="1"/>
      <c r="D12" s="47" t="s">
        <v>30</v>
      </c>
      <c r="E12" s="10"/>
      <c r="F12" s="55"/>
      <c r="G12" s="22" t="s">
        <v>17</v>
      </c>
      <c r="H12" s="14"/>
      <c r="I12" s="82"/>
    </row>
    <row r="13" spans="2:9" ht="16.5" x14ac:dyDescent="0.3">
      <c r="B13" s="105" t="s">
        <v>57</v>
      </c>
      <c r="C13" s="106"/>
      <c r="D13" s="47" t="s">
        <v>28</v>
      </c>
      <c r="E13" s="4"/>
      <c r="F13" s="27"/>
      <c r="G13" s="22" t="s">
        <v>19</v>
      </c>
      <c r="H13" s="14"/>
      <c r="I13" s="82"/>
    </row>
    <row r="14" spans="2:9" ht="16.5" x14ac:dyDescent="0.3">
      <c r="B14" s="52" t="s">
        <v>31</v>
      </c>
      <c r="C14" s="1"/>
      <c r="D14" s="3"/>
      <c r="E14" s="4"/>
      <c r="F14" s="27"/>
      <c r="G14" s="6" t="s">
        <v>17</v>
      </c>
      <c r="H14" s="14"/>
    </row>
    <row r="15" spans="2:9" ht="16.5" x14ac:dyDescent="0.3">
      <c r="B15" s="52" t="s">
        <v>41</v>
      </c>
      <c r="C15" s="1"/>
      <c r="D15" s="3"/>
      <c r="E15" s="4"/>
      <c r="F15" s="27"/>
      <c r="G15" s="6" t="s">
        <v>18</v>
      </c>
      <c r="H15" s="14"/>
    </row>
    <row r="16" spans="2:9" ht="17.25" thickBot="1" x14ac:dyDescent="0.35">
      <c r="B16" s="53" t="s">
        <v>42</v>
      </c>
      <c r="C16" s="15"/>
      <c r="D16" s="78"/>
      <c r="E16" s="79"/>
      <c r="F16" s="28"/>
      <c r="G16" s="63" t="s">
        <v>29</v>
      </c>
      <c r="H16" s="16">
        <f>IF(F12="yes",2,0)+IF(F13="yes",1,0)+IF(F14="yes",2,0)+IF(F15="yes",1,0)+IF(F16="yes",3,0)</f>
        <v>0</v>
      </c>
    </row>
    <row r="17" spans="2:8" ht="16.5" x14ac:dyDescent="0.3">
      <c r="B17" s="38" t="s">
        <v>24</v>
      </c>
      <c r="C17" s="11"/>
      <c r="D17" s="56"/>
      <c r="E17" s="21"/>
      <c r="F17" s="57"/>
      <c r="G17" s="58"/>
      <c r="H17" s="12"/>
    </row>
    <row r="18" spans="2:8" ht="16.5" x14ac:dyDescent="0.3">
      <c r="B18" s="52" t="s">
        <v>25</v>
      </c>
      <c r="C18" s="64"/>
      <c r="D18" s="66"/>
      <c r="E18" s="67"/>
      <c r="F18" s="55"/>
      <c r="G18" s="62" t="s">
        <v>29</v>
      </c>
      <c r="H18" s="14"/>
    </row>
    <row r="19" spans="2:8" ht="17.25" customHeight="1" thickBot="1" x14ac:dyDescent="0.35">
      <c r="B19" s="52" t="s">
        <v>33</v>
      </c>
      <c r="C19" s="52"/>
      <c r="D19" s="50"/>
      <c r="E19" s="9"/>
      <c r="F19" s="27"/>
      <c r="G19" s="7" t="s">
        <v>17</v>
      </c>
      <c r="H19" s="14">
        <f>IF(F18="yes",3,0)+IF(F19="yes",2,0)</f>
        <v>0</v>
      </c>
    </row>
    <row r="20" spans="2:8" ht="17.25" customHeight="1" x14ac:dyDescent="0.3">
      <c r="B20" s="38" t="s">
        <v>38</v>
      </c>
      <c r="C20" s="70"/>
      <c r="D20" s="56"/>
      <c r="E20" s="21"/>
      <c r="F20" s="21"/>
      <c r="G20" s="37"/>
      <c r="H20" s="12"/>
    </row>
    <row r="21" spans="2:8" ht="16.5" x14ac:dyDescent="0.3">
      <c r="B21" s="65" t="s">
        <v>39</v>
      </c>
      <c r="C21" s="1"/>
      <c r="D21" s="61" t="s">
        <v>43</v>
      </c>
      <c r="E21" s="10"/>
      <c r="F21" s="29"/>
      <c r="G21" s="62" t="s">
        <v>29</v>
      </c>
      <c r="H21" s="14"/>
    </row>
    <row r="22" spans="2:8" ht="16.5" x14ac:dyDescent="0.3">
      <c r="B22" s="13"/>
      <c r="C22" s="1"/>
      <c r="D22" s="5" t="s">
        <v>44</v>
      </c>
      <c r="E22" s="4"/>
      <c r="F22" s="26"/>
      <c r="G22" s="7" t="s">
        <v>19</v>
      </c>
      <c r="H22" s="14"/>
    </row>
    <row r="23" spans="2:8" ht="16.5" x14ac:dyDescent="0.3">
      <c r="B23" s="13"/>
      <c r="C23" s="1"/>
      <c r="D23" s="5" t="s">
        <v>40</v>
      </c>
      <c r="E23" s="4"/>
      <c r="F23" s="26"/>
      <c r="G23" s="7"/>
      <c r="H23" s="14"/>
    </row>
    <row r="24" spans="2:8" ht="17.25" thickBot="1" x14ac:dyDescent="0.35">
      <c r="B24" s="65" t="s">
        <v>45</v>
      </c>
      <c r="C24" s="1"/>
      <c r="D24" s="31"/>
      <c r="E24" s="32"/>
      <c r="F24" s="30"/>
      <c r="G24" s="72" t="s">
        <v>16</v>
      </c>
      <c r="H24" s="14">
        <f>IF(F21="yes",3,0)+IF(F22="yes",1,0)+IF(F23="yes",0,0)+IF(F24="yes",2,0)</f>
        <v>0</v>
      </c>
    </row>
    <row r="25" spans="2:8" ht="16.5" x14ac:dyDescent="0.3">
      <c r="B25" s="38" t="s">
        <v>26</v>
      </c>
      <c r="C25" s="11"/>
      <c r="D25" s="20"/>
      <c r="E25" s="21"/>
      <c r="F25" s="21"/>
      <c r="G25" s="37"/>
      <c r="H25" s="12"/>
    </row>
    <row r="26" spans="2:8" ht="34.5" customHeight="1" x14ac:dyDescent="0.3">
      <c r="B26" s="109" t="s">
        <v>53</v>
      </c>
      <c r="C26" s="110"/>
      <c r="D26" s="107"/>
      <c r="E26" s="108"/>
      <c r="F26" s="99"/>
      <c r="G26" s="54" t="s">
        <v>14</v>
      </c>
      <c r="H26" s="14">
        <f>IF(F26="yes",1,0)</f>
        <v>0</v>
      </c>
    </row>
    <row r="27" spans="2:8" ht="16.5" x14ac:dyDescent="0.3">
      <c r="B27" s="52" t="s">
        <v>12</v>
      </c>
      <c r="C27" s="2"/>
      <c r="D27" s="113" t="s">
        <v>27</v>
      </c>
      <c r="E27" s="114"/>
      <c r="F27" s="29"/>
      <c r="G27" s="22" t="s">
        <v>13</v>
      </c>
      <c r="H27" s="36">
        <f>IF(F27&lt;=4,0,IF(AND(F27&gt;4,F27&lt;=9),1,IF(F27&gt;=10,3,"no entry")))</f>
        <v>0</v>
      </c>
    </row>
    <row r="28" spans="2:8" ht="16.5" x14ac:dyDescent="0.3">
      <c r="B28" s="98" t="s">
        <v>46</v>
      </c>
      <c r="C28" s="94"/>
      <c r="D28" s="103" t="s">
        <v>52</v>
      </c>
      <c r="E28" s="104"/>
      <c r="F28" s="46"/>
      <c r="G28" s="8" t="s">
        <v>34</v>
      </c>
      <c r="H28" s="14">
        <f>IF(F28="yes",3,0)</f>
        <v>0</v>
      </c>
    </row>
    <row r="29" spans="2:8" ht="17.25" thickBot="1" x14ac:dyDescent="0.35">
      <c r="B29" s="19" t="s">
        <v>9</v>
      </c>
      <c r="C29" s="15"/>
      <c r="D29" s="115" t="s">
        <v>35</v>
      </c>
      <c r="E29" s="116"/>
      <c r="F29" s="71"/>
      <c r="G29" s="59" t="s">
        <v>14</v>
      </c>
      <c r="H29" s="16">
        <f>IF(F29="yes",1,0)</f>
        <v>0</v>
      </c>
    </row>
    <row r="30" spans="2:8" ht="33.75" thickBot="1" x14ac:dyDescent="0.35">
      <c r="B30" s="73"/>
      <c r="C30" s="95"/>
      <c r="D30" s="96" t="s">
        <v>37</v>
      </c>
      <c r="E30" s="97"/>
      <c r="F30" s="95"/>
      <c r="G30" s="95"/>
      <c r="H30" s="14"/>
    </row>
    <row r="31" spans="2:8" ht="17.25" thickBot="1" x14ac:dyDescent="0.35">
      <c r="B31" s="92" t="s">
        <v>55</v>
      </c>
      <c r="C31" s="93" t="s">
        <v>54</v>
      </c>
      <c r="D31" s="17"/>
      <c r="E31" s="18"/>
      <c r="F31" s="18"/>
      <c r="G31" s="33"/>
      <c r="H31" s="60"/>
    </row>
    <row r="32" spans="2:8" ht="19.5" thickBot="1" x14ac:dyDescent="0.35">
      <c r="B32" s="100" t="s">
        <v>58</v>
      </c>
      <c r="C32" s="35"/>
      <c r="D32" s="35"/>
      <c r="E32" s="35"/>
      <c r="F32" s="34"/>
      <c r="G32" s="34" t="s">
        <v>11</v>
      </c>
      <c r="H32" s="48">
        <f>SUM(H6:H31)</f>
        <v>0</v>
      </c>
    </row>
    <row r="33" spans="6:8" x14ac:dyDescent="0.25">
      <c r="F33" s="101" t="s">
        <v>47</v>
      </c>
      <c r="G33" s="101"/>
      <c r="H33" s="101"/>
    </row>
    <row r="34" spans="6:8" x14ac:dyDescent="0.25">
      <c r="F34" s="101" t="s">
        <v>56</v>
      </c>
      <c r="G34" s="101"/>
      <c r="H34" s="101"/>
    </row>
  </sheetData>
  <mergeCells count="11">
    <mergeCell ref="F34:H34"/>
    <mergeCell ref="B2:H2"/>
    <mergeCell ref="B1:H1"/>
    <mergeCell ref="D28:E28"/>
    <mergeCell ref="B13:C13"/>
    <mergeCell ref="D26:E26"/>
    <mergeCell ref="B26:C26"/>
    <mergeCell ref="G4:H4"/>
    <mergeCell ref="D27:E27"/>
    <mergeCell ref="D29:E29"/>
    <mergeCell ref="F33:H33"/>
  </mergeCells>
  <pageMargins left="0.7" right="0.7" top="0.75" bottom="0.75" header="0.3" footer="0.3"/>
  <pageSetup scale="6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Kiley, Brian</dc:creator>
  <cp:lastModifiedBy>O'Dwyer, Mary Hayden</cp:lastModifiedBy>
  <cp:lastPrinted>2013-03-01T15:44:59Z</cp:lastPrinted>
  <dcterms:created xsi:type="dcterms:W3CDTF">2013-02-13T15:43:02Z</dcterms:created>
  <dcterms:modified xsi:type="dcterms:W3CDTF">2013-04-04T19:12:57Z</dcterms:modified>
</cp:coreProperties>
</file>