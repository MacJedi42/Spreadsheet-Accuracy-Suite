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360" yWindow="15" windowWidth="11340" windowHeight="6150" tabRatio="783" activeTab="1"/>
  </bookViews>
  <sheets>
    <sheet name="Menu" sheetId="12" r:id="rId1"/>
    <sheet name="Part-time, full year" sheetId="11" r:id="rId2"/>
    <sheet name="Part-time, part year" sheetId="7" r:id="rId3"/>
    <sheet name="Full-time, part year" sheetId="8" r:id="rId4"/>
    <sheet name="Part-time and part-year 1" sheetId="13" r:id="rId5"/>
    <sheet name="Part-time and part-year 2" sheetId="14" r:id="rId6"/>
    <sheet name="Hours change during the year" sheetId="9" r:id="rId7"/>
    <sheet name="Full-time staff leaver" sheetId="15" r:id="rId8"/>
    <sheet name="Part-time staff leaver 1" sheetId="17" r:id="rId9"/>
    <sheet name="Part-time staff leaver 2" sheetId="18" r:id="rId10"/>
    <sheet name="Data" sheetId="2" r:id="rId11"/>
  </sheets>
  <definedNames>
    <definedName name="_xlnm.Print_Area" localSheetId="3">'Full-time, part year'!$B$2:$C$19</definedName>
    <definedName name="_xlnm.Print_Area" localSheetId="6">'Hours change during the year'!$B$2:$C$7</definedName>
    <definedName name="_xlnm.Print_Area" localSheetId="1">'Part-time, full year'!$B$6:$C$37</definedName>
  </definedNames>
  <calcPr calcId="145621"/>
</workbook>
</file>

<file path=xl/calcChain.xml><?xml version="1.0" encoding="utf-8"?>
<calcChain xmlns="http://schemas.openxmlformats.org/spreadsheetml/2006/main">
  <c r="C16" i="18" l="1"/>
  <c r="C24" i="18" l="1"/>
  <c r="H8" i="18"/>
  <c r="G8" i="18"/>
  <c r="F8" i="18"/>
  <c r="C24" i="17"/>
  <c r="C13" i="15"/>
  <c r="C18" i="18" l="1"/>
  <c r="C26" i="18" s="1"/>
  <c r="C10" i="18"/>
  <c r="C14" i="9"/>
  <c r="C13" i="8"/>
  <c r="C14" i="7"/>
  <c r="G8" i="17" l="1"/>
  <c r="C16" i="17" s="1"/>
  <c r="F8" i="17"/>
  <c r="G5" i="15"/>
  <c r="C7" i="15" s="1"/>
  <c r="F5" i="15"/>
  <c r="F8" i="11"/>
  <c r="C16" i="13"/>
  <c r="G8" i="14"/>
  <c r="C10" i="14" s="1"/>
  <c r="F8" i="14"/>
  <c r="G8" i="13"/>
  <c r="C10" i="13" s="1"/>
  <c r="F8" i="13"/>
  <c r="C16" i="9"/>
  <c r="G5" i="8"/>
  <c r="C7" i="8" s="1"/>
  <c r="G8" i="11"/>
  <c r="C10" i="11" s="1"/>
  <c r="F5" i="8"/>
  <c r="C16" i="7"/>
  <c r="D6" i="2"/>
  <c r="H8" i="14" s="1"/>
  <c r="D7" i="2"/>
  <c r="D8" i="2"/>
  <c r="C33" i="11"/>
  <c r="H5" i="15" l="1"/>
  <c r="H8" i="17"/>
  <c r="C10" i="17"/>
  <c r="C18" i="17"/>
  <c r="C26" i="17" s="1"/>
  <c r="C15" i="15"/>
  <c r="H8" i="11"/>
  <c r="C14" i="11" s="1"/>
  <c r="C34" i="11" s="1"/>
  <c r="H8" i="13"/>
  <c r="C18" i="13" s="1"/>
  <c r="H5" i="8"/>
  <c r="C16" i="14"/>
  <c r="C18" i="14" s="1"/>
  <c r="C18" i="9"/>
  <c r="C15" i="8"/>
</calcChain>
</file>

<file path=xl/sharedStrings.xml><?xml version="1.0" encoding="utf-8"?>
<sst xmlns="http://schemas.openxmlformats.org/spreadsheetml/2006/main" count="182" uniqueCount="96">
  <si>
    <t>GRADE</t>
  </si>
  <si>
    <t>A</t>
  </si>
  <si>
    <t>B</t>
  </si>
  <si>
    <t>C</t>
  </si>
  <si>
    <t>Formula = (A + D x B) x (E / C x 100) / 100</t>
  </si>
  <si>
    <t>FORMULA =((A + D) - 8) / 12 x E</t>
  </si>
  <si>
    <t xml:space="preserve">HIDDEN INFORMATION </t>
  </si>
  <si>
    <t>HOLIDAY CALCULATOR</t>
  </si>
  <si>
    <t>HRS PER WEEK</t>
  </si>
  <si>
    <t>HOLIDAY</t>
  </si>
  <si>
    <t>HRS PER DAY</t>
  </si>
  <si>
    <t>Menu</t>
  </si>
  <si>
    <t>1.</t>
  </si>
  <si>
    <t>2.</t>
  </si>
  <si>
    <t>3.</t>
  </si>
  <si>
    <t>4.</t>
  </si>
  <si>
    <t>5.</t>
  </si>
  <si>
    <t>Back to menu</t>
  </si>
  <si>
    <t>Pro-rata entitlement in hours</t>
  </si>
  <si>
    <t>Grade of employee (pick from list)</t>
  </si>
  <si>
    <t>PART-TIME STAFF: CALCULATING A  PART YEAR'S HOLIDAY ENTITLEMENT</t>
  </si>
  <si>
    <t>Enter hours the part-timer works per week</t>
  </si>
  <si>
    <t>(use calculator (1) if not known)</t>
  </si>
  <si>
    <t>Enter part-timer's full year entitlement in hours</t>
  </si>
  <si>
    <t xml:space="preserve">Enter previous full  year holiday entitlement (in hours) </t>
  </si>
  <si>
    <t xml:space="preserve">Enter new full year holiday entitlement (in hours) </t>
  </si>
  <si>
    <t>Monday</t>
  </si>
  <si>
    <t>Tuesday</t>
  </si>
  <si>
    <t>Wednesday</t>
  </si>
  <si>
    <t>Thursday</t>
  </si>
  <si>
    <t>Friday</t>
  </si>
  <si>
    <t xml:space="preserve">Click to select relevant calculator    </t>
  </si>
  <si>
    <t>(a)</t>
  </si>
  <si>
    <t>(b)</t>
  </si>
  <si>
    <t>Enter the hours worked on a:-</t>
  </si>
  <si>
    <t>Professorial</t>
  </si>
  <si>
    <t>Holiday entitlement (fte - shown in days )</t>
  </si>
  <si>
    <t>Including all Bank and University Holidays (round up to nearest hour)</t>
  </si>
  <si>
    <t>PART-TIME STAFF: CALCULATING A FULL YEAR'S LEAVE ENTITLEMENT</t>
  </si>
  <si>
    <t>Number of hours part-timer will use on Bank &amp; University Holidays</t>
  </si>
  <si>
    <t>Grade 1-6</t>
  </si>
  <si>
    <t>Grade 7-10</t>
  </si>
  <si>
    <t>Number of days between the these two dates</t>
  </si>
  <si>
    <t>Leave entitlement</t>
  </si>
  <si>
    <t>CALCULATOR FOR USE WHEN HOURS CHANGE DURING HOLIDAY YEAR</t>
  </si>
  <si>
    <t>Note: This should be the start of the holiday year if in post at that time</t>
  </si>
  <si>
    <t>Number of days in the current holiday year in previous post</t>
  </si>
  <si>
    <t xml:space="preserve">Total holiday entitlement in the year the change occours (hours) </t>
  </si>
  <si>
    <t xml:space="preserve">Number of days remaining in the holiday year in new post </t>
  </si>
  <si>
    <t>Round up the nearest hour</t>
  </si>
  <si>
    <t>FULL-TIME STAFF: CALCULATING A  NEW STARTER'S HOLIDAY ENTITLEMENT</t>
  </si>
  <si>
    <t>Number of Annual Bookable Leave hours remaining</t>
  </si>
  <si>
    <t>To calculate Annual Bookable Leave entitlement:-</t>
  </si>
  <si>
    <t>ALL LEAVE TO BE TAKEN WITHIN THE CONTRACTED WORKING WEEKS</t>
  </si>
  <si>
    <t xml:space="preserve">Enter number of weeks worked in the year </t>
  </si>
  <si>
    <t>ALL LEAVE TO BE TAKEN OUTSIDE OF THE CONTRACTED WORKING WEEKS</t>
  </si>
  <si>
    <t>PART-TIME, PART-YEAR STAFF: CALCULATING FTE AND HOLIDAY ENTITLEMENT</t>
  </si>
  <si>
    <t>Proportion of FTE</t>
  </si>
  <si>
    <t>6.</t>
  </si>
  <si>
    <t xml:space="preserve">Pro-rata entitlement </t>
  </si>
  <si>
    <t>FULL-TIME STAFF: CALCULATING A  LEAVER'S HOLIDAY ENTITLEMENT</t>
  </si>
  <si>
    <t>Pro-rata entitlement  in days</t>
  </si>
  <si>
    <t>PART-TIME STAFF: CALCULATING A LEAVER'S HOLIDAY ENTITLEMENT</t>
  </si>
  <si>
    <t>Pro-rata entitlement  at date of leaving in hours</t>
  </si>
  <si>
    <t>7.</t>
  </si>
  <si>
    <t>8.</t>
  </si>
  <si>
    <t>This calculator will pro-rata the holiday entitlement for a part-time member of staff starting part-way through a holiday year.</t>
  </si>
  <si>
    <t>through a holiday year.</t>
  </si>
  <si>
    <t>This calculator will pro-rata the holiday entitlement for a part-time member of staff who works for a defined number of weeks in a year.   Cells shown in orange will be completed by the calculator.</t>
  </si>
  <si>
    <t>This calculator will pro-rata the holiday entitlement for a part-time member of staff who works for a defined number of weeks in the year. Cells shown in orange will be completed by the calculator.</t>
  </si>
  <si>
    <t>Holiday entitlement for a part-time member of staff who works all year</t>
  </si>
  <si>
    <t>Holiday entitlement for a part-time member of staff starting part way through the leave year</t>
  </si>
  <si>
    <t>Holiday entitlement for a full-time member of staff starting part way through the leave year</t>
  </si>
  <si>
    <t xml:space="preserve">Holiday entitlement for a part-time member of staff who works for a defined number of weeks in a year. All holiday is taken outside the contracted working weeks </t>
  </si>
  <si>
    <t>Calculating holiday entitlement when the hours of work change during the leave year</t>
  </si>
  <si>
    <t>Calculating a leaver's holiday entitlement when they are full-time</t>
  </si>
  <si>
    <t>Holiday entitlement for a part-time member of staff who works for a defined number of weeks in a year. All holiday is taken within the contracted working weeks</t>
  </si>
  <si>
    <t>FOR ANY OTHER ANNUAL LEAVE CALCULATIONS PLEASE SEEK THE ADVICE OF AN HR ADVISOR OR HR ADMINISTRATOR.</t>
  </si>
  <si>
    <t>This calculator will pro-rata the holiday entitlement for a part-time member of staff who works all year.  The first section (a) will calculate the total number of hours holiday to which the part-timer is entitled (including Bank and University Holidays).  The second section (b) can then be used to work out how many hours the employee will be able to take as Annual Bookable Leave.  Cells shown in orange will be completed by the calculator.</t>
  </si>
  <si>
    <t>Enter end date of previous contract during the holiday year  e.g. 30 November</t>
  </si>
  <si>
    <t>ALL LEAVE NORMALLY TAKEN WITHIN THE CONTRACTED WORKING WEEKS</t>
  </si>
  <si>
    <t>ALL LEAVE NORMALLY TAKEN OUTSIDE THE CONTRACTED WORKING WEEKS</t>
  </si>
  <si>
    <t>Number of days between these two dates</t>
  </si>
  <si>
    <t>This calculator will pro-rata the holiday entitlement for a part-time member of staff.  The first section (a) will calculate the total number of hours holiday to which the part-timer is entitled (including Bank and University Holidays).  The second section (b) can then be used to work out how many hours the employee should have taken as leave up to the leaving date.  Cells shown in orange will be completed by the calculator.</t>
  </si>
  <si>
    <t>This calculator will pro-rata the holiday entitlement for a part-time member of staff.  The first section (a) will calculate the total number of hours holiday to which the part-timer is entitled (including Bank and University Holidays).  The second section (b) can then be used to work out how many hours the employee is entitled to be paid for in lieu of leave up to the leaving date. Cells shown in orange will be completed by the calculator.</t>
  </si>
  <si>
    <t xml:space="preserve">Calculating a leaver's holiday entitlement when they are part-time. Holiday taken within the contracted working weeks. </t>
  </si>
  <si>
    <t>9.</t>
  </si>
  <si>
    <t>Calculating a leaver's holiday entitlement when they are part-time. Holiday taken outside the contracted working weeks.</t>
  </si>
  <si>
    <t>Number of Bank &amp; University Holiday  year 2013/14 falling on a:-</t>
  </si>
  <si>
    <t>Enter date of start of new contract e.g. 1 June 2013</t>
  </si>
  <si>
    <t>Enter end date of holiday year  e.g. 31 March 2014</t>
  </si>
  <si>
    <t>Enter start date of previous contract during the current year e.g. 1 June 2013</t>
  </si>
  <si>
    <t>Enter start date of current leave year e.g. 1 April 2013</t>
  </si>
  <si>
    <t>Enter leaving date e.g. 30 June 2013</t>
  </si>
  <si>
    <t>Enter date of start of contract e.g. 1 June 2013</t>
  </si>
  <si>
    <t>Enter end date of holiday year  i.e. 31 March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</si>
</sst>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20" x14ac:knownFonts="1">
    <font>
      <sz val="8"/>
      <name val="Times New Roman"/>
      <family val="1"/>
    </font>
    <font>
      <u/>
      <sz val="10"/>
      <color indexed="12"/>
      <name val="Arial"/>
      <family val="2"/>
    </font>
    <font>
      <sz val="12"/>
      <name val="Times New Roman"/>
      <family val="1"/>
    </font>
    <font>
      <b/>
      <sz val="12"/>
      <name val="Times New Roman"/>
      <family val="1"/>
    </font>
    <font>
      <sz val="12"/>
      <name val="Arial"/>
      <family val="2"/>
    </font>
    <font>
      <sz val="10"/>
      <name val="Arial"/>
      <family val="2"/>
    </font>
    <font>
      <sz val="11"/>
      <name val="Arial"/>
      <family val="2"/>
    </font>
    <font>
      <b/>
      <sz val="14"/>
      <name val="Arial"/>
      <family val="2"/>
    </font>
    <font>
      <u/>
      <sz val="10"/>
      <name val="Arial"/>
      <family val="2"/>
    </font>
    <font>
      <b/>
      <i/>
      <sz val="14"/>
      <name val="Arial"/>
      <family val="2"/>
    </font>
    <font>
      <i/>
      <sz val="11"/>
      <name val="Arial"/>
      <family val="2"/>
    </font>
    <font>
      <u/>
      <sz val="11"/>
      <name val="Arial"/>
      <family val="2"/>
    </font>
    <font>
      <b/>
      <sz val="12"/>
      <name val="Arial"/>
      <family val="2"/>
    </font>
    <font>
      <b/>
      <sz val="11"/>
      <name val="Arial"/>
      <family val="2"/>
    </font>
    <font>
      <b/>
      <u/>
      <sz val="11"/>
      <name val="Arial"/>
      <family val="2"/>
    </font>
    <font>
      <u/>
      <sz val="12"/>
      <name val="Arial"/>
      <family val="2"/>
    </font>
    <font>
      <b/>
      <u/>
      <sz val="12"/>
      <name val="Arial"/>
      <family val="2"/>
    </font>
    <font>
      <b/>
      <sz val="18"/>
      <name val="Arial"/>
      <family val="2"/>
    </font>
    <font>
      <b/>
      <sz val="10"/>
      <name val="Arial"/>
      <family val="2"/>
    </font>
    <font>
      <sz val="12"/>
      <color theme="1"/>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C91D"/>
        <bgColor indexed="64"/>
      </patternFill>
    </fill>
    <fill>
      <patternFill patternType="solid">
        <fgColor theme="2" tint="-0.249977111117893"/>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85">
    <xf numFmtId="0" fontId="0" fillId="0" borderId="0" xfId="0"/>
    <xf numFmtId="0" fontId="2" fillId="0" borderId="0" xfId="0" applyFont="1" applyProtection="1">
      <protection locked="0"/>
    </xf>
    <xf numFmtId="0" fontId="2" fillId="0" borderId="2"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2" fillId="3" borderId="1" xfId="0" applyFont="1" applyFill="1" applyBorder="1" applyAlignment="1" applyProtection="1">
      <alignment horizontal="center"/>
      <protection locked="0"/>
    </xf>
    <xf numFmtId="0" fontId="4" fillId="2" borderId="0" xfId="0" applyFont="1" applyFill="1" applyProtection="1"/>
    <xf numFmtId="2" fontId="5" fillId="2" borderId="2" xfId="0" applyNumberFormat="1" applyFont="1" applyFill="1" applyBorder="1" applyProtection="1">
      <protection locked="0"/>
    </xf>
    <xf numFmtId="0" fontId="5" fillId="2" borderId="0" xfId="0" applyFont="1" applyFill="1" applyProtection="1"/>
    <xf numFmtId="0" fontId="5" fillId="2" borderId="0" xfId="0" applyFont="1" applyFill="1" applyBorder="1" applyProtection="1"/>
    <xf numFmtId="2" fontId="5" fillId="4" borderId="2" xfId="0" applyNumberFormat="1" applyFont="1" applyFill="1" applyBorder="1" applyProtection="1"/>
    <xf numFmtId="2" fontId="5" fillId="4" borderId="1" xfId="0" applyNumberFormat="1" applyFont="1" applyFill="1" applyBorder="1" applyProtection="1"/>
    <xf numFmtId="0" fontId="6" fillId="2" borderId="0" xfId="0" applyFont="1" applyFill="1" applyBorder="1" applyAlignment="1" applyProtection="1">
      <alignment horizontal="center" vertical="top" wrapText="1"/>
    </xf>
    <xf numFmtId="0" fontId="4" fillId="0" borderId="0" xfId="0" applyFont="1" applyProtection="1"/>
    <xf numFmtId="0" fontId="4" fillId="2" borderId="1" xfId="0" applyFont="1" applyFill="1" applyBorder="1" applyAlignment="1" applyProtection="1">
      <alignment horizontal="right" vertical="center"/>
    </xf>
    <xf numFmtId="0" fontId="6" fillId="2" borderId="0" xfId="0" applyFont="1" applyFill="1" applyProtection="1"/>
    <xf numFmtId="0" fontId="5" fillId="5" borderId="2" xfId="0" applyFont="1" applyFill="1" applyBorder="1" applyProtection="1">
      <protection locked="0"/>
    </xf>
    <xf numFmtId="0" fontId="5" fillId="5" borderId="2" xfId="0" applyFont="1" applyFill="1" applyBorder="1" applyProtection="1"/>
    <xf numFmtId="0" fontId="8" fillId="2" borderId="0" xfId="1" applyFont="1" applyFill="1" applyAlignment="1" applyProtection="1"/>
    <xf numFmtId="0" fontId="6" fillId="2" borderId="1" xfId="0" applyFont="1" applyFill="1" applyBorder="1" applyAlignment="1" applyProtection="1">
      <alignment horizontal="center" vertical="center"/>
      <protection locked="0"/>
    </xf>
    <xf numFmtId="0" fontId="7" fillId="0" borderId="0" xfId="0" applyFont="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6" fillId="4" borderId="1" xfId="0" applyFont="1" applyFill="1" applyBorder="1" applyAlignment="1" applyProtection="1">
      <alignment horizontal="center" vertical="center"/>
    </xf>
    <xf numFmtId="0" fontId="6" fillId="2" borderId="0" xfId="0" quotePrefix="1" applyFont="1" applyFill="1" applyAlignment="1" applyProtection="1">
      <alignment horizontal="left"/>
    </xf>
    <xf numFmtId="2" fontId="6" fillId="2" borderId="1" xfId="0" applyNumberFormat="1" applyFont="1" applyFill="1" applyBorder="1" applyAlignment="1" applyProtection="1">
      <alignment horizontal="center" vertical="center"/>
      <protection locked="0"/>
    </xf>
    <xf numFmtId="2" fontId="6" fillId="4" borderId="1" xfId="0" applyNumberFormat="1" applyFont="1" applyFill="1" applyBorder="1" applyAlignment="1" applyProtection="1">
      <alignment horizontal="center" vertical="center"/>
    </xf>
    <xf numFmtId="0" fontId="9" fillId="2" borderId="0" xfId="0" applyFont="1" applyFill="1" applyProtection="1"/>
    <xf numFmtId="0" fontId="10" fillId="2" borderId="0" xfId="0" applyFont="1" applyFill="1" applyProtection="1"/>
    <xf numFmtId="0" fontId="6" fillId="0" borderId="0" xfId="0" applyFont="1" applyProtection="1"/>
    <xf numFmtId="0" fontId="11" fillId="2" borderId="0" xfId="1" applyFont="1" applyFill="1" applyAlignment="1" applyProtection="1"/>
    <xf numFmtId="15" fontId="6" fillId="2" borderId="2" xfId="0" applyNumberFormat="1" applyFont="1" applyFill="1" applyBorder="1" applyProtection="1"/>
    <xf numFmtId="2" fontId="6" fillId="4" borderId="2" xfId="0" applyNumberFormat="1" applyFont="1" applyFill="1" applyBorder="1" applyProtection="1"/>
    <xf numFmtId="0" fontId="4" fillId="2" borderId="0" xfId="0" applyFont="1" applyFill="1" applyBorder="1" applyAlignment="1" applyProtection="1">
      <alignment horizontal="center" vertical="top" wrapText="1"/>
    </xf>
    <xf numFmtId="0" fontId="12" fillId="2" borderId="0" xfId="0" applyFont="1" applyFill="1" applyProtection="1"/>
    <xf numFmtId="0" fontId="7" fillId="2" borderId="0" xfId="0" applyFont="1" applyFill="1" applyProtection="1"/>
    <xf numFmtId="0" fontId="13" fillId="2" borderId="0" xfId="0" applyFont="1" applyFill="1" applyProtection="1"/>
    <xf numFmtId="0" fontId="14" fillId="2" borderId="0" xfId="1" applyFont="1" applyFill="1" applyAlignment="1" applyProtection="1"/>
    <xf numFmtId="0" fontId="6" fillId="2" borderId="2" xfId="0" applyFont="1" applyFill="1" applyBorder="1" applyProtection="1"/>
    <xf numFmtId="0" fontId="6" fillId="4" borderId="2" xfId="0" applyFont="1" applyFill="1" applyBorder="1" applyProtection="1"/>
    <xf numFmtId="0" fontId="4" fillId="2" borderId="1" xfId="0" applyFont="1" applyFill="1" applyBorder="1" applyAlignment="1" applyProtection="1">
      <alignment horizontal="center" vertical="center"/>
      <protection locked="0"/>
    </xf>
    <xf numFmtId="0" fontId="4" fillId="4" borderId="2" xfId="0" applyFont="1" applyFill="1" applyBorder="1" applyProtection="1"/>
    <xf numFmtId="0" fontId="15" fillId="2" borderId="0" xfId="1" applyFont="1" applyFill="1" applyAlignment="1" applyProtection="1"/>
    <xf numFmtId="15" fontId="4" fillId="2" borderId="2" xfId="0" applyNumberFormat="1" applyFont="1" applyFill="1" applyBorder="1" applyProtection="1"/>
    <xf numFmtId="0" fontId="16" fillId="2" borderId="0" xfId="1" applyFont="1" applyFill="1" applyAlignment="1" applyProtection="1"/>
    <xf numFmtId="0" fontId="7" fillId="2" borderId="0" xfId="0" applyFont="1" applyFill="1" applyBorder="1" applyAlignment="1" applyProtection="1">
      <alignment horizontal="left" vertical="top" wrapText="1"/>
    </xf>
    <xf numFmtId="0" fontId="5" fillId="4" borderId="0" xfId="0" applyFont="1" applyFill="1" applyBorder="1" applyAlignment="1" applyProtection="1">
      <alignment horizontal="left"/>
    </xf>
    <xf numFmtId="0" fontId="18" fillId="0" borderId="0" xfId="0" applyFont="1" applyFill="1" applyBorder="1" applyAlignment="1" applyProtection="1">
      <alignment horizontal="center"/>
    </xf>
    <xf numFmtId="0" fontId="5" fillId="0" borderId="0" xfId="0" applyFont="1" applyFill="1" applyBorder="1" applyAlignment="1" applyProtection="1">
      <alignment horizontal="left"/>
    </xf>
    <xf numFmtId="0" fontId="4" fillId="4" borderId="0" xfId="0" quotePrefix="1" applyFont="1" applyFill="1" applyBorder="1" applyAlignment="1" applyProtection="1">
      <alignment horizontal="center"/>
    </xf>
    <xf numFmtId="0" fontId="4" fillId="0" borderId="0" xfId="1" applyFont="1" applyFill="1" applyBorder="1" applyAlignment="1" applyProtection="1">
      <alignment horizontal="left"/>
    </xf>
    <xf numFmtId="0" fontId="4" fillId="4" borderId="0" xfId="0" applyFont="1" applyFill="1" applyBorder="1" applyAlignment="1" applyProtection="1">
      <alignment horizontal="center"/>
    </xf>
    <xf numFmtId="0" fontId="4" fillId="0" borderId="0" xfId="0" applyFont="1" applyFill="1" applyBorder="1" applyAlignment="1" applyProtection="1">
      <alignment horizontal="left"/>
    </xf>
    <xf numFmtId="0" fontId="7" fillId="0" borderId="0" xfId="0" applyFont="1" applyBorder="1" applyAlignment="1" applyProtection="1">
      <alignment horizontal="left" vertical="top" wrapText="1"/>
    </xf>
    <xf numFmtId="0" fontId="5" fillId="2" borderId="0" xfId="0" applyFont="1" applyFill="1" applyBorder="1" applyAlignment="1" applyProtection="1">
      <alignment horizontal="left" vertical="top" wrapText="1"/>
    </xf>
    <xf numFmtId="2" fontId="6" fillId="2" borderId="0" xfId="0" applyNumberFormat="1" applyFont="1" applyFill="1" applyBorder="1" applyAlignment="1" applyProtection="1">
      <alignment horizontal="center" vertical="center"/>
      <protection locked="0"/>
    </xf>
    <xf numFmtId="0" fontId="6" fillId="2" borderId="0" xfId="0" applyFont="1" applyFill="1" applyAlignment="1" applyProtection="1">
      <alignment horizontal="center"/>
    </xf>
    <xf numFmtId="0" fontId="6" fillId="2" borderId="2" xfId="0" applyFont="1" applyFill="1" applyBorder="1" applyAlignment="1" applyProtection="1">
      <alignment horizontal="center"/>
    </xf>
    <xf numFmtId="0" fontId="6" fillId="0" borderId="0" xfId="0" applyFont="1" applyAlignment="1" applyProtection="1">
      <alignment horizontal="center"/>
    </xf>
    <xf numFmtId="0" fontId="6" fillId="2" borderId="0" xfId="0" applyFont="1" applyFill="1" applyAlignment="1" applyProtection="1">
      <alignment horizontal="left"/>
    </xf>
    <xf numFmtId="164" fontId="6" fillId="4" borderId="2" xfId="0" applyNumberFormat="1" applyFont="1" applyFill="1" applyBorder="1" applyAlignment="1" applyProtection="1">
      <alignment horizontal="center"/>
    </xf>
    <xf numFmtId="0" fontId="4" fillId="2" borderId="0" xfId="0" applyFont="1" applyFill="1" applyAlignment="1" applyProtection="1">
      <alignment horizontal="center"/>
    </xf>
    <xf numFmtId="0" fontId="4" fillId="4" borderId="0" xfId="1" quotePrefix="1" applyFont="1" applyFill="1" applyBorder="1" applyAlignment="1" applyProtection="1">
      <alignment horizontal="center"/>
    </xf>
    <xf numFmtId="0" fontId="4" fillId="4" borderId="0" xfId="1" quotePrefix="1" applyFont="1" applyFill="1" applyAlignment="1" applyProtection="1">
      <alignment horizontal="center"/>
    </xf>
    <xf numFmtId="0" fontId="4" fillId="2" borderId="0" xfId="1" applyFont="1" applyFill="1" applyAlignment="1" applyProtection="1"/>
    <xf numFmtId="0" fontId="7" fillId="0" borderId="0" xfId="0" applyFont="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19" fillId="2" borderId="0" xfId="1" applyFont="1" applyFill="1" applyBorder="1" applyAlignment="1" applyProtection="1"/>
    <xf numFmtId="0" fontId="19" fillId="4" borderId="0" xfId="1" quotePrefix="1" applyFont="1" applyFill="1" applyBorder="1" applyAlignment="1" applyProtection="1">
      <alignment horizontal="center"/>
    </xf>
    <xf numFmtId="0" fontId="6" fillId="2" borderId="0" xfId="1" applyFont="1" applyFill="1" applyAlignment="1" applyProtection="1"/>
    <xf numFmtId="0" fontId="18" fillId="2" borderId="0" xfId="0" applyFont="1" applyFill="1" applyProtection="1"/>
    <xf numFmtId="0" fontId="4" fillId="2" borderId="0" xfId="0" applyFont="1" applyFill="1" applyAlignment="1" applyProtection="1">
      <alignment horizontal="left"/>
    </xf>
    <xf numFmtId="0" fontId="7" fillId="0" borderId="0" xfId="0" applyFont="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5" fillId="2" borderId="0" xfId="0" applyFont="1" applyFill="1" applyAlignment="1" applyProtection="1">
      <alignment horizontal="center"/>
    </xf>
    <xf numFmtId="0" fontId="4" fillId="2" borderId="0" xfId="1" applyFont="1" applyFill="1" applyAlignment="1" applyProtection="1">
      <alignment horizontal="left"/>
    </xf>
    <xf numFmtId="49" fontId="4" fillId="4" borderId="0" xfId="1" applyNumberFormat="1" applyFont="1" applyFill="1" applyAlignment="1" applyProtection="1">
      <alignment horizontal="center"/>
    </xf>
    <xf numFmtId="0" fontId="17" fillId="4" borderId="0" xfId="0" applyFont="1" applyFill="1" applyBorder="1" applyAlignment="1" applyProtection="1">
      <alignment horizontal="center"/>
    </xf>
    <xf numFmtId="0" fontId="5" fillId="4" borderId="0" xfId="0" applyFont="1" applyFill="1" applyBorder="1" applyAlignment="1"/>
    <xf numFmtId="0" fontId="17" fillId="4" borderId="0" xfId="0" applyFont="1" applyFill="1" applyBorder="1" applyAlignment="1" applyProtection="1">
      <alignment horizontal="center" vertical="top" wrapText="1"/>
    </xf>
    <xf numFmtId="0" fontId="7" fillId="0" borderId="0" xfId="0" applyFont="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6" fillId="2" borderId="0" xfId="0" applyFont="1" applyFill="1" applyBorder="1" applyAlignment="1" applyProtection="1">
      <alignment horizontal="left" vertical="top" wrapText="1"/>
    </xf>
    <xf numFmtId="0" fontId="3" fillId="0" borderId="0" xfId="0" applyFont="1" applyAlignment="1" applyProtection="1">
      <alignment horizontal="center"/>
      <protection locked="0"/>
    </xf>
    <xf numFmtId="0" fontId="3" fillId="0" borderId="3" xfId="0" applyFont="1" applyBorder="1" applyAlignment="1" applyProtection="1">
      <alignment horizontal="center"/>
      <protection locked="0"/>
    </xf>
    <xf numFmtId="0" fontId="3" fillId="0" borderId="4" xfId="0" applyFont="1" applyBorder="1" applyAlignment="1" applyProtection="1">
      <alignment horizontal="center"/>
      <protection locked="0"/>
    </xf>
    <xf numFmtId="0" fontId="3" fillId="0" borderId="5" xfId="0" applyFont="1" applyBorder="1" applyAlignment="1" applyProtection="1">
      <alignment horizontal="center"/>
      <protection locked="0"/>
    </xf>
  </cellXfs>
  <cellStyles count="2">
    <cellStyle name="Hyperlink" xfId="1" builtinId="8"/>
    <cellStyle name="Normal" xfId="0" builtinId="0"/>
  </cellStyles>
  <dxfs count="0"/>
  <tableStyles count="0" defaultTableStyle="TableStyleMedium9" defaultPivotStyle="PivotStyleLight16"/>
  <colors>
    <mruColors>
      <color rgb="FFFFC91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16" fmlaLink="Data!$A$11" fmlaRange="Data!$A$6:$A$9" val="0"/>
</file>

<file path=xl/ctrlProps/ctrlProp2.xml><?xml version="1.0" encoding="utf-8"?>
<formControlPr xmlns="http://schemas.microsoft.com/office/spreadsheetml/2009/9/main" objectType="Drop" dropStyle="combo" dx="16" fmlaLink="Data!$A$12" fmlaRange="Data!$A$6:$A$9" val="0"/>
</file>

<file path=xl/ctrlProps/ctrlProp3.xml><?xml version="1.0" encoding="utf-8"?>
<formControlPr xmlns="http://schemas.microsoft.com/office/spreadsheetml/2009/9/main" objectType="Drop" dropStyle="combo" dx="16" fmlaLink="Data!$A$11" fmlaRange="Data!$A$6:$A$9" val="0"/>
</file>

<file path=xl/ctrlProps/ctrlProp4.xml><?xml version="1.0" encoding="utf-8"?>
<formControlPr xmlns="http://schemas.microsoft.com/office/spreadsheetml/2009/9/main" objectType="Drop" dropStyle="combo" dx="16" fmlaLink="Data!$A$11" fmlaRange="Data!$A$6:$A$9" val="0"/>
</file>

<file path=xl/ctrlProps/ctrlProp5.xml><?xml version="1.0" encoding="utf-8"?>
<formControlPr xmlns="http://schemas.microsoft.com/office/spreadsheetml/2009/9/main" objectType="Drop" dropStyle="combo" dx="16" fmlaLink="Data!$A$12" fmlaRange="Data!$A$6:$A$9" val="0"/>
</file>

<file path=xl/ctrlProps/ctrlProp6.xml><?xml version="1.0" encoding="utf-8"?>
<formControlPr xmlns="http://schemas.microsoft.com/office/spreadsheetml/2009/9/main" objectType="Drop" dropStyle="combo" dx="16" fmlaLink="Data!$A$11" fmlaRange="Data!$A$6:$A$9" val="0"/>
</file>

<file path=xl/ctrlProps/ctrlProp7.xml><?xml version="1.0" encoding="utf-8"?>
<formControlPr xmlns="http://schemas.microsoft.com/office/spreadsheetml/2009/9/main" objectType="Drop" dropStyle="combo" dx="16" fmlaLink="Data!$A$11" fmlaRange="Data!$A$6:$A$9"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7</xdr:row>
          <xdr:rowOff>9525</xdr:rowOff>
        </xdr:from>
        <xdr:to>
          <xdr:col>3</xdr:col>
          <xdr:colOff>28575</xdr:colOff>
          <xdr:row>8</xdr:row>
          <xdr:rowOff>0</xdr:rowOff>
        </xdr:to>
        <xdr:sp macro="" textlink="">
          <xdr:nvSpPr>
            <xdr:cNvPr id="9217" name="Drop Down 1" hidden="1">
              <a:extLst>
                <a:ext uri="{63B3BB69-23CF-44E3-9099-C40C66FF867C}">
                  <a14:compatExt spid="_x0000_s9217"/>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4</xdr:row>
          <xdr:rowOff>47625</xdr:rowOff>
        </xdr:from>
        <xdr:to>
          <xdr:col>3</xdr:col>
          <xdr:colOff>0</xdr:colOff>
          <xdr:row>5</xdr:row>
          <xdr:rowOff>0</xdr:rowOff>
        </xdr:to>
        <xdr:sp macro="" textlink="">
          <xdr:nvSpPr>
            <xdr:cNvPr id="6146" name="Drop Down 2" hidden="1">
              <a:extLst>
                <a:ext uri="{63B3BB69-23CF-44E3-9099-C40C66FF867C}">
                  <a14:compatExt spid="_x0000_s6146"/>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7</xdr:row>
          <xdr:rowOff>9525</xdr:rowOff>
        </xdr:from>
        <xdr:to>
          <xdr:col>3</xdr:col>
          <xdr:colOff>28575</xdr:colOff>
          <xdr:row>8</xdr:row>
          <xdr:rowOff>104775</xdr:rowOff>
        </xdr:to>
        <xdr:sp macro="" textlink="">
          <xdr:nvSpPr>
            <xdr:cNvPr id="13313" name="Drop Down 1" hidden="1">
              <a:extLst>
                <a:ext uri="{63B3BB69-23CF-44E3-9099-C40C66FF867C}">
                  <a14:compatExt spid="_x0000_s13313"/>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7</xdr:row>
          <xdr:rowOff>9525</xdr:rowOff>
        </xdr:from>
        <xdr:to>
          <xdr:col>3</xdr:col>
          <xdr:colOff>28575</xdr:colOff>
          <xdr:row>8</xdr:row>
          <xdr:rowOff>47625</xdr:rowOff>
        </xdr:to>
        <xdr:sp macro="" textlink="">
          <xdr:nvSpPr>
            <xdr:cNvPr id="14337" name="Drop Down 1" hidden="1">
              <a:extLst>
                <a:ext uri="{63B3BB69-23CF-44E3-9099-C40C66FF867C}">
                  <a14:compatExt spid="_x0000_s14337"/>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4</xdr:row>
          <xdr:rowOff>47625</xdr:rowOff>
        </xdr:from>
        <xdr:to>
          <xdr:col>3</xdr:col>
          <xdr:colOff>0</xdr:colOff>
          <xdr:row>5</xdr:row>
          <xdr:rowOff>104775</xdr:rowOff>
        </xdr:to>
        <xdr:sp macro="" textlink="">
          <xdr:nvSpPr>
            <xdr:cNvPr id="15361" name="Drop Down 1" hidden="1">
              <a:extLst>
                <a:ext uri="{63B3BB69-23CF-44E3-9099-C40C66FF867C}">
                  <a14:compatExt spid="_x0000_s15361"/>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7</xdr:row>
          <xdr:rowOff>9525</xdr:rowOff>
        </xdr:from>
        <xdr:to>
          <xdr:col>3</xdr:col>
          <xdr:colOff>28575</xdr:colOff>
          <xdr:row>8</xdr:row>
          <xdr:rowOff>57150</xdr:rowOff>
        </xdr:to>
        <xdr:sp macro="" textlink="">
          <xdr:nvSpPr>
            <xdr:cNvPr id="17409" name="Drop Down 1" hidden="1">
              <a:extLst>
                <a:ext uri="{63B3BB69-23CF-44E3-9099-C40C66FF867C}">
                  <a14:compatExt spid="_x0000_s17409"/>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7</xdr:row>
          <xdr:rowOff>9525</xdr:rowOff>
        </xdr:from>
        <xdr:to>
          <xdr:col>2</xdr:col>
          <xdr:colOff>1657350</xdr:colOff>
          <xdr:row>8</xdr:row>
          <xdr:rowOff>57150</xdr:rowOff>
        </xdr:to>
        <xdr:sp macro="" textlink="">
          <xdr:nvSpPr>
            <xdr:cNvPr id="22529" name="Drop Down 1" hidden="1">
              <a:extLst>
                <a:ext uri="{63B3BB69-23CF-44E3-9099-C40C66FF867C}">
                  <a14:compatExt spid="_x0000_s22529"/>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trlProp" Target="../ctrlProps/ctrlProp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trlProp" Target="../ctrlProps/ctrlProp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trlProp" Target="../ctrlProps/ctrlProp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E22"/>
  <sheetViews>
    <sheetView showGridLines="0" workbookViewId="0">
      <selection activeCell="B6" sqref="B6"/>
    </sheetView>
  </sheetViews>
  <sheetFormatPr defaultRowHeight="15" x14ac:dyDescent="0.2"/>
  <cols>
    <col min="1" max="1" width="5.83203125" style="59" customWidth="1"/>
    <col min="2" max="2" width="178.1640625" style="7" customWidth="1"/>
    <col min="3" max="16384" width="9.33203125" style="7"/>
  </cols>
  <sheetData>
    <row r="1" spans="1:5" ht="22.5" customHeight="1" x14ac:dyDescent="0.35">
      <c r="A1" s="75" t="s">
        <v>7</v>
      </c>
      <c r="B1" s="76"/>
    </row>
    <row r="2" spans="1:5" x14ac:dyDescent="0.2">
      <c r="A2" s="49"/>
      <c r="B2" s="44"/>
    </row>
    <row r="3" spans="1:5" ht="30" customHeight="1" x14ac:dyDescent="0.2">
      <c r="A3" s="77" t="s">
        <v>11</v>
      </c>
      <c r="B3" s="77"/>
      <c r="C3" s="43"/>
      <c r="D3" s="43"/>
      <c r="E3" s="43"/>
    </row>
    <row r="4" spans="1:5" x14ac:dyDescent="0.2">
      <c r="A4" s="49"/>
      <c r="B4" s="45" t="s">
        <v>31</v>
      </c>
    </row>
    <row r="5" spans="1:5" ht="9.9499999999999993" customHeight="1" x14ac:dyDescent="0.2">
      <c r="A5" s="49"/>
      <c r="B5" s="46"/>
    </row>
    <row r="6" spans="1:5" x14ac:dyDescent="0.2">
      <c r="A6" s="60" t="s">
        <v>12</v>
      </c>
      <c r="B6" s="48" t="s">
        <v>70</v>
      </c>
      <c r="C6" s="8"/>
    </row>
    <row r="7" spans="1:5" ht="9.9499999999999993" customHeight="1" x14ac:dyDescent="0.2">
      <c r="A7" s="49"/>
      <c r="B7" s="50"/>
    </row>
    <row r="8" spans="1:5" x14ac:dyDescent="0.2">
      <c r="A8" s="60" t="s">
        <v>13</v>
      </c>
      <c r="B8" s="48" t="s">
        <v>71</v>
      </c>
    </row>
    <row r="9" spans="1:5" ht="9.9499999999999993" customHeight="1" x14ac:dyDescent="0.2">
      <c r="A9" s="49"/>
      <c r="B9" s="50"/>
    </row>
    <row r="10" spans="1:5" x14ac:dyDescent="0.2">
      <c r="A10" s="60" t="s">
        <v>14</v>
      </c>
      <c r="B10" s="48" t="s">
        <v>72</v>
      </c>
    </row>
    <row r="11" spans="1:5" ht="9.9499999999999993" customHeight="1" x14ac:dyDescent="0.2">
      <c r="A11" s="47"/>
      <c r="B11" s="50"/>
    </row>
    <row r="12" spans="1:5" s="5" customFormat="1" x14ac:dyDescent="0.2">
      <c r="A12" s="61" t="s">
        <v>15</v>
      </c>
      <c r="B12" s="62" t="s">
        <v>76</v>
      </c>
    </row>
    <row r="13" spans="1:5" ht="9.9499999999999993" customHeight="1" x14ac:dyDescent="0.2">
      <c r="A13" s="49"/>
      <c r="B13" s="50"/>
    </row>
    <row r="14" spans="1:5" s="5" customFormat="1" x14ac:dyDescent="0.2">
      <c r="A14" s="60" t="s">
        <v>16</v>
      </c>
      <c r="B14" s="48" t="s">
        <v>73</v>
      </c>
    </row>
    <row r="15" spans="1:5" ht="22.5" customHeight="1" x14ac:dyDescent="0.2">
      <c r="A15" s="60" t="s">
        <v>58</v>
      </c>
      <c r="B15" s="48" t="s">
        <v>74</v>
      </c>
    </row>
    <row r="16" spans="1:5" ht="20.25" customHeight="1" x14ac:dyDescent="0.2">
      <c r="A16" s="66" t="s">
        <v>64</v>
      </c>
      <c r="B16" s="65" t="s">
        <v>75</v>
      </c>
    </row>
    <row r="17" spans="1:2" s="5" customFormat="1" ht="21" customHeight="1" x14ac:dyDescent="0.2">
      <c r="A17" s="61" t="s">
        <v>65</v>
      </c>
      <c r="B17" s="62" t="s">
        <v>85</v>
      </c>
    </row>
    <row r="18" spans="1:2" s="72" customFormat="1" ht="21.75" customHeight="1" x14ac:dyDescent="0.2">
      <c r="A18" s="74" t="s">
        <v>86</v>
      </c>
      <c r="B18" s="73" t="s">
        <v>87</v>
      </c>
    </row>
    <row r="22" spans="1:2" x14ac:dyDescent="0.2">
      <c r="B22" s="68" t="s">
        <v>77</v>
      </c>
    </row>
  </sheetData>
  <mergeCells count="2">
    <mergeCell ref="A1:B1"/>
    <mergeCell ref="A3:B3"/>
  </mergeCells>
  <phoneticPr fontId="0" type="noConversion"/>
  <hyperlinks>
    <hyperlink ref="B6" location="'Part-time, full year'!A1" display="Part-time staff: Full year's holiday entitlement"/>
    <hyperlink ref="B8" location="'Part-time, part year'!A1" display="Part-time staff: Part year's holiday entitlement"/>
    <hyperlink ref="B10" location="'Full-time, part year'!A1" display="Full-time staff: Part year's holiday entitlement"/>
    <hyperlink ref="B15" location="'Hours change during the year'!A1" display="Calculator for use when hours change during leave year"/>
    <hyperlink ref="B14" location="'Part-time and part-year 2'!A1" display="Part-time and part-year staff, all holiday taken outside contracted working weeks "/>
    <hyperlink ref="A14" location="'Part-time and part-year 2'!A1" display="5."/>
    <hyperlink ref="B12" location="'Part-time and part-year 1'!A1" display="Part-time and part-year staff, all holiday entitlement taken within contracted working weeks"/>
    <hyperlink ref="A10" location="'Full-time, part year'!A1" display="3."/>
    <hyperlink ref="A8" location="'Part-time, part year'!A1" display="2."/>
    <hyperlink ref="A6" location="'Part-time, full year'!A1" display="1."/>
    <hyperlink ref="A12" location="'Part-time and part-year 1'!A1" display="4."/>
    <hyperlink ref="A15" location="'Hours change during the year'!A1" display="'6."/>
    <hyperlink ref="A16" location="'Full-time staff leaver'!A1" display="'7."/>
    <hyperlink ref="B16" location="'Full-time staff leaver'!A1" display="Full-time staff leaver"/>
    <hyperlink ref="A17" location="'Part-time staff leaver 1'!A1" display="8."/>
    <hyperlink ref="B17" location="'Part-time staff leaver 1'!A1" display="Calculating a leaver's holiday entitlement when they are part-time"/>
    <hyperlink ref="A18" location="'Part-time staff leaver 2'!A1" display="9."/>
    <hyperlink ref="B18" location="'Part-time staff leaver 2'!A1" display="Calculating a leaver's holiday entitlement when they are part-time. Holiday taken outside the contracted working weeks."/>
  </hyperlinks>
  <pageMargins left="0.75" right="0.75" top="1" bottom="1" header="0.5" footer="0.5"/>
  <pageSetup paperSize="9" scale="96"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I37"/>
  <sheetViews>
    <sheetView showGridLines="0" tabSelected="1" topLeftCell="A4" workbookViewId="0">
      <selection activeCell="C23" sqref="C23"/>
    </sheetView>
  </sheetViews>
  <sheetFormatPr defaultRowHeight="19.5" customHeight="1" x14ac:dyDescent="0.2"/>
  <cols>
    <col min="1" max="1" width="3.33203125" style="5" customWidth="1"/>
    <col min="2" max="2" width="83.1640625" style="5" customWidth="1"/>
    <col min="3" max="3" width="29.83203125" style="5" customWidth="1"/>
    <col min="4" max="4" width="89.6640625" style="5" customWidth="1"/>
    <col min="5" max="5" width="10.5" style="5" customWidth="1"/>
    <col min="6" max="6" width="13.33203125" style="5" customWidth="1"/>
    <col min="7" max="7" width="18.6640625" style="5" customWidth="1"/>
    <col min="8" max="8" width="13.5" style="5" customWidth="1"/>
    <col min="9" max="9" width="9.33203125" style="5"/>
    <col min="10" max="16384" width="9.33203125" style="12"/>
  </cols>
  <sheetData>
    <row r="1" spans="1:8" ht="15.95" customHeight="1" x14ac:dyDescent="0.2">
      <c r="A1" s="7"/>
      <c r="B1" s="11"/>
      <c r="C1" s="11"/>
      <c r="D1" s="11"/>
      <c r="E1" s="11"/>
    </row>
    <row r="2" spans="1:8" ht="19.5" customHeight="1" x14ac:dyDescent="0.2">
      <c r="A2" s="7"/>
      <c r="B2" s="78" t="s">
        <v>38</v>
      </c>
      <c r="C2" s="78"/>
      <c r="D2" s="78"/>
      <c r="E2" s="78"/>
    </row>
    <row r="3" spans="1:8" ht="19.5" customHeight="1" x14ac:dyDescent="0.2">
      <c r="A3" s="7"/>
      <c r="B3" s="19"/>
      <c r="C3" s="19"/>
      <c r="D3" s="19"/>
      <c r="E3" s="19"/>
    </row>
    <row r="4" spans="1:8" ht="19.5" customHeight="1" x14ac:dyDescent="0.2">
      <c r="A4" s="7"/>
      <c r="B4" s="17" t="s">
        <v>17</v>
      </c>
      <c r="D4" s="19"/>
      <c r="E4" s="19"/>
    </row>
    <row r="5" spans="1:8" ht="9.9499999999999993" customHeight="1" x14ac:dyDescent="0.2">
      <c r="A5" s="7"/>
      <c r="B5" s="11"/>
      <c r="C5" s="11"/>
      <c r="D5" s="11"/>
      <c r="E5" s="11"/>
      <c r="F5" s="5" t="s">
        <v>3</v>
      </c>
      <c r="G5" s="5" t="s">
        <v>1</v>
      </c>
      <c r="H5" s="5" t="s">
        <v>2</v>
      </c>
    </row>
    <row r="6" spans="1:8" ht="51.95" customHeight="1" x14ac:dyDescent="0.2">
      <c r="A6" s="7"/>
      <c r="B6" s="79" t="s">
        <v>78</v>
      </c>
      <c r="C6" s="79"/>
      <c r="D6" s="11"/>
      <c r="E6" s="11"/>
    </row>
    <row r="7" spans="1:8" ht="14.1" customHeight="1" thickBot="1" x14ac:dyDescent="0.25">
      <c r="A7" s="7"/>
      <c r="B7" s="20"/>
      <c r="C7" s="20"/>
      <c r="D7" s="11"/>
      <c r="E7" s="11"/>
    </row>
    <row r="8" spans="1:8" ht="19.5" customHeight="1" thickBot="1" x14ac:dyDescent="0.25">
      <c r="A8" s="7" t="s">
        <v>32</v>
      </c>
      <c r="B8" s="14" t="s">
        <v>19</v>
      </c>
      <c r="C8" s="14"/>
      <c r="D8" s="14"/>
      <c r="E8" s="14"/>
      <c r="F8" s="13">
        <f>INDEX(Data!$A$6:$D$8,Data!$A$11,2)</f>
        <v>36.5</v>
      </c>
      <c r="G8" s="13">
        <f>INDEX(Data!$A$6:$D$9,Data!$A$11,3)</f>
        <v>37</v>
      </c>
      <c r="H8" s="13">
        <f>INDEX(Data!$A$6:$D$9,Data!$A$11,4)</f>
        <v>7.3</v>
      </c>
    </row>
    <row r="9" spans="1:8" ht="9.9499999999999993" customHeight="1" thickBot="1" x14ac:dyDescent="0.25">
      <c r="A9" s="7"/>
      <c r="B9" s="14"/>
      <c r="C9" s="14"/>
      <c r="D9" s="14"/>
      <c r="E9" s="14"/>
    </row>
    <row r="10" spans="1:8" ht="19.5" customHeight="1" thickBot="1" x14ac:dyDescent="0.25">
      <c r="A10" s="7"/>
      <c r="B10" s="14" t="s">
        <v>36</v>
      </c>
      <c r="C10" s="21">
        <f>G8</f>
        <v>37</v>
      </c>
      <c r="D10" s="14"/>
      <c r="E10" s="14"/>
    </row>
    <row r="11" spans="1:8" ht="18.75" customHeight="1" thickBot="1" x14ac:dyDescent="0.25">
      <c r="A11" s="7"/>
      <c r="B11" s="22"/>
      <c r="C11" s="14"/>
      <c r="D11" s="14"/>
      <c r="E11" s="14"/>
    </row>
    <row r="12" spans="1:8" ht="19.5" customHeight="1" thickBot="1" x14ac:dyDescent="0.25">
      <c r="A12" s="7"/>
      <c r="B12" s="14" t="s">
        <v>21</v>
      </c>
      <c r="C12" s="23"/>
      <c r="D12" s="14"/>
      <c r="E12" s="14"/>
    </row>
    <row r="13" spans="1:8" ht="17.25" customHeight="1" thickBot="1" x14ac:dyDescent="0.25">
      <c r="A13" s="7"/>
      <c r="B13" s="14"/>
      <c r="C13" s="14"/>
      <c r="D13" s="14"/>
      <c r="E13" s="14"/>
    </row>
    <row r="14" spans="1:8" ht="19.5" customHeight="1" thickBot="1" x14ac:dyDescent="0.25">
      <c r="A14" s="7"/>
      <c r="B14" s="14" t="s">
        <v>18</v>
      </c>
      <c r="C14" s="24">
        <f>(G8*H8*(C12/F8*100)/100)</f>
        <v>0</v>
      </c>
      <c r="D14" s="14"/>
      <c r="E14" s="14" t="s">
        <v>4</v>
      </c>
    </row>
    <row r="15" spans="1:8" ht="15.95" customHeight="1" x14ac:dyDescent="0.2">
      <c r="A15" s="7"/>
      <c r="B15" s="14" t="s">
        <v>37</v>
      </c>
      <c r="C15" s="14"/>
      <c r="D15" s="14"/>
      <c r="E15" s="14"/>
    </row>
    <row r="16" spans="1:8" ht="9.9499999999999993" customHeight="1" x14ac:dyDescent="0.2">
      <c r="A16" s="7"/>
      <c r="B16" s="14"/>
      <c r="C16" s="14"/>
      <c r="D16" s="14"/>
      <c r="E16" s="14"/>
    </row>
    <row r="17" spans="1:5" ht="19.5" customHeight="1" x14ac:dyDescent="0.3">
      <c r="A17" s="7" t="s">
        <v>33</v>
      </c>
      <c r="B17" s="25" t="s">
        <v>52</v>
      </c>
      <c r="C17" s="14"/>
      <c r="D17" s="14"/>
      <c r="E17" s="14"/>
    </row>
    <row r="18" spans="1:5" ht="19.5" customHeight="1" x14ac:dyDescent="0.2">
      <c r="A18" s="7"/>
      <c r="B18" s="26" t="s">
        <v>34</v>
      </c>
      <c r="C18" s="14"/>
      <c r="D18" s="14"/>
      <c r="E18" s="14"/>
    </row>
    <row r="19" spans="1:5" ht="19.5" customHeight="1" x14ac:dyDescent="0.2">
      <c r="A19" s="7"/>
      <c r="B19" s="14" t="s">
        <v>26</v>
      </c>
      <c r="C19" s="6"/>
      <c r="D19" s="14"/>
      <c r="E19" s="14"/>
    </row>
    <row r="20" spans="1:5" ht="19.5" customHeight="1" x14ac:dyDescent="0.2">
      <c r="A20" s="7"/>
      <c r="B20" s="14" t="s">
        <v>27</v>
      </c>
      <c r="C20" s="6"/>
    </row>
    <row r="21" spans="1:5" ht="19.5" customHeight="1" x14ac:dyDescent="0.2">
      <c r="A21" s="7"/>
      <c r="B21" s="14" t="s">
        <v>28</v>
      </c>
      <c r="C21" s="6"/>
    </row>
    <row r="22" spans="1:5" ht="19.5" customHeight="1" x14ac:dyDescent="0.2">
      <c r="B22" s="14" t="s">
        <v>29</v>
      </c>
      <c r="C22" s="6"/>
    </row>
    <row r="23" spans="1:5" ht="19.5" customHeight="1" x14ac:dyDescent="0.2">
      <c r="B23" s="14" t="s">
        <v>30</v>
      </c>
      <c r="C23" s="6"/>
    </row>
    <row r="24" spans="1:5" ht="9.9499999999999993" customHeight="1" x14ac:dyDescent="0.2">
      <c r="B24" s="14"/>
      <c r="C24" s="7"/>
    </row>
    <row r="25" spans="1:5" ht="19.5" customHeight="1" x14ac:dyDescent="0.2">
      <c r="B25" s="26" t="s">
        <v>88</v>
      </c>
      <c r="C25" s="7"/>
    </row>
    <row r="26" spans="1:5" ht="19.5" customHeight="1" x14ac:dyDescent="0.2">
      <c r="B26" s="14" t="s">
        <v>26</v>
      </c>
      <c r="C26" s="15">
        <v>5</v>
      </c>
    </row>
    <row r="27" spans="1:5" ht="19.5" customHeight="1" x14ac:dyDescent="0.2">
      <c r="B27" s="14" t="s">
        <v>27</v>
      </c>
      <c r="C27" s="16">
        <v>3</v>
      </c>
    </row>
    <row r="28" spans="1:5" ht="19.5" customHeight="1" x14ac:dyDescent="0.2">
      <c r="B28" s="14" t="s">
        <v>28</v>
      </c>
      <c r="C28" s="16">
        <v>2</v>
      </c>
    </row>
    <row r="29" spans="1:5" ht="19.5" customHeight="1" x14ac:dyDescent="0.2">
      <c r="B29" s="14" t="s">
        <v>29</v>
      </c>
      <c r="C29" s="16">
        <v>1</v>
      </c>
    </row>
    <row r="30" spans="1:5" ht="19.5" customHeight="1" x14ac:dyDescent="0.2">
      <c r="B30" s="14" t="s">
        <v>30</v>
      </c>
      <c r="C30" s="16">
        <v>1</v>
      </c>
    </row>
    <row r="31" spans="1:5" ht="9.9499999999999993" customHeight="1" x14ac:dyDescent="0.2">
      <c r="B31" s="14"/>
      <c r="C31" s="8"/>
    </row>
    <row r="32" spans="1:5" ht="9.9499999999999993" customHeight="1" x14ac:dyDescent="0.2">
      <c r="B32" s="14"/>
      <c r="C32" s="7"/>
    </row>
    <row r="33" spans="2:3" ht="19.5" customHeight="1" thickBot="1" x14ac:dyDescent="0.25">
      <c r="B33" s="14" t="s">
        <v>39</v>
      </c>
      <c r="C33" s="9">
        <f>(C19*C26)+(C20*C27)+(C21*C28)+(C22*C29)+(C23*C30)</f>
        <v>0</v>
      </c>
    </row>
    <row r="34" spans="2:3" ht="19.5" customHeight="1" thickBot="1" x14ac:dyDescent="0.25">
      <c r="B34" s="14" t="s">
        <v>51</v>
      </c>
      <c r="C34" s="10">
        <f>C14-C33</f>
        <v>0</v>
      </c>
    </row>
    <row r="35" spans="2:3" ht="19.5" customHeight="1" x14ac:dyDescent="0.2">
      <c r="B35" s="14"/>
    </row>
    <row r="36" spans="2:3" ht="19.5" customHeight="1" x14ac:dyDescent="0.25">
      <c r="B36" s="42" t="s">
        <v>17</v>
      </c>
    </row>
    <row r="37" spans="2:3" ht="19.5" customHeight="1" x14ac:dyDescent="0.2">
      <c r="B37" s="14"/>
    </row>
  </sheetData>
  <mergeCells count="2">
    <mergeCell ref="B2:E2"/>
    <mergeCell ref="B6:C6"/>
  </mergeCells>
  <phoneticPr fontId="0" type="noConversion"/>
  <hyperlinks>
    <hyperlink ref="B36" location="Menu!A1" display="Back to menu"/>
    <hyperlink ref="B4" location="Menu!A1" display="Back to menu"/>
  </hyperlinks>
  <pageMargins left="0.35433070866141736" right="0.35433070866141736" top="0.24" bottom="0.28999999999999998" header="0.24" footer="0.24"/>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9217" r:id="rId4" name="Drop Down 1">
              <controlPr defaultSize="0" autoLine="0" autoPict="0">
                <anchor moveWithCells="1">
                  <from>
                    <xdr:col>2</xdr:col>
                    <xdr:colOff>0</xdr:colOff>
                    <xdr:row>7</xdr:row>
                    <xdr:rowOff>9525</xdr:rowOff>
                  </from>
                  <to>
                    <xdr:col>3</xdr:col>
                    <xdr:colOff>28575</xdr:colOff>
                    <xdr:row>8</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2"/>
  <sheetViews>
    <sheetView workbookViewId="0">
      <selection activeCell="C12" sqref="C12"/>
    </sheetView>
  </sheetViews>
  <sheetFormatPr defaultRowHeight="19.5" customHeight="1" x14ac:dyDescent="0.2"/>
  <cols>
    <col min="1" max="1" width="4.83203125" style="5" customWidth="1"/>
    <col min="2" max="2" width="77.5" style="5" customWidth="1"/>
    <col min="3" max="3" width="30.33203125" style="5" customWidth="1"/>
    <col min="4" max="4" width="120.83203125" style="5" customWidth="1"/>
    <col min="5" max="5" width="10.5" style="5" customWidth="1"/>
    <col min="6" max="6" width="13.33203125" style="5" customWidth="1"/>
    <col min="7" max="7" width="18.6640625" style="5" customWidth="1"/>
    <col min="8" max="8" width="13.5" style="5" customWidth="1"/>
    <col min="9" max="9" width="9.33203125" style="5"/>
    <col min="10" max="16384" width="9.33203125" style="12"/>
  </cols>
  <sheetData>
    <row r="1" spans="1:9" ht="9.9499999999999993" customHeight="1" x14ac:dyDescent="0.2">
      <c r="B1" s="11"/>
      <c r="C1" s="11"/>
      <c r="D1" s="11"/>
      <c r="E1" s="11"/>
    </row>
    <row r="2" spans="1:9" ht="19.5" customHeight="1" x14ac:dyDescent="0.2">
      <c r="B2" s="78" t="s">
        <v>20</v>
      </c>
      <c r="C2" s="78"/>
      <c r="D2" s="78"/>
      <c r="E2" s="78"/>
    </row>
    <row r="3" spans="1:9" s="27" customFormat="1" ht="19.5" customHeight="1" x14ac:dyDescent="0.2">
      <c r="A3" s="14"/>
      <c r="B3" s="28"/>
      <c r="C3" s="14"/>
      <c r="D3" s="14"/>
      <c r="E3" s="14"/>
      <c r="F3" s="14"/>
      <c r="G3" s="14"/>
      <c r="H3" s="14"/>
      <c r="I3" s="14"/>
    </row>
    <row r="4" spans="1:9" s="27" customFormat="1" ht="14.25" customHeight="1" x14ac:dyDescent="0.2">
      <c r="A4" s="14"/>
      <c r="B4" s="80" t="s">
        <v>66</v>
      </c>
      <c r="C4" s="80"/>
      <c r="D4" s="14"/>
      <c r="E4" s="14"/>
      <c r="F4" s="14"/>
      <c r="G4" s="14"/>
      <c r="H4" s="14"/>
      <c r="I4" s="14"/>
    </row>
    <row r="5" spans="1:9" s="27" customFormat="1" ht="15.75" customHeight="1" thickBot="1" x14ac:dyDescent="0.25">
      <c r="A5" s="14"/>
      <c r="B5" s="67" t="s">
        <v>67</v>
      </c>
      <c r="C5" s="14"/>
      <c r="D5" s="14"/>
      <c r="E5" s="14"/>
      <c r="F5" s="14"/>
      <c r="G5" s="14"/>
      <c r="H5" s="14"/>
      <c r="I5" s="14"/>
    </row>
    <row r="6" spans="1:9" s="27" customFormat="1" ht="29.25" customHeight="1" thickBot="1" x14ac:dyDescent="0.25">
      <c r="A6" s="14"/>
      <c r="B6" s="14" t="s">
        <v>23</v>
      </c>
      <c r="C6" s="18"/>
      <c r="D6" s="14"/>
      <c r="E6" s="14"/>
      <c r="F6" s="14"/>
      <c r="G6" s="14"/>
      <c r="H6" s="14"/>
      <c r="I6" s="14"/>
    </row>
    <row r="7" spans="1:9" s="27" customFormat="1" ht="15.95" customHeight="1" x14ac:dyDescent="0.2">
      <c r="A7" s="14"/>
      <c r="B7" s="28" t="s">
        <v>22</v>
      </c>
      <c r="C7" s="14"/>
      <c r="D7" s="14"/>
      <c r="E7" s="14"/>
      <c r="F7" s="14"/>
      <c r="G7" s="14"/>
      <c r="H7" s="14"/>
      <c r="I7" s="14"/>
    </row>
    <row r="8" spans="1:9" s="27" customFormat="1" ht="9.9499999999999993" customHeight="1" x14ac:dyDescent="0.2">
      <c r="A8" s="14"/>
      <c r="B8" s="14"/>
      <c r="C8" s="14"/>
      <c r="D8" s="14"/>
      <c r="E8" s="14"/>
      <c r="F8" s="14"/>
      <c r="G8" s="14"/>
      <c r="H8" s="14"/>
      <c r="I8" s="14"/>
    </row>
    <row r="9" spans="1:9" s="27" customFormat="1" ht="19.5" customHeight="1" x14ac:dyDescent="0.2">
      <c r="A9" s="14"/>
      <c r="B9" s="14"/>
      <c r="C9" s="14"/>
      <c r="D9" s="14"/>
      <c r="E9" s="14"/>
      <c r="F9" s="14"/>
      <c r="G9" s="14"/>
      <c r="H9" s="14"/>
      <c r="I9" s="14"/>
    </row>
    <row r="10" spans="1:9" s="27" customFormat="1" ht="19.5" customHeight="1" x14ac:dyDescent="0.2">
      <c r="A10" s="14"/>
      <c r="B10" s="14" t="s">
        <v>94</v>
      </c>
      <c r="C10" s="29">
        <v>41365</v>
      </c>
      <c r="D10" s="14"/>
      <c r="E10" s="14"/>
      <c r="F10" s="14"/>
      <c r="G10" s="14"/>
      <c r="H10" s="14"/>
      <c r="I10" s="14"/>
    </row>
    <row r="11" spans="1:9" s="27" customFormat="1" ht="19.5" customHeight="1" x14ac:dyDescent="0.2">
      <c r="A11" s="14"/>
      <c r="B11" s="14"/>
      <c r="C11" s="14"/>
      <c r="D11" s="14"/>
      <c r="E11" s="14"/>
      <c r="F11" s="14"/>
      <c r="G11" s="14"/>
      <c r="H11" s="14"/>
      <c r="I11" s="14"/>
    </row>
    <row r="12" spans="1:9" s="27" customFormat="1" ht="19.5" customHeight="1" x14ac:dyDescent="0.2">
      <c r="A12" s="14"/>
      <c r="B12" s="14" t="s">
        <v>95</v>
      </c>
      <c r="C12" s="29">
        <v>41729</v>
      </c>
      <c r="D12" s="14"/>
      <c r="E12" s="14"/>
      <c r="F12" s="14"/>
      <c r="G12" s="14"/>
      <c r="H12" s="14"/>
      <c r="I12" s="14"/>
    </row>
    <row r="13" spans="1:9" s="27" customFormat="1" ht="19.5" customHeight="1" x14ac:dyDescent="0.2">
      <c r="A13" s="14"/>
      <c r="B13" s="14"/>
      <c r="C13" s="14"/>
      <c r="D13" s="14"/>
      <c r="E13" s="14"/>
      <c r="F13" s="14"/>
      <c r="G13" s="14"/>
      <c r="H13" s="14"/>
      <c r="I13" s="14"/>
    </row>
    <row r="14" spans="1:9" s="27" customFormat="1" ht="19.5" customHeight="1" x14ac:dyDescent="0.2">
      <c r="A14" s="14"/>
      <c r="B14" s="14" t="s">
        <v>42</v>
      </c>
      <c r="C14" s="36">
        <f>C12-C10+1</f>
        <v>365</v>
      </c>
      <c r="D14" s="14"/>
      <c r="E14" s="14"/>
      <c r="F14" s="14"/>
      <c r="G14" s="14"/>
      <c r="H14" s="14"/>
      <c r="I14" s="14"/>
    </row>
    <row r="15" spans="1:9" s="27" customFormat="1" ht="19.5" customHeight="1" x14ac:dyDescent="0.2">
      <c r="A15" s="14"/>
      <c r="B15" s="14"/>
      <c r="C15" s="14"/>
      <c r="D15" s="14"/>
      <c r="E15" s="14"/>
      <c r="F15" s="14"/>
      <c r="G15" s="14"/>
      <c r="H15" s="14"/>
      <c r="I15" s="14"/>
    </row>
    <row r="16" spans="1:9" s="27" customFormat="1" ht="19.5" customHeight="1" x14ac:dyDescent="0.2">
      <c r="A16" s="14"/>
      <c r="B16" s="14" t="s">
        <v>18</v>
      </c>
      <c r="C16" s="30">
        <f>C14/365*C6</f>
        <v>0</v>
      </c>
      <c r="D16" s="14"/>
      <c r="E16" s="14"/>
      <c r="F16" s="14"/>
      <c r="G16" s="14"/>
      <c r="H16" s="14"/>
      <c r="I16" s="14"/>
    </row>
    <row r="17" spans="1:9" s="27" customFormat="1" ht="19.5" customHeight="1" x14ac:dyDescent="0.2">
      <c r="A17" s="14"/>
      <c r="B17" s="14"/>
      <c r="C17" s="14"/>
      <c r="D17" s="14"/>
      <c r="E17" s="14"/>
      <c r="F17" s="14"/>
      <c r="G17" s="14"/>
      <c r="H17" s="14"/>
      <c r="I17" s="14"/>
    </row>
    <row r="21" spans="1:9" ht="19.5" customHeight="1" x14ac:dyDescent="0.2">
      <c r="A21" s="14"/>
    </row>
    <row r="22" spans="1:9" s="27" customFormat="1" ht="19.5" customHeight="1" x14ac:dyDescent="0.25">
      <c r="B22" s="42" t="s">
        <v>17</v>
      </c>
      <c r="C22" s="14"/>
      <c r="D22" s="14"/>
      <c r="E22" s="14"/>
      <c r="F22" s="14"/>
      <c r="G22" s="14"/>
      <c r="H22" s="14"/>
      <c r="I22" s="14"/>
    </row>
  </sheetData>
  <mergeCells count="2">
    <mergeCell ref="B2:E2"/>
    <mergeCell ref="B4:C4"/>
  </mergeCells>
  <phoneticPr fontId="0" type="noConversion"/>
  <hyperlinks>
    <hyperlink ref="B7" location="'Form (1)'!A1" display="(use calculator (1) if not known)"/>
    <hyperlink ref="B22" location="Menu!A1" display="Back to menu"/>
  </hyperlinks>
  <pageMargins left="0.35433070866141736" right="0.35433070866141736" top="0.24" bottom="0.28999999999999998" header="0.24" footer="0.2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I19"/>
  <sheetViews>
    <sheetView workbookViewId="0">
      <selection activeCell="D13" sqref="D13"/>
    </sheetView>
  </sheetViews>
  <sheetFormatPr defaultRowHeight="19.5" customHeight="1" x14ac:dyDescent="0.2"/>
  <cols>
    <col min="1" max="1" width="4.83203125" style="5" customWidth="1"/>
    <col min="2" max="2" width="82.33203125" style="5" customWidth="1"/>
    <col min="3" max="3" width="30.33203125" style="5" customWidth="1"/>
    <col min="4" max="4" width="100.83203125" style="5" customWidth="1"/>
    <col min="5" max="5" width="30.83203125" style="5" customWidth="1"/>
    <col min="6" max="6" width="13.33203125" style="5" customWidth="1"/>
    <col min="7" max="7" width="18.6640625" style="5" customWidth="1"/>
    <col min="8" max="8" width="13.5" style="5" customWidth="1"/>
    <col min="9" max="9" width="9.33203125" style="5"/>
    <col min="10" max="16384" width="9.33203125" style="12"/>
  </cols>
  <sheetData>
    <row r="1" spans="1:9" ht="15.95" customHeight="1" x14ac:dyDescent="0.2">
      <c r="B1" s="11"/>
      <c r="C1" s="11"/>
      <c r="D1" s="31"/>
      <c r="E1" s="31"/>
    </row>
    <row r="2" spans="1:9" ht="19.5" customHeight="1" x14ac:dyDescent="0.25">
      <c r="B2" s="33" t="s">
        <v>50</v>
      </c>
      <c r="C2" s="34"/>
      <c r="D2" s="32"/>
    </row>
    <row r="3" spans="1:9" ht="15.95" customHeight="1" x14ac:dyDescent="0.25">
      <c r="B3" s="35"/>
      <c r="C3" s="14"/>
    </row>
    <row r="4" spans="1:9" ht="15.95" customHeight="1" thickBot="1" x14ac:dyDescent="0.3">
      <c r="B4" s="35"/>
      <c r="C4" s="14"/>
    </row>
    <row r="5" spans="1:9" ht="19.5" customHeight="1" thickBot="1" x14ac:dyDescent="0.25">
      <c r="B5" s="14" t="s">
        <v>19</v>
      </c>
      <c r="C5" s="14"/>
      <c r="F5" s="13">
        <f>INDEX(Data!$A$6:$D$9,Data!$A$12,2)</f>
        <v>36.5</v>
      </c>
      <c r="G5" s="13">
        <f>INDEX(Data!$A$6:$D$9,Data!$A$12,3)</f>
        <v>37</v>
      </c>
      <c r="H5" s="13">
        <f>INDEX(Data!$A$6:$D$9,Data!$A$12,4)</f>
        <v>7.3</v>
      </c>
    </row>
    <row r="6" spans="1:9" ht="15.95" customHeight="1" thickBot="1" x14ac:dyDescent="0.25">
      <c r="B6" s="14"/>
      <c r="C6" s="14"/>
    </row>
    <row r="7" spans="1:9" ht="19.5" customHeight="1" thickBot="1" x14ac:dyDescent="0.25">
      <c r="B7" s="14" t="s">
        <v>43</v>
      </c>
      <c r="C7" s="21">
        <f>G5</f>
        <v>37</v>
      </c>
    </row>
    <row r="8" spans="1:9" ht="15.95" customHeight="1" x14ac:dyDescent="0.2">
      <c r="B8" s="14"/>
      <c r="C8" s="14"/>
    </row>
    <row r="9" spans="1:9" s="27" customFormat="1" ht="19.5" customHeight="1" x14ac:dyDescent="0.2">
      <c r="A9" s="14"/>
      <c r="B9" s="14" t="s">
        <v>89</v>
      </c>
      <c r="C9" s="29">
        <v>41365</v>
      </c>
      <c r="D9" s="14"/>
      <c r="E9" s="14"/>
      <c r="F9" s="14"/>
      <c r="G9" s="14"/>
      <c r="H9" s="14"/>
      <c r="I9" s="14"/>
    </row>
    <row r="10" spans="1:9" s="27" customFormat="1" ht="19.5" customHeight="1" x14ac:dyDescent="0.2">
      <c r="A10" s="14"/>
      <c r="B10" s="14"/>
      <c r="C10" s="14"/>
      <c r="D10" s="14"/>
      <c r="E10" s="14"/>
      <c r="F10" s="14"/>
      <c r="G10" s="14"/>
      <c r="H10" s="14"/>
      <c r="I10" s="14"/>
    </row>
    <row r="11" spans="1:9" s="27" customFormat="1" ht="19.5" customHeight="1" x14ac:dyDescent="0.2">
      <c r="A11" s="14"/>
      <c r="B11" s="14" t="s">
        <v>90</v>
      </c>
      <c r="C11" s="29">
        <v>41729</v>
      </c>
      <c r="D11" s="14"/>
      <c r="E11" s="14"/>
      <c r="F11" s="14"/>
      <c r="G11" s="14"/>
      <c r="H11" s="14"/>
      <c r="I11" s="14"/>
    </row>
    <row r="12" spans="1:9" s="27" customFormat="1" ht="19.5" customHeight="1" x14ac:dyDescent="0.2">
      <c r="A12" s="14"/>
      <c r="B12" s="14"/>
      <c r="C12" s="14"/>
      <c r="D12" s="14"/>
      <c r="E12" s="14"/>
      <c r="F12" s="14"/>
      <c r="G12" s="14"/>
      <c r="H12" s="14"/>
      <c r="I12" s="14"/>
    </row>
    <row r="13" spans="1:9" s="27" customFormat="1" ht="19.5" customHeight="1" x14ac:dyDescent="0.2">
      <c r="A13" s="14"/>
      <c r="B13" s="14" t="s">
        <v>42</v>
      </c>
      <c r="C13" s="37">
        <f>C11-C9+1</f>
        <v>365</v>
      </c>
      <c r="D13" s="14"/>
      <c r="E13" s="14"/>
      <c r="F13" s="14"/>
      <c r="G13" s="14"/>
      <c r="H13" s="14"/>
      <c r="I13" s="14"/>
    </row>
    <row r="14" spans="1:9" s="27" customFormat="1" ht="19.5" customHeight="1" thickBot="1" x14ac:dyDescent="0.25">
      <c r="A14" s="14"/>
      <c r="B14" s="14"/>
      <c r="C14" s="14"/>
      <c r="D14" s="14"/>
      <c r="E14" s="14"/>
      <c r="F14" s="14"/>
      <c r="G14" s="14"/>
      <c r="H14" s="14"/>
      <c r="I14" s="14"/>
    </row>
    <row r="15" spans="1:9" ht="19.5" customHeight="1" thickBot="1" x14ac:dyDescent="0.25">
      <c r="B15" s="14" t="s">
        <v>59</v>
      </c>
      <c r="C15" s="24">
        <f>C13/365*C7</f>
        <v>37</v>
      </c>
      <c r="E15" s="5" t="s">
        <v>5</v>
      </c>
    </row>
    <row r="16" spans="1:9" ht="15.95" customHeight="1" x14ac:dyDescent="0.2">
      <c r="B16" s="7"/>
      <c r="C16" s="14"/>
    </row>
    <row r="17" spans="2:3" ht="19.5" customHeight="1" x14ac:dyDescent="0.2">
      <c r="B17" s="14"/>
      <c r="C17" s="14"/>
    </row>
    <row r="18" spans="2:3" ht="19.5" customHeight="1" x14ac:dyDescent="0.25">
      <c r="B18" s="42" t="s">
        <v>17</v>
      </c>
      <c r="C18" s="14"/>
    </row>
    <row r="19" spans="2:3" ht="19.5" customHeight="1" x14ac:dyDescent="0.2">
      <c r="B19" s="14"/>
    </row>
  </sheetData>
  <phoneticPr fontId="0" type="noConversion"/>
  <hyperlinks>
    <hyperlink ref="B18" location="Menu!A1" display="Back to menu"/>
  </hyperlinks>
  <pageMargins left="0.35433070866141736" right="0.35433070866141736" top="0.24" bottom="0.28999999999999998" header="0.24" footer="0.24"/>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46" r:id="rId4" name="Drop Down 2">
              <controlPr defaultSize="0" autoLine="0" autoPict="0">
                <anchor moveWithCells="1">
                  <from>
                    <xdr:col>2</xdr:col>
                    <xdr:colOff>0</xdr:colOff>
                    <xdr:row>4</xdr:row>
                    <xdr:rowOff>47625</xdr:rowOff>
                  </from>
                  <to>
                    <xdr:col>3</xdr:col>
                    <xdr:colOff>0</xdr:colOff>
                    <xdr:row>5</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4"/>
  <sheetViews>
    <sheetView topLeftCell="A9" workbookViewId="0">
      <selection activeCell="C14" sqref="C14"/>
    </sheetView>
  </sheetViews>
  <sheetFormatPr defaultRowHeight="19.5" customHeight="1" x14ac:dyDescent="0.2"/>
  <cols>
    <col min="1" max="1" width="3.33203125" style="5" customWidth="1"/>
    <col min="2" max="2" width="83.1640625" style="5" customWidth="1"/>
    <col min="3" max="3" width="29.83203125" style="5" customWidth="1"/>
    <col min="4" max="4" width="89.6640625" style="5" customWidth="1"/>
    <col min="5" max="5" width="10.5" style="5" customWidth="1"/>
    <col min="6" max="6" width="13.33203125" style="5" customWidth="1"/>
    <col min="7" max="7" width="18.6640625" style="5" customWidth="1"/>
    <col min="8" max="8" width="13.5" style="5" customWidth="1"/>
    <col min="9" max="9" width="9.33203125" style="5"/>
    <col min="10" max="16384" width="9.33203125" style="12"/>
  </cols>
  <sheetData>
    <row r="1" spans="1:9" ht="15.95" customHeight="1" x14ac:dyDescent="0.2">
      <c r="A1" s="7"/>
      <c r="B1" s="11"/>
      <c r="C1" s="11"/>
      <c r="D1" s="11"/>
      <c r="E1" s="11"/>
    </row>
    <row r="2" spans="1:9" ht="19.5" customHeight="1" x14ac:dyDescent="0.2">
      <c r="A2" s="7"/>
      <c r="B2" s="78" t="s">
        <v>56</v>
      </c>
      <c r="C2" s="78"/>
      <c r="D2" s="78"/>
      <c r="E2" s="78"/>
    </row>
    <row r="3" spans="1:9" ht="47.25" customHeight="1" x14ac:dyDescent="0.2">
      <c r="A3" s="7"/>
      <c r="B3" s="51" t="s">
        <v>53</v>
      </c>
      <c r="C3" s="51"/>
      <c r="D3" s="51"/>
      <c r="E3" s="51"/>
    </row>
    <row r="4" spans="1:9" ht="19.5" customHeight="1" x14ac:dyDescent="0.2">
      <c r="A4" s="7"/>
      <c r="B4" s="17"/>
      <c r="D4" s="51"/>
      <c r="E4" s="51"/>
    </row>
    <row r="5" spans="1:9" ht="9.9499999999999993" customHeight="1" x14ac:dyDescent="0.2">
      <c r="A5" s="7"/>
      <c r="B5" s="11"/>
      <c r="C5" s="11"/>
      <c r="D5" s="11"/>
      <c r="E5" s="11"/>
      <c r="F5" s="5" t="s">
        <v>3</v>
      </c>
      <c r="G5" s="5" t="s">
        <v>1</v>
      </c>
      <c r="H5" s="5" t="s">
        <v>2</v>
      </c>
    </row>
    <row r="6" spans="1:9" ht="51.95" customHeight="1" x14ac:dyDescent="0.2">
      <c r="A6" s="7"/>
      <c r="B6" s="79" t="s">
        <v>68</v>
      </c>
      <c r="C6" s="79"/>
      <c r="D6" s="11"/>
      <c r="E6" s="11"/>
    </row>
    <row r="7" spans="1:9" ht="14.1" customHeight="1" thickBot="1" x14ac:dyDescent="0.25">
      <c r="A7" s="7"/>
      <c r="B7" s="52"/>
      <c r="C7" s="52"/>
      <c r="D7" s="11"/>
      <c r="E7" s="11"/>
    </row>
    <row r="8" spans="1:9" ht="19.5" customHeight="1" thickBot="1" x14ac:dyDescent="0.25">
      <c r="A8" s="7" t="s">
        <v>32</v>
      </c>
      <c r="B8" s="14" t="s">
        <v>19</v>
      </c>
      <c r="C8" s="14"/>
      <c r="D8" s="14"/>
      <c r="E8" s="14"/>
      <c r="F8" s="13">
        <f>INDEX(Data!$A$6:$D$9,Data!$A$11,2)</f>
        <v>36.5</v>
      </c>
      <c r="G8" s="13">
        <f>INDEX(Data!$A$6:$D$9,Data!$A$11,3)</f>
        <v>37</v>
      </c>
      <c r="H8" s="13">
        <f>INDEX(Data!$A$6:$D$9,Data!$A$11,4)</f>
        <v>7.3</v>
      </c>
    </row>
    <row r="9" spans="1:9" ht="19.5" customHeight="1" thickBot="1" x14ac:dyDescent="0.25">
      <c r="A9" s="7"/>
      <c r="B9" s="14"/>
      <c r="C9" s="14"/>
      <c r="D9" s="14"/>
      <c r="E9" s="14"/>
    </row>
    <row r="10" spans="1:9" ht="19.5" customHeight="1" thickBot="1" x14ac:dyDescent="0.25">
      <c r="A10" s="7"/>
      <c r="B10" s="14" t="s">
        <v>36</v>
      </c>
      <c r="C10" s="21">
        <f>G8</f>
        <v>37</v>
      </c>
      <c r="D10" s="14"/>
      <c r="E10" s="14"/>
    </row>
    <row r="11" spans="1:9" ht="18.75" customHeight="1" thickBot="1" x14ac:dyDescent="0.25">
      <c r="A11" s="7"/>
      <c r="B11" s="22"/>
      <c r="C11" s="14"/>
      <c r="D11" s="14"/>
      <c r="E11" s="14"/>
    </row>
    <row r="12" spans="1:9" ht="19.5" customHeight="1" thickBot="1" x14ac:dyDescent="0.25">
      <c r="A12" s="7"/>
      <c r="B12" s="14" t="s">
        <v>21</v>
      </c>
      <c r="C12" s="23"/>
      <c r="D12" s="14"/>
      <c r="E12" s="14"/>
    </row>
    <row r="13" spans="1:9" ht="19.5" customHeight="1" x14ac:dyDescent="0.2">
      <c r="A13" s="7"/>
      <c r="B13" s="14"/>
      <c r="C13" s="53"/>
      <c r="D13" s="14"/>
      <c r="E13" s="14"/>
    </row>
    <row r="14" spans="1:9" ht="17.25" customHeight="1" x14ac:dyDescent="0.2">
      <c r="A14" s="7"/>
      <c r="B14" s="14" t="s">
        <v>54</v>
      </c>
      <c r="C14" s="55"/>
      <c r="D14" s="14"/>
      <c r="E14" s="14"/>
    </row>
    <row r="15" spans="1:9" ht="17.25" customHeight="1" x14ac:dyDescent="0.2">
      <c r="A15" s="7"/>
      <c r="B15" s="14"/>
      <c r="C15" s="54"/>
      <c r="D15" s="14"/>
      <c r="E15" s="14"/>
    </row>
    <row r="16" spans="1:9" s="56" customFormat="1" ht="19.5" customHeight="1" x14ac:dyDescent="0.2">
      <c r="A16" s="54"/>
      <c r="B16" s="57" t="s">
        <v>57</v>
      </c>
      <c r="C16" s="58">
        <f>(C12/36.5)*(C14/52.14)</f>
        <v>0</v>
      </c>
      <c r="D16" s="54"/>
      <c r="E16" s="54"/>
      <c r="F16" s="54"/>
      <c r="G16" s="54"/>
      <c r="H16" s="54"/>
      <c r="I16" s="54"/>
    </row>
    <row r="17" spans="1:5" ht="17.25" customHeight="1" thickBot="1" x14ac:dyDescent="0.25">
      <c r="A17" s="7"/>
      <c r="B17" s="14"/>
      <c r="C17" s="54"/>
      <c r="D17" s="14"/>
      <c r="E17" s="14"/>
    </row>
    <row r="18" spans="1:5" ht="19.5" customHeight="1" thickBot="1" x14ac:dyDescent="0.25">
      <c r="A18" s="7"/>
      <c r="B18" s="14" t="s">
        <v>18</v>
      </c>
      <c r="C18" s="24">
        <f>G8*H8*C16</f>
        <v>0</v>
      </c>
      <c r="D18" s="14"/>
      <c r="E18" s="14" t="s">
        <v>4</v>
      </c>
    </row>
    <row r="19" spans="1:5" ht="15.95" customHeight="1" x14ac:dyDescent="0.2">
      <c r="A19" s="7"/>
      <c r="B19" s="14" t="s">
        <v>37</v>
      </c>
      <c r="C19" s="14"/>
      <c r="D19" s="14"/>
      <c r="E19" s="14"/>
    </row>
    <row r="20" spans="1:5" ht="19.5" customHeight="1" x14ac:dyDescent="0.2">
      <c r="B20" s="14"/>
    </row>
    <row r="24" spans="1:5" ht="19.5" customHeight="1" x14ac:dyDescent="0.25">
      <c r="B24" s="42" t="s">
        <v>17</v>
      </c>
    </row>
  </sheetData>
  <mergeCells count="2">
    <mergeCell ref="B2:E2"/>
    <mergeCell ref="B6:C6"/>
  </mergeCells>
  <hyperlinks>
    <hyperlink ref="B24" location="Menu!A1" display="Back to menu"/>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Drop Down 1">
              <controlPr defaultSize="0" autoLine="0" autoPict="0">
                <anchor moveWithCells="1">
                  <from>
                    <xdr:col>2</xdr:col>
                    <xdr:colOff>0</xdr:colOff>
                    <xdr:row>7</xdr:row>
                    <xdr:rowOff>9525</xdr:rowOff>
                  </from>
                  <to>
                    <xdr:col>3</xdr:col>
                    <xdr:colOff>28575</xdr:colOff>
                    <xdr:row>8</xdr:row>
                    <xdr:rowOff>104775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7"/>
  <sheetViews>
    <sheetView topLeftCell="A4" workbookViewId="0">
      <selection activeCell="C14" sqref="C14"/>
    </sheetView>
  </sheetViews>
  <sheetFormatPr defaultRowHeight="19.5" customHeight="1" x14ac:dyDescent="0.2"/>
  <cols>
    <col min="1" max="1" width="3.33203125" style="5" customWidth="1"/>
    <col min="2" max="2" width="83.1640625" style="5" customWidth="1"/>
    <col min="3" max="3" width="29.83203125" style="5" customWidth="1"/>
    <col min="4" max="4" width="89.6640625" style="5" customWidth="1"/>
    <col min="5" max="5" width="10.5" style="5" customWidth="1"/>
    <col min="6" max="6" width="13.33203125" style="5" customWidth="1"/>
    <col min="7" max="7" width="18.6640625" style="5" customWidth="1"/>
    <col min="8" max="8" width="13.5" style="5" customWidth="1"/>
    <col min="9" max="9" width="9.33203125" style="5"/>
    <col min="10" max="16384" width="9.33203125" style="12"/>
  </cols>
  <sheetData>
    <row r="1" spans="1:9" ht="15.95" customHeight="1" x14ac:dyDescent="0.2">
      <c r="A1" s="7"/>
      <c r="B1" s="11"/>
      <c r="C1" s="11"/>
      <c r="D1" s="11"/>
      <c r="E1" s="11"/>
    </row>
    <row r="2" spans="1:9" ht="19.5" customHeight="1" x14ac:dyDescent="0.2">
      <c r="A2" s="7"/>
      <c r="B2" s="78" t="s">
        <v>56</v>
      </c>
      <c r="C2" s="78"/>
      <c r="D2" s="78"/>
      <c r="E2" s="78"/>
    </row>
    <row r="3" spans="1:9" ht="47.25" customHeight="1" x14ac:dyDescent="0.2">
      <c r="A3" s="7"/>
      <c r="B3" s="51" t="s">
        <v>55</v>
      </c>
      <c r="C3" s="51"/>
      <c r="D3" s="51"/>
      <c r="E3" s="51"/>
    </row>
    <row r="4" spans="1:9" ht="19.5" customHeight="1" x14ac:dyDescent="0.2">
      <c r="A4" s="7"/>
      <c r="B4" s="17"/>
      <c r="D4" s="51"/>
      <c r="E4" s="51"/>
    </row>
    <row r="5" spans="1:9" ht="9.9499999999999993" customHeight="1" x14ac:dyDescent="0.2">
      <c r="A5" s="7"/>
      <c r="B5" s="11"/>
      <c r="C5" s="11"/>
      <c r="D5" s="11"/>
      <c r="E5" s="11"/>
      <c r="F5" s="5" t="s">
        <v>3</v>
      </c>
      <c r="G5" s="5" t="s">
        <v>1</v>
      </c>
      <c r="H5" s="5" t="s">
        <v>2</v>
      </c>
    </row>
    <row r="6" spans="1:9" ht="51.95" customHeight="1" x14ac:dyDescent="0.2">
      <c r="A6" s="7"/>
      <c r="B6" s="79" t="s">
        <v>69</v>
      </c>
      <c r="C6" s="79"/>
      <c r="D6" s="11"/>
      <c r="E6" s="11"/>
    </row>
    <row r="7" spans="1:9" ht="14.1" customHeight="1" thickBot="1" x14ac:dyDescent="0.25">
      <c r="A7" s="7"/>
      <c r="B7" s="52"/>
      <c r="C7" s="52"/>
      <c r="D7" s="11"/>
      <c r="E7" s="11"/>
    </row>
    <row r="8" spans="1:9" ht="19.5" customHeight="1" thickBot="1" x14ac:dyDescent="0.25">
      <c r="A8" s="7" t="s">
        <v>32</v>
      </c>
      <c r="B8" s="14" t="s">
        <v>19</v>
      </c>
      <c r="C8" s="14"/>
      <c r="D8" s="14"/>
      <c r="E8" s="14"/>
      <c r="F8" s="13">
        <f>INDEX(Data!$A$6:$D$9,Data!$A$11,2)</f>
        <v>36.5</v>
      </c>
      <c r="G8" s="13">
        <f>INDEX(Data!$A$6:$D$9,Data!$A$11,3)</f>
        <v>37</v>
      </c>
      <c r="H8" s="13">
        <f>INDEX(Data!$A$6:$D$9,Data!$A$11,4)</f>
        <v>7.3</v>
      </c>
    </row>
    <row r="9" spans="1:9" ht="28.5" customHeight="1" thickBot="1" x14ac:dyDescent="0.25">
      <c r="A9" s="7"/>
      <c r="B9" s="14"/>
      <c r="C9" s="14"/>
      <c r="D9" s="14"/>
      <c r="E9" s="14"/>
    </row>
    <row r="10" spans="1:9" ht="19.5" customHeight="1" thickBot="1" x14ac:dyDescent="0.25">
      <c r="A10" s="7"/>
      <c r="B10" s="14" t="s">
        <v>36</v>
      </c>
      <c r="C10" s="21">
        <f>G8</f>
        <v>37</v>
      </c>
      <c r="D10" s="14"/>
      <c r="E10" s="14"/>
    </row>
    <row r="11" spans="1:9" ht="18.75" customHeight="1" thickBot="1" x14ac:dyDescent="0.25">
      <c r="A11" s="7"/>
      <c r="B11" s="22"/>
      <c r="C11" s="14"/>
      <c r="D11" s="14"/>
      <c r="E11" s="14"/>
    </row>
    <row r="12" spans="1:9" ht="19.5" customHeight="1" thickBot="1" x14ac:dyDescent="0.25">
      <c r="A12" s="7"/>
      <c r="B12" s="14" t="s">
        <v>21</v>
      </c>
      <c r="C12" s="23"/>
      <c r="D12" s="14"/>
      <c r="E12" s="14"/>
    </row>
    <row r="13" spans="1:9" ht="19.5" customHeight="1" x14ac:dyDescent="0.2">
      <c r="A13" s="7"/>
      <c r="B13" s="14"/>
      <c r="C13" s="53"/>
      <c r="D13" s="14"/>
      <c r="E13" s="14"/>
    </row>
    <row r="14" spans="1:9" ht="17.25" customHeight="1" x14ac:dyDescent="0.2">
      <c r="A14" s="7"/>
      <c r="B14" s="14" t="s">
        <v>54</v>
      </c>
      <c r="C14" s="55"/>
      <c r="D14" s="14"/>
      <c r="E14" s="14"/>
    </row>
    <row r="15" spans="1:9" ht="17.25" customHeight="1" x14ac:dyDescent="0.2">
      <c r="A15" s="7"/>
      <c r="B15" s="14"/>
      <c r="C15" s="54"/>
      <c r="D15" s="14"/>
      <c r="E15" s="14"/>
    </row>
    <row r="16" spans="1:9" s="56" customFormat="1" ht="19.5" customHeight="1" x14ac:dyDescent="0.2">
      <c r="A16" s="54"/>
      <c r="B16" s="57" t="s">
        <v>57</v>
      </c>
      <c r="C16" s="58">
        <f>(C12/36.5)*(C14/(52.14-G8/5))</f>
        <v>0</v>
      </c>
      <c r="D16" s="54"/>
      <c r="E16" s="54"/>
      <c r="F16" s="54"/>
      <c r="G16" s="54"/>
      <c r="H16" s="54"/>
      <c r="I16" s="54"/>
    </row>
    <row r="17" spans="1:5" ht="17.25" customHeight="1" thickBot="1" x14ac:dyDescent="0.25">
      <c r="A17" s="7"/>
      <c r="B17" s="14"/>
      <c r="C17" s="54"/>
      <c r="D17" s="14"/>
      <c r="E17" s="14"/>
    </row>
    <row r="18" spans="1:5" ht="19.5" customHeight="1" thickBot="1" x14ac:dyDescent="0.25">
      <c r="A18" s="7"/>
      <c r="B18" s="14" t="s">
        <v>18</v>
      </c>
      <c r="C18" s="24">
        <f>G8*H8*C16</f>
        <v>0</v>
      </c>
      <c r="D18" s="14"/>
      <c r="E18" s="14" t="s">
        <v>4</v>
      </c>
    </row>
    <row r="19" spans="1:5" ht="15.95" customHeight="1" x14ac:dyDescent="0.2">
      <c r="A19" s="7"/>
      <c r="B19" s="14" t="s">
        <v>37</v>
      </c>
      <c r="C19" s="14"/>
      <c r="D19" s="14"/>
      <c r="E19" s="14"/>
    </row>
    <row r="20" spans="1:5" ht="9.9499999999999993" customHeight="1" x14ac:dyDescent="0.2">
      <c r="A20" s="7"/>
      <c r="B20" s="14"/>
      <c r="C20" s="14"/>
      <c r="D20" s="14"/>
      <c r="E20" s="14"/>
    </row>
    <row r="22" spans="1:5" ht="19.5" customHeight="1" x14ac:dyDescent="0.2">
      <c r="B22" s="14"/>
    </row>
    <row r="27" spans="1:5" ht="19.5" customHeight="1" x14ac:dyDescent="0.25">
      <c r="B27" s="42" t="s">
        <v>17</v>
      </c>
    </row>
  </sheetData>
  <mergeCells count="2">
    <mergeCell ref="B2:E2"/>
    <mergeCell ref="B6:C6"/>
  </mergeCells>
  <hyperlinks>
    <hyperlink ref="B27" location="Menu!A1" display="Back to menu"/>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Drop Down 1">
              <controlPr defaultSize="0" autoLine="0" autoPict="0">
                <anchor moveWithCells="1">
                  <from>
                    <xdr:col>2</xdr:col>
                    <xdr:colOff>0</xdr:colOff>
                    <xdr:row>7</xdr:row>
                    <xdr:rowOff>9525</xdr:rowOff>
                  </from>
                  <to>
                    <xdr:col>3</xdr:col>
                    <xdr:colOff>28575</xdr:colOff>
                    <xdr:row>8</xdr:row>
                    <xdr:rowOff>47625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22"/>
  <sheetViews>
    <sheetView workbookViewId="0">
      <selection activeCell="B15" sqref="B15"/>
    </sheetView>
  </sheetViews>
  <sheetFormatPr defaultRowHeight="19.5" customHeight="1" x14ac:dyDescent="0.2"/>
  <cols>
    <col min="1" max="1" width="8.5" style="5" customWidth="1"/>
    <col min="2" max="2" width="90.83203125" style="5" customWidth="1"/>
    <col min="3" max="3" width="30.33203125" style="5" customWidth="1"/>
    <col min="4" max="4" width="120.83203125" style="5" customWidth="1"/>
    <col min="5" max="5" width="10.5" style="5" customWidth="1"/>
    <col min="6" max="6" width="13.33203125" style="5" customWidth="1"/>
    <col min="7" max="7" width="18.6640625" style="5" customWidth="1"/>
    <col min="8" max="8" width="13.5" style="5" customWidth="1"/>
    <col min="9" max="9" width="9.33203125" style="5"/>
    <col min="10" max="16384" width="9.33203125" style="12"/>
  </cols>
  <sheetData>
    <row r="1" spans="2:5" ht="15.95" customHeight="1" x14ac:dyDescent="0.2">
      <c r="B1" s="31"/>
      <c r="C1" s="31"/>
      <c r="D1" s="31"/>
      <c r="E1" s="31"/>
    </row>
    <row r="2" spans="2:5" ht="19.5" customHeight="1" x14ac:dyDescent="0.25">
      <c r="B2" s="32" t="s">
        <v>44</v>
      </c>
      <c r="C2" s="32"/>
      <c r="D2" s="32"/>
    </row>
    <row r="3" spans="2:5" ht="15.95" customHeight="1" thickBot="1" x14ac:dyDescent="0.25">
      <c r="B3" s="40"/>
    </row>
    <row r="4" spans="2:5" ht="19.5" customHeight="1" thickBot="1" x14ac:dyDescent="0.25">
      <c r="B4" s="5" t="s">
        <v>24</v>
      </c>
      <c r="C4" s="38"/>
    </row>
    <row r="5" spans="2:5" ht="15.95" customHeight="1" thickBot="1" x14ac:dyDescent="0.25"/>
    <row r="6" spans="2:5" ht="19.5" customHeight="1" thickBot="1" x14ac:dyDescent="0.25">
      <c r="B6" s="5" t="s">
        <v>25</v>
      </c>
      <c r="C6" s="38"/>
    </row>
    <row r="7" spans="2:5" ht="15.95" customHeight="1" x14ac:dyDescent="0.2"/>
    <row r="9" spans="2:5" ht="19.5" customHeight="1" x14ac:dyDescent="0.2">
      <c r="B9" s="5" t="s">
        <v>91</v>
      </c>
      <c r="C9" s="41">
        <v>41426</v>
      </c>
    </row>
    <row r="10" spans="2:5" ht="19.5" customHeight="1" x14ac:dyDescent="0.2">
      <c r="B10" s="5" t="s">
        <v>45</v>
      </c>
    </row>
    <row r="12" spans="2:5" ht="19.5" customHeight="1" x14ac:dyDescent="0.2">
      <c r="B12" s="5" t="s">
        <v>79</v>
      </c>
      <c r="C12" s="41">
        <v>41608</v>
      </c>
    </row>
    <row r="13" spans="2:5" ht="19.5" customHeight="1" x14ac:dyDescent="0.2">
      <c r="B13" s="69">
        <v>2013</v>
      </c>
    </row>
    <row r="14" spans="2:5" ht="19.5" customHeight="1" x14ac:dyDescent="0.2">
      <c r="B14" s="5" t="s">
        <v>46</v>
      </c>
      <c r="C14" s="39">
        <f>C12-C9+1</f>
        <v>183</v>
      </c>
    </row>
    <row r="16" spans="2:5" ht="19.5" customHeight="1" x14ac:dyDescent="0.2">
      <c r="B16" s="5" t="s">
        <v>48</v>
      </c>
      <c r="C16" s="39">
        <f>365-C14</f>
        <v>182</v>
      </c>
    </row>
    <row r="18" spans="2:3" ht="19.5" customHeight="1" x14ac:dyDescent="0.2">
      <c r="B18" s="5" t="s">
        <v>47</v>
      </c>
      <c r="C18" s="39">
        <f>(C4/365*C14)+(C6/365*C16)</f>
        <v>0</v>
      </c>
    </row>
    <row r="19" spans="2:3" ht="19.5" customHeight="1" x14ac:dyDescent="0.2">
      <c r="B19" s="5" t="s">
        <v>49</v>
      </c>
    </row>
    <row r="22" spans="2:3" ht="19.5" customHeight="1" x14ac:dyDescent="0.25">
      <c r="B22" s="42" t="s">
        <v>17</v>
      </c>
    </row>
  </sheetData>
  <phoneticPr fontId="0" type="noConversion"/>
  <hyperlinks>
    <hyperlink ref="B22" location="Menu!A1" display="Back to menu"/>
  </hyperlinks>
  <pageMargins left="0.35433070866141736" right="0.35433070866141736" top="0.24" bottom="0.28999999999999998" header="0.24" footer="0.2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9"/>
  <sheetViews>
    <sheetView workbookViewId="0">
      <selection activeCell="C15" sqref="C15"/>
    </sheetView>
  </sheetViews>
  <sheetFormatPr defaultRowHeight="19.5" customHeight="1" x14ac:dyDescent="0.2"/>
  <cols>
    <col min="1" max="1" width="4.83203125" style="5" customWidth="1"/>
    <col min="2" max="2" width="82.33203125" style="5" customWidth="1"/>
    <col min="3" max="3" width="30.33203125" style="5" customWidth="1"/>
    <col min="4" max="4" width="100.83203125" style="5" customWidth="1"/>
    <col min="5" max="5" width="30.83203125" style="5" customWidth="1"/>
    <col min="6" max="6" width="13.33203125" style="5" customWidth="1"/>
    <col min="7" max="7" width="18.6640625" style="5" customWidth="1"/>
    <col min="8" max="8" width="13.5" style="5" customWidth="1"/>
    <col min="9" max="9" width="9.33203125" style="5"/>
    <col min="10" max="16384" width="9.33203125" style="12"/>
  </cols>
  <sheetData>
    <row r="1" spans="1:9" ht="15.95" customHeight="1" x14ac:dyDescent="0.2">
      <c r="B1" s="11"/>
      <c r="C1" s="11"/>
      <c r="D1" s="31"/>
      <c r="E1" s="31"/>
    </row>
    <row r="2" spans="1:9" ht="19.5" customHeight="1" x14ac:dyDescent="0.25">
      <c r="B2" s="33" t="s">
        <v>60</v>
      </c>
      <c r="C2" s="34"/>
      <c r="D2" s="32"/>
    </row>
    <row r="3" spans="1:9" ht="15.95" customHeight="1" x14ac:dyDescent="0.25">
      <c r="B3" s="35" t="s">
        <v>17</v>
      </c>
      <c r="C3" s="14"/>
    </row>
    <row r="4" spans="1:9" ht="15.95" customHeight="1" thickBot="1" x14ac:dyDescent="0.3">
      <c r="B4" s="35"/>
      <c r="C4" s="14"/>
    </row>
    <row r="5" spans="1:9" ht="19.5" customHeight="1" thickBot="1" x14ac:dyDescent="0.25">
      <c r="B5" s="14" t="s">
        <v>19</v>
      </c>
      <c r="C5" s="14"/>
      <c r="F5" s="13">
        <f>INDEX(Data!$A$6:$D$9,Data!$A$12,2)</f>
        <v>36.5</v>
      </c>
      <c r="G5" s="13">
        <f>INDEX(Data!$A$6:$D$9,Data!$A$12,3)</f>
        <v>37</v>
      </c>
      <c r="H5" s="13">
        <f>INDEX(Data!$A$6:$D$9,Data!$A$12,4)</f>
        <v>7.3</v>
      </c>
    </row>
    <row r="6" spans="1:9" ht="15.95" customHeight="1" thickBot="1" x14ac:dyDescent="0.25">
      <c r="B6" s="14"/>
      <c r="C6" s="14"/>
    </row>
    <row r="7" spans="1:9" ht="19.5" customHeight="1" thickBot="1" x14ac:dyDescent="0.25">
      <c r="B7" s="14" t="s">
        <v>43</v>
      </c>
      <c r="C7" s="21">
        <f>G5</f>
        <v>37</v>
      </c>
    </row>
    <row r="8" spans="1:9" ht="15.95" customHeight="1" x14ac:dyDescent="0.2">
      <c r="B8" s="14"/>
      <c r="C8" s="14"/>
    </row>
    <row r="9" spans="1:9" s="27" customFormat="1" ht="19.5" customHeight="1" x14ac:dyDescent="0.2">
      <c r="A9" s="14"/>
      <c r="B9" s="14" t="s">
        <v>92</v>
      </c>
      <c r="C9" s="29"/>
      <c r="D9" s="14"/>
      <c r="E9" s="14"/>
      <c r="F9" s="14"/>
      <c r="G9" s="14"/>
      <c r="H9" s="14"/>
      <c r="I9" s="14"/>
    </row>
    <row r="10" spans="1:9" s="27" customFormat="1" ht="19.5" customHeight="1" x14ac:dyDescent="0.2">
      <c r="A10" s="14"/>
      <c r="B10" s="14"/>
      <c r="C10" s="14"/>
      <c r="D10" s="14"/>
      <c r="E10" s="14"/>
      <c r="F10" s="14"/>
      <c r="G10" s="14"/>
      <c r="H10" s="14"/>
      <c r="I10" s="14"/>
    </row>
    <row r="11" spans="1:9" s="27" customFormat="1" ht="19.5" customHeight="1" x14ac:dyDescent="0.2">
      <c r="A11" s="14"/>
      <c r="B11" s="14" t="s">
        <v>93</v>
      </c>
      <c r="C11" s="29"/>
      <c r="D11" s="14"/>
      <c r="E11" s="14"/>
      <c r="F11" s="14"/>
      <c r="G11" s="14"/>
      <c r="H11" s="14"/>
      <c r="I11" s="14"/>
    </row>
    <row r="12" spans="1:9" s="27" customFormat="1" ht="19.5" customHeight="1" x14ac:dyDescent="0.2">
      <c r="A12" s="14"/>
      <c r="B12" s="14"/>
      <c r="C12" s="14"/>
      <c r="D12" s="14"/>
      <c r="E12" s="14"/>
      <c r="F12" s="14"/>
      <c r="G12" s="14"/>
      <c r="H12" s="14"/>
      <c r="I12" s="14"/>
    </row>
    <row r="13" spans="1:9" s="27" customFormat="1" ht="19.5" customHeight="1" x14ac:dyDescent="0.2">
      <c r="A13" s="14"/>
      <c r="B13" s="14" t="s">
        <v>42</v>
      </c>
      <c r="C13" s="37">
        <f>C11-C9+1</f>
        <v>1</v>
      </c>
      <c r="D13" s="14"/>
      <c r="E13" s="14"/>
      <c r="F13" s="14"/>
      <c r="G13" s="14"/>
      <c r="H13" s="14"/>
      <c r="I13" s="14"/>
    </row>
    <row r="14" spans="1:9" s="27" customFormat="1" ht="19.5" customHeight="1" thickBot="1" x14ac:dyDescent="0.25">
      <c r="A14" s="14"/>
      <c r="B14" s="14"/>
      <c r="C14" s="14"/>
      <c r="D14" s="14"/>
      <c r="E14" s="14"/>
      <c r="F14" s="14"/>
      <c r="G14" s="14"/>
      <c r="H14" s="14"/>
      <c r="I14" s="14"/>
    </row>
    <row r="15" spans="1:9" ht="19.5" customHeight="1" thickBot="1" x14ac:dyDescent="0.25">
      <c r="B15" s="14" t="s">
        <v>61</v>
      </c>
      <c r="C15" s="24">
        <f>C13/365*C7</f>
        <v>0.10136986301369863</v>
      </c>
      <c r="E15" s="5" t="s">
        <v>5</v>
      </c>
    </row>
    <row r="16" spans="1:9" ht="15.95" customHeight="1" x14ac:dyDescent="0.2">
      <c r="B16" s="7"/>
      <c r="C16" s="14"/>
    </row>
    <row r="17" spans="2:3" ht="19.5" customHeight="1" x14ac:dyDescent="0.2">
      <c r="B17" s="14"/>
      <c r="C17" s="14"/>
    </row>
    <row r="18" spans="2:3" ht="19.5" customHeight="1" x14ac:dyDescent="0.25">
      <c r="B18" s="42" t="s">
        <v>17</v>
      </c>
      <c r="C18" s="14"/>
    </row>
    <row r="19" spans="2:3" ht="19.5" customHeight="1" x14ac:dyDescent="0.2">
      <c r="B19" s="14"/>
    </row>
  </sheetData>
  <hyperlinks>
    <hyperlink ref="B18" location="Menu!A1" display="Back to menu"/>
    <hyperlink ref="B3" location="Menu!A1" display="Back to menu"/>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5361" r:id="rId3" name="Drop Down 1">
              <controlPr defaultSize="0" autoLine="0" autoPict="0">
                <anchor moveWithCells="1">
                  <from>
                    <xdr:col>2</xdr:col>
                    <xdr:colOff>0</xdr:colOff>
                    <xdr:row>4</xdr:row>
                    <xdr:rowOff>47625</xdr:rowOff>
                  </from>
                  <to>
                    <xdr:col>3</xdr:col>
                    <xdr:colOff>0</xdr:colOff>
                    <xdr:row>5</xdr:row>
                    <xdr:rowOff>104775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7"/>
  <sheetViews>
    <sheetView topLeftCell="A8" workbookViewId="0">
      <selection activeCell="D22" sqref="D22"/>
    </sheetView>
  </sheetViews>
  <sheetFormatPr defaultRowHeight="19.5" customHeight="1" x14ac:dyDescent="0.2"/>
  <cols>
    <col min="1" max="1" width="3.33203125" style="5" customWidth="1"/>
    <col min="2" max="2" width="83.1640625" style="5" customWidth="1"/>
    <col min="3" max="3" width="29.83203125" style="5" customWidth="1"/>
    <col min="4" max="4" width="89.6640625" style="5" customWidth="1"/>
    <col min="5" max="5" width="10.5" style="5" customWidth="1"/>
    <col min="6" max="6" width="13.33203125" style="5" customWidth="1"/>
    <col min="7" max="7" width="18.6640625" style="5" customWidth="1"/>
    <col min="8" max="8" width="13.5" style="5" customWidth="1"/>
    <col min="9" max="9" width="9.33203125" style="5"/>
    <col min="10" max="16384" width="9.33203125" style="12"/>
  </cols>
  <sheetData>
    <row r="1" spans="1:9" ht="15.95" customHeight="1" x14ac:dyDescent="0.2">
      <c r="A1" s="7"/>
      <c r="B1" s="11"/>
      <c r="C1" s="11"/>
      <c r="D1" s="11"/>
      <c r="E1" s="11"/>
    </row>
    <row r="2" spans="1:9" ht="19.5" customHeight="1" x14ac:dyDescent="0.2">
      <c r="A2" s="7"/>
      <c r="B2" s="78" t="s">
        <v>62</v>
      </c>
      <c r="C2" s="78"/>
      <c r="D2" s="78"/>
      <c r="E2" s="78"/>
    </row>
    <row r="3" spans="1:9" ht="47.25" customHeight="1" x14ac:dyDescent="0.2">
      <c r="A3" s="7"/>
      <c r="B3" s="70" t="s">
        <v>80</v>
      </c>
      <c r="C3" s="63"/>
      <c r="D3" s="63"/>
      <c r="E3" s="63"/>
    </row>
    <row r="4" spans="1:9" ht="19.5" customHeight="1" x14ac:dyDescent="0.2">
      <c r="A4" s="7"/>
      <c r="B4" s="17" t="s">
        <v>17</v>
      </c>
      <c r="D4" s="63"/>
      <c r="E4" s="63"/>
    </row>
    <row r="5" spans="1:9" ht="9.9499999999999993" customHeight="1" x14ac:dyDescent="0.2">
      <c r="A5" s="7"/>
      <c r="B5" s="11"/>
      <c r="C5" s="11"/>
      <c r="D5" s="11"/>
      <c r="E5" s="11"/>
      <c r="F5" s="5" t="s">
        <v>3</v>
      </c>
      <c r="G5" s="5" t="s">
        <v>1</v>
      </c>
      <c r="H5" s="5" t="s">
        <v>2</v>
      </c>
    </row>
    <row r="6" spans="1:9" ht="51.95" customHeight="1" x14ac:dyDescent="0.2">
      <c r="A6" s="7"/>
      <c r="B6" s="79" t="s">
        <v>83</v>
      </c>
      <c r="C6" s="79"/>
      <c r="D6" s="11"/>
      <c r="E6" s="11"/>
    </row>
    <row r="7" spans="1:9" ht="14.1" customHeight="1" thickBot="1" x14ac:dyDescent="0.25">
      <c r="A7" s="7"/>
      <c r="B7" s="64"/>
      <c r="C7" s="64"/>
      <c r="D7" s="11"/>
      <c r="E7" s="11"/>
    </row>
    <row r="8" spans="1:9" ht="19.5" customHeight="1" thickBot="1" x14ac:dyDescent="0.25">
      <c r="A8" s="7" t="s">
        <v>32</v>
      </c>
      <c r="B8" s="14" t="s">
        <v>19</v>
      </c>
      <c r="C8" s="14"/>
      <c r="D8" s="14"/>
      <c r="E8" s="14"/>
      <c r="F8" s="13">
        <f>INDEX(Data!$A$6:$D$9,Data!$A$11,2)</f>
        <v>36.5</v>
      </c>
      <c r="G8" s="13">
        <f>INDEX(Data!$A$6:$D$9,Data!$A$11,3)</f>
        <v>37</v>
      </c>
      <c r="H8" s="13">
        <f>INDEX(Data!$A$6:$D$9,Data!$A$11,4)</f>
        <v>7.3</v>
      </c>
    </row>
    <row r="9" spans="1:9" ht="28.5" customHeight="1" thickBot="1" x14ac:dyDescent="0.25">
      <c r="A9" s="7"/>
      <c r="B9" s="14"/>
      <c r="C9" s="14"/>
      <c r="D9" s="14"/>
      <c r="E9" s="14"/>
    </row>
    <row r="10" spans="1:9" ht="19.5" customHeight="1" thickBot="1" x14ac:dyDescent="0.25">
      <c r="A10" s="7"/>
      <c r="B10" s="14" t="s">
        <v>36</v>
      </c>
      <c r="C10" s="21">
        <f>G8</f>
        <v>37</v>
      </c>
      <c r="D10" s="14"/>
      <c r="E10" s="14"/>
    </row>
    <row r="11" spans="1:9" ht="18.75" customHeight="1" thickBot="1" x14ac:dyDescent="0.25">
      <c r="A11" s="7"/>
      <c r="B11" s="22"/>
      <c r="C11" s="14"/>
      <c r="D11" s="14"/>
      <c r="E11" s="14"/>
    </row>
    <row r="12" spans="1:9" ht="19.5" customHeight="1" thickBot="1" x14ac:dyDescent="0.25">
      <c r="A12" s="7"/>
      <c r="B12" s="14" t="s">
        <v>21</v>
      </c>
      <c r="C12" s="23"/>
      <c r="D12" s="14"/>
      <c r="E12" s="14"/>
    </row>
    <row r="13" spans="1:9" ht="19.5" customHeight="1" x14ac:dyDescent="0.2">
      <c r="A13" s="7"/>
      <c r="B13" s="14"/>
      <c r="C13" s="53"/>
      <c r="D13" s="14"/>
      <c r="E13" s="14"/>
    </row>
    <row r="14" spans="1:9" ht="17.25" customHeight="1" x14ac:dyDescent="0.2">
      <c r="A14" s="7"/>
      <c r="B14" s="14" t="s">
        <v>54</v>
      </c>
      <c r="C14" s="55"/>
      <c r="D14" s="14"/>
      <c r="E14" s="14"/>
    </row>
    <row r="15" spans="1:9" ht="17.25" customHeight="1" x14ac:dyDescent="0.2">
      <c r="A15" s="7"/>
      <c r="B15" s="14"/>
      <c r="C15" s="54"/>
      <c r="D15" s="14"/>
      <c r="E15" s="14"/>
    </row>
    <row r="16" spans="1:9" s="56" customFormat="1" ht="19.5" customHeight="1" x14ac:dyDescent="0.2">
      <c r="A16" s="54"/>
      <c r="B16" s="57" t="s">
        <v>57</v>
      </c>
      <c r="C16" s="58">
        <f>(C12/36.5)*(C14/(52.14-G8/5))</f>
        <v>0</v>
      </c>
      <c r="D16" s="54"/>
      <c r="E16" s="54"/>
      <c r="F16" s="54"/>
      <c r="G16" s="54"/>
      <c r="H16" s="54"/>
      <c r="I16" s="54"/>
    </row>
    <row r="17" spans="1:9" ht="17.25" customHeight="1" thickBot="1" x14ac:dyDescent="0.25">
      <c r="A17" s="7"/>
      <c r="B17" s="14"/>
      <c r="C17" s="54"/>
      <c r="D17" s="14"/>
      <c r="E17" s="14"/>
    </row>
    <row r="18" spans="1:9" ht="19.5" customHeight="1" thickBot="1" x14ac:dyDescent="0.25">
      <c r="A18" s="7"/>
      <c r="B18" s="14" t="s">
        <v>18</v>
      </c>
      <c r="C18" s="24">
        <f>G8*H8*C16</f>
        <v>0</v>
      </c>
      <c r="D18" s="14"/>
      <c r="E18" s="14" t="s">
        <v>4</v>
      </c>
    </row>
    <row r="19" spans="1:9" ht="22.5" customHeight="1" x14ac:dyDescent="0.2">
      <c r="A19" s="7"/>
      <c r="B19" s="14" t="s">
        <v>37</v>
      </c>
      <c r="C19" s="14"/>
      <c r="D19" s="14"/>
      <c r="E19" s="14"/>
    </row>
    <row r="20" spans="1:9" s="27" customFormat="1" ht="25.5" customHeight="1" x14ac:dyDescent="0.2">
      <c r="A20" s="14" t="s">
        <v>33</v>
      </c>
      <c r="B20" s="14" t="s">
        <v>92</v>
      </c>
      <c r="C20" s="29">
        <v>41365</v>
      </c>
      <c r="D20" s="14"/>
      <c r="E20" s="14"/>
      <c r="F20" s="14"/>
      <c r="G20" s="14"/>
      <c r="H20" s="14"/>
      <c r="I20" s="14"/>
    </row>
    <row r="21" spans="1:9" s="27" customFormat="1" ht="19.5" customHeight="1" x14ac:dyDescent="0.2">
      <c r="A21" s="14"/>
      <c r="B21" s="14"/>
      <c r="C21" s="14"/>
      <c r="D21" s="14"/>
      <c r="E21" s="14"/>
      <c r="F21" s="14"/>
      <c r="G21" s="14"/>
      <c r="H21" s="14"/>
      <c r="I21" s="14"/>
    </row>
    <row r="22" spans="1:9" s="27" customFormat="1" ht="19.5" customHeight="1" x14ac:dyDescent="0.2">
      <c r="A22" s="14"/>
      <c r="B22" s="14" t="s">
        <v>93</v>
      </c>
      <c r="C22" s="29">
        <v>41455</v>
      </c>
      <c r="D22" s="14"/>
      <c r="E22" s="14"/>
      <c r="F22" s="14"/>
      <c r="G22" s="14"/>
      <c r="H22" s="14"/>
      <c r="I22" s="14"/>
    </row>
    <row r="23" spans="1:9" s="27" customFormat="1" ht="19.5" customHeight="1" x14ac:dyDescent="0.2">
      <c r="A23" s="14"/>
      <c r="B23" s="14"/>
      <c r="C23" s="14"/>
      <c r="D23" s="14"/>
      <c r="E23" s="14"/>
      <c r="F23" s="14"/>
      <c r="G23" s="14"/>
      <c r="H23" s="14"/>
      <c r="I23" s="14"/>
    </row>
    <row r="24" spans="1:9" s="27" customFormat="1" ht="19.5" customHeight="1" x14ac:dyDescent="0.2">
      <c r="A24" s="14"/>
      <c r="B24" s="14" t="s">
        <v>42</v>
      </c>
      <c r="C24" s="37">
        <f>C22-C20+1</f>
        <v>91</v>
      </c>
      <c r="D24" s="14"/>
      <c r="E24" s="14"/>
      <c r="F24" s="14"/>
      <c r="G24" s="14"/>
      <c r="H24" s="14"/>
      <c r="I24" s="14"/>
    </row>
    <row r="25" spans="1:9" s="27" customFormat="1" ht="19.5" customHeight="1" thickBot="1" x14ac:dyDescent="0.25">
      <c r="A25" s="14"/>
      <c r="B25" s="14"/>
      <c r="C25" s="14"/>
      <c r="D25" s="14"/>
      <c r="E25" s="14"/>
      <c r="F25" s="14"/>
      <c r="G25" s="14"/>
      <c r="H25" s="14"/>
      <c r="I25" s="14"/>
    </row>
    <row r="26" spans="1:9" ht="19.5" customHeight="1" thickBot="1" x14ac:dyDescent="0.25">
      <c r="B26" s="14" t="s">
        <v>63</v>
      </c>
      <c r="C26" s="24">
        <f>C24/365*C18</f>
        <v>0</v>
      </c>
      <c r="E26" s="5" t="s">
        <v>5</v>
      </c>
    </row>
    <row r="27" spans="1:9" ht="19.5" customHeight="1" x14ac:dyDescent="0.25">
      <c r="B27" s="42" t="s">
        <v>17</v>
      </c>
    </row>
  </sheetData>
  <mergeCells count="2">
    <mergeCell ref="B2:E2"/>
    <mergeCell ref="B6:C6"/>
  </mergeCells>
  <hyperlinks>
    <hyperlink ref="B4" location="Menu!A1" display="Back to menu"/>
    <hyperlink ref="B27" location="Menu!A1" display="Back to menu"/>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409" r:id="rId3" name="Drop Down 1">
              <controlPr defaultSize="0" autoLine="0" autoPict="0">
                <anchor moveWithCells="1">
                  <from>
                    <xdr:col>2</xdr:col>
                    <xdr:colOff>0</xdr:colOff>
                    <xdr:row>7</xdr:row>
                    <xdr:rowOff>9525</xdr:rowOff>
                  </from>
                  <to>
                    <xdr:col>3</xdr:col>
                    <xdr:colOff>28575</xdr:colOff>
                    <xdr:row>8</xdr:row>
                    <xdr:rowOff>57150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7"/>
  <sheetViews>
    <sheetView topLeftCell="A4" workbookViewId="0">
      <selection activeCell="D20" sqref="D20"/>
    </sheetView>
  </sheetViews>
  <sheetFormatPr defaultRowHeight="19.5" customHeight="1" x14ac:dyDescent="0.2"/>
  <cols>
    <col min="1" max="1" width="3.33203125" style="5" customWidth="1"/>
    <col min="2" max="2" width="83.1640625" style="5" customWidth="1"/>
    <col min="3" max="3" width="29.83203125" style="5" customWidth="1"/>
    <col min="4" max="4" width="89.6640625" style="5" customWidth="1"/>
    <col min="5" max="5" width="10.5" style="5" customWidth="1"/>
    <col min="6" max="6" width="13.33203125" style="5" customWidth="1"/>
    <col min="7" max="7" width="18.6640625" style="5" customWidth="1"/>
    <col min="8" max="8" width="13.5" style="5" customWidth="1"/>
    <col min="9" max="9" width="9.33203125" style="5"/>
    <col min="10" max="16384" width="9.33203125" style="12"/>
  </cols>
  <sheetData>
    <row r="1" spans="1:9" ht="15.95" customHeight="1" x14ac:dyDescent="0.2">
      <c r="A1" s="7"/>
      <c r="B1" s="11"/>
      <c r="C1" s="11"/>
      <c r="D1" s="11"/>
      <c r="E1" s="11"/>
    </row>
    <row r="2" spans="1:9" ht="19.5" customHeight="1" x14ac:dyDescent="0.2">
      <c r="A2" s="7"/>
      <c r="B2" s="78" t="s">
        <v>62</v>
      </c>
      <c r="C2" s="78"/>
      <c r="D2" s="78"/>
      <c r="E2" s="78"/>
    </row>
    <row r="3" spans="1:9" ht="47.25" customHeight="1" x14ac:dyDescent="0.2">
      <c r="A3" s="7"/>
      <c r="B3" s="70" t="s">
        <v>81</v>
      </c>
      <c r="C3" s="70"/>
      <c r="D3" s="70"/>
      <c r="E3" s="70"/>
    </row>
    <row r="4" spans="1:9" ht="19.5" customHeight="1" x14ac:dyDescent="0.2">
      <c r="A4" s="7"/>
      <c r="B4" s="17" t="s">
        <v>17</v>
      </c>
      <c r="D4" s="70"/>
      <c r="E4" s="70"/>
    </row>
    <row r="5" spans="1:9" ht="9.9499999999999993" customHeight="1" x14ac:dyDescent="0.2">
      <c r="A5" s="7"/>
      <c r="B5" s="11"/>
      <c r="C5" s="11"/>
      <c r="D5" s="11"/>
      <c r="E5" s="11"/>
      <c r="F5" s="5" t="s">
        <v>3</v>
      </c>
      <c r="G5" s="5" t="s">
        <v>1</v>
      </c>
      <c r="H5" s="5" t="s">
        <v>2</v>
      </c>
    </row>
    <row r="6" spans="1:9" ht="51.95" customHeight="1" x14ac:dyDescent="0.2">
      <c r="A6" s="7"/>
      <c r="B6" s="79" t="s">
        <v>84</v>
      </c>
      <c r="C6" s="79"/>
      <c r="D6" s="11"/>
      <c r="E6" s="11"/>
    </row>
    <row r="7" spans="1:9" ht="14.1" customHeight="1" thickBot="1" x14ac:dyDescent="0.25">
      <c r="A7" s="7"/>
      <c r="B7" s="71"/>
      <c r="C7" s="71"/>
      <c r="D7" s="11"/>
      <c r="E7" s="11"/>
    </row>
    <row r="8" spans="1:9" ht="19.5" customHeight="1" thickBot="1" x14ac:dyDescent="0.25">
      <c r="A8" s="7" t="s">
        <v>32</v>
      </c>
      <c r="B8" s="14" t="s">
        <v>19</v>
      </c>
      <c r="C8" s="14"/>
      <c r="D8" s="14"/>
      <c r="E8" s="14"/>
      <c r="F8" s="13">
        <f>INDEX(Data!$A$6:$D$9,Data!$A$11,2)</f>
        <v>36.5</v>
      </c>
      <c r="G8" s="13">
        <f>INDEX(Data!$A$6:$D$9,Data!$A$11,3)</f>
        <v>37</v>
      </c>
      <c r="H8" s="13">
        <f>INDEX(Data!$A$6:$D$9,Data!$A$11,4)</f>
        <v>7.3</v>
      </c>
    </row>
    <row r="9" spans="1:9" ht="28.5" customHeight="1" thickBot="1" x14ac:dyDescent="0.25">
      <c r="A9" s="7"/>
      <c r="B9" s="14"/>
      <c r="C9" s="14"/>
      <c r="D9" s="14"/>
      <c r="E9" s="14"/>
    </row>
    <row r="10" spans="1:9" ht="19.5" customHeight="1" thickBot="1" x14ac:dyDescent="0.25">
      <c r="A10" s="7"/>
      <c r="B10" s="14" t="s">
        <v>36</v>
      </c>
      <c r="C10" s="21">
        <f>G8</f>
        <v>37</v>
      </c>
      <c r="D10" s="14"/>
      <c r="E10" s="14"/>
    </row>
    <row r="11" spans="1:9" ht="18.75" customHeight="1" thickBot="1" x14ac:dyDescent="0.25">
      <c r="A11" s="7"/>
      <c r="B11" s="22"/>
      <c r="C11" s="14"/>
      <c r="D11" s="14"/>
      <c r="E11" s="14"/>
    </row>
    <row r="12" spans="1:9" ht="19.5" customHeight="1" thickBot="1" x14ac:dyDescent="0.25">
      <c r="A12" s="7"/>
      <c r="B12" s="14" t="s">
        <v>21</v>
      </c>
      <c r="C12" s="23"/>
      <c r="D12" s="14"/>
      <c r="E12" s="14"/>
    </row>
    <row r="13" spans="1:9" ht="19.5" customHeight="1" x14ac:dyDescent="0.2">
      <c r="A13" s="7"/>
      <c r="B13" s="14"/>
      <c r="C13" s="53"/>
      <c r="D13" s="14"/>
      <c r="E13" s="14"/>
    </row>
    <row r="14" spans="1:9" ht="17.25" customHeight="1" x14ac:dyDescent="0.2">
      <c r="A14" s="7"/>
      <c r="B14" s="14" t="s">
        <v>54</v>
      </c>
      <c r="C14" s="55"/>
      <c r="D14" s="14"/>
      <c r="E14" s="14"/>
    </row>
    <row r="15" spans="1:9" ht="17.25" customHeight="1" x14ac:dyDescent="0.2">
      <c r="A15" s="7"/>
      <c r="B15" s="14"/>
      <c r="C15" s="54"/>
      <c r="D15" s="14"/>
      <c r="E15" s="14"/>
    </row>
    <row r="16" spans="1:9" s="56" customFormat="1" ht="19.5" customHeight="1" x14ac:dyDescent="0.2">
      <c r="A16" s="54"/>
      <c r="B16" s="57" t="s">
        <v>57</v>
      </c>
      <c r="C16" s="58">
        <f>(C12/36.5)*(C14/(52.14))</f>
        <v>0</v>
      </c>
      <c r="D16" s="54"/>
      <c r="E16" s="54"/>
      <c r="F16" s="54"/>
      <c r="G16" s="54"/>
      <c r="H16" s="54"/>
      <c r="I16" s="54"/>
    </row>
    <row r="17" spans="1:9" ht="17.25" customHeight="1" thickBot="1" x14ac:dyDescent="0.25">
      <c r="A17" s="7"/>
      <c r="B17" s="14"/>
      <c r="C17" s="54"/>
      <c r="D17" s="14"/>
      <c r="E17" s="14"/>
    </row>
    <row r="18" spans="1:9" ht="19.5" customHeight="1" thickBot="1" x14ac:dyDescent="0.25">
      <c r="A18" s="7"/>
      <c r="B18" s="14" t="s">
        <v>18</v>
      </c>
      <c r="C18" s="24">
        <f>G8*H8*C16</f>
        <v>0</v>
      </c>
      <c r="D18" s="14"/>
      <c r="E18" s="14" t="s">
        <v>4</v>
      </c>
    </row>
    <row r="19" spans="1:9" ht="22.5" customHeight="1" x14ac:dyDescent="0.2">
      <c r="A19" s="7"/>
      <c r="B19" s="14" t="s">
        <v>37</v>
      </c>
      <c r="C19" s="14"/>
      <c r="D19" s="14"/>
      <c r="E19" s="14"/>
    </row>
    <row r="20" spans="1:9" s="27" customFormat="1" ht="25.5" customHeight="1" x14ac:dyDescent="0.2">
      <c r="A20" s="14" t="s">
        <v>33</v>
      </c>
      <c r="B20" s="14" t="s">
        <v>92</v>
      </c>
      <c r="C20" s="29">
        <v>41365</v>
      </c>
      <c r="D20" s="14"/>
      <c r="E20" s="14"/>
      <c r="F20" s="14"/>
      <c r="G20" s="14"/>
      <c r="H20" s="14"/>
      <c r="I20" s="14"/>
    </row>
    <row r="21" spans="1:9" s="27" customFormat="1" ht="19.5" customHeight="1" x14ac:dyDescent="0.2">
      <c r="A21" s="14"/>
      <c r="B21" s="14"/>
      <c r="C21" s="14"/>
      <c r="D21" s="14"/>
      <c r="E21" s="14"/>
      <c r="F21" s="14"/>
      <c r="G21" s="14"/>
      <c r="H21" s="14"/>
      <c r="I21" s="14"/>
    </row>
    <row r="22" spans="1:9" s="27" customFormat="1" ht="19.5" customHeight="1" x14ac:dyDescent="0.2">
      <c r="A22" s="14"/>
      <c r="B22" s="14" t="s">
        <v>93</v>
      </c>
      <c r="C22" s="29">
        <v>41455</v>
      </c>
      <c r="D22" s="14"/>
      <c r="E22" s="14"/>
      <c r="F22" s="14"/>
      <c r="G22" s="14"/>
      <c r="H22" s="14"/>
      <c r="I22" s="14"/>
    </row>
    <row r="23" spans="1:9" s="27" customFormat="1" ht="19.5" customHeight="1" x14ac:dyDescent="0.2">
      <c r="A23" s="14"/>
      <c r="B23" s="14"/>
      <c r="C23" s="14"/>
      <c r="D23" s="14"/>
      <c r="E23" s="14"/>
      <c r="F23" s="14"/>
      <c r="G23" s="14"/>
      <c r="H23" s="14"/>
      <c r="I23" s="14"/>
    </row>
    <row r="24" spans="1:9" s="27" customFormat="1" ht="19.5" customHeight="1" x14ac:dyDescent="0.2">
      <c r="A24" s="14"/>
      <c r="B24" s="14" t="s">
        <v>82</v>
      </c>
      <c r="C24" s="37">
        <f>C22-C20+1</f>
        <v>91</v>
      </c>
      <c r="D24" s="14"/>
      <c r="E24" s="14"/>
      <c r="F24" s="14"/>
      <c r="G24" s="14"/>
      <c r="H24" s="14"/>
      <c r="I24" s="14"/>
    </row>
    <row r="25" spans="1:9" s="27" customFormat="1" ht="19.5" customHeight="1" thickBot="1" x14ac:dyDescent="0.25">
      <c r="A25" s="14"/>
      <c r="B25" s="14"/>
      <c r="C25" s="14"/>
      <c r="D25" s="14"/>
      <c r="E25" s="14"/>
      <c r="F25" s="14"/>
      <c r="G25" s="14"/>
      <c r="H25" s="14"/>
      <c r="I25" s="14"/>
    </row>
    <row r="26" spans="1:9" ht="19.5" customHeight="1" thickBot="1" x14ac:dyDescent="0.25">
      <c r="B26" s="14" t="s">
        <v>63</v>
      </c>
      <c r="C26" s="24">
        <f>C24/365*C18</f>
        <v>0</v>
      </c>
      <c r="E26" s="5" t="s">
        <v>5</v>
      </c>
    </row>
    <row r="27" spans="1:9" ht="19.5" customHeight="1" x14ac:dyDescent="0.25">
      <c r="B27" s="42" t="s">
        <v>17</v>
      </c>
    </row>
  </sheetData>
  <mergeCells count="2">
    <mergeCell ref="B2:E2"/>
    <mergeCell ref="B6:C6"/>
  </mergeCells>
  <hyperlinks>
    <hyperlink ref="B4" location="Menu!A1" display="Back to menu"/>
    <hyperlink ref="B27" location="Menu!A1" display="Back to menu"/>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2529" r:id="rId4" name="Drop Down 1">
              <controlPr defaultSize="0" autoLine="0" autoPict="0">
                <anchor moveWithCells="1">
                  <from>
                    <xdr:col>2</xdr:col>
                    <xdr:colOff>0</xdr:colOff>
                    <xdr:row>7</xdr:row>
                    <xdr:rowOff>9525</xdr:rowOff>
                  </from>
                  <to>
                    <xdr:col>2</xdr:col>
                    <xdr:colOff>1657350</xdr:colOff>
                    <xdr:row>8</xdr:row>
                    <xdr:rowOff>57150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14"/>
  <sheetViews>
    <sheetView workbookViewId="0">
      <selection activeCell="A14" sqref="A14"/>
    </sheetView>
  </sheetViews>
  <sheetFormatPr defaultRowHeight="15.75" x14ac:dyDescent="0.25"/>
  <cols>
    <col min="1" max="1" width="34.5" style="1" customWidth="1"/>
    <col min="2" max="2" width="19.33203125" style="1" customWidth="1"/>
    <col min="3" max="3" width="17.5" style="1" customWidth="1"/>
    <col min="4" max="4" width="20" style="1" customWidth="1"/>
    <col min="5" max="16384" width="9.33203125" style="1"/>
  </cols>
  <sheetData>
    <row r="1" spans="1:4" x14ac:dyDescent="0.25">
      <c r="A1" s="81" t="s">
        <v>7</v>
      </c>
      <c r="B1" s="81"/>
      <c r="C1" s="81"/>
      <c r="D1" s="81"/>
    </row>
    <row r="3" spans="1:4" x14ac:dyDescent="0.25">
      <c r="A3" s="82" t="s">
        <v>6</v>
      </c>
      <c r="B3" s="83"/>
      <c r="C3" s="83"/>
      <c r="D3" s="84"/>
    </row>
    <row r="4" spans="1:4" x14ac:dyDescent="0.25">
      <c r="A4" s="2"/>
      <c r="B4" s="3" t="s">
        <v>3</v>
      </c>
      <c r="C4" s="3" t="s">
        <v>1</v>
      </c>
      <c r="D4" s="3" t="s">
        <v>2</v>
      </c>
    </row>
    <row r="5" spans="1:4" x14ac:dyDescent="0.25">
      <c r="A5" s="2" t="s">
        <v>0</v>
      </c>
      <c r="B5" s="2" t="s">
        <v>8</v>
      </c>
      <c r="C5" s="2" t="s">
        <v>9</v>
      </c>
      <c r="D5" s="2" t="s">
        <v>10</v>
      </c>
    </row>
    <row r="6" spans="1:4" x14ac:dyDescent="0.25">
      <c r="A6" s="2" t="s">
        <v>40</v>
      </c>
      <c r="B6" s="2">
        <v>36.5</v>
      </c>
      <c r="C6" s="2">
        <v>37</v>
      </c>
      <c r="D6" s="2">
        <f>B6/5</f>
        <v>7.3</v>
      </c>
    </row>
    <row r="7" spans="1:4" x14ac:dyDescent="0.25">
      <c r="A7" s="2" t="s">
        <v>41</v>
      </c>
      <c r="B7" s="2">
        <v>36.5</v>
      </c>
      <c r="C7" s="2">
        <v>42</v>
      </c>
      <c r="D7" s="2">
        <f>B7/5</f>
        <v>7.3</v>
      </c>
    </row>
    <row r="8" spans="1:4" x14ac:dyDescent="0.25">
      <c r="A8" s="2" t="s">
        <v>35</v>
      </c>
      <c r="B8" s="2">
        <v>36.5</v>
      </c>
      <c r="C8" s="2">
        <v>43</v>
      </c>
      <c r="D8" s="2">
        <f t="shared" ref="D8" si="0">B8/5</f>
        <v>7.3</v>
      </c>
    </row>
    <row r="9" spans="1:4" x14ac:dyDescent="0.25">
      <c r="A9" s="2"/>
      <c r="B9" s="2"/>
      <c r="C9" s="2"/>
      <c r="D9" s="2"/>
    </row>
    <row r="10" spans="1:4" ht="16.5" thickBot="1" x14ac:dyDescent="0.3"/>
    <row r="11" spans="1:4" ht="16.5" thickBot="1" x14ac:dyDescent="0.3">
      <c r="A11" s="4">
        <v>1</v>
      </c>
    </row>
    <row r="12" spans="1:4" ht="16.5" thickBot="1" x14ac:dyDescent="0.3">
      <c r="A12" s="4">
        <v>1</v>
      </c>
    </row>
    <row r="13" spans="1:4" ht="16.5" thickBot="1" x14ac:dyDescent="0.3">
      <c r="A13" s="4">
        <v>2</v>
      </c>
    </row>
    <row r="14" spans="1:4" ht="16.5" thickBot="1" x14ac:dyDescent="0.3">
      <c r="A14" s="4">
        <v>1</v>
      </c>
    </row>
  </sheetData>
  <mergeCells count="2">
    <mergeCell ref="A1:D1"/>
    <mergeCell ref="A3:D3"/>
  </mergeCells>
  <phoneticPr fontId="0"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Menu</vt:lpstr>
      <vt:lpstr>Part-time, full year</vt:lpstr>
      <vt:lpstr>Part-time, part year</vt:lpstr>
      <vt:lpstr>Full-time, part year</vt:lpstr>
      <vt:lpstr>Part-time and part-year 1</vt:lpstr>
      <vt:lpstr>Part-time and part-year 2</vt:lpstr>
      <vt:lpstr>Hours change during the year</vt:lpstr>
      <vt:lpstr>Full-time staff leaver</vt:lpstr>
      <vt:lpstr>Part-time staff leaver 1</vt:lpstr>
      <vt:lpstr>Part-time staff leaver 2</vt:lpstr>
      <vt:lpstr>Data</vt:lpstr>
      <vt:lpstr>'Full-time, part year'!Print_Area</vt:lpstr>
      <vt:lpstr>'Hours change during the year'!Print_Area</vt:lpstr>
      <vt:lpstr>'Part-time, full year'!Print_Area</vt:lpstr>
    </vt:vector>
  </TitlesOfParts>
  <Company>University of Oxford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powerba</cp:lastModifiedBy>
  <cp:lastPrinted>2010-07-22T14:02:36Z</cp:lastPrinted>
  <dcterms:created xsi:type="dcterms:W3CDTF">1999-07-26T09:15:57Z</dcterms:created>
  <dcterms:modified xsi:type="dcterms:W3CDTF">2013-02-01T16:07:42Z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