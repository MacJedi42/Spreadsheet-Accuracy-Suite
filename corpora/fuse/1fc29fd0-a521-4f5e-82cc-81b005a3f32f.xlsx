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6" rupBuild="9303"/>
  <workbookPr/>
  <bookViews>
    <workbookView xWindow="0" yWindow="0" windowWidth="19140" windowHeight="8160"/>
  </bookViews>
  <sheets>
    <sheet name="OPTION 1" sheetId="2" r:id="rId1"/>
    <sheet name="Online Details" sheetId="4" state="hidden" r:id="rId2"/>
    <sheet name="Sheet1" sheetId="5" r:id="rId3"/>
  </sheets>
  <definedNames>
    <definedName name="A" localSheetId="1">#REF!</definedName>
    <definedName name="A">#REF!</definedName>
    <definedName name="B" localSheetId="1">#REF!</definedName>
    <definedName name="B">#REF!</definedName>
    <definedName name="d" localSheetId="1">#REF!</definedName>
    <definedName name="d">#REF!</definedName>
    <definedName name="jenna">#REF!</definedName>
    <definedName name="jkj">#REF!</definedName>
    <definedName name="kjhg" localSheetId="1">#REF!</definedName>
    <definedName name="kjhg">#REF!</definedName>
    <definedName name="print">#REF!</definedName>
    <definedName name="_xlnm.Print_Area" localSheetId="0">'OPTION 1'!$A$1:$F$82</definedName>
    <definedName name="Steph">#REF!</definedName>
    <definedName name="Totals" localSheetId="1">#REF!</definedName>
    <definedName name="Totals">#REF!</definedName>
    <definedName name="Totals2">#REF!</definedName>
  </definedNames>
  <calcPr calcId="145621"/>
</workbook>
</file>

<file path=xl/calcChain.xml><?xml version="1.0" encoding="utf-8"?>
<calcChain xmlns="http://schemas.openxmlformats.org/spreadsheetml/2006/main">
  <c r="AA16" i="4" l="1"/>
  <c r="F5" i="4"/>
  <c r="Y5" i="4"/>
  <c r="AN5" i="4"/>
  <c r="AO5" i="4"/>
  <c r="AP5" i="4"/>
  <c r="AQ5" i="4"/>
  <c r="F6" i="4"/>
  <c r="Y6" i="4"/>
  <c r="AN6" i="4"/>
  <c r="AO6" i="4"/>
  <c r="AP6" i="4"/>
  <c r="AQ6" i="4"/>
  <c r="F7" i="4"/>
  <c r="Y7" i="4"/>
  <c r="AN7" i="4"/>
  <c r="AO7" i="4"/>
  <c r="AP7" i="4"/>
  <c r="AQ7" i="4"/>
  <c r="F8" i="4"/>
  <c r="Y8" i="4"/>
  <c r="AN8" i="4"/>
  <c r="AO8" i="4"/>
  <c r="AP8" i="4"/>
  <c r="AQ8" i="4"/>
  <c r="F9" i="4"/>
  <c r="Y9" i="4"/>
  <c r="AN9" i="4"/>
  <c r="AO9" i="4"/>
  <c r="AP9" i="4"/>
  <c r="AQ9" i="4"/>
  <c r="AQ4" i="4"/>
  <c r="AP4" i="4"/>
  <c r="AO4" i="4"/>
  <c r="AN4" i="4"/>
  <c r="Y4" i="4"/>
  <c r="F4" i="4"/>
  <c r="AN2" i="4"/>
  <c r="AO2" i="4"/>
  <c r="AP2" i="4"/>
  <c r="AQ2" i="4"/>
  <c r="AA20" i="4"/>
  <c r="AA22" i="4"/>
  <c r="Y18" i="4"/>
  <c r="Y19" i="4"/>
  <c r="Z19" i="4"/>
  <c r="AY18" i="4"/>
  <c r="AX18" i="4"/>
  <c r="AW18" i="4"/>
  <c r="AV18" i="4"/>
  <c r="AU18" i="4"/>
  <c r="AT18" i="4"/>
  <c r="AS18" i="4"/>
  <c r="AR18" i="4"/>
  <c r="AM18" i="4"/>
  <c r="AL18" i="4"/>
  <c r="AK18" i="4"/>
  <c r="AJ18" i="4"/>
  <c r="AI18" i="4"/>
  <c r="AH18" i="4"/>
  <c r="AG18" i="4"/>
  <c r="AF18" i="4"/>
  <c r="AE18" i="4"/>
  <c r="AD18" i="4"/>
  <c r="AC18" i="4"/>
  <c r="AB18" i="4"/>
  <c r="F15" i="4"/>
  <c r="F14" i="4"/>
  <c r="F13" i="4"/>
  <c r="F12" i="4"/>
  <c r="F11" i="4"/>
  <c r="F10" i="4"/>
  <c r="Y3" i="4"/>
  <c r="F3" i="4"/>
  <c r="Y2" i="4"/>
  <c r="F2" i="4"/>
  <c r="AA2" i="4"/>
  <c r="AQ18" i="4"/>
  <c r="AP18" i="4"/>
  <c r="AO18" i="4"/>
  <c r="AN18" i="4"/>
</calcChain>
</file>

<file path=xl/comments1.xml><?xml version="1.0" encoding="utf-8"?>
<comments xmlns="http://schemas.openxmlformats.org/spreadsheetml/2006/main">
  <authors>
    <author>RP</author>
  </authors>
  <commentList>
    <comment ref="A1" authorId="0">
      <text>
        <r>
          <rPr>
            <sz val="8"/>
            <color indexed="8"/>
            <rFont val="Times New Roman"/>
            <family val="1"/>
          </rPr>
          <t xml:space="preserve">Identifies the campaign. All placements on a single Media Plan must be within the same campaign. Required. Numeric.
</t>
        </r>
      </text>
    </comment>
    <comment ref="B1" authorId="0">
      <text>
        <r>
          <rPr>
            <sz val="8"/>
            <color indexed="8"/>
            <rFont val="Times New Roman"/>
            <family val="1"/>
          </rPr>
          <t>The user-defined name of the campaign. Not required. Alphanumeric.</t>
        </r>
      </text>
    </comment>
    <comment ref="C1" authorId="0">
      <text>
        <r>
          <rPr>
            <sz val="8"/>
            <color indexed="8"/>
            <rFont val="Times New Roman"/>
            <family val="1"/>
          </rPr>
          <t xml:space="preserve">The ID of the site where the placement is located. If you're creating a placement, you must enter either a site ID or a Site Name. Not Required. Numeric.
</t>
        </r>
      </text>
    </comment>
    <comment ref="D1" authorId="0">
      <text>
        <r>
          <rPr>
            <sz val="8"/>
            <color indexed="8"/>
            <rFont val="Times New Roman"/>
            <family val="1"/>
          </rPr>
          <t xml:space="preserve">The name of the site where the placement is located. If you're creating a placement, you must enter either a site ID or a site name. If DFA is unable to identify the site based on the name you enter, you'll receive an email of the Media Plan with a list of the sites that most closely match what you entered. Not required. Alphanumeric.
</t>
        </r>
      </text>
    </comment>
    <comment ref="E1" authorId="0">
      <text>
        <r>
          <rPr>
            <sz val="8"/>
            <color indexed="8"/>
            <rFont val="Times New Roman"/>
            <family val="1"/>
          </rPr>
          <t xml:space="preserve">Identifies the placement.
</t>
        </r>
        <r>
          <rPr>
            <i/>
            <sz val="8"/>
            <color indexed="8"/>
            <rFont val="Times New Roman"/>
            <family val="1"/>
          </rPr>
          <t>Note: This field is required if Activate Flighting is True, because flighted placements can span multiple rows (each row represents one flight record). All flighted rows for a given placement must use the same ID. For example, if you're creating a new placement, you can give all of the flighted rows the id 1.</t>
        </r>
      </text>
    </comment>
    <comment ref="F1" authorId="0">
      <text>
        <r>
          <rPr>
            <sz val="8"/>
            <color indexed="8"/>
            <rFont val="Times New Roman"/>
            <family val="1"/>
          </rPr>
          <t xml:space="preserve">User-defined placement name. Required. Upto 255 characters Alphanumeric.
</t>
        </r>
      </text>
    </comment>
    <comment ref="G1" authorId="0">
      <text>
        <r>
          <rPr>
            <sz val="8"/>
            <color indexed="8"/>
            <rFont val="Times New Roman"/>
            <family val="1"/>
          </rPr>
          <t xml:space="preserve">Package; Roadblock; In-page; Interstitial; Widget ; In-Stream Video.
</t>
        </r>
        <r>
          <rPr>
            <i/>
            <sz val="8"/>
            <color indexed="8"/>
            <rFont val="Times New Roman"/>
            <family val="1"/>
          </rPr>
          <t>Required.</t>
        </r>
        <r>
          <rPr>
            <sz val="8"/>
            <color indexed="8"/>
            <rFont val="Times New Roman"/>
            <family val="1"/>
          </rPr>
          <t xml:space="preserve">
</t>
        </r>
      </text>
    </comment>
    <comment ref="H1" authorId="0">
      <text>
        <r>
          <rPr>
            <sz val="8"/>
            <color indexed="8"/>
            <rFont val="Times New Roman"/>
            <family val="1"/>
          </rPr>
          <t xml:space="preserve">Indicates whether the placement is the primary placement assigned to a Roadblock. Enter </t>
        </r>
        <r>
          <rPr>
            <i/>
            <sz val="8"/>
            <color indexed="8"/>
            <rFont val="Times New Roman"/>
            <family val="1"/>
          </rPr>
          <t>True</t>
        </r>
        <r>
          <rPr>
            <sz val="8"/>
            <color indexed="8"/>
            <rFont val="Times New Roman"/>
            <family val="1"/>
          </rPr>
          <t xml:space="preserve"> if primary or </t>
        </r>
        <r>
          <rPr>
            <i/>
            <sz val="8"/>
            <color indexed="8"/>
            <rFont val="Times New Roman"/>
            <family val="1"/>
          </rPr>
          <t>False</t>
        </r>
        <r>
          <rPr>
            <sz val="8"/>
            <color indexed="8"/>
            <rFont val="Times New Roman"/>
            <family val="1"/>
          </rPr>
          <t xml:space="preserve"> if not. Required if Roadblock; Not required if In-page, Interstitial, or Package.</t>
        </r>
      </text>
    </comment>
    <comment ref="I1" authorId="0">
      <text>
        <r>
          <rPr>
            <sz val="8"/>
            <color indexed="8"/>
            <rFont val="Times New Roman"/>
            <family val="1"/>
          </rPr>
          <t>Identifies the parent placement if it is assigned to a Roadblock or Package. Find this ID on the Media Plan page or by exporting an existing Media Plan and viewing the spreadsheet. Required when importing child placements. Find ID on Media Plan page or by exporting existing MP and viewing sheet. Numeric.</t>
        </r>
      </text>
    </comment>
    <comment ref="J1" authorId="0">
      <text>
        <r>
          <rPr>
            <sz val="8"/>
            <color indexed="8"/>
            <rFont val="Times New Roman"/>
            <family val="1"/>
          </rPr>
          <t xml:space="preserve">Name of the parent placement. Not required. Alphanumeric.
</t>
        </r>
      </text>
    </comment>
    <comment ref="K1" authorId="0">
      <text>
        <r>
          <rPr>
            <i/>
            <sz val="8"/>
            <color indexed="8"/>
            <rFont val="Times New Roman"/>
            <family val="1"/>
          </rPr>
          <t xml:space="preserve">Agency Paid </t>
        </r>
        <r>
          <rPr>
            <sz val="8"/>
            <color indexed="8"/>
            <rFont val="Times New Roman"/>
            <family val="1"/>
          </rPr>
          <t xml:space="preserve">or </t>
        </r>
        <r>
          <rPr>
            <i/>
            <sz val="8"/>
            <color indexed="8"/>
            <rFont val="Times New Roman"/>
            <family val="1"/>
          </rPr>
          <t>Publisher Paid</t>
        </r>
        <r>
          <rPr>
            <sz val="8"/>
            <color indexed="8"/>
            <rFont val="Times New Roman"/>
            <family val="1"/>
          </rPr>
          <t xml:space="preserve">. Not Required. If left blank, then it will default to Agency Paid.
</t>
        </r>
      </text>
    </comment>
    <comment ref="L1" authorId="0">
      <text>
        <r>
          <rPr>
            <sz val="8"/>
            <color indexed="8"/>
            <rFont val="Times New Roman"/>
            <family val="1"/>
          </rPr>
          <t xml:space="preserve">Placement dimensions (width x height). E.g., 728x90. Required. Numeric.
</t>
        </r>
      </text>
    </comment>
    <comment ref="M1" authorId="0">
      <text>
        <r>
          <rPr>
            <sz val="8"/>
            <color indexed="8"/>
            <rFont val="Times New Roman"/>
            <family val="1"/>
          </rPr>
          <t xml:space="preserve">Content Category assigned to the Placement. Not required. Up to 64 alphanumeric chars - no % - or _ allowed.
</t>
        </r>
      </text>
    </comment>
    <comment ref="N1" authorId="0">
      <text>
        <r>
          <rPr>
            <sz val="8"/>
            <color indexed="8"/>
            <rFont val="Times New Roman"/>
            <family val="1"/>
          </rPr>
          <t xml:space="preserve">The strategy assigned to the Placement. Not required. Up to 255 alphanumeric chars.
</t>
        </r>
      </text>
    </comment>
    <comment ref="O1" authorId="0">
      <text>
        <r>
          <rPr>
            <sz val="8"/>
            <color indexed="8"/>
            <rFont val="Times New Roman"/>
            <family val="1"/>
          </rPr>
          <t xml:space="preserve">Indicates if placement is archived. Enter </t>
        </r>
        <r>
          <rPr>
            <i/>
            <sz val="8"/>
            <color indexed="8"/>
            <rFont val="Times New Roman"/>
            <family val="1"/>
          </rPr>
          <t>True</t>
        </r>
        <r>
          <rPr>
            <sz val="8"/>
            <color indexed="8"/>
            <rFont val="Times New Roman"/>
            <family val="1"/>
          </rPr>
          <t xml:space="preserve"> if archived, </t>
        </r>
        <r>
          <rPr>
            <i/>
            <sz val="8"/>
            <color indexed="8"/>
            <rFont val="Times New Roman"/>
            <family val="1"/>
          </rPr>
          <t>False</t>
        </r>
        <r>
          <rPr>
            <sz val="8"/>
            <color indexed="8"/>
            <rFont val="Times New Roman"/>
            <family val="1"/>
          </rPr>
          <t xml:space="preserve"> if not. If left blank we default to False
</t>
        </r>
      </text>
    </comment>
    <comment ref="P1" authorId="0">
      <text>
        <r>
          <rPr>
            <sz val="8"/>
            <color indexed="8"/>
            <rFont val="Times New Roman"/>
            <family val="1"/>
          </rPr>
          <t xml:space="preserve">Text box for notes related to the Placement. Up to 255 alphanumeric characters. Not required.
</t>
        </r>
      </text>
    </comment>
    <comment ref="Q1" authorId="0">
      <text>
        <r>
          <rPr>
            <sz val="8"/>
            <color indexed="8"/>
            <rFont val="Times New Roman"/>
            <family val="1"/>
          </rPr>
          <t xml:space="preserve">Test period is used to test a site placement before the active period start date without incurring a charge. mm/dd/yyyy. Not required.
</t>
        </r>
      </text>
    </comment>
    <comment ref="T1" authorId="0">
      <text>
        <r>
          <rPr>
            <sz val="8"/>
            <color indexed="8"/>
            <rFont val="Times New Roman"/>
            <family val="1"/>
          </rPr>
          <t xml:space="preserve">Placement Start Date if the placement is not flighted. </t>
        </r>
        <r>
          <rPr>
            <i/>
            <sz val="8"/>
            <color indexed="8"/>
            <rFont val="Times New Roman"/>
            <family val="1"/>
          </rPr>
          <t>NOTE: For flighted placements, enter the Start Date of each flight record in a separate row. Each flight record must use the same ID in the Placement ID column.</t>
        </r>
        <r>
          <rPr>
            <sz val="8"/>
            <color indexed="8"/>
            <rFont val="Times New Roman"/>
            <family val="1"/>
          </rPr>
          <t xml:space="preserve"> mm/dd/yyyy. Required.
</t>
        </r>
      </text>
    </comment>
    <comment ref="U1" authorId="0">
      <text>
        <r>
          <rPr>
            <sz val="8"/>
            <color indexed="8"/>
            <rFont val="Times New Roman"/>
            <family val="1"/>
          </rPr>
          <t xml:space="preserve">Placement End Date if the placement is not flighted. </t>
        </r>
        <r>
          <rPr>
            <i/>
            <sz val="8"/>
            <color indexed="8"/>
            <rFont val="Times New Roman"/>
            <family val="1"/>
          </rPr>
          <t xml:space="preserve">NOTE: For flighted placements, enter the End Date of each flight record in a separate row. Each flight record must use the same ID in the Placement ID column. </t>
        </r>
        <r>
          <rPr>
            <sz val="8"/>
            <color indexed="8"/>
            <rFont val="Times New Roman"/>
            <family val="1"/>
          </rPr>
          <t xml:space="preserve">mm/dd/yyyy. Required.
</t>
        </r>
      </text>
    </comment>
    <comment ref="V1" authorId="0">
      <text>
        <r>
          <rPr>
            <i/>
            <sz val="8"/>
            <color indexed="8"/>
            <rFont val="Times New Roman"/>
            <family val="1"/>
          </rPr>
          <t>Monthly,</t>
        </r>
        <r>
          <rPr>
            <sz val="8"/>
            <color indexed="8"/>
            <rFont val="Times New Roman"/>
            <family val="1"/>
          </rPr>
          <t xml:space="preserve"> </t>
        </r>
        <r>
          <rPr>
            <i/>
            <sz val="8"/>
            <color indexed="8"/>
            <rFont val="Times New Roman"/>
            <family val="1"/>
          </rPr>
          <t>Cumulative,</t>
        </r>
        <r>
          <rPr>
            <sz val="8"/>
            <color indexed="8"/>
            <rFont val="Times New Roman"/>
            <family val="1"/>
          </rPr>
          <t xml:space="preserve"> or </t>
        </r>
        <r>
          <rPr>
            <i/>
            <sz val="8"/>
            <color indexed="8"/>
            <rFont val="Times New Roman"/>
            <family val="1"/>
          </rPr>
          <t xml:space="preserve">None. </t>
        </r>
        <r>
          <rPr>
            <sz val="8"/>
            <color indexed="8"/>
            <rFont val="Times New Roman"/>
            <family val="1"/>
          </rPr>
          <t xml:space="preserve">Not required.
</t>
        </r>
      </text>
    </comment>
    <comment ref="W1" authorId="0">
      <text>
        <r>
          <rPr>
            <sz val="8"/>
            <color indexed="8"/>
            <rFont val="Times New Roman"/>
            <family val="1"/>
          </rPr>
          <t xml:space="preserve">Indicates if flighting is activated for the placement. Enter </t>
        </r>
        <r>
          <rPr>
            <i/>
            <sz val="8"/>
            <color indexed="8"/>
            <rFont val="Times New Roman"/>
            <family val="1"/>
          </rPr>
          <t>True</t>
        </r>
        <r>
          <rPr>
            <sz val="8"/>
            <color indexed="8"/>
            <rFont val="Times New Roman"/>
            <family val="1"/>
          </rPr>
          <t xml:space="preserve"> if activated, </t>
        </r>
        <r>
          <rPr>
            <i/>
            <sz val="8"/>
            <color indexed="8"/>
            <rFont val="Times New Roman"/>
            <family val="1"/>
          </rPr>
          <t>False</t>
        </r>
        <r>
          <rPr>
            <sz val="8"/>
            <color indexed="8"/>
            <rFont val="Times New Roman"/>
            <family val="1"/>
          </rPr>
          <t xml:space="preserve"> if not. Required.
</t>
        </r>
      </text>
    </comment>
    <comment ref="X1" authorId="0">
      <text>
        <r>
          <rPr>
            <sz val="8"/>
            <color indexed="8"/>
            <rFont val="Times New Roman"/>
            <family val="1"/>
          </rPr>
          <t xml:space="preserve">The pricing model for the placement. Either: </t>
        </r>
        <r>
          <rPr>
            <i/>
            <sz val="8"/>
            <color indexed="8"/>
            <rFont val="Times New Roman"/>
            <family val="1"/>
          </rPr>
          <t>CPM;</t>
        </r>
        <r>
          <rPr>
            <sz val="8"/>
            <color indexed="8"/>
            <rFont val="Times New Roman"/>
            <family val="1"/>
          </rPr>
          <t xml:space="preserve"> </t>
        </r>
        <r>
          <rPr>
            <i/>
            <sz val="8"/>
            <color indexed="8"/>
            <rFont val="Times New Roman"/>
            <family val="1"/>
          </rPr>
          <t>CPC;</t>
        </r>
        <r>
          <rPr>
            <sz val="8"/>
            <color indexed="8"/>
            <rFont val="Times New Roman"/>
            <family val="1"/>
          </rPr>
          <t xml:space="preserve"> </t>
        </r>
        <r>
          <rPr>
            <i/>
            <sz val="8"/>
            <color indexed="8"/>
            <rFont val="Times New Roman"/>
            <family val="1"/>
          </rPr>
          <t>CPA;</t>
        </r>
        <r>
          <rPr>
            <sz val="8"/>
            <color indexed="8"/>
            <rFont val="Times New Roman"/>
            <family val="1"/>
          </rPr>
          <t xml:space="preserve"> </t>
        </r>
        <r>
          <rPr>
            <i/>
            <sz val="8"/>
            <color indexed="8"/>
            <rFont val="Times New Roman"/>
            <family val="1"/>
          </rPr>
          <t>Flat Rate - Impressions</t>
        </r>
        <r>
          <rPr>
            <sz val="8"/>
            <color indexed="8"/>
            <rFont val="Times New Roman"/>
            <family val="1"/>
          </rPr>
          <t xml:space="preserve">; </t>
        </r>
        <r>
          <rPr>
            <i/>
            <sz val="8"/>
            <color indexed="8"/>
            <rFont val="Times New Roman"/>
            <family val="1"/>
          </rPr>
          <t>Flat Rate - Clicks</t>
        </r>
        <r>
          <rPr>
            <sz val="8"/>
            <color indexed="8"/>
            <rFont val="Times New Roman"/>
            <family val="1"/>
          </rPr>
          <t xml:space="preserve">. Required.
</t>
        </r>
      </text>
    </comment>
    <comment ref="Y1" authorId="0">
      <text>
        <r>
          <rPr>
            <sz val="8"/>
            <color indexed="8"/>
            <rFont val="Times New Roman"/>
            <family val="1"/>
          </rPr>
          <t xml:space="preserve">Number of placement units if the placement is not flighted. </t>
        </r>
        <r>
          <rPr>
            <i/>
            <sz val="8"/>
            <color indexed="8"/>
            <rFont val="Times New Roman"/>
            <family val="1"/>
          </rPr>
          <t xml:space="preserve">NOTE: For flighted placements, enter the unit of each flight record in a separate row. Each flight record must use the same ID in the Placement ID column. </t>
        </r>
        <r>
          <rPr>
            <sz val="8"/>
            <color indexed="8"/>
            <rFont val="Times New Roman"/>
            <family val="1"/>
          </rPr>
          <t xml:space="preserve">Not Required. Numeric.
</t>
        </r>
      </text>
    </comment>
    <comment ref="Z1" authorId="0">
      <text>
        <r>
          <rPr>
            <sz val="8"/>
            <color indexed="8"/>
            <rFont val="Times New Roman"/>
            <family val="1"/>
          </rPr>
          <t xml:space="preserve">The cost per unit for the placement (or, for CPM placements, the cost per thousand units). For CPM, CPC, and CPA placements, enter a value for the Units and the Rate, and the Cost is automatically calculated. For flat-rate placements, if you enter the Units and Cost, the effective Rate is automatically calculated. 
</t>
        </r>
        <r>
          <rPr>
            <i/>
            <sz val="8"/>
            <color indexed="8"/>
            <rFont val="Times New Roman"/>
            <family val="1"/>
          </rPr>
          <t xml:space="preserve">
NOTE: For flighted placements, the rate is listed separately for each flight in a separate row. To enter flighting data for CPM, CPC, or CPA placements, enter the rate for each flight in a separate row. Each flight record must use the same ID in the Placement ID column.</t>
        </r>
        <r>
          <rPr>
            <sz val="8"/>
            <color indexed="8"/>
            <rFont val="Times New Roman"/>
            <family val="1"/>
          </rPr>
          <t xml:space="preserve"> Required. Numeric.
</t>
        </r>
      </text>
    </comment>
    <comment ref="AA1" authorId="0">
      <text>
        <r>
          <rPr>
            <sz val="8"/>
            <color indexed="8"/>
            <rFont val="Times New Roman"/>
            <family val="1"/>
          </rPr>
          <t xml:space="preserve">Placement cost. For flat-rate placements, enter a value for the Units and the Cost, and the effective Rate is automatically calculated. For CPM, CPC, and CPA placements, if you enter the Units and Rate, the Cost is automatically calculated. 
</t>
        </r>
        <r>
          <rPr>
            <i/>
            <sz val="8"/>
            <color indexed="8"/>
            <rFont val="Times New Roman"/>
            <family val="1"/>
          </rPr>
          <t xml:space="preserve">
NOTE: For flighted placements, the cost is listed separately for each flight in a separate row. To  enter flighting data for flat-rate placements, enter the cost of each flight record in a separate row. Each flight record must use the same ID in the Placement ID column. </t>
        </r>
        <r>
          <rPr>
            <sz val="8"/>
            <color indexed="8"/>
            <rFont val="Times New Roman"/>
            <family val="1"/>
          </rPr>
          <t xml:space="preserve">Required. Numeric.
</t>
        </r>
      </text>
    </comment>
    <comment ref="AZ1" authorId="0">
      <text>
        <r>
          <rPr>
            <sz val="8"/>
            <color indexed="8"/>
            <rFont val="Times New Roman"/>
            <family val="1"/>
          </rPr>
          <t xml:space="preserve">Shows any error messages after import/export.
</t>
        </r>
      </text>
    </comment>
  </commentList>
</comments>
</file>

<file path=xl/sharedStrings.xml><?xml version="1.0" encoding="utf-8"?>
<sst xmlns="http://schemas.openxmlformats.org/spreadsheetml/2006/main" count="197" uniqueCount="141">
  <si>
    <t>65,000 Impressions/Month</t>
  </si>
  <si>
    <t>Medium/Vehicle</t>
  </si>
  <si>
    <t>BringMeTheNews</t>
  </si>
  <si>
    <t>Travelinformation.com</t>
  </si>
  <si>
    <t>TravelGuidesFree.com</t>
  </si>
  <si>
    <t>MPR Content Boxes</t>
  </si>
  <si>
    <t>Search Engine Marketing</t>
  </si>
  <si>
    <t>JUL</t>
  </si>
  <si>
    <t>AUG</t>
  </si>
  <si>
    <t>SEP</t>
  </si>
  <si>
    <t>OCT</t>
  </si>
  <si>
    <t>Online</t>
  </si>
  <si>
    <t>Radio</t>
  </si>
  <si>
    <t>FALL</t>
  </si>
  <si>
    <t>1500 Leads/Month</t>
  </si>
  <si>
    <t>866 Leads/Month</t>
  </si>
  <si>
    <t>OUT OF STATE EMAILS</t>
  </si>
  <si>
    <t>LEAD GENERATION VEHICLES</t>
  </si>
  <si>
    <t>ONLINE BANNERS</t>
  </si>
  <si>
    <t>ThinkSEM</t>
  </si>
  <si>
    <t>Google / Yahoo / Bing</t>
  </si>
  <si>
    <t>3rd Party Ad Serving</t>
  </si>
  <si>
    <t>3,000 Clicks / Month</t>
  </si>
  <si>
    <t>250,000  Geo and Behaviorally Targeted Impressions/Email</t>
  </si>
  <si>
    <t>DoubleClick/Adswerve</t>
  </si>
  <si>
    <t>Future Flow Out of State e-mail</t>
  </si>
  <si>
    <t>Minnesota Broadcaster's Association</t>
  </si>
  <si>
    <t>Spot Television</t>
  </si>
  <si>
    <t>Minneapolis-St. Paul</t>
  </si>
  <si>
    <t>Madison</t>
  </si>
  <si>
    <t>Des Moines</t>
  </si>
  <si>
    <t>Sioux Falls</t>
  </si>
  <si>
    <t>Milwaukee</t>
  </si>
  <si>
    <t>Pandora</t>
  </si>
  <si>
    <t>InstinctMagazine.com</t>
  </si>
  <si>
    <t>*2MM impressions</t>
  </si>
  <si>
    <t>Facebook &amp; Twitter</t>
  </si>
  <si>
    <t>CPC Based Like/Lead Based Initiative</t>
  </si>
  <si>
    <t>Emails &amp; eNewsletters targeted to: MN, IA, IL, WI</t>
  </si>
  <si>
    <t>IN-STATE &amp; OUT-STATE EMAILS</t>
  </si>
  <si>
    <t>*Campaign ID</t>
  </si>
  <si>
    <t>Campaign Name</t>
  </si>
  <si>
    <t>Site ID</t>
    <phoneticPr fontId="3" type="noConversion"/>
  </si>
  <si>
    <t>Site Name</t>
  </si>
  <si>
    <t>Placement ID</t>
    <phoneticPr fontId="3" type="noConversion"/>
  </si>
  <si>
    <t>*Placement Name</t>
    <phoneticPr fontId="3" type="noConversion"/>
  </si>
  <si>
    <t>*Placement Type</t>
    <phoneticPr fontId="3" type="noConversion"/>
  </si>
  <si>
    <t>Is Primary Roadblock</t>
  </si>
  <si>
    <t>Placement Group ID</t>
  </si>
  <si>
    <t>Placement Group Name</t>
  </si>
  <si>
    <t>Payment Type</t>
  </si>
  <si>
    <t>*Size</t>
  </si>
  <si>
    <t>Content Category</t>
  </si>
  <si>
    <t>Strategy</t>
  </si>
  <si>
    <t>*Archived</t>
  </si>
  <si>
    <t>Placement Comments</t>
  </si>
  <si>
    <t>Testing Period Date</t>
  </si>
  <si>
    <t>Demo</t>
    <phoneticPr fontId="0" type="noConversion"/>
  </si>
  <si>
    <t>Geo</t>
    <phoneticPr fontId="0" type="noConversion"/>
  </si>
  <si>
    <t>*Start Date</t>
  </si>
  <si>
    <t>*End Date</t>
  </si>
  <si>
    <t>Cap Cost</t>
  </si>
  <si>
    <t>*Activate Flighting</t>
  </si>
  <si>
    <t>*Cost Structure</t>
  </si>
  <si>
    <t>Units</t>
  </si>
  <si>
    <t>Rate</t>
    <phoneticPr fontId="3" type="noConversion"/>
  </si>
  <si>
    <t>Cost</t>
    <phoneticPr fontId="3" type="noConversion"/>
  </si>
  <si>
    <t>JAN IMPS</t>
    <phoneticPr fontId="0" type="noConversion"/>
  </si>
  <si>
    <t>FEB IMPS</t>
    <phoneticPr fontId="0" type="noConversion"/>
  </si>
  <si>
    <t>MAR IMPS</t>
    <phoneticPr fontId="0" type="noConversion"/>
  </si>
  <si>
    <t>APR IMPS</t>
    <phoneticPr fontId="0" type="noConversion"/>
  </si>
  <si>
    <t>MAY IMPS</t>
    <phoneticPr fontId="0" type="noConversion"/>
  </si>
  <si>
    <t>JUN IMPS</t>
    <phoneticPr fontId="0" type="noConversion"/>
  </si>
  <si>
    <t>JUL IMPS</t>
    <phoneticPr fontId="0" type="noConversion"/>
  </si>
  <si>
    <t>AUG IMPS</t>
    <phoneticPr fontId="0" type="noConversion"/>
  </si>
  <si>
    <t>SEPT IMPS</t>
    <phoneticPr fontId="0" type="noConversion"/>
  </si>
  <si>
    <t>OCT IMPS</t>
    <phoneticPr fontId="0" type="noConversion"/>
  </si>
  <si>
    <t>NOV IMPS</t>
    <phoneticPr fontId="0" type="noConversion"/>
  </si>
  <si>
    <t>DEC IMPS</t>
    <phoneticPr fontId="0" type="noConversion"/>
  </si>
  <si>
    <t>JAN $</t>
    <phoneticPr fontId="0" type="noConversion"/>
  </si>
  <si>
    <t>FEB $</t>
    <phoneticPr fontId="0" type="noConversion"/>
  </si>
  <si>
    <t>MAR $</t>
    <phoneticPr fontId="0" type="noConversion"/>
  </si>
  <si>
    <t>APR $</t>
    <phoneticPr fontId="0" type="noConversion"/>
  </si>
  <si>
    <t>MAY $</t>
    <phoneticPr fontId="0" type="noConversion"/>
  </si>
  <si>
    <t>JUN $</t>
    <phoneticPr fontId="0" type="noConversion"/>
  </si>
  <si>
    <t>JUL $</t>
    <phoneticPr fontId="0" type="noConversion"/>
  </si>
  <si>
    <t>AUG $</t>
    <phoneticPr fontId="0" type="noConversion"/>
  </si>
  <si>
    <t>SEPT $</t>
    <phoneticPr fontId="0" type="noConversion"/>
  </si>
  <si>
    <t>OCT $</t>
    <phoneticPr fontId="0" type="noConversion"/>
  </si>
  <si>
    <t>NOV $</t>
    <phoneticPr fontId="0" type="noConversion"/>
  </si>
  <si>
    <t>DEC $</t>
    <phoneticPr fontId="0" type="noConversion"/>
  </si>
  <si>
    <t>Error</t>
  </si>
  <si>
    <t>AgWeb</t>
    <phoneticPr fontId="0" type="noConversion"/>
  </si>
  <si>
    <t>In-page</t>
    <phoneticPr fontId="0" type="noConversion"/>
  </si>
  <si>
    <t>300x250</t>
    <phoneticPr fontId="0" type="noConversion"/>
  </si>
  <si>
    <t>ROS</t>
    <phoneticPr fontId="0" type="noConversion"/>
  </si>
  <si>
    <t>_</t>
    <phoneticPr fontId="0" type="noConversion"/>
  </si>
  <si>
    <t>01</t>
    <phoneticPr fontId="0" type="noConversion"/>
  </si>
  <si>
    <t>CPM</t>
    <phoneticPr fontId="0" type="noConversion"/>
  </si>
  <si>
    <t/>
  </si>
  <si>
    <t>728x90</t>
    <phoneticPr fontId="0" type="noConversion"/>
  </si>
  <si>
    <t>Crop Comments</t>
    <phoneticPr fontId="0" type="noConversion"/>
  </si>
  <si>
    <t>02</t>
    <phoneticPr fontId="0" type="noConversion"/>
  </si>
  <si>
    <t>Flat Rate-Impressions</t>
    <phoneticPr fontId="0" type="noConversion"/>
  </si>
  <si>
    <t>Subtotal:</t>
    <phoneticPr fontId="0" type="noConversion"/>
  </si>
  <si>
    <t>Search</t>
    <phoneticPr fontId="0" type="noConversion"/>
  </si>
  <si>
    <t>Doubleclick Serving Fee (.027)</t>
    <phoneticPr fontId="0" type="noConversion"/>
  </si>
  <si>
    <t>To calculate Serving fee, replace "0" with links to cost of ROS banners</t>
  </si>
  <si>
    <t>Doubleclick Reserve</t>
    <phoneticPr fontId="0" type="noConversion"/>
  </si>
  <si>
    <t>Doubleclick MOTIF Fee (1.75)</t>
    <phoneticPr fontId="0" type="noConversion"/>
  </si>
  <si>
    <t>Total Spent:</t>
    <phoneticPr fontId="0" type="noConversion"/>
  </si>
  <si>
    <t>Total Budget:</t>
    <phoneticPr fontId="0" type="noConversion"/>
  </si>
  <si>
    <t>Reserve:</t>
    <phoneticPr fontId="0" type="noConversion"/>
  </si>
  <si>
    <t>Pioneer Press</t>
  </si>
  <si>
    <t>300x250 &amp; 728x90</t>
  </si>
  <si>
    <t>02</t>
  </si>
  <si>
    <t>03</t>
  </si>
  <si>
    <t>04</t>
  </si>
  <si>
    <t>05</t>
  </si>
  <si>
    <t>06</t>
  </si>
  <si>
    <t>Star Tribune</t>
  </si>
  <si>
    <t>Real Media</t>
  </si>
  <si>
    <t>Weather Bug</t>
  </si>
  <si>
    <t>Social</t>
  </si>
  <si>
    <t>Undertone</t>
  </si>
  <si>
    <t>9/23 - 10/13</t>
  </si>
  <si>
    <t>Real Media Group</t>
  </si>
  <si>
    <t>Pioneer  Press</t>
  </si>
  <si>
    <t>Tandem Banners: 300x250 &amp; 728x90</t>
  </si>
  <si>
    <t>Homepage Takeover, Banners, Full Page Mobile Banner, :30 audio spot on desktop and mobile</t>
  </si>
  <si>
    <t>2MM impressions</t>
  </si>
  <si>
    <t>9/16 - 10/27</t>
  </si>
  <si>
    <t>2.6MM impressions</t>
  </si>
  <si>
    <t>1.1MM impressions</t>
  </si>
  <si>
    <t>EMT FY14  Detailed Fall Flowchart</t>
  </si>
  <si>
    <t>1.6MM impressions</t>
  </si>
  <si>
    <t xml:space="preserve">3.3MM impressions tandem banners; </t>
  </si>
  <si>
    <t>Tandem Banners: 300x250 &amp; 728x90, Static 300x250</t>
  </si>
  <si>
    <t>SOCIAL</t>
  </si>
  <si>
    <t>950k impressions</t>
  </si>
  <si>
    <t>9/23 - 10/27</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</si>
</sst>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8" formatCode="&quot;$&quot;#,##0.00_);[Red]\(&quot;$&quot;#,##0.00\)"/>
    <numFmt numFmtId="42" formatCode="_(&quot;$&quot;* #,##0_);_(&quot;$&quot;* \(#,##0\);_(&quot;$&quot;* &quot;-&quot;_);_(@_)"/>
    <numFmt numFmtId="44" formatCode="_(&quot;$&quot;* #,##0.00_);_(&quot;$&quot;* \(#,##0.00\);_(&quot;$&quot;* &quot;-&quot;??_);_(@_)"/>
    <numFmt numFmtId="164" formatCode="_(&quot;$&quot;* #,##0_);_(&quot;$&quot;* \(#,##0\);_(&quot;$&quot;* &quot;-&quot;??_);_(@_)"/>
    <numFmt numFmtId="165" formatCode="&quot;$&quot;#,##0.00"/>
  </numFmts>
  <fonts count="20" x14ac:knownFonts="1">
    <font>
      <sz val="11"/>
      <color theme="1"/>
      <name val="Calibri"/>
      <family val="2"/>
      <scheme val="minor"/>
    </font>
    <font>
      <sz val="11"/>
      <color indexed="8"/>
      <name val="Calibri"/>
      <family val="2"/>
    </font>
    <font>
      <b/>
      <sz val="12"/>
      <color indexed="8"/>
      <name val="Calibri"/>
      <family val="2"/>
      <scheme val="minor"/>
    </font>
    <font>
      <sz val="12"/>
      <color indexed="8"/>
      <name val="Calibri"/>
      <family val="2"/>
      <scheme val="minor"/>
    </font>
    <font>
      <sz val="12"/>
      <name val="Calibri"/>
      <family val="2"/>
      <scheme val="minor"/>
    </font>
    <font>
      <b/>
      <sz val="12"/>
      <name val="Calibri"/>
      <family val="2"/>
      <scheme val="minor"/>
    </font>
    <font>
      <i/>
      <sz val="12"/>
      <color indexed="8"/>
      <name val="Calibri"/>
      <family val="2"/>
      <scheme val="minor"/>
    </font>
    <font>
      <i/>
      <sz val="12"/>
      <name val="Calibri"/>
      <family val="2"/>
      <scheme val="minor"/>
    </font>
    <font>
      <b/>
      <sz val="12"/>
      <color indexed="10"/>
      <name val="Calibri"/>
      <family val="2"/>
      <scheme val="minor"/>
    </font>
    <font>
      <sz val="12"/>
      <color theme="1"/>
      <name val="Calibri"/>
      <family val="2"/>
      <scheme val="minor"/>
    </font>
    <font>
      <b/>
      <i/>
      <sz val="12"/>
      <color indexed="8"/>
      <name val="Calibri"/>
      <family val="2"/>
      <scheme val="minor"/>
    </font>
    <font>
      <b/>
      <sz val="20"/>
      <color indexed="8"/>
      <name val="Calibri"/>
      <family val="2"/>
      <scheme val="minor"/>
    </font>
    <font>
      <sz val="10"/>
      <name val="Arial"/>
      <family val="2"/>
    </font>
    <font>
      <b/>
      <sz val="10"/>
      <name val="Arial"/>
      <family val="2"/>
    </font>
    <font>
      <sz val="8"/>
      <name val="Arial"/>
      <family val="2"/>
    </font>
    <font>
      <i/>
      <sz val="10"/>
      <name val="Arial"/>
      <family val="2"/>
    </font>
    <font>
      <b/>
      <sz val="8"/>
      <name val="Arial"/>
      <family val="2"/>
    </font>
    <font>
      <sz val="8"/>
      <color indexed="8"/>
      <name val="Times New Roman"/>
      <family val="1"/>
    </font>
    <font>
      <i/>
      <sz val="8"/>
      <color indexed="8"/>
      <name val="Times New Roman"/>
      <family val="1"/>
    </font>
    <font>
      <sz val="10"/>
      <color rgb="FFFF0000"/>
      <name val="Arial"/>
      <family val="2"/>
    </font>
  </fonts>
  <fills count="13">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theme="0" tint="-4.9989318521683403E-2"/>
        <bgColor indexed="64"/>
      </patternFill>
    </fill>
    <fill>
      <patternFill patternType="solid">
        <fgColor theme="0"/>
        <bgColor indexed="64"/>
      </patternFill>
    </fill>
    <fill>
      <patternFill patternType="solid">
        <fgColor theme="9"/>
        <bgColor indexed="64"/>
      </patternFill>
    </fill>
    <fill>
      <patternFill patternType="solid">
        <fgColor indexed="10"/>
        <bgColor indexed="31"/>
      </patternFill>
    </fill>
    <fill>
      <patternFill patternType="solid">
        <fgColor indexed="44"/>
        <bgColor indexed="31"/>
      </patternFill>
    </fill>
    <fill>
      <patternFill patternType="solid">
        <fgColor rgb="FFFFFF00"/>
        <bgColor indexed="64"/>
      </patternFill>
    </fill>
    <fill>
      <patternFill patternType="solid">
        <fgColor indexed="43"/>
        <bgColor indexed="64"/>
      </patternFill>
    </fill>
    <fill>
      <patternFill patternType="solid">
        <fgColor indexed="13"/>
        <bgColor indexed="64"/>
      </patternFill>
    </fill>
    <fill>
      <patternFill patternType="solid">
        <fgColor indexed="10"/>
        <bgColor indexed="64"/>
      </patternFill>
    </fill>
  </fills>
  <borders count="31">
    <border>
      <left/>
      <right/>
      <top/>
      <bottom/>
      <diagonal/>
    </border>
    <border>
      <left style="medium">
        <color indexed="64"/>
      </left>
      <right/>
      <top/>
      <bottom/>
      <diagonal/>
    </border>
    <border>
      <left style="thin">
        <color indexed="64"/>
      </left>
      <right style="thin">
        <color indexed="64"/>
      </right>
      <top style="thin">
        <color indexed="64"/>
      </top>
      <bottom/>
      <diagonal/>
    </border>
    <border>
      <left style="medium">
        <color indexed="64"/>
      </left>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medium">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medium">
        <color indexed="64"/>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medium">
        <color indexed="64"/>
      </bottom>
      <diagonal/>
    </border>
  </borders>
  <cellStyleXfs count="4">
    <xf numFmtId="0" fontId="0" fillId="0" borderId="0"/>
    <xf numFmtId="44" fontId="1" fillId="0" borderId="0" applyFont="0" applyFill="0" applyBorder="0" applyAlignment="0" applyProtection="0"/>
    <xf numFmtId="9" fontId="1" fillId="0" borderId="0" applyFont="0" applyFill="0" applyBorder="0" applyAlignment="0" applyProtection="0"/>
    <xf numFmtId="0" fontId="12" fillId="0" borderId="0"/>
  </cellStyleXfs>
  <cellXfs count="150">
    <xf numFmtId="0" fontId="0" fillId="0" borderId="0" xfId="0"/>
    <xf numFmtId="0" fontId="2" fillId="2" borderId="1" xfId="0" applyFont="1" applyFill="1" applyBorder="1" applyAlignment="1"/>
    <xf numFmtId="164" fontId="3" fillId="0" borderId="13" xfId="1" applyNumberFormat="1" applyFont="1" applyBorder="1"/>
    <xf numFmtId="0" fontId="2" fillId="0" borderId="1" xfId="0" applyFont="1" applyBorder="1"/>
    <xf numFmtId="0" fontId="3" fillId="0" borderId="0" xfId="0" applyFont="1"/>
    <xf numFmtId="0" fontId="3" fillId="0" borderId="1" xfId="0" applyFont="1" applyBorder="1"/>
    <xf numFmtId="164" fontId="3" fillId="2" borderId="1" xfId="1" applyNumberFormat="1" applyFont="1" applyFill="1" applyBorder="1"/>
    <xf numFmtId="164" fontId="3" fillId="2" borderId="0" xfId="1" applyNumberFormat="1" applyFont="1" applyFill="1" applyBorder="1"/>
    <xf numFmtId="164" fontId="3" fillId="2" borderId="6" xfId="1" applyNumberFormat="1" applyFont="1" applyFill="1" applyBorder="1"/>
    <xf numFmtId="164" fontId="3" fillId="2" borderId="7" xfId="1" applyNumberFormat="1" applyFont="1" applyFill="1" applyBorder="1"/>
    <xf numFmtId="3" fontId="2" fillId="3" borderId="10" xfId="1" applyNumberFormat="1" applyFont="1" applyFill="1" applyBorder="1" applyAlignment="1">
      <alignment horizontal="left"/>
    </xf>
    <xf numFmtId="3" fontId="2" fillId="3" borderId="8" xfId="1" applyNumberFormat="1" applyFont="1" applyFill="1" applyBorder="1" applyAlignment="1">
      <alignment horizontal="left"/>
    </xf>
    <xf numFmtId="3" fontId="2" fillId="3" borderId="14" xfId="1" applyNumberFormat="1" applyFont="1" applyFill="1" applyBorder="1" applyAlignment="1">
      <alignment horizontal="left"/>
    </xf>
    <xf numFmtId="164" fontId="2" fillId="2" borderId="3" xfId="1" applyNumberFormat="1" applyFont="1" applyFill="1" applyBorder="1" applyAlignment="1">
      <alignment horizontal="center"/>
    </xf>
    <xf numFmtId="164" fontId="2" fillId="2" borderId="9" xfId="1" applyNumberFormat="1" applyFont="1" applyFill="1" applyBorder="1" applyAlignment="1">
      <alignment horizontal="center"/>
    </xf>
    <xf numFmtId="0" fontId="3" fillId="2" borderId="0" xfId="0" applyFont="1" applyFill="1"/>
    <xf numFmtId="0" fontId="4" fillId="0" borderId="1" xfId="0" applyFont="1" applyBorder="1" applyAlignment="1">
      <alignment horizontal="left"/>
    </xf>
    <xf numFmtId="164" fontId="4" fillId="2" borderId="1" xfId="1" applyNumberFormat="1" applyFont="1" applyFill="1" applyBorder="1"/>
    <xf numFmtId="164" fontId="4" fillId="2" borderId="0" xfId="1" applyNumberFormat="1" applyFont="1" applyFill="1" applyBorder="1"/>
    <xf numFmtId="0" fontId="4" fillId="0" borderId="0" xfId="0" applyFont="1"/>
    <xf numFmtId="0" fontId="5" fillId="0" borderId="1" xfId="0" applyFont="1" applyBorder="1" applyAlignment="1">
      <alignment horizontal="left"/>
    </xf>
    <xf numFmtId="164" fontId="4" fillId="2" borderId="6" xfId="1" applyNumberFormat="1" applyFont="1" applyFill="1" applyBorder="1"/>
    <xf numFmtId="164" fontId="4" fillId="2" borderId="7" xfId="1" applyNumberFormat="1" applyFont="1" applyFill="1" applyBorder="1"/>
    <xf numFmtId="164" fontId="3" fillId="0" borderId="1" xfId="1" applyNumberFormat="1" applyFont="1" applyFill="1" applyBorder="1"/>
    <xf numFmtId="164" fontId="3" fillId="0" borderId="0" xfId="1" applyNumberFormat="1" applyFont="1" applyFill="1" applyBorder="1"/>
    <xf numFmtId="0" fontId="2" fillId="2" borderId="3" xfId="0" applyFont="1" applyFill="1" applyBorder="1" applyAlignment="1">
      <alignment horizontal="center"/>
    </xf>
    <xf numFmtId="0" fontId="2" fillId="2" borderId="9" xfId="0" applyFont="1" applyFill="1" applyBorder="1" applyAlignment="1">
      <alignment horizontal="center"/>
    </xf>
    <xf numFmtId="0" fontId="2" fillId="2" borderId="0" xfId="0" applyFont="1" applyFill="1"/>
    <xf numFmtId="0" fontId="2" fillId="2" borderId="1" xfId="0" applyFont="1" applyFill="1" applyBorder="1" applyAlignment="1">
      <alignment horizontal="center"/>
    </xf>
    <xf numFmtId="0" fontId="2" fillId="2" borderId="0" xfId="0" applyFont="1" applyFill="1" applyBorder="1" applyAlignment="1">
      <alignment horizontal="center"/>
    </xf>
    <xf numFmtId="0" fontId="2" fillId="0" borderId="13" xfId="0" applyFont="1" applyBorder="1"/>
    <xf numFmtId="164" fontId="3" fillId="0" borderId="13" xfId="1" applyNumberFormat="1" applyFont="1" applyFill="1" applyBorder="1"/>
    <xf numFmtId="0" fontId="6" fillId="0" borderId="1" xfId="0" applyFont="1" applyBorder="1"/>
    <xf numFmtId="0" fontId="3" fillId="0" borderId="0" xfId="0" applyFont="1" applyBorder="1"/>
    <xf numFmtId="0" fontId="7" fillId="0" borderId="1" xfId="0" applyFont="1" applyBorder="1"/>
    <xf numFmtId="0" fontId="5" fillId="0" borderId="1" xfId="0" applyFont="1" applyBorder="1"/>
    <xf numFmtId="164" fontId="3" fillId="0" borderId="0" xfId="1" applyNumberFormat="1" applyFont="1" applyFill="1" applyBorder="1" applyAlignment="1">
      <alignment horizontal="center"/>
    </xf>
    <xf numFmtId="0" fontId="4" fillId="0" borderId="1" xfId="0" applyFont="1" applyBorder="1"/>
    <xf numFmtId="164" fontId="3" fillId="0" borderId="6" xfId="1" applyNumberFormat="1" applyFont="1" applyFill="1" applyBorder="1"/>
    <xf numFmtId="164" fontId="3" fillId="0" borderId="7" xfId="1" applyNumberFormat="1" applyFont="1" applyFill="1" applyBorder="1"/>
    <xf numFmtId="0" fontId="2" fillId="2" borderId="1" xfId="0" applyFont="1" applyFill="1" applyBorder="1"/>
    <xf numFmtId="0" fontId="2" fillId="0" borderId="21" xfId="0" applyFont="1" applyFill="1" applyBorder="1"/>
    <xf numFmtId="9" fontId="2" fillId="0" borderId="0" xfId="2" applyFont="1"/>
    <xf numFmtId="0" fontId="2" fillId="0" borderId="0" xfId="0" applyFont="1"/>
    <xf numFmtId="0" fontId="2" fillId="0" borderId="0" xfId="0" quotePrefix="1" applyFont="1" applyFill="1" applyBorder="1"/>
    <xf numFmtId="164" fontId="2" fillId="0" borderId="0" xfId="0" applyNumberFormat="1" applyFont="1"/>
    <xf numFmtId="0" fontId="2" fillId="0" borderId="0" xfId="0" applyFont="1" applyFill="1" applyBorder="1"/>
    <xf numFmtId="0" fontId="9" fillId="0" borderId="0" xfId="0" applyFont="1"/>
    <xf numFmtId="0" fontId="9" fillId="0" borderId="16" xfId="0" applyFont="1" applyBorder="1"/>
    <xf numFmtId="0" fontId="2" fillId="0" borderId="3" xfId="0" applyFont="1" applyBorder="1"/>
    <xf numFmtId="0" fontId="2" fillId="2" borderId="15" xfId="0" applyFont="1" applyFill="1" applyBorder="1" applyAlignment="1">
      <alignment horizontal="center"/>
    </xf>
    <xf numFmtId="0" fontId="2" fillId="2" borderId="2" xfId="0" applyFont="1" applyFill="1" applyBorder="1" applyAlignment="1">
      <alignment horizontal="center"/>
    </xf>
    <xf numFmtId="3" fontId="2" fillId="3" borderId="10" xfId="1" applyNumberFormat="1" applyFont="1" applyFill="1" applyBorder="1" applyAlignment="1"/>
    <xf numFmtId="3" fontId="2" fillId="3" borderId="8" xfId="1" applyNumberFormat="1" applyFont="1" applyFill="1" applyBorder="1" applyAlignment="1"/>
    <xf numFmtId="3" fontId="2" fillId="3" borderId="14" xfId="1" applyNumberFormat="1" applyFont="1" applyFill="1" applyBorder="1" applyAlignment="1"/>
    <xf numFmtId="0" fontId="2" fillId="0" borderId="0" xfId="0" applyFont="1" applyFill="1" applyBorder="1" applyAlignment="1">
      <alignment horizontal="center"/>
    </xf>
    <xf numFmtId="0" fontId="9" fillId="2" borderId="0" xfId="0" applyFont="1" applyFill="1"/>
    <xf numFmtId="0" fontId="10" fillId="4" borderId="1" xfId="0" applyFont="1" applyFill="1" applyBorder="1" applyAlignment="1"/>
    <xf numFmtId="164" fontId="3" fillId="5" borderId="1" xfId="1" applyNumberFormat="1" applyFont="1" applyFill="1" applyBorder="1" applyAlignment="1">
      <alignment horizontal="center" wrapText="1"/>
    </xf>
    <xf numFmtId="164" fontId="3" fillId="6" borderId="4" xfId="1" applyNumberFormat="1" applyFont="1" applyFill="1" applyBorder="1"/>
    <xf numFmtId="164" fontId="3" fillId="6" borderId="5" xfId="1" applyNumberFormat="1" applyFont="1" applyFill="1" applyBorder="1"/>
    <xf numFmtId="164" fontId="3" fillId="6" borderId="5" xfId="1" applyNumberFormat="1" applyFont="1" applyFill="1" applyBorder="1" applyAlignment="1">
      <alignment vertical="center"/>
    </xf>
    <xf numFmtId="164" fontId="3" fillId="6" borderId="5" xfId="1" applyNumberFormat="1" applyFont="1" applyFill="1" applyBorder="1" applyAlignment="1"/>
    <xf numFmtId="0" fontId="13" fillId="7" borderId="23" xfId="3" applyFont="1" applyFill="1" applyBorder="1" applyAlignment="1"/>
    <xf numFmtId="0" fontId="13" fillId="8" borderId="23" xfId="3" applyFont="1" applyFill="1" applyBorder="1" applyAlignment="1"/>
    <xf numFmtId="0" fontId="12" fillId="0" borderId="0" xfId="3" applyFont="1"/>
    <xf numFmtId="0" fontId="12" fillId="0" borderId="0" xfId="3" applyFont="1" applyAlignment="1"/>
    <xf numFmtId="1" fontId="12" fillId="0" borderId="0" xfId="3" quotePrefix="1" applyNumberFormat="1" applyFont="1" applyAlignment="1">
      <alignment horizontal="left"/>
    </xf>
    <xf numFmtId="0" fontId="12" fillId="9" borderId="0" xfId="3" applyFont="1" applyFill="1"/>
    <xf numFmtId="14" fontId="12" fillId="0" borderId="0" xfId="3" applyNumberFormat="1" applyFont="1"/>
    <xf numFmtId="3" fontId="12" fillId="0" borderId="0" xfId="3" applyNumberFormat="1" applyFont="1"/>
    <xf numFmtId="165" fontId="12" fillId="0" borderId="0" xfId="3" applyNumberFormat="1" applyFont="1"/>
    <xf numFmtId="3" fontId="12" fillId="9" borderId="0" xfId="3" applyNumberFormat="1" applyFont="1" applyFill="1"/>
    <xf numFmtId="165" fontId="12" fillId="9" borderId="0" xfId="3" applyNumberFormat="1" applyFont="1" applyFill="1"/>
    <xf numFmtId="0" fontId="14" fillId="0" borderId="0" xfId="3" applyFont="1"/>
    <xf numFmtId="1" fontId="12" fillId="0" borderId="0" xfId="3" applyNumberFormat="1" applyFont="1" applyAlignment="1">
      <alignment horizontal="left"/>
    </xf>
    <xf numFmtId="0" fontId="12" fillId="0" borderId="0" xfId="3" applyFont="1" applyFill="1" applyAlignment="1"/>
    <xf numFmtId="0" fontId="12" fillId="0" borderId="0" xfId="3" applyFont="1" applyFill="1"/>
    <xf numFmtId="0" fontId="12" fillId="10" borderId="0" xfId="3" applyFont="1" applyFill="1" applyAlignment="1"/>
    <xf numFmtId="14" fontId="12" fillId="10" borderId="0" xfId="3" applyNumberFormat="1" applyFont="1" applyFill="1" applyAlignment="1"/>
    <xf numFmtId="0" fontId="13" fillId="10" borderId="0" xfId="3" applyFont="1" applyFill="1" applyAlignment="1">
      <alignment horizontal="right"/>
    </xf>
    <xf numFmtId="8" fontId="12" fillId="10" borderId="0" xfId="3" applyNumberFormat="1" applyFont="1" applyFill="1" applyAlignment="1"/>
    <xf numFmtId="0" fontId="12" fillId="0" borderId="0" xfId="3" applyFont="1" applyFill="1" applyBorder="1" applyAlignment="1">
      <alignment horizontal="left"/>
    </xf>
    <xf numFmtId="0" fontId="14" fillId="0" borderId="0" xfId="3" applyFont="1" applyFill="1" applyBorder="1" applyAlignment="1">
      <alignment horizontal="left"/>
    </xf>
    <xf numFmtId="8" fontId="12" fillId="11" borderId="0" xfId="3" applyNumberFormat="1" applyFont="1" applyFill="1" applyAlignment="1"/>
    <xf numFmtId="0" fontId="15" fillId="0" borderId="0" xfId="3" applyFont="1" applyFill="1" applyBorder="1" applyAlignment="1">
      <alignment horizontal="right"/>
    </xf>
    <xf numFmtId="0" fontId="15" fillId="0" borderId="11" xfId="3" applyFont="1" applyFill="1" applyBorder="1" applyAlignment="1">
      <alignment horizontal="right"/>
    </xf>
    <xf numFmtId="0" fontId="14" fillId="0" borderId="11" xfId="3" applyFont="1" applyFill="1" applyBorder="1" applyAlignment="1">
      <alignment horizontal="left"/>
    </xf>
    <xf numFmtId="0" fontId="14" fillId="0" borderId="11" xfId="3" applyFont="1" applyFill="1" applyBorder="1" applyAlignment="1">
      <alignment horizontal="right"/>
    </xf>
    <xf numFmtId="8" fontId="12" fillId="0" borderId="11" xfId="3" applyNumberFormat="1" applyFont="1" applyBorder="1" applyAlignment="1"/>
    <xf numFmtId="0" fontId="16" fillId="12" borderId="11" xfId="3" applyFont="1" applyFill="1" applyBorder="1" applyAlignment="1">
      <alignment horizontal="left"/>
    </xf>
    <xf numFmtId="8" fontId="12" fillId="11" borderId="2" xfId="3" applyNumberFormat="1" applyFont="1" applyFill="1" applyBorder="1" applyAlignment="1"/>
    <xf numFmtId="0" fontId="14" fillId="0" borderId="24" xfId="3" applyFont="1" applyFill="1" applyBorder="1" applyAlignment="1">
      <alignment horizontal="left"/>
    </xf>
    <xf numFmtId="0" fontId="14" fillId="10" borderId="0" xfId="3" applyFont="1" applyFill="1"/>
    <xf numFmtId="0" fontId="14" fillId="9" borderId="0" xfId="3" applyFont="1" applyFill="1"/>
    <xf numFmtId="0" fontId="14" fillId="0" borderId="0" xfId="3" applyFont="1" applyFill="1"/>
    <xf numFmtId="0" fontId="13" fillId="0" borderId="23" xfId="3" applyFont="1" applyFill="1" applyBorder="1" applyAlignment="1">
      <alignment horizontal="center" wrapText="1"/>
    </xf>
    <xf numFmtId="3" fontId="12" fillId="0" borderId="0" xfId="3" applyNumberFormat="1" applyFont="1" applyFill="1"/>
    <xf numFmtId="165" fontId="12" fillId="0" borderId="0" xfId="3" applyNumberFormat="1" applyFont="1" applyFill="1"/>
    <xf numFmtId="8" fontId="12" fillId="0" borderId="0" xfId="3" applyNumberFormat="1" applyFont="1" applyFill="1" applyAlignment="1"/>
    <xf numFmtId="38" fontId="13" fillId="0" borderId="0" xfId="3" applyNumberFormat="1" applyFont="1" applyFill="1" applyBorder="1" applyAlignment="1"/>
    <xf numFmtId="8" fontId="13" fillId="0" borderId="0" xfId="3" applyNumberFormat="1" applyFont="1" applyFill="1" applyBorder="1" applyAlignment="1"/>
    <xf numFmtId="0" fontId="12" fillId="9" borderId="0" xfId="3" applyFont="1" applyFill="1" applyAlignment="1"/>
    <xf numFmtId="1" fontId="12" fillId="9" borderId="0" xfId="3" quotePrefix="1" applyNumberFormat="1" applyFont="1" applyFill="1" applyAlignment="1">
      <alignment horizontal="left"/>
    </xf>
    <xf numFmtId="14" fontId="12" fillId="9" borderId="0" xfId="3" applyNumberFormat="1" applyFont="1" applyFill="1"/>
    <xf numFmtId="0" fontId="19" fillId="0" borderId="0" xfId="3" applyFont="1"/>
    <xf numFmtId="0" fontId="6" fillId="0" borderId="1" xfId="0" applyFont="1" applyFill="1" applyBorder="1"/>
    <xf numFmtId="0" fontId="7" fillId="0" borderId="1" xfId="0" applyFont="1" applyFill="1" applyBorder="1"/>
    <xf numFmtId="0" fontId="5" fillId="0" borderId="1" xfId="0" applyFont="1" applyFill="1" applyBorder="1"/>
    <xf numFmtId="164" fontId="3" fillId="0" borderId="21" xfId="1" applyNumberFormat="1" applyFont="1" applyBorder="1" applyAlignment="1"/>
    <xf numFmtId="164" fontId="3" fillId="0" borderId="12" xfId="1" applyNumberFormat="1" applyFont="1" applyBorder="1" applyAlignment="1"/>
    <xf numFmtId="164" fontId="3" fillId="5" borderId="0" xfId="1" applyNumberFormat="1" applyFont="1" applyFill="1" applyBorder="1" applyAlignment="1">
      <alignment vertical="center"/>
    </xf>
    <xf numFmtId="0" fontId="2" fillId="6" borderId="17" xfId="0" applyFont="1" applyFill="1" applyBorder="1" applyAlignment="1">
      <alignment horizontal="center"/>
    </xf>
    <xf numFmtId="0" fontId="2" fillId="2" borderId="26" xfId="0" applyFont="1" applyFill="1" applyBorder="1" applyAlignment="1">
      <alignment horizontal="center"/>
    </xf>
    <xf numFmtId="42" fontId="2" fillId="6" borderId="5" xfId="0" applyNumberFormat="1" applyFont="1" applyFill="1" applyBorder="1" applyAlignment="1">
      <alignment horizontal="center"/>
    </xf>
    <xf numFmtId="0" fontId="2" fillId="0" borderId="27" xfId="0" applyFont="1" applyBorder="1" applyAlignment="1">
      <alignment horizontal="center"/>
    </xf>
    <xf numFmtId="0" fontId="2" fillId="2" borderId="27" xfId="0" applyFont="1" applyFill="1" applyBorder="1" applyAlignment="1"/>
    <xf numFmtId="0" fontId="2" fillId="2" borderId="13" xfId="0" applyFont="1" applyFill="1" applyBorder="1" applyAlignment="1"/>
    <xf numFmtId="164" fontId="3" fillId="0" borderId="28" xfId="1" applyNumberFormat="1" applyFont="1" applyBorder="1"/>
    <xf numFmtId="164" fontId="4" fillId="0" borderId="25" xfId="1" applyNumberFormat="1" applyFont="1" applyBorder="1"/>
    <xf numFmtId="164" fontId="4" fillId="0" borderId="29" xfId="1" applyNumberFormat="1" applyFont="1" applyBorder="1"/>
    <xf numFmtId="0" fontId="2" fillId="0" borderId="27" xfId="0" applyFont="1" applyFill="1" applyBorder="1" applyAlignment="1"/>
    <xf numFmtId="0" fontId="2" fillId="0" borderId="13" xfId="0" applyFont="1" applyFill="1" applyBorder="1" applyAlignment="1"/>
    <xf numFmtId="164" fontId="3" fillId="0" borderId="30" xfId="1" applyNumberFormat="1" applyFont="1" applyFill="1" applyBorder="1"/>
    <xf numFmtId="164" fontId="3" fillId="0" borderId="20" xfId="1" applyNumberFormat="1" applyFont="1" applyFill="1" applyBorder="1"/>
    <xf numFmtId="164" fontId="3" fillId="0" borderId="30" xfId="1" applyNumberFormat="1" applyFont="1" applyBorder="1"/>
    <xf numFmtId="164" fontId="3" fillId="5" borderId="13" xfId="1" applyNumberFormat="1" applyFont="1" applyFill="1" applyBorder="1" applyAlignment="1">
      <alignment vertical="center"/>
    </xf>
    <xf numFmtId="164" fontId="3" fillId="6" borderId="4" xfId="1" applyNumberFormat="1" applyFont="1" applyFill="1" applyBorder="1" applyAlignment="1">
      <alignment vertical="center"/>
    </xf>
    <xf numFmtId="164" fontId="3" fillId="6" borderId="4" xfId="1" applyNumberFormat="1" applyFont="1" applyFill="1" applyBorder="1" applyAlignment="1"/>
    <xf numFmtId="164" fontId="3" fillId="0" borderId="28" xfId="1" applyNumberFormat="1" applyFont="1" applyFill="1" applyBorder="1"/>
    <xf numFmtId="3" fontId="2" fillId="3" borderId="28" xfId="1" applyNumberFormat="1" applyFont="1" applyFill="1" applyBorder="1" applyAlignment="1">
      <alignment horizontal="left"/>
    </xf>
    <xf numFmtId="164" fontId="3" fillId="2" borderId="25" xfId="1" applyNumberFormat="1" applyFont="1" applyFill="1" applyBorder="1"/>
    <xf numFmtId="164" fontId="3" fillId="0" borderId="4" xfId="1" applyNumberFormat="1" applyFont="1" applyFill="1" applyBorder="1"/>
    <xf numFmtId="0" fontId="9" fillId="0" borderId="13" xfId="0" applyFont="1" applyBorder="1"/>
    <xf numFmtId="9" fontId="2" fillId="0" borderId="0" xfId="2" applyFont="1" applyBorder="1"/>
    <xf numFmtId="0" fontId="2" fillId="0" borderId="0" xfId="0" applyFont="1" applyBorder="1"/>
    <xf numFmtId="0" fontId="9" fillId="0" borderId="0" xfId="0" applyFont="1" applyBorder="1"/>
    <xf numFmtId="164" fontId="4" fillId="0" borderId="20" xfId="1" applyNumberFormat="1" applyFont="1" applyBorder="1"/>
    <xf numFmtId="0" fontId="3" fillId="5" borderId="0" xfId="0" applyFont="1" applyFill="1"/>
    <xf numFmtId="164" fontId="2" fillId="5" borderId="5" xfId="0" applyNumberFormat="1" applyFont="1" applyFill="1" applyBorder="1"/>
    <xf numFmtId="164" fontId="2" fillId="5" borderId="18" xfId="0" applyNumberFormat="1" applyFont="1" applyFill="1" applyBorder="1"/>
    <xf numFmtId="0" fontId="8" fillId="5" borderId="18" xfId="0" applyFont="1" applyFill="1" applyBorder="1"/>
    <xf numFmtId="164" fontId="2" fillId="5" borderId="19" xfId="0" applyNumberFormat="1" applyFont="1" applyFill="1" applyBorder="1"/>
    <xf numFmtId="0" fontId="2" fillId="5" borderId="4" xfId="0" applyFont="1" applyFill="1" applyBorder="1"/>
    <xf numFmtId="164" fontId="3" fillId="0" borderId="21" xfId="1" applyNumberFormat="1" applyFont="1" applyBorder="1" applyAlignment="1">
      <alignment horizontal="center" wrapText="1"/>
    </xf>
    <xf numFmtId="164" fontId="3" fillId="0" borderId="12" xfId="1" applyNumberFormat="1" applyFont="1" applyBorder="1" applyAlignment="1">
      <alignment horizontal="center" wrapText="1"/>
    </xf>
    <xf numFmtId="164" fontId="3" fillId="0" borderId="20" xfId="1" applyNumberFormat="1" applyFont="1" applyBorder="1" applyAlignment="1">
      <alignment horizontal="center"/>
    </xf>
    <xf numFmtId="164" fontId="3" fillId="0" borderId="30" xfId="1" applyNumberFormat="1" applyFont="1" applyBorder="1" applyAlignment="1">
      <alignment horizontal="center"/>
    </xf>
    <xf numFmtId="3" fontId="11" fillId="0" borderId="12" xfId="1" applyNumberFormat="1" applyFont="1" applyBorder="1" applyAlignment="1">
      <alignment horizontal="center"/>
    </xf>
    <xf numFmtId="0" fontId="2" fillId="6" borderId="22" xfId="0" applyFont="1" applyFill="1" applyBorder="1" applyAlignment="1">
      <alignment horizontal="center"/>
    </xf>
  </cellXfs>
  <cellStyles count="4">
    <cellStyle name="Currency" xfId="1" builtinId="4"/>
    <cellStyle name="Normal" xfId="0" builtinId="0"/>
    <cellStyle name="Normal 2" xfId="3"/>
    <cellStyle name="Percent" xfId="2" builtinId="5"/>
  </cellStyles>
  <dxfs count="1">
    <dxf>
      <font>
        <condense val="0"/>
        <extend val="0"/>
        <color indexed="9"/>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13" Type="http://schemas.openxmlformats.org/officeDocument/2006/relationships/customXml" Target="../customXml/item6.xml"/><Relationship Id="rId3" Type="http://schemas.openxmlformats.org/officeDocument/2006/relationships/worksheet" Target="worksheets/sheet3.xml"/><Relationship Id="rId7" Type="http://schemas.openxmlformats.org/officeDocument/2006/relationships/calcChain" Target="calcChain.xml"/><Relationship Id="rId12" Type="http://schemas.openxmlformats.org/officeDocument/2006/relationships/customXml" Target="../customXml/item5.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4.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137"/>
  <sheetViews>
    <sheetView showGridLines="0" tabSelected="1" zoomScale="80" zoomScaleNormal="80" workbookViewId="0">
      <pane xSplit="2" ySplit="2" topLeftCell="C42" activePane="bottomRight" state="frozen"/>
      <selection pane="topRight" activeCell="C1" sqref="C1"/>
      <selection pane="bottomLeft" activeCell="A4" sqref="A4"/>
      <selection pane="bottomRight" activeCell="B8" sqref="B8"/>
    </sheetView>
  </sheetViews>
  <sheetFormatPr defaultColWidth="8.85546875" defaultRowHeight="15.75" x14ac:dyDescent="0.25"/>
  <cols>
    <col min="1" max="1" width="3.42578125" style="47" customWidth="1"/>
    <col min="2" max="2" width="71.5703125" style="47" customWidth="1"/>
    <col min="3" max="5" width="15.7109375" style="47" customWidth="1"/>
    <col min="6" max="6" width="15.7109375" style="133" customWidth="1"/>
    <col min="7" max="7" width="8.85546875" style="47" customWidth="1"/>
    <col min="8" max="16384" width="8.85546875" style="47"/>
  </cols>
  <sheetData>
    <row r="1" spans="2:6" ht="27" thickBot="1" x14ac:dyDescent="0.45">
      <c r="B1" s="148" t="s">
        <v>134</v>
      </c>
      <c r="C1" s="148"/>
      <c r="D1" s="148"/>
      <c r="E1" s="148"/>
      <c r="F1" s="148"/>
    </row>
    <row r="2" spans="2:6" ht="15.75" customHeight="1" x14ac:dyDescent="0.25">
      <c r="B2" s="48"/>
      <c r="C2" s="112"/>
      <c r="D2" s="149" t="s">
        <v>13</v>
      </c>
      <c r="E2" s="149"/>
      <c r="F2" s="149"/>
    </row>
    <row r="3" spans="2:6" x14ac:dyDescent="0.25">
      <c r="B3" s="49" t="s">
        <v>1</v>
      </c>
      <c r="C3" s="50" t="s">
        <v>7</v>
      </c>
      <c r="D3" s="51" t="s">
        <v>8</v>
      </c>
      <c r="E3" s="113" t="s">
        <v>9</v>
      </c>
      <c r="F3" s="115" t="s">
        <v>10</v>
      </c>
    </row>
    <row r="4" spans="2:6" x14ac:dyDescent="0.25">
      <c r="B4" s="52" t="s">
        <v>27</v>
      </c>
      <c r="C4" s="52"/>
      <c r="D4" s="53"/>
      <c r="E4" s="53" t="s">
        <v>125</v>
      </c>
      <c r="F4" s="54"/>
    </row>
    <row r="5" spans="2:6" s="56" customFormat="1" ht="12" customHeight="1" thickBot="1" x14ac:dyDescent="0.3">
      <c r="B5" s="1"/>
      <c r="C5" s="28"/>
      <c r="D5" s="55"/>
      <c r="E5" s="55"/>
      <c r="F5" s="116"/>
    </row>
    <row r="6" spans="2:6" s="56" customFormat="1" ht="16.5" thickBot="1" x14ac:dyDescent="0.3">
      <c r="B6" s="1" t="s">
        <v>28</v>
      </c>
      <c r="C6" s="28"/>
      <c r="D6" s="55"/>
      <c r="E6" s="114"/>
      <c r="F6" s="117"/>
    </row>
    <row r="7" spans="2:6" s="56" customFormat="1" ht="16.5" thickBot="1" x14ac:dyDescent="0.3">
      <c r="B7" s="1" t="s">
        <v>29</v>
      </c>
      <c r="C7" s="28"/>
      <c r="D7" s="55"/>
      <c r="E7" s="114"/>
      <c r="F7" s="117"/>
    </row>
    <row r="8" spans="2:6" s="56" customFormat="1" ht="16.5" thickBot="1" x14ac:dyDescent="0.3">
      <c r="B8" s="1" t="s">
        <v>30</v>
      </c>
      <c r="C8" s="28"/>
      <c r="D8" s="55"/>
      <c r="E8" s="114"/>
      <c r="F8" s="117"/>
    </row>
    <row r="9" spans="2:6" s="56" customFormat="1" ht="16.5" thickBot="1" x14ac:dyDescent="0.3">
      <c r="B9" s="1" t="s">
        <v>31</v>
      </c>
      <c r="C9" s="28"/>
      <c r="D9" s="55"/>
      <c r="E9" s="114"/>
      <c r="F9" s="117"/>
    </row>
    <row r="10" spans="2:6" s="56" customFormat="1" ht="16.5" thickBot="1" x14ac:dyDescent="0.3">
      <c r="B10" s="1" t="s">
        <v>32</v>
      </c>
      <c r="C10" s="58"/>
      <c r="D10" s="55"/>
      <c r="E10" s="114"/>
      <c r="F10" s="117"/>
    </row>
    <row r="11" spans="2:6" s="4" customFormat="1" ht="12" customHeight="1" x14ac:dyDescent="0.25">
      <c r="B11" s="5"/>
      <c r="C11" s="8"/>
      <c r="D11" s="9"/>
      <c r="E11" s="9"/>
      <c r="F11" s="118"/>
    </row>
    <row r="12" spans="2:6" s="4" customFormat="1" x14ac:dyDescent="0.25">
      <c r="B12" s="10" t="s">
        <v>12</v>
      </c>
      <c r="C12" s="10"/>
      <c r="D12" s="11"/>
      <c r="E12" s="11"/>
      <c r="F12" s="12"/>
    </row>
    <row r="13" spans="2:6" s="19" customFormat="1" ht="9.75" customHeight="1" thickBot="1" x14ac:dyDescent="0.3">
      <c r="B13" s="16"/>
      <c r="C13" s="17"/>
      <c r="D13" s="18"/>
      <c r="E13" s="18"/>
      <c r="F13" s="119"/>
    </row>
    <row r="14" spans="2:6" s="19" customFormat="1" ht="18" customHeight="1" thickBot="1" x14ac:dyDescent="0.3">
      <c r="B14" s="20" t="s">
        <v>26</v>
      </c>
      <c r="C14" s="59"/>
      <c r="D14" s="59"/>
      <c r="E14" s="60"/>
      <c r="F14" s="59"/>
    </row>
    <row r="15" spans="2:6" s="19" customFormat="1" ht="12" customHeight="1" x14ac:dyDescent="0.25">
      <c r="B15" s="20"/>
      <c r="C15" s="17"/>
      <c r="D15" s="18"/>
      <c r="E15" s="18"/>
      <c r="F15" s="120"/>
    </row>
    <row r="16" spans="2:6" s="4" customFormat="1" x14ac:dyDescent="0.25">
      <c r="B16" s="10" t="s">
        <v>11</v>
      </c>
      <c r="C16" s="10"/>
      <c r="D16" s="11"/>
      <c r="E16" s="11"/>
      <c r="F16" s="12"/>
    </row>
    <row r="17" spans="1:6" s="15" customFormat="1" ht="9.75" customHeight="1" x14ac:dyDescent="0.25">
      <c r="B17" s="1"/>
      <c r="C17" s="25"/>
      <c r="D17" s="26"/>
      <c r="E17" s="26"/>
      <c r="F17" s="121"/>
    </row>
    <row r="18" spans="1:6" s="15" customFormat="1" ht="16.5" thickBot="1" x14ac:dyDescent="0.3">
      <c r="A18" s="27"/>
      <c r="B18" s="57" t="s">
        <v>39</v>
      </c>
      <c r="C18" s="28"/>
      <c r="D18" s="29"/>
      <c r="E18" s="29"/>
      <c r="F18" s="122"/>
    </row>
    <row r="19" spans="1:6" s="4" customFormat="1" ht="16.5" thickBot="1" x14ac:dyDescent="0.3">
      <c r="B19" s="30" t="s">
        <v>38</v>
      </c>
      <c r="C19" s="23"/>
      <c r="D19" s="29"/>
      <c r="E19" s="60"/>
      <c r="F19" s="31"/>
    </row>
    <row r="20" spans="1:6" s="4" customFormat="1" ht="12.75" customHeight="1" x14ac:dyDescent="0.25">
      <c r="B20" s="32"/>
      <c r="C20" s="23"/>
      <c r="D20" s="7"/>
      <c r="E20" s="24"/>
      <c r="F20" s="2"/>
    </row>
    <row r="21" spans="1:6" s="4" customFormat="1" ht="16.5" thickBot="1" x14ac:dyDescent="0.3">
      <c r="B21" s="57" t="s">
        <v>16</v>
      </c>
      <c r="C21" s="23"/>
      <c r="D21" s="7"/>
      <c r="E21" s="24"/>
      <c r="F21" s="2"/>
    </row>
    <row r="22" spans="1:6" s="4" customFormat="1" ht="16.5" thickBot="1" x14ac:dyDescent="0.3">
      <c r="B22" s="3" t="s">
        <v>25</v>
      </c>
      <c r="C22" s="59"/>
      <c r="D22" s="59"/>
      <c r="E22" s="60"/>
      <c r="F22" s="2"/>
    </row>
    <row r="23" spans="1:6" s="4" customFormat="1" ht="15.75" customHeight="1" x14ac:dyDescent="0.25">
      <c r="B23" s="32" t="s">
        <v>23</v>
      </c>
      <c r="C23" s="23"/>
      <c r="D23" s="24"/>
      <c r="E23" s="24"/>
      <c r="F23" s="2"/>
    </row>
    <row r="24" spans="1:6" s="4" customFormat="1" ht="12" customHeight="1" x14ac:dyDescent="0.25">
      <c r="B24" s="32"/>
      <c r="C24" s="23"/>
      <c r="D24" s="24"/>
      <c r="E24" s="24"/>
      <c r="F24" s="2"/>
    </row>
    <row r="25" spans="1:6" s="4" customFormat="1" ht="16.5" thickBot="1" x14ac:dyDescent="0.3">
      <c r="B25" s="57" t="s">
        <v>17</v>
      </c>
      <c r="C25" s="23"/>
      <c r="D25" s="24"/>
      <c r="E25" s="24"/>
      <c r="F25" s="123"/>
    </row>
    <row r="26" spans="1:6" s="4" customFormat="1" ht="15.75" customHeight="1" thickBot="1" x14ac:dyDescent="0.3">
      <c r="B26" s="3" t="s">
        <v>3</v>
      </c>
      <c r="C26" s="59"/>
      <c r="D26" s="59"/>
      <c r="E26" s="60"/>
      <c r="F26" s="59"/>
    </row>
    <row r="27" spans="1:6" s="4" customFormat="1" ht="15.75" customHeight="1" x14ac:dyDescent="0.25">
      <c r="B27" s="32" t="s">
        <v>15</v>
      </c>
      <c r="C27" s="23"/>
      <c r="D27" s="144"/>
      <c r="E27" s="109"/>
      <c r="F27" s="146"/>
    </row>
    <row r="28" spans="1:6" s="4" customFormat="1" ht="12" customHeight="1" thickBot="1" x14ac:dyDescent="0.3">
      <c r="B28" s="3"/>
      <c r="C28" s="6"/>
      <c r="D28" s="145"/>
      <c r="E28" s="110"/>
      <c r="F28" s="147"/>
    </row>
    <row r="29" spans="1:6" s="4" customFormat="1" ht="15.75" customHeight="1" thickBot="1" x14ac:dyDescent="0.3">
      <c r="B29" s="3" t="s">
        <v>4</v>
      </c>
      <c r="C29" s="59"/>
      <c r="D29" s="59"/>
      <c r="E29" s="60"/>
      <c r="F29" s="59"/>
    </row>
    <row r="30" spans="1:6" s="4" customFormat="1" ht="15.75" customHeight="1" x14ac:dyDescent="0.25">
      <c r="B30" s="32" t="s">
        <v>14</v>
      </c>
      <c r="C30" s="23"/>
      <c r="D30" s="24"/>
      <c r="E30" s="24"/>
      <c r="F30" s="124"/>
    </row>
    <row r="31" spans="1:6" s="4" customFormat="1" ht="9.75" customHeight="1" x14ac:dyDescent="0.25">
      <c r="B31" s="3"/>
      <c r="C31" s="23"/>
      <c r="D31" s="7"/>
      <c r="E31" s="7"/>
      <c r="F31" s="2"/>
    </row>
    <row r="32" spans="1:6" s="4" customFormat="1" ht="16.5" thickBot="1" x14ac:dyDescent="0.3">
      <c r="B32" s="57" t="s">
        <v>18</v>
      </c>
      <c r="C32" s="23"/>
      <c r="D32" s="7"/>
      <c r="E32" s="7"/>
      <c r="F32" s="125"/>
    </row>
    <row r="33" spans="2:6" s="4" customFormat="1" ht="15.75" customHeight="1" thickBot="1" x14ac:dyDescent="0.3">
      <c r="B33" s="3" t="s">
        <v>5</v>
      </c>
      <c r="C33" s="59"/>
      <c r="D33" s="59"/>
      <c r="E33" s="60"/>
      <c r="F33" s="59"/>
    </row>
    <row r="34" spans="2:6" s="4" customFormat="1" ht="15.75" customHeight="1" x14ac:dyDescent="0.25">
      <c r="B34" s="32" t="s">
        <v>0</v>
      </c>
      <c r="C34" s="23"/>
      <c r="D34" s="24"/>
      <c r="E34" s="24"/>
      <c r="F34" s="124"/>
    </row>
    <row r="35" spans="2:6" s="4" customFormat="1" ht="12" customHeight="1" thickBot="1" x14ac:dyDescent="0.3">
      <c r="B35" s="32"/>
      <c r="C35" s="23"/>
      <c r="D35" s="24"/>
      <c r="E35" s="24"/>
      <c r="F35" s="31"/>
    </row>
    <row r="36" spans="2:6" s="4" customFormat="1" ht="16.5" thickBot="1" x14ac:dyDescent="0.3">
      <c r="B36" s="35" t="s">
        <v>34</v>
      </c>
      <c r="C36" s="23"/>
      <c r="D36" s="59"/>
      <c r="E36" s="111"/>
      <c r="F36" s="126"/>
    </row>
    <row r="37" spans="2:6" s="4" customFormat="1" x14ac:dyDescent="0.25">
      <c r="B37" s="34" t="s">
        <v>35</v>
      </c>
      <c r="C37" s="23"/>
      <c r="D37" s="24"/>
      <c r="E37" s="24"/>
      <c r="F37" s="31"/>
    </row>
    <row r="38" spans="2:6" s="4" customFormat="1" ht="12" customHeight="1" thickBot="1" x14ac:dyDescent="0.3">
      <c r="B38" s="37"/>
      <c r="C38" s="23"/>
      <c r="D38" s="24"/>
      <c r="E38" s="24"/>
      <c r="F38" s="123"/>
    </row>
    <row r="39" spans="2:6" s="4" customFormat="1" ht="16.5" thickBot="1" x14ac:dyDescent="0.3">
      <c r="B39" s="35" t="s">
        <v>126</v>
      </c>
      <c r="C39" s="23"/>
      <c r="D39" s="24"/>
      <c r="E39" s="61"/>
      <c r="F39" s="127"/>
    </row>
    <row r="40" spans="2:6" s="4" customFormat="1" x14ac:dyDescent="0.25">
      <c r="B40" s="106" t="s">
        <v>136</v>
      </c>
      <c r="C40" s="23"/>
      <c r="D40" s="24"/>
      <c r="E40" s="24" t="s">
        <v>140</v>
      </c>
      <c r="F40" s="124"/>
    </row>
    <row r="41" spans="2:6" s="4" customFormat="1" x14ac:dyDescent="0.25">
      <c r="B41" s="107" t="s">
        <v>128</v>
      </c>
      <c r="C41" s="23"/>
      <c r="D41" s="24"/>
      <c r="E41" s="24"/>
      <c r="F41" s="31"/>
    </row>
    <row r="42" spans="2:6" s="4" customFormat="1" ht="12" customHeight="1" thickBot="1" x14ac:dyDescent="0.3">
      <c r="B42" s="107"/>
      <c r="C42" s="23"/>
      <c r="D42" s="24"/>
      <c r="E42" s="24"/>
      <c r="F42" s="123"/>
    </row>
    <row r="43" spans="2:6" s="4" customFormat="1" ht="16.5" thickBot="1" x14ac:dyDescent="0.3">
      <c r="B43" s="108" t="s">
        <v>124</v>
      </c>
      <c r="C43" s="23"/>
      <c r="D43" s="24"/>
      <c r="E43" s="61"/>
      <c r="F43" s="127"/>
    </row>
    <row r="44" spans="2:6" s="4" customFormat="1" x14ac:dyDescent="0.25">
      <c r="B44" s="106" t="s">
        <v>130</v>
      </c>
      <c r="C44" s="23"/>
      <c r="D44" s="24"/>
      <c r="E44" s="24" t="s">
        <v>140</v>
      </c>
      <c r="F44" s="124"/>
    </row>
    <row r="45" spans="2:6" s="4" customFormat="1" x14ac:dyDescent="0.25">
      <c r="B45" s="106" t="s">
        <v>128</v>
      </c>
      <c r="C45" s="23"/>
      <c r="D45" s="24"/>
      <c r="E45" s="24"/>
      <c r="F45" s="31"/>
    </row>
    <row r="46" spans="2:6" s="4" customFormat="1" ht="12" customHeight="1" thickBot="1" x14ac:dyDescent="0.3">
      <c r="B46" s="107"/>
      <c r="C46" s="23"/>
      <c r="D46" s="24"/>
      <c r="E46" s="24"/>
      <c r="F46" s="123"/>
    </row>
    <row r="47" spans="2:6" s="4" customFormat="1" ht="16.5" thickBot="1" x14ac:dyDescent="0.3">
      <c r="B47" s="108" t="s">
        <v>122</v>
      </c>
      <c r="C47" s="23"/>
      <c r="D47" s="24"/>
      <c r="E47" s="61"/>
      <c r="F47" s="127"/>
    </row>
    <row r="48" spans="2:6" s="4" customFormat="1" x14ac:dyDescent="0.25">
      <c r="B48" s="106" t="s">
        <v>135</v>
      </c>
      <c r="C48" s="23"/>
      <c r="D48" s="24"/>
      <c r="E48" s="24" t="s">
        <v>140</v>
      </c>
      <c r="F48" s="124"/>
    </row>
    <row r="49" spans="2:6" s="4" customFormat="1" x14ac:dyDescent="0.25">
      <c r="B49" s="106" t="s">
        <v>128</v>
      </c>
      <c r="C49" s="23"/>
      <c r="D49" s="24"/>
      <c r="E49" s="24"/>
      <c r="F49" s="31"/>
    </row>
    <row r="50" spans="2:6" s="4" customFormat="1" ht="12" customHeight="1" thickBot="1" x14ac:dyDescent="0.3">
      <c r="B50" s="107"/>
      <c r="C50" s="23"/>
      <c r="D50" s="24"/>
      <c r="E50" s="24"/>
      <c r="F50" s="123"/>
    </row>
    <row r="51" spans="2:6" s="4" customFormat="1" ht="16.5" thickBot="1" x14ac:dyDescent="0.3">
      <c r="B51" s="108" t="s">
        <v>120</v>
      </c>
      <c r="C51" s="23"/>
      <c r="D51" s="24"/>
      <c r="E51" s="61"/>
      <c r="F51" s="127"/>
    </row>
    <row r="52" spans="2:6" s="4" customFormat="1" x14ac:dyDescent="0.25">
      <c r="B52" s="107" t="s">
        <v>139</v>
      </c>
      <c r="C52" s="23"/>
      <c r="D52" s="24"/>
      <c r="E52" s="24" t="s">
        <v>140</v>
      </c>
      <c r="F52" s="124"/>
    </row>
    <row r="53" spans="2:6" s="4" customFormat="1" x14ac:dyDescent="0.25">
      <c r="B53" s="107" t="s">
        <v>137</v>
      </c>
      <c r="C53" s="23"/>
      <c r="D53" s="24"/>
      <c r="E53" s="24"/>
      <c r="F53" s="31"/>
    </row>
    <row r="54" spans="2:6" s="4" customFormat="1" ht="12" customHeight="1" thickBot="1" x14ac:dyDescent="0.3">
      <c r="B54" s="34"/>
      <c r="C54" s="23"/>
      <c r="D54" s="24"/>
      <c r="E54" s="24"/>
      <c r="F54" s="123"/>
    </row>
    <row r="55" spans="2:6" s="4" customFormat="1" ht="16.5" thickBot="1" x14ac:dyDescent="0.3">
      <c r="B55" s="35" t="s">
        <v>127</v>
      </c>
      <c r="C55" s="23"/>
      <c r="D55" s="24"/>
      <c r="E55" s="61"/>
      <c r="F55" s="127"/>
    </row>
    <row r="56" spans="2:6" s="4" customFormat="1" x14ac:dyDescent="0.25">
      <c r="B56" s="34" t="s">
        <v>133</v>
      </c>
      <c r="C56" s="23"/>
      <c r="D56" s="24"/>
      <c r="E56" s="24" t="s">
        <v>140</v>
      </c>
      <c r="F56" s="124"/>
    </row>
    <row r="57" spans="2:6" s="4" customFormat="1" ht="15.75" customHeight="1" x14ac:dyDescent="0.25">
      <c r="B57" s="34" t="s">
        <v>128</v>
      </c>
      <c r="C57" s="23"/>
      <c r="D57" s="24"/>
      <c r="E57" s="36"/>
      <c r="F57" s="31"/>
    </row>
    <row r="58" spans="2:6" s="4" customFormat="1" ht="12" customHeight="1" thickBot="1" x14ac:dyDescent="0.3">
      <c r="B58" s="34"/>
      <c r="C58" s="23"/>
      <c r="D58" s="24"/>
      <c r="E58" s="24"/>
      <c r="F58" s="123"/>
    </row>
    <row r="59" spans="2:6" s="4" customFormat="1" ht="15.75" customHeight="1" thickBot="1" x14ac:dyDescent="0.3">
      <c r="B59" s="35" t="s">
        <v>33</v>
      </c>
      <c r="C59" s="23"/>
      <c r="D59" s="24"/>
      <c r="E59" s="62"/>
      <c r="F59" s="128"/>
    </row>
    <row r="60" spans="2:6" s="4" customFormat="1" ht="15.75" customHeight="1" x14ac:dyDescent="0.25">
      <c r="B60" s="34" t="s">
        <v>132</v>
      </c>
      <c r="C60" s="23"/>
      <c r="D60" s="24"/>
      <c r="E60" s="24" t="s">
        <v>140</v>
      </c>
      <c r="F60" s="124"/>
    </row>
    <row r="61" spans="2:6" s="4" customFormat="1" ht="15.75" customHeight="1" x14ac:dyDescent="0.25">
      <c r="B61" s="34" t="s">
        <v>129</v>
      </c>
      <c r="C61" s="23"/>
      <c r="D61" s="24"/>
      <c r="E61" s="36"/>
      <c r="F61" s="31"/>
    </row>
    <row r="62" spans="2:6" s="4" customFormat="1" ht="12" customHeight="1" thickBot="1" x14ac:dyDescent="0.3">
      <c r="B62" s="34"/>
      <c r="C62" s="23"/>
      <c r="D62" s="24"/>
      <c r="E62" s="36"/>
      <c r="F62" s="123"/>
    </row>
    <row r="63" spans="2:6" s="4" customFormat="1" ht="15.75" customHeight="1" thickBot="1" x14ac:dyDescent="0.3">
      <c r="B63" s="3" t="s">
        <v>2</v>
      </c>
      <c r="C63" s="59"/>
      <c r="D63" s="60"/>
      <c r="E63" s="60"/>
      <c r="F63" s="59"/>
    </row>
    <row r="64" spans="2:6" s="4" customFormat="1" ht="15.75" customHeight="1" x14ac:dyDescent="0.25">
      <c r="B64" s="32" t="s">
        <v>22</v>
      </c>
      <c r="C64" s="23"/>
      <c r="D64" s="24"/>
      <c r="E64" s="24"/>
      <c r="F64" s="124"/>
    </row>
    <row r="65" spans="1:6" s="4" customFormat="1" ht="12" customHeight="1" x14ac:dyDescent="0.25">
      <c r="B65" s="32"/>
      <c r="C65" s="23"/>
      <c r="D65" s="24"/>
      <c r="E65" s="24"/>
      <c r="F65" s="31"/>
    </row>
    <row r="66" spans="1:6" s="4" customFormat="1" ht="15.75" customHeight="1" thickBot="1" x14ac:dyDescent="0.3">
      <c r="B66" s="57" t="s">
        <v>138</v>
      </c>
      <c r="C66" s="23"/>
      <c r="D66" s="24"/>
      <c r="E66" s="24"/>
      <c r="F66" s="123"/>
    </row>
    <row r="67" spans="1:6" s="4" customFormat="1" ht="15.75" customHeight="1" thickBot="1" x14ac:dyDescent="0.3">
      <c r="B67" s="3" t="s">
        <v>36</v>
      </c>
      <c r="C67" s="23"/>
      <c r="E67" s="60"/>
      <c r="F67" s="59"/>
    </row>
    <row r="68" spans="1:6" s="4" customFormat="1" ht="15.75" customHeight="1" x14ac:dyDescent="0.25">
      <c r="B68" s="32" t="s">
        <v>37</v>
      </c>
      <c r="C68" s="23"/>
      <c r="D68" s="33"/>
      <c r="E68" s="24" t="s">
        <v>131</v>
      </c>
      <c r="F68" s="124"/>
    </row>
    <row r="69" spans="1:6" s="4" customFormat="1" ht="9.75" customHeight="1" x14ac:dyDescent="0.25">
      <c r="B69" s="5"/>
      <c r="C69" s="38"/>
      <c r="D69" s="39"/>
      <c r="E69" s="39"/>
      <c r="F69" s="129"/>
    </row>
    <row r="70" spans="1:6" s="4" customFormat="1" x14ac:dyDescent="0.25">
      <c r="B70" s="10" t="s">
        <v>6</v>
      </c>
      <c r="C70" s="10"/>
      <c r="D70" s="11"/>
      <c r="E70" s="11"/>
      <c r="F70" s="130"/>
    </row>
    <row r="71" spans="1:6" s="15" customFormat="1" ht="9.75" customHeight="1" thickBot="1" x14ac:dyDescent="0.3">
      <c r="A71" s="4"/>
      <c r="B71" s="40"/>
      <c r="C71" s="13"/>
      <c r="D71" s="14"/>
      <c r="E71" s="14"/>
      <c r="F71" s="131"/>
    </row>
    <row r="72" spans="1:6" s="19" customFormat="1" ht="15.75" customHeight="1" thickBot="1" x14ac:dyDescent="0.3">
      <c r="A72" s="15"/>
      <c r="B72" s="20" t="s">
        <v>20</v>
      </c>
      <c r="C72" s="59"/>
      <c r="D72" s="59"/>
      <c r="E72" s="60"/>
      <c r="F72" s="59"/>
    </row>
    <row r="73" spans="1:6" s="19" customFormat="1" ht="12" customHeight="1" thickBot="1" x14ac:dyDescent="0.3">
      <c r="B73" s="20"/>
      <c r="C73" s="23"/>
      <c r="D73" s="24"/>
      <c r="E73" s="24"/>
      <c r="F73" s="132"/>
    </row>
    <row r="74" spans="1:6" s="19" customFormat="1" ht="15.75" customHeight="1" thickBot="1" x14ac:dyDescent="0.3">
      <c r="B74" s="20" t="s">
        <v>19</v>
      </c>
      <c r="C74" s="59"/>
      <c r="D74" s="59"/>
      <c r="E74" s="60"/>
      <c r="F74" s="59"/>
    </row>
    <row r="75" spans="1:6" s="19" customFormat="1" ht="9.75" customHeight="1" x14ac:dyDescent="0.25">
      <c r="B75" s="16"/>
      <c r="C75" s="21"/>
      <c r="D75" s="22"/>
      <c r="E75" s="22"/>
      <c r="F75" s="120"/>
    </row>
    <row r="76" spans="1:6" s="4" customFormat="1" x14ac:dyDescent="0.25">
      <c r="A76" s="19"/>
      <c r="B76" s="10" t="s">
        <v>21</v>
      </c>
      <c r="C76" s="10"/>
      <c r="D76" s="11"/>
      <c r="E76" s="11"/>
      <c r="F76" s="12"/>
    </row>
    <row r="77" spans="1:6" s="15" customFormat="1" ht="9.75" customHeight="1" thickBot="1" x14ac:dyDescent="0.3">
      <c r="A77" s="4"/>
      <c r="B77" s="40"/>
      <c r="C77" s="13"/>
      <c r="D77" s="14"/>
      <c r="E77" s="14"/>
      <c r="F77" s="131"/>
    </row>
    <row r="78" spans="1:6" s="19" customFormat="1" ht="15.75" customHeight="1" thickBot="1" x14ac:dyDescent="0.3">
      <c r="A78" s="15"/>
      <c r="B78" s="20" t="s">
        <v>24</v>
      </c>
      <c r="C78" s="17"/>
      <c r="D78" s="18"/>
      <c r="E78" s="60"/>
      <c r="F78" s="128"/>
    </row>
    <row r="79" spans="1:6" s="19" customFormat="1" ht="9" customHeight="1" thickBot="1" x14ac:dyDescent="0.3">
      <c r="B79" s="20"/>
      <c r="C79" s="17"/>
      <c r="D79" s="18"/>
      <c r="E79" s="18"/>
      <c r="F79" s="137"/>
    </row>
    <row r="80" spans="1:6" s="138" customFormat="1" ht="16.5" thickBot="1" x14ac:dyDescent="0.3">
      <c r="B80" s="143"/>
      <c r="C80" s="139"/>
      <c r="D80" s="141"/>
      <c r="E80" s="140"/>
      <c r="F80" s="142"/>
    </row>
    <row r="81" spans="2:6" s="4" customFormat="1" x14ac:dyDescent="0.25">
      <c r="B81" s="41"/>
      <c r="C81" s="42"/>
      <c r="D81" s="43"/>
      <c r="E81" s="43"/>
      <c r="F81" s="134"/>
    </row>
    <row r="82" spans="2:6" s="4" customFormat="1" x14ac:dyDescent="0.25">
      <c r="B82" s="43"/>
      <c r="C82" s="43"/>
      <c r="D82" s="43"/>
      <c r="E82" s="43"/>
      <c r="F82" s="135"/>
    </row>
    <row r="83" spans="2:6" s="4" customFormat="1" x14ac:dyDescent="0.25">
      <c r="B83" s="44"/>
      <c r="D83" s="45"/>
      <c r="F83" s="33"/>
    </row>
    <row r="84" spans="2:6" s="4" customFormat="1" x14ac:dyDescent="0.25">
      <c r="B84" s="46"/>
      <c r="D84" s="45"/>
      <c r="F84" s="33"/>
    </row>
    <row r="85" spans="2:6" s="4" customFormat="1" x14ac:dyDescent="0.25">
      <c r="B85" s="46"/>
      <c r="D85" s="45"/>
      <c r="F85" s="33"/>
    </row>
    <row r="86" spans="2:6" s="4" customFormat="1" x14ac:dyDescent="0.25">
      <c r="B86" s="46"/>
      <c r="D86" s="45"/>
      <c r="F86" s="33"/>
    </row>
    <row r="87" spans="2:6" s="4" customFormat="1" x14ac:dyDescent="0.25">
      <c r="F87" s="33"/>
    </row>
    <row r="88" spans="2:6" s="4" customFormat="1" ht="20.100000000000001" customHeight="1" x14ac:dyDescent="0.25">
      <c r="F88" s="33"/>
    </row>
    <row r="89" spans="2:6" s="4" customFormat="1" ht="20.100000000000001" customHeight="1" x14ac:dyDescent="0.25">
      <c r="F89" s="33"/>
    </row>
    <row r="90" spans="2:6" s="4" customFormat="1" x14ac:dyDescent="0.25">
      <c r="F90" s="33"/>
    </row>
    <row r="91" spans="2:6" s="4" customFormat="1" x14ac:dyDescent="0.25">
      <c r="F91" s="33"/>
    </row>
    <row r="92" spans="2:6" s="4" customFormat="1" x14ac:dyDescent="0.25">
      <c r="F92" s="33"/>
    </row>
    <row r="93" spans="2:6" s="4" customFormat="1" x14ac:dyDescent="0.25">
      <c r="F93" s="33"/>
    </row>
    <row r="94" spans="2:6" s="4" customFormat="1" x14ac:dyDescent="0.25">
      <c r="F94" s="33"/>
    </row>
    <row r="95" spans="2:6" s="4" customFormat="1" x14ac:dyDescent="0.25">
      <c r="F95" s="33"/>
    </row>
    <row r="96" spans="2:6" s="4" customFormat="1" x14ac:dyDescent="0.25">
      <c r="F96" s="33"/>
    </row>
    <row r="97" spans="6:6" s="4" customFormat="1" x14ac:dyDescent="0.25">
      <c r="F97" s="33"/>
    </row>
    <row r="98" spans="6:6" s="4" customFormat="1" x14ac:dyDescent="0.25">
      <c r="F98" s="33"/>
    </row>
    <row r="99" spans="6:6" s="4" customFormat="1" x14ac:dyDescent="0.25">
      <c r="F99" s="33"/>
    </row>
    <row r="100" spans="6:6" s="4" customFormat="1" x14ac:dyDescent="0.25">
      <c r="F100" s="33"/>
    </row>
    <row r="101" spans="6:6" s="4" customFormat="1" x14ac:dyDescent="0.25">
      <c r="F101" s="33"/>
    </row>
    <row r="102" spans="6:6" s="4" customFormat="1" x14ac:dyDescent="0.25">
      <c r="F102" s="33"/>
    </row>
    <row r="103" spans="6:6" s="4" customFormat="1" x14ac:dyDescent="0.25">
      <c r="F103" s="33"/>
    </row>
    <row r="104" spans="6:6" s="4" customFormat="1" x14ac:dyDescent="0.25">
      <c r="F104" s="33"/>
    </row>
    <row r="105" spans="6:6" s="4" customFormat="1" x14ac:dyDescent="0.25">
      <c r="F105" s="33"/>
    </row>
    <row r="106" spans="6:6" s="4" customFormat="1" x14ac:dyDescent="0.25">
      <c r="F106" s="33"/>
    </row>
    <row r="107" spans="6:6" s="4" customFormat="1" x14ac:dyDescent="0.25">
      <c r="F107" s="33"/>
    </row>
    <row r="108" spans="6:6" s="4" customFormat="1" x14ac:dyDescent="0.25">
      <c r="F108" s="33"/>
    </row>
    <row r="109" spans="6:6" s="4" customFormat="1" x14ac:dyDescent="0.25">
      <c r="F109" s="33"/>
    </row>
    <row r="110" spans="6:6" s="4" customFormat="1" x14ac:dyDescent="0.25">
      <c r="F110" s="33"/>
    </row>
    <row r="111" spans="6:6" s="4" customFormat="1" x14ac:dyDescent="0.25">
      <c r="F111" s="33"/>
    </row>
    <row r="112" spans="6:6" s="4" customFormat="1" x14ac:dyDescent="0.25">
      <c r="F112" s="33"/>
    </row>
    <row r="113" spans="6:6" s="4" customFormat="1" x14ac:dyDescent="0.25">
      <c r="F113" s="33"/>
    </row>
    <row r="114" spans="6:6" s="4" customFormat="1" x14ac:dyDescent="0.25">
      <c r="F114" s="33"/>
    </row>
    <row r="115" spans="6:6" s="4" customFormat="1" x14ac:dyDescent="0.25">
      <c r="F115" s="33"/>
    </row>
    <row r="116" spans="6:6" s="4" customFormat="1" x14ac:dyDescent="0.25">
      <c r="F116" s="33"/>
    </row>
    <row r="117" spans="6:6" s="4" customFormat="1" x14ac:dyDescent="0.25">
      <c r="F117" s="33"/>
    </row>
    <row r="118" spans="6:6" s="4" customFormat="1" x14ac:dyDescent="0.25">
      <c r="F118" s="33"/>
    </row>
    <row r="119" spans="6:6" s="4" customFormat="1" x14ac:dyDescent="0.25">
      <c r="F119" s="33"/>
    </row>
    <row r="120" spans="6:6" s="4" customFormat="1" x14ac:dyDescent="0.25">
      <c r="F120" s="33"/>
    </row>
    <row r="121" spans="6:6" s="4" customFormat="1" x14ac:dyDescent="0.25">
      <c r="F121" s="33"/>
    </row>
    <row r="122" spans="6:6" s="4" customFormat="1" x14ac:dyDescent="0.25">
      <c r="F122" s="33"/>
    </row>
    <row r="123" spans="6:6" s="4" customFormat="1" x14ac:dyDescent="0.25">
      <c r="F123" s="33"/>
    </row>
    <row r="124" spans="6:6" s="4" customFormat="1" x14ac:dyDescent="0.25">
      <c r="F124" s="33"/>
    </row>
    <row r="125" spans="6:6" s="4" customFormat="1" x14ac:dyDescent="0.25">
      <c r="F125" s="33"/>
    </row>
    <row r="126" spans="6:6" s="4" customFormat="1" x14ac:dyDescent="0.25">
      <c r="F126" s="33"/>
    </row>
    <row r="127" spans="6:6" s="4" customFormat="1" x14ac:dyDescent="0.25">
      <c r="F127" s="33"/>
    </row>
    <row r="128" spans="6:6" s="4" customFormat="1" x14ac:dyDescent="0.25">
      <c r="F128" s="33"/>
    </row>
    <row r="129" spans="1:6" s="4" customFormat="1" x14ac:dyDescent="0.25">
      <c r="F129" s="33"/>
    </row>
    <row r="130" spans="1:6" s="4" customFormat="1" x14ac:dyDescent="0.25">
      <c r="F130" s="33"/>
    </row>
    <row r="131" spans="1:6" s="4" customFormat="1" x14ac:dyDescent="0.25">
      <c r="F131" s="33"/>
    </row>
    <row r="132" spans="1:6" s="4" customFormat="1" x14ac:dyDescent="0.25">
      <c r="F132" s="33"/>
    </row>
    <row r="133" spans="1:6" s="4" customFormat="1" x14ac:dyDescent="0.25">
      <c r="F133" s="33"/>
    </row>
    <row r="134" spans="1:6" s="4" customFormat="1" x14ac:dyDescent="0.25">
      <c r="F134" s="33"/>
    </row>
    <row r="135" spans="1:6" s="4" customFormat="1" x14ac:dyDescent="0.25">
      <c r="F135" s="33"/>
    </row>
    <row r="136" spans="1:6" x14ac:dyDescent="0.25">
      <c r="A136" s="4"/>
      <c r="F136" s="136"/>
    </row>
    <row r="137" spans="1:6" x14ac:dyDescent="0.25">
      <c r="F137" s="136"/>
    </row>
  </sheetData>
  <mergeCells count="4">
    <mergeCell ref="D27:D28"/>
    <mergeCell ref="F27:F28"/>
    <mergeCell ref="B1:F1"/>
    <mergeCell ref="D2:F2"/>
  </mergeCells>
  <printOptions horizontalCentered="1" verticalCentered="1"/>
  <pageMargins left="0.36" right="0.34" top="0.34" bottom="0.39" header="0.3" footer="0.3"/>
  <pageSetup paperSize="17" scale="55" orientation="landscape"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Z30"/>
  <sheetViews>
    <sheetView topLeftCell="D1" workbookViewId="0">
      <selection activeCell="AB2" sqref="AB2"/>
    </sheetView>
  </sheetViews>
  <sheetFormatPr defaultColWidth="8" defaultRowHeight="11.25" x14ac:dyDescent="0.2"/>
  <cols>
    <col min="1" max="3" width="37.140625" style="74" hidden="1" customWidth="1"/>
    <col min="4" max="4" width="25.28515625" style="74" customWidth="1"/>
    <col min="5" max="5" width="23.28515625" style="74" hidden="1" customWidth="1"/>
    <col min="6" max="6" width="32.28515625" style="74" bestFit="1" customWidth="1"/>
    <col min="7" max="8" width="17.28515625" style="74" hidden="1" customWidth="1"/>
    <col min="9" max="9" width="20.140625" style="74" hidden="1" customWidth="1"/>
    <col min="10" max="10" width="23.28515625" style="74" hidden="1" customWidth="1"/>
    <col min="11" max="11" width="14.140625" style="74" hidden="1" customWidth="1"/>
    <col min="12" max="12" width="10.7109375" style="74" customWidth="1"/>
    <col min="13" max="13" width="15" style="74" customWidth="1"/>
    <col min="14" max="15" width="8" style="74" hidden="1" customWidth="1"/>
    <col min="16" max="16" width="18.85546875" style="74" bestFit="1" customWidth="1"/>
    <col min="17" max="17" width="16.42578125" style="74" hidden="1" customWidth="1"/>
    <col min="18" max="18" width="6.28515625" style="74" bestFit="1" customWidth="1"/>
    <col min="19" max="19" width="4.7109375" style="74" bestFit="1" customWidth="1"/>
    <col min="20" max="21" width="10.7109375" style="74" customWidth="1"/>
    <col min="22" max="22" width="8.140625" style="74" hidden="1" customWidth="1"/>
    <col min="23" max="23" width="14.42578125" style="74" hidden="1" customWidth="1"/>
    <col min="24" max="24" width="17.7109375" style="74" customWidth="1"/>
    <col min="25" max="25" width="10.7109375" style="74" customWidth="1"/>
    <col min="26" max="26" width="14.140625" style="74" customWidth="1"/>
    <col min="27" max="27" width="13.28515625" style="74" customWidth="1"/>
    <col min="28" max="28" width="10.7109375" style="95" bestFit="1" customWidth="1"/>
    <col min="29" max="39" width="7.7109375" style="95" customWidth="1"/>
    <col min="40" max="40" width="10.7109375" style="95" bestFit="1" customWidth="1"/>
    <col min="41" max="51" width="7.7109375" style="95" customWidth="1"/>
    <col min="52" max="52" width="42.85546875" style="74" customWidth="1"/>
    <col min="53" max="16384" width="8" style="74"/>
  </cols>
  <sheetData>
    <row r="1" spans="1:52" s="65" customFormat="1" ht="26.1" customHeight="1" x14ac:dyDescent="0.2">
      <c r="A1" s="63" t="s">
        <v>40</v>
      </c>
      <c r="B1" s="64" t="s">
        <v>41</v>
      </c>
      <c r="C1" s="63" t="s">
        <v>42</v>
      </c>
      <c r="D1" s="64" t="s">
        <v>43</v>
      </c>
      <c r="E1" s="64" t="s">
        <v>44</v>
      </c>
      <c r="F1" s="64" t="s">
        <v>45</v>
      </c>
      <c r="G1" s="64" t="s">
        <v>46</v>
      </c>
      <c r="H1" s="64" t="s">
        <v>47</v>
      </c>
      <c r="I1" s="64" t="s">
        <v>48</v>
      </c>
      <c r="J1" s="64" t="s">
        <v>49</v>
      </c>
      <c r="K1" s="64" t="s">
        <v>50</v>
      </c>
      <c r="L1" s="64" t="s">
        <v>51</v>
      </c>
      <c r="M1" s="64" t="s">
        <v>52</v>
      </c>
      <c r="N1" s="64" t="s">
        <v>53</v>
      </c>
      <c r="O1" s="64" t="s">
        <v>54</v>
      </c>
      <c r="P1" s="64" t="s">
        <v>55</v>
      </c>
      <c r="Q1" s="64" t="s">
        <v>56</v>
      </c>
      <c r="R1" s="64" t="s">
        <v>57</v>
      </c>
      <c r="S1" s="64" t="s">
        <v>58</v>
      </c>
      <c r="T1" s="63" t="s">
        <v>59</v>
      </c>
      <c r="U1" s="63" t="s">
        <v>60</v>
      </c>
      <c r="V1" s="64" t="s">
        <v>61</v>
      </c>
      <c r="W1" s="64" t="s">
        <v>62</v>
      </c>
      <c r="X1" s="63" t="s">
        <v>63</v>
      </c>
      <c r="Y1" s="63" t="s">
        <v>64</v>
      </c>
      <c r="Z1" s="63" t="s">
        <v>65</v>
      </c>
      <c r="AA1" s="63" t="s">
        <v>66</v>
      </c>
      <c r="AB1" s="96" t="s">
        <v>67</v>
      </c>
      <c r="AC1" s="96" t="s">
        <v>68</v>
      </c>
      <c r="AD1" s="96" t="s">
        <v>69</v>
      </c>
      <c r="AE1" s="96" t="s">
        <v>70</v>
      </c>
      <c r="AF1" s="96" t="s">
        <v>71</v>
      </c>
      <c r="AG1" s="96" t="s">
        <v>72</v>
      </c>
      <c r="AH1" s="96" t="s">
        <v>73</v>
      </c>
      <c r="AI1" s="96" t="s">
        <v>74</v>
      </c>
      <c r="AJ1" s="96" t="s">
        <v>75</v>
      </c>
      <c r="AK1" s="96" t="s">
        <v>76</v>
      </c>
      <c r="AL1" s="96" t="s">
        <v>77</v>
      </c>
      <c r="AM1" s="96" t="s">
        <v>78</v>
      </c>
      <c r="AN1" s="96" t="s">
        <v>79</v>
      </c>
      <c r="AO1" s="96" t="s">
        <v>80</v>
      </c>
      <c r="AP1" s="96" t="s">
        <v>81</v>
      </c>
      <c r="AQ1" s="96" t="s">
        <v>82</v>
      </c>
      <c r="AR1" s="96" t="s">
        <v>83</v>
      </c>
      <c r="AS1" s="96" t="s">
        <v>84</v>
      </c>
      <c r="AT1" s="96" t="s">
        <v>85</v>
      </c>
      <c r="AU1" s="96" t="s">
        <v>86</v>
      </c>
      <c r="AV1" s="96" t="s">
        <v>87</v>
      </c>
      <c r="AW1" s="96" t="s">
        <v>88</v>
      </c>
      <c r="AX1" s="96" t="s">
        <v>89</v>
      </c>
      <c r="AY1" s="96" t="s">
        <v>90</v>
      </c>
      <c r="AZ1" s="64" t="s">
        <v>91</v>
      </c>
    </row>
    <row r="2" spans="1:52" s="68" customFormat="1" ht="11.25" customHeight="1" x14ac:dyDescent="0.2">
      <c r="A2" s="102"/>
      <c r="B2" s="102"/>
      <c r="C2" s="102"/>
      <c r="D2" s="68" t="s">
        <v>92</v>
      </c>
      <c r="F2" s="68" t="str">
        <f>CONCATENATE(P2,N2,D2,N2,M2,N2,L2)</f>
        <v>01_AgWeb_ROS_300x250</v>
      </c>
      <c r="G2" s="68" t="s">
        <v>93</v>
      </c>
      <c r="L2" s="68" t="s">
        <v>94</v>
      </c>
      <c r="M2" s="68" t="s">
        <v>95</v>
      </c>
      <c r="N2" s="68" t="s">
        <v>96</v>
      </c>
      <c r="P2" s="103" t="s">
        <v>97</v>
      </c>
      <c r="R2" s="103"/>
      <c r="S2" s="103"/>
      <c r="T2" s="104">
        <v>39084</v>
      </c>
      <c r="U2" s="104">
        <v>39201</v>
      </c>
      <c r="X2" s="68" t="s">
        <v>98</v>
      </c>
      <c r="Y2" s="72">
        <f>SUM(AB2:AM2)</f>
        <v>2000000</v>
      </c>
      <c r="Z2" s="73">
        <v>8</v>
      </c>
      <c r="AA2" s="73">
        <f>SUM(AN2:AY2)</f>
        <v>16000</v>
      </c>
      <c r="AB2" s="72">
        <v>2000000</v>
      </c>
      <c r="AC2" s="72"/>
      <c r="AD2" s="72"/>
      <c r="AE2" s="72"/>
      <c r="AF2" s="72"/>
      <c r="AG2" s="72"/>
      <c r="AH2" s="72"/>
      <c r="AI2" s="72"/>
      <c r="AJ2" s="72"/>
      <c r="AK2" s="72"/>
      <c r="AL2" s="72"/>
      <c r="AM2" s="72"/>
      <c r="AN2" s="73">
        <f>(AB2/1000)*$Z2</f>
        <v>16000</v>
      </c>
      <c r="AO2" s="73">
        <f>(AC2/1000)*$Z2</f>
        <v>0</v>
      </c>
      <c r="AP2" s="73">
        <f>(AD2/1000)*$Z2</f>
        <v>0</v>
      </c>
      <c r="AQ2" s="73">
        <f>(AE2/1000)*$Z2</f>
        <v>0</v>
      </c>
      <c r="AR2" s="73"/>
      <c r="AS2" s="73"/>
      <c r="AT2" s="73"/>
      <c r="AU2" s="73"/>
      <c r="AV2" s="73"/>
      <c r="AW2" s="73"/>
      <c r="AX2" s="73"/>
      <c r="AY2" s="73"/>
      <c r="AZ2" s="102" t="s">
        <v>99</v>
      </c>
    </row>
    <row r="3" spans="1:52" s="94" customFormat="1" ht="12.75" x14ac:dyDescent="0.2">
      <c r="A3" s="102"/>
      <c r="D3" s="68" t="s">
        <v>92</v>
      </c>
      <c r="E3" s="68"/>
      <c r="F3" s="68" t="str">
        <f>CONCATENATE(P3,N3,D3,N3,M3,N3,L3)</f>
        <v>02_AgWeb_Crop Comments_728x90</v>
      </c>
      <c r="G3" s="68"/>
      <c r="H3" s="68"/>
      <c r="I3" s="68"/>
      <c r="J3" s="68"/>
      <c r="K3" s="68"/>
      <c r="L3" s="68" t="s">
        <v>100</v>
      </c>
      <c r="M3" s="68" t="s">
        <v>101</v>
      </c>
      <c r="N3" s="68" t="s">
        <v>96</v>
      </c>
      <c r="O3" s="68"/>
      <c r="P3" s="103" t="s">
        <v>102</v>
      </c>
      <c r="Q3" s="68"/>
      <c r="R3" s="103"/>
      <c r="S3" s="103"/>
      <c r="T3" s="104">
        <v>39084</v>
      </c>
      <c r="U3" s="104">
        <v>39201</v>
      </c>
      <c r="V3" s="68"/>
      <c r="W3" s="68"/>
      <c r="X3" s="68" t="s">
        <v>103</v>
      </c>
      <c r="Y3" s="72">
        <f>SUM(AB3:AM3)</f>
        <v>40000</v>
      </c>
      <c r="Z3" s="73">
        <v>2500</v>
      </c>
      <c r="AA3" s="73"/>
      <c r="AB3" s="72">
        <v>10000</v>
      </c>
      <c r="AC3" s="72">
        <v>10000</v>
      </c>
      <c r="AD3" s="72">
        <v>10000</v>
      </c>
      <c r="AE3" s="72">
        <v>10000</v>
      </c>
      <c r="AF3" s="72"/>
      <c r="AG3" s="72"/>
      <c r="AH3" s="72"/>
      <c r="AI3" s="72"/>
      <c r="AJ3" s="72"/>
      <c r="AK3" s="72"/>
      <c r="AL3" s="72"/>
      <c r="AM3" s="72"/>
      <c r="AN3" s="73">
        <v>625</v>
      </c>
      <c r="AO3" s="73">
        <v>625</v>
      </c>
      <c r="AP3" s="73">
        <v>625</v>
      </c>
      <c r="AQ3" s="73">
        <v>625</v>
      </c>
      <c r="AR3" s="73"/>
      <c r="AS3" s="73"/>
      <c r="AT3" s="73"/>
      <c r="AU3" s="73"/>
      <c r="AV3" s="73"/>
      <c r="AW3" s="73"/>
      <c r="AX3" s="73"/>
      <c r="AY3" s="73"/>
      <c r="AZ3" s="68"/>
    </row>
    <row r="4" spans="1:52" s="65" customFormat="1" ht="11.25" customHeight="1" x14ac:dyDescent="0.2">
      <c r="A4" s="66"/>
      <c r="B4" s="66"/>
      <c r="C4" s="66"/>
      <c r="D4" s="65" t="s">
        <v>113</v>
      </c>
      <c r="F4" s="65" t="str">
        <f>CONCATENATE(P4,N4,D4,N4,M4,N4,L4)</f>
        <v>01_Pioneer Press_ROS_300x250 &amp; 728x90</v>
      </c>
      <c r="G4" s="65" t="s">
        <v>93</v>
      </c>
      <c r="L4" s="65" t="s">
        <v>114</v>
      </c>
      <c r="M4" s="65" t="s">
        <v>95</v>
      </c>
      <c r="N4" s="65" t="s">
        <v>96</v>
      </c>
      <c r="P4" s="67" t="s">
        <v>97</v>
      </c>
      <c r="R4" s="67"/>
      <c r="S4" s="67"/>
      <c r="T4" s="69"/>
      <c r="U4" s="69"/>
      <c r="X4" s="65" t="s">
        <v>98</v>
      </c>
      <c r="Y4" s="70">
        <f>SUM(AB4:AM4)</f>
        <v>0</v>
      </c>
      <c r="Z4" s="71"/>
      <c r="AA4" s="71">
        <v>15000</v>
      </c>
      <c r="AB4" s="97"/>
      <c r="AC4" s="97"/>
      <c r="AD4" s="97"/>
      <c r="AE4" s="97"/>
      <c r="AF4" s="97"/>
      <c r="AG4" s="97"/>
      <c r="AH4" s="97"/>
      <c r="AI4" s="97"/>
      <c r="AJ4" s="97"/>
      <c r="AK4" s="97"/>
      <c r="AL4" s="97"/>
      <c r="AM4" s="97"/>
      <c r="AN4" s="98">
        <f>(AB4/1000)*$Z4</f>
        <v>0</v>
      </c>
      <c r="AO4" s="98">
        <f>(AC4/1000)*$Z4</f>
        <v>0</v>
      </c>
      <c r="AP4" s="98">
        <f>(AD4/1000)*$Z4</f>
        <v>0</v>
      </c>
      <c r="AQ4" s="98">
        <f>(AE4/1000)*$Z4</f>
        <v>0</v>
      </c>
      <c r="AR4" s="98"/>
      <c r="AS4" s="98"/>
      <c r="AT4" s="98"/>
      <c r="AU4" s="98"/>
      <c r="AV4" s="98"/>
      <c r="AW4" s="98"/>
      <c r="AX4" s="98"/>
      <c r="AY4" s="98"/>
      <c r="AZ4" s="66" t="s">
        <v>99</v>
      </c>
    </row>
    <row r="5" spans="1:52" s="65" customFormat="1" ht="11.25" customHeight="1" x14ac:dyDescent="0.2">
      <c r="A5" s="66"/>
      <c r="B5" s="66"/>
      <c r="C5" s="66"/>
      <c r="D5" s="65" t="s">
        <v>120</v>
      </c>
      <c r="F5" s="65" t="str">
        <f t="shared" ref="F5:F9" si="0">CONCATENATE(P5,N5,D5,N5,M5,N5,L5)</f>
        <v>02_Star Tribune_ROS_300x250 &amp; 728x90</v>
      </c>
      <c r="G5" s="65" t="s">
        <v>93</v>
      </c>
      <c r="L5" s="65" t="s">
        <v>114</v>
      </c>
      <c r="M5" s="65" t="s">
        <v>95</v>
      </c>
      <c r="N5" s="65" t="s">
        <v>96</v>
      </c>
      <c r="P5" s="67" t="s">
        <v>115</v>
      </c>
      <c r="R5" s="67"/>
      <c r="S5" s="67"/>
      <c r="T5" s="69"/>
      <c r="U5" s="69"/>
      <c r="X5" s="65" t="s">
        <v>98</v>
      </c>
      <c r="Y5" s="70">
        <f t="shared" ref="Y5:Y9" si="1">SUM(AB5:AM5)</f>
        <v>0</v>
      </c>
      <c r="Z5" s="71"/>
      <c r="AA5" s="71">
        <v>15000</v>
      </c>
      <c r="AB5" s="97"/>
      <c r="AC5" s="97"/>
      <c r="AD5" s="97"/>
      <c r="AE5" s="97"/>
      <c r="AF5" s="97"/>
      <c r="AG5" s="97"/>
      <c r="AH5" s="97"/>
      <c r="AI5" s="97"/>
      <c r="AJ5" s="97"/>
      <c r="AK5" s="97"/>
      <c r="AL5" s="97"/>
      <c r="AM5" s="97"/>
      <c r="AN5" s="98">
        <f t="shared" ref="AN5:AN9" si="2">(AB5/1000)*$Z5</f>
        <v>0</v>
      </c>
      <c r="AO5" s="98">
        <f t="shared" ref="AO5:AO9" si="3">(AC5/1000)*$Z5</f>
        <v>0</v>
      </c>
      <c r="AP5" s="98">
        <f t="shared" ref="AP5:AP9" si="4">(AD5/1000)*$Z5</f>
        <v>0</v>
      </c>
      <c r="AQ5" s="98">
        <f t="shared" ref="AQ5:AQ9" si="5">(AE5/1000)*$Z5</f>
        <v>0</v>
      </c>
      <c r="AR5" s="98"/>
      <c r="AS5" s="98"/>
      <c r="AT5" s="98"/>
      <c r="AU5" s="98"/>
      <c r="AV5" s="98"/>
      <c r="AW5" s="98"/>
      <c r="AX5" s="98"/>
      <c r="AY5" s="98"/>
      <c r="AZ5" s="66" t="s">
        <v>99</v>
      </c>
    </row>
    <row r="6" spans="1:52" s="65" customFormat="1" ht="11.25" customHeight="1" x14ac:dyDescent="0.2">
      <c r="A6" s="66"/>
      <c r="B6" s="66"/>
      <c r="C6" s="66"/>
      <c r="D6" s="65" t="s">
        <v>121</v>
      </c>
      <c r="F6" s="65" t="str">
        <f t="shared" si="0"/>
        <v>03_Real Media_ROS_300x250 &amp; 728x90</v>
      </c>
      <c r="G6" s="65" t="s">
        <v>93</v>
      </c>
      <c r="L6" s="65" t="s">
        <v>114</v>
      </c>
      <c r="M6" s="65" t="s">
        <v>95</v>
      </c>
      <c r="N6" s="65" t="s">
        <v>96</v>
      </c>
      <c r="P6" s="67" t="s">
        <v>116</v>
      </c>
      <c r="R6" s="67"/>
      <c r="S6" s="67"/>
      <c r="T6" s="69"/>
      <c r="U6" s="69"/>
      <c r="X6" s="65" t="s">
        <v>98</v>
      </c>
      <c r="Y6" s="70">
        <f t="shared" si="1"/>
        <v>0</v>
      </c>
      <c r="Z6" s="71"/>
      <c r="AA6" s="71">
        <v>35000</v>
      </c>
      <c r="AB6" s="97"/>
      <c r="AC6" s="97"/>
      <c r="AD6" s="97"/>
      <c r="AE6" s="97"/>
      <c r="AF6" s="97"/>
      <c r="AG6" s="97"/>
      <c r="AH6" s="97"/>
      <c r="AI6" s="97"/>
      <c r="AJ6" s="97"/>
      <c r="AK6" s="97"/>
      <c r="AL6" s="97"/>
      <c r="AM6" s="97"/>
      <c r="AN6" s="98">
        <f t="shared" si="2"/>
        <v>0</v>
      </c>
      <c r="AO6" s="98">
        <f t="shared" si="3"/>
        <v>0</v>
      </c>
      <c r="AP6" s="98">
        <f t="shared" si="4"/>
        <v>0</v>
      </c>
      <c r="AQ6" s="98">
        <f t="shared" si="5"/>
        <v>0</v>
      </c>
      <c r="AR6" s="98"/>
      <c r="AS6" s="98"/>
      <c r="AT6" s="98"/>
      <c r="AU6" s="98"/>
      <c r="AV6" s="98"/>
      <c r="AW6" s="98"/>
      <c r="AX6" s="98"/>
      <c r="AY6" s="98"/>
      <c r="AZ6" s="66" t="s">
        <v>99</v>
      </c>
    </row>
    <row r="7" spans="1:52" s="65" customFormat="1" ht="11.25" customHeight="1" x14ac:dyDescent="0.2">
      <c r="A7" s="66"/>
      <c r="B7" s="66"/>
      <c r="C7" s="66"/>
      <c r="D7" s="65" t="s">
        <v>124</v>
      </c>
      <c r="F7" s="65" t="str">
        <f t="shared" si="0"/>
        <v>04_Undertone_ROS_300x250 &amp; 728x90</v>
      </c>
      <c r="G7" s="65" t="s">
        <v>93</v>
      </c>
      <c r="L7" s="65" t="s">
        <v>114</v>
      </c>
      <c r="M7" s="65" t="s">
        <v>95</v>
      </c>
      <c r="N7" s="65" t="s">
        <v>96</v>
      </c>
      <c r="P7" s="67" t="s">
        <v>117</v>
      </c>
      <c r="R7" s="67"/>
      <c r="S7" s="67"/>
      <c r="T7" s="69"/>
      <c r="U7" s="69"/>
      <c r="X7" s="65" t="s">
        <v>98</v>
      </c>
      <c r="Y7" s="70">
        <f t="shared" si="1"/>
        <v>0</v>
      </c>
      <c r="Z7" s="71"/>
      <c r="AA7" s="71">
        <v>35000</v>
      </c>
      <c r="AB7" s="97"/>
      <c r="AC7" s="97"/>
      <c r="AD7" s="97"/>
      <c r="AE7" s="97"/>
      <c r="AF7" s="97"/>
      <c r="AG7" s="97"/>
      <c r="AH7" s="97"/>
      <c r="AI7" s="97"/>
      <c r="AJ7" s="97"/>
      <c r="AK7" s="97"/>
      <c r="AL7" s="97"/>
      <c r="AM7" s="97"/>
      <c r="AN7" s="98">
        <f t="shared" si="2"/>
        <v>0</v>
      </c>
      <c r="AO7" s="98">
        <f t="shared" si="3"/>
        <v>0</v>
      </c>
      <c r="AP7" s="98">
        <f t="shared" si="4"/>
        <v>0</v>
      </c>
      <c r="AQ7" s="98">
        <f t="shared" si="5"/>
        <v>0</v>
      </c>
      <c r="AR7" s="98"/>
      <c r="AS7" s="98"/>
      <c r="AT7" s="98"/>
      <c r="AU7" s="98"/>
      <c r="AV7" s="98"/>
      <c r="AW7" s="98"/>
      <c r="AX7" s="98"/>
      <c r="AY7" s="98"/>
      <c r="AZ7" s="66" t="s">
        <v>99</v>
      </c>
    </row>
    <row r="8" spans="1:52" s="65" customFormat="1" ht="11.25" customHeight="1" x14ac:dyDescent="0.2">
      <c r="A8" s="66"/>
      <c r="B8" s="66"/>
      <c r="C8" s="66"/>
      <c r="D8" s="65" t="s">
        <v>33</v>
      </c>
      <c r="F8" s="65" t="str">
        <f t="shared" si="0"/>
        <v>05_Pandora_ROS_300x250 &amp; 728x90</v>
      </c>
      <c r="G8" s="65" t="s">
        <v>93</v>
      </c>
      <c r="L8" s="65" t="s">
        <v>114</v>
      </c>
      <c r="M8" s="65" t="s">
        <v>95</v>
      </c>
      <c r="N8" s="65" t="s">
        <v>96</v>
      </c>
      <c r="P8" s="67" t="s">
        <v>118</v>
      </c>
      <c r="R8" s="67"/>
      <c r="S8" s="67"/>
      <c r="T8" s="69"/>
      <c r="U8" s="69"/>
      <c r="X8" s="65" t="s">
        <v>98</v>
      </c>
      <c r="Y8" s="70">
        <f t="shared" si="1"/>
        <v>9000000</v>
      </c>
      <c r="Z8" s="71">
        <v>5</v>
      </c>
      <c r="AA8" s="71">
        <v>45000</v>
      </c>
      <c r="AB8" s="97">
        <v>9000000</v>
      </c>
      <c r="AC8" s="97"/>
      <c r="AD8" s="97"/>
      <c r="AE8" s="97"/>
      <c r="AF8" s="97"/>
      <c r="AG8" s="97"/>
      <c r="AH8" s="97"/>
      <c r="AI8" s="97"/>
      <c r="AJ8" s="97"/>
      <c r="AK8" s="97"/>
      <c r="AL8" s="97"/>
      <c r="AM8" s="97"/>
      <c r="AN8" s="98">
        <f t="shared" si="2"/>
        <v>45000</v>
      </c>
      <c r="AO8" s="98">
        <f t="shared" si="3"/>
        <v>0</v>
      </c>
      <c r="AP8" s="98">
        <f t="shared" si="4"/>
        <v>0</v>
      </c>
      <c r="AQ8" s="98">
        <f t="shared" si="5"/>
        <v>0</v>
      </c>
      <c r="AR8" s="98"/>
      <c r="AS8" s="98"/>
      <c r="AT8" s="98"/>
      <c r="AU8" s="98"/>
      <c r="AV8" s="98"/>
      <c r="AW8" s="98"/>
      <c r="AX8" s="98"/>
      <c r="AY8" s="98"/>
      <c r="AZ8" s="66" t="s">
        <v>99</v>
      </c>
    </row>
    <row r="9" spans="1:52" s="65" customFormat="1" ht="11.25" customHeight="1" x14ac:dyDescent="0.2">
      <c r="A9" s="66"/>
      <c r="B9" s="66"/>
      <c r="C9" s="66"/>
      <c r="D9" s="105" t="s">
        <v>122</v>
      </c>
      <c r="F9" s="65" t="str">
        <f t="shared" si="0"/>
        <v>06_Weather Bug_ROS_300x250 &amp; 728x90</v>
      </c>
      <c r="G9" s="65" t="s">
        <v>93</v>
      </c>
      <c r="L9" s="65" t="s">
        <v>114</v>
      </c>
      <c r="M9" s="65" t="s">
        <v>95</v>
      </c>
      <c r="N9" s="65" t="s">
        <v>96</v>
      </c>
      <c r="P9" s="67" t="s">
        <v>119</v>
      </c>
      <c r="R9" s="67"/>
      <c r="S9" s="67"/>
      <c r="T9" s="69"/>
      <c r="U9" s="69"/>
      <c r="X9" s="65" t="s">
        <v>98</v>
      </c>
      <c r="Y9" s="70">
        <f t="shared" si="1"/>
        <v>1700000</v>
      </c>
      <c r="Z9" s="71">
        <v>7.06</v>
      </c>
      <c r="AA9" s="71">
        <v>12000</v>
      </c>
      <c r="AB9" s="97">
        <v>1700000</v>
      </c>
      <c r="AC9" s="97"/>
      <c r="AD9" s="97"/>
      <c r="AE9" s="97"/>
      <c r="AF9" s="97"/>
      <c r="AG9" s="97"/>
      <c r="AH9" s="97"/>
      <c r="AI9" s="97"/>
      <c r="AJ9" s="97"/>
      <c r="AK9" s="97"/>
      <c r="AL9" s="97"/>
      <c r="AM9" s="97"/>
      <c r="AN9" s="98">
        <f t="shared" si="2"/>
        <v>12002</v>
      </c>
      <c r="AO9" s="98">
        <f t="shared" si="3"/>
        <v>0</v>
      </c>
      <c r="AP9" s="98">
        <f t="shared" si="4"/>
        <v>0</v>
      </c>
      <c r="AQ9" s="98">
        <f t="shared" si="5"/>
        <v>0</v>
      </c>
      <c r="AR9" s="98"/>
      <c r="AS9" s="98"/>
      <c r="AT9" s="98"/>
      <c r="AU9" s="98"/>
      <c r="AV9" s="98"/>
      <c r="AW9" s="98"/>
      <c r="AX9" s="98"/>
      <c r="AY9" s="98"/>
      <c r="AZ9" s="66" t="s">
        <v>99</v>
      </c>
    </row>
    <row r="10" spans="1:52" s="77" customFormat="1" ht="11.25" customHeight="1" x14ac:dyDescent="0.2">
      <c r="A10" s="66"/>
      <c r="B10" s="76"/>
      <c r="C10" s="76"/>
      <c r="D10" s="65" t="s">
        <v>123</v>
      </c>
      <c r="E10" s="65"/>
      <c r="F10" s="65" t="str">
        <f t="shared" ref="F10:F15" si="6">CONCATENATE(P10,N10,D10,N10,M10,N10,L10)</f>
        <v>Social</v>
      </c>
      <c r="G10" s="65"/>
      <c r="H10" s="65"/>
      <c r="I10" s="65"/>
      <c r="J10" s="65"/>
      <c r="K10" s="65"/>
      <c r="L10" s="65"/>
      <c r="M10" s="65"/>
      <c r="N10" s="65"/>
      <c r="O10" s="65"/>
      <c r="P10" s="75"/>
      <c r="Q10" s="65"/>
      <c r="R10" s="75"/>
      <c r="S10" s="75"/>
      <c r="T10" s="69"/>
      <c r="U10" s="69"/>
      <c r="V10" s="65"/>
      <c r="W10" s="65"/>
      <c r="X10" s="65"/>
      <c r="Y10" s="65"/>
      <c r="Z10" s="71"/>
      <c r="AA10" s="65">
        <v>15000</v>
      </c>
      <c r="AB10" s="97"/>
      <c r="AC10" s="97"/>
      <c r="AD10" s="97"/>
      <c r="AE10" s="97"/>
      <c r="AF10" s="97"/>
      <c r="AG10" s="97"/>
      <c r="AH10" s="97"/>
      <c r="AI10" s="97"/>
      <c r="AJ10" s="97"/>
      <c r="AK10" s="97"/>
      <c r="AL10" s="97"/>
      <c r="AM10" s="97"/>
      <c r="AN10" s="98"/>
      <c r="AO10" s="98"/>
      <c r="AP10" s="98"/>
      <c r="AQ10" s="98"/>
      <c r="AR10" s="98"/>
      <c r="AS10" s="98"/>
      <c r="AT10" s="98"/>
      <c r="AU10" s="98"/>
      <c r="AV10" s="98"/>
      <c r="AW10" s="98"/>
      <c r="AX10" s="98"/>
      <c r="AY10" s="98"/>
      <c r="AZ10" s="76" t="s">
        <v>99</v>
      </c>
    </row>
    <row r="11" spans="1:52" s="65" customFormat="1" ht="11.25" customHeight="1" x14ac:dyDescent="0.2">
      <c r="A11" s="66"/>
      <c r="B11" s="66"/>
      <c r="C11" s="66"/>
      <c r="F11" s="65" t="str">
        <f t="shared" si="6"/>
        <v/>
      </c>
      <c r="P11" s="75"/>
      <c r="R11" s="75"/>
      <c r="S11" s="75"/>
      <c r="T11" s="69"/>
      <c r="U11" s="69"/>
      <c r="Z11" s="71"/>
      <c r="AB11" s="97"/>
      <c r="AC11" s="97"/>
      <c r="AD11" s="97"/>
      <c r="AE11" s="97"/>
      <c r="AF11" s="97"/>
      <c r="AG11" s="97"/>
      <c r="AH11" s="97"/>
      <c r="AI11" s="97"/>
      <c r="AJ11" s="97"/>
      <c r="AK11" s="97"/>
      <c r="AL11" s="97"/>
      <c r="AM11" s="97"/>
      <c r="AN11" s="98"/>
      <c r="AO11" s="98"/>
      <c r="AP11" s="98"/>
      <c r="AQ11" s="98"/>
      <c r="AR11" s="98"/>
      <c r="AS11" s="98"/>
      <c r="AT11" s="98"/>
      <c r="AU11" s="98"/>
      <c r="AV11" s="98"/>
      <c r="AW11" s="98"/>
      <c r="AX11" s="98"/>
      <c r="AY11" s="98"/>
      <c r="AZ11" s="66" t="s">
        <v>99</v>
      </c>
    </row>
    <row r="12" spans="1:52" s="65" customFormat="1" ht="11.25" customHeight="1" x14ac:dyDescent="0.2">
      <c r="A12" s="66"/>
      <c r="B12" s="66"/>
      <c r="C12" s="66"/>
      <c r="F12" s="65" t="str">
        <f t="shared" si="6"/>
        <v/>
      </c>
      <c r="P12" s="75"/>
      <c r="R12" s="75"/>
      <c r="S12" s="75"/>
      <c r="T12" s="69"/>
      <c r="U12" s="69"/>
      <c r="Z12" s="71"/>
      <c r="AB12" s="97"/>
      <c r="AC12" s="97"/>
      <c r="AD12" s="97"/>
      <c r="AE12" s="97"/>
      <c r="AF12" s="97"/>
      <c r="AG12" s="97"/>
      <c r="AH12" s="97"/>
      <c r="AI12" s="97"/>
      <c r="AJ12" s="97"/>
      <c r="AK12" s="97"/>
      <c r="AL12" s="97"/>
      <c r="AM12" s="97"/>
      <c r="AN12" s="98"/>
      <c r="AO12" s="98"/>
      <c r="AP12" s="98"/>
      <c r="AQ12" s="98"/>
      <c r="AR12" s="98"/>
      <c r="AS12" s="98"/>
      <c r="AT12" s="98"/>
      <c r="AU12" s="98"/>
      <c r="AV12" s="98"/>
      <c r="AW12" s="98"/>
      <c r="AX12" s="98"/>
      <c r="AY12" s="98"/>
      <c r="AZ12" s="66" t="s">
        <v>99</v>
      </c>
    </row>
    <row r="13" spans="1:52" s="65" customFormat="1" ht="11.25" customHeight="1" x14ac:dyDescent="0.2">
      <c r="A13" s="66"/>
      <c r="B13" s="66"/>
      <c r="C13" s="66"/>
      <c r="F13" s="65" t="str">
        <f t="shared" si="6"/>
        <v/>
      </c>
      <c r="P13" s="75"/>
      <c r="R13" s="75"/>
      <c r="S13" s="75"/>
      <c r="T13" s="69"/>
      <c r="U13" s="69"/>
      <c r="Z13" s="71"/>
      <c r="AB13" s="97"/>
      <c r="AC13" s="97"/>
      <c r="AD13" s="97"/>
      <c r="AE13" s="97"/>
      <c r="AF13" s="97"/>
      <c r="AG13" s="97"/>
      <c r="AH13" s="97"/>
      <c r="AI13" s="97"/>
      <c r="AJ13" s="97"/>
      <c r="AK13" s="97"/>
      <c r="AL13" s="97"/>
      <c r="AM13" s="97"/>
      <c r="AN13" s="98"/>
      <c r="AO13" s="98"/>
      <c r="AP13" s="98"/>
      <c r="AQ13" s="98"/>
      <c r="AR13" s="98"/>
      <c r="AS13" s="98"/>
      <c r="AT13" s="98"/>
      <c r="AU13" s="98"/>
      <c r="AV13" s="98"/>
      <c r="AW13" s="98"/>
      <c r="AX13" s="98"/>
      <c r="AY13" s="98"/>
      <c r="AZ13" s="66" t="s">
        <v>99</v>
      </c>
    </row>
    <row r="14" spans="1:52" s="65" customFormat="1" ht="11.25" customHeight="1" x14ac:dyDescent="0.2">
      <c r="A14" s="66"/>
      <c r="B14" s="66"/>
      <c r="C14" s="66"/>
      <c r="F14" s="65" t="str">
        <f t="shared" si="6"/>
        <v/>
      </c>
      <c r="P14" s="75"/>
      <c r="R14" s="75"/>
      <c r="S14" s="75"/>
      <c r="T14" s="69"/>
      <c r="U14" s="69"/>
      <c r="Z14" s="71"/>
      <c r="AB14" s="97"/>
      <c r="AC14" s="97"/>
      <c r="AD14" s="97"/>
      <c r="AE14" s="97"/>
      <c r="AF14" s="97"/>
      <c r="AG14" s="97"/>
      <c r="AH14" s="97"/>
      <c r="AI14" s="97"/>
      <c r="AJ14" s="97"/>
      <c r="AK14" s="97"/>
      <c r="AL14" s="97"/>
      <c r="AM14" s="97"/>
      <c r="AN14" s="98"/>
      <c r="AO14" s="98"/>
      <c r="AP14" s="98"/>
      <c r="AQ14" s="98"/>
      <c r="AR14" s="98"/>
      <c r="AS14" s="98"/>
      <c r="AT14" s="98"/>
      <c r="AU14" s="98"/>
      <c r="AV14" s="98"/>
      <c r="AW14" s="98"/>
      <c r="AX14" s="98"/>
      <c r="AY14" s="98"/>
      <c r="AZ14" s="66" t="s">
        <v>99</v>
      </c>
    </row>
    <row r="15" spans="1:52" s="65" customFormat="1" ht="11.25" customHeight="1" x14ac:dyDescent="0.2">
      <c r="A15" s="66"/>
      <c r="B15" s="66"/>
      <c r="C15" s="66"/>
      <c r="F15" s="65" t="str">
        <f t="shared" si="6"/>
        <v/>
      </c>
      <c r="P15" s="75"/>
      <c r="R15" s="75"/>
      <c r="S15" s="75"/>
      <c r="T15" s="69"/>
      <c r="U15" s="69"/>
      <c r="Z15" s="71"/>
      <c r="AB15" s="97"/>
      <c r="AC15" s="97"/>
      <c r="AD15" s="97"/>
      <c r="AE15" s="97"/>
      <c r="AF15" s="97"/>
      <c r="AG15" s="97"/>
      <c r="AH15" s="97"/>
      <c r="AI15" s="97"/>
      <c r="AJ15" s="97"/>
      <c r="AK15" s="97"/>
      <c r="AL15" s="97"/>
      <c r="AM15" s="97"/>
      <c r="AN15" s="98"/>
      <c r="AO15" s="98"/>
      <c r="AP15" s="98"/>
      <c r="AQ15" s="98"/>
      <c r="AR15" s="98"/>
      <c r="AS15" s="98"/>
      <c r="AT15" s="98"/>
      <c r="AU15" s="98"/>
      <c r="AV15" s="98"/>
      <c r="AW15" s="98"/>
      <c r="AX15" s="98"/>
      <c r="AY15" s="98"/>
      <c r="AZ15" s="66" t="s">
        <v>99</v>
      </c>
    </row>
    <row r="16" spans="1:52" s="65" customFormat="1" ht="11.25" customHeight="1" x14ac:dyDescent="0.2">
      <c r="A16" s="78"/>
      <c r="B16" s="78"/>
      <c r="C16" s="78"/>
      <c r="D16" s="78"/>
      <c r="E16" s="78"/>
      <c r="F16" s="78"/>
      <c r="G16" s="78"/>
      <c r="H16" s="78"/>
      <c r="I16" s="78"/>
      <c r="J16" s="78"/>
      <c r="K16" s="78"/>
      <c r="L16" s="78"/>
      <c r="M16" s="78"/>
      <c r="N16" s="78"/>
      <c r="O16" s="78"/>
      <c r="P16" s="78"/>
      <c r="Q16" s="79"/>
      <c r="R16" s="78"/>
      <c r="S16" s="78"/>
      <c r="T16" s="79"/>
      <c r="U16" s="79"/>
      <c r="V16" s="78"/>
      <c r="W16" s="78"/>
      <c r="X16" s="78"/>
      <c r="Y16" s="78"/>
      <c r="Z16" s="80" t="s">
        <v>104</v>
      </c>
      <c r="AA16" s="81">
        <f>SUM(AA4:AA15)</f>
        <v>172000</v>
      </c>
      <c r="AB16" s="99"/>
      <c r="AC16" s="99"/>
      <c r="AD16" s="99"/>
      <c r="AE16" s="99"/>
      <c r="AF16" s="99"/>
      <c r="AG16" s="99"/>
      <c r="AH16" s="99"/>
      <c r="AI16" s="99"/>
      <c r="AJ16" s="99"/>
      <c r="AK16" s="99"/>
      <c r="AL16" s="99"/>
      <c r="AM16" s="99"/>
      <c r="AN16" s="99"/>
      <c r="AO16" s="99"/>
      <c r="AP16" s="99"/>
      <c r="AQ16" s="99"/>
      <c r="AR16" s="99"/>
      <c r="AS16" s="99"/>
      <c r="AT16" s="99"/>
      <c r="AU16" s="99"/>
      <c r="AV16" s="99"/>
      <c r="AW16" s="99"/>
      <c r="AX16" s="99"/>
      <c r="AY16" s="99"/>
      <c r="AZ16" s="76"/>
    </row>
    <row r="17" spans="1:52" s="83" customFormat="1" ht="12.75" x14ac:dyDescent="0.2">
      <c r="A17" s="82"/>
      <c r="D17" s="82" t="s">
        <v>105</v>
      </c>
      <c r="AA17" s="84">
        <v>0</v>
      </c>
      <c r="AB17" s="99"/>
      <c r="AC17" s="99"/>
      <c r="AD17" s="99"/>
      <c r="AE17" s="99"/>
      <c r="AF17" s="99"/>
      <c r="AG17" s="99"/>
      <c r="AH17" s="99"/>
      <c r="AI17" s="99"/>
      <c r="AJ17" s="99"/>
      <c r="AK17" s="99"/>
      <c r="AL17" s="99"/>
      <c r="AM17" s="99"/>
      <c r="AN17" s="99"/>
      <c r="AO17" s="99"/>
      <c r="AP17" s="99"/>
      <c r="AQ17" s="99"/>
      <c r="AR17" s="99"/>
      <c r="AS17" s="99"/>
      <c r="AT17" s="99"/>
      <c r="AU17" s="99"/>
      <c r="AV17" s="99"/>
      <c r="AW17" s="99"/>
      <c r="AX17" s="99"/>
      <c r="AY17" s="99"/>
    </row>
    <row r="18" spans="1:52" s="83" customFormat="1" ht="12.75" x14ac:dyDescent="0.2">
      <c r="A18" s="85"/>
      <c r="D18" s="86" t="s">
        <v>106</v>
      </c>
      <c r="E18" s="87"/>
      <c r="F18" s="87"/>
      <c r="G18" s="87"/>
      <c r="H18" s="87"/>
      <c r="I18" s="87"/>
      <c r="J18" s="87"/>
      <c r="K18" s="87"/>
      <c r="L18" s="87"/>
      <c r="M18" s="87"/>
      <c r="N18" s="87"/>
      <c r="O18" s="87"/>
      <c r="P18" s="87"/>
      <c r="Q18" s="87"/>
      <c r="R18" s="87"/>
      <c r="S18" s="87"/>
      <c r="T18" s="87"/>
      <c r="U18" s="87"/>
      <c r="V18" s="87"/>
      <c r="W18" s="87"/>
      <c r="X18" s="88" t="s">
        <v>107</v>
      </c>
      <c r="Y18" s="89">
        <f>0.027*((0)/1000)</f>
        <v>0</v>
      </c>
      <c r="Z18" s="90" t="s">
        <v>108</v>
      </c>
      <c r="AA18" s="91">
        <v>0</v>
      </c>
      <c r="AB18" s="100">
        <f>SUM(AB2:AB17)</f>
        <v>12710000</v>
      </c>
      <c r="AC18" s="100">
        <f t="shared" ref="AC18:AY18" si="7">SUM(AC2:AC17)</f>
        <v>10000</v>
      </c>
      <c r="AD18" s="100">
        <f t="shared" si="7"/>
        <v>10000</v>
      </c>
      <c r="AE18" s="100">
        <f t="shared" si="7"/>
        <v>10000</v>
      </c>
      <c r="AF18" s="100">
        <f t="shared" si="7"/>
        <v>0</v>
      </c>
      <c r="AG18" s="100">
        <f t="shared" si="7"/>
        <v>0</v>
      </c>
      <c r="AH18" s="100">
        <f t="shared" si="7"/>
        <v>0</v>
      </c>
      <c r="AI18" s="100">
        <f t="shared" si="7"/>
        <v>0</v>
      </c>
      <c r="AJ18" s="100">
        <f t="shared" si="7"/>
        <v>0</v>
      </c>
      <c r="AK18" s="100">
        <f t="shared" si="7"/>
        <v>0</v>
      </c>
      <c r="AL18" s="100">
        <f t="shared" si="7"/>
        <v>0</v>
      </c>
      <c r="AM18" s="100">
        <f>SUM(AM2:AM17)</f>
        <v>0</v>
      </c>
      <c r="AN18" s="101">
        <f t="shared" si="7"/>
        <v>73627</v>
      </c>
      <c r="AO18" s="101">
        <f t="shared" si="7"/>
        <v>625</v>
      </c>
      <c r="AP18" s="101">
        <f t="shared" si="7"/>
        <v>625</v>
      </c>
      <c r="AQ18" s="101">
        <f t="shared" si="7"/>
        <v>625</v>
      </c>
      <c r="AR18" s="101">
        <f t="shared" si="7"/>
        <v>0</v>
      </c>
      <c r="AS18" s="101">
        <f t="shared" si="7"/>
        <v>0</v>
      </c>
      <c r="AT18" s="101">
        <f t="shared" si="7"/>
        <v>0</v>
      </c>
      <c r="AU18" s="101">
        <f t="shared" si="7"/>
        <v>0</v>
      </c>
      <c r="AV18" s="101">
        <f t="shared" si="7"/>
        <v>0</v>
      </c>
      <c r="AW18" s="101">
        <f t="shared" si="7"/>
        <v>0</v>
      </c>
      <c r="AX18" s="101">
        <f t="shared" si="7"/>
        <v>0</v>
      </c>
      <c r="AY18" s="101">
        <f t="shared" si="7"/>
        <v>0</v>
      </c>
    </row>
    <row r="19" spans="1:52" s="83" customFormat="1" ht="12.75" x14ac:dyDescent="0.2">
      <c r="A19" s="85"/>
      <c r="D19" s="86" t="s">
        <v>109</v>
      </c>
      <c r="E19" s="87"/>
      <c r="F19" s="87"/>
      <c r="G19" s="87"/>
      <c r="H19" s="87"/>
      <c r="I19" s="87"/>
      <c r="J19" s="87"/>
      <c r="K19" s="87"/>
      <c r="L19" s="87"/>
      <c r="M19" s="87"/>
      <c r="N19" s="87"/>
      <c r="O19" s="87"/>
      <c r="P19" s="87"/>
      <c r="Q19" s="87"/>
      <c r="R19" s="87"/>
      <c r="S19" s="87"/>
      <c r="T19" s="87"/>
      <c r="U19" s="87"/>
      <c r="V19" s="87"/>
      <c r="W19" s="87"/>
      <c r="X19" s="87"/>
      <c r="Y19" s="89">
        <f>1.75*((0)/1000)</f>
        <v>0</v>
      </c>
      <c r="Z19" s="89">
        <f>AA18-(Y18+Y19)</f>
        <v>0</v>
      </c>
      <c r="AA19" s="92"/>
    </row>
    <row r="20" spans="1:52" ht="12.75" x14ac:dyDescent="0.2">
      <c r="A20" s="93"/>
      <c r="B20" s="93"/>
      <c r="C20" s="93"/>
      <c r="D20" s="93"/>
      <c r="E20" s="93"/>
      <c r="F20" s="93"/>
      <c r="G20" s="93"/>
      <c r="H20" s="93"/>
      <c r="I20" s="93"/>
      <c r="J20" s="93"/>
      <c r="K20" s="93"/>
      <c r="L20" s="93"/>
      <c r="M20" s="93"/>
      <c r="N20" s="93"/>
      <c r="O20" s="93"/>
      <c r="P20" s="93"/>
      <c r="Q20" s="93"/>
      <c r="R20" s="93"/>
      <c r="S20" s="93"/>
      <c r="T20" s="93"/>
      <c r="U20" s="93"/>
      <c r="V20" s="93"/>
      <c r="W20" s="93"/>
      <c r="X20" s="93"/>
      <c r="Y20" s="93"/>
      <c r="Z20" s="80" t="s">
        <v>110</v>
      </c>
      <c r="AA20" s="81">
        <f>SUM(AA16:AA19)</f>
        <v>172000</v>
      </c>
      <c r="AB20" s="99"/>
      <c r="AC20" s="99"/>
      <c r="AD20" s="99"/>
      <c r="AE20" s="99"/>
      <c r="AF20" s="99"/>
      <c r="AG20" s="99"/>
      <c r="AH20" s="99"/>
      <c r="AI20" s="99"/>
      <c r="AJ20" s="99"/>
      <c r="AK20" s="99"/>
      <c r="AL20" s="99"/>
      <c r="AM20" s="99"/>
      <c r="AN20" s="99"/>
      <c r="AO20" s="99"/>
      <c r="AP20" s="99"/>
      <c r="AQ20" s="99"/>
      <c r="AR20" s="99"/>
      <c r="AS20" s="99"/>
      <c r="AT20" s="99"/>
      <c r="AU20" s="99"/>
      <c r="AV20" s="99"/>
      <c r="AW20" s="99"/>
      <c r="AX20" s="99"/>
      <c r="AY20" s="99"/>
      <c r="AZ20" s="95"/>
    </row>
    <row r="21" spans="1:52" ht="12.75" x14ac:dyDescent="0.2">
      <c r="A21" s="93"/>
      <c r="B21" s="93"/>
      <c r="C21" s="93"/>
      <c r="D21" s="93"/>
      <c r="E21" s="93"/>
      <c r="F21" s="93"/>
      <c r="G21" s="93"/>
      <c r="H21" s="93"/>
      <c r="I21" s="93"/>
      <c r="J21" s="93"/>
      <c r="K21" s="93"/>
      <c r="L21" s="93"/>
      <c r="M21" s="93"/>
      <c r="N21" s="93"/>
      <c r="O21" s="93"/>
      <c r="P21" s="93"/>
      <c r="Q21" s="93"/>
      <c r="R21" s="93"/>
      <c r="S21" s="93"/>
      <c r="T21" s="93"/>
      <c r="U21" s="93"/>
      <c r="V21" s="93"/>
      <c r="W21" s="93"/>
      <c r="X21" s="93"/>
      <c r="Y21" s="93"/>
      <c r="Z21" s="80" t="s">
        <v>111</v>
      </c>
      <c r="AA21" s="81">
        <v>170000</v>
      </c>
      <c r="AB21" s="99"/>
      <c r="AC21" s="99"/>
      <c r="AD21" s="99"/>
      <c r="AE21" s="99"/>
      <c r="AF21" s="99"/>
      <c r="AG21" s="99"/>
      <c r="AH21" s="99"/>
      <c r="AI21" s="99"/>
      <c r="AJ21" s="99"/>
      <c r="AK21" s="99"/>
      <c r="AL21" s="99"/>
      <c r="AM21" s="99"/>
      <c r="AN21" s="99"/>
      <c r="AO21" s="99"/>
      <c r="AP21" s="99"/>
      <c r="AQ21" s="99"/>
      <c r="AR21" s="99"/>
      <c r="AS21" s="99"/>
      <c r="AT21" s="99"/>
      <c r="AU21" s="99"/>
      <c r="AV21" s="99"/>
      <c r="AW21" s="99"/>
      <c r="AX21" s="99"/>
      <c r="AY21" s="99"/>
      <c r="AZ21" s="95"/>
    </row>
    <row r="22" spans="1:52" ht="12.75" x14ac:dyDescent="0.2">
      <c r="A22" s="93"/>
      <c r="B22" s="93"/>
      <c r="C22" s="93"/>
      <c r="D22" s="93"/>
      <c r="E22" s="93"/>
      <c r="F22" s="93"/>
      <c r="G22" s="93"/>
      <c r="H22" s="93"/>
      <c r="I22" s="93"/>
      <c r="J22" s="93"/>
      <c r="K22" s="93"/>
      <c r="L22" s="93"/>
      <c r="M22" s="93"/>
      <c r="N22" s="93"/>
      <c r="O22" s="93"/>
      <c r="P22" s="93"/>
      <c r="Q22" s="93"/>
      <c r="R22" s="93"/>
      <c r="S22" s="93"/>
      <c r="T22" s="93"/>
      <c r="U22" s="93"/>
      <c r="V22" s="93"/>
      <c r="W22" s="93"/>
      <c r="X22" s="93"/>
      <c r="Y22" s="93"/>
      <c r="Z22" s="80" t="s">
        <v>112</v>
      </c>
      <c r="AA22" s="81">
        <f>AA21-AA20</f>
        <v>-2000</v>
      </c>
      <c r="AB22" s="99"/>
      <c r="AC22" s="99"/>
      <c r="AD22" s="99"/>
      <c r="AE22" s="99"/>
      <c r="AF22" s="99"/>
      <c r="AG22" s="99"/>
      <c r="AH22" s="99"/>
      <c r="AI22" s="99"/>
      <c r="AJ22" s="99"/>
      <c r="AK22" s="99"/>
      <c r="AL22" s="99"/>
      <c r="AM22" s="99"/>
      <c r="AN22" s="99"/>
      <c r="AO22" s="99"/>
      <c r="AP22" s="99"/>
      <c r="AQ22" s="99"/>
      <c r="AR22" s="99"/>
      <c r="AS22" s="99"/>
      <c r="AT22" s="99"/>
      <c r="AU22" s="99"/>
      <c r="AV22" s="99"/>
      <c r="AW22" s="99"/>
      <c r="AX22" s="99"/>
      <c r="AY22" s="99"/>
      <c r="AZ22" s="95"/>
    </row>
    <row r="23" spans="1:52" x14ac:dyDescent="0.2">
      <c r="AZ23" s="95"/>
    </row>
    <row r="24" spans="1:52" x14ac:dyDescent="0.2">
      <c r="AZ24" s="95"/>
    </row>
    <row r="25" spans="1:52" x14ac:dyDescent="0.2">
      <c r="AZ25" s="95"/>
    </row>
    <row r="26" spans="1:52" x14ac:dyDescent="0.2">
      <c r="AZ26" s="95"/>
    </row>
    <row r="27" spans="1:52" x14ac:dyDescent="0.2">
      <c r="AZ27" s="95"/>
    </row>
    <row r="28" spans="1:52" x14ac:dyDescent="0.2">
      <c r="AZ28" s="95"/>
    </row>
    <row r="29" spans="1:52" x14ac:dyDescent="0.2">
      <c r="AZ29" s="95"/>
    </row>
    <row r="30" spans="1:52" x14ac:dyDescent="0.2">
      <c r="AZ30" s="95"/>
    </row>
  </sheetData>
  <conditionalFormatting sqref="AB18:AY18">
    <cfRule type="cellIs" dxfId="0" priority="1" stopIfTrue="1" operator="lessThanOrEqual">
      <formula>0</formula>
    </cfRule>
  </conditionalFormatting>
  <pageMargins left="0.74791666666666667" right="0.74791666666666667" top="0.98402777777777783" bottom="0.98402777777777783" header="0.51180555555555562" footer="0.51180555555555562"/>
  <pageSetup orientation="portrait" horizontalDpi="4294967292" verticalDpi="4294967292" r:id="rId1"/>
  <headerFooter alignWithMargins="0"/>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LongProperties xmlns="http://schemas.microsoft.com/office/2006/metadata/longProperties"/>
</file>

<file path=customXml/item2.xml><?xml version="1.0" encoding="utf-8"?>
<ct:contentTypeSchema xmlns:ct="http://schemas.microsoft.com/office/2006/metadata/contentType" xmlns:ma="http://schemas.microsoft.com/office/2006/metadata/properties/metaAttributes" ct:_="" ma:_="" ma:contentTypeName="eSNAP Document" ma:contentTypeID="0x01010042744A927CF3D945B4A691A90DD720D10008A37F96A0E63E4D8588EA50E4DD71F1" ma:contentTypeVersion="29" ma:contentTypeDescription="" ma:contentTypeScope="" ma:versionID="406dc57362c1b3927e6d8b7e9a9d7ecc">
  <xsd:schema xmlns:xsd="http://www.w3.org/2001/XMLSchema" xmlns:xs="http://www.w3.org/2001/XMLSchema" xmlns:p="http://schemas.microsoft.com/office/2006/metadata/properties" xmlns:ns1="http://schemas.microsoft.com/sharepoint/v3" xmlns:ns2="ecdd191f-0582-4329-8489-a1f5a9690714" xmlns:ns3="8aee2025-0650-4a82-b276-97b0dc87ada1" xmlns:ns4="3e5d8815-cd31-4f5c-a075-677f93e4f115" targetNamespace="http://schemas.microsoft.com/office/2006/metadata/properties" ma:root="true" ma:fieldsID="af3dddbb0a1f02139ca17be2e3a04710" ns1:_="" ns2:_="" ns3:_="" ns4:_="">
    <xsd:import namespace="http://schemas.microsoft.com/sharepoint/v3"/>
    <xsd:import namespace="ecdd191f-0582-4329-8489-a1f5a9690714"/>
    <xsd:import namespace="8aee2025-0650-4a82-b276-97b0dc87ada1"/>
    <xsd:import namespace="3e5d8815-cd31-4f5c-a075-677f93e4f115"/>
    <xsd:element name="properties">
      <xsd:complexType>
        <xsd:sequence>
          <xsd:element name="documentManagement">
            <xsd:complexType>
              <xsd:all>
                <xsd:element ref="ns2:i00fa77c2a0e4430a2f94df7224b011f" minOccurs="0"/>
                <xsd:element ref="ns2:TaxCatchAll" minOccurs="0"/>
                <xsd:element ref="ns2:TaxCatchAllLabel" minOccurs="0"/>
                <xsd:element ref="ns2:PromoteDoc" minOccurs="0"/>
                <xsd:element ref="ns2:Notes1" minOccurs="0"/>
                <xsd:element ref="ns1:AverageRating" minOccurs="0"/>
                <xsd:element ref="ns1:RatingCount" minOccurs="0"/>
                <xsd:element ref="ns3:Customer_x0020_Number" minOccurs="0"/>
                <xsd:element ref="ns3:i44ec14d0a954d2ca44068e8ecde4e95" minOccurs="0"/>
                <xsd:element ref="ns2:me54090901454f1682692bd793c13688" minOccurs="0"/>
                <xsd:element ref="ns2:m5ed75269a9e4cb1b81a8a75747c9383" minOccurs="0"/>
                <xsd:element ref="ns4:_dlc_DocId" minOccurs="0"/>
                <xsd:element ref="ns4:_dlc_DocIdUrl" minOccurs="0"/>
                <xsd:element ref="ns4: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AverageRating" ma:index="16" nillable="true" ma:displayName="Rating (0-5)" ma:decimals="2" ma:description="Average value of all the ratings that have been submitted" ma:internalName="AverageRating" ma:readOnly="true">
      <xsd:simpleType>
        <xsd:restriction base="dms:Number"/>
      </xsd:simpleType>
    </xsd:element>
    <xsd:element name="RatingCount" ma:index="17" nillable="true" ma:displayName="Number of Ratings" ma:decimals="0" ma:description="Number of ratings submitted" ma:internalName="RatingCount" ma:readOnly="true">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ecdd191f-0582-4329-8489-a1f5a9690714" elementFormDefault="qualified">
    <xsd:import namespace="http://schemas.microsoft.com/office/2006/documentManagement/types"/>
    <xsd:import namespace="http://schemas.microsoft.com/office/infopath/2007/PartnerControls"/>
    <xsd:element name="i00fa77c2a0e4430a2f94df7224b011f" ma:index="8" nillable="true" ma:taxonomy="true" ma:internalName="i00fa77c2a0e4430a2f94df7224b011f" ma:taxonomyFieldName="eSNAPDocType" ma:displayName="eSNAP Doc Type" ma:default="5;#NEEDS TAGGING|c33c1c7c-42fe-46cd-9480-1ea7dc116ca1" ma:fieldId="{200fa77c-2a0e-4430-a2f9-4df7224b011f}" ma:taxonomyMulti="true" ma:sspId="d9b87785-d26d-441e-abab-699cc9c66684" ma:termSetId="e4b1d74e-d1a7-47e4-a20d-e15b51fd49f1" ma:anchorId="00000000-0000-0000-0000-000000000000" ma:open="false" ma:isKeyword="false">
      <xsd:complexType>
        <xsd:sequence>
          <xsd:element ref="pc:Terms" minOccurs="0" maxOccurs="1"/>
        </xsd:sequence>
      </xsd:complexType>
    </xsd:element>
    <xsd:element name="TaxCatchAll" ma:index="9" nillable="true" ma:displayName="Taxonomy Catch All Column" ma:hidden="true" ma:list="{65ab68c3-b7a8-4f92-a555-df6508aede16}" ma:internalName="TaxCatchAll" ma:showField="CatchAllData" ma:web="3e5d8815-cd31-4f5c-a075-677f93e4f115">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65ab68c3-b7a8-4f92-a555-df6508aede16}" ma:internalName="TaxCatchAllLabel" ma:readOnly="true" ma:showField="CatchAllDataLabel" ma:web="3e5d8815-cd31-4f5c-a075-677f93e4f115">
      <xsd:complexType>
        <xsd:complexContent>
          <xsd:extension base="dms:MultiChoiceLookup">
            <xsd:sequence>
              <xsd:element name="Value" type="dms:Lookup" maxOccurs="unbounded" minOccurs="0" nillable="true"/>
            </xsd:sequence>
          </xsd:extension>
        </xsd:complexContent>
      </xsd:complexType>
    </xsd:element>
    <xsd:element name="PromoteDoc" ma:index="12" nillable="true" ma:displayName="Promote Document" ma:default="No" ma:description="Use this column to promote a document from an agency document to a shared document" ma:format="Dropdown" ma:internalName="PromoteDoc">
      <xsd:simpleType>
        <xsd:restriction base="dms:Choice">
          <xsd:enumeration value="No"/>
          <xsd:enumeration value="Yes"/>
        </xsd:restriction>
      </xsd:simpleType>
    </xsd:element>
    <xsd:element name="Notes1" ma:index="13" nillable="true" ma:displayName="Notes" ma:internalName="Notes1">
      <xsd:simpleType>
        <xsd:restriction base="dms:Note">
          <xsd:maxLength value="255"/>
        </xsd:restriction>
      </xsd:simpleType>
    </xsd:element>
    <xsd:element name="me54090901454f1682692bd793c13688" ma:index="21" nillable="true" ma:taxonomy="true" ma:internalName="me54090901454f1682692bd793c13688" ma:taxonomyFieldName="Month" ma:displayName="Month" ma:default="" ma:fieldId="{6e540909-0145-4f16-8269-2bd793c13688}" ma:taxonomyMulti="true" ma:sspId="d9b87785-d26d-441e-abab-699cc9c66684" ma:termSetId="24d6121a-ce25-45ec-a5fc-466450cba29c" ma:anchorId="00000000-0000-0000-0000-000000000000" ma:open="false" ma:isKeyword="false">
      <xsd:complexType>
        <xsd:sequence>
          <xsd:element ref="pc:Terms" minOccurs="0" maxOccurs="1"/>
        </xsd:sequence>
      </xsd:complexType>
    </xsd:element>
    <xsd:element name="m5ed75269a9e4cb1b81a8a75747c9383" ma:index="23" nillable="true" ma:taxonomy="true" ma:internalName="m5ed75269a9e4cb1b81a8a75747c9383" ma:taxonomyFieldName="Year" ma:displayName="Year" ma:default="" ma:fieldId="{65ed7526-9a9e-4cb1-b81a-8a75747c9383}" ma:sspId="d9b87785-d26d-441e-abab-699cc9c66684" ma:termSetId="a7a7e08a-fcb0-4ac6-aad8-142eb7a1b4b6"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8aee2025-0650-4a82-b276-97b0dc87ada1" elementFormDefault="qualified">
    <xsd:import namespace="http://schemas.microsoft.com/office/2006/documentManagement/types"/>
    <xsd:import namespace="http://schemas.microsoft.com/office/infopath/2007/PartnerControls"/>
    <xsd:element name="Customer_x0020_Number" ma:index="18" nillable="true" ma:displayName="Customer Number" ma:default="" ma:internalName="Customer_x0020_Number">
      <xsd:complexType>
        <xsd:simpleContent>
          <xsd:extension base="dms:BusinessDataPrimaryField">
            <xsd:attribute name="BdcField" type="xsd:string" fixed="CUSTOMERNUMBER"/>
            <xsd:attribute name="RelatedFieldWssStaticName" type="xsd:string" fixed="Clients_ID"/>
            <xsd:attribute name="SecondaryFieldBdcNames" type="xsd:string" fixed="6%20NAME1%202"/>
            <xsd:attribute name="SecondaryFieldsWssStaticNames" type="xsd:string" fixed="0"/>
            <xsd:attribute name="SystemInstance" type="xsd:string" fixed="cmprod"/>
            <xsd:attribute name="EntityNamespace" type="xsd:string" fixed="https://esnap.collemcvoy.com"/>
            <xsd:attribute name="EntityName" type="xsd:string" fixed="Clients"/>
            <xsd:attribute name="RelatedFieldBDCField" type="xsd:string" fixed=""/>
            <xsd:attribute name="Resolved" type="xsd:string" fixed="true"/>
          </xsd:extension>
        </xsd:simpleContent>
      </xsd:complexType>
    </xsd:element>
    <xsd:element name="i44ec14d0a954d2ca44068e8ecde4e95" ma:index="20" nillable="true" ma:taxonomy="true" ma:internalName="i44ec14d0a954d2ca44068e8ecde4e95" ma:taxonomyFieldName="Client" ma:displayName="Client" ma:default="7;#Explore Minnesota Tourism|c4c90e30-3b17-4483-bdc7-73a2d45f18c0" ma:fieldId="{244ec14d-0a95-4d2c-a440-68e8ecde4e95}" ma:sspId="d9b87785-d26d-441e-abab-699cc9c66684" ma:termSetId="63bc2209-85e4-4623-baf1-da3d559d7719"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3e5d8815-cd31-4f5c-a075-677f93e4f115" elementFormDefault="qualified">
    <xsd:import namespace="http://schemas.microsoft.com/office/2006/documentManagement/types"/>
    <xsd:import namespace="http://schemas.microsoft.com/office/infopath/2007/PartnerControls"/>
    <xsd:element name="_dlc_DocId" ma:index="25" nillable="true" ma:displayName="Document ID Value" ma:description="The value of the document ID assigned to this item." ma:internalName="_dlc_DocId" ma:readOnly="true">
      <xsd:simpleType>
        <xsd:restriction base="dms:Text"/>
      </xsd:simpleType>
    </xsd:element>
    <xsd:element name="_dlc_DocIdUrl" ma:index="26"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7"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pe:Receivers xmlns:spe="http://schemas.microsoft.com/sharepoint/events">
  <Receiver>
    <Name>Document ID Generator</Name>
    <Synchronization>Synchronous</Synchronization>
    <Type>10001</Type>
    <SequenceNumber>1000</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10002</Type>
    <SequenceNumber>1001</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10004</Type>
    <SequenceNumber>1002</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10006</Type>
    <SequenceNumber>1003</SequenceNumber>
    <Assembly>Microsoft.Office.DocumentManagement, Version=14.0.0.0, Culture=neutral, PublicKeyToken=71e9bce111e9429c</Assembly>
    <Class>Microsoft.Office.DocumentManagement.Internal.DocIdHandler</Class>
    <Data/>
    <Filter/>
  </Receiver>
</spe:Receivers>
</file>

<file path=customXml/item5.xml><?xml version="1.0" encoding="utf-8"?>
<p:properties xmlns:p="http://schemas.microsoft.com/office/2006/metadata/properties" xmlns:xsi="http://www.w3.org/2001/XMLSchema-instance" xmlns:pc="http://schemas.microsoft.com/office/infopath/2007/PartnerControls">
  <documentManagement>
    <i44ec14d0a954d2ca44068e8ecde4e95 xmlns="8aee2025-0650-4a82-b276-97b0dc87ada1">
      <Terms xmlns="http://schemas.microsoft.com/office/infopath/2007/PartnerControls">
        <TermInfo xmlns="http://schemas.microsoft.com/office/infopath/2007/PartnerControls">
          <TermName xmlns="http://schemas.microsoft.com/office/infopath/2007/PartnerControls">Explore Minnesota Tourism</TermName>
          <TermId xmlns="http://schemas.microsoft.com/office/infopath/2007/PartnerControls">c4c90e30-3b17-4483-bdc7-73a2d45f18c0</TermId>
        </TermInfo>
      </Terms>
    </i44ec14d0a954d2ca44068e8ecde4e95>
    <TaxCatchAll xmlns="ecdd191f-0582-4329-8489-a1f5a9690714">
      <Value>7</Value>
      <Value>51</Value>
      <Value>44</Value>
    </TaxCatchAll>
    <m5ed75269a9e4cb1b81a8a75747c9383 xmlns="ecdd191f-0582-4329-8489-a1f5a9690714">
      <Terms xmlns="http://schemas.microsoft.com/office/infopath/2007/PartnerControls"/>
    </m5ed75269a9e4cb1b81a8a75747c9383>
    <Notes1 xmlns="ecdd191f-0582-4329-8489-a1f5a9690714" xsi:nil="true"/>
    <i00fa77c2a0e4430a2f94df7224b011f xmlns="ecdd191f-0582-4329-8489-a1f5a9690714">
      <Terms xmlns="http://schemas.microsoft.com/office/infopath/2007/PartnerControls">
        <TermInfo xmlns="http://schemas.microsoft.com/office/infopath/2007/PartnerControls">
          <TermName xmlns="http://schemas.microsoft.com/office/infopath/2007/PartnerControls">Flow Chart</TermName>
          <TermId xmlns="http://schemas.microsoft.com/office/infopath/2007/PartnerControls">6cc0c952-bc75-4a2d-840f-59ddb9369d0d</TermId>
        </TermInfo>
        <TermInfo xmlns="http://schemas.microsoft.com/office/infopath/2007/PartnerControls">
          <TermName xmlns="http://schemas.microsoft.com/office/infopath/2007/PartnerControls">Planning</TermName>
          <TermId xmlns="http://schemas.microsoft.com/office/infopath/2007/PartnerControls">db010ed5-81e4-4482-ac01-c650c5553022</TermId>
        </TermInfo>
      </Terms>
    </i00fa77c2a0e4430a2f94df7224b011f>
    <Customer_x0020_Number xmlns="8aee2025-0650-4a82-b276-97b0dc87ada1" xsi:nil="true" Resolved="true"/>
    <me54090901454f1682692bd793c13688 xmlns="ecdd191f-0582-4329-8489-a1f5a9690714">
      <Terms xmlns="http://schemas.microsoft.com/office/infopath/2007/PartnerControls"/>
    </me54090901454f1682692bd793c13688>
    <PromoteDoc xmlns="ecdd191f-0582-4329-8489-a1f5a9690714">No</PromoteDoc>
    <_dlc_DocId xmlns="3e5d8815-cd31-4f5c-a075-677f93e4f115">MASTERBRAND-9-595</_dlc_DocId>
    <_dlc_DocIdUrl xmlns="3e5d8815-cd31-4f5c-a075-677f93e4f115">
      <Url>https://esnap.collemcvoy.com/brands/EMTO01/_layouts/15/DocIdRedir.aspx?ID=MASTERBRAND-9-595</Url>
      <Description>MASTERBRAND-9-595</Description>
    </_dlc_DocIdUrl>
  </documentManagement>
</p:properties>
</file>

<file path=customXml/item6.xml><?xml version="1.0" encoding="utf-8"?>
<?mso-contentType ?>
<SharedContentType xmlns="Microsoft.SharePoint.Taxonomy.ContentTypeSync" SourceId="d9b87785-d26d-441e-abab-699cc9c66684" ContentTypeId="0x01010042744A927CF3D945B4A691A90DD720D1" PreviousValue="false"/>
</file>

<file path=customXml/itemProps1.xml><?xml version="1.0" encoding="utf-8"?>
<ds:datastoreItem xmlns:ds="http://schemas.openxmlformats.org/officeDocument/2006/customXml" ds:itemID="{2F304A4B-D1DD-4EB5-9741-2E8849CFCAD6}">
  <ds:schemaRefs>
    <ds:schemaRef ds:uri="http://schemas.microsoft.com/office/2006/metadata/longProperties"/>
  </ds:schemaRefs>
</ds:datastoreItem>
</file>

<file path=customXml/itemProps2.xml><?xml version="1.0" encoding="utf-8"?>
<ds:datastoreItem xmlns:ds="http://schemas.openxmlformats.org/officeDocument/2006/customXml" ds:itemID="{20C11381-1E9C-4E0D-8E33-9F9AF1101AC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ecdd191f-0582-4329-8489-a1f5a9690714"/>
    <ds:schemaRef ds:uri="8aee2025-0650-4a82-b276-97b0dc87ada1"/>
    <ds:schemaRef ds:uri="3e5d8815-cd31-4f5c-a075-677f93e4f11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D8DBD83-813B-4DC6-8136-014FA945F56C}">
  <ds:schemaRefs>
    <ds:schemaRef ds:uri="http://schemas.microsoft.com/sharepoint/v3/contenttype/forms"/>
  </ds:schemaRefs>
</ds:datastoreItem>
</file>

<file path=customXml/itemProps4.xml><?xml version="1.0" encoding="utf-8"?>
<ds:datastoreItem xmlns:ds="http://schemas.openxmlformats.org/officeDocument/2006/customXml" ds:itemID="{1C613BCD-B841-473C-BE87-06714BC0CFF0}">
  <ds:schemaRefs>
    <ds:schemaRef ds:uri="http://schemas.microsoft.com/sharepoint/events"/>
  </ds:schemaRefs>
</ds:datastoreItem>
</file>

<file path=customXml/itemProps5.xml><?xml version="1.0" encoding="utf-8"?>
<ds:datastoreItem xmlns:ds="http://schemas.openxmlformats.org/officeDocument/2006/customXml" ds:itemID="{DF1D5DAC-466C-4655-AD66-97377E85E19A}">
  <ds:schemaRefs>
    <ds:schemaRef ds:uri="http://purl.org/dc/terms/"/>
    <ds:schemaRef ds:uri="http://schemas.microsoft.com/office/infopath/2007/PartnerControls"/>
    <ds:schemaRef ds:uri="http://purl.org/dc/elements/1.1/"/>
    <ds:schemaRef ds:uri="http://schemas.microsoft.com/office/2006/documentManagement/types"/>
    <ds:schemaRef ds:uri="http://schemas.microsoft.com/office/2006/metadata/properties"/>
    <ds:schemaRef ds:uri="http://schemas.openxmlformats.org/package/2006/metadata/core-properties"/>
    <ds:schemaRef ds:uri="http://schemas.microsoft.com/sharepoint/v3"/>
    <ds:schemaRef ds:uri="3e5d8815-cd31-4f5c-a075-677f93e4f115"/>
    <ds:schemaRef ds:uri="http://www.w3.org/XML/1998/namespace"/>
    <ds:schemaRef ds:uri="8aee2025-0650-4a82-b276-97b0dc87ada1"/>
    <ds:schemaRef ds:uri="ecdd191f-0582-4329-8489-a1f5a9690714"/>
    <ds:schemaRef ds:uri="http://purl.org/dc/dcmitype/"/>
  </ds:schemaRefs>
</ds:datastoreItem>
</file>

<file path=customXml/itemProps6.xml><?xml version="1.0" encoding="utf-8"?>
<ds:datastoreItem xmlns:ds="http://schemas.openxmlformats.org/officeDocument/2006/customXml" ds:itemID="{D8E3ED37-0D2C-4ED8-ADDA-44CF84BF59F0}">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OPTION 1</vt:lpstr>
      <vt:lpstr>Online Details</vt:lpstr>
      <vt:lpstr>Sheet1</vt:lpstr>
      <vt:lpstr>'OPTION 1'!Print_Area</vt:lpstr>
    </vt:vector>
  </TitlesOfParts>
  <Company>Colle + McVoy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Kerry Moore</dc:creator>
  <cp:lastModifiedBy>wfcuser</cp:lastModifiedBy>
  <cp:lastPrinted>2013-09-05T22:47:05Z</cp:lastPrinted>
  <dcterms:created xsi:type="dcterms:W3CDTF">2010-06-28T19:35:57Z</dcterms:created>
  <dcterms:modified xsi:type="dcterms:W3CDTF">2013-09-24T21:43:35Z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lient">
    <vt:lpwstr>7;#Explore Minnesota Tourism|c4c90e30-3b17-4483-bdc7-73a2d45f18c0</vt:lpwstr>
  </property>
  <property fmtid="{D5CDD505-2E9C-101B-9397-08002B2CF9AE}" pid="3" name="eSNAPDocType">
    <vt:lpwstr>44;#Flow Chart|6cc0c952-bc75-4a2d-840f-59ddb9369d0d;#51;#Planning|db010ed5-81e4-4482-ac01-c650c5553022</vt:lpwstr>
  </property>
  <property fmtid="{D5CDD505-2E9C-101B-9397-08002B2CF9AE}" pid="4" name="ContentTypeId">
    <vt:lpwstr>0x01010042744A927CF3D945B4A691A90DD720D10008A37F96A0E63E4D8588EA50E4DD71F1</vt:lpwstr>
  </property>
  <property fmtid="{D5CDD505-2E9C-101B-9397-08002B2CF9AE}" pid="5" name="Month">
    <vt:lpwstr/>
  </property>
  <property fmtid="{D5CDD505-2E9C-101B-9397-08002B2CF9AE}" pid="6" name="_dlc_DocId">
    <vt:lpwstr>MASTERBRAND-9-278</vt:lpwstr>
  </property>
  <property fmtid="{D5CDD505-2E9C-101B-9397-08002B2CF9AE}" pid="7" name="_dlc_DocIdItemGuid">
    <vt:lpwstr>3ed0d488-c508-4590-b755-b2e0a4b13f02</vt:lpwstr>
  </property>
  <property fmtid="{D5CDD505-2E9C-101B-9397-08002B2CF9AE}" pid="8" name="_dlc_DocIdUrl">
    <vt:lpwstr>https://esnap.collemcvoy.com/brands/EMTO01/_layouts/DocIdRedir.aspx?ID=MASTERBRAND-9-278, MASTERBRAND-9-278</vt:lpwstr>
  </property>
  <property fmtid="{D5CDD505-2E9C-101B-9397-08002B2CF9AE}" pid="9" name="Year">
    <vt:lpwstr/>
  </property>
  <property fmtid="{D5CDD505-2E9C-101B-9397-08002B2CF9AE}" pid="10" name="Clients_ID">
    <vt:lpwstr/>
  </property>
</Properties>
</file>