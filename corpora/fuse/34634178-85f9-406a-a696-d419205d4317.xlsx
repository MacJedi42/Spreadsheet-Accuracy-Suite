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05" windowWidth="18960" windowHeight="11580" activeTab="2"/>
  </bookViews>
  <sheets>
    <sheet name="Overall CnB Analysis" sheetId="5" r:id="rId1"/>
    <sheet name="ARwT Costs" sheetId="1" r:id="rId2"/>
    <sheet name="Trail Benefit Analysis" sheetId="6" r:id="rId3"/>
    <sheet name="20 Year OnM" sheetId="2" r:id="rId4"/>
    <sheet name="GhGE_Reductions" sheetId="4" r:id="rId5"/>
    <sheet name="ARwT Benefits" sheetId="3" r:id="rId6"/>
  </sheets>
  <definedNames>
    <definedName name="_xlnm.Print_Area" localSheetId="0">'Overall CnB Analysis'!$B$1:$N$38</definedName>
    <definedName name="_xlnm.Print_Area" localSheetId="2">'Trail Benefit Analysis'!$B$3:$M$21</definedName>
  </definedNames>
  <calcPr calcId="125725"/>
</workbook>
</file>

<file path=xl/calcChain.xml><?xml version="1.0" encoding="utf-8"?>
<calcChain xmlns="http://schemas.openxmlformats.org/spreadsheetml/2006/main">
  <c r="H27" i="5"/>
  <c r="I27"/>
  <c r="E27"/>
  <c r="F27"/>
  <c r="G27"/>
  <c r="D27"/>
  <c r="K27"/>
  <c r="N5"/>
  <c r="N6"/>
  <c r="N4"/>
  <c r="M9" i="6"/>
  <c r="C17" i="4"/>
  <c r="C18"/>
  <c r="C19"/>
  <c r="C16"/>
  <c r="C15"/>
  <c r="C13"/>
  <c r="C8"/>
  <c r="C14"/>
  <c r="C7"/>
  <c r="C12"/>
  <c r="C10"/>
  <c r="C11"/>
  <c r="C9"/>
  <c r="L9" i="6"/>
  <c r="E7"/>
  <c r="J7" s="1"/>
  <c r="K7" s="1"/>
  <c r="M7" s="1"/>
  <c r="E8"/>
  <c r="J8" s="1"/>
  <c r="K8" s="1"/>
  <c r="E9"/>
  <c r="J9" s="1"/>
  <c r="E6"/>
  <c r="J6" s="1"/>
  <c r="C10"/>
  <c r="F6"/>
  <c r="F8"/>
  <c r="I8" s="1"/>
  <c r="F9"/>
  <c r="I9" s="1"/>
  <c r="F7"/>
  <c r="G7" s="1"/>
  <c r="H7" s="1"/>
  <c r="L8" l="1"/>
  <c r="L7"/>
  <c r="K6"/>
  <c r="M6" s="1"/>
  <c r="J10"/>
  <c r="E10"/>
  <c r="F10"/>
  <c r="I6"/>
  <c r="I7"/>
  <c r="G6"/>
  <c r="H6" s="1"/>
  <c r="G9"/>
  <c r="G8"/>
  <c r="H8" s="1"/>
  <c r="M8" s="1"/>
  <c r="M10" l="1"/>
  <c r="K10"/>
  <c r="L6"/>
  <c r="L10" s="1"/>
  <c r="H10"/>
  <c r="I10"/>
  <c r="G10"/>
  <c r="C5" i="5"/>
  <c r="C6" s="1"/>
  <c r="C7" s="1"/>
  <c r="C8" s="1"/>
  <c r="C9" s="1"/>
  <c r="C10" s="1"/>
  <c r="C11" s="1"/>
  <c r="C12" s="1"/>
  <c r="C13" s="1"/>
  <c r="C14" s="1"/>
  <c r="C15" s="1"/>
  <c r="C16" s="1"/>
  <c r="C17" s="1"/>
  <c r="C18" s="1"/>
  <c r="C19" s="1"/>
  <c r="C20" s="1"/>
  <c r="C21" s="1"/>
  <c r="C22" s="1"/>
  <c r="C23" s="1"/>
  <c r="C24" s="1"/>
  <c r="C25" s="1"/>
  <c r="C26" s="1"/>
  <c r="L8"/>
  <c r="M8" s="1"/>
  <c r="N8" s="1"/>
  <c r="L9"/>
  <c r="M9" s="1"/>
  <c r="N9" s="1"/>
  <c r="L10"/>
  <c r="M10" s="1"/>
  <c r="N10" s="1"/>
  <c r="L11"/>
  <c r="M11" s="1"/>
  <c r="N11" s="1"/>
  <c r="L12"/>
  <c r="M12" s="1"/>
  <c r="N12" s="1"/>
  <c r="L13"/>
  <c r="M13" s="1"/>
  <c r="N13" s="1"/>
  <c r="L14"/>
  <c r="M14" s="1"/>
  <c r="N14" s="1"/>
  <c r="L15"/>
  <c r="M15" s="1"/>
  <c r="N15" s="1"/>
  <c r="L16"/>
  <c r="M16" s="1"/>
  <c r="N16" s="1"/>
  <c r="L17"/>
  <c r="M17" s="1"/>
  <c r="N17" s="1"/>
  <c r="L18"/>
  <c r="M18" s="1"/>
  <c r="N18" s="1"/>
  <c r="L19"/>
  <c r="M19" s="1"/>
  <c r="N19" s="1"/>
  <c r="L20"/>
  <c r="M20" s="1"/>
  <c r="N20" s="1"/>
  <c r="L21"/>
  <c r="M21" s="1"/>
  <c r="N21" s="1"/>
  <c r="L22"/>
  <c r="M22" s="1"/>
  <c r="N22" s="1"/>
  <c r="L23"/>
  <c r="M23" s="1"/>
  <c r="N23" s="1"/>
  <c r="L24"/>
  <c r="M24" s="1"/>
  <c r="N24" s="1"/>
  <c r="L25"/>
  <c r="M25" s="1"/>
  <c r="N25" s="1"/>
  <c r="L26"/>
  <c r="M26" s="1"/>
  <c r="N26" s="1"/>
  <c r="L7"/>
  <c r="M7" s="1"/>
  <c r="D8" i="4"/>
  <c r="E8" s="1"/>
  <c r="D9"/>
  <c r="E9" s="1"/>
  <c r="D10"/>
  <c r="E10" s="1"/>
  <c r="D11"/>
  <c r="E11" s="1"/>
  <c r="D12"/>
  <c r="E12" s="1"/>
  <c r="D13"/>
  <c r="E13" s="1"/>
  <c r="D14"/>
  <c r="E14" s="1"/>
  <c r="D15"/>
  <c r="E15" s="1"/>
  <c r="D16"/>
  <c r="E16" s="1"/>
  <c r="D17"/>
  <c r="E17" s="1"/>
  <c r="D18"/>
  <c r="E18" s="1"/>
  <c r="D19"/>
  <c r="E19" s="1"/>
  <c r="D7"/>
  <c r="D5" i="2"/>
  <c r="C5"/>
  <c r="D13" i="1"/>
  <c r="E13"/>
  <c r="C13"/>
  <c r="N7" i="5" l="1"/>
  <c r="N27" s="1"/>
  <c r="M27"/>
  <c r="G18" i="4"/>
  <c r="H18" s="1"/>
  <c r="F18"/>
  <c r="G16"/>
  <c r="H16" s="1"/>
  <c r="F16"/>
  <c r="G14"/>
  <c r="H14" s="1"/>
  <c r="F14"/>
  <c r="G12"/>
  <c r="H12" s="1"/>
  <c r="F12"/>
  <c r="G10"/>
  <c r="H10" s="1"/>
  <c r="F10"/>
  <c r="G8"/>
  <c r="H8" s="1"/>
  <c r="F8"/>
  <c r="G19"/>
  <c r="H19" s="1"/>
  <c r="F19"/>
  <c r="G17"/>
  <c r="H17" s="1"/>
  <c r="F17"/>
  <c r="G15"/>
  <c r="H15" s="1"/>
  <c r="F15"/>
  <c r="G13"/>
  <c r="H13" s="1"/>
  <c r="F13"/>
  <c r="G11"/>
  <c r="H11" s="1"/>
  <c r="F11"/>
  <c r="G9"/>
  <c r="K9" s="1"/>
  <c r="F9"/>
  <c r="D20"/>
  <c r="I17"/>
  <c r="I13"/>
  <c r="I9"/>
  <c r="J17"/>
  <c r="J13"/>
  <c r="J9"/>
  <c r="K18"/>
  <c r="K16"/>
  <c r="K14"/>
  <c r="K12"/>
  <c r="K10"/>
  <c r="K8"/>
  <c r="I18"/>
  <c r="I16"/>
  <c r="I14"/>
  <c r="I12"/>
  <c r="I10"/>
  <c r="I8"/>
  <c r="J18"/>
  <c r="J16"/>
  <c r="J14"/>
  <c r="J12"/>
  <c r="J10"/>
  <c r="J8"/>
  <c r="K19"/>
  <c r="K17"/>
  <c r="K15"/>
  <c r="K13"/>
  <c r="K11"/>
  <c r="H9"/>
  <c r="E7"/>
  <c r="F7" s="1"/>
  <c r="F20" s="1"/>
  <c r="D6" i="2"/>
  <c r="D7" s="1"/>
  <c r="D8" s="1"/>
  <c r="D9" s="1"/>
  <c r="D10" s="1"/>
  <c r="D11" s="1"/>
  <c r="D12" s="1"/>
  <c r="D13" s="1"/>
  <c r="D14" s="1"/>
  <c r="D15" s="1"/>
  <c r="D16" s="1"/>
  <c r="D17" s="1"/>
  <c r="D18" s="1"/>
  <c r="D19" s="1"/>
  <c r="D20" s="1"/>
  <c r="D21" s="1"/>
  <c r="D22" s="1"/>
  <c r="D23" s="1"/>
  <c r="C6"/>
  <c r="C7" s="1"/>
  <c r="C8" s="1"/>
  <c r="C9" s="1"/>
  <c r="C10" s="1"/>
  <c r="C11" s="1"/>
  <c r="C12" s="1"/>
  <c r="C13" s="1"/>
  <c r="C14" s="1"/>
  <c r="C15" s="1"/>
  <c r="C16" s="1"/>
  <c r="C17" s="1"/>
  <c r="C18" s="1"/>
  <c r="C19" s="1"/>
  <c r="C20" s="1"/>
  <c r="C21" s="1"/>
  <c r="C22" s="1"/>
  <c r="C23" s="1"/>
  <c r="J11" i="4" l="1"/>
  <c r="J15"/>
  <c r="J19"/>
  <c r="I11"/>
  <c r="I15"/>
  <c r="I19"/>
  <c r="L27" i="5"/>
  <c r="E20" i="4"/>
  <c r="G7"/>
  <c r="D24" i="2"/>
  <c r="C24"/>
  <c r="C25" l="1"/>
  <c r="C14" i="1" s="1"/>
  <c r="C15" s="1"/>
  <c r="J7" i="4"/>
  <c r="J20" s="1"/>
  <c r="I7"/>
  <c r="I20" s="1"/>
  <c r="K7"/>
  <c r="K20" s="1"/>
  <c r="H7"/>
  <c r="H20" s="1"/>
  <c r="G20"/>
  <c r="K21" l="1"/>
</calcChain>
</file>

<file path=xl/sharedStrings.xml><?xml version="1.0" encoding="utf-8"?>
<sst xmlns="http://schemas.openxmlformats.org/spreadsheetml/2006/main" count="131" uniqueCount="125">
  <si>
    <t>Arcata Rail with Trail Connectivity Project</t>
  </si>
  <si>
    <t>Project Element</t>
  </si>
  <si>
    <t>Tiger III Grant Request</t>
  </si>
  <si>
    <t>Match Funding</t>
  </si>
  <si>
    <t>Project Design Engineering</t>
  </si>
  <si>
    <t>Trail Alignment Alternatives Analysis</t>
  </si>
  <si>
    <t>Project Policy Planning Documents: Operational Plan, Review of compliance with NCRA Rail with Trail Policies</t>
  </si>
  <si>
    <t>Property Acquisition and transfer expenses</t>
  </si>
  <si>
    <t>Date of Completion</t>
  </si>
  <si>
    <t>* increased annually by 3%</t>
  </si>
  <si>
    <t>Totals</t>
  </si>
  <si>
    <t>Total Project Cost</t>
  </si>
  <si>
    <t>Project Operations and Maintenance for 20 years</t>
  </si>
  <si>
    <t>Twenty-Year Project Expense Span</t>
  </si>
  <si>
    <t>Maintenance Cost *</t>
  </si>
  <si>
    <t>Management and Security *</t>
  </si>
  <si>
    <t>Total 20 Year Project Cost</t>
  </si>
  <si>
    <t>Project Total</t>
  </si>
  <si>
    <t>By Mode of Travel:</t>
  </si>
  <si>
    <t>Walk/Jog</t>
  </si>
  <si>
    <t>Bicycle</t>
  </si>
  <si>
    <t>Rollerblade/Other</t>
  </si>
  <si>
    <t>By Gender:</t>
  </si>
  <si>
    <t>Male</t>
  </si>
  <si>
    <t>Female</t>
  </si>
  <si>
    <t>Means of Travel to Trail:</t>
  </si>
  <si>
    <t>Drive</t>
  </si>
  <si>
    <t>Other</t>
  </si>
  <si>
    <t>Health</t>
  </si>
  <si>
    <t>Recreation</t>
  </si>
  <si>
    <t>Commuting</t>
  </si>
  <si>
    <t>Economic Benefits:</t>
  </si>
  <si>
    <t>Health Benefits:</t>
  </si>
  <si>
    <t>Transportation Benefits (saved VT/yr):</t>
  </si>
  <si>
    <t>Arcata Rail with Trail Connectivity Project - Estimated Use</t>
  </si>
  <si>
    <t>Vehicle Trips Saved Calculation</t>
  </si>
  <si>
    <t>Number of Trips</t>
  </si>
  <si>
    <t>Total Miles</t>
  </si>
  <si>
    <t>Round Trip Length in miles</t>
  </si>
  <si>
    <t>Metric tons of CO2e for the average passenger vehicle =</t>
  </si>
  <si>
    <t>(VMT/passenger vehicle avg. MPG) x CO2 per gallon x (100/95) /1000 =</t>
  </si>
  <si>
    <t>(12,000/20.3) x 8.8 x (100/95)/1000 =</t>
  </si>
  <si>
    <t>5.48 metric tons CO2e for the average passenger vehicle (1.49 metric tons CE)</t>
  </si>
  <si>
    <t>Total</t>
  </si>
  <si>
    <t>Total CO2 Ton Emmissions</t>
  </si>
  <si>
    <t>Reduced VOC tons</t>
  </si>
  <si>
    <t>Reduced PM10 tons</t>
  </si>
  <si>
    <t>Reduced NOx tons</t>
  </si>
  <si>
    <t>Reduced SOx tons</t>
  </si>
  <si>
    <t>EPA MOBILE6.2 fuel economy numbers</t>
  </si>
  <si>
    <t>Reference Note</t>
  </si>
  <si>
    <t>NOx, SOx, VOC and PM10 are calculated using ICLEI's emissions calculator software</t>
  </si>
  <si>
    <t>Estimate of Annual Use *1</t>
  </si>
  <si>
    <t>Trip Purpose: *2</t>
  </si>
  <si>
    <r>
      <t xml:space="preserve">*1 </t>
    </r>
    <r>
      <rPr>
        <sz val="12"/>
        <color rgb="FF363435"/>
        <rFont val="Garamond"/>
        <family val="1"/>
      </rPr>
      <t>Based on counts on over 30 trails nationwide; calibrated for local environment, trail length, surrounding land use, population, density, climate, number of visitors, aesthetics, and other factors. Includes all trips on the trail, many of which may be for short distances.</t>
    </r>
  </si>
  <si>
    <r>
      <t xml:space="preserve">*2 </t>
    </r>
    <r>
      <rPr>
        <sz val="12"/>
        <color rgb="FF363435"/>
        <rFont val="Garamond"/>
        <family val="1"/>
      </rPr>
      <t>Adds to more than 100%, since users cited more than one trip purpose.</t>
    </r>
  </si>
  <si>
    <t>Twenty-Year Project  Span</t>
  </si>
  <si>
    <t>Project Construction Cost</t>
  </si>
  <si>
    <t>Undiscounted Net Benefits</t>
  </si>
  <si>
    <t>Discounted at 7%</t>
  </si>
  <si>
    <t>Community Economic Benefits</t>
  </si>
  <si>
    <t>Gas Saved in gallons</t>
  </si>
  <si>
    <t>Cost Savings from Avoided Gas</t>
  </si>
  <si>
    <t>Project Environmental Permitting</t>
  </si>
  <si>
    <t>Project Construction including required project mitigation measures</t>
  </si>
  <si>
    <t>Project Environmental Review (CEQA / NEPA)</t>
  </si>
  <si>
    <t>The Inflation index for Operations and Maintenance is not included</t>
  </si>
  <si>
    <t>in the Cost/Benefit Analysis since its value is deducted as part of the</t>
  </si>
  <si>
    <t>analysis.  The inflation index is used to understand and plan for</t>
  </si>
  <si>
    <t>annual operation and maintenance cost as an integral part of the success</t>
  </si>
  <si>
    <t xml:space="preserve">of the project. </t>
  </si>
  <si>
    <t>Population between 1601-2400 meters</t>
  </si>
  <si>
    <t>Percentage of Adults</t>
  </si>
  <si>
    <t>New daily adult cyclists</t>
  </si>
  <si>
    <t>Total Adult Popoulation</t>
  </si>
  <si>
    <t>Number of new bicycle commuters</t>
  </si>
  <si>
    <t>Population within 400 meters</t>
  </si>
  <si>
    <t>Population within 401- 800 meters</t>
  </si>
  <si>
    <t>Population between 801-1600 meters</t>
  </si>
  <si>
    <t xml:space="preserve">Population </t>
  </si>
  <si>
    <t>2. Percentage of adults in the population is from the 2010 census data.</t>
  </si>
  <si>
    <t>Total Number of Commuters</t>
  </si>
  <si>
    <t xml:space="preserve">Number of existing bicycle commuters </t>
  </si>
  <si>
    <t xml:space="preserve">Total Daily adult cyclists </t>
  </si>
  <si>
    <t>Trail Use Based on a 1.5 mile residential draw potential</t>
  </si>
  <si>
    <t xml:space="preserve">Annual Health Benefit </t>
  </si>
  <si>
    <t>Number of existing pedestrain commuters</t>
  </si>
  <si>
    <t>Annual Recreation/ commuter Benefit</t>
  </si>
  <si>
    <t>Total Cost saved through gas reduction</t>
  </si>
  <si>
    <t>1. Total Number of Trips is based on 289 new commuters x 4 days per week x 52 weeks per year</t>
  </si>
  <si>
    <t>3.  Gallons of gas is averaged at 20.3mpg using EPA MOBILE6.2 Fuel economy calculation</t>
  </si>
  <si>
    <t xml:space="preserve">Total Gas in gallons </t>
  </si>
  <si>
    <t>4. Cost savings through reduced gas is calculated at $3.90/gallon - current Humboldt County Price is $4.03/gallon</t>
  </si>
  <si>
    <t>5. See below calculation for total CO2 emmissions</t>
  </si>
  <si>
    <t>6-9. NOx, SOx, VOC and PM10 are calculated using ICLEI's emissions calculator software</t>
  </si>
  <si>
    <t>Community Health Benefits from Bicyclists Only</t>
  </si>
  <si>
    <t>Community Recreational Benefits</t>
  </si>
  <si>
    <t>Total Vehicle Trips per year reduced for commuting to work only: 60,122</t>
  </si>
  <si>
    <t>2009/2011</t>
  </si>
  <si>
    <t>1: Population estimates are based on 2010 Census with a 0.35% increase per year based on average from 2000-2010.</t>
  </si>
  <si>
    <t>Avoided Greenhouse Gas Emissions (CO2)</t>
  </si>
  <si>
    <t xml:space="preserve">For details on Cost Benefit Analysis and Background Calculations see  http://www.cityofarcata.org/departments/public-works/parks/rail-with-trail </t>
  </si>
  <si>
    <t xml:space="preserve">2:  Gallons of gas is averaged at 20.3mpg using EPA MOBILE6.2 Fuel economy calculation. </t>
  </si>
  <si>
    <t>3: Gas is calculated at $3.90/gallon - current Humboldt County Price is $4.03/gallon.</t>
  </si>
  <si>
    <t xml:space="preserve">7: Projected Construction Cost.  Project costs breakdown is available at  http://www.cityofarcata.org/departments/public-works/parks/rail-with-trail </t>
  </si>
  <si>
    <t>8: Maintenance and Operational Costs are estimated based on current City of Arcata trail and transportation maintenance and management averages</t>
  </si>
  <si>
    <t>9: Undiscounted Net Benefits</t>
  </si>
  <si>
    <t>10: Net Benefits discounted at 7% over 20 years</t>
  </si>
  <si>
    <t>Arcata Rail with Trail Connectivity Project - Summary of Cost Benefit Analysis</t>
  </si>
  <si>
    <t>Safety Costs Avoided</t>
  </si>
  <si>
    <t xml:space="preserve">5. Annual Health Benefit is conservatively calculated as the number of new bicyclists x $128 (the median value per capita costs savings from physical activity of 10 studies per NCHRP Report 552 Appendix E) </t>
  </si>
  <si>
    <t xml:space="preserve">6. Annual Recreational/Commuter Benefit is conservatively calculated at the number of new cyclists (both recreational and commuter) x $10 per day of value x 365 days for recreational use and 260 days for commuter use. </t>
  </si>
  <si>
    <t>4: (VMT/passenger vehicle avg. MPG) x CO2 per gallon x (100/95) /1000 = (12,000/20.3) x 8.8 x (100/95)/1000 = 5.48 metric tons CO2e for the average passenger vehicle (1.49 metric tons CE)</t>
  </si>
  <si>
    <t xml:space="preserve">Maintenance and Operational Cost </t>
  </si>
  <si>
    <t>Population Estimates</t>
  </si>
  <si>
    <t>1. Population is from 2010 census overlayed within the City's GIS mapping System to provide population within 1.5 miles of the project site</t>
  </si>
  <si>
    <t>3. Total Adult population within 1.5miles of the project site</t>
  </si>
  <si>
    <t>4. Number of Commuters estimated at 50% of adults from National averages provided by NCHRP Report 552 page 38</t>
  </si>
  <si>
    <t>6. Per the NCHRP Report 552, pg 39, the number of new bicycle commuters are estimated to be 1.93, 1.11 and 0.39 times the current values for residents at 400, 800 and 1600 meters respectively.</t>
  </si>
  <si>
    <t>7. Number of existing pedestrian commuters is calculated as 17% of the total commute population based on commute share from 2000 census data</t>
  </si>
  <si>
    <t>8. Total daily adult cyclists is calculated at the moderate rate of (.4 +1.2 x the commute share of 5% x the total adult population)as outlined in the NCHRP Report 552 page 38</t>
  </si>
  <si>
    <t>9. New daily adult cyclists is calculated to be 1.93, 1.11 and 0.39 times the current values for residents living within 400m, 800m and 1600m respecitively. NCHRP Report 552, pg. 39</t>
  </si>
  <si>
    <t>5. Number of existing Bicycle Communters is 5% of the total number of commuters within a 1.5 miles radius of the trail. 5% bicycle commute share is from the 2000 census data - City of Arcata</t>
  </si>
  <si>
    <t xml:space="preserve">10. Annual Health Benefit is calculated as the number of new bicyclists x $128 (the median value per capita costs savings from physical activty of 10 studies per NCHRP Report 552 Appendix E) </t>
  </si>
  <si>
    <t xml:space="preserve">11. Annual Recreational/Commuter Benefit is the number of new cyclists (both recreational and commuter) x $10 per day of value x 365 days for recreational use and 260 days for commuter use. </t>
  </si>
</sst>
</file>

<file path=xl/styles.xml><?xml version="1.0" encoding="utf-8"?>
<styleSheet xmlns="http://schemas.openxmlformats.org/spreadsheetml/2006/main">
  <numFmts count="2">
    <numFmt numFmtId="6" formatCode="&quot;$&quot;#,##0_);[Red]\(&quot;$&quot;#,##0\)"/>
    <numFmt numFmtId="164" formatCode="&quot;$&quot;#,##0"/>
  </numFmts>
  <fonts count="11">
    <font>
      <sz val="11"/>
      <color theme="1"/>
      <name val="Calibri"/>
      <family val="2"/>
      <scheme val="minor"/>
    </font>
    <font>
      <sz val="11"/>
      <color theme="1"/>
      <name val="Garamond"/>
      <family val="1"/>
    </font>
    <font>
      <sz val="12"/>
      <color theme="1"/>
      <name val="Garamond"/>
      <family val="1"/>
    </font>
    <font>
      <b/>
      <sz val="12"/>
      <color theme="1"/>
      <name val="Garamond"/>
      <family val="1"/>
    </font>
    <font>
      <b/>
      <sz val="12"/>
      <color rgb="FF365F91"/>
      <name val="Garamond"/>
      <family val="1"/>
    </font>
    <font>
      <b/>
      <sz val="12"/>
      <color rgb="FF363435"/>
      <name val="Garamond"/>
      <family val="1"/>
    </font>
    <font>
      <sz val="12"/>
      <color rgb="FF363435"/>
      <name val="Garamond"/>
      <family val="1"/>
    </font>
    <font>
      <i/>
      <sz val="12"/>
      <color rgb="FF363435"/>
      <name val="Garamond"/>
      <family val="1"/>
    </font>
    <font>
      <sz val="12"/>
      <color rgb="FF000000"/>
      <name val="Garamond"/>
      <family val="1"/>
    </font>
    <font>
      <b/>
      <sz val="11"/>
      <color theme="1"/>
      <name val="Garamond"/>
      <family val="1"/>
    </font>
    <font>
      <sz val="10"/>
      <name val="Arial"/>
      <family val="2"/>
    </font>
  </fonts>
  <fills count="3">
    <fill>
      <patternFill patternType="none"/>
    </fill>
    <fill>
      <patternFill patternType="gray125"/>
    </fill>
    <fill>
      <patternFill patternType="solid">
        <fgColor theme="6" tint="0.79998168889431442"/>
        <bgColor indexed="64"/>
      </patternFill>
    </fill>
  </fills>
  <borders count="44">
    <border>
      <left/>
      <right/>
      <top/>
      <bottom/>
      <diagonal/>
    </border>
    <border>
      <left style="thin">
        <color auto="1"/>
      </left>
      <right style="thin">
        <color theme="6" tint="-0.499984740745262"/>
      </right>
      <top style="thin">
        <color auto="1"/>
      </top>
      <bottom style="thin">
        <color theme="6" tint="-0.499984740745262"/>
      </bottom>
      <diagonal/>
    </border>
    <border>
      <left style="thin">
        <color theme="6" tint="-0.499984740745262"/>
      </left>
      <right style="thin">
        <color theme="6" tint="-0.499984740745262"/>
      </right>
      <top style="thin">
        <color auto="1"/>
      </top>
      <bottom style="thin">
        <color theme="6" tint="-0.499984740745262"/>
      </bottom>
      <diagonal/>
    </border>
    <border>
      <left style="thin">
        <color theme="6" tint="-0.499984740745262"/>
      </left>
      <right style="thin">
        <color auto="1"/>
      </right>
      <top style="thin">
        <color auto="1"/>
      </top>
      <bottom style="thin">
        <color theme="6" tint="-0.499984740745262"/>
      </bottom>
      <diagonal/>
    </border>
    <border>
      <left style="thin">
        <color auto="1"/>
      </left>
      <right style="thin">
        <color theme="6" tint="-0.499984740745262"/>
      </right>
      <top style="thin">
        <color theme="6" tint="-0.499984740745262"/>
      </top>
      <bottom style="thin">
        <color theme="6" tint="-0.499984740745262"/>
      </bottom>
      <diagonal/>
    </border>
    <border>
      <left style="thin">
        <color theme="6" tint="-0.499984740745262"/>
      </left>
      <right style="thin">
        <color theme="6" tint="-0.499984740745262"/>
      </right>
      <top style="thin">
        <color theme="6" tint="-0.499984740745262"/>
      </top>
      <bottom style="thin">
        <color theme="6" tint="-0.499984740745262"/>
      </bottom>
      <diagonal/>
    </border>
    <border>
      <left style="thin">
        <color theme="6" tint="-0.499984740745262"/>
      </left>
      <right style="thin">
        <color auto="1"/>
      </right>
      <top style="thin">
        <color theme="6" tint="-0.499984740745262"/>
      </top>
      <bottom style="thin">
        <color theme="6" tint="-0.499984740745262"/>
      </bottom>
      <diagonal/>
    </border>
    <border>
      <left style="thin">
        <color auto="1"/>
      </left>
      <right style="thin">
        <color theme="6" tint="-0.499984740745262"/>
      </right>
      <top style="thin">
        <color theme="6" tint="-0.499984740745262"/>
      </top>
      <bottom style="thin">
        <color auto="1"/>
      </bottom>
      <diagonal/>
    </border>
    <border>
      <left style="thin">
        <color theme="6" tint="-0.499984740745262"/>
      </left>
      <right style="thin">
        <color theme="6" tint="-0.499984740745262"/>
      </right>
      <top style="thin">
        <color theme="6" tint="-0.499984740745262"/>
      </top>
      <bottom style="thin">
        <color auto="1"/>
      </bottom>
      <diagonal/>
    </border>
    <border>
      <left style="thin">
        <color theme="6" tint="-0.499984740745262"/>
      </left>
      <right style="thin">
        <color auto="1"/>
      </right>
      <top style="thin">
        <color theme="6" tint="-0.499984740745262"/>
      </top>
      <bottom style="thin">
        <color auto="1"/>
      </bottom>
      <diagonal/>
    </border>
    <border>
      <left style="thin">
        <color auto="1"/>
      </left>
      <right style="thin">
        <color theme="6" tint="-0.499984740745262"/>
      </right>
      <top style="thin">
        <color theme="6" tint="-0.499984740745262"/>
      </top>
      <bottom/>
      <diagonal/>
    </border>
    <border>
      <left style="thin">
        <color theme="6" tint="-0.499984740745262"/>
      </left>
      <right style="thin">
        <color theme="6" tint="-0.499984740745262"/>
      </right>
      <top style="thin">
        <color theme="6" tint="-0.499984740745262"/>
      </top>
      <bottom/>
      <diagonal/>
    </border>
    <border>
      <left style="thin">
        <color theme="6" tint="-0.499984740745262"/>
      </left>
      <right style="thin">
        <color auto="1"/>
      </right>
      <top style="thin">
        <color theme="6" tint="-0.499984740745262"/>
      </top>
      <bottom/>
      <diagonal/>
    </border>
    <border>
      <left style="thin">
        <color auto="1"/>
      </left>
      <right style="thin">
        <color theme="6" tint="-0.499984740745262"/>
      </right>
      <top style="medium">
        <color auto="1"/>
      </top>
      <bottom style="thin">
        <color auto="1"/>
      </bottom>
      <diagonal/>
    </border>
    <border>
      <left style="thin">
        <color theme="6" tint="-0.499984740745262"/>
      </left>
      <right style="thin">
        <color theme="6" tint="-0.499984740745262"/>
      </right>
      <top style="medium">
        <color auto="1"/>
      </top>
      <bottom style="thin">
        <color auto="1"/>
      </bottom>
      <diagonal/>
    </border>
    <border>
      <left style="thin">
        <color theme="6" tint="-0.499984740745262"/>
      </left>
      <right style="thin">
        <color auto="1"/>
      </right>
      <top style="medium">
        <color auto="1"/>
      </top>
      <bottom style="thin">
        <color auto="1"/>
      </bottom>
      <diagonal/>
    </border>
    <border>
      <left style="thin">
        <color theme="6" tint="-0.499984740745262"/>
      </left>
      <right/>
      <top style="thin">
        <color theme="6" tint="-0.499984740745262"/>
      </top>
      <bottom style="thin">
        <color theme="6" tint="-0.499984740745262"/>
      </bottom>
      <diagonal/>
    </border>
    <border>
      <left/>
      <right style="thin">
        <color auto="1"/>
      </right>
      <top style="thin">
        <color theme="6" tint="-0.499984740745262"/>
      </top>
      <bottom style="thin">
        <color theme="6" tint="-0.499984740745262"/>
      </bottom>
      <diagonal/>
    </border>
    <border>
      <left style="medium">
        <color theme="6" tint="-0.499984740745262"/>
      </left>
      <right style="thin">
        <color theme="6" tint="-0.499984740745262"/>
      </right>
      <top style="medium">
        <color theme="6" tint="-0.499984740745262"/>
      </top>
      <bottom style="thin">
        <color theme="6" tint="-0.499984740745262"/>
      </bottom>
      <diagonal/>
    </border>
    <border>
      <left style="thin">
        <color theme="6" tint="-0.499984740745262"/>
      </left>
      <right style="medium">
        <color theme="6" tint="-0.499984740745262"/>
      </right>
      <top style="medium">
        <color theme="6" tint="-0.499984740745262"/>
      </top>
      <bottom style="thin">
        <color theme="6" tint="-0.499984740745262"/>
      </bottom>
      <diagonal/>
    </border>
    <border>
      <left style="medium">
        <color theme="6" tint="-0.499984740745262"/>
      </left>
      <right style="thin">
        <color theme="6" tint="-0.499984740745262"/>
      </right>
      <top style="thin">
        <color theme="6" tint="-0.499984740745262"/>
      </top>
      <bottom style="thin">
        <color theme="6" tint="-0.499984740745262"/>
      </bottom>
      <diagonal/>
    </border>
    <border>
      <left style="thin">
        <color theme="6" tint="-0.499984740745262"/>
      </left>
      <right style="medium">
        <color theme="6" tint="-0.499984740745262"/>
      </right>
      <top style="thin">
        <color theme="6" tint="-0.499984740745262"/>
      </top>
      <bottom style="thin">
        <color theme="6" tint="-0.499984740745262"/>
      </bottom>
      <diagonal/>
    </border>
    <border>
      <left style="medium">
        <color theme="6" tint="-0.499984740745262"/>
      </left>
      <right style="thin">
        <color theme="6" tint="-0.499984740745262"/>
      </right>
      <top style="thin">
        <color theme="6" tint="-0.499984740745262"/>
      </top>
      <bottom style="medium">
        <color theme="6" tint="-0.499984740745262"/>
      </bottom>
      <diagonal/>
    </border>
    <border>
      <left style="thin">
        <color theme="6" tint="-0.499984740745262"/>
      </left>
      <right style="medium">
        <color theme="6" tint="-0.499984740745262"/>
      </right>
      <top style="thin">
        <color theme="6" tint="-0.499984740745262"/>
      </top>
      <bottom style="medium">
        <color theme="6" tint="-0.499984740745262"/>
      </bottom>
      <diagonal/>
    </border>
    <border>
      <left/>
      <right/>
      <top style="medium">
        <color theme="6" tint="-0.499984740745262"/>
      </top>
      <bottom/>
      <diagonal/>
    </border>
    <border>
      <left style="thin">
        <color theme="6" tint="-0.499984740745262"/>
      </left>
      <right style="thin">
        <color theme="6" tint="-0.24994659260841701"/>
      </right>
      <top style="thin">
        <color theme="6" tint="-0.499984740745262"/>
      </top>
      <bottom style="thin">
        <color theme="6" tint="-0.24994659260841701"/>
      </bottom>
      <diagonal/>
    </border>
    <border>
      <left style="thin">
        <color theme="6" tint="-0.24994659260841701"/>
      </left>
      <right style="thin">
        <color theme="6" tint="-0.24994659260841701"/>
      </right>
      <top style="thin">
        <color theme="6" tint="-0.499984740745262"/>
      </top>
      <bottom style="thin">
        <color theme="6" tint="-0.24994659260841701"/>
      </bottom>
      <diagonal/>
    </border>
    <border>
      <left style="thin">
        <color theme="6" tint="-0.24994659260841701"/>
      </left>
      <right style="thin">
        <color theme="6" tint="-0.499984740745262"/>
      </right>
      <top style="thin">
        <color theme="6" tint="-0.499984740745262"/>
      </top>
      <bottom style="thin">
        <color theme="6" tint="-0.24994659260841701"/>
      </bottom>
      <diagonal/>
    </border>
    <border>
      <left style="thin">
        <color theme="6" tint="-0.499984740745262"/>
      </left>
      <right style="thin">
        <color theme="6" tint="-0.24994659260841701"/>
      </right>
      <top style="thin">
        <color theme="6" tint="-0.24994659260841701"/>
      </top>
      <bottom style="thin">
        <color theme="6" tint="-0.24994659260841701"/>
      </bottom>
      <diagonal/>
    </border>
    <border>
      <left style="thin">
        <color theme="6" tint="-0.24994659260841701"/>
      </left>
      <right style="thin">
        <color theme="6" tint="-0.24994659260841701"/>
      </right>
      <top style="thin">
        <color theme="6" tint="-0.24994659260841701"/>
      </top>
      <bottom style="thin">
        <color theme="6" tint="-0.24994659260841701"/>
      </bottom>
      <diagonal/>
    </border>
    <border>
      <left style="thin">
        <color theme="6" tint="-0.24994659260841701"/>
      </left>
      <right style="thin">
        <color theme="6" tint="-0.499984740745262"/>
      </right>
      <top style="thin">
        <color theme="6" tint="-0.24994659260841701"/>
      </top>
      <bottom style="thin">
        <color theme="6" tint="-0.24994659260841701"/>
      </bottom>
      <diagonal/>
    </border>
    <border>
      <left style="thin">
        <color theme="6" tint="-0.499984740745262"/>
      </left>
      <right style="thin">
        <color theme="6" tint="-0.24994659260841701"/>
      </right>
      <top style="thin">
        <color theme="6" tint="-0.24994659260841701"/>
      </top>
      <bottom style="thin">
        <color theme="6" tint="-0.499984740745262"/>
      </bottom>
      <diagonal/>
    </border>
    <border>
      <left style="thin">
        <color theme="6" tint="-0.24994659260841701"/>
      </left>
      <right style="thin">
        <color theme="6" tint="-0.24994659260841701"/>
      </right>
      <top style="thin">
        <color theme="6" tint="-0.24994659260841701"/>
      </top>
      <bottom style="thin">
        <color theme="6" tint="-0.499984740745262"/>
      </bottom>
      <diagonal/>
    </border>
    <border>
      <left style="thin">
        <color theme="6" tint="-0.24994659260841701"/>
      </left>
      <right style="thin">
        <color theme="6" tint="-0.499984740745262"/>
      </right>
      <top style="thin">
        <color theme="6" tint="-0.24994659260841701"/>
      </top>
      <bottom style="thin">
        <color theme="6" tint="-0.499984740745262"/>
      </bottom>
      <diagonal/>
    </border>
    <border>
      <left/>
      <right style="thin">
        <color theme="6" tint="-0.24994659260841701"/>
      </right>
      <top style="thin">
        <color theme="6" tint="-0.24994659260841701"/>
      </top>
      <bottom style="thin">
        <color theme="6" tint="-0.24994659260841701"/>
      </bottom>
      <diagonal/>
    </border>
    <border>
      <left style="thin">
        <color theme="6" tint="-0.499984740745262"/>
      </left>
      <right style="thin">
        <color theme="6" tint="-0.24994659260841701"/>
      </right>
      <top/>
      <bottom style="thin">
        <color theme="6" tint="-0.24994659260841701"/>
      </bottom>
      <diagonal/>
    </border>
    <border>
      <left style="thin">
        <color theme="6" tint="-0.24994659260841701"/>
      </left>
      <right style="thin">
        <color theme="6" tint="-0.24994659260841701"/>
      </right>
      <top/>
      <bottom style="thin">
        <color theme="6" tint="-0.24994659260841701"/>
      </bottom>
      <diagonal/>
    </border>
    <border>
      <left style="thin">
        <color theme="6" tint="-0.24994659260841701"/>
      </left>
      <right style="thin">
        <color theme="6" tint="-0.499984740745262"/>
      </right>
      <top/>
      <bottom style="thin">
        <color theme="6" tint="-0.24994659260841701"/>
      </bottom>
      <diagonal/>
    </border>
    <border>
      <left/>
      <right/>
      <top/>
      <bottom style="thin">
        <color theme="6" tint="0.59996337778862885"/>
      </bottom>
      <diagonal/>
    </border>
    <border>
      <left/>
      <right/>
      <top style="thin">
        <color theme="6" tint="0.59996337778862885"/>
      </top>
      <bottom style="thin">
        <color theme="6" tint="0.59996337778862885"/>
      </bottom>
      <diagonal/>
    </border>
    <border>
      <left/>
      <right style="thin">
        <color theme="6" tint="-0.24994659260841701"/>
      </right>
      <top/>
      <bottom style="thin">
        <color theme="6" tint="-0.24994659260841701"/>
      </bottom>
      <diagonal/>
    </border>
    <border>
      <left/>
      <right/>
      <top style="thin">
        <color theme="6" tint="-0.499984740745262"/>
      </top>
      <bottom style="thin">
        <color theme="6" tint="-0.499984740745262"/>
      </bottom>
      <diagonal/>
    </border>
    <border>
      <left/>
      <right style="thin">
        <color theme="6" tint="-0.499984740745262"/>
      </right>
      <top style="thin">
        <color theme="6" tint="-0.499984740745262"/>
      </top>
      <bottom style="thin">
        <color theme="6" tint="-0.499984740745262"/>
      </bottom>
      <diagonal/>
    </border>
    <border>
      <left/>
      <right/>
      <top/>
      <bottom style="thin">
        <color theme="6" tint="-0.499984740745262"/>
      </bottom>
      <diagonal/>
    </border>
  </borders>
  <cellStyleXfs count="2">
    <xf numFmtId="0" fontId="0" fillId="0" borderId="0"/>
    <xf numFmtId="0" fontId="10" fillId="0" borderId="0"/>
  </cellStyleXfs>
  <cellXfs count="149">
    <xf numFmtId="0" fontId="0" fillId="0" borderId="0" xfId="0"/>
    <xf numFmtId="0" fontId="1" fillId="0" borderId="0" xfId="0" applyFont="1" applyAlignment="1">
      <alignment wrapText="1"/>
    </xf>
    <xf numFmtId="0" fontId="1" fillId="0" borderId="0" xfId="0" applyFont="1"/>
    <xf numFmtId="0" fontId="2" fillId="0" borderId="0" xfId="0" applyFont="1" applyAlignment="1">
      <alignment wrapText="1"/>
    </xf>
    <xf numFmtId="0" fontId="2" fillId="0" borderId="0" xfId="0" applyNumberFormat="1" applyFont="1"/>
    <xf numFmtId="0" fontId="2" fillId="0" borderId="0" xfId="0" applyFont="1"/>
    <xf numFmtId="164" fontId="2" fillId="0" borderId="0" xfId="0" applyNumberFormat="1" applyFont="1"/>
    <xf numFmtId="0" fontId="2" fillId="0" borderId="0" xfId="0" applyFont="1" applyAlignment="1"/>
    <xf numFmtId="164" fontId="2" fillId="0" borderId="5" xfId="0" applyNumberFormat="1" applyFont="1" applyBorder="1"/>
    <xf numFmtId="0" fontId="2" fillId="0" borderId="6" xfId="0" applyNumberFormat="1" applyFont="1" applyBorder="1"/>
    <xf numFmtId="164" fontId="2" fillId="0" borderId="8" xfId="0" applyNumberFormat="1" applyFont="1" applyBorder="1"/>
    <xf numFmtId="164" fontId="2" fillId="0" borderId="11" xfId="0" applyNumberFormat="1" applyFont="1" applyBorder="1"/>
    <xf numFmtId="164" fontId="3" fillId="0" borderId="14" xfId="0" applyNumberFormat="1" applyFont="1" applyBorder="1"/>
    <xf numFmtId="0" fontId="3" fillId="0" borderId="15" xfId="0" applyNumberFormat="1" applyFont="1" applyBorder="1"/>
    <xf numFmtId="164" fontId="2" fillId="0" borderId="6" xfId="0" applyNumberFormat="1" applyFont="1" applyBorder="1"/>
    <xf numFmtId="164" fontId="2" fillId="0" borderId="9" xfId="0" applyNumberFormat="1" applyFont="1" applyBorder="1"/>
    <xf numFmtId="164" fontId="3" fillId="0" borderId="5" xfId="0" applyNumberFormat="1" applyFont="1" applyBorder="1"/>
    <xf numFmtId="164" fontId="3" fillId="0" borderId="6" xfId="0" applyNumberFormat="1" applyFont="1" applyBorder="1"/>
    <xf numFmtId="164" fontId="3" fillId="0" borderId="0" xfId="0" applyNumberFormat="1" applyFont="1"/>
    <xf numFmtId="0" fontId="2" fillId="0" borderId="12" xfId="0" applyNumberFormat="1" applyFont="1" applyBorder="1"/>
    <xf numFmtId="0" fontId="4" fillId="0" borderId="0" xfId="0" applyFont="1"/>
    <xf numFmtId="0" fontId="2" fillId="0" borderId="21" xfId="0" applyFont="1" applyBorder="1" applyAlignment="1">
      <alignment vertical="top" wrapText="1"/>
    </xf>
    <xf numFmtId="2" fontId="2" fillId="0" borderId="0" xfId="0" applyNumberFormat="1" applyFont="1"/>
    <xf numFmtId="3" fontId="2" fillId="0" borderId="29" xfId="0" applyNumberFormat="1" applyFont="1" applyBorder="1"/>
    <xf numFmtId="0" fontId="2" fillId="0" borderId="29" xfId="0" applyFont="1" applyBorder="1"/>
    <xf numFmtId="2" fontId="2" fillId="0" borderId="29" xfId="0" applyNumberFormat="1" applyFont="1" applyBorder="1"/>
    <xf numFmtId="2" fontId="2" fillId="0" borderId="30" xfId="0" applyNumberFormat="1" applyFont="1" applyBorder="1"/>
    <xf numFmtId="3" fontId="6" fillId="0" borderId="21" xfId="0" applyNumberFormat="1" applyFont="1" applyBorder="1" applyAlignment="1">
      <alignment horizontal="center" vertical="top" wrapText="1"/>
    </xf>
    <xf numFmtId="3" fontId="5" fillId="0" borderId="21" xfId="0" applyNumberFormat="1" applyFont="1" applyBorder="1" applyAlignment="1">
      <alignment horizontal="center" vertical="top" wrapText="1"/>
    </xf>
    <xf numFmtId="6" fontId="5" fillId="0" borderId="21" xfId="0" applyNumberFormat="1" applyFont="1" applyBorder="1" applyAlignment="1">
      <alignment horizontal="center" vertical="top" wrapText="1"/>
    </xf>
    <xf numFmtId="3" fontId="5" fillId="0" borderId="23" xfId="0" applyNumberFormat="1" applyFont="1" applyBorder="1" applyAlignment="1">
      <alignment horizontal="center" vertical="top" wrapText="1"/>
    </xf>
    <xf numFmtId="0" fontId="8" fillId="0" borderId="0" xfId="0" applyFont="1" applyAlignment="1">
      <alignment wrapText="1"/>
    </xf>
    <xf numFmtId="3" fontId="3" fillId="0" borderId="32" xfId="0" applyNumberFormat="1" applyFont="1" applyBorder="1"/>
    <xf numFmtId="2" fontId="3" fillId="0" borderId="32" xfId="0" applyNumberFormat="1" applyFont="1" applyBorder="1"/>
    <xf numFmtId="2" fontId="3" fillId="0" borderId="33" xfId="0" applyNumberFormat="1" applyFont="1" applyBorder="1"/>
    <xf numFmtId="0" fontId="3" fillId="0" borderId="0" xfId="0" applyFont="1"/>
    <xf numFmtId="0" fontId="9" fillId="0" borderId="0" xfId="0" applyFont="1"/>
    <xf numFmtId="0" fontId="2" fillId="0" borderId="29" xfId="0" applyFont="1" applyFill="1" applyBorder="1" applyAlignment="1">
      <alignment wrapText="1"/>
    </xf>
    <xf numFmtId="164" fontId="2" fillId="0" borderId="29" xfId="0" applyNumberFormat="1" applyFont="1" applyFill="1" applyBorder="1" applyAlignment="1">
      <alignment wrapText="1"/>
    </xf>
    <xf numFmtId="164" fontId="2" fillId="0" borderId="29" xfId="0" applyNumberFormat="1" applyFont="1" applyBorder="1"/>
    <xf numFmtId="3" fontId="2" fillId="0" borderId="34" xfId="0" applyNumberFormat="1" applyFont="1" applyFill="1" applyBorder="1" applyAlignment="1">
      <alignment wrapText="1"/>
    </xf>
    <xf numFmtId="3" fontId="2" fillId="0" borderId="29" xfId="0" applyNumberFormat="1" applyFont="1" applyFill="1" applyBorder="1" applyAlignment="1">
      <alignment wrapText="1"/>
    </xf>
    <xf numFmtId="3" fontId="2" fillId="0" borderId="36" xfId="0" applyNumberFormat="1" applyFont="1" applyBorder="1"/>
    <xf numFmtId="0" fontId="2" fillId="0" borderId="36" xfId="0" applyFont="1" applyBorder="1"/>
    <xf numFmtId="2" fontId="2" fillId="0" borderId="36" xfId="0" applyNumberFormat="1" applyFont="1" applyBorder="1"/>
    <xf numFmtId="164" fontId="2" fillId="0" borderId="36" xfId="0" applyNumberFormat="1" applyFont="1" applyBorder="1"/>
    <xf numFmtId="164" fontId="3" fillId="0" borderId="32" xfId="0" applyNumberFormat="1" applyFont="1" applyBorder="1"/>
    <xf numFmtId="2" fontId="2" fillId="0" borderId="37" xfId="0" applyNumberFormat="1" applyFont="1" applyBorder="1"/>
    <xf numFmtId="3" fontId="1" fillId="0" borderId="0" xfId="0" applyNumberFormat="1" applyFont="1" applyAlignment="1">
      <alignment horizontal="right"/>
    </xf>
    <xf numFmtId="0" fontId="1" fillId="0" borderId="0" xfId="0" applyFont="1" applyAlignment="1">
      <alignment horizontal="right"/>
    </xf>
    <xf numFmtId="3" fontId="1" fillId="0" borderId="0" xfId="0" applyNumberFormat="1" applyFont="1" applyAlignment="1">
      <alignment horizontal="left"/>
    </xf>
    <xf numFmtId="0" fontId="1" fillId="0" borderId="36" xfId="0" applyFont="1" applyBorder="1" applyAlignment="1">
      <alignment wrapText="1"/>
    </xf>
    <xf numFmtId="1" fontId="1" fillId="0" borderId="36" xfId="0" applyNumberFormat="1" applyFont="1" applyBorder="1" applyAlignment="1">
      <alignment wrapText="1"/>
    </xf>
    <xf numFmtId="1" fontId="1" fillId="0" borderId="36" xfId="0" applyNumberFormat="1" applyFont="1" applyBorder="1"/>
    <xf numFmtId="3" fontId="1" fillId="0" borderId="36" xfId="0" applyNumberFormat="1" applyFont="1" applyBorder="1" applyAlignment="1">
      <alignment horizontal="right"/>
    </xf>
    <xf numFmtId="164" fontId="1" fillId="0" borderId="36" xfId="0" applyNumberFormat="1" applyFont="1" applyBorder="1" applyAlignment="1">
      <alignment wrapText="1"/>
    </xf>
    <xf numFmtId="164" fontId="1" fillId="0" borderId="37" xfId="0" applyNumberFormat="1" applyFont="1" applyBorder="1" applyAlignment="1">
      <alignment wrapText="1"/>
    </xf>
    <xf numFmtId="3" fontId="1" fillId="0" borderId="29" xfId="0" applyNumberFormat="1" applyFont="1" applyBorder="1"/>
    <xf numFmtId="0" fontId="1" fillId="0" borderId="29" xfId="0" applyFont="1" applyBorder="1"/>
    <xf numFmtId="1" fontId="1" fillId="0" borderId="29" xfId="0" applyNumberFormat="1" applyFont="1" applyBorder="1" applyAlignment="1">
      <alignment wrapText="1"/>
    </xf>
    <xf numFmtId="1" fontId="1" fillId="0" borderId="29" xfId="0" applyNumberFormat="1" applyFont="1" applyBorder="1"/>
    <xf numFmtId="3" fontId="1" fillId="0" borderId="29" xfId="0" applyNumberFormat="1" applyFont="1" applyBorder="1" applyAlignment="1">
      <alignment horizontal="right"/>
    </xf>
    <xf numFmtId="164" fontId="1" fillId="0" borderId="29" xfId="0" applyNumberFormat="1" applyFont="1" applyBorder="1" applyAlignment="1">
      <alignment wrapText="1"/>
    </xf>
    <xf numFmtId="3" fontId="1" fillId="0" borderId="32" xfId="0" applyNumberFormat="1" applyFont="1" applyBorder="1"/>
    <xf numFmtId="0" fontId="1" fillId="0" borderId="32" xfId="0" applyFont="1" applyBorder="1"/>
    <xf numFmtId="1" fontId="1" fillId="0" borderId="32" xfId="0" applyNumberFormat="1" applyFont="1" applyBorder="1"/>
    <xf numFmtId="3" fontId="1" fillId="0" borderId="32" xfId="0" applyNumberFormat="1" applyFont="1" applyBorder="1" applyAlignment="1">
      <alignment horizontal="right"/>
    </xf>
    <xf numFmtId="164" fontId="1" fillId="0" borderId="32" xfId="0" applyNumberFormat="1" applyFont="1" applyBorder="1"/>
    <xf numFmtId="164" fontId="1" fillId="0" borderId="33" xfId="0" applyNumberFormat="1" applyFont="1" applyBorder="1" applyAlignment="1">
      <alignment wrapText="1"/>
    </xf>
    <xf numFmtId="0" fontId="1" fillId="0" borderId="38" xfId="0" applyFont="1" applyBorder="1" applyAlignment="1">
      <alignment horizontal="left"/>
    </xf>
    <xf numFmtId="0" fontId="1" fillId="0" borderId="38" xfId="0" applyFont="1" applyBorder="1"/>
    <xf numFmtId="3" fontId="1" fillId="0" borderId="39" xfId="0" applyNumberFormat="1" applyFont="1" applyBorder="1" applyAlignment="1">
      <alignment horizontal="left"/>
    </xf>
    <xf numFmtId="0" fontId="1" fillId="0" borderId="39" xfId="0" applyFont="1" applyBorder="1"/>
    <xf numFmtId="0" fontId="1" fillId="0" borderId="39" xfId="0" applyFont="1" applyBorder="1" applyAlignment="1">
      <alignment horizontal="left"/>
    </xf>
    <xf numFmtId="1" fontId="1" fillId="0" borderId="39" xfId="0" applyNumberFormat="1" applyFont="1" applyBorder="1"/>
    <xf numFmtId="0" fontId="1" fillId="0" borderId="39" xfId="0" applyFont="1" applyBorder="1" applyAlignment="1">
      <alignment vertical="center" wrapText="1"/>
    </xf>
    <xf numFmtId="0" fontId="1" fillId="0" borderId="0" xfId="0" applyFont="1" applyAlignment="1">
      <alignment vertical="center" wrapText="1"/>
    </xf>
    <xf numFmtId="164" fontId="2" fillId="0" borderId="30" xfId="0" applyNumberFormat="1" applyFont="1" applyBorder="1"/>
    <xf numFmtId="3" fontId="2" fillId="0" borderId="40" xfId="0" applyNumberFormat="1" applyFont="1" applyFill="1" applyBorder="1" applyAlignment="1">
      <alignment horizontal="right" wrapText="1"/>
    </xf>
    <xf numFmtId="3" fontId="2" fillId="0" borderId="36" xfId="0" applyNumberFormat="1" applyFont="1" applyFill="1" applyBorder="1" applyAlignment="1">
      <alignment wrapText="1"/>
    </xf>
    <xf numFmtId="164" fontId="2" fillId="0" borderId="36" xfId="0" applyNumberFormat="1" applyFont="1" applyFill="1" applyBorder="1" applyAlignment="1">
      <alignment wrapText="1"/>
    </xf>
    <xf numFmtId="0" fontId="2" fillId="0" borderId="36" xfId="0" applyFont="1" applyFill="1" applyBorder="1" applyAlignment="1">
      <alignment wrapText="1"/>
    </xf>
    <xf numFmtId="164" fontId="2" fillId="0" borderId="37" xfId="0" applyNumberFormat="1" applyFont="1" applyBorder="1"/>
    <xf numFmtId="0" fontId="2" fillId="2" borderId="31" xfId="0" applyFont="1" applyFill="1" applyBorder="1" applyAlignment="1">
      <alignment wrapText="1"/>
    </xf>
    <xf numFmtId="0" fontId="2" fillId="2" borderId="32" xfId="0" applyFont="1" applyFill="1" applyBorder="1" applyAlignment="1">
      <alignment wrapText="1"/>
    </xf>
    <xf numFmtId="164" fontId="2" fillId="2" borderId="32" xfId="0" applyNumberFormat="1" applyFont="1" applyFill="1" applyBorder="1" applyAlignment="1">
      <alignment wrapText="1"/>
    </xf>
    <xf numFmtId="164" fontId="2" fillId="2" borderId="33" xfId="0" applyNumberFormat="1" applyFont="1" applyFill="1" applyBorder="1" applyAlignment="1">
      <alignment wrapText="1"/>
    </xf>
    <xf numFmtId="0" fontId="2" fillId="2" borderId="35" xfId="0" applyFont="1" applyFill="1" applyBorder="1" applyAlignment="1">
      <alignment horizontal="right" wrapText="1"/>
    </xf>
    <xf numFmtId="0" fontId="2" fillId="2" borderId="28" xfId="0" applyFont="1" applyFill="1" applyBorder="1" applyAlignment="1">
      <alignment wrapText="1"/>
    </xf>
    <xf numFmtId="0" fontId="3" fillId="2" borderId="31" xfId="0" applyFont="1" applyFill="1" applyBorder="1" applyAlignment="1">
      <alignment wrapText="1"/>
    </xf>
    <xf numFmtId="3" fontId="3" fillId="2" borderId="32" xfId="0" applyNumberFormat="1" applyFont="1" applyFill="1" applyBorder="1" applyAlignment="1">
      <alignment wrapText="1"/>
    </xf>
    <xf numFmtId="164" fontId="3" fillId="2" borderId="32" xfId="0" applyNumberFormat="1" applyFont="1" applyFill="1" applyBorder="1" applyAlignment="1">
      <alignment wrapText="1"/>
    </xf>
    <xf numFmtId="164" fontId="3" fillId="2" borderId="32" xfId="0" applyNumberFormat="1" applyFont="1" applyFill="1" applyBorder="1"/>
    <xf numFmtId="164" fontId="3" fillId="2" borderId="33" xfId="0" applyNumberFormat="1" applyFont="1" applyFill="1" applyBorder="1"/>
    <xf numFmtId="1" fontId="2" fillId="2" borderId="25" xfId="0" applyNumberFormat="1" applyFont="1" applyFill="1" applyBorder="1" applyAlignment="1">
      <alignment horizontal="center"/>
    </xf>
    <xf numFmtId="1" fontId="2" fillId="2" borderId="26" xfId="0" applyNumberFormat="1" applyFont="1" applyFill="1" applyBorder="1" applyAlignment="1">
      <alignment horizontal="center"/>
    </xf>
    <xf numFmtId="1" fontId="2" fillId="2" borderId="27" xfId="0" applyNumberFormat="1" applyFont="1" applyFill="1" applyBorder="1" applyAlignment="1">
      <alignment horizontal="center"/>
    </xf>
    <xf numFmtId="1" fontId="2" fillId="0" borderId="0" xfId="0" applyNumberFormat="1" applyFont="1" applyAlignment="1">
      <alignment horizontal="center"/>
    </xf>
    <xf numFmtId="164" fontId="3" fillId="0" borderId="41" xfId="0" applyNumberFormat="1" applyFont="1" applyFill="1" applyBorder="1" applyAlignment="1">
      <alignment horizontal="left"/>
    </xf>
    <xf numFmtId="164" fontId="3" fillId="0" borderId="42" xfId="0" applyNumberFormat="1" applyFont="1" applyFill="1" applyBorder="1" applyAlignment="1">
      <alignment horizontal="left"/>
    </xf>
    <xf numFmtId="0" fontId="3" fillId="0" borderId="16" xfId="0" applyFont="1" applyFill="1" applyBorder="1" applyAlignment="1">
      <alignment horizontal="left"/>
    </xf>
    <xf numFmtId="3" fontId="3" fillId="0" borderId="41" xfId="0" applyNumberFormat="1" applyFont="1" applyFill="1" applyBorder="1" applyAlignment="1">
      <alignment horizontal="left"/>
    </xf>
    <xf numFmtId="0" fontId="3" fillId="0" borderId="0" xfId="0" applyFont="1" applyAlignment="1"/>
    <xf numFmtId="164" fontId="1" fillId="0" borderId="0" xfId="0" applyNumberFormat="1" applyFont="1"/>
    <xf numFmtId="20" fontId="1" fillId="0" borderId="0" xfId="0" applyNumberFormat="1" applyFont="1"/>
    <xf numFmtId="3" fontId="1" fillId="2" borderId="25" xfId="0" applyNumberFormat="1" applyFont="1" applyFill="1" applyBorder="1" applyAlignment="1">
      <alignment horizontal="left"/>
    </xf>
    <xf numFmtId="0" fontId="1" fillId="2" borderId="26" xfId="0" applyFont="1" applyFill="1" applyBorder="1" applyAlignment="1">
      <alignment horizontal="center"/>
    </xf>
    <xf numFmtId="3" fontId="1" fillId="2" borderId="26" xfId="0" applyNumberFormat="1" applyFont="1" applyFill="1" applyBorder="1" applyAlignment="1">
      <alignment horizontal="center"/>
    </xf>
    <xf numFmtId="0" fontId="1" fillId="2" borderId="27" xfId="0" applyFont="1" applyFill="1" applyBorder="1" applyAlignment="1">
      <alignment horizontal="center"/>
    </xf>
    <xf numFmtId="3" fontId="1" fillId="2" borderId="31" xfId="0" applyNumberFormat="1" applyFont="1" applyFill="1" applyBorder="1" applyAlignment="1">
      <alignment horizontal="right" wrapText="1"/>
    </xf>
    <xf numFmtId="0" fontId="1" fillId="2" borderId="32" xfId="0" applyFont="1" applyFill="1" applyBorder="1" applyAlignment="1">
      <alignment wrapText="1"/>
    </xf>
    <xf numFmtId="3" fontId="1" fillId="2" borderId="32" xfId="0" applyNumberFormat="1" applyFont="1" applyFill="1" applyBorder="1" applyAlignment="1">
      <alignment horizontal="right" wrapText="1"/>
    </xf>
    <xf numFmtId="0" fontId="1" fillId="2" borderId="33" xfId="0" applyFont="1" applyFill="1" applyBorder="1" applyAlignment="1">
      <alignment wrapText="1"/>
    </xf>
    <xf numFmtId="0" fontId="1" fillId="2" borderId="35" xfId="0" applyFont="1" applyFill="1" applyBorder="1"/>
    <xf numFmtId="0" fontId="1" fillId="2" borderId="28" xfId="0" applyFont="1" applyFill="1" applyBorder="1"/>
    <xf numFmtId="0" fontId="1" fillId="2" borderId="31" xfId="0" applyFont="1" applyFill="1" applyBorder="1" applyAlignment="1">
      <alignment horizontal="right"/>
    </xf>
    <xf numFmtId="0" fontId="2" fillId="2" borderId="1" xfId="0" applyFont="1" applyFill="1" applyBorder="1" applyAlignment="1">
      <alignment wrapText="1"/>
    </xf>
    <xf numFmtId="164" fontId="2" fillId="2" borderId="2" xfId="0" applyNumberFormat="1" applyFont="1" applyFill="1" applyBorder="1" applyAlignment="1">
      <alignment wrapText="1"/>
    </xf>
    <xf numFmtId="164" fontId="2" fillId="2" borderId="3" xfId="0" applyNumberFormat="1" applyFont="1" applyFill="1" applyBorder="1" applyAlignment="1">
      <alignment wrapText="1"/>
    </xf>
    <xf numFmtId="0" fontId="2" fillId="2" borderId="4" xfId="0" applyFont="1" applyFill="1" applyBorder="1" applyAlignment="1">
      <alignment wrapText="1"/>
    </xf>
    <xf numFmtId="0" fontId="3" fillId="2" borderId="4" xfId="0" applyFont="1" applyFill="1" applyBorder="1" applyAlignment="1">
      <alignment wrapText="1"/>
    </xf>
    <xf numFmtId="0" fontId="3" fillId="2" borderId="10" xfId="0" applyFont="1" applyFill="1" applyBorder="1" applyAlignment="1">
      <alignment wrapText="1"/>
    </xf>
    <xf numFmtId="0" fontId="2" fillId="2" borderId="7" xfId="0" applyFont="1" applyFill="1" applyBorder="1" applyAlignment="1">
      <alignment wrapText="1"/>
    </xf>
    <xf numFmtId="0" fontId="2" fillId="2" borderId="25" xfId="0" applyFont="1" applyFill="1" applyBorder="1" applyAlignment="1">
      <alignment horizontal="center"/>
    </xf>
    <xf numFmtId="0" fontId="2" fillId="2" borderId="26" xfId="0" applyFont="1" applyFill="1" applyBorder="1" applyAlignment="1">
      <alignment horizontal="center"/>
    </xf>
    <xf numFmtId="0" fontId="2" fillId="2" borderId="27" xfId="0" applyFont="1" applyFill="1" applyBorder="1" applyAlignment="1">
      <alignment horizontal="center"/>
    </xf>
    <xf numFmtId="0" fontId="2" fillId="2" borderId="31" xfId="0" applyNumberFormat="1" applyFont="1" applyFill="1" applyBorder="1" applyAlignment="1">
      <alignment wrapText="1"/>
    </xf>
    <xf numFmtId="0" fontId="2" fillId="2" borderId="32" xfId="0" applyNumberFormat="1" applyFont="1" applyFill="1" applyBorder="1" applyAlignment="1">
      <alignment wrapText="1"/>
    </xf>
    <xf numFmtId="0" fontId="2" fillId="2" borderId="33" xfId="0" applyNumberFormat="1" applyFont="1" applyFill="1" applyBorder="1" applyAlignment="1">
      <alignment wrapText="1"/>
    </xf>
    <xf numFmtId="0" fontId="2" fillId="2" borderId="35" xfId="0" applyFont="1" applyFill="1" applyBorder="1"/>
    <xf numFmtId="0" fontId="2" fillId="2" borderId="28" xfId="0" applyFont="1" applyFill="1" applyBorder="1"/>
    <xf numFmtId="0" fontId="3" fillId="2" borderId="31" xfId="0" applyFont="1" applyFill="1" applyBorder="1"/>
    <xf numFmtId="0" fontId="5" fillId="2" borderId="18" xfId="0" applyFont="1" applyFill="1" applyBorder="1" applyAlignment="1">
      <alignment vertical="top" wrapText="1"/>
    </xf>
    <xf numFmtId="3" fontId="5" fillId="2" borderId="19" xfId="0" applyNumberFormat="1" applyFont="1" applyFill="1" applyBorder="1" applyAlignment="1">
      <alignment horizontal="center" vertical="top" wrapText="1"/>
    </xf>
    <xf numFmtId="0" fontId="6" fillId="2" borderId="20" xfId="0" applyFont="1" applyFill="1" applyBorder="1" applyAlignment="1">
      <alignment vertical="top" wrapText="1"/>
    </xf>
    <xf numFmtId="0" fontId="6" fillId="2" borderId="20" xfId="0" applyFont="1" applyFill="1" applyBorder="1" applyAlignment="1">
      <alignment horizontal="center" vertical="top" wrapText="1"/>
    </xf>
    <xf numFmtId="0" fontId="6" fillId="2" borderId="20" xfId="0" applyFont="1" applyFill="1" applyBorder="1" applyAlignment="1">
      <alignment horizontal="left" vertical="top" wrapText="1" indent="7"/>
    </xf>
    <xf numFmtId="0" fontId="5" fillId="2" borderId="20" xfId="0" applyFont="1" applyFill="1" applyBorder="1" applyAlignment="1">
      <alignment horizontal="center" vertical="top" wrapText="1"/>
    </xf>
    <xf numFmtId="0" fontId="5" fillId="2" borderId="20" xfId="0" applyFont="1" applyFill="1" applyBorder="1" applyAlignment="1">
      <alignment vertical="top" wrapText="1"/>
    </xf>
    <xf numFmtId="0" fontId="5" fillId="2" borderId="22" xfId="0" applyFont="1" applyFill="1" applyBorder="1" applyAlignment="1">
      <alignment vertical="top" wrapText="1"/>
    </xf>
    <xf numFmtId="0" fontId="2" fillId="0" borderId="43" xfId="0" applyFont="1" applyBorder="1" applyAlignment="1">
      <alignment horizontal="center"/>
    </xf>
    <xf numFmtId="164" fontId="3" fillId="0" borderId="16" xfId="0" applyNumberFormat="1" applyFont="1" applyBorder="1" applyAlignment="1">
      <alignment horizontal="center"/>
    </xf>
    <xf numFmtId="164" fontId="3" fillId="0" borderId="17" xfId="0" applyNumberFormat="1" applyFont="1" applyBorder="1" applyAlignment="1">
      <alignment horizontal="center"/>
    </xf>
    <xf numFmtId="0" fontId="7" fillId="0" borderId="24" xfId="0" applyFont="1" applyBorder="1" applyAlignment="1">
      <alignment vertical="top" wrapText="1"/>
    </xf>
    <xf numFmtId="0" fontId="7" fillId="0" borderId="0" xfId="0" applyFont="1" applyAlignment="1">
      <alignment horizontal="left" vertical="top" wrapText="1"/>
    </xf>
    <xf numFmtId="0" fontId="2" fillId="2" borderId="10" xfId="0" applyFont="1" applyFill="1" applyBorder="1" applyAlignment="1">
      <alignment wrapText="1"/>
    </xf>
    <xf numFmtId="0" fontId="2" fillId="2" borderId="13" xfId="0" applyFont="1" applyFill="1" applyBorder="1" applyAlignment="1">
      <alignment wrapText="1"/>
    </xf>
    <xf numFmtId="164" fontId="2" fillId="2" borderId="2" xfId="0" applyNumberFormat="1" applyFont="1" applyFill="1" applyBorder="1" applyAlignment="1">
      <alignment horizontal="center" wrapText="1"/>
    </xf>
    <xf numFmtId="0" fontId="2" fillId="2" borderId="3" xfId="0" applyNumberFormat="1" applyFont="1" applyFill="1" applyBorder="1" applyAlignment="1">
      <alignment horizontal="center"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pageSetUpPr fitToPage="1"/>
  </sheetPr>
  <dimension ref="B1:N39"/>
  <sheetViews>
    <sheetView workbookViewId="0">
      <selection activeCell="N13" sqref="N13"/>
    </sheetView>
  </sheetViews>
  <sheetFormatPr defaultColWidth="8.85546875" defaultRowHeight="15.75"/>
  <cols>
    <col min="1" max="1" width="8.85546875" style="5"/>
    <col min="2" max="2" width="13.28515625" style="5" customWidth="1"/>
    <col min="3" max="3" width="11.7109375" style="5" customWidth="1"/>
    <col min="4" max="4" width="12.85546875" style="5" customWidth="1"/>
    <col min="5" max="5" width="17.7109375" style="5" customWidth="1"/>
    <col min="6" max="6" width="17.7109375" style="5" hidden="1" customWidth="1"/>
    <col min="7" max="7" width="13.42578125" style="5" customWidth="1"/>
    <col min="8" max="8" width="13.140625" style="5" customWidth="1"/>
    <col min="9" max="9" width="14.140625" style="5" customWidth="1"/>
    <col min="10" max="10" width="17.7109375" style="5" hidden="1" customWidth="1"/>
    <col min="11" max="11" width="13.42578125" style="5" customWidth="1"/>
    <col min="12" max="12" width="13" style="5" customWidth="1"/>
    <col min="13" max="13" width="14.5703125" style="6" customWidth="1"/>
    <col min="14" max="14" width="13.7109375" style="6" customWidth="1"/>
    <col min="15" max="16384" width="8.85546875" style="5"/>
  </cols>
  <sheetData>
    <row r="1" spans="2:14">
      <c r="B1" s="140" t="s">
        <v>108</v>
      </c>
      <c r="C1" s="140"/>
      <c r="D1" s="140"/>
      <c r="E1" s="140"/>
      <c r="F1" s="140"/>
      <c r="G1" s="140"/>
      <c r="H1" s="140"/>
      <c r="I1" s="140"/>
      <c r="J1" s="140"/>
      <c r="K1" s="140"/>
      <c r="L1" s="140"/>
      <c r="M1" s="140"/>
      <c r="N1" s="140"/>
    </row>
    <row r="2" spans="2:14" s="97" customFormat="1">
      <c r="B2" s="94"/>
      <c r="C2" s="95">
        <v>1</v>
      </c>
      <c r="D2" s="95">
        <v>2</v>
      </c>
      <c r="E2" s="95">
        <v>3</v>
      </c>
      <c r="F2" s="95"/>
      <c r="G2" s="95">
        <v>4</v>
      </c>
      <c r="H2" s="95">
        <v>5</v>
      </c>
      <c r="I2" s="95">
        <v>6</v>
      </c>
      <c r="J2" s="95"/>
      <c r="K2" s="95">
        <v>7</v>
      </c>
      <c r="L2" s="95">
        <v>8</v>
      </c>
      <c r="M2" s="95">
        <v>9</v>
      </c>
      <c r="N2" s="96">
        <v>10</v>
      </c>
    </row>
    <row r="3" spans="2:14" ht="90.75" customHeight="1">
      <c r="B3" s="83" t="s">
        <v>56</v>
      </c>
      <c r="C3" s="84" t="s">
        <v>114</v>
      </c>
      <c r="D3" s="84" t="s">
        <v>61</v>
      </c>
      <c r="E3" s="84" t="s">
        <v>62</v>
      </c>
      <c r="F3" s="84" t="s">
        <v>109</v>
      </c>
      <c r="G3" s="84" t="s">
        <v>100</v>
      </c>
      <c r="H3" s="84" t="s">
        <v>95</v>
      </c>
      <c r="I3" s="84" t="s">
        <v>96</v>
      </c>
      <c r="J3" s="84" t="s">
        <v>60</v>
      </c>
      <c r="K3" s="84" t="s">
        <v>57</v>
      </c>
      <c r="L3" s="85" t="s">
        <v>113</v>
      </c>
      <c r="M3" s="85" t="s">
        <v>58</v>
      </c>
      <c r="N3" s="86" t="s">
        <v>59</v>
      </c>
    </row>
    <row r="4" spans="2:14">
      <c r="B4" s="87" t="s">
        <v>98</v>
      </c>
      <c r="C4" s="78">
        <v>17834</v>
      </c>
      <c r="D4" s="79"/>
      <c r="E4" s="80"/>
      <c r="F4" s="80"/>
      <c r="G4" s="81"/>
      <c r="H4" s="80"/>
      <c r="I4" s="80"/>
      <c r="J4" s="80"/>
      <c r="K4" s="80">
        <v>1065000</v>
      </c>
      <c r="L4" s="80"/>
      <c r="M4" s="45">
        <v>-1065000</v>
      </c>
      <c r="N4" s="82">
        <f>$M4*0.9346</f>
        <v>-995349</v>
      </c>
    </row>
    <row r="5" spans="2:14">
      <c r="B5" s="88">
        <v>2012</v>
      </c>
      <c r="C5" s="40">
        <f>C4*1.0035</f>
        <v>17896.419000000002</v>
      </c>
      <c r="D5" s="41"/>
      <c r="E5" s="38"/>
      <c r="F5" s="38"/>
      <c r="G5" s="37"/>
      <c r="H5" s="38"/>
      <c r="I5" s="38"/>
      <c r="J5" s="38"/>
      <c r="K5" s="38">
        <v>500000</v>
      </c>
      <c r="L5" s="38"/>
      <c r="M5" s="39">
        <v>-500000</v>
      </c>
      <c r="N5" s="77">
        <f>$M5*0.9346</f>
        <v>-467300</v>
      </c>
    </row>
    <row r="6" spans="2:14">
      <c r="B6" s="88">
        <v>2013</v>
      </c>
      <c r="C6" s="40">
        <f t="shared" ref="C6:C26" si="0">C5*1.0035</f>
        <v>17959.056466500002</v>
      </c>
      <c r="D6" s="41"/>
      <c r="E6" s="38"/>
      <c r="F6" s="38"/>
      <c r="G6" s="37"/>
      <c r="H6" s="38"/>
      <c r="I6" s="38"/>
      <c r="J6" s="38"/>
      <c r="K6" s="38">
        <v>6854000</v>
      </c>
      <c r="L6" s="38"/>
      <c r="M6" s="39">
        <v>-6854000</v>
      </c>
      <c r="N6" s="77">
        <f t="shared" ref="N6" si="1">$M6*0.9346</f>
        <v>-6405748.3999999994</v>
      </c>
    </row>
    <row r="7" spans="2:14">
      <c r="B7" s="88">
        <v>2014</v>
      </c>
      <c r="C7" s="40">
        <f t="shared" si="0"/>
        <v>18021.913164132751</v>
      </c>
      <c r="D7" s="41">
        <v>25599</v>
      </c>
      <c r="E7" s="38">
        <v>99681</v>
      </c>
      <c r="F7" s="38"/>
      <c r="G7" s="37">
        <v>236.76</v>
      </c>
      <c r="H7" s="38">
        <v>681336</v>
      </c>
      <c r="I7" s="38">
        <v>19124996</v>
      </c>
      <c r="J7" s="38"/>
      <c r="K7" s="38"/>
      <c r="L7" s="39">
        <f>18000+21250</f>
        <v>39250</v>
      </c>
      <c r="M7" s="39">
        <f>$E7+$H7+$I7-$L7</f>
        <v>19866763</v>
      </c>
      <c r="N7" s="77">
        <f>$M7*0.8734</f>
        <v>17351630.804199997</v>
      </c>
    </row>
    <row r="8" spans="2:14">
      <c r="B8" s="88">
        <v>2015</v>
      </c>
      <c r="C8" s="40">
        <f t="shared" si="0"/>
        <v>18084.989860207217</v>
      </c>
      <c r="D8" s="41">
        <v>25599</v>
      </c>
      <c r="E8" s="38">
        <v>99681</v>
      </c>
      <c r="F8" s="38"/>
      <c r="G8" s="37">
        <v>236.76</v>
      </c>
      <c r="H8" s="38">
        <v>681336</v>
      </c>
      <c r="I8" s="38">
        <v>19124996</v>
      </c>
      <c r="J8" s="38"/>
      <c r="K8" s="38"/>
      <c r="L8" s="39">
        <f t="shared" ref="L8:L26" si="2">18000+21250</f>
        <v>39250</v>
      </c>
      <c r="M8" s="39">
        <f t="shared" ref="M8:M26" si="3">$E8+$H8+$I8-$L8</f>
        <v>19866763</v>
      </c>
      <c r="N8" s="77">
        <f>$M8*0.8163</f>
        <v>16217238.6369</v>
      </c>
    </row>
    <row r="9" spans="2:14">
      <c r="B9" s="88">
        <v>2016</v>
      </c>
      <c r="C9" s="40">
        <f t="shared" si="0"/>
        <v>18148.287324717945</v>
      </c>
      <c r="D9" s="41">
        <v>25599</v>
      </c>
      <c r="E9" s="38">
        <v>99681</v>
      </c>
      <c r="F9" s="38"/>
      <c r="G9" s="37">
        <v>236.76</v>
      </c>
      <c r="H9" s="38">
        <v>681336</v>
      </c>
      <c r="I9" s="38">
        <v>19124996</v>
      </c>
      <c r="J9" s="38"/>
      <c r="K9" s="38"/>
      <c r="L9" s="39">
        <f t="shared" si="2"/>
        <v>39250</v>
      </c>
      <c r="M9" s="39">
        <f t="shared" si="3"/>
        <v>19866763</v>
      </c>
      <c r="N9" s="77">
        <f>$M9*0.7629</f>
        <v>15156353.492700001</v>
      </c>
    </row>
    <row r="10" spans="2:14">
      <c r="B10" s="88">
        <v>2017</v>
      </c>
      <c r="C10" s="40">
        <f t="shared" si="0"/>
        <v>18211.806330354459</v>
      </c>
      <c r="D10" s="41">
        <v>25599</v>
      </c>
      <c r="E10" s="38">
        <v>99681</v>
      </c>
      <c r="F10" s="38"/>
      <c r="G10" s="37">
        <v>236.76</v>
      </c>
      <c r="H10" s="38">
        <v>681336</v>
      </c>
      <c r="I10" s="38">
        <v>19124996</v>
      </c>
      <c r="J10" s="38"/>
      <c r="K10" s="38"/>
      <c r="L10" s="39">
        <f t="shared" si="2"/>
        <v>39250</v>
      </c>
      <c r="M10" s="39">
        <f t="shared" si="3"/>
        <v>19866763</v>
      </c>
      <c r="N10" s="77">
        <f>$M10*0.713</f>
        <v>14165002.018999999</v>
      </c>
    </row>
    <row r="11" spans="2:14">
      <c r="B11" s="88">
        <v>2018</v>
      </c>
      <c r="C11" s="40">
        <f t="shared" si="0"/>
        <v>18275.547652510701</v>
      </c>
      <c r="D11" s="41">
        <v>25599</v>
      </c>
      <c r="E11" s="38">
        <v>99681</v>
      </c>
      <c r="F11" s="38"/>
      <c r="G11" s="37">
        <v>236.76</v>
      </c>
      <c r="H11" s="38">
        <v>681336</v>
      </c>
      <c r="I11" s="38">
        <v>19124996</v>
      </c>
      <c r="J11" s="38"/>
      <c r="K11" s="38"/>
      <c r="L11" s="39">
        <f t="shared" si="2"/>
        <v>39250</v>
      </c>
      <c r="M11" s="39">
        <f t="shared" si="3"/>
        <v>19866763</v>
      </c>
      <c r="N11" s="77">
        <f>$M11*0.6663</f>
        <v>13237224.186899999</v>
      </c>
    </row>
    <row r="12" spans="2:14">
      <c r="B12" s="88">
        <v>2019</v>
      </c>
      <c r="C12" s="40">
        <f t="shared" si="0"/>
        <v>18339.512069294487</v>
      </c>
      <c r="D12" s="41">
        <v>25599</v>
      </c>
      <c r="E12" s="38">
        <v>99681</v>
      </c>
      <c r="F12" s="38"/>
      <c r="G12" s="37">
        <v>236.76</v>
      </c>
      <c r="H12" s="38">
        <v>681336</v>
      </c>
      <c r="I12" s="38">
        <v>19124996</v>
      </c>
      <c r="J12" s="38"/>
      <c r="K12" s="38"/>
      <c r="L12" s="39">
        <f t="shared" si="2"/>
        <v>39250</v>
      </c>
      <c r="M12" s="39">
        <f t="shared" si="3"/>
        <v>19866763</v>
      </c>
      <c r="N12" s="77">
        <f>$M12*0.6227</f>
        <v>12371033.3201</v>
      </c>
    </row>
    <row r="13" spans="2:14">
      <c r="B13" s="88">
        <v>2020</v>
      </c>
      <c r="C13" s="40">
        <f t="shared" si="0"/>
        <v>18403.700361537019</v>
      </c>
      <c r="D13" s="41">
        <v>25599</v>
      </c>
      <c r="E13" s="38">
        <v>99681</v>
      </c>
      <c r="F13" s="38"/>
      <c r="G13" s="37">
        <v>236.76</v>
      </c>
      <c r="H13" s="38">
        <v>681336</v>
      </c>
      <c r="I13" s="38">
        <v>19124996</v>
      </c>
      <c r="J13" s="38"/>
      <c r="K13" s="38"/>
      <c r="L13" s="39">
        <f t="shared" si="2"/>
        <v>39250</v>
      </c>
      <c r="M13" s="39">
        <f t="shared" si="3"/>
        <v>19866763</v>
      </c>
      <c r="N13" s="77">
        <f>$M13*0.582</f>
        <v>11562456.066</v>
      </c>
    </row>
    <row r="14" spans="2:14">
      <c r="B14" s="88">
        <v>2021</v>
      </c>
      <c r="C14" s="40">
        <f t="shared" si="0"/>
        <v>18468.113312802401</v>
      </c>
      <c r="D14" s="41">
        <v>25599</v>
      </c>
      <c r="E14" s="38">
        <v>99681</v>
      </c>
      <c r="F14" s="38"/>
      <c r="G14" s="37">
        <v>236.76</v>
      </c>
      <c r="H14" s="38">
        <v>681336</v>
      </c>
      <c r="I14" s="38">
        <v>19124996</v>
      </c>
      <c r="J14" s="38"/>
      <c r="K14" s="38"/>
      <c r="L14" s="39">
        <f t="shared" si="2"/>
        <v>39250</v>
      </c>
      <c r="M14" s="39">
        <f t="shared" si="3"/>
        <v>19866763</v>
      </c>
      <c r="N14" s="77">
        <f>$M14*0.5439</f>
        <v>10805532.3957</v>
      </c>
    </row>
    <row r="15" spans="2:14">
      <c r="B15" s="88">
        <v>2022</v>
      </c>
      <c r="C15" s="40">
        <f t="shared" si="0"/>
        <v>18532.751709397209</v>
      </c>
      <c r="D15" s="41">
        <v>25599</v>
      </c>
      <c r="E15" s="38">
        <v>99681</v>
      </c>
      <c r="F15" s="38"/>
      <c r="G15" s="37">
        <v>236.76</v>
      </c>
      <c r="H15" s="38">
        <v>681336</v>
      </c>
      <c r="I15" s="38">
        <v>19124996</v>
      </c>
      <c r="J15" s="38"/>
      <c r="K15" s="38"/>
      <c r="L15" s="39">
        <f t="shared" si="2"/>
        <v>39250</v>
      </c>
      <c r="M15" s="39">
        <f t="shared" si="3"/>
        <v>19866763</v>
      </c>
      <c r="N15" s="77">
        <f>$M15*0.5083</f>
        <v>10098275.6329</v>
      </c>
    </row>
    <row r="16" spans="2:14">
      <c r="B16" s="88">
        <v>2023</v>
      </c>
      <c r="C16" s="40">
        <f t="shared" si="0"/>
        <v>18597.6163403801</v>
      </c>
      <c r="D16" s="41">
        <v>25599</v>
      </c>
      <c r="E16" s="38">
        <v>99681</v>
      </c>
      <c r="F16" s="38"/>
      <c r="G16" s="37">
        <v>236.76</v>
      </c>
      <c r="H16" s="38">
        <v>681336</v>
      </c>
      <c r="I16" s="38">
        <v>19124996</v>
      </c>
      <c r="J16" s="38"/>
      <c r="K16" s="38"/>
      <c r="L16" s="39">
        <f t="shared" si="2"/>
        <v>39250</v>
      </c>
      <c r="M16" s="39">
        <f t="shared" si="3"/>
        <v>19866763</v>
      </c>
      <c r="N16" s="77">
        <f>$M16*0.4751</f>
        <v>9438699.1013000011</v>
      </c>
    </row>
    <row r="17" spans="2:14">
      <c r="B17" s="88">
        <v>2024</v>
      </c>
      <c r="C17" s="40">
        <f t="shared" si="0"/>
        <v>18662.707997571433</v>
      </c>
      <c r="D17" s="41">
        <v>25599</v>
      </c>
      <c r="E17" s="38">
        <v>99681</v>
      </c>
      <c r="F17" s="38"/>
      <c r="G17" s="37">
        <v>236.76</v>
      </c>
      <c r="H17" s="38">
        <v>681336</v>
      </c>
      <c r="I17" s="38">
        <v>19124996</v>
      </c>
      <c r="J17" s="38"/>
      <c r="K17" s="38"/>
      <c r="L17" s="39">
        <f t="shared" si="2"/>
        <v>39250</v>
      </c>
      <c r="M17" s="39">
        <f t="shared" si="3"/>
        <v>19866763</v>
      </c>
      <c r="N17" s="77">
        <f>$M17*0.444</f>
        <v>8820842.7719999999</v>
      </c>
    </row>
    <row r="18" spans="2:14">
      <c r="B18" s="88">
        <v>2025</v>
      </c>
      <c r="C18" s="40">
        <f t="shared" si="0"/>
        <v>18728.027475562933</v>
      </c>
      <c r="D18" s="41">
        <v>25599</v>
      </c>
      <c r="E18" s="38">
        <v>99681</v>
      </c>
      <c r="F18" s="38"/>
      <c r="G18" s="37">
        <v>236.76</v>
      </c>
      <c r="H18" s="38">
        <v>681336</v>
      </c>
      <c r="I18" s="38">
        <v>19124996</v>
      </c>
      <c r="J18" s="38"/>
      <c r="K18" s="38"/>
      <c r="L18" s="39">
        <f t="shared" si="2"/>
        <v>39250</v>
      </c>
      <c r="M18" s="39">
        <f t="shared" si="3"/>
        <v>19866763</v>
      </c>
      <c r="N18" s="77">
        <f>$M18*0.415</f>
        <v>8244706.6449999996</v>
      </c>
    </row>
    <row r="19" spans="2:14">
      <c r="B19" s="88">
        <v>2026</v>
      </c>
      <c r="C19" s="40">
        <f t="shared" si="0"/>
        <v>18793.575571727404</v>
      </c>
      <c r="D19" s="41">
        <v>25599</v>
      </c>
      <c r="E19" s="38">
        <v>99681</v>
      </c>
      <c r="F19" s="38"/>
      <c r="G19" s="37">
        <v>236.76</v>
      </c>
      <c r="H19" s="38">
        <v>681336</v>
      </c>
      <c r="I19" s="38">
        <v>19124996</v>
      </c>
      <c r="J19" s="38"/>
      <c r="K19" s="38"/>
      <c r="L19" s="39">
        <f t="shared" si="2"/>
        <v>39250</v>
      </c>
      <c r="M19" s="39">
        <f t="shared" si="3"/>
        <v>19866763</v>
      </c>
      <c r="N19" s="77">
        <f>$M19*0.3878</f>
        <v>7704330.6913999999</v>
      </c>
    </row>
    <row r="20" spans="2:14">
      <c r="B20" s="88">
        <v>2027</v>
      </c>
      <c r="C20" s="40">
        <f t="shared" si="0"/>
        <v>18859.35308622845</v>
      </c>
      <c r="D20" s="41">
        <v>25599</v>
      </c>
      <c r="E20" s="38">
        <v>99681</v>
      </c>
      <c r="F20" s="38"/>
      <c r="G20" s="37">
        <v>236.76</v>
      </c>
      <c r="H20" s="38">
        <v>681336</v>
      </c>
      <c r="I20" s="38">
        <v>19124996</v>
      </c>
      <c r="J20" s="38"/>
      <c r="K20" s="38"/>
      <c r="L20" s="39">
        <f t="shared" si="2"/>
        <v>39250</v>
      </c>
      <c r="M20" s="39">
        <f t="shared" si="3"/>
        <v>19866763</v>
      </c>
      <c r="N20" s="77">
        <f>$M20*0.3624</f>
        <v>7199714.9112</v>
      </c>
    </row>
    <row r="21" spans="2:14">
      <c r="B21" s="88">
        <v>2028</v>
      </c>
      <c r="C21" s="40">
        <f t="shared" si="0"/>
        <v>18925.360822030252</v>
      </c>
      <c r="D21" s="41">
        <v>25599</v>
      </c>
      <c r="E21" s="38">
        <v>99681</v>
      </c>
      <c r="F21" s="38"/>
      <c r="G21" s="37">
        <v>236.76</v>
      </c>
      <c r="H21" s="38">
        <v>681336</v>
      </c>
      <c r="I21" s="38">
        <v>19124996</v>
      </c>
      <c r="J21" s="38"/>
      <c r="K21" s="38"/>
      <c r="L21" s="39">
        <f t="shared" si="2"/>
        <v>39250</v>
      </c>
      <c r="M21" s="39">
        <f>$E21+$H21+$I21-$L21</f>
        <v>19866763</v>
      </c>
      <c r="N21" s="77">
        <f>$M21*0.3387</f>
        <v>6728872.6281000003</v>
      </c>
    </row>
    <row r="22" spans="2:14">
      <c r="B22" s="88">
        <v>2029</v>
      </c>
      <c r="C22" s="40">
        <f t="shared" si="0"/>
        <v>18991.599584907359</v>
      </c>
      <c r="D22" s="41">
        <v>25599</v>
      </c>
      <c r="E22" s="38">
        <v>99681</v>
      </c>
      <c r="F22" s="38"/>
      <c r="G22" s="37">
        <v>236.76</v>
      </c>
      <c r="H22" s="38">
        <v>681336</v>
      </c>
      <c r="I22" s="38">
        <v>19124996</v>
      </c>
      <c r="J22" s="38"/>
      <c r="K22" s="38"/>
      <c r="L22" s="39">
        <f t="shared" si="2"/>
        <v>39250</v>
      </c>
      <c r="M22" s="39">
        <f t="shared" si="3"/>
        <v>19866763</v>
      </c>
      <c r="N22" s="77">
        <f>$M22*0.3166</f>
        <v>6289817.1657999996</v>
      </c>
    </row>
    <row r="23" spans="2:14">
      <c r="B23" s="88">
        <v>2030</v>
      </c>
      <c r="C23" s="40">
        <f t="shared" si="0"/>
        <v>19058.070183454536</v>
      </c>
      <c r="D23" s="41">
        <v>25599</v>
      </c>
      <c r="E23" s="38">
        <v>99681</v>
      </c>
      <c r="F23" s="38"/>
      <c r="G23" s="37">
        <v>236.76</v>
      </c>
      <c r="H23" s="38">
        <v>681336</v>
      </c>
      <c r="I23" s="38">
        <v>19124996</v>
      </c>
      <c r="J23" s="38"/>
      <c r="K23" s="38"/>
      <c r="L23" s="39">
        <f t="shared" si="2"/>
        <v>39250</v>
      </c>
      <c r="M23" s="39">
        <f t="shared" si="3"/>
        <v>19866763</v>
      </c>
      <c r="N23" s="77">
        <f>$M23*0.2959</f>
        <v>5878575.1716999998</v>
      </c>
    </row>
    <row r="24" spans="2:14">
      <c r="B24" s="88">
        <v>2031</v>
      </c>
      <c r="C24" s="40">
        <f t="shared" si="0"/>
        <v>19124.773429096629</v>
      </c>
      <c r="D24" s="41">
        <v>25599</v>
      </c>
      <c r="E24" s="38">
        <v>99681</v>
      </c>
      <c r="F24" s="38"/>
      <c r="G24" s="37">
        <v>236.76</v>
      </c>
      <c r="H24" s="38">
        <v>681336</v>
      </c>
      <c r="I24" s="38">
        <v>19124996</v>
      </c>
      <c r="J24" s="38"/>
      <c r="K24" s="38"/>
      <c r="L24" s="39">
        <f t="shared" si="2"/>
        <v>39250</v>
      </c>
      <c r="M24" s="39">
        <f t="shared" si="3"/>
        <v>19866763</v>
      </c>
      <c r="N24" s="77">
        <f>$M24*0.2765</f>
        <v>5493159.9695000006</v>
      </c>
    </row>
    <row r="25" spans="2:14">
      <c r="B25" s="88">
        <v>2032</v>
      </c>
      <c r="C25" s="40">
        <f t="shared" si="0"/>
        <v>19191.710136098467</v>
      </c>
      <c r="D25" s="41">
        <v>25599</v>
      </c>
      <c r="E25" s="38">
        <v>99681</v>
      </c>
      <c r="F25" s="38"/>
      <c r="G25" s="37">
        <v>236.76</v>
      </c>
      <c r="H25" s="38">
        <v>681336</v>
      </c>
      <c r="I25" s="38">
        <v>19124996</v>
      </c>
      <c r="J25" s="38"/>
      <c r="K25" s="38"/>
      <c r="L25" s="39">
        <f t="shared" si="2"/>
        <v>39250</v>
      </c>
      <c r="M25" s="39">
        <f t="shared" si="3"/>
        <v>19866763</v>
      </c>
      <c r="N25" s="77">
        <f>$M25*0.2584</f>
        <v>5133571.5592</v>
      </c>
    </row>
    <row r="26" spans="2:14">
      <c r="B26" s="88">
        <v>2033</v>
      </c>
      <c r="C26" s="40">
        <f t="shared" si="0"/>
        <v>19258.881121574814</v>
      </c>
      <c r="D26" s="41">
        <v>25599</v>
      </c>
      <c r="E26" s="38">
        <v>99681</v>
      </c>
      <c r="F26" s="38"/>
      <c r="G26" s="37">
        <v>236.76</v>
      </c>
      <c r="H26" s="38">
        <v>681336</v>
      </c>
      <c r="I26" s="38">
        <v>19124996</v>
      </c>
      <c r="J26" s="38"/>
      <c r="K26" s="38"/>
      <c r="L26" s="39">
        <f t="shared" si="2"/>
        <v>39250</v>
      </c>
      <c r="M26" s="39">
        <f t="shared" si="3"/>
        <v>19866763</v>
      </c>
      <c r="N26" s="77">
        <f>$M26*0.2415</f>
        <v>4797823.2644999996</v>
      </c>
    </row>
    <row r="27" spans="2:14">
      <c r="B27" s="89" t="s">
        <v>10</v>
      </c>
      <c r="C27" s="90"/>
      <c r="D27" s="90">
        <f>SUM(D7:D26)</f>
        <v>511980</v>
      </c>
      <c r="E27" s="91">
        <f t="shared" ref="E27:G27" si="4">SUM(E7:E26)</f>
        <v>1993620</v>
      </c>
      <c r="F27" s="90">
        <f t="shared" si="4"/>
        <v>0</v>
      </c>
      <c r="G27" s="90">
        <f t="shared" si="4"/>
        <v>4735.2000000000025</v>
      </c>
      <c r="H27" s="91">
        <f>SUM(H7:H26)</f>
        <v>13626720</v>
      </c>
      <c r="I27" s="91">
        <f t="shared" ref="I27" si="5">SUM(I7:I26)</f>
        <v>382499920</v>
      </c>
      <c r="J27" s="91"/>
      <c r="K27" s="91">
        <f>SUM(K4:K26)</f>
        <v>8419000</v>
      </c>
      <c r="L27" s="92">
        <f>SUM(L7:L26)</f>
        <v>785000</v>
      </c>
      <c r="M27" s="92">
        <f>SUM(M4:M26)</f>
        <v>388916260</v>
      </c>
      <c r="N27" s="93">
        <f>SUM(N4:N26)</f>
        <v>188826463.03409997</v>
      </c>
    </row>
    <row r="28" spans="2:14" s="102" customFormat="1">
      <c r="B28" s="100" t="s">
        <v>101</v>
      </c>
      <c r="C28" s="101"/>
      <c r="D28" s="101"/>
      <c r="E28" s="98"/>
      <c r="F28" s="101"/>
      <c r="G28" s="101"/>
      <c r="H28" s="98"/>
      <c r="I28" s="98"/>
      <c r="J28" s="98"/>
      <c r="K28" s="98"/>
      <c r="L28" s="98"/>
      <c r="M28" s="98"/>
      <c r="N28" s="99"/>
    </row>
    <row r="29" spans="2:14" s="2" customFormat="1" ht="15">
      <c r="B29" s="2" t="s">
        <v>99</v>
      </c>
      <c r="I29" s="103"/>
      <c r="M29" s="103"/>
      <c r="N29" s="103"/>
    </row>
    <row r="30" spans="2:14" s="2" customFormat="1" ht="15">
      <c r="B30" s="2" t="s">
        <v>102</v>
      </c>
      <c r="M30" s="103"/>
      <c r="N30" s="103"/>
    </row>
    <row r="31" spans="2:14" s="2" customFormat="1" ht="15">
      <c r="B31" s="104" t="s">
        <v>103</v>
      </c>
      <c r="M31" s="103"/>
      <c r="N31" s="103"/>
    </row>
    <row r="32" spans="2:14" s="2" customFormat="1" ht="15">
      <c r="B32" s="2" t="s">
        <v>112</v>
      </c>
      <c r="M32" s="103"/>
      <c r="N32" s="103"/>
    </row>
    <row r="33" spans="2:14" s="2" customFormat="1" ht="15">
      <c r="B33" s="73" t="s">
        <v>110</v>
      </c>
      <c r="M33" s="103"/>
      <c r="N33" s="103"/>
    </row>
    <row r="34" spans="2:14" s="2" customFormat="1" ht="15">
      <c r="B34" s="73" t="s">
        <v>111</v>
      </c>
      <c r="M34" s="103"/>
      <c r="N34" s="103"/>
    </row>
    <row r="35" spans="2:14" s="2" customFormat="1" ht="15">
      <c r="B35" s="2" t="s">
        <v>104</v>
      </c>
      <c r="M35" s="103"/>
      <c r="N35" s="103"/>
    </row>
    <row r="36" spans="2:14" s="2" customFormat="1" ht="15">
      <c r="B36" s="2" t="s">
        <v>105</v>
      </c>
      <c r="M36" s="103"/>
      <c r="N36" s="103"/>
    </row>
    <row r="37" spans="2:14" s="2" customFormat="1" ht="15">
      <c r="B37" s="2" t="s">
        <v>106</v>
      </c>
      <c r="M37" s="103"/>
      <c r="N37" s="103"/>
    </row>
    <row r="38" spans="2:14" s="2" customFormat="1" ht="15">
      <c r="B38" s="2" t="s">
        <v>107</v>
      </c>
      <c r="M38" s="103"/>
      <c r="N38" s="103"/>
    </row>
    <row r="39" spans="2:14" s="2" customFormat="1" ht="15">
      <c r="M39" s="103"/>
      <c r="N39" s="103"/>
    </row>
  </sheetData>
  <mergeCells count="1">
    <mergeCell ref="B1:N1"/>
  </mergeCells>
  <pageMargins left="0.7" right="0.7" top="0.75" bottom="0.75" header="0.3" footer="0.3"/>
  <pageSetup scale="79" orientation="landscape" horizontalDpi="1200" verticalDpi="1200" r:id="rId1"/>
</worksheet>
</file>

<file path=xl/worksheets/sheet2.xml><?xml version="1.0" encoding="utf-8"?>
<worksheet xmlns="http://schemas.openxmlformats.org/spreadsheetml/2006/main" xmlns:r="http://schemas.openxmlformats.org/officeDocument/2006/relationships">
  <dimension ref="B2:F15"/>
  <sheetViews>
    <sheetView workbookViewId="0">
      <selection activeCell="B23" sqref="B23"/>
    </sheetView>
  </sheetViews>
  <sheetFormatPr defaultColWidth="9.140625" defaultRowHeight="15.75"/>
  <cols>
    <col min="1" max="1" width="9.140625" style="5"/>
    <col min="2" max="2" width="33" style="3" customWidth="1"/>
    <col min="3" max="3" width="17.5703125" style="6" customWidth="1"/>
    <col min="4" max="4" width="15.7109375" style="6" customWidth="1"/>
    <col min="5" max="5" width="14.5703125" style="6" customWidth="1"/>
    <col min="6" max="6" width="13.85546875" style="4" customWidth="1"/>
    <col min="7" max="16384" width="9.140625" style="5"/>
  </cols>
  <sheetData>
    <row r="2" spans="2:6">
      <c r="B2" s="7" t="s">
        <v>0</v>
      </c>
    </row>
    <row r="3" spans="2:6" ht="3.75" customHeight="1"/>
    <row r="4" spans="2:6" s="3" customFormat="1" ht="31.5">
      <c r="B4" s="116" t="s">
        <v>1</v>
      </c>
      <c r="C4" s="147" t="s">
        <v>11</v>
      </c>
      <c r="D4" s="147" t="s">
        <v>2</v>
      </c>
      <c r="E4" s="147" t="s">
        <v>3</v>
      </c>
      <c r="F4" s="148" t="s">
        <v>8</v>
      </c>
    </row>
    <row r="5" spans="2:6" ht="5.25" customHeight="1">
      <c r="B5" s="119"/>
      <c r="C5" s="8"/>
      <c r="D5" s="8"/>
      <c r="E5" s="8"/>
      <c r="F5" s="9"/>
    </row>
    <row r="6" spans="2:6" ht="31.5">
      <c r="B6" s="119" t="s">
        <v>5</v>
      </c>
      <c r="C6" s="8">
        <v>278000</v>
      </c>
      <c r="D6" s="8">
        <v>0</v>
      </c>
      <c r="E6" s="8">
        <v>278000</v>
      </c>
      <c r="F6" s="9">
        <v>2011</v>
      </c>
    </row>
    <row r="7" spans="2:6">
      <c r="B7" s="119" t="s">
        <v>4</v>
      </c>
      <c r="C7" s="8">
        <v>577000</v>
      </c>
      <c r="D7" s="8">
        <v>150000</v>
      </c>
      <c r="E7" s="8">
        <v>427000</v>
      </c>
      <c r="F7" s="9">
        <v>2012</v>
      </c>
    </row>
    <row r="8" spans="2:6" ht="31.5">
      <c r="B8" s="119" t="s">
        <v>65</v>
      </c>
      <c r="C8" s="8">
        <v>218000</v>
      </c>
      <c r="D8" s="8">
        <v>0</v>
      </c>
      <c r="E8" s="8">
        <v>218000</v>
      </c>
      <c r="F8" s="9">
        <v>2011</v>
      </c>
    </row>
    <row r="9" spans="2:6" ht="31.5">
      <c r="B9" s="119" t="s">
        <v>63</v>
      </c>
      <c r="C9" s="8">
        <v>142000</v>
      </c>
      <c r="D9" s="8">
        <v>70000</v>
      </c>
      <c r="E9" s="8">
        <v>72000</v>
      </c>
      <c r="F9" s="9">
        <v>2012</v>
      </c>
    </row>
    <row r="10" spans="2:6" ht="63">
      <c r="B10" s="119" t="s">
        <v>6</v>
      </c>
      <c r="C10" s="8">
        <v>76000</v>
      </c>
      <c r="D10" s="8">
        <v>0</v>
      </c>
      <c r="E10" s="8">
        <v>76000</v>
      </c>
      <c r="F10" s="9">
        <v>2011</v>
      </c>
    </row>
    <row r="11" spans="2:6" ht="31.5">
      <c r="B11" s="119" t="s">
        <v>7</v>
      </c>
      <c r="C11" s="8">
        <v>475000</v>
      </c>
      <c r="D11" s="8">
        <v>375000</v>
      </c>
      <c r="E11" s="8">
        <v>100000</v>
      </c>
      <c r="F11" s="9">
        <v>2012</v>
      </c>
    </row>
    <row r="12" spans="2:6" ht="48" thickBot="1">
      <c r="B12" s="145" t="s">
        <v>64</v>
      </c>
      <c r="C12" s="11">
        <v>6800000</v>
      </c>
      <c r="D12" s="11">
        <v>5980000</v>
      </c>
      <c r="E12" s="11">
        <v>820000</v>
      </c>
      <c r="F12" s="19">
        <v>2014</v>
      </c>
    </row>
    <row r="13" spans="2:6">
      <c r="B13" s="146" t="s">
        <v>10</v>
      </c>
      <c r="C13" s="12">
        <f>SUM(C6:C12)</f>
        <v>8566000</v>
      </c>
      <c r="D13" s="12">
        <f t="shared" ref="D13:E13" si="0">SUM(D6:D12)</f>
        <v>6575000</v>
      </c>
      <c r="E13" s="12">
        <f t="shared" si="0"/>
        <v>1991000</v>
      </c>
      <c r="F13" s="13">
        <v>2014</v>
      </c>
    </row>
    <row r="14" spans="2:6" ht="31.5">
      <c r="B14" s="3" t="s">
        <v>12</v>
      </c>
      <c r="C14" s="6">
        <f>'20 Year OnM'!C25:D25</f>
        <v>1054662.1986924831</v>
      </c>
    </row>
    <row r="15" spans="2:6">
      <c r="B15" s="3" t="s">
        <v>16</v>
      </c>
      <c r="C15" s="18">
        <f>SUM(C13:C14)</f>
        <v>9620662.1986924838</v>
      </c>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dimension ref="B1:M23"/>
  <sheetViews>
    <sheetView tabSelected="1" workbookViewId="0">
      <selection activeCell="G23" sqref="G23"/>
    </sheetView>
  </sheetViews>
  <sheetFormatPr defaultColWidth="9.140625" defaultRowHeight="15"/>
  <cols>
    <col min="1" max="1" width="3.85546875" style="2" customWidth="1"/>
    <col min="2" max="2" width="34" style="2" customWidth="1"/>
    <col min="3" max="4" width="10.7109375" style="2" customWidth="1"/>
    <col min="5" max="5" width="12.28515625" style="2" customWidth="1"/>
    <col min="6" max="6" width="11.28515625" style="2" customWidth="1"/>
    <col min="7" max="7" width="14.28515625" style="2" customWidth="1"/>
    <col min="8" max="8" width="11.42578125" style="2" customWidth="1"/>
    <col min="9" max="9" width="12.7109375" style="2" customWidth="1"/>
    <col min="10" max="10" width="13" style="2" customWidth="1"/>
    <col min="11" max="11" width="11.42578125" style="2" customWidth="1"/>
    <col min="12" max="12" width="13.7109375" style="2" customWidth="1"/>
    <col min="13" max="13" width="14.7109375" style="2" customWidth="1"/>
    <col min="14" max="16384" width="9.140625" style="2"/>
  </cols>
  <sheetData>
    <row r="1" spans="2:13">
      <c r="B1" s="48"/>
      <c r="H1" s="49"/>
    </row>
    <row r="3" spans="2:13">
      <c r="B3" s="50" t="s">
        <v>84</v>
      </c>
      <c r="H3" s="48"/>
    </row>
    <row r="4" spans="2:13">
      <c r="B4" s="105"/>
      <c r="C4" s="106">
        <v>1</v>
      </c>
      <c r="D4" s="106">
        <v>2</v>
      </c>
      <c r="E4" s="106">
        <v>3</v>
      </c>
      <c r="F4" s="106">
        <v>4</v>
      </c>
      <c r="G4" s="106">
        <v>5</v>
      </c>
      <c r="H4" s="107">
        <v>6</v>
      </c>
      <c r="I4" s="106">
        <v>7</v>
      </c>
      <c r="J4" s="106">
        <v>8</v>
      </c>
      <c r="K4" s="106">
        <v>9</v>
      </c>
      <c r="L4" s="106">
        <v>10</v>
      </c>
      <c r="M4" s="108">
        <v>11</v>
      </c>
    </row>
    <row r="5" spans="2:13" s="1" customFormat="1" ht="75.599999999999994" customHeight="1">
      <c r="B5" s="109"/>
      <c r="C5" s="110" t="s">
        <v>79</v>
      </c>
      <c r="D5" s="110" t="s">
        <v>72</v>
      </c>
      <c r="E5" s="110" t="s">
        <v>74</v>
      </c>
      <c r="F5" s="110" t="s">
        <v>81</v>
      </c>
      <c r="G5" s="110" t="s">
        <v>82</v>
      </c>
      <c r="H5" s="110" t="s">
        <v>75</v>
      </c>
      <c r="I5" s="110" t="s">
        <v>86</v>
      </c>
      <c r="J5" s="111" t="s">
        <v>83</v>
      </c>
      <c r="K5" s="110" t="s">
        <v>73</v>
      </c>
      <c r="L5" s="110" t="s">
        <v>85</v>
      </c>
      <c r="M5" s="112" t="s">
        <v>87</v>
      </c>
    </row>
    <row r="6" spans="2:13" s="1" customFormat="1">
      <c r="B6" s="113" t="s">
        <v>76</v>
      </c>
      <c r="C6" s="51">
        <v>3022</v>
      </c>
      <c r="D6" s="51">
        <v>87.4</v>
      </c>
      <c r="E6" s="52">
        <f>C6*D6/100</f>
        <v>2641.2280000000001</v>
      </c>
      <c r="F6" s="53">
        <f>C6*(D6/100)*0.5</f>
        <v>1320.6140000000003</v>
      </c>
      <c r="G6" s="53">
        <f>F6*0.05</f>
        <v>66.03070000000001</v>
      </c>
      <c r="H6" s="53">
        <f>G6*(2.93-1)</f>
        <v>127.43925100000003</v>
      </c>
      <c r="I6" s="53">
        <f>F6*0.17</f>
        <v>224.50438000000005</v>
      </c>
      <c r="J6" s="54">
        <f>E6*(0.4+1.2*(0.05))</f>
        <v>1214.96488</v>
      </c>
      <c r="K6" s="52">
        <f>J6*(2.93-1)</f>
        <v>2344.8822184000001</v>
      </c>
      <c r="L6" s="55">
        <f>K6*128</f>
        <v>300144.92395520001</v>
      </c>
      <c r="M6" s="56">
        <f>((K6-H6)*10*365)+(H6*10*260)</f>
        <v>8425008.8836100008</v>
      </c>
    </row>
    <row r="7" spans="2:13">
      <c r="B7" s="114" t="s">
        <v>77</v>
      </c>
      <c r="C7" s="57">
        <v>4334</v>
      </c>
      <c r="D7" s="58">
        <v>87.4</v>
      </c>
      <c r="E7" s="59">
        <f t="shared" ref="E7:E9" si="0">C7*D7/100</f>
        <v>3787.9160000000002</v>
      </c>
      <c r="F7" s="60">
        <f>C7*(D7/100)*0.5</f>
        <v>1893.9580000000003</v>
      </c>
      <c r="G7" s="60">
        <f>F7*0.05</f>
        <v>94.697900000000018</v>
      </c>
      <c r="H7" s="60">
        <f>G7*(2.11-1)</f>
        <v>105.11466900000001</v>
      </c>
      <c r="I7" s="60">
        <f>F7*0.17</f>
        <v>321.97286000000008</v>
      </c>
      <c r="J7" s="61">
        <f>E7*(0.4+1.2*(0.05))</f>
        <v>1742.4413600000003</v>
      </c>
      <c r="K7" s="59">
        <f>J7*(2.11-1)</f>
        <v>1934.1099096</v>
      </c>
      <c r="L7" s="62">
        <f t="shared" ref="L7:L9" si="1">K7*128</f>
        <v>247566.0684288</v>
      </c>
      <c r="M7" s="56">
        <f t="shared" ref="M7:M9" si="2">((K7-H7)*10*365)+(H7*10*260)</f>
        <v>6949130.7675900003</v>
      </c>
    </row>
    <row r="8" spans="2:13">
      <c r="B8" s="114" t="s">
        <v>78</v>
      </c>
      <c r="C8" s="57">
        <v>6658</v>
      </c>
      <c r="D8" s="58">
        <v>87.4</v>
      </c>
      <c r="E8" s="59">
        <f t="shared" si="0"/>
        <v>5819.0920000000006</v>
      </c>
      <c r="F8" s="60">
        <f t="shared" ref="F8:F9" si="3">C8*(D8/100)*0.5</f>
        <v>2909.5460000000003</v>
      </c>
      <c r="G8" s="60">
        <f t="shared" ref="G8:G9" si="4">F8*0.05</f>
        <v>145.47730000000001</v>
      </c>
      <c r="H8" s="60">
        <f>G8*(1.39-1)</f>
        <v>56.736146999999988</v>
      </c>
      <c r="I8" s="60">
        <f t="shared" ref="I8:I9" si="5">F8*0.17</f>
        <v>494.6228200000001</v>
      </c>
      <c r="J8" s="61">
        <f>E8*(0.4+1.2*(0.05))</f>
        <v>2676.7823200000003</v>
      </c>
      <c r="K8" s="59">
        <f>J8*(1.39-1)</f>
        <v>1043.9451047999999</v>
      </c>
      <c r="L8" s="62">
        <f t="shared" si="1"/>
        <v>133624.97341439998</v>
      </c>
      <c r="M8" s="56">
        <f t="shared" si="2"/>
        <v>3750826.6781699997</v>
      </c>
    </row>
    <row r="9" spans="2:13">
      <c r="B9" s="114" t="s">
        <v>71</v>
      </c>
      <c r="C9" s="57">
        <v>2450</v>
      </c>
      <c r="D9" s="58">
        <v>87.4</v>
      </c>
      <c r="E9" s="59">
        <f t="shared" si="0"/>
        <v>2141.3000000000002</v>
      </c>
      <c r="F9" s="60">
        <f t="shared" si="3"/>
        <v>1070.6500000000001</v>
      </c>
      <c r="G9" s="60">
        <f t="shared" si="4"/>
        <v>53.532500000000006</v>
      </c>
      <c r="H9" s="60">
        <v>0</v>
      </c>
      <c r="I9" s="60">
        <f t="shared" si="5"/>
        <v>182.01050000000004</v>
      </c>
      <c r="J9" s="61">
        <f>E9*(0.4+1.2*(0.05))</f>
        <v>984.99800000000016</v>
      </c>
      <c r="K9" s="59">
        <v>0</v>
      </c>
      <c r="L9" s="62">
        <f t="shared" si="1"/>
        <v>0</v>
      </c>
      <c r="M9" s="56">
        <f t="shared" si="2"/>
        <v>0</v>
      </c>
    </row>
    <row r="10" spans="2:13">
      <c r="B10" s="115" t="s">
        <v>10</v>
      </c>
      <c r="C10" s="63">
        <f>SUM(C6:C9)</f>
        <v>16464</v>
      </c>
      <c r="D10" s="64"/>
      <c r="E10" s="65">
        <f>SUM(E6:E9)</f>
        <v>14389.536</v>
      </c>
      <c r="F10" s="65">
        <f>SUM(F6:F9)</f>
        <v>7194.768</v>
      </c>
      <c r="G10" s="65">
        <f t="shared" ref="G10:I10" si="6">SUM(G6:G9)</f>
        <v>359.73840000000007</v>
      </c>
      <c r="H10" s="65">
        <f>SUM(H6:H9)</f>
        <v>289.29006700000002</v>
      </c>
      <c r="I10" s="65">
        <f t="shared" si="6"/>
        <v>1223.1105600000003</v>
      </c>
      <c r="J10" s="66">
        <f>SUM(J6:J9)</f>
        <v>6619.186560000001</v>
      </c>
      <c r="K10" s="65">
        <f>SUM(K6:K9)</f>
        <v>5322.9372327999999</v>
      </c>
      <c r="L10" s="67">
        <f>SUM(L6:L9)</f>
        <v>681335.96579839999</v>
      </c>
      <c r="M10" s="68">
        <f>SUM(M6:M9)</f>
        <v>19124966.329369999</v>
      </c>
    </row>
    <row r="11" spans="2:13" s="70" customFormat="1">
      <c r="B11" s="69" t="s">
        <v>115</v>
      </c>
    </row>
    <row r="12" spans="2:13" s="72" customFormat="1">
      <c r="B12" s="71" t="s">
        <v>80</v>
      </c>
    </row>
    <row r="13" spans="2:13" s="72" customFormat="1">
      <c r="B13" s="71" t="s">
        <v>116</v>
      </c>
    </row>
    <row r="14" spans="2:13" s="72" customFormat="1">
      <c r="B14" s="73" t="s">
        <v>117</v>
      </c>
    </row>
    <row r="15" spans="2:13" s="72" customFormat="1">
      <c r="B15" s="73" t="s">
        <v>122</v>
      </c>
    </row>
    <row r="16" spans="2:13" s="72" customFormat="1">
      <c r="B16" s="72" t="s">
        <v>118</v>
      </c>
      <c r="C16" s="74"/>
      <c r="D16" s="74"/>
      <c r="E16" s="74"/>
    </row>
    <row r="17" spans="2:8" s="72" customFormat="1">
      <c r="B17" s="73" t="s">
        <v>119</v>
      </c>
      <c r="C17" s="74"/>
      <c r="D17" s="74"/>
      <c r="E17" s="74"/>
    </row>
    <row r="18" spans="2:8" s="72" customFormat="1">
      <c r="B18" s="73" t="s">
        <v>120</v>
      </c>
      <c r="C18" s="74"/>
      <c r="D18" s="74"/>
      <c r="E18" s="74"/>
    </row>
    <row r="19" spans="2:8" s="72" customFormat="1">
      <c r="B19" s="73" t="s">
        <v>121</v>
      </c>
      <c r="C19" s="74"/>
      <c r="D19" s="74"/>
      <c r="E19" s="74"/>
      <c r="G19" s="75"/>
      <c r="H19" s="75"/>
    </row>
    <row r="20" spans="2:8" s="72" customFormat="1">
      <c r="B20" s="73" t="s">
        <v>123</v>
      </c>
      <c r="G20" s="75"/>
      <c r="H20" s="75"/>
    </row>
    <row r="21" spans="2:8" s="72" customFormat="1" ht="15" customHeight="1">
      <c r="B21" s="73" t="s">
        <v>124</v>
      </c>
      <c r="C21" s="75"/>
      <c r="D21" s="75"/>
      <c r="E21" s="75"/>
      <c r="F21" s="75"/>
      <c r="G21" s="75"/>
      <c r="H21" s="75"/>
    </row>
    <row r="22" spans="2:8">
      <c r="B22" s="76"/>
      <c r="C22" s="76"/>
      <c r="D22" s="76"/>
      <c r="E22" s="76"/>
      <c r="F22" s="76"/>
    </row>
    <row r="23" spans="2:8">
      <c r="B23" s="76"/>
      <c r="C23" s="76"/>
      <c r="D23" s="76"/>
      <c r="E23" s="76"/>
      <c r="F23" s="76"/>
    </row>
  </sheetData>
  <pageMargins left="0.7" right="0.7" top="1.42" bottom="0.75" header="0.3" footer="0.3"/>
  <pageSetup scale="75" orientation="landscape" horizontalDpi="1200" verticalDpi="1200" r:id="rId1"/>
</worksheet>
</file>

<file path=xl/worksheets/sheet4.xml><?xml version="1.0" encoding="utf-8"?>
<worksheet xmlns="http://schemas.openxmlformats.org/spreadsheetml/2006/main" xmlns:r="http://schemas.openxmlformats.org/officeDocument/2006/relationships">
  <dimension ref="B2:F32"/>
  <sheetViews>
    <sheetView workbookViewId="0">
      <selection activeCell="C12" sqref="C12"/>
    </sheetView>
  </sheetViews>
  <sheetFormatPr defaultRowHeight="15"/>
  <cols>
    <col min="1" max="1" width="9.140625" style="2"/>
    <col min="2" max="2" width="23.140625" style="2" customWidth="1"/>
    <col min="3" max="3" width="16.28515625" style="2" customWidth="1"/>
    <col min="4" max="4" width="15.7109375" style="2" customWidth="1"/>
    <col min="5" max="5" width="9.140625" style="2"/>
    <col min="6" max="6" width="10.140625" style="2" bestFit="1" customWidth="1"/>
    <col min="7" max="16384" width="9.140625" style="2"/>
  </cols>
  <sheetData>
    <row r="2" spans="2:4" ht="15.75">
      <c r="B2" s="7" t="s">
        <v>0</v>
      </c>
    </row>
    <row r="3" spans="2:4" ht="41.25" customHeight="1">
      <c r="B3" s="116" t="s">
        <v>13</v>
      </c>
      <c r="C3" s="117" t="s">
        <v>14</v>
      </c>
      <c r="D3" s="118" t="s">
        <v>15</v>
      </c>
    </row>
    <row r="4" spans="2:4" ht="15.75">
      <c r="B4" s="119">
        <v>2014</v>
      </c>
      <c r="C4" s="8">
        <v>18000</v>
      </c>
      <c r="D4" s="14">
        <v>21250</v>
      </c>
    </row>
    <row r="5" spans="2:4" ht="15.75">
      <c r="B5" s="119">
        <v>2015</v>
      </c>
      <c r="C5" s="8">
        <f>C4+(C4*3%)</f>
        <v>18540</v>
      </c>
      <c r="D5" s="14">
        <f>D4+(D4*3%)</f>
        <v>21887.5</v>
      </c>
    </row>
    <row r="6" spans="2:4" ht="15.75">
      <c r="B6" s="119">
        <v>2016</v>
      </c>
      <c r="C6" s="8">
        <f t="shared" ref="C6:D23" si="0">C5+(C5*3%)</f>
        <v>19096.2</v>
      </c>
      <c r="D6" s="14">
        <f t="shared" si="0"/>
        <v>22544.125</v>
      </c>
    </row>
    <row r="7" spans="2:4" ht="15.75">
      <c r="B7" s="119">
        <v>2017</v>
      </c>
      <c r="C7" s="8">
        <f t="shared" si="0"/>
        <v>19669.085999999999</v>
      </c>
      <c r="D7" s="14">
        <f t="shared" si="0"/>
        <v>23220.44875</v>
      </c>
    </row>
    <row r="8" spans="2:4" ht="15.75">
      <c r="B8" s="119">
        <v>2018</v>
      </c>
      <c r="C8" s="8">
        <f t="shared" si="0"/>
        <v>20259.158579999999</v>
      </c>
      <c r="D8" s="14">
        <f t="shared" si="0"/>
        <v>23917.062212500001</v>
      </c>
    </row>
    <row r="9" spans="2:4" ht="15.75">
      <c r="B9" s="119">
        <v>2019</v>
      </c>
      <c r="C9" s="8">
        <f t="shared" si="0"/>
        <v>20866.933337399998</v>
      </c>
      <c r="D9" s="14">
        <f t="shared" si="0"/>
        <v>24634.574078875001</v>
      </c>
    </row>
    <row r="10" spans="2:4" ht="15.75">
      <c r="B10" s="119">
        <v>2020</v>
      </c>
      <c r="C10" s="8">
        <f t="shared" si="0"/>
        <v>21492.941337521999</v>
      </c>
      <c r="D10" s="14">
        <f t="shared" si="0"/>
        <v>25373.61130124125</v>
      </c>
    </row>
    <row r="11" spans="2:4" ht="15.75">
      <c r="B11" s="119">
        <v>2021</v>
      </c>
      <c r="C11" s="8">
        <f t="shared" si="0"/>
        <v>22137.72957764766</v>
      </c>
      <c r="D11" s="14">
        <f t="shared" si="0"/>
        <v>26134.819640278489</v>
      </c>
    </row>
    <row r="12" spans="2:4" ht="15.75">
      <c r="B12" s="119">
        <v>2022</v>
      </c>
      <c r="C12" s="8">
        <f t="shared" si="0"/>
        <v>22801.86146497709</v>
      </c>
      <c r="D12" s="14">
        <f t="shared" si="0"/>
        <v>26918.864229486844</v>
      </c>
    </row>
    <row r="13" spans="2:4" ht="15.75">
      <c r="B13" s="119">
        <v>2023</v>
      </c>
      <c r="C13" s="8">
        <f t="shared" si="0"/>
        <v>23485.917308926404</v>
      </c>
      <c r="D13" s="14">
        <f t="shared" si="0"/>
        <v>27726.430156371451</v>
      </c>
    </row>
    <row r="14" spans="2:4" ht="15.75">
      <c r="B14" s="119">
        <v>2024</v>
      </c>
      <c r="C14" s="8">
        <f t="shared" si="0"/>
        <v>24190.494828194198</v>
      </c>
      <c r="D14" s="14">
        <f t="shared" si="0"/>
        <v>28558.223061062596</v>
      </c>
    </row>
    <row r="15" spans="2:4" ht="15.75">
      <c r="B15" s="119">
        <v>2025</v>
      </c>
      <c r="C15" s="8">
        <f t="shared" si="0"/>
        <v>24916.209673040023</v>
      </c>
      <c r="D15" s="14">
        <f t="shared" si="0"/>
        <v>29414.969752894474</v>
      </c>
    </row>
    <row r="16" spans="2:4" ht="15.75">
      <c r="B16" s="119">
        <v>2026</v>
      </c>
      <c r="C16" s="8">
        <f t="shared" si="0"/>
        <v>25663.695963231225</v>
      </c>
      <c r="D16" s="14">
        <f t="shared" si="0"/>
        <v>30297.418845481308</v>
      </c>
    </row>
    <row r="17" spans="2:6" ht="15.75">
      <c r="B17" s="119">
        <v>2027</v>
      </c>
      <c r="C17" s="8">
        <f t="shared" si="0"/>
        <v>26433.60684212816</v>
      </c>
      <c r="D17" s="14">
        <f t="shared" si="0"/>
        <v>31206.341410845747</v>
      </c>
    </row>
    <row r="18" spans="2:6" ht="15.75">
      <c r="B18" s="119">
        <v>2028</v>
      </c>
      <c r="C18" s="8">
        <f t="shared" si="0"/>
        <v>27226.615047392006</v>
      </c>
      <c r="D18" s="14">
        <f t="shared" si="0"/>
        <v>32142.531653171121</v>
      </c>
    </row>
    <row r="19" spans="2:6" ht="15.75">
      <c r="B19" s="119">
        <v>2029</v>
      </c>
      <c r="C19" s="8">
        <f t="shared" si="0"/>
        <v>28043.413498813767</v>
      </c>
      <c r="D19" s="14">
        <f t="shared" si="0"/>
        <v>33106.807602766254</v>
      </c>
    </row>
    <row r="20" spans="2:6" ht="15.75">
      <c r="B20" s="119">
        <v>2030</v>
      </c>
      <c r="C20" s="8">
        <f t="shared" si="0"/>
        <v>28884.715903778178</v>
      </c>
      <c r="D20" s="14">
        <f t="shared" si="0"/>
        <v>34100.011830849238</v>
      </c>
    </row>
    <row r="21" spans="2:6" ht="15.75">
      <c r="B21" s="119">
        <v>2031</v>
      </c>
      <c r="C21" s="8">
        <f t="shared" si="0"/>
        <v>29751.257380891522</v>
      </c>
      <c r="D21" s="14">
        <f t="shared" si="0"/>
        <v>35123.012185774714</v>
      </c>
    </row>
    <row r="22" spans="2:6" ht="15.75">
      <c r="B22" s="119">
        <v>2032</v>
      </c>
      <c r="C22" s="8">
        <f t="shared" si="0"/>
        <v>30643.795102318269</v>
      </c>
      <c r="D22" s="14">
        <f t="shared" si="0"/>
        <v>36176.702551347953</v>
      </c>
    </row>
    <row r="23" spans="2:6" ht="15.75">
      <c r="B23" s="119">
        <v>2033</v>
      </c>
      <c r="C23" s="8">
        <f t="shared" si="0"/>
        <v>31563.108955387816</v>
      </c>
      <c r="D23" s="14">
        <f t="shared" si="0"/>
        <v>37262.003627888393</v>
      </c>
    </row>
    <row r="24" spans="2:6" ht="15.75">
      <c r="B24" s="120" t="s">
        <v>10</v>
      </c>
      <c r="C24" s="16">
        <f>SUM(C4:C23)</f>
        <v>483666.74080164835</v>
      </c>
      <c r="D24" s="17">
        <f>SUM(D4:D23)</f>
        <v>570995.45789083478</v>
      </c>
    </row>
    <row r="25" spans="2:6" ht="15.75">
      <c r="B25" s="121" t="s">
        <v>17</v>
      </c>
      <c r="C25" s="141">
        <f>SUM(C24:D24)</f>
        <v>1054662.1986924831</v>
      </c>
      <c r="D25" s="142"/>
    </row>
    <row r="26" spans="2:6" ht="31.5" customHeight="1">
      <c r="B26" s="122" t="s">
        <v>9</v>
      </c>
      <c r="C26" s="10"/>
      <c r="D26" s="15"/>
      <c r="F26" s="103"/>
    </row>
    <row r="28" spans="2:6">
      <c r="B28" s="2" t="s">
        <v>66</v>
      </c>
    </row>
    <row r="29" spans="2:6">
      <c r="B29" s="2" t="s">
        <v>67</v>
      </c>
    </row>
    <row r="30" spans="2:6">
      <c r="B30" s="2" t="s">
        <v>68</v>
      </c>
    </row>
    <row r="31" spans="2:6">
      <c r="B31" s="2" t="s">
        <v>69</v>
      </c>
    </row>
    <row r="32" spans="2:6">
      <c r="B32" s="2" t="s">
        <v>70</v>
      </c>
    </row>
  </sheetData>
  <mergeCells count="1">
    <mergeCell ref="C25:D2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sheetPr>
    <pageSetUpPr fitToPage="1"/>
  </sheetPr>
  <dimension ref="B2:K38"/>
  <sheetViews>
    <sheetView workbookViewId="0">
      <selection activeCell="B6" sqref="B6:B20"/>
    </sheetView>
  </sheetViews>
  <sheetFormatPr defaultColWidth="9.140625" defaultRowHeight="15.75"/>
  <cols>
    <col min="1" max="1" width="5.28515625" style="5" customWidth="1"/>
    <col min="2" max="2" width="14.28515625" style="5" customWidth="1"/>
    <col min="3" max="3" width="11.28515625" style="5" customWidth="1"/>
    <col min="4" max="4" width="9.140625" style="5"/>
    <col min="5" max="5" width="13.28515625" style="5" customWidth="1"/>
    <col min="6" max="6" width="15.7109375" style="5" customWidth="1"/>
    <col min="7" max="7" width="12.7109375" style="5" customWidth="1"/>
    <col min="8" max="8" width="11.28515625" style="5" customWidth="1"/>
    <col min="9" max="9" width="9.85546875" style="5" customWidth="1"/>
    <col min="10" max="10" width="10.85546875" style="5" customWidth="1"/>
    <col min="11" max="11" width="11.140625" style="5" customWidth="1"/>
    <col min="12" max="16384" width="9.140625" style="5"/>
  </cols>
  <sheetData>
    <row r="2" spans="2:11">
      <c r="B2" s="5" t="s">
        <v>35</v>
      </c>
    </row>
    <row r="3" spans="2:11">
      <c r="B3" s="5" t="s">
        <v>97</v>
      </c>
    </row>
    <row r="5" spans="2:11">
      <c r="B5" s="123"/>
      <c r="C5" s="124">
        <v>1</v>
      </c>
      <c r="D5" s="124">
        <v>2</v>
      </c>
      <c r="E5" s="124">
        <v>3</v>
      </c>
      <c r="F5" s="124">
        <v>4</v>
      </c>
      <c r="G5" s="124">
        <v>5</v>
      </c>
      <c r="H5" s="124">
        <v>6</v>
      </c>
      <c r="I5" s="124">
        <v>7</v>
      </c>
      <c r="J5" s="124">
        <v>8</v>
      </c>
      <c r="K5" s="125">
        <v>9</v>
      </c>
    </row>
    <row r="6" spans="2:11" s="3" customFormat="1" ht="56.25" customHeight="1">
      <c r="B6" s="126" t="s">
        <v>38</v>
      </c>
      <c r="C6" s="127" t="s">
        <v>36</v>
      </c>
      <c r="D6" s="127" t="s">
        <v>37</v>
      </c>
      <c r="E6" s="127" t="s">
        <v>91</v>
      </c>
      <c r="F6" s="127" t="s">
        <v>88</v>
      </c>
      <c r="G6" s="127" t="s">
        <v>44</v>
      </c>
      <c r="H6" s="127" t="s">
        <v>47</v>
      </c>
      <c r="I6" s="127" t="s">
        <v>48</v>
      </c>
      <c r="J6" s="127" t="s">
        <v>45</v>
      </c>
      <c r="K6" s="128" t="s">
        <v>46</v>
      </c>
    </row>
    <row r="7" spans="2:11">
      <c r="B7" s="129">
        <v>1</v>
      </c>
      <c r="C7" s="42">
        <f>$C$20*0.02</f>
        <v>1202.44</v>
      </c>
      <c r="D7" s="43">
        <f>B7*C7</f>
        <v>1202.44</v>
      </c>
      <c r="E7" s="44">
        <f>D7/20.3</f>
        <v>59.233497536945812</v>
      </c>
      <c r="F7" s="45">
        <f>E7*3.9</f>
        <v>231.01064039408865</v>
      </c>
      <c r="G7" s="44">
        <f>E7*8.8*(100/95)/1000</f>
        <v>0.54868924034223499</v>
      </c>
      <c r="H7" s="44">
        <f>(((G7*100)/95)-G7)*0.43</f>
        <v>1.2417703860376871E-2</v>
      </c>
      <c r="I7" s="44">
        <f>((($G7*100)/95)-$G7)*0.028</f>
        <v>8.0859466997802894E-4</v>
      </c>
      <c r="J7" s="44">
        <f>((($G7*100)/95)-$G7)*0.53</f>
        <v>1.5305541967441261E-2</v>
      </c>
      <c r="K7" s="47">
        <f>((($G7*100)/95)-$G7)*0.011</f>
        <v>3.1766219177708273E-4</v>
      </c>
    </row>
    <row r="8" spans="2:11">
      <c r="B8" s="130">
        <v>2</v>
      </c>
      <c r="C8" s="23">
        <f>$C$20*0.05</f>
        <v>3006.1000000000004</v>
      </c>
      <c r="D8" s="24">
        <f t="shared" ref="D8:D19" si="0">B8*C8</f>
        <v>6012.2000000000007</v>
      </c>
      <c r="E8" s="25">
        <f t="shared" ref="E8:E19" si="1">D8/20.3</f>
        <v>296.16748768472911</v>
      </c>
      <c r="F8" s="39">
        <f t="shared" ref="F8:F19" si="2">E8*3.9</f>
        <v>1155.0532019704435</v>
      </c>
      <c r="G8" s="25">
        <f t="shared" ref="G8:G19" si="3">E8*8.8*(100/95)/1000</f>
        <v>2.7434462017111749</v>
      </c>
      <c r="H8" s="25">
        <f t="shared" ref="H8:H19" si="4">(((G8*100)/95)-G8)*0.43</f>
        <v>6.2088519301884457E-2</v>
      </c>
      <c r="I8" s="25">
        <f t="shared" ref="I8:I19" si="5">((($G8*100)/95)-$G8)*0.028</f>
        <v>4.0429733498901508E-3</v>
      </c>
      <c r="J8" s="25">
        <f t="shared" ref="J8:J19" si="6">((($G8*100)/95)-$G8)*0.53</f>
        <v>7.6527709837206429E-2</v>
      </c>
      <c r="K8" s="26">
        <f t="shared" ref="K8:K19" si="7">((($G8*100)/95)-$G8)*0.011</f>
        <v>1.5883109588854163E-3</v>
      </c>
    </row>
    <row r="9" spans="2:11">
      <c r="B9" s="130">
        <v>3</v>
      </c>
      <c r="C9" s="23">
        <f>$C$20*0.1</f>
        <v>6012.2000000000007</v>
      </c>
      <c r="D9" s="24">
        <f t="shared" si="0"/>
        <v>18036.600000000002</v>
      </c>
      <c r="E9" s="25">
        <f t="shared" si="1"/>
        <v>888.50246305418727</v>
      </c>
      <c r="F9" s="39">
        <f t="shared" si="2"/>
        <v>3465.1596059113303</v>
      </c>
      <c r="G9" s="25">
        <f t="shared" si="3"/>
        <v>8.2303386051335234</v>
      </c>
      <c r="H9" s="25">
        <f t="shared" si="4"/>
        <v>0.18626555790565374</v>
      </c>
      <c r="I9" s="25">
        <f t="shared" si="5"/>
        <v>1.2128920049670477E-2</v>
      </c>
      <c r="J9" s="25">
        <f t="shared" si="6"/>
        <v>0.22958312951161974</v>
      </c>
      <c r="K9" s="26">
        <f t="shared" si="7"/>
        <v>4.7649328766562584E-3</v>
      </c>
    </row>
    <row r="10" spans="2:11">
      <c r="B10" s="130">
        <v>4</v>
      </c>
      <c r="C10" s="23">
        <f>$C$20*0.1</f>
        <v>6012.2000000000007</v>
      </c>
      <c r="D10" s="24">
        <f t="shared" si="0"/>
        <v>24048.800000000003</v>
      </c>
      <c r="E10" s="25">
        <f t="shared" si="1"/>
        <v>1184.6699507389164</v>
      </c>
      <c r="F10" s="39">
        <f t="shared" si="2"/>
        <v>4620.2128078817741</v>
      </c>
      <c r="G10" s="25">
        <f t="shared" si="3"/>
        <v>10.9737848068447</v>
      </c>
      <c r="H10" s="25">
        <f t="shared" si="4"/>
        <v>0.24835407720753783</v>
      </c>
      <c r="I10" s="25">
        <f t="shared" si="5"/>
        <v>1.6171893399560603E-2</v>
      </c>
      <c r="J10" s="25">
        <f t="shared" si="6"/>
        <v>0.30611083934882571</v>
      </c>
      <c r="K10" s="26">
        <f t="shared" si="7"/>
        <v>6.3532438355416651E-3</v>
      </c>
    </row>
    <row r="11" spans="2:11">
      <c r="B11" s="130">
        <v>5</v>
      </c>
      <c r="C11" s="23">
        <f>$C$20*0.1</f>
        <v>6012.2000000000007</v>
      </c>
      <c r="D11" s="24">
        <f t="shared" si="0"/>
        <v>30061.000000000004</v>
      </c>
      <c r="E11" s="25">
        <f t="shared" si="1"/>
        <v>1480.8374384236454</v>
      </c>
      <c r="F11" s="39">
        <f t="shared" si="2"/>
        <v>5775.2660098522165</v>
      </c>
      <c r="G11" s="25">
        <f t="shared" si="3"/>
        <v>13.717231008555872</v>
      </c>
      <c r="H11" s="25">
        <f t="shared" si="4"/>
        <v>0.31044259650942263</v>
      </c>
      <c r="I11" s="25">
        <f t="shared" si="5"/>
        <v>2.0214866749450777E-2</v>
      </c>
      <c r="J11" s="25">
        <f t="shared" si="6"/>
        <v>0.38263854918603257</v>
      </c>
      <c r="K11" s="26">
        <f t="shared" si="7"/>
        <v>7.9415547944270901E-3</v>
      </c>
    </row>
    <row r="12" spans="2:11">
      <c r="B12" s="130">
        <v>6</v>
      </c>
      <c r="C12" s="23">
        <f>$C$20*0.12</f>
        <v>7214.6399999999994</v>
      </c>
      <c r="D12" s="24">
        <f t="shared" si="0"/>
        <v>43287.839999999997</v>
      </c>
      <c r="E12" s="25">
        <f t="shared" si="1"/>
        <v>2132.4059113300491</v>
      </c>
      <c r="F12" s="39">
        <f t="shared" si="2"/>
        <v>8316.3830541871921</v>
      </c>
      <c r="G12" s="25">
        <f t="shared" si="3"/>
        <v>19.752812652320454</v>
      </c>
      <c r="H12" s="25">
        <f t="shared" si="4"/>
        <v>0.44703733897356779</v>
      </c>
      <c r="I12" s="25">
        <f t="shared" si="5"/>
        <v>2.9109408119209066E-2</v>
      </c>
      <c r="J12" s="25">
        <f t="shared" si="6"/>
        <v>0.5509995108278859</v>
      </c>
      <c r="K12" s="26">
        <f t="shared" si="7"/>
        <v>1.1435838903974989E-2</v>
      </c>
    </row>
    <row r="13" spans="2:11">
      <c r="B13" s="130">
        <v>7</v>
      </c>
      <c r="C13" s="23">
        <f>$C$20*0.06</f>
        <v>3607.3199999999997</v>
      </c>
      <c r="D13" s="24">
        <f t="shared" si="0"/>
        <v>25251.239999999998</v>
      </c>
      <c r="E13" s="25">
        <f t="shared" si="1"/>
        <v>1243.9034482758618</v>
      </c>
      <c r="F13" s="39">
        <f t="shared" si="2"/>
        <v>4851.2234482758613</v>
      </c>
      <c r="G13" s="25">
        <f t="shared" si="3"/>
        <v>11.522474047186931</v>
      </c>
      <c r="H13" s="25">
        <f t="shared" si="4"/>
        <v>0.26077178106791477</v>
      </c>
      <c r="I13" s="25">
        <f t="shared" si="5"/>
        <v>1.6980488069538637E-2</v>
      </c>
      <c r="J13" s="25">
        <f t="shared" si="6"/>
        <v>0.3214163813162671</v>
      </c>
      <c r="K13" s="26">
        <f t="shared" si="7"/>
        <v>6.6709060273187496E-3</v>
      </c>
    </row>
    <row r="14" spans="2:11">
      <c r="B14" s="130">
        <v>8</v>
      </c>
      <c r="C14" s="23">
        <f>$C$20*0.05</f>
        <v>3006.1000000000004</v>
      </c>
      <c r="D14" s="24">
        <f t="shared" si="0"/>
        <v>24048.800000000003</v>
      </c>
      <c r="E14" s="25">
        <f t="shared" si="1"/>
        <v>1184.6699507389164</v>
      </c>
      <c r="F14" s="39">
        <f t="shared" si="2"/>
        <v>4620.2128078817741</v>
      </c>
      <c r="G14" s="25">
        <f t="shared" si="3"/>
        <v>10.9737848068447</v>
      </c>
      <c r="H14" s="25">
        <f t="shared" si="4"/>
        <v>0.24835407720753783</v>
      </c>
      <c r="I14" s="25">
        <f t="shared" si="5"/>
        <v>1.6171893399560603E-2</v>
      </c>
      <c r="J14" s="25">
        <f t="shared" si="6"/>
        <v>0.30611083934882571</v>
      </c>
      <c r="K14" s="26">
        <f t="shared" si="7"/>
        <v>6.3532438355416651E-3</v>
      </c>
    </row>
    <row r="15" spans="2:11">
      <c r="B15" s="130">
        <v>9</v>
      </c>
      <c r="C15" s="23">
        <f>$C$20*0.07</f>
        <v>4208.54</v>
      </c>
      <c r="D15" s="24">
        <f t="shared" si="0"/>
        <v>37876.86</v>
      </c>
      <c r="E15" s="25">
        <f t="shared" si="1"/>
        <v>1865.8551724137931</v>
      </c>
      <c r="F15" s="39">
        <f t="shared" si="2"/>
        <v>7276.8351724137929</v>
      </c>
      <c r="G15" s="25">
        <f t="shared" si="3"/>
        <v>17.283711070780402</v>
      </c>
      <c r="H15" s="25">
        <f t="shared" si="4"/>
        <v>0.39115767160187215</v>
      </c>
      <c r="I15" s="25">
        <f t="shared" si="5"/>
        <v>2.5470732104307958E-2</v>
      </c>
      <c r="J15" s="25">
        <f t="shared" si="6"/>
        <v>0.48212457197440062</v>
      </c>
      <c r="K15" s="26">
        <f t="shared" si="7"/>
        <v>1.0006359040978125E-2</v>
      </c>
    </row>
    <row r="16" spans="2:11">
      <c r="B16" s="130">
        <v>10</v>
      </c>
      <c r="C16" s="23">
        <f>$C$20*0.06</f>
        <v>3607.3199999999997</v>
      </c>
      <c r="D16" s="24">
        <f t="shared" si="0"/>
        <v>36073.199999999997</v>
      </c>
      <c r="E16" s="25">
        <f t="shared" si="1"/>
        <v>1777.0049261083741</v>
      </c>
      <c r="F16" s="39">
        <f t="shared" si="2"/>
        <v>6930.3192118226589</v>
      </c>
      <c r="G16" s="25">
        <f t="shared" si="3"/>
        <v>16.460677210267043</v>
      </c>
      <c r="H16" s="25">
        <f t="shared" si="4"/>
        <v>0.37253111581130594</v>
      </c>
      <c r="I16" s="25">
        <f t="shared" si="5"/>
        <v>2.4257840099340854E-2</v>
      </c>
      <c r="J16" s="25">
        <f t="shared" si="6"/>
        <v>0.4591662590232376</v>
      </c>
      <c r="K16" s="26">
        <f t="shared" si="7"/>
        <v>9.5298657533124768E-3</v>
      </c>
    </row>
    <row r="17" spans="2:11">
      <c r="B17" s="130">
        <v>14</v>
      </c>
      <c r="C17" s="23">
        <f>$C$20*0.09</f>
        <v>5410.98</v>
      </c>
      <c r="D17" s="24">
        <f t="shared" si="0"/>
        <v>75753.72</v>
      </c>
      <c r="E17" s="25">
        <f t="shared" si="1"/>
        <v>3731.7103448275861</v>
      </c>
      <c r="F17" s="39">
        <f t="shared" si="2"/>
        <v>14553.670344827586</v>
      </c>
      <c r="G17" s="25">
        <f t="shared" si="3"/>
        <v>34.567422141560805</v>
      </c>
      <c r="H17" s="25">
        <f t="shared" si="4"/>
        <v>0.7823153432037443</v>
      </c>
      <c r="I17" s="25">
        <f t="shared" si="5"/>
        <v>5.0941464208615915E-2</v>
      </c>
      <c r="J17" s="25">
        <f t="shared" si="6"/>
        <v>0.96424914394880124</v>
      </c>
      <c r="K17" s="26">
        <f t="shared" si="7"/>
        <v>2.001271808195625E-2</v>
      </c>
    </row>
    <row r="18" spans="2:11">
      <c r="B18" s="130">
        <v>16</v>
      </c>
      <c r="C18" s="23">
        <f>$C$20*0.08</f>
        <v>4809.76</v>
      </c>
      <c r="D18" s="24">
        <f t="shared" si="0"/>
        <v>76956.160000000003</v>
      </c>
      <c r="E18" s="25">
        <f t="shared" si="1"/>
        <v>3790.943842364532</v>
      </c>
      <c r="F18" s="39">
        <f t="shared" si="2"/>
        <v>14784.680985221674</v>
      </c>
      <c r="G18" s="25">
        <f t="shared" si="3"/>
        <v>35.116111381903039</v>
      </c>
      <c r="H18" s="25">
        <f t="shared" si="4"/>
        <v>0.79473304706411974</v>
      </c>
      <c r="I18" s="25">
        <f t="shared" si="5"/>
        <v>5.1750058878593852E-2</v>
      </c>
      <c r="J18" s="25">
        <f t="shared" si="6"/>
        <v>0.97955468591624073</v>
      </c>
      <c r="K18" s="26">
        <f t="shared" si="7"/>
        <v>2.0330380273733295E-2</v>
      </c>
    </row>
    <row r="19" spans="2:11">
      <c r="B19" s="130">
        <v>20</v>
      </c>
      <c r="C19" s="23">
        <f>$C$20*0.1</f>
        <v>6012.2000000000007</v>
      </c>
      <c r="D19" s="24">
        <f t="shared" si="0"/>
        <v>120244.00000000001</v>
      </c>
      <c r="E19" s="25">
        <f t="shared" si="1"/>
        <v>5923.3497536945815</v>
      </c>
      <c r="F19" s="39">
        <f t="shared" si="2"/>
        <v>23101.064039408866</v>
      </c>
      <c r="G19" s="25">
        <f t="shared" si="3"/>
        <v>54.86892403422349</v>
      </c>
      <c r="H19" s="25">
        <f t="shared" si="4"/>
        <v>1.2417703860376905</v>
      </c>
      <c r="I19" s="25">
        <f t="shared" si="5"/>
        <v>8.0859466997803109E-2</v>
      </c>
      <c r="J19" s="25">
        <f t="shared" si="6"/>
        <v>1.5305541967441303</v>
      </c>
      <c r="K19" s="26">
        <f t="shared" si="7"/>
        <v>3.176621917770836E-2</v>
      </c>
    </row>
    <row r="20" spans="2:11" s="35" customFormat="1">
      <c r="B20" s="131" t="s">
        <v>43</v>
      </c>
      <c r="C20" s="32">
        <v>60122</v>
      </c>
      <c r="D20" s="32">
        <f>SUM(D7:D19)</f>
        <v>518852.86</v>
      </c>
      <c r="E20" s="32">
        <f>SUM(E7:E19)</f>
        <v>25559.25418719212</v>
      </c>
      <c r="F20" s="46">
        <f>SUM(F7:F19)</f>
        <v>99681.091330049254</v>
      </c>
      <c r="G20" s="33">
        <f>SUM(G7:G19)</f>
        <v>236.75940720767434</v>
      </c>
      <c r="H20" s="33">
        <f>SUM(H7:H19)</f>
        <v>5.3582392157526284</v>
      </c>
      <c r="I20" s="33">
        <f t="shared" ref="I20:K20" si="8">SUM(I7:I19)</f>
        <v>0.34890860009552005</v>
      </c>
      <c r="J20" s="33">
        <f t="shared" si="8"/>
        <v>6.604341358950915</v>
      </c>
      <c r="K20" s="34">
        <f t="shared" si="8"/>
        <v>0.1370712357518114</v>
      </c>
    </row>
    <row r="21" spans="2:11">
      <c r="B21" s="5" t="s">
        <v>89</v>
      </c>
      <c r="K21" s="22">
        <f>SUM(H20:K20)</f>
        <v>12.448560410550876</v>
      </c>
    </row>
    <row r="22" spans="2:11">
      <c r="B22" s="5" t="s">
        <v>90</v>
      </c>
      <c r="K22" s="22"/>
    </row>
    <row r="23" spans="2:11">
      <c r="B23" s="5" t="s">
        <v>92</v>
      </c>
      <c r="K23" s="22"/>
    </row>
    <row r="24" spans="2:11">
      <c r="B24" s="5" t="s">
        <v>93</v>
      </c>
      <c r="K24" s="22"/>
    </row>
    <row r="25" spans="2:11">
      <c r="B25" s="5" t="s">
        <v>94</v>
      </c>
    </row>
    <row r="27" spans="2:11">
      <c r="B27" s="5" t="s">
        <v>50</v>
      </c>
    </row>
    <row r="28" spans="2:11">
      <c r="B28" s="36" t="s">
        <v>49</v>
      </c>
    </row>
    <row r="29" spans="2:11" ht="3.75" customHeight="1">
      <c r="B29" s="2"/>
    </row>
    <row r="30" spans="2:11">
      <c r="B30" s="2" t="s">
        <v>39</v>
      </c>
    </row>
    <row r="31" spans="2:11" ht="4.5" customHeight="1">
      <c r="B31" s="2"/>
    </row>
    <row r="32" spans="2:11">
      <c r="B32" s="2" t="s">
        <v>40</v>
      </c>
    </row>
    <row r="33" spans="2:2" ht="2.25" customHeight="1">
      <c r="B33" s="2"/>
    </row>
    <row r="34" spans="2:2">
      <c r="B34" s="2" t="s">
        <v>41</v>
      </c>
    </row>
    <row r="35" spans="2:2" ht="3" customHeight="1">
      <c r="B35" s="2"/>
    </row>
    <row r="36" spans="2:2">
      <c r="B36" s="2" t="s">
        <v>42</v>
      </c>
    </row>
    <row r="38" spans="2:2">
      <c r="B38" s="5" t="s">
        <v>51</v>
      </c>
    </row>
  </sheetData>
  <pageMargins left="0.7" right="0.7" top="0.75" bottom="0.63" header="0.3" footer="0.3"/>
  <pageSetup scale="90" orientation="landscape" r:id="rId1"/>
</worksheet>
</file>

<file path=xl/worksheets/sheet6.xml><?xml version="1.0" encoding="utf-8"?>
<worksheet xmlns="http://schemas.openxmlformats.org/spreadsheetml/2006/main" xmlns:r="http://schemas.openxmlformats.org/officeDocument/2006/relationships">
  <dimension ref="B2:C27"/>
  <sheetViews>
    <sheetView workbookViewId="0">
      <selection activeCell="B15" sqref="B15"/>
    </sheetView>
  </sheetViews>
  <sheetFormatPr defaultColWidth="9.140625" defaultRowHeight="15.75"/>
  <cols>
    <col min="1" max="1" width="9.140625" style="5"/>
    <col min="2" max="2" width="31.85546875" style="5" customWidth="1"/>
    <col min="3" max="3" width="26.28515625" style="5" customWidth="1"/>
    <col min="4" max="16384" width="9.140625" style="5"/>
  </cols>
  <sheetData>
    <row r="2" spans="2:3">
      <c r="B2" s="7" t="s">
        <v>34</v>
      </c>
    </row>
    <row r="3" spans="2:3" ht="16.5" thickBot="1"/>
    <row r="4" spans="2:3">
      <c r="B4" s="132" t="s">
        <v>52</v>
      </c>
      <c r="C4" s="133">
        <v>294405</v>
      </c>
    </row>
    <row r="5" spans="2:3">
      <c r="B5" s="134" t="s">
        <v>18</v>
      </c>
      <c r="C5" s="21"/>
    </row>
    <row r="6" spans="2:3">
      <c r="B6" s="135" t="s">
        <v>19</v>
      </c>
      <c r="C6" s="27">
        <v>156035</v>
      </c>
    </row>
    <row r="7" spans="2:3">
      <c r="B7" s="135" t="s">
        <v>20</v>
      </c>
      <c r="C7" s="27">
        <v>117762</v>
      </c>
    </row>
    <row r="8" spans="2:3">
      <c r="B8" s="136" t="s">
        <v>21</v>
      </c>
      <c r="C8" s="27">
        <v>20608</v>
      </c>
    </row>
    <row r="9" spans="2:3">
      <c r="B9" s="134" t="s">
        <v>22</v>
      </c>
      <c r="C9" s="21"/>
    </row>
    <row r="10" spans="2:3">
      <c r="B10" s="135" t="s">
        <v>23</v>
      </c>
      <c r="C10" s="27">
        <v>164867</v>
      </c>
    </row>
    <row r="11" spans="2:3">
      <c r="B11" s="135" t="s">
        <v>24</v>
      </c>
      <c r="C11" s="27">
        <v>129538</v>
      </c>
    </row>
    <row r="12" spans="2:3">
      <c r="B12" s="134" t="s">
        <v>25</v>
      </c>
      <c r="C12" s="21"/>
    </row>
    <row r="13" spans="2:3">
      <c r="B13" s="135" t="s">
        <v>26</v>
      </c>
      <c r="C13" s="27">
        <v>164867</v>
      </c>
    </row>
    <row r="14" spans="2:3">
      <c r="B14" s="135" t="s">
        <v>20</v>
      </c>
      <c r="C14" s="27">
        <v>58881</v>
      </c>
    </row>
    <row r="15" spans="2:3">
      <c r="B15" s="135" t="s">
        <v>19</v>
      </c>
      <c r="C15" s="27">
        <v>32767</v>
      </c>
    </row>
    <row r="16" spans="2:3">
      <c r="B16" s="135" t="s">
        <v>27</v>
      </c>
      <c r="C16" s="27">
        <v>11776</v>
      </c>
    </row>
    <row r="17" spans="2:3">
      <c r="B17" s="134" t="s">
        <v>53</v>
      </c>
      <c r="C17" s="21"/>
    </row>
    <row r="18" spans="2:3">
      <c r="B18" s="135" t="s">
        <v>28</v>
      </c>
      <c r="C18" s="27">
        <v>223748</v>
      </c>
    </row>
    <row r="19" spans="2:3">
      <c r="B19" s="135" t="s">
        <v>29</v>
      </c>
      <c r="C19" s="27">
        <v>123650</v>
      </c>
    </row>
    <row r="20" spans="2:3">
      <c r="B20" s="137" t="s">
        <v>30</v>
      </c>
      <c r="C20" s="28">
        <v>11776</v>
      </c>
    </row>
    <row r="21" spans="2:3">
      <c r="B21" s="138" t="s">
        <v>31</v>
      </c>
      <c r="C21" s="29">
        <v>2060836</v>
      </c>
    </row>
    <row r="22" spans="2:3">
      <c r="B22" s="138" t="s">
        <v>32</v>
      </c>
      <c r="C22" s="29">
        <v>37683855</v>
      </c>
    </row>
    <row r="23" spans="2:3" ht="32.25" thickBot="1">
      <c r="B23" s="139" t="s">
        <v>33</v>
      </c>
      <c r="C23" s="30">
        <v>16192</v>
      </c>
    </row>
    <row r="24" spans="2:3" ht="79.5" customHeight="1">
      <c r="B24" s="143" t="s">
        <v>54</v>
      </c>
      <c r="C24" s="143"/>
    </row>
    <row r="25" spans="2:3" ht="4.5" customHeight="1">
      <c r="B25" s="31"/>
    </row>
    <row r="26" spans="2:3" ht="36.75" customHeight="1">
      <c r="B26" s="144" t="s">
        <v>55</v>
      </c>
      <c r="C26" s="144"/>
    </row>
    <row r="27" spans="2:3">
      <c r="B27" s="20"/>
    </row>
  </sheetData>
  <mergeCells count="2">
    <mergeCell ref="B24:C24"/>
    <mergeCell ref="B26:C26"/>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Overall CnB Analysis</vt:lpstr>
      <vt:lpstr>ARwT Costs</vt:lpstr>
      <vt:lpstr>Trail Benefit Analysis</vt:lpstr>
      <vt:lpstr>20 Year OnM</vt:lpstr>
      <vt:lpstr>GhGE_Reductions</vt:lpstr>
      <vt:lpstr>ARwT Benefits</vt:lpstr>
      <vt:lpstr>'Overall CnB Analysis'!Print_Area</vt:lpstr>
      <vt:lpstr>'Trail Benefit Analysis'!Print_Area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kdiemer</dc:creator>
  <cp:lastModifiedBy>kdiemer</cp:lastModifiedBy>
  <cp:lastPrinted>2011-10-31T15:44:30Z</cp:lastPrinted>
  <dcterms:created xsi:type="dcterms:W3CDTF">2011-10-22T19:24:15Z</dcterms:created>
  <dcterms:modified xsi:type="dcterms:W3CDTF">2011-10-31T18:58:58Z</dcterms:modified>
</cp:coreProperties>
</file>