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20" yWindow="90" windowWidth="19065" windowHeight="10830" activeTab="1"/>
  </bookViews>
  <sheets>
    <sheet name="Instructions" sheetId="5" r:id="rId1"/>
    <sheet name="XYZ" sheetId="8" r:id="rId2"/>
  </sheets>
  <calcPr calcId="145621"/>
</workbook>
</file>

<file path=xl/calcChain.xml><?xml version="1.0" encoding="utf-8"?>
<calcChain xmlns="http://schemas.openxmlformats.org/spreadsheetml/2006/main">
  <c r="D5" i="8" l="1"/>
  <c r="H12" i="8"/>
  <c r="H11" i="8"/>
  <c r="H10" i="8"/>
  <c r="H9" i="8"/>
  <c r="H8" i="8"/>
  <c r="H7" i="8"/>
  <c r="H6" i="8"/>
  <c r="H5" i="8"/>
  <c r="G12" i="8" l="1"/>
  <c r="G11" i="8"/>
  <c r="G10" i="8"/>
  <c r="G9" i="8"/>
  <c r="G8" i="8"/>
  <c r="G7" i="8"/>
  <c r="G6" i="8"/>
  <c r="G5" i="8"/>
  <c r="C5" i="8"/>
</calcChain>
</file>

<file path=xl/sharedStrings.xml><?xml version="1.0" encoding="utf-8"?>
<sst xmlns="http://schemas.openxmlformats.org/spreadsheetml/2006/main" count="86" uniqueCount="73">
  <si>
    <t>N</t>
  </si>
  <si>
    <t>Overall</t>
  </si>
  <si>
    <t>By credit union asset size</t>
  </si>
  <si>
    <t>*</t>
  </si>
  <si>
    <t>Purpose</t>
  </si>
  <si>
    <t>$20M-$50M</t>
  </si>
  <si>
    <t>$50M-$100M</t>
  </si>
  <si>
    <t>$100M-$200M</t>
  </si>
  <si>
    <t>Duties and Responsibilities</t>
  </si>
  <si>
    <t>$200M-$500M</t>
  </si>
  <si>
    <t>$500M-$1B</t>
  </si>
  <si>
    <t>1</t>
  </si>
  <si>
    <t>2</t>
  </si>
  <si>
    <t>4</t>
  </si>
  <si>
    <t>* Insufficient data.</t>
  </si>
  <si>
    <t>Minimum</t>
  </si>
  <si>
    <t>Midpoint</t>
  </si>
  <si>
    <t>Maximum</t>
  </si>
  <si>
    <t>NOTE: Limited to credit unions with established minimums, midpoints, and maximums for each job position.</t>
  </si>
  <si>
    <t>$1-$3B</t>
  </si>
  <si>
    <t>$3B or more</t>
  </si>
  <si>
    <t>6</t>
  </si>
  <si>
    <t>17</t>
  </si>
  <si>
    <t>14</t>
  </si>
  <si>
    <t>24</t>
  </si>
  <si>
    <t>Rating*</t>
  </si>
  <si>
    <t>Base salary</t>
  </si>
  <si>
    <t>Copyright Notice</t>
  </si>
  <si>
    <t xml:space="preserve"> </t>
  </si>
  <si>
    <t>Any violation of CUNA’s rights with respect to these worksheets will cause CUNA irreparable harm and damages will result.</t>
  </si>
  <si>
    <t>Copyright ©2012 Credit Union National Association Inc. All rights reserved. The contents of these worksheets are copyright protected and are considered confidential by Credit Union National Association (CUNA). these worksheets, or any of the data contained in the worksheets, may not be printed, forwarded, shared, reproduced, copied or otherwise redistributed to anyone or any entity outside of the recipient’s own organization.</t>
  </si>
  <si>
    <t>Incorporating the worksheets, or any of the data contained in the worksheets, into compensation-related software other vehicles or products, or for any direct or indirect external use is also strictly prohibited without a license expressly granted by CUNA.</t>
  </si>
  <si>
    <t>68</t>
  </si>
  <si>
    <t>$89,845</t>
  </si>
  <si>
    <t>$118,000</t>
  </si>
  <si>
    <t>$146,156</t>
  </si>
  <si>
    <t>$56,971</t>
  </si>
  <si>
    <t>$73,818</t>
  </si>
  <si>
    <t>$90,664</t>
  </si>
  <si>
    <t>$58,375</t>
  </si>
  <si>
    <t>$72,779</t>
  </si>
  <si>
    <t>$87,184</t>
  </si>
  <si>
    <t>$78,438</t>
  </si>
  <si>
    <t>$103,552</t>
  </si>
  <si>
    <t>$128,666</t>
  </si>
  <si>
    <t>$107,017</t>
  </si>
  <si>
    <t>$137,090</t>
  </si>
  <si>
    <t>$167,162</t>
  </si>
  <si>
    <t>$124,839</t>
  </si>
  <si>
    <t>$166,189</t>
  </si>
  <si>
    <t>$207,539</t>
  </si>
  <si>
    <t>$125,378</t>
  </si>
  <si>
    <t>$180,258</t>
  </si>
  <si>
    <t>$235,137</t>
  </si>
  <si>
    <t>a comparatio above 100% indicates the salary is above the midpoint of the pay range.</t>
  </si>
  <si>
    <t>a comparatio below 100% indicates that the salary is below the midpoint of the pay range;</t>
  </si>
  <si>
    <t xml:space="preserve">*A comparatio of 100% indicates that the base salary is  at midpoint; </t>
  </si>
  <si>
    <t>Comparatio based on CUNA midpoint</t>
  </si>
  <si>
    <t>Comparatio based on CU midpoint</t>
  </si>
  <si>
    <t>Enter your data in B5:</t>
  </si>
  <si>
    <t>Enter your data in A5:</t>
  </si>
  <si>
    <t xml:space="preserve">These worksheets calculate the comparatio. Comparatios enable organizations to identify the number of jobs that are outside the pay range – below the minimum and above the maximum. </t>
  </si>
  <si>
    <t xml:space="preserve">If the majority of jobs in an organization are above the midpoint, this signals that the pay range structure requires adjustment. </t>
  </si>
  <si>
    <t>Enter the salary and/or the midpoint of the pay range for the corresponding pay grade for your CU.  The comparatio will be calculated automatically, as well as a rating of "Above midpoint" (above 1.00), "Below midpoint" (below 1.00), or "At midpoint" (1.00).</t>
  </si>
  <si>
    <t xml:space="preserve">CUNA's national data tables from the 2012-2013 Complete Credit Union Staff Salary Survey are located to the right of the table that includes the comparatio.  </t>
  </si>
  <si>
    <t>The job description for each position is included to the right of the data table for the position.</t>
  </si>
  <si>
    <t>XYZ Position COMPARATIO</t>
  </si>
  <si>
    <t xml:space="preserve">XYZ Position Salary Range Averages </t>
  </si>
  <si>
    <t xml:space="preserve"> Table A-8</t>
  </si>
  <si>
    <r>
      <t xml:space="preserve">TITLE: </t>
    </r>
    <r>
      <rPr>
        <b/>
        <sz val="10.5"/>
        <color indexed="8"/>
        <rFont val="Helvetica"/>
        <family val="2"/>
      </rPr>
      <t>XYZ Position -- Job description for position will be shown here</t>
    </r>
  </si>
  <si>
    <t>REPORTS TO: ABC</t>
  </si>
  <si>
    <t>Responsible for…..</t>
  </si>
  <si>
    <r>
      <t>1.</t>
    </r>
    <r>
      <rPr>
        <sz val="7"/>
        <color indexed="8"/>
        <rFont val="Times New Roman"/>
        <family val="1"/>
      </rPr>
      <t>   </t>
    </r>
  </si>
</sst>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6" formatCode="&quot;$&quot;#,##0_);[Red]\(&quot;$&quot;#,##0\)"/>
    <numFmt numFmtId="164" formatCode="0.0%"/>
  </numFmts>
  <fonts count="16" x14ac:knownFonts="1">
    <font>
      <sz val="11"/>
      <color theme="1"/>
      <name val="Calibri"/>
      <family val="2"/>
      <scheme val="minor"/>
    </font>
    <font>
      <b/>
      <sz val="10"/>
      <name val="Arial"/>
      <family val="2"/>
    </font>
    <font>
      <sz val="10"/>
      <name val="Arial"/>
      <family val="2"/>
    </font>
    <font>
      <b/>
      <sz val="14"/>
      <color rgb="FF2B3616"/>
      <name val="Calibri"/>
      <family val="2"/>
      <scheme val="minor"/>
    </font>
    <font>
      <b/>
      <sz val="10"/>
      <color theme="1"/>
      <name val="Calibri"/>
      <family val="2"/>
      <scheme val="minor"/>
    </font>
    <font>
      <sz val="10"/>
      <color theme="1"/>
      <name val="Calibri"/>
      <family val="2"/>
      <scheme val="minor"/>
    </font>
    <font>
      <b/>
      <u/>
      <sz val="10"/>
      <color theme="1"/>
      <name val="Calibri"/>
      <family val="2"/>
      <scheme val="minor"/>
    </font>
    <font>
      <sz val="14"/>
      <name val="Arial"/>
      <family val="2"/>
    </font>
    <font>
      <sz val="10.5"/>
      <color rgb="FF000000"/>
      <name val="Helvetica"/>
      <family val="2"/>
    </font>
    <font>
      <b/>
      <sz val="10.5"/>
      <color indexed="8"/>
      <name val="Helvetica"/>
      <family val="2"/>
    </font>
    <font>
      <i/>
      <sz val="10.5"/>
      <color rgb="FF000000"/>
      <name val="Helvetica"/>
      <family val="2"/>
    </font>
    <font>
      <sz val="8"/>
      <name val="Arial"/>
      <family val="2"/>
    </font>
    <font>
      <i/>
      <sz val="8"/>
      <color rgb="FF000000"/>
      <name val="Helvetica"/>
      <family val="2"/>
    </font>
    <font>
      <sz val="7"/>
      <color indexed="8"/>
      <name val="Times New Roman"/>
      <family val="1"/>
    </font>
    <font>
      <sz val="8"/>
      <color rgb="FF000000"/>
      <name val="Helvetica"/>
      <family val="2"/>
    </font>
    <font>
      <sz val="10"/>
      <name val="Arial"/>
      <family val="2"/>
    </font>
  </fonts>
  <fills count="2">
    <fill>
      <patternFill patternType="none"/>
    </fill>
    <fill>
      <patternFill patternType="gray125"/>
    </fill>
  </fills>
  <borders count="3">
    <border>
      <left/>
      <right/>
      <top/>
      <bottom/>
      <diagonal/>
    </border>
    <border>
      <left/>
      <right/>
      <top style="thin">
        <color indexed="8"/>
      </top>
      <bottom style="thin">
        <color indexed="8"/>
      </bottom>
      <diagonal/>
    </border>
    <border>
      <left/>
      <right/>
      <top/>
      <bottom style="medium">
        <color indexed="64"/>
      </bottom>
      <diagonal/>
    </border>
  </borders>
  <cellStyleXfs count="2">
    <xf numFmtId="0" fontId="0" fillId="0" borderId="0"/>
    <xf numFmtId="0" fontId="15" fillId="0" borderId="0"/>
  </cellStyleXfs>
  <cellXfs count="50">
    <xf numFmtId="0" fontId="0" fillId="0" borderId="0" xfId="0"/>
    <xf numFmtId="0" fontId="1" fillId="0" borderId="1" xfId="0" applyFont="1" applyBorder="1" applyAlignment="1">
      <alignment horizontal="center" wrapText="1"/>
    </xf>
    <xf numFmtId="0" fontId="2" fillId="0" borderId="0" xfId="0" applyFont="1" applyAlignment="1">
      <alignment horizontal="center"/>
    </xf>
    <xf numFmtId="0" fontId="2" fillId="0" borderId="2" xfId="0" applyFont="1" applyBorder="1" applyAlignment="1">
      <alignment horizontal="center"/>
    </xf>
    <xf numFmtId="0" fontId="2" fillId="0" borderId="0" xfId="0" applyFont="1" applyBorder="1" applyAlignment="1">
      <alignment horizontal="center"/>
    </xf>
    <xf numFmtId="0" fontId="0" fillId="0" borderId="0" xfId="0" applyAlignment="1">
      <alignment vertical="center"/>
    </xf>
    <xf numFmtId="0" fontId="3" fillId="0" borderId="0" xfId="0" applyFont="1" applyAlignment="1">
      <alignment vertical="center"/>
    </xf>
    <xf numFmtId="0" fontId="5" fillId="0" borderId="0" xfId="0" applyFont="1"/>
    <xf numFmtId="0" fontId="5" fillId="0" borderId="0" xfId="0" applyFont="1" applyAlignment="1">
      <alignment horizontal="left"/>
    </xf>
    <xf numFmtId="164" fontId="5" fillId="0" borderId="0" xfId="0" applyNumberFormat="1" applyFont="1" applyAlignment="1">
      <alignment horizontal="right"/>
    </xf>
    <xf numFmtId="0" fontId="5" fillId="0" borderId="2" xfId="0" applyFont="1" applyBorder="1"/>
    <xf numFmtId="164" fontId="5" fillId="0" borderId="2" xfId="0" applyNumberFormat="1" applyFont="1" applyBorder="1" applyAlignment="1">
      <alignment horizontal="right"/>
    </xf>
    <xf numFmtId="0" fontId="4" fillId="0" borderId="2" xfId="0" applyFont="1" applyBorder="1" applyAlignment="1">
      <alignment horizontal="center"/>
    </xf>
    <xf numFmtId="164" fontId="5" fillId="0" borderId="0" xfId="0" applyNumberFormat="1" applyFont="1" applyBorder="1" applyAlignment="1">
      <alignment horizontal="right"/>
    </xf>
    <xf numFmtId="0" fontId="5" fillId="0" borderId="0" xfId="0" applyFont="1" applyProtection="1">
      <protection locked="0"/>
    </xf>
    <xf numFmtId="0" fontId="0" fillId="0" borderId="0" xfId="0" applyAlignment="1">
      <alignment horizontal="left"/>
    </xf>
    <xf numFmtId="0" fontId="0" fillId="0" borderId="0" xfId="0" applyAlignment="1">
      <alignment horizontal="right"/>
    </xf>
    <xf numFmtId="0" fontId="5" fillId="0" borderId="0" xfId="0" applyFont="1" applyBorder="1" applyAlignment="1">
      <alignment horizontal="left"/>
    </xf>
    <xf numFmtId="0" fontId="0" fillId="0" borderId="2" xfId="0" applyBorder="1" applyAlignment="1">
      <alignment horizontal="left"/>
    </xf>
    <xf numFmtId="0" fontId="0" fillId="0" borderId="0" xfId="0" applyBorder="1" applyAlignment="1">
      <alignment horizontal="left"/>
    </xf>
    <xf numFmtId="0" fontId="5" fillId="0" borderId="0" xfId="0" applyFont="1" applyBorder="1"/>
    <xf numFmtId="0" fontId="11" fillId="0" borderId="0" xfId="0" applyFont="1" applyAlignment="1">
      <alignment wrapText="1"/>
    </xf>
    <xf numFmtId="0" fontId="12" fillId="0" borderId="0" xfId="1" applyFont="1" applyAlignment="1">
      <alignment horizontal="left" vertical="center" indent="3"/>
    </xf>
    <xf numFmtId="0" fontId="8" fillId="0" borderId="0" xfId="1" applyFont="1" applyAlignment="1">
      <alignment horizontal="left" vertical="center" indent="4"/>
    </xf>
    <xf numFmtId="0" fontId="14" fillId="0" borderId="0" xfId="1" applyFont="1" applyAlignment="1">
      <alignment horizontal="left" vertical="center" indent="4"/>
    </xf>
    <xf numFmtId="0" fontId="15" fillId="0" borderId="0" xfId="1" applyBorder="1"/>
    <xf numFmtId="0" fontId="8" fillId="0" borderId="0" xfId="1" applyFont="1" applyAlignment="1">
      <alignment vertical="center"/>
    </xf>
    <xf numFmtId="0" fontId="10" fillId="0" borderId="0" xfId="1" applyFont="1" applyAlignment="1">
      <alignment vertical="center"/>
    </xf>
    <xf numFmtId="0" fontId="8" fillId="0" borderId="0" xfId="1" applyFont="1" applyAlignment="1">
      <alignment horizontal="left" vertical="center" indent="1"/>
    </xf>
    <xf numFmtId="0" fontId="15" fillId="0" borderId="0" xfId="1"/>
    <xf numFmtId="0" fontId="15" fillId="0" borderId="0" xfId="1" applyAlignment="1">
      <alignment horizontal="left"/>
    </xf>
    <xf numFmtId="0" fontId="15" fillId="0" borderId="0" xfId="1" applyAlignment="1">
      <alignment horizontal="right"/>
    </xf>
    <xf numFmtId="0" fontId="15" fillId="0" borderId="0" xfId="1" applyNumberFormat="1" applyAlignment="1">
      <alignment horizontal="right"/>
    </xf>
    <xf numFmtId="6" fontId="15" fillId="0" borderId="0" xfId="1" applyNumberFormat="1" applyAlignment="1">
      <alignment horizontal="right"/>
    </xf>
    <xf numFmtId="0" fontId="15" fillId="0" borderId="0" xfId="1" applyBorder="1" applyAlignment="1">
      <alignment horizontal="left"/>
    </xf>
    <xf numFmtId="0" fontId="4" fillId="0" borderId="0" xfId="0" applyFont="1" applyBorder="1" applyAlignment="1">
      <alignment horizontal="center" wrapText="1"/>
    </xf>
    <xf numFmtId="0" fontId="4" fillId="0" borderId="2" xfId="0" applyFont="1" applyBorder="1" applyAlignment="1">
      <alignment horizontal="center" wrapText="1"/>
    </xf>
    <xf numFmtId="0" fontId="6" fillId="0" borderId="0" xfId="0" applyFont="1" applyBorder="1" applyAlignment="1">
      <alignment horizontal="center"/>
    </xf>
    <xf numFmtId="0" fontId="5" fillId="0" borderId="0" xfId="0" applyFont="1" applyBorder="1" applyProtection="1">
      <protection locked="0"/>
    </xf>
    <xf numFmtId="0" fontId="4" fillId="0" borderId="0" xfId="0" applyFont="1" applyBorder="1" applyAlignment="1">
      <alignment horizontal="center"/>
    </xf>
    <xf numFmtId="0" fontId="5" fillId="0" borderId="0" xfId="0" applyFont="1" applyAlignment="1">
      <alignment horizontal="center" wrapText="1"/>
    </xf>
    <xf numFmtId="0" fontId="4" fillId="0" borderId="0" xfId="0" applyFont="1" applyBorder="1" applyAlignment="1">
      <alignment horizontal="center" wrapText="1"/>
    </xf>
    <xf numFmtId="0" fontId="4" fillId="0" borderId="2" xfId="0" applyFont="1" applyBorder="1" applyAlignment="1">
      <alignment horizontal="center" wrapText="1"/>
    </xf>
    <xf numFmtId="0" fontId="4" fillId="0" borderId="0" xfId="0" applyFont="1" applyAlignment="1">
      <alignment horizontal="center"/>
    </xf>
    <xf numFmtId="0" fontId="5" fillId="0" borderId="0" xfId="0" applyFont="1" applyAlignment="1">
      <alignment horizontal="center"/>
    </xf>
    <xf numFmtId="0" fontId="4" fillId="0" borderId="0" xfId="0" applyFont="1" applyAlignment="1">
      <alignment horizontal="center" wrapText="1"/>
    </xf>
    <xf numFmtId="0" fontId="7" fillId="0" borderId="0" xfId="0" applyFont="1" applyAlignment="1">
      <alignment horizontal="center" wrapText="1"/>
    </xf>
    <xf numFmtId="0" fontId="11" fillId="0" borderId="0" xfId="0" applyFont="1" applyAlignment="1">
      <alignment wrapText="1"/>
    </xf>
    <xf numFmtId="0" fontId="11" fillId="0" borderId="0" xfId="0" applyFont="1" applyAlignment="1">
      <alignment horizontal="center" wrapText="1"/>
    </xf>
    <xf numFmtId="0" fontId="8" fillId="0" borderId="0" xfId="1" applyFont="1" applyAlignment="1">
      <alignment horizontal="left" vertical="center" indent="3"/>
    </xf>
  </cellXfs>
  <cellStyles count="2">
    <cellStyle name="Normal" xfId="0" builtinId="0"/>
    <cellStyle name="Normal 2" xfId="1"/>
  </cellStyles>
  <dxfs count="117">
    <dxf>
      <font>
        <color rgb="FFC00000"/>
      </font>
    </dxf>
    <dxf>
      <font>
        <color rgb="FFC00000"/>
      </font>
    </dxf>
    <dxf>
      <font>
        <color theme="6" tint="-0.499984740745262"/>
      </font>
    </dxf>
    <dxf>
      <font>
        <color rgb="FFC00000"/>
      </font>
    </dxf>
    <dxf>
      <font>
        <color rgb="FFC00000"/>
      </font>
    </dxf>
    <dxf>
      <font>
        <color theme="6" tint="-0.499984740745262"/>
      </font>
    </dxf>
    <dxf>
      <font>
        <color rgb="FFC00000"/>
      </font>
    </dxf>
    <dxf>
      <font>
        <color rgb="FFC00000"/>
      </font>
    </dxf>
    <dxf>
      <font>
        <color theme="6" tint="-0.499984740745262"/>
      </font>
    </dxf>
    <dxf>
      <font>
        <color rgb="FFC00000"/>
      </font>
    </dxf>
    <dxf>
      <font>
        <color rgb="FFC00000"/>
      </font>
    </dxf>
    <dxf>
      <font>
        <color theme="6" tint="-0.499984740745262"/>
      </font>
    </dxf>
    <dxf>
      <font>
        <color rgb="FFC00000"/>
      </font>
    </dxf>
    <dxf>
      <font>
        <color rgb="FFC00000"/>
      </font>
    </dxf>
    <dxf>
      <font>
        <color theme="6" tint="-0.499984740745262"/>
      </font>
    </dxf>
    <dxf>
      <font>
        <color rgb="FFC00000"/>
      </font>
    </dxf>
    <dxf>
      <font>
        <color rgb="FFC00000"/>
      </font>
    </dxf>
    <dxf>
      <font>
        <color theme="6" tint="-0.499984740745262"/>
      </font>
    </dxf>
    <dxf>
      <font>
        <color rgb="FFC00000"/>
      </font>
    </dxf>
    <dxf>
      <font>
        <color rgb="FFC00000"/>
      </font>
    </dxf>
    <dxf>
      <font>
        <color theme="6" tint="-0.499984740745262"/>
      </font>
    </dxf>
    <dxf>
      <font>
        <color rgb="FFC00000"/>
      </font>
    </dxf>
    <dxf>
      <font>
        <color rgb="FFC00000"/>
      </font>
    </dxf>
    <dxf>
      <font>
        <color theme="6" tint="-0.499984740745262"/>
      </font>
    </dxf>
    <dxf>
      <font>
        <color rgb="FFC00000"/>
      </font>
    </dxf>
    <dxf>
      <font>
        <color rgb="FFC00000"/>
      </font>
    </dxf>
    <dxf>
      <font>
        <color theme="6" tint="-0.499984740745262"/>
      </font>
    </dxf>
    <dxf>
      <font>
        <color rgb="FFC00000"/>
      </font>
    </dxf>
    <dxf>
      <font>
        <color rgb="FFC00000"/>
      </font>
    </dxf>
    <dxf>
      <font>
        <color theme="6" tint="-0.499984740745262"/>
      </font>
    </dxf>
    <dxf>
      <font>
        <color rgb="FFC00000"/>
      </font>
    </dxf>
    <dxf>
      <font>
        <color rgb="FFC00000"/>
      </font>
    </dxf>
    <dxf>
      <font>
        <color theme="6" tint="-0.499984740745262"/>
      </font>
    </dxf>
    <dxf>
      <font>
        <color rgb="FFC00000"/>
      </font>
    </dxf>
    <dxf>
      <font>
        <color rgb="FFC00000"/>
      </font>
    </dxf>
    <dxf>
      <font>
        <color theme="6" tint="-0.499984740745262"/>
      </font>
    </dxf>
    <dxf>
      <font>
        <color rgb="FFC00000"/>
      </font>
    </dxf>
    <dxf>
      <font>
        <color rgb="FFC00000"/>
      </font>
    </dxf>
    <dxf>
      <font>
        <color theme="6" tint="-0.499984740745262"/>
      </font>
    </dxf>
    <dxf>
      <font>
        <color rgb="FFC00000"/>
      </font>
    </dxf>
    <dxf>
      <font>
        <color rgb="FFC00000"/>
      </font>
    </dxf>
    <dxf>
      <font>
        <color theme="6" tint="-0.499984740745262"/>
      </font>
    </dxf>
    <dxf>
      <font>
        <color rgb="FFC00000"/>
      </font>
    </dxf>
    <dxf>
      <font>
        <color rgb="FFC00000"/>
      </font>
    </dxf>
    <dxf>
      <font>
        <color theme="6" tint="-0.499984740745262"/>
      </font>
    </dxf>
    <dxf>
      <font>
        <color rgb="FFC00000"/>
      </font>
    </dxf>
    <dxf>
      <font>
        <color rgb="FFC00000"/>
      </font>
    </dxf>
    <dxf>
      <font>
        <color theme="6" tint="-0.499984740745262"/>
      </font>
    </dxf>
    <dxf>
      <font>
        <color rgb="FFC00000"/>
      </font>
    </dxf>
    <dxf>
      <font>
        <color rgb="FFC00000"/>
      </font>
    </dxf>
    <dxf>
      <font>
        <color theme="6" tint="-0.499984740745262"/>
      </font>
    </dxf>
    <dxf>
      <font>
        <color rgb="FFC00000"/>
      </font>
    </dxf>
    <dxf>
      <font>
        <color rgb="FFC00000"/>
      </font>
    </dxf>
    <dxf>
      <font>
        <color theme="6" tint="-0.499984740745262"/>
      </font>
    </dxf>
    <dxf>
      <font>
        <color rgb="FFC00000"/>
      </font>
    </dxf>
    <dxf>
      <font>
        <color rgb="FFC00000"/>
      </font>
    </dxf>
    <dxf>
      <font>
        <color theme="6" tint="-0.499984740745262"/>
      </font>
    </dxf>
    <dxf>
      <font>
        <color rgb="FFC00000"/>
      </font>
    </dxf>
    <dxf>
      <font>
        <color rgb="FFC00000"/>
      </font>
    </dxf>
    <dxf>
      <font>
        <color theme="6" tint="-0.499984740745262"/>
      </font>
    </dxf>
    <dxf>
      <font>
        <color rgb="FFC00000"/>
      </font>
    </dxf>
    <dxf>
      <font>
        <color rgb="FFC00000"/>
      </font>
    </dxf>
    <dxf>
      <font>
        <color theme="6" tint="-0.499984740745262"/>
      </font>
    </dxf>
    <dxf>
      <font>
        <color rgb="FFC00000"/>
      </font>
    </dxf>
    <dxf>
      <font>
        <color rgb="FFC00000"/>
      </font>
    </dxf>
    <dxf>
      <font>
        <color theme="6" tint="-0.499984740745262"/>
      </font>
    </dxf>
    <dxf>
      <font>
        <color rgb="FFC00000"/>
      </font>
    </dxf>
    <dxf>
      <font>
        <color rgb="FFC00000"/>
      </font>
    </dxf>
    <dxf>
      <font>
        <color theme="6" tint="-0.499984740745262"/>
      </font>
    </dxf>
    <dxf>
      <font>
        <color rgb="FFC00000"/>
      </font>
    </dxf>
    <dxf>
      <font>
        <color rgb="FFC00000"/>
      </font>
    </dxf>
    <dxf>
      <font>
        <color theme="6" tint="-0.499984740745262"/>
      </font>
    </dxf>
    <dxf>
      <font>
        <color rgb="FFC00000"/>
      </font>
    </dxf>
    <dxf>
      <font>
        <color rgb="FFC00000"/>
      </font>
    </dxf>
    <dxf>
      <font>
        <color theme="6" tint="-0.499984740745262"/>
      </font>
    </dxf>
    <dxf>
      <font>
        <color rgb="FFC00000"/>
      </font>
    </dxf>
    <dxf>
      <font>
        <color rgb="FFC00000"/>
      </font>
    </dxf>
    <dxf>
      <font>
        <color theme="6" tint="-0.499984740745262"/>
      </font>
    </dxf>
    <dxf>
      <font>
        <color rgb="FFC00000"/>
      </font>
    </dxf>
    <dxf>
      <font>
        <color rgb="FFC00000"/>
      </font>
    </dxf>
    <dxf>
      <font>
        <color theme="6" tint="-0.499984740745262"/>
      </font>
    </dxf>
    <dxf>
      <font>
        <color rgb="FFC00000"/>
      </font>
    </dxf>
    <dxf>
      <font>
        <color rgb="FFC00000"/>
      </font>
    </dxf>
    <dxf>
      <font>
        <color theme="6" tint="-0.499984740745262"/>
      </font>
    </dxf>
    <dxf>
      <font>
        <color rgb="FFC00000"/>
      </font>
    </dxf>
    <dxf>
      <font>
        <color rgb="FFC00000"/>
      </font>
    </dxf>
    <dxf>
      <font>
        <color theme="6" tint="-0.499984740745262"/>
      </font>
    </dxf>
    <dxf>
      <font>
        <color rgb="FFC00000"/>
      </font>
    </dxf>
    <dxf>
      <font>
        <color rgb="FFC00000"/>
      </font>
    </dxf>
    <dxf>
      <font>
        <color theme="6" tint="-0.499984740745262"/>
      </font>
    </dxf>
    <dxf>
      <font>
        <color rgb="FFC00000"/>
      </font>
    </dxf>
    <dxf>
      <font>
        <color rgb="FFC00000"/>
      </font>
    </dxf>
    <dxf>
      <font>
        <color theme="6" tint="-0.499984740745262"/>
      </font>
    </dxf>
    <dxf>
      <font>
        <color rgb="FFC00000"/>
      </font>
    </dxf>
    <dxf>
      <font>
        <color rgb="FFC00000"/>
      </font>
    </dxf>
    <dxf>
      <font>
        <color theme="6" tint="-0.499984740745262"/>
      </font>
    </dxf>
    <dxf>
      <font>
        <color rgb="FFC00000"/>
      </font>
    </dxf>
    <dxf>
      <font>
        <color rgb="FFC00000"/>
      </font>
    </dxf>
    <dxf>
      <font>
        <color theme="6" tint="-0.499984740745262"/>
      </font>
    </dxf>
    <dxf>
      <font>
        <color rgb="FFC00000"/>
      </font>
    </dxf>
    <dxf>
      <font>
        <color rgb="FFC00000"/>
      </font>
    </dxf>
    <dxf>
      <font>
        <color theme="6" tint="-0.499984740745262"/>
      </font>
    </dxf>
    <dxf>
      <font>
        <color rgb="FFC00000"/>
      </font>
    </dxf>
    <dxf>
      <font>
        <color rgb="FFC00000"/>
      </font>
    </dxf>
    <dxf>
      <font>
        <color theme="6" tint="-0.499984740745262"/>
      </font>
    </dxf>
    <dxf>
      <font>
        <color rgb="FFC00000"/>
      </font>
    </dxf>
    <dxf>
      <font>
        <color rgb="FFC00000"/>
      </font>
    </dxf>
    <dxf>
      <font>
        <color theme="6" tint="-0.499984740745262"/>
      </font>
    </dxf>
    <dxf>
      <font>
        <color rgb="FFC00000"/>
      </font>
    </dxf>
    <dxf>
      <font>
        <color rgb="FFC00000"/>
      </font>
    </dxf>
    <dxf>
      <font>
        <color theme="6" tint="-0.499984740745262"/>
      </font>
    </dxf>
    <dxf>
      <font>
        <color rgb="FFC00000"/>
      </font>
    </dxf>
    <dxf>
      <font>
        <color rgb="FFC00000"/>
      </font>
    </dxf>
    <dxf>
      <font>
        <color theme="6" tint="-0.499984740745262"/>
      </font>
    </dxf>
    <dxf>
      <font>
        <color rgb="FFC00000"/>
      </font>
    </dxf>
    <dxf>
      <font>
        <color rgb="FFC00000"/>
      </font>
    </dxf>
    <dxf>
      <font>
        <color theme="6" tint="-0.499984740745262"/>
      </font>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7"/>
  <sheetViews>
    <sheetView workbookViewId="0"/>
  </sheetViews>
  <sheetFormatPr defaultRowHeight="15" x14ac:dyDescent="0.25"/>
  <sheetData>
    <row r="1" spans="1:1" x14ac:dyDescent="0.25">
      <c r="A1" t="s">
        <v>61</v>
      </c>
    </row>
    <row r="2" spans="1:1" x14ac:dyDescent="0.25">
      <c r="A2" t="s">
        <v>62</v>
      </c>
    </row>
    <row r="4" spans="1:1" x14ac:dyDescent="0.25">
      <c r="A4" t="s">
        <v>63</v>
      </c>
    </row>
    <row r="6" spans="1:1" x14ac:dyDescent="0.25">
      <c r="A6" t="s">
        <v>64</v>
      </c>
    </row>
    <row r="8" spans="1:1" x14ac:dyDescent="0.25">
      <c r="A8" t="s">
        <v>65</v>
      </c>
    </row>
    <row r="12" spans="1:1" ht="18.75" x14ac:dyDescent="0.25">
      <c r="A12" s="6" t="s">
        <v>27</v>
      </c>
    </row>
    <row r="13" spans="1:1" x14ac:dyDescent="0.25">
      <c r="A13" s="5"/>
    </row>
    <row r="14" spans="1:1" x14ac:dyDescent="0.25">
      <c r="A14" s="5" t="s">
        <v>30</v>
      </c>
    </row>
    <row r="15" spans="1:1" x14ac:dyDescent="0.25">
      <c r="A15" s="5" t="s">
        <v>28</v>
      </c>
    </row>
    <row r="16" spans="1:1" x14ac:dyDescent="0.25">
      <c r="A16" s="5" t="s">
        <v>31</v>
      </c>
    </row>
    <row r="17" spans="1:1" x14ac:dyDescent="0.25">
      <c r="A17" s="5" t="s">
        <v>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67"/>
  <sheetViews>
    <sheetView tabSelected="1" workbookViewId="0">
      <selection sqref="A1:H1"/>
    </sheetView>
  </sheetViews>
  <sheetFormatPr defaultRowHeight="15" x14ac:dyDescent="0.25"/>
  <cols>
    <col min="1" max="1" width="17" style="7" customWidth="1"/>
    <col min="2" max="2" width="32.140625" style="7" bestFit="1" customWidth="1"/>
    <col min="3" max="3" width="18.28515625" style="7" bestFit="1" customWidth="1"/>
    <col min="4" max="4" width="15" style="7" customWidth="1"/>
    <col min="5" max="5" width="14.140625" style="7" bestFit="1" customWidth="1"/>
    <col min="6" max="6" width="14.140625" style="7" customWidth="1"/>
    <col min="7" max="7" width="14.140625" style="7" bestFit="1" customWidth="1"/>
    <col min="8" max="8" width="12.7109375" style="7" bestFit="1" customWidth="1"/>
    <col min="9" max="9" width="12" style="7" bestFit="1" customWidth="1"/>
    <col min="10" max="10" width="29.140625" bestFit="1" customWidth="1"/>
    <col min="11" max="11" width="17.5703125" bestFit="1" customWidth="1"/>
    <col min="12" max="12" width="4" bestFit="1" customWidth="1"/>
    <col min="13" max="13" width="15.5703125" customWidth="1"/>
    <col min="14" max="14" width="13" customWidth="1"/>
    <col min="15" max="15" width="13.28515625" customWidth="1"/>
    <col min="17" max="17" width="13.28515625" style="7" customWidth="1"/>
    <col min="18" max="16384" width="9.140625" style="7"/>
  </cols>
  <sheetData>
    <row r="1" spans="1:17" ht="18" customHeight="1" x14ac:dyDescent="0.25">
      <c r="A1" s="43" t="s">
        <v>66</v>
      </c>
      <c r="B1" s="44"/>
      <c r="C1" s="44"/>
      <c r="D1" s="44"/>
      <c r="E1" s="44"/>
      <c r="F1" s="44"/>
      <c r="G1" s="44"/>
      <c r="H1" s="44"/>
      <c r="I1" s="37"/>
      <c r="Q1" s="26" t="s">
        <v>69</v>
      </c>
    </row>
    <row r="2" spans="1:17" ht="18" customHeight="1" x14ac:dyDescent="0.25">
      <c r="A2" s="45" t="s">
        <v>60</v>
      </c>
      <c r="B2" s="45" t="s">
        <v>59</v>
      </c>
      <c r="C2" s="41" t="s">
        <v>58</v>
      </c>
      <c r="D2" s="35"/>
      <c r="E2" s="35"/>
      <c r="F2" s="39"/>
      <c r="G2" s="41" t="s">
        <v>57</v>
      </c>
      <c r="I2" s="35"/>
      <c r="J2" s="46" t="s">
        <v>68</v>
      </c>
      <c r="K2" s="46"/>
      <c r="L2" s="46"/>
      <c r="M2" s="46"/>
      <c r="N2" s="46"/>
      <c r="O2" s="46"/>
      <c r="Q2" s="26"/>
    </row>
    <row r="3" spans="1:17" ht="18" x14ac:dyDescent="0.25">
      <c r="A3" s="45"/>
      <c r="B3" s="45"/>
      <c r="C3" s="41"/>
      <c r="D3" s="35"/>
      <c r="E3" s="35"/>
      <c r="F3" s="39"/>
      <c r="G3" s="41"/>
      <c r="I3" s="35"/>
      <c r="J3" s="46" t="s">
        <v>67</v>
      </c>
      <c r="K3" s="46"/>
      <c r="L3" s="46"/>
      <c r="M3" s="46"/>
      <c r="N3" s="46"/>
      <c r="O3" s="46"/>
      <c r="Q3" s="26" t="s">
        <v>70</v>
      </c>
    </row>
    <row r="4" spans="1:17" ht="15.75" thickBot="1" x14ac:dyDescent="0.3">
      <c r="A4" s="36" t="s">
        <v>26</v>
      </c>
      <c r="B4" s="36" t="s">
        <v>16</v>
      </c>
      <c r="C4" s="42"/>
      <c r="D4" s="12" t="s">
        <v>25</v>
      </c>
      <c r="E4" s="12"/>
      <c r="F4" s="10"/>
      <c r="G4" s="42"/>
      <c r="H4" s="12" t="s">
        <v>25</v>
      </c>
      <c r="I4" s="35"/>
      <c r="J4" s="1"/>
      <c r="K4" s="1"/>
      <c r="L4" s="1" t="s">
        <v>0</v>
      </c>
      <c r="M4" s="1" t="s">
        <v>15</v>
      </c>
      <c r="N4" s="1" t="s">
        <v>16</v>
      </c>
      <c r="O4" s="1" t="s">
        <v>17</v>
      </c>
      <c r="Q4" s="26"/>
    </row>
    <row r="5" spans="1:17" x14ac:dyDescent="0.25">
      <c r="A5" s="14"/>
      <c r="B5" s="14"/>
      <c r="C5" s="9" t="str">
        <f>IF(B5=0, "N/A", $A$5/$B$5)</f>
        <v>N/A</v>
      </c>
      <c r="D5" s="2" t="str">
        <f>IF(C5="N/A",C5,IF(AND(C5&gt;0.99,C5&lt;1),"At midpoint",IF(C5&lt;0.99,"Below midpoint","Above midpoint")))</f>
        <v>N/A</v>
      </c>
      <c r="E5" s="8" t="s">
        <v>1</v>
      </c>
      <c r="G5" s="9">
        <f>IF(N5="*", "N/A", $A$5/N5)</f>
        <v>0</v>
      </c>
      <c r="H5" s="2" t="str">
        <f>IF(G5="N/A",G5,IF(AND(G5&gt;0.99,G5&lt;1),"At midpoint",IF(G5&lt;0.99,"Below midpoint","Above midpoint")))</f>
        <v>Below midpoint</v>
      </c>
      <c r="I5" s="38"/>
      <c r="J5" s="15" t="s">
        <v>1</v>
      </c>
      <c r="K5" s="15"/>
      <c r="L5" s="16" t="s">
        <v>32</v>
      </c>
      <c r="M5" s="16" t="s">
        <v>33</v>
      </c>
      <c r="N5" s="16" t="s">
        <v>34</v>
      </c>
      <c r="O5" s="16" t="s">
        <v>35</v>
      </c>
      <c r="Q5" s="27" t="s">
        <v>4</v>
      </c>
    </row>
    <row r="6" spans="1:17" x14ac:dyDescent="0.25">
      <c r="C6" s="9"/>
      <c r="D6" s="2"/>
      <c r="E6" s="40" t="s">
        <v>2</v>
      </c>
      <c r="F6" s="15" t="s">
        <v>5</v>
      </c>
      <c r="G6" s="9" t="str">
        <f t="shared" ref="G6:G12" si="0">IF(N6="*", "N/A", $A$5/N6)</f>
        <v>N/A</v>
      </c>
      <c r="H6" s="2" t="str">
        <f t="shared" ref="H6:H12" si="1">IF(G6="N/A",G6,IF(AND(G6&gt;0.99,G6&lt;1),"At midpoint",IF(G6&lt;0.99,"Below midpoint","Above midpoint")))</f>
        <v>N/A</v>
      </c>
      <c r="I6" s="20"/>
      <c r="J6" s="15" t="s">
        <v>2</v>
      </c>
      <c r="K6" s="15" t="s">
        <v>5</v>
      </c>
      <c r="L6" s="16" t="s">
        <v>11</v>
      </c>
      <c r="M6" s="16" t="s">
        <v>3</v>
      </c>
      <c r="N6" s="16" t="s">
        <v>3</v>
      </c>
      <c r="O6" s="16" t="s">
        <v>3</v>
      </c>
      <c r="Q6" s="27"/>
    </row>
    <row r="7" spans="1:17" x14ac:dyDescent="0.25">
      <c r="C7" s="9"/>
      <c r="D7" s="2"/>
      <c r="E7" s="40"/>
      <c r="F7" s="15" t="s">
        <v>6</v>
      </c>
      <c r="G7" s="9">
        <f t="shared" si="0"/>
        <v>0</v>
      </c>
      <c r="H7" s="2" t="str">
        <f t="shared" si="1"/>
        <v>Below midpoint</v>
      </c>
      <c r="I7" s="20"/>
      <c r="K7" s="15" t="s">
        <v>6</v>
      </c>
      <c r="L7" s="16" t="s">
        <v>13</v>
      </c>
      <c r="M7" s="16" t="s">
        <v>36</v>
      </c>
      <c r="N7" s="16" t="s">
        <v>37</v>
      </c>
      <c r="O7" s="16" t="s">
        <v>38</v>
      </c>
      <c r="Q7" s="26" t="s">
        <v>71</v>
      </c>
    </row>
    <row r="8" spans="1:17" x14ac:dyDescent="0.25">
      <c r="C8" s="9"/>
      <c r="D8" s="2"/>
      <c r="F8" s="15" t="s">
        <v>7</v>
      </c>
      <c r="G8" s="9">
        <f t="shared" si="0"/>
        <v>0</v>
      </c>
      <c r="H8" s="2" t="str">
        <f t="shared" si="1"/>
        <v>Below midpoint</v>
      </c>
      <c r="I8" s="20"/>
      <c r="K8" s="15" t="s">
        <v>7</v>
      </c>
      <c r="L8" s="16" t="s">
        <v>21</v>
      </c>
      <c r="M8" s="16" t="s">
        <v>39</v>
      </c>
      <c r="N8" s="16" t="s">
        <v>40</v>
      </c>
      <c r="O8" s="16" t="s">
        <v>41</v>
      </c>
      <c r="Q8" s="26"/>
    </row>
    <row r="9" spans="1:17" x14ac:dyDescent="0.25">
      <c r="C9" s="9"/>
      <c r="D9" s="2"/>
      <c r="F9" s="15" t="s">
        <v>9</v>
      </c>
      <c r="G9" s="9">
        <f t="shared" si="0"/>
        <v>0</v>
      </c>
      <c r="H9" s="2" t="str">
        <f t="shared" si="1"/>
        <v>Below midpoint</v>
      </c>
      <c r="I9" s="20"/>
      <c r="K9" s="15" t="s">
        <v>9</v>
      </c>
      <c r="L9" s="16" t="s">
        <v>24</v>
      </c>
      <c r="M9" s="16" t="s">
        <v>42</v>
      </c>
      <c r="N9" s="16" t="s">
        <v>43</v>
      </c>
      <c r="O9" s="16" t="s">
        <v>44</v>
      </c>
      <c r="Q9" s="27" t="s">
        <v>8</v>
      </c>
    </row>
    <row r="10" spans="1:17" x14ac:dyDescent="0.25">
      <c r="C10" s="9"/>
      <c r="D10" s="2"/>
      <c r="F10" s="15" t="s">
        <v>10</v>
      </c>
      <c r="G10" s="9">
        <f t="shared" si="0"/>
        <v>0</v>
      </c>
      <c r="H10" s="2" t="str">
        <f t="shared" si="1"/>
        <v>Below midpoint</v>
      </c>
      <c r="I10" s="20"/>
      <c r="K10" s="15" t="s">
        <v>10</v>
      </c>
      <c r="L10" s="16" t="s">
        <v>23</v>
      </c>
      <c r="M10" s="16" t="s">
        <v>45</v>
      </c>
      <c r="N10" s="16" t="s">
        <v>46</v>
      </c>
      <c r="O10" s="16" t="s">
        <v>47</v>
      </c>
      <c r="Q10" s="22"/>
    </row>
    <row r="11" spans="1:17" x14ac:dyDescent="0.25">
      <c r="C11" s="9"/>
      <c r="D11" s="2"/>
      <c r="F11" s="15" t="s">
        <v>19</v>
      </c>
      <c r="G11" s="9">
        <f t="shared" si="0"/>
        <v>0</v>
      </c>
      <c r="H11" s="2" t="str">
        <f t="shared" si="1"/>
        <v>Below midpoint</v>
      </c>
      <c r="I11" s="20"/>
      <c r="K11" s="15" t="s">
        <v>19</v>
      </c>
      <c r="L11" s="16" t="s">
        <v>22</v>
      </c>
      <c r="M11" s="16" t="s">
        <v>48</v>
      </c>
      <c r="N11" s="16" t="s">
        <v>49</v>
      </c>
      <c r="O11" s="16" t="s">
        <v>50</v>
      </c>
      <c r="Q11" s="23" t="s">
        <v>72</v>
      </c>
    </row>
    <row r="12" spans="1:17" ht="15.75" thickBot="1" x14ac:dyDescent="0.3">
      <c r="A12" s="3"/>
      <c r="B12" s="3"/>
      <c r="C12" s="11"/>
      <c r="D12" s="3"/>
      <c r="E12" s="10"/>
      <c r="F12" s="18" t="s">
        <v>20</v>
      </c>
      <c r="G12" s="11">
        <f t="shared" si="0"/>
        <v>0</v>
      </c>
      <c r="H12" s="3" t="str">
        <f t="shared" si="1"/>
        <v>Below midpoint</v>
      </c>
      <c r="I12" s="20"/>
      <c r="K12" s="15" t="s">
        <v>20</v>
      </c>
      <c r="L12" s="16" t="s">
        <v>12</v>
      </c>
      <c r="M12" s="16" t="s">
        <v>51</v>
      </c>
      <c r="N12" s="16" t="s">
        <v>52</v>
      </c>
      <c r="O12" s="16" t="s">
        <v>53</v>
      </c>
      <c r="Q12" s="23"/>
    </row>
    <row r="13" spans="1:17" x14ac:dyDescent="0.25">
      <c r="A13" s="8" t="s">
        <v>56</v>
      </c>
      <c r="F13" s="19"/>
      <c r="G13" s="13"/>
      <c r="H13" s="4"/>
      <c r="I13" s="20"/>
      <c r="J13" s="47" t="s">
        <v>14</v>
      </c>
      <c r="K13" s="47"/>
      <c r="L13" s="47"/>
      <c r="M13" s="47"/>
      <c r="N13" s="47"/>
      <c r="O13" s="47"/>
      <c r="Q13" s="23"/>
    </row>
    <row r="14" spans="1:17" x14ac:dyDescent="0.25">
      <c r="A14" s="7" t="s">
        <v>55</v>
      </c>
      <c r="F14" s="34"/>
      <c r="G14" s="13"/>
      <c r="H14" s="4"/>
      <c r="I14" s="20"/>
      <c r="J14" s="47" t="s">
        <v>18</v>
      </c>
      <c r="K14" s="47"/>
      <c r="L14" s="47"/>
      <c r="M14" s="47"/>
      <c r="N14" s="47"/>
      <c r="O14" s="47"/>
      <c r="Q14" s="24"/>
    </row>
    <row r="15" spans="1:17" x14ac:dyDescent="0.25">
      <c r="A15" s="8" t="s">
        <v>54</v>
      </c>
      <c r="B15" s="20"/>
      <c r="C15" s="13"/>
      <c r="D15" s="4"/>
      <c r="E15" s="4"/>
      <c r="F15" s="17"/>
      <c r="G15" s="13"/>
      <c r="H15" s="4"/>
      <c r="I15" s="4"/>
      <c r="J15" s="29"/>
      <c r="K15" s="30"/>
      <c r="L15" s="32"/>
      <c r="M15" s="33"/>
      <c r="N15" s="33"/>
      <c r="O15" s="33"/>
      <c r="Q15" s="23"/>
    </row>
    <row r="16" spans="1:17" x14ac:dyDescent="0.25">
      <c r="I16" s="4"/>
      <c r="J16" s="29"/>
      <c r="K16" s="30"/>
      <c r="L16" s="32"/>
      <c r="M16" s="33"/>
      <c r="N16" s="33"/>
      <c r="O16" s="33"/>
      <c r="Q16" s="24"/>
    </row>
    <row r="17" spans="1:17" x14ac:dyDescent="0.25">
      <c r="A17" s="20"/>
      <c r="B17" s="25"/>
      <c r="C17" s="34"/>
      <c r="D17" s="13"/>
      <c r="E17" s="4"/>
      <c r="F17" s="13"/>
      <c r="G17" s="4"/>
      <c r="H17" s="13"/>
      <c r="I17" s="4"/>
      <c r="J17" s="29"/>
      <c r="K17" s="30"/>
      <c r="L17" s="32"/>
      <c r="M17" s="33"/>
      <c r="N17" s="33"/>
      <c r="O17" s="33"/>
      <c r="Q17" s="28"/>
    </row>
    <row r="18" spans="1:17" x14ac:dyDescent="0.25">
      <c r="A18" s="20"/>
      <c r="B18" s="25"/>
      <c r="C18" s="34"/>
      <c r="D18" s="13"/>
      <c r="E18" s="4"/>
      <c r="F18" s="13"/>
      <c r="G18" s="4"/>
      <c r="H18" s="13"/>
      <c r="I18" s="4"/>
      <c r="J18" s="29"/>
      <c r="K18" s="30"/>
      <c r="L18" s="32"/>
      <c r="M18" s="33"/>
      <c r="N18" s="33"/>
      <c r="O18" s="33"/>
      <c r="Q18" s="23"/>
    </row>
    <row r="19" spans="1:17" x14ac:dyDescent="0.25">
      <c r="A19" s="20"/>
      <c r="B19" s="25"/>
      <c r="C19" s="34"/>
      <c r="D19" s="13"/>
      <c r="E19" s="4"/>
      <c r="F19" s="13"/>
      <c r="G19" s="4"/>
      <c r="H19" s="13"/>
      <c r="I19" s="4"/>
      <c r="J19" s="29"/>
      <c r="K19" s="30"/>
      <c r="L19" s="32"/>
      <c r="M19" s="33"/>
      <c r="N19" s="33"/>
      <c r="O19" s="33"/>
      <c r="Q19" s="23"/>
    </row>
    <row r="20" spans="1:17" x14ac:dyDescent="0.25">
      <c r="A20" s="20"/>
      <c r="B20" s="25"/>
      <c r="C20" s="34"/>
      <c r="D20" s="13"/>
      <c r="E20" s="4"/>
      <c r="F20" s="13"/>
      <c r="G20" s="4"/>
      <c r="H20" s="13"/>
      <c r="I20" s="4"/>
      <c r="J20" s="29"/>
      <c r="K20" s="30"/>
      <c r="L20" s="32"/>
      <c r="M20" s="33"/>
      <c r="N20" s="33"/>
      <c r="O20" s="33"/>
      <c r="Q20" s="23"/>
    </row>
    <row r="21" spans="1:17" x14ac:dyDescent="0.25">
      <c r="A21" s="20"/>
      <c r="B21" s="25"/>
      <c r="C21" s="34"/>
      <c r="D21" s="13"/>
      <c r="E21" s="4"/>
      <c r="F21" s="13"/>
      <c r="G21" s="4"/>
      <c r="H21" s="13"/>
      <c r="I21" s="4"/>
      <c r="J21" s="29"/>
      <c r="K21" s="30"/>
      <c r="L21" s="32"/>
      <c r="M21" s="33"/>
      <c r="N21" s="33"/>
      <c r="O21" s="33"/>
      <c r="Q21" s="23"/>
    </row>
    <row r="22" spans="1:17" x14ac:dyDescent="0.25">
      <c r="A22" s="20"/>
      <c r="B22" s="34"/>
      <c r="C22" s="34"/>
      <c r="D22" s="13"/>
      <c r="E22" s="4"/>
      <c r="F22" s="13"/>
      <c r="G22" s="4"/>
      <c r="H22" s="13"/>
      <c r="I22" s="4"/>
      <c r="J22" s="30"/>
      <c r="K22" s="30"/>
      <c r="L22" s="32"/>
      <c r="M22" s="31"/>
      <c r="N22" s="31"/>
      <c r="O22" s="31"/>
      <c r="Q22" s="23"/>
    </row>
    <row r="23" spans="1:17" x14ac:dyDescent="0.25">
      <c r="A23" s="20"/>
      <c r="B23" s="25"/>
      <c r="C23" s="34"/>
      <c r="D23" s="13"/>
      <c r="E23" s="4"/>
      <c r="F23" s="13"/>
      <c r="G23" s="4"/>
      <c r="H23" s="13"/>
      <c r="I23" s="4"/>
      <c r="J23" s="29"/>
      <c r="K23" s="30"/>
      <c r="L23" s="32"/>
      <c r="M23" s="33"/>
      <c r="N23" s="33"/>
      <c r="O23" s="33"/>
      <c r="Q23" s="23"/>
    </row>
    <row r="24" spans="1:17" x14ac:dyDescent="0.25">
      <c r="A24" s="20"/>
      <c r="B24" s="25"/>
      <c r="C24" s="34"/>
      <c r="D24" s="13"/>
      <c r="E24" s="4"/>
      <c r="F24" s="13"/>
      <c r="G24" s="4"/>
      <c r="H24" s="13"/>
      <c r="I24" s="4"/>
      <c r="J24" s="29"/>
      <c r="K24" s="30"/>
      <c r="L24" s="32"/>
      <c r="M24" s="33"/>
      <c r="N24" s="33"/>
      <c r="O24" s="33"/>
      <c r="Q24" s="49"/>
    </row>
    <row r="25" spans="1:17" x14ac:dyDescent="0.25">
      <c r="A25" s="20"/>
      <c r="B25" s="25"/>
      <c r="C25" s="34"/>
      <c r="D25" s="13"/>
      <c r="E25" s="4"/>
      <c r="F25" s="13"/>
      <c r="G25" s="4"/>
      <c r="H25" s="13"/>
      <c r="I25" s="4"/>
      <c r="J25" s="29"/>
      <c r="K25" s="30"/>
      <c r="L25" s="32"/>
      <c r="M25" s="33"/>
      <c r="N25" s="33"/>
      <c r="O25" s="33"/>
      <c r="Q25" s="23"/>
    </row>
    <row r="26" spans="1:17" x14ac:dyDescent="0.25">
      <c r="A26" s="20"/>
      <c r="B26" s="34"/>
      <c r="C26" s="34"/>
      <c r="D26" s="13"/>
      <c r="E26" s="4"/>
      <c r="F26" s="13"/>
      <c r="G26" s="4"/>
      <c r="H26" s="13"/>
      <c r="I26" s="4"/>
      <c r="J26" s="30"/>
      <c r="K26" s="30"/>
      <c r="L26" s="32"/>
      <c r="M26" s="31"/>
      <c r="N26" s="31"/>
      <c r="O26" s="31"/>
      <c r="Q26" s="23"/>
    </row>
    <row r="27" spans="1:17" x14ac:dyDescent="0.25">
      <c r="A27" s="20"/>
      <c r="B27" s="25"/>
      <c r="C27" s="34"/>
      <c r="D27" s="13"/>
      <c r="E27" s="4"/>
      <c r="F27" s="13"/>
      <c r="G27" s="4"/>
      <c r="H27" s="13"/>
      <c r="I27" s="4"/>
      <c r="J27" s="29"/>
      <c r="K27" s="30"/>
      <c r="L27" s="32"/>
      <c r="M27" s="31"/>
      <c r="N27" s="31"/>
      <c r="O27" s="31"/>
      <c r="Q27" s="23"/>
    </row>
    <row r="28" spans="1:17" x14ac:dyDescent="0.25">
      <c r="A28" s="20"/>
      <c r="B28" s="25"/>
      <c r="C28" s="34"/>
      <c r="D28" s="13"/>
      <c r="E28" s="4"/>
      <c r="F28" s="13"/>
      <c r="G28" s="4"/>
      <c r="H28" s="13"/>
      <c r="I28" s="4"/>
      <c r="J28" s="29"/>
      <c r="K28" s="30"/>
      <c r="L28" s="32"/>
      <c r="M28" s="33"/>
      <c r="N28" s="33"/>
      <c r="O28" s="33"/>
      <c r="Q28" s="23"/>
    </row>
    <row r="29" spans="1:17" x14ac:dyDescent="0.25">
      <c r="A29" s="20"/>
      <c r="B29" s="25"/>
      <c r="C29" s="34"/>
      <c r="D29" s="13"/>
      <c r="E29" s="4"/>
      <c r="F29" s="13"/>
      <c r="G29" s="4"/>
      <c r="H29" s="13"/>
      <c r="I29" s="4"/>
      <c r="J29" s="29"/>
      <c r="K29" s="30"/>
      <c r="L29" s="32"/>
      <c r="M29" s="33"/>
      <c r="N29" s="33"/>
      <c r="O29" s="33"/>
      <c r="Q29" s="23"/>
    </row>
    <row r="30" spans="1:17" x14ac:dyDescent="0.25">
      <c r="A30" s="20"/>
      <c r="B30" s="34"/>
      <c r="C30" s="34"/>
      <c r="D30" s="13"/>
      <c r="E30" s="4"/>
      <c r="F30" s="13"/>
      <c r="G30" s="4"/>
      <c r="H30" s="13"/>
      <c r="I30" s="4"/>
      <c r="J30" s="30"/>
      <c r="K30" s="30"/>
      <c r="L30" s="32"/>
      <c r="M30" s="33"/>
      <c r="N30" s="31"/>
      <c r="O30" s="31"/>
      <c r="Q30" s="24"/>
    </row>
    <row r="31" spans="1:17" x14ac:dyDescent="0.25">
      <c r="A31" s="20"/>
      <c r="B31" s="25"/>
      <c r="C31" s="34"/>
      <c r="D31" s="13"/>
      <c r="E31" s="4"/>
      <c r="F31" s="13"/>
      <c r="G31" s="4"/>
      <c r="H31" s="13"/>
      <c r="I31" s="4"/>
      <c r="J31" s="29"/>
      <c r="K31" s="30"/>
      <c r="L31" s="32"/>
      <c r="M31" s="33"/>
      <c r="N31" s="33"/>
      <c r="O31" s="33"/>
      <c r="Q31" s="23"/>
    </row>
    <row r="32" spans="1:17" ht="13.5" x14ac:dyDescent="0.2">
      <c r="J32" s="7"/>
      <c r="K32" s="7"/>
      <c r="L32" s="7"/>
      <c r="M32" s="7"/>
      <c r="N32" s="7"/>
      <c r="O32" s="7"/>
      <c r="P32" s="7"/>
      <c r="Q32" s="23"/>
    </row>
    <row r="33" spans="3:17" ht="13.5" x14ac:dyDescent="0.2">
      <c r="J33" s="7"/>
      <c r="K33" s="7"/>
      <c r="L33" s="7"/>
      <c r="M33" s="7"/>
      <c r="N33" s="7"/>
      <c r="O33" s="7"/>
      <c r="P33" s="7"/>
      <c r="Q33" s="28"/>
    </row>
    <row r="34" spans="3:17" ht="18" customHeight="1" x14ac:dyDescent="0.2">
      <c r="J34" s="7"/>
      <c r="K34" s="7"/>
      <c r="L34" s="7"/>
      <c r="M34" s="7"/>
      <c r="N34" s="7"/>
      <c r="O34" s="7"/>
      <c r="P34" s="7"/>
      <c r="Q34" s="23"/>
    </row>
    <row r="35" spans="3:17" ht="13.5" x14ac:dyDescent="0.2">
      <c r="J35" s="7"/>
      <c r="K35" s="7"/>
      <c r="L35" s="7"/>
      <c r="M35" s="7"/>
      <c r="N35" s="7"/>
      <c r="O35" s="7"/>
      <c r="P35" s="7"/>
      <c r="Q35" s="28"/>
    </row>
    <row r="36" spans="3:17" ht="12.75" x14ac:dyDescent="0.2">
      <c r="J36" s="7"/>
      <c r="K36" s="7"/>
      <c r="L36" s="7"/>
      <c r="M36" s="7"/>
      <c r="N36" s="7"/>
      <c r="O36" s="7"/>
      <c r="P36" s="7"/>
      <c r="Q36" s="24"/>
    </row>
    <row r="37" spans="3:17" ht="13.5" x14ac:dyDescent="0.2">
      <c r="J37" s="7"/>
      <c r="K37" s="7"/>
      <c r="L37" s="7"/>
      <c r="M37" s="7"/>
      <c r="N37" s="7"/>
      <c r="O37" s="7"/>
      <c r="P37" s="7"/>
      <c r="Q37" s="28"/>
    </row>
    <row r="38" spans="3:17" ht="12.75" x14ac:dyDescent="0.2">
      <c r="J38" s="7"/>
      <c r="K38" s="7"/>
      <c r="L38" s="7"/>
      <c r="M38" s="7"/>
      <c r="N38" s="7"/>
      <c r="O38" s="7"/>
      <c r="P38" s="7"/>
      <c r="Q38" s="24"/>
    </row>
    <row r="39" spans="3:17" ht="13.5" x14ac:dyDescent="0.2">
      <c r="J39" s="7"/>
      <c r="K39" s="7"/>
      <c r="L39" s="7"/>
      <c r="M39" s="7"/>
      <c r="N39" s="7"/>
      <c r="O39" s="7"/>
      <c r="P39" s="7"/>
      <c r="Q39" s="28"/>
    </row>
    <row r="40" spans="3:17" ht="12.75" x14ac:dyDescent="0.2">
      <c r="J40" s="7"/>
      <c r="K40" s="7"/>
      <c r="L40" s="7"/>
      <c r="M40" s="7"/>
      <c r="N40" s="7"/>
      <c r="O40" s="7"/>
      <c r="P40" s="7"/>
      <c r="Q40" s="29"/>
    </row>
    <row r="41" spans="3:17" ht="12.75" x14ac:dyDescent="0.2">
      <c r="J41" s="7"/>
      <c r="K41" s="7"/>
      <c r="L41" s="7"/>
      <c r="M41" s="7"/>
      <c r="N41" s="7"/>
      <c r="O41" s="7"/>
      <c r="P41" s="7"/>
      <c r="Q41" s="29"/>
    </row>
    <row r="42" spans="3:17" ht="12.75" x14ac:dyDescent="0.2">
      <c r="J42" s="7"/>
      <c r="K42" s="7"/>
      <c r="L42" s="7"/>
      <c r="M42" s="7"/>
      <c r="N42" s="7"/>
      <c r="O42" s="7"/>
      <c r="P42" s="7"/>
      <c r="Q42" s="29"/>
    </row>
    <row r="43" spans="3:17" ht="12.75" x14ac:dyDescent="0.2">
      <c r="J43" s="7"/>
      <c r="K43" s="7"/>
      <c r="L43" s="7"/>
      <c r="M43" s="7"/>
      <c r="N43" s="7"/>
      <c r="O43" s="7"/>
      <c r="P43" s="7"/>
      <c r="Q43" s="29"/>
    </row>
    <row r="44" spans="3:17" ht="12.75" x14ac:dyDescent="0.2">
      <c r="J44" s="7"/>
      <c r="K44" s="7"/>
      <c r="L44" s="7"/>
      <c r="M44" s="7"/>
      <c r="N44" s="7"/>
      <c r="O44" s="7"/>
      <c r="P44" s="7"/>
      <c r="Q44" s="29"/>
    </row>
    <row r="45" spans="3:17" ht="12.75" x14ac:dyDescent="0.2">
      <c r="J45" s="7"/>
      <c r="K45" s="7"/>
      <c r="L45" s="7"/>
      <c r="M45" s="7"/>
      <c r="N45" s="7"/>
      <c r="O45" s="7"/>
      <c r="P45" s="7"/>
      <c r="Q45" s="29"/>
    </row>
    <row r="46" spans="3:17" x14ac:dyDescent="0.25">
      <c r="C46" s="19"/>
      <c r="D46" s="13"/>
      <c r="E46" s="4"/>
      <c r="F46" s="20"/>
      <c r="G46" s="13"/>
      <c r="H46" s="4"/>
      <c r="I46" s="20"/>
      <c r="J46" s="48"/>
      <c r="K46" s="21"/>
      <c r="L46" s="21"/>
      <c r="M46" s="21"/>
      <c r="N46" s="21"/>
      <c r="O46" s="21"/>
      <c r="P46" s="7"/>
      <c r="Q46" s="29"/>
    </row>
    <row r="47" spans="3:17" x14ac:dyDescent="0.25">
      <c r="J47" s="48"/>
      <c r="P47" s="7"/>
      <c r="Q47" s="29"/>
    </row>
    <row r="48" spans="3:17" x14ac:dyDescent="0.25">
      <c r="Q48" s="29"/>
    </row>
    <row r="51" spans="2:16" x14ac:dyDescent="0.25">
      <c r="C51" s="8"/>
      <c r="D51" s="9"/>
      <c r="E51" s="2"/>
      <c r="F51" s="9"/>
      <c r="G51" s="2"/>
      <c r="H51" s="9"/>
      <c r="I51" s="2"/>
      <c r="P51" s="7"/>
    </row>
    <row r="52" spans="2:16" x14ac:dyDescent="0.25">
      <c r="C52" s="8"/>
      <c r="D52" s="9"/>
      <c r="E52" s="2"/>
      <c r="F52" s="9"/>
      <c r="G52" s="2"/>
      <c r="H52" s="9"/>
      <c r="I52" s="2"/>
      <c r="P52" s="7"/>
    </row>
    <row r="53" spans="2:16" ht="12.75" x14ac:dyDescent="0.2">
      <c r="C53" s="8"/>
      <c r="D53" s="9"/>
      <c r="E53" s="2"/>
      <c r="F53" s="9"/>
      <c r="G53" s="2"/>
      <c r="H53" s="9"/>
      <c r="I53" s="2"/>
      <c r="J53" s="7"/>
      <c r="K53" s="7"/>
      <c r="L53" s="7"/>
      <c r="M53" s="7"/>
      <c r="N53" s="7"/>
      <c r="O53" s="7"/>
      <c r="P53" s="7"/>
    </row>
    <row r="54" spans="2:16" ht="12.75" x14ac:dyDescent="0.2">
      <c r="C54" s="8"/>
      <c r="D54" s="9"/>
      <c r="E54" s="2"/>
      <c r="F54" s="9"/>
      <c r="G54" s="2"/>
      <c r="H54" s="9"/>
      <c r="I54" s="2"/>
      <c r="J54" s="7"/>
      <c r="K54" s="7"/>
      <c r="L54" s="7"/>
      <c r="M54" s="7"/>
      <c r="N54" s="7"/>
      <c r="O54" s="7"/>
      <c r="P54" s="7"/>
    </row>
    <row r="55" spans="2:16" ht="12.75" x14ac:dyDescent="0.2">
      <c r="C55" s="8"/>
      <c r="D55" s="9"/>
      <c r="E55" s="2"/>
      <c r="F55" s="9"/>
      <c r="G55" s="2"/>
      <c r="H55" s="9"/>
      <c r="I55" s="2"/>
      <c r="J55" s="7"/>
      <c r="K55" s="7"/>
      <c r="L55" s="7"/>
      <c r="M55" s="7"/>
      <c r="N55" s="7"/>
      <c r="O55" s="7"/>
      <c r="P55" s="7"/>
    </row>
    <row r="56" spans="2:16" ht="12.75" x14ac:dyDescent="0.2">
      <c r="C56" s="8"/>
      <c r="D56" s="9"/>
      <c r="E56" s="2"/>
      <c r="F56" s="9"/>
      <c r="G56" s="2"/>
      <c r="H56" s="9"/>
      <c r="I56" s="2"/>
      <c r="J56" s="7"/>
      <c r="K56" s="7"/>
      <c r="L56" s="7"/>
      <c r="M56" s="7"/>
      <c r="N56" s="7"/>
      <c r="O56" s="7"/>
      <c r="P56" s="7"/>
    </row>
    <row r="57" spans="2:16" ht="12.75" x14ac:dyDescent="0.2">
      <c r="C57" s="8"/>
      <c r="D57" s="9"/>
      <c r="E57" s="2"/>
      <c r="F57" s="9"/>
      <c r="G57" s="2"/>
      <c r="H57" s="9"/>
      <c r="I57" s="2"/>
      <c r="J57" s="7"/>
      <c r="K57" s="7"/>
      <c r="L57" s="7"/>
      <c r="M57" s="7"/>
      <c r="N57" s="7"/>
      <c r="O57" s="7"/>
      <c r="P57" s="7"/>
    </row>
    <row r="58" spans="2:16" ht="12.75" x14ac:dyDescent="0.2">
      <c r="C58" s="8"/>
      <c r="D58" s="9"/>
      <c r="E58" s="2"/>
      <c r="F58" s="9"/>
      <c r="G58" s="2"/>
      <c r="H58" s="9"/>
      <c r="I58" s="2"/>
      <c r="J58" s="7"/>
      <c r="K58" s="7"/>
      <c r="L58" s="7"/>
      <c r="M58" s="7"/>
      <c r="N58" s="7"/>
      <c r="O58" s="7"/>
      <c r="P58" s="7"/>
    </row>
    <row r="59" spans="2:16" ht="12.75" x14ac:dyDescent="0.2">
      <c r="C59" s="8"/>
      <c r="D59" s="9"/>
      <c r="E59" s="2"/>
      <c r="F59" s="9"/>
      <c r="G59" s="2"/>
      <c r="H59" s="9"/>
      <c r="I59" s="2"/>
      <c r="J59" s="7"/>
      <c r="K59" s="7"/>
      <c r="L59" s="7"/>
      <c r="M59" s="7"/>
      <c r="N59" s="7"/>
      <c r="O59" s="7"/>
      <c r="P59" s="7"/>
    </row>
    <row r="60" spans="2:16" ht="12.75" x14ac:dyDescent="0.2">
      <c r="B60" s="8"/>
      <c r="D60" s="9"/>
      <c r="E60" s="2"/>
      <c r="J60" s="7"/>
      <c r="K60" s="7"/>
      <c r="L60" s="7"/>
      <c r="M60" s="7"/>
      <c r="N60" s="7"/>
      <c r="O60" s="7"/>
      <c r="P60" s="7"/>
    </row>
    <row r="61" spans="2:16" ht="12.75" x14ac:dyDescent="0.2">
      <c r="B61" s="8"/>
      <c r="C61" s="8"/>
      <c r="D61" s="9"/>
      <c r="E61" s="2"/>
      <c r="F61" s="9"/>
      <c r="G61" s="2"/>
      <c r="H61" s="9"/>
      <c r="I61" s="2"/>
      <c r="J61" s="7"/>
      <c r="K61" s="7"/>
      <c r="L61" s="7"/>
      <c r="M61" s="7"/>
      <c r="N61" s="7"/>
      <c r="O61" s="7"/>
      <c r="P61" s="7"/>
    </row>
    <row r="62" spans="2:16" ht="12.75" x14ac:dyDescent="0.2">
      <c r="C62" s="8"/>
      <c r="D62" s="9"/>
      <c r="E62" s="2"/>
      <c r="F62" s="9"/>
      <c r="G62" s="2"/>
      <c r="H62" s="9"/>
      <c r="I62" s="2"/>
      <c r="J62" s="7"/>
      <c r="K62" s="7"/>
      <c r="L62" s="7"/>
      <c r="M62" s="7"/>
      <c r="N62" s="7"/>
      <c r="O62" s="7"/>
      <c r="P62" s="7"/>
    </row>
    <row r="63" spans="2:16" ht="12.75" x14ac:dyDescent="0.2">
      <c r="C63" s="8"/>
      <c r="D63" s="9"/>
      <c r="E63" s="2"/>
      <c r="F63" s="9"/>
      <c r="G63" s="2"/>
      <c r="H63" s="9"/>
      <c r="I63" s="2"/>
      <c r="J63" s="7"/>
      <c r="K63" s="7"/>
      <c r="L63" s="7"/>
      <c r="M63" s="7"/>
      <c r="N63" s="7"/>
      <c r="O63" s="7"/>
      <c r="P63" s="7"/>
    </row>
    <row r="64" spans="2:16" ht="12.75" x14ac:dyDescent="0.2">
      <c r="C64" s="8"/>
      <c r="D64" s="9"/>
      <c r="E64" s="2"/>
      <c r="F64" s="9"/>
      <c r="G64" s="2"/>
      <c r="H64" s="9"/>
      <c r="I64" s="2"/>
      <c r="J64" s="7"/>
      <c r="K64" s="7"/>
      <c r="L64" s="7"/>
      <c r="M64" s="7"/>
      <c r="N64" s="7"/>
      <c r="O64" s="7"/>
      <c r="P64" s="7"/>
    </row>
    <row r="65" spans="2:16" ht="12.75" x14ac:dyDescent="0.2">
      <c r="C65" s="8"/>
      <c r="D65" s="9"/>
      <c r="E65" s="2"/>
      <c r="F65" s="9"/>
      <c r="G65" s="2"/>
      <c r="H65" s="9"/>
      <c r="I65" s="2"/>
      <c r="J65" s="7"/>
      <c r="K65" s="7"/>
      <c r="L65" s="7"/>
      <c r="M65" s="7"/>
      <c r="N65" s="7"/>
      <c r="O65" s="7"/>
      <c r="P65" s="7"/>
    </row>
    <row r="66" spans="2:16" ht="12.75" x14ac:dyDescent="0.2">
      <c r="C66" s="8"/>
      <c r="D66" s="9"/>
      <c r="E66" s="2"/>
      <c r="F66" s="9"/>
      <c r="G66" s="2"/>
      <c r="H66" s="9"/>
      <c r="I66" s="2"/>
      <c r="J66" s="7"/>
      <c r="K66" s="7"/>
      <c r="L66" s="7"/>
      <c r="M66" s="7"/>
      <c r="N66" s="7"/>
      <c r="O66" s="7"/>
      <c r="P66" s="7"/>
    </row>
    <row r="67" spans="2:16" ht="12.75" x14ac:dyDescent="0.2">
      <c r="C67" s="8"/>
      <c r="D67" s="9"/>
      <c r="E67" s="2"/>
      <c r="F67" s="9"/>
      <c r="G67" s="2"/>
      <c r="H67" s="9"/>
      <c r="I67" s="2"/>
      <c r="J67" s="7"/>
      <c r="K67" s="7"/>
      <c r="L67" s="7"/>
      <c r="M67" s="7"/>
      <c r="N67" s="7"/>
      <c r="O67" s="7"/>
      <c r="P67" s="7"/>
    </row>
    <row r="68" spans="2:16" ht="12.75" x14ac:dyDescent="0.2">
      <c r="C68" s="8"/>
      <c r="D68" s="9"/>
      <c r="E68" s="2"/>
      <c r="F68" s="9"/>
      <c r="G68" s="2"/>
      <c r="H68" s="9"/>
      <c r="I68" s="2"/>
      <c r="J68" s="7"/>
      <c r="K68" s="7"/>
      <c r="L68" s="7"/>
      <c r="M68" s="7"/>
      <c r="N68" s="7"/>
      <c r="O68" s="7"/>
      <c r="P68" s="7"/>
    </row>
    <row r="69" spans="2:16" ht="12.75" x14ac:dyDescent="0.2">
      <c r="C69" s="8"/>
      <c r="D69" s="9"/>
      <c r="E69" s="2"/>
      <c r="F69" s="9"/>
      <c r="G69" s="2"/>
      <c r="H69" s="9"/>
      <c r="I69" s="2"/>
      <c r="J69" s="7"/>
      <c r="K69" s="7"/>
      <c r="L69" s="7"/>
      <c r="M69" s="7"/>
      <c r="N69" s="7"/>
      <c r="O69" s="7"/>
      <c r="P69" s="7"/>
    </row>
    <row r="70" spans="2:16" ht="12.75" x14ac:dyDescent="0.2">
      <c r="C70" s="8"/>
      <c r="D70" s="9"/>
      <c r="E70" s="2"/>
      <c r="F70" s="9"/>
      <c r="G70" s="2"/>
      <c r="H70" s="9"/>
      <c r="I70" s="2"/>
      <c r="J70" s="7"/>
      <c r="K70" s="7"/>
      <c r="L70" s="7"/>
      <c r="M70" s="7"/>
      <c r="N70" s="7"/>
      <c r="O70" s="7"/>
      <c r="P70" s="7"/>
    </row>
    <row r="71" spans="2:16" ht="12.75" x14ac:dyDescent="0.2">
      <c r="B71" s="8"/>
      <c r="D71" s="9"/>
      <c r="E71" s="2"/>
      <c r="J71" s="7"/>
      <c r="K71" s="7"/>
      <c r="L71" s="7"/>
      <c r="M71" s="7"/>
      <c r="N71" s="7"/>
      <c r="O71" s="7"/>
      <c r="P71" s="7"/>
    </row>
    <row r="72" spans="2:16" ht="12.75" x14ac:dyDescent="0.2">
      <c r="B72" s="8"/>
      <c r="C72" s="8"/>
      <c r="D72" s="9"/>
      <c r="E72" s="2"/>
      <c r="F72" s="9"/>
      <c r="G72" s="2"/>
      <c r="H72" s="9"/>
      <c r="I72" s="2"/>
      <c r="J72" s="7"/>
      <c r="K72" s="7"/>
      <c r="L72" s="7"/>
      <c r="M72" s="7"/>
      <c r="N72" s="7"/>
      <c r="O72" s="7"/>
      <c r="P72" s="7"/>
    </row>
    <row r="73" spans="2:16" ht="12.75" x14ac:dyDescent="0.2">
      <c r="C73" s="8"/>
      <c r="D73" s="9"/>
      <c r="E73" s="2"/>
      <c r="F73" s="9"/>
      <c r="G73" s="2"/>
      <c r="H73" s="9"/>
      <c r="I73" s="2"/>
      <c r="J73" s="7"/>
      <c r="K73" s="7"/>
      <c r="L73" s="7"/>
      <c r="M73" s="7"/>
      <c r="N73" s="7"/>
      <c r="O73" s="7"/>
      <c r="P73" s="7"/>
    </row>
    <row r="74" spans="2:16" ht="12.75" x14ac:dyDescent="0.2">
      <c r="C74" s="8"/>
      <c r="D74" s="9"/>
      <c r="E74" s="2"/>
      <c r="F74" s="9"/>
      <c r="G74" s="2"/>
      <c r="H74" s="9"/>
      <c r="I74" s="2"/>
      <c r="J74" s="7"/>
      <c r="K74" s="7"/>
      <c r="L74" s="7"/>
      <c r="M74" s="7"/>
      <c r="N74" s="7"/>
      <c r="O74" s="7"/>
      <c r="P74" s="7"/>
    </row>
    <row r="75" spans="2:16" ht="12.75" x14ac:dyDescent="0.2">
      <c r="C75" s="8"/>
      <c r="D75" s="9"/>
      <c r="E75" s="2"/>
      <c r="F75" s="9"/>
      <c r="G75" s="2"/>
      <c r="H75" s="9"/>
      <c r="I75" s="2"/>
      <c r="J75" s="7"/>
      <c r="K75" s="7"/>
      <c r="L75" s="7"/>
      <c r="M75" s="7"/>
      <c r="N75" s="7"/>
      <c r="O75" s="7"/>
      <c r="P75" s="7"/>
    </row>
    <row r="76" spans="2:16" ht="12.75" x14ac:dyDescent="0.2">
      <c r="C76" s="8"/>
      <c r="D76" s="9"/>
      <c r="E76" s="2"/>
      <c r="F76" s="9"/>
      <c r="G76" s="2"/>
      <c r="H76" s="9"/>
      <c r="I76" s="2"/>
      <c r="J76" s="7"/>
      <c r="K76" s="7"/>
      <c r="L76" s="7"/>
      <c r="M76" s="7"/>
      <c r="N76" s="7"/>
      <c r="O76" s="7"/>
      <c r="P76" s="7"/>
    </row>
    <row r="77" spans="2:16" ht="12.75" x14ac:dyDescent="0.2">
      <c r="C77" s="8"/>
      <c r="D77" s="9"/>
      <c r="E77" s="2"/>
      <c r="F77" s="9"/>
      <c r="G77" s="2"/>
      <c r="H77" s="9"/>
      <c r="I77" s="2"/>
      <c r="J77" s="7"/>
      <c r="K77" s="7"/>
      <c r="L77" s="7"/>
      <c r="M77" s="7"/>
      <c r="N77" s="7"/>
      <c r="O77" s="7"/>
      <c r="P77" s="7"/>
    </row>
    <row r="78" spans="2:16" ht="12.75" x14ac:dyDescent="0.2">
      <c r="C78" s="8"/>
      <c r="D78" s="9"/>
      <c r="E78" s="2"/>
      <c r="F78" s="9"/>
      <c r="G78" s="2"/>
      <c r="H78" s="9"/>
      <c r="I78" s="2"/>
      <c r="J78" s="7"/>
      <c r="K78" s="7"/>
      <c r="L78" s="7"/>
      <c r="M78" s="7"/>
      <c r="N78" s="7"/>
      <c r="O78" s="7"/>
      <c r="P78" s="7"/>
    </row>
    <row r="79" spans="2:16" ht="12.75" x14ac:dyDescent="0.2">
      <c r="C79" s="8"/>
      <c r="D79" s="9"/>
      <c r="E79" s="2"/>
      <c r="F79" s="9"/>
      <c r="G79" s="2"/>
      <c r="H79" s="9"/>
      <c r="I79" s="2"/>
      <c r="J79" s="7"/>
      <c r="K79" s="7"/>
      <c r="L79" s="7"/>
      <c r="M79" s="7"/>
      <c r="N79" s="7"/>
      <c r="O79" s="7"/>
      <c r="P79" s="7"/>
    </row>
    <row r="80" spans="2:16" ht="12.75" x14ac:dyDescent="0.2">
      <c r="C80" s="8"/>
      <c r="D80" s="9"/>
      <c r="E80" s="2"/>
      <c r="F80" s="9"/>
      <c r="G80" s="2"/>
      <c r="H80" s="9"/>
      <c r="I80" s="2"/>
      <c r="J80" s="7"/>
      <c r="K80" s="7"/>
      <c r="L80" s="7"/>
      <c r="M80" s="7"/>
      <c r="N80" s="7"/>
      <c r="O80" s="7"/>
      <c r="P80" s="7"/>
    </row>
    <row r="81" spans="2:16" ht="12.75" x14ac:dyDescent="0.2">
      <c r="C81" s="8"/>
      <c r="D81" s="9"/>
      <c r="E81" s="2"/>
      <c r="F81" s="9"/>
      <c r="G81" s="2"/>
      <c r="H81" s="9"/>
      <c r="I81" s="2"/>
      <c r="J81" s="7"/>
      <c r="K81" s="7"/>
      <c r="L81" s="7"/>
      <c r="M81" s="7"/>
      <c r="N81" s="7"/>
      <c r="O81" s="7"/>
      <c r="P81" s="7"/>
    </row>
    <row r="82" spans="2:16" ht="12.75" x14ac:dyDescent="0.2">
      <c r="C82" s="8"/>
      <c r="D82" s="9"/>
      <c r="E82" s="2"/>
      <c r="F82" s="9"/>
      <c r="G82" s="2"/>
      <c r="H82" s="9"/>
      <c r="I82" s="2"/>
      <c r="J82" s="7"/>
      <c r="K82" s="7"/>
      <c r="L82" s="7"/>
      <c r="M82" s="7"/>
      <c r="N82" s="7"/>
      <c r="O82" s="7"/>
      <c r="P82" s="7"/>
    </row>
    <row r="83" spans="2:16" ht="12.75" x14ac:dyDescent="0.2">
      <c r="B83" s="8"/>
      <c r="J83" s="7"/>
      <c r="K83" s="7"/>
      <c r="L83" s="7"/>
      <c r="M83" s="7"/>
      <c r="N83" s="7"/>
      <c r="O83" s="7"/>
      <c r="P83" s="7"/>
    </row>
    <row r="84" spans="2:16" ht="12.75" x14ac:dyDescent="0.2">
      <c r="B84" s="8"/>
      <c r="C84" s="8"/>
      <c r="D84" s="9"/>
      <c r="E84" s="2"/>
      <c r="F84" s="9"/>
      <c r="G84" s="2"/>
      <c r="H84" s="9"/>
      <c r="I84" s="2"/>
      <c r="J84" s="7"/>
      <c r="K84" s="7"/>
      <c r="L84" s="7"/>
      <c r="M84" s="7"/>
      <c r="N84" s="7"/>
      <c r="O84" s="7"/>
      <c r="P84" s="7"/>
    </row>
    <row r="85" spans="2:16" ht="12.75" x14ac:dyDescent="0.2">
      <c r="C85" s="8"/>
      <c r="D85" s="9"/>
      <c r="E85" s="2"/>
      <c r="F85" s="9"/>
      <c r="G85" s="2"/>
      <c r="H85" s="9"/>
      <c r="I85" s="2"/>
      <c r="J85" s="7"/>
      <c r="K85" s="7"/>
      <c r="L85" s="7"/>
      <c r="M85" s="7"/>
      <c r="N85" s="7"/>
      <c r="O85" s="7"/>
      <c r="P85" s="7"/>
    </row>
    <row r="86" spans="2:16" ht="12.75" x14ac:dyDescent="0.2">
      <c r="C86" s="8"/>
      <c r="D86" s="9"/>
      <c r="E86" s="2"/>
      <c r="F86" s="9"/>
      <c r="G86" s="2"/>
      <c r="H86" s="9"/>
      <c r="I86" s="2"/>
      <c r="J86" s="7"/>
      <c r="K86" s="7"/>
      <c r="L86" s="7"/>
      <c r="M86" s="7"/>
      <c r="N86" s="7"/>
      <c r="O86" s="7"/>
      <c r="P86" s="7"/>
    </row>
    <row r="87" spans="2:16" ht="12.75" x14ac:dyDescent="0.2">
      <c r="C87" s="8"/>
      <c r="D87" s="9"/>
      <c r="E87" s="2"/>
      <c r="F87" s="9"/>
      <c r="G87" s="2"/>
      <c r="H87" s="9"/>
      <c r="I87" s="2"/>
      <c r="J87" s="7"/>
      <c r="K87" s="7"/>
      <c r="L87" s="7"/>
      <c r="M87" s="7"/>
      <c r="N87" s="7"/>
      <c r="O87" s="7"/>
      <c r="P87" s="7"/>
    </row>
    <row r="88" spans="2:16" ht="12.75" x14ac:dyDescent="0.2">
      <c r="C88" s="8"/>
      <c r="D88" s="9"/>
      <c r="E88" s="2"/>
      <c r="F88" s="9"/>
      <c r="G88" s="2"/>
      <c r="H88" s="9"/>
      <c r="I88" s="2"/>
      <c r="J88" s="7"/>
      <c r="K88" s="7"/>
      <c r="L88" s="7"/>
      <c r="M88" s="7"/>
      <c r="N88" s="7"/>
      <c r="O88" s="7"/>
      <c r="P88" s="7"/>
    </row>
    <row r="89" spans="2:16" ht="12.75" x14ac:dyDescent="0.2">
      <c r="C89" s="8"/>
      <c r="D89" s="9"/>
      <c r="E89" s="2"/>
      <c r="F89" s="9"/>
      <c r="G89" s="2"/>
      <c r="H89" s="9"/>
      <c r="I89" s="2"/>
      <c r="J89" s="7"/>
      <c r="K89" s="7"/>
      <c r="L89" s="7"/>
      <c r="M89" s="7"/>
      <c r="N89" s="7"/>
      <c r="O89" s="7"/>
      <c r="P89" s="7"/>
    </row>
    <row r="90" spans="2:16" ht="12.75" x14ac:dyDescent="0.2">
      <c r="C90" s="8"/>
      <c r="D90" s="9"/>
      <c r="E90" s="2"/>
      <c r="F90" s="9"/>
      <c r="G90" s="2"/>
      <c r="H90" s="9"/>
      <c r="I90" s="2"/>
      <c r="J90" s="7"/>
      <c r="K90" s="7"/>
      <c r="L90" s="7"/>
      <c r="M90" s="7"/>
      <c r="N90" s="7"/>
      <c r="O90" s="7"/>
      <c r="P90" s="7"/>
    </row>
    <row r="91" spans="2:16" ht="12.75" x14ac:dyDescent="0.2">
      <c r="C91" s="8"/>
      <c r="D91" s="9"/>
      <c r="E91" s="2"/>
      <c r="F91" s="9"/>
      <c r="G91" s="2"/>
      <c r="H91" s="9"/>
      <c r="I91" s="2"/>
      <c r="J91" s="7"/>
      <c r="K91" s="7"/>
      <c r="L91" s="7"/>
      <c r="M91" s="7"/>
      <c r="N91" s="7"/>
      <c r="O91" s="7"/>
      <c r="P91" s="7"/>
    </row>
    <row r="92" spans="2:16" ht="12.75" x14ac:dyDescent="0.2">
      <c r="C92" s="8"/>
      <c r="D92" s="9"/>
      <c r="E92" s="2"/>
      <c r="F92" s="9"/>
      <c r="G92" s="2"/>
      <c r="H92" s="9"/>
      <c r="I92" s="2"/>
      <c r="J92" s="7"/>
      <c r="K92" s="7"/>
      <c r="L92" s="7"/>
      <c r="M92" s="7"/>
      <c r="N92" s="7"/>
      <c r="O92" s="7"/>
      <c r="P92" s="7"/>
    </row>
    <row r="93" spans="2:16" ht="12.75" x14ac:dyDescent="0.2">
      <c r="C93" s="8"/>
      <c r="D93" s="9"/>
      <c r="E93" s="2"/>
      <c r="F93" s="9"/>
      <c r="G93" s="2"/>
      <c r="H93" s="9"/>
      <c r="I93" s="2"/>
      <c r="J93" s="7"/>
      <c r="K93" s="7"/>
      <c r="L93" s="7"/>
      <c r="M93" s="7"/>
      <c r="N93" s="7"/>
      <c r="O93" s="7"/>
      <c r="P93" s="7"/>
    </row>
    <row r="94" spans="2:16" ht="12.75" x14ac:dyDescent="0.2">
      <c r="B94" s="8"/>
      <c r="J94" s="7"/>
      <c r="K94" s="7"/>
      <c r="L94" s="7"/>
      <c r="M94" s="7"/>
      <c r="N94" s="7"/>
      <c r="O94" s="7"/>
      <c r="P94" s="7"/>
    </row>
    <row r="95" spans="2:16" ht="12.75" x14ac:dyDescent="0.2">
      <c r="B95" s="8"/>
      <c r="C95" s="8"/>
      <c r="D95" s="9"/>
      <c r="E95" s="2"/>
      <c r="F95" s="9"/>
      <c r="G95" s="2"/>
      <c r="H95" s="9"/>
      <c r="I95" s="2"/>
      <c r="J95" s="7"/>
      <c r="K95" s="7"/>
      <c r="L95" s="7"/>
      <c r="M95" s="7"/>
      <c r="N95" s="7"/>
      <c r="O95" s="7"/>
      <c r="P95" s="7"/>
    </row>
    <row r="96" spans="2:16" ht="12.75" x14ac:dyDescent="0.2">
      <c r="C96" s="8"/>
      <c r="D96" s="9"/>
      <c r="E96" s="2"/>
      <c r="F96" s="9"/>
      <c r="G96" s="2"/>
      <c r="H96" s="9"/>
      <c r="I96" s="2"/>
      <c r="J96" s="7"/>
      <c r="K96" s="7"/>
      <c r="L96" s="7"/>
      <c r="M96" s="7"/>
      <c r="N96" s="7"/>
      <c r="O96" s="7"/>
      <c r="P96" s="7"/>
    </row>
    <row r="97" spans="2:16" ht="12.75" x14ac:dyDescent="0.2">
      <c r="C97" s="8"/>
      <c r="D97" s="9"/>
      <c r="E97" s="2"/>
      <c r="F97" s="9"/>
      <c r="G97" s="2"/>
      <c r="H97" s="9"/>
      <c r="I97" s="2"/>
      <c r="J97" s="7"/>
      <c r="K97" s="7"/>
      <c r="L97" s="7"/>
      <c r="M97" s="7"/>
      <c r="N97" s="7"/>
      <c r="O97" s="7"/>
      <c r="P97" s="7"/>
    </row>
    <row r="98" spans="2:16" ht="12.75" x14ac:dyDescent="0.2">
      <c r="C98" s="8"/>
      <c r="D98" s="9"/>
      <c r="E98" s="2"/>
      <c r="F98" s="9"/>
      <c r="G98" s="2"/>
      <c r="H98" s="9"/>
      <c r="I98" s="2"/>
      <c r="J98" s="7"/>
      <c r="K98" s="7"/>
      <c r="L98" s="7"/>
      <c r="M98" s="7"/>
      <c r="N98" s="7"/>
      <c r="O98" s="7"/>
      <c r="P98" s="7"/>
    </row>
    <row r="99" spans="2:16" ht="12.75" x14ac:dyDescent="0.2">
      <c r="C99" s="8"/>
      <c r="D99" s="9"/>
      <c r="E99" s="2"/>
      <c r="F99" s="9"/>
      <c r="G99" s="2"/>
      <c r="H99" s="9"/>
      <c r="I99" s="2"/>
      <c r="J99" s="7"/>
      <c r="K99" s="7"/>
      <c r="L99" s="7"/>
      <c r="M99" s="7"/>
      <c r="N99" s="7"/>
      <c r="O99" s="7"/>
      <c r="P99" s="7"/>
    </row>
    <row r="100" spans="2:16" ht="12.75" x14ac:dyDescent="0.2">
      <c r="C100" s="8"/>
      <c r="D100" s="9"/>
      <c r="E100" s="2"/>
      <c r="F100" s="9"/>
      <c r="G100" s="2"/>
      <c r="H100" s="9"/>
      <c r="I100" s="2"/>
      <c r="J100" s="7"/>
      <c r="K100" s="7"/>
      <c r="L100" s="7"/>
      <c r="M100" s="7"/>
      <c r="N100" s="7"/>
      <c r="O100" s="7"/>
      <c r="P100" s="7"/>
    </row>
    <row r="101" spans="2:16" ht="12.75" x14ac:dyDescent="0.2">
      <c r="C101" s="8"/>
      <c r="D101" s="9"/>
      <c r="E101" s="2"/>
      <c r="F101" s="9"/>
      <c r="G101" s="2"/>
      <c r="H101" s="9"/>
      <c r="I101" s="2"/>
      <c r="J101" s="7"/>
      <c r="K101" s="7"/>
      <c r="L101" s="7"/>
      <c r="M101" s="7"/>
      <c r="N101" s="7"/>
      <c r="O101" s="7"/>
      <c r="P101" s="7"/>
    </row>
    <row r="102" spans="2:16" ht="12.75" x14ac:dyDescent="0.2">
      <c r="C102" s="8"/>
      <c r="D102" s="9"/>
      <c r="E102" s="2"/>
      <c r="F102" s="9"/>
      <c r="G102" s="2"/>
      <c r="H102" s="9"/>
      <c r="I102" s="2"/>
      <c r="J102" s="7"/>
      <c r="K102" s="7"/>
      <c r="L102" s="7"/>
      <c r="M102" s="7"/>
      <c r="N102" s="7"/>
      <c r="O102" s="7"/>
      <c r="P102" s="7"/>
    </row>
    <row r="103" spans="2:16" ht="12.75" x14ac:dyDescent="0.2">
      <c r="C103" s="8"/>
      <c r="D103" s="9"/>
      <c r="E103" s="2"/>
      <c r="F103" s="9"/>
      <c r="G103" s="2"/>
      <c r="H103" s="9"/>
      <c r="I103" s="2"/>
      <c r="J103" s="7"/>
      <c r="K103" s="7"/>
      <c r="L103" s="7"/>
      <c r="M103" s="7"/>
      <c r="N103" s="7"/>
      <c r="O103" s="7"/>
      <c r="P103" s="7"/>
    </row>
    <row r="104" spans="2:16" ht="12.75" x14ac:dyDescent="0.2">
      <c r="C104" s="8"/>
      <c r="D104" s="9"/>
      <c r="E104" s="2"/>
      <c r="F104" s="9"/>
      <c r="G104" s="2"/>
      <c r="H104" s="9"/>
      <c r="I104" s="2"/>
      <c r="J104" s="7"/>
      <c r="K104" s="7"/>
      <c r="L104" s="7"/>
      <c r="M104" s="7"/>
      <c r="N104" s="7"/>
      <c r="O104" s="7"/>
      <c r="P104" s="7"/>
    </row>
    <row r="105" spans="2:16" ht="12.75" x14ac:dyDescent="0.2">
      <c r="B105" s="8"/>
      <c r="J105" s="7"/>
      <c r="K105" s="7"/>
      <c r="L105" s="7"/>
      <c r="M105" s="7"/>
      <c r="N105" s="7"/>
      <c r="O105" s="7"/>
      <c r="P105" s="7"/>
    </row>
    <row r="106" spans="2:16" ht="12.75" x14ac:dyDescent="0.2">
      <c r="B106" s="8"/>
      <c r="C106" s="8"/>
      <c r="D106" s="9"/>
      <c r="E106" s="2"/>
      <c r="F106" s="9"/>
      <c r="G106" s="2"/>
      <c r="H106" s="9"/>
      <c r="I106" s="2"/>
      <c r="J106" s="7"/>
      <c r="K106" s="7"/>
      <c r="L106" s="7"/>
      <c r="M106" s="7"/>
      <c r="N106" s="7"/>
      <c r="O106" s="7"/>
      <c r="P106" s="7"/>
    </row>
    <row r="107" spans="2:16" ht="12.75" x14ac:dyDescent="0.2">
      <c r="C107" s="8"/>
      <c r="D107" s="9"/>
      <c r="E107" s="2"/>
      <c r="F107" s="9"/>
      <c r="G107" s="2"/>
      <c r="H107" s="9"/>
      <c r="I107" s="2"/>
      <c r="J107" s="7"/>
      <c r="K107" s="7"/>
      <c r="L107" s="7"/>
      <c r="M107" s="7"/>
      <c r="N107" s="7"/>
      <c r="O107" s="7"/>
      <c r="P107" s="7"/>
    </row>
    <row r="108" spans="2:16" ht="12.75" x14ac:dyDescent="0.2">
      <c r="C108" s="8"/>
      <c r="D108" s="9"/>
      <c r="E108" s="2"/>
      <c r="F108" s="9"/>
      <c r="G108" s="2"/>
      <c r="H108" s="9"/>
      <c r="I108" s="2"/>
      <c r="J108" s="7"/>
      <c r="K108" s="7"/>
      <c r="L108" s="7"/>
      <c r="M108" s="7"/>
      <c r="N108" s="7"/>
      <c r="O108" s="7"/>
      <c r="P108" s="7"/>
    </row>
    <row r="109" spans="2:16" ht="12.75" x14ac:dyDescent="0.2">
      <c r="C109" s="8"/>
      <c r="D109" s="9"/>
      <c r="E109" s="2"/>
      <c r="F109" s="9"/>
      <c r="G109" s="2"/>
      <c r="H109" s="9"/>
      <c r="I109" s="2"/>
      <c r="J109" s="7"/>
      <c r="K109" s="7"/>
      <c r="L109" s="7"/>
      <c r="M109" s="7"/>
      <c r="N109" s="7"/>
      <c r="O109" s="7"/>
      <c r="P109" s="7"/>
    </row>
    <row r="110" spans="2:16" ht="12.75" x14ac:dyDescent="0.2">
      <c r="C110" s="8"/>
      <c r="D110" s="9"/>
      <c r="E110" s="2"/>
      <c r="F110" s="9"/>
      <c r="G110" s="2"/>
      <c r="H110" s="9"/>
      <c r="I110" s="2"/>
      <c r="J110" s="7"/>
      <c r="K110" s="7"/>
      <c r="L110" s="7"/>
      <c r="M110" s="7"/>
      <c r="N110" s="7"/>
      <c r="O110" s="7"/>
      <c r="P110" s="7"/>
    </row>
    <row r="111" spans="2:16" ht="12.75" x14ac:dyDescent="0.2">
      <c r="C111" s="8"/>
      <c r="D111" s="9"/>
      <c r="E111" s="2"/>
      <c r="F111" s="9"/>
      <c r="G111" s="2"/>
      <c r="H111" s="9"/>
      <c r="I111" s="2"/>
      <c r="J111" s="7"/>
      <c r="K111" s="7"/>
      <c r="L111" s="7"/>
      <c r="M111" s="7"/>
      <c r="N111" s="7"/>
      <c r="O111" s="7"/>
      <c r="P111" s="7"/>
    </row>
    <row r="112" spans="2:16" ht="12.75" x14ac:dyDescent="0.2">
      <c r="C112" s="8"/>
      <c r="D112" s="9"/>
      <c r="E112" s="2"/>
      <c r="F112" s="9"/>
      <c r="G112" s="2"/>
      <c r="H112" s="9"/>
      <c r="I112" s="2"/>
      <c r="J112" s="7"/>
      <c r="K112" s="7"/>
      <c r="L112" s="7"/>
      <c r="M112" s="7"/>
      <c r="N112" s="7"/>
      <c r="O112" s="7"/>
      <c r="P112" s="7"/>
    </row>
    <row r="113" spans="1:16" ht="12.75" x14ac:dyDescent="0.2">
      <c r="C113" s="8"/>
      <c r="D113" s="9"/>
      <c r="E113" s="2"/>
      <c r="F113" s="9"/>
      <c r="G113" s="2"/>
      <c r="H113" s="9"/>
      <c r="I113" s="2"/>
      <c r="J113" s="7"/>
      <c r="K113" s="7"/>
      <c r="L113" s="7"/>
      <c r="M113" s="7"/>
      <c r="N113" s="7"/>
      <c r="O113" s="7"/>
      <c r="P113" s="7"/>
    </row>
    <row r="114" spans="1:16" ht="12.75" x14ac:dyDescent="0.2">
      <c r="C114" s="8"/>
      <c r="D114" s="9"/>
      <c r="E114" s="2"/>
      <c r="F114" s="9"/>
      <c r="G114" s="2"/>
      <c r="H114" s="9"/>
      <c r="I114" s="2"/>
      <c r="J114" s="7"/>
      <c r="K114" s="7"/>
      <c r="L114" s="7"/>
      <c r="M114" s="7"/>
      <c r="N114" s="7"/>
      <c r="O114" s="7"/>
      <c r="P114" s="7"/>
    </row>
    <row r="115" spans="1:16" ht="12.75" x14ac:dyDescent="0.2">
      <c r="C115" s="8"/>
      <c r="D115" s="9"/>
      <c r="E115" s="2"/>
      <c r="F115" s="9"/>
      <c r="G115" s="2"/>
      <c r="H115" s="9"/>
      <c r="I115" s="2"/>
      <c r="J115" s="7"/>
      <c r="K115" s="7"/>
      <c r="L115" s="7"/>
      <c r="M115" s="7"/>
      <c r="N115" s="7"/>
      <c r="O115" s="7"/>
      <c r="P115" s="7"/>
    </row>
    <row r="116" spans="1:16" ht="12.75" x14ac:dyDescent="0.2">
      <c r="B116" s="8"/>
      <c r="J116" s="7"/>
      <c r="K116" s="7"/>
      <c r="L116" s="7"/>
      <c r="M116" s="7"/>
      <c r="N116" s="7"/>
      <c r="O116" s="7"/>
      <c r="P116" s="7"/>
    </row>
    <row r="117" spans="1:16" ht="12.75" x14ac:dyDescent="0.2">
      <c r="B117" s="8"/>
      <c r="C117" s="8"/>
      <c r="D117" s="9"/>
      <c r="E117" s="2"/>
      <c r="F117" s="9"/>
      <c r="G117" s="2"/>
      <c r="H117" s="9"/>
      <c r="I117" s="2"/>
      <c r="J117" s="7"/>
      <c r="K117" s="7"/>
      <c r="L117" s="7"/>
      <c r="M117" s="7"/>
      <c r="N117" s="7"/>
      <c r="O117" s="7"/>
      <c r="P117" s="7"/>
    </row>
    <row r="118" spans="1:16" ht="12.75" x14ac:dyDescent="0.2">
      <c r="C118" s="8"/>
      <c r="D118" s="9"/>
      <c r="E118" s="2"/>
      <c r="F118" s="9"/>
      <c r="G118" s="2"/>
      <c r="H118" s="9"/>
      <c r="I118" s="2"/>
      <c r="J118" s="7"/>
      <c r="K118" s="7"/>
      <c r="L118" s="7"/>
      <c r="M118" s="7"/>
      <c r="N118" s="7"/>
      <c r="O118" s="7"/>
      <c r="P118" s="7"/>
    </row>
    <row r="119" spans="1:16" ht="12.75" x14ac:dyDescent="0.2">
      <c r="C119" s="8"/>
      <c r="D119" s="9"/>
      <c r="E119" s="2"/>
      <c r="F119" s="9"/>
      <c r="G119" s="2"/>
      <c r="H119" s="9"/>
      <c r="I119" s="2"/>
      <c r="J119" s="7"/>
      <c r="K119" s="7"/>
      <c r="L119" s="7"/>
      <c r="M119" s="7"/>
      <c r="N119" s="7"/>
      <c r="O119" s="7"/>
      <c r="P119" s="7"/>
    </row>
    <row r="120" spans="1:16" ht="12.75" x14ac:dyDescent="0.2">
      <c r="C120" s="8"/>
      <c r="D120" s="9"/>
      <c r="E120" s="2"/>
      <c r="F120" s="9"/>
      <c r="G120" s="2"/>
      <c r="H120" s="9"/>
      <c r="I120" s="2"/>
      <c r="J120" s="7"/>
      <c r="K120" s="7"/>
      <c r="L120" s="7"/>
      <c r="M120" s="7"/>
      <c r="N120" s="7"/>
      <c r="O120" s="7"/>
      <c r="P120" s="7"/>
    </row>
    <row r="121" spans="1:16" ht="12.75" x14ac:dyDescent="0.2">
      <c r="C121" s="8"/>
      <c r="D121" s="9"/>
      <c r="E121" s="2"/>
      <c r="F121" s="9"/>
      <c r="G121" s="2"/>
      <c r="H121" s="9"/>
      <c r="I121" s="2"/>
      <c r="J121" s="7"/>
      <c r="K121" s="7"/>
      <c r="L121" s="7"/>
      <c r="M121" s="7"/>
      <c r="N121" s="7"/>
      <c r="O121" s="7"/>
      <c r="P121" s="7"/>
    </row>
    <row r="122" spans="1:16" ht="12.75" x14ac:dyDescent="0.2">
      <c r="C122" s="8"/>
      <c r="D122" s="9"/>
      <c r="E122" s="2"/>
      <c r="F122" s="9"/>
      <c r="G122" s="2"/>
      <c r="H122" s="9"/>
      <c r="I122" s="2"/>
      <c r="J122" s="7"/>
      <c r="K122" s="7"/>
      <c r="L122" s="7"/>
      <c r="M122" s="7"/>
      <c r="N122" s="7"/>
      <c r="O122" s="7"/>
      <c r="P122" s="7"/>
    </row>
    <row r="123" spans="1:16" ht="12.75" x14ac:dyDescent="0.2">
      <c r="C123" s="8"/>
      <c r="D123" s="9"/>
      <c r="E123" s="2"/>
      <c r="F123" s="9"/>
      <c r="G123" s="2"/>
      <c r="H123" s="9"/>
      <c r="I123" s="2"/>
      <c r="J123" s="7"/>
      <c r="K123" s="7"/>
      <c r="L123" s="7"/>
      <c r="M123" s="7"/>
      <c r="N123" s="7"/>
      <c r="O123" s="7"/>
      <c r="P123" s="7"/>
    </row>
    <row r="124" spans="1:16" ht="12.75" x14ac:dyDescent="0.2">
      <c r="A124" s="4"/>
      <c r="C124" s="8"/>
      <c r="D124" s="9"/>
      <c r="E124" s="2"/>
      <c r="F124" s="9"/>
      <c r="G124" s="2"/>
      <c r="H124" s="9"/>
      <c r="I124" s="2"/>
      <c r="J124" s="7"/>
      <c r="K124" s="7"/>
      <c r="L124" s="7"/>
      <c r="M124" s="7"/>
      <c r="N124" s="7"/>
      <c r="O124" s="7"/>
      <c r="P124" s="7"/>
    </row>
    <row r="125" spans="1:16" ht="12.75" x14ac:dyDescent="0.2">
      <c r="A125" s="8"/>
      <c r="C125" s="8"/>
      <c r="D125" s="9"/>
      <c r="E125" s="2"/>
      <c r="F125" s="9"/>
      <c r="G125" s="2"/>
      <c r="H125" s="9"/>
      <c r="I125" s="2"/>
      <c r="J125" s="7"/>
      <c r="K125" s="7"/>
      <c r="L125" s="7"/>
      <c r="M125" s="7"/>
      <c r="N125" s="7"/>
      <c r="O125" s="7"/>
      <c r="P125" s="7"/>
    </row>
    <row r="126" spans="1:16" ht="12.75" x14ac:dyDescent="0.2">
      <c r="A126" s="4"/>
      <c r="B126" s="4"/>
      <c r="C126" s="17"/>
      <c r="D126" s="13"/>
      <c r="E126" s="4"/>
      <c r="F126" s="13"/>
      <c r="G126" s="4"/>
      <c r="H126" s="13"/>
      <c r="I126" s="4"/>
      <c r="J126" s="7"/>
      <c r="K126" s="7"/>
      <c r="L126" s="7"/>
      <c r="M126" s="7"/>
      <c r="N126" s="7"/>
      <c r="O126" s="7"/>
      <c r="P126" s="7"/>
    </row>
    <row r="127" spans="1:16" ht="12.75" x14ac:dyDescent="0.2">
      <c r="A127" s="8"/>
      <c r="J127" s="7"/>
      <c r="K127" s="7"/>
      <c r="L127" s="7"/>
      <c r="M127" s="7"/>
      <c r="N127" s="7"/>
      <c r="O127" s="7"/>
      <c r="P127" s="7"/>
    </row>
    <row r="128" spans="1:16" ht="12.75" x14ac:dyDescent="0.2">
      <c r="A128" s="8"/>
      <c r="J128" s="7"/>
      <c r="K128" s="7"/>
      <c r="L128" s="7"/>
      <c r="M128" s="7"/>
      <c r="N128" s="7"/>
      <c r="O128" s="7"/>
      <c r="P128" s="7"/>
    </row>
    <row r="133" spans="10:16" ht="12.75" x14ac:dyDescent="0.2">
      <c r="J133" s="7"/>
      <c r="K133" s="7"/>
      <c r="L133" s="7"/>
      <c r="M133" s="7"/>
      <c r="N133" s="7"/>
      <c r="O133" s="7"/>
      <c r="P133" s="7"/>
    </row>
    <row r="134" spans="10:16" ht="12.75" x14ac:dyDescent="0.2">
      <c r="J134" s="7"/>
      <c r="K134" s="7"/>
      <c r="L134" s="7"/>
      <c r="M134" s="7"/>
      <c r="N134" s="7"/>
      <c r="O134" s="7"/>
      <c r="P134" s="7"/>
    </row>
    <row r="135" spans="10:16" ht="12.75" x14ac:dyDescent="0.2">
      <c r="J135" s="7"/>
      <c r="K135" s="7"/>
      <c r="L135" s="7"/>
      <c r="M135" s="7"/>
      <c r="N135" s="7"/>
      <c r="O135" s="7"/>
      <c r="P135" s="7"/>
    </row>
    <row r="153" spans="10:16" ht="12.75" x14ac:dyDescent="0.2">
      <c r="J153" s="7"/>
      <c r="K153" s="7"/>
      <c r="L153" s="7"/>
      <c r="M153" s="7"/>
      <c r="N153" s="7"/>
      <c r="O153" s="7"/>
      <c r="P153" s="7"/>
    </row>
    <row r="154" spans="10:16" ht="12.75" x14ac:dyDescent="0.2">
      <c r="J154" s="7"/>
      <c r="K154" s="7"/>
      <c r="L154" s="7"/>
      <c r="M154" s="7"/>
      <c r="N154" s="7"/>
      <c r="O154" s="7"/>
      <c r="P154" s="7"/>
    </row>
    <row r="167" spans="10:16" ht="12.75" x14ac:dyDescent="0.2">
      <c r="J167" s="7"/>
      <c r="K167" s="7"/>
      <c r="L167" s="7"/>
      <c r="M167" s="7"/>
      <c r="N167" s="7"/>
      <c r="O167" s="7"/>
      <c r="P167" s="7"/>
    </row>
  </sheetData>
  <sheetProtection password="DF87" sheet="1" objects="1" scenarios="1"/>
  <mergeCells count="11">
    <mergeCell ref="J46:J47"/>
    <mergeCell ref="J14:O14"/>
    <mergeCell ref="J13:O13"/>
    <mergeCell ref="A1:H1"/>
    <mergeCell ref="B2:B3"/>
    <mergeCell ref="C2:C4"/>
    <mergeCell ref="G2:G4"/>
    <mergeCell ref="A2:A3"/>
    <mergeCell ref="J2:O2"/>
    <mergeCell ref="J3:O3"/>
    <mergeCell ref="E6:E7"/>
  </mergeCells>
  <conditionalFormatting sqref="E46 H46">
    <cfRule type="expression" dxfId="116" priority="334">
      <formula>IF(D46&gt;0.95,D46&lt;1.05)</formula>
    </cfRule>
    <cfRule type="expression" dxfId="115" priority="335">
      <formula>D46&gt;1.05</formula>
    </cfRule>
    <cfRule type="expression" dxfId="114" priority="336">
      <formula>D46&lt;0.95</formula>
    </cfRule>
  </conditionalFormatting>
  <conditionalFormatting sqref="E60">
    <cfRule type="expression" dxfId="113" priority="313">
      <formula>IF(D60&gt;0.95,D60&lt;1.05)</formula>
    </cfRule>
    <cfRule type="expression" dxfId="112" priority="314">
      <formula>D60&gt;1.05</formula>
    </cfRule>
    <cfRule type="expression" dxfId="111" priority="315">
      <formula>D60&lt;0.95</formula>
    </cfRule>
  </conditionalFormatting>
  <conditionalFormatting sqref="E71">
    <cfRule type="expression" dxfId="110" priority="310">
      <formula>IF(D71&gt;0.95,D71&lt;1.05)</formula>
    </cfRule>
    <cfRule type="expression" dxfId="109" priority="311">
      <formula>D71&gt;1.05</formula>
    </cfRule>
    <cfRule type="expression" dxfId="108" priority="312">
      <formula>D71&lt;0.95</formula>
    </cfRule>
  </conditionalFormatting>
  <conditionalFormatting sqref="B126">
    <cfRule type="expression" dxfId="107" priority="307">
      <formula>IF(A126&gt;0.95,A126&lt;1.05)</formula>
    </cfRule>
    <cfRule type="expression" dxfId="106" priority="308">
      <formula>A126&gt;1.05</formula>
    </cfRule>
    <cfRule type="expression" dxfId="105" priority="309">
      <formula>A126&lt;0.95</formula>
    </cfRule>
  </conditionalFormatting>
  <conditionalFormatting sqref="I61:I70">
    <cfRule type="expression" dxfId="104" priority="277">
      <formula>IF(H61&gt;0.95,H61&lt;1.05)</formula>
    </cfRule>
    <cfRule type="expression" dxfId="103" priority="278">
      <formula>H61&gt;1.05</formula>
    </cfRule>
    <cfRule type="expression" dxfId="102" priority="279">
      <formula>H61&lt;0.95</formula>
    </cfRule>
  </conditionalFormatting>
  <conditionalFormatting sqref="I51:I59">
    <cfRule type="expression" dxfId="101" priority="292">
      <formula>IF(H51&gt;0.95,H51&lt;1.05)</formula>
    </cfRule>
    <cfRule type="expression" dxfId="100" priority="293">
      <formula>H51&gt;1.05</formula>
    </cfRule>
    <cfRule type="expression" dxfId="99" priority="294">
      <formula>H51&lt;0.95</formula>
    </cfRule>
  </conditionalFormatting>
  <conditionalFormatting sqref="G51:G59">
    <cfRule type="expression" dxfId="98" priority="289">
      <formula>IF(F51&gt;0.95,F51&lt;1.05)</formula>
    </cfRule>
    <cfRule type="expression" dxfId="97" priority="290">
      <formula>F51&gt;1.05</formula>
    </cfRule>
    <cfRule type="expression" dxfId="96" priority="291">
      <formula>F51&lt;0.95</formula>
    </cfRule>
  </conditionalFormatting>
  <conditionalFormatting sqref="E51:E59">
    <cfRule type="expression" dxfId="95" priority="286">
      <formula>IF(D51&gt;0.95,D51&lt;1.05)</formula>
    </cfRule>
    <cfRule type="expression" dxfId="94" priority="287">
      <formula>D51&gt;1.05</formula>
    </cfRule>
    <cfRule type="expression" dxfId="93" priority="288">
      <formula>D51&lt;0.95</formula>
    </cfRule>
  </conditionalFormatting>
  <conditionalFormatting sqref="E61:E70">
    <cfRule type="expression" dxfId="92" priority="283">
      <formula>IF(D61&gt;0.95,D61&lt;1.05)</formula>
    </cfRule>
    <cfRule type="expression" dxfId="91" priority="284">
      <formula>D61&gt;1.05</formula>
    </cfRule>
    <cfRule type="expression" dxfId="90" priority="285">
      <formula>D61&lt;0.95</formula>
    </cfRule>
  </conditionalFormatting>
  <conditionalFormatting sqref="G61:G70">
    <cfRule type="expression" dxfId="89" priority="280">
      <formula>IF(F61&gt;0.95,F61&lt;1.05)</formula>
    </cfRule>
    <cfRule type="expression" dxfId="88" priority="281">
      <formula>F61&gt;1.05</formula>
    </cfRule>
    <cfRule type="expression" dxfId="87" priority="282">
      <formula>F61&lt;0.95</formula>
    </cfRule>
  </conditionalFormatting>
  <conditionalFormatting sqref="E72:E82">
    <cfRule type="expression" dxfId="86" priority="268">
      <formula>IF(D72&gt;0.95,D72&lt;1.05)</formula>
    </cfRule>
    <cfRule type="expression" dxfId="85" priority="269">
      <formula>D72&gt;1.05</formula>
    </cfRule>
    <cfRule type="expression" dxfId="84" priority="270">
      <formula>D72&lt;0.95</formula>
    </cfRule>
  </conditionalFormatting>
  <conditionalFormatting sqref="G72:G82">
    <cfRule type="expression" dxfId="83" priority="265">
      <formula>IF(F72&gt;0.95,F72&lt;1.05)</formula>
    </cfRule>
    <cfRule type="expression" dxfId="82" priority="266">
      <formula>F72&gt;1.05</formula>
    </cfRule>
    <cfRule type="expression" dxfId="81" priority="267">
      <formula>F72&lt;0.95</formula>
    </cfRule>
  </conditionalFormatting>
  <conditionalFormatting sqref="I72:I82">
    <cfRule type="expression" dxfId="80" priority="262">
      <formula>IF(H72&gt;0.95,H72&lt;1.05)</formula>
    </cfRule>
    <cfRule type="expression" dxfId="79" priority="263">
      <formula>H72&gt;1.05</formula>
    </cfRule>
    <cfRule type="expression" dxfId="78" priority="264">
      <formula>H72&lt;0.95</formula>
    </cfRule>
  </conditionalFormatting>
  <conditionalFormatting sqref="I84:I93">
    <cfRule type="expression" dxfId="77" priority="247">
      <formula>IF(H84&gt;0.95,H84&lt;1.05)</formula>
    </cfRule>
    <cfRule type="expression" dxfId="76" priority="248">
      <formula>H84&gt;1.05</formula>
    </cfRule>
    <cfRule type="expression" dxfId="75" priority="249">
      <formula>H84&lt;0.95</formula>
    </cfRule>
  </conditionalFormatting>
  <conditionalFormatting sqref="G84:G93">
    <cfRule type="expression" dxfId="74" priority="244">
      <formula>IF(F84&gt;0.95,F84&lt;1.05)</formula>
    </cfRule>
    <cfRule type="expression" dxfId="73" priority="245">
      <formula>F84&gt;1.05</formula>
    </cfRule>
    <cfRule type="expression" dxfId="72" priority="246">
      <formula>F84&lt;0.95</formula>
    </cfRule>
  </conditionalFormatting>
  <conditionalFormatting sqref="E84:E93">
    <cfRule type="expression" dxfId="71" priority="241">
      <formula>IF(D84&gt;0.95,D84&lt;1.05)</formula>
    </cfRule>
    <cfRule type="expression" dxfId="70" priority="242">
      <formula>D84&gt;1.05</formula>
    </cfRule>
    <cfRule type="expression" dxfId="69" priority="243">
      <formula>D84&lt;0.95</formula>
    </cfRule>
  </conditionalFormatting>
  <conditionalFormatting sqref="E95:E104">
    <cfRule type="expression" dxfId="68" priority="238">
      <formula>IF(D95&gt;0.95,D95&lt;1.05)</formula>
    </cfRule>
    <cfRule type="expression" dxfId="67" priority="239">
      <formula>D95&gt;1.05</formula>
    </cfRule>
    <cfRule type="expression" dxfId="66" priority="240">
      <formula>D95&lt;0.95</formula>
    </cfRule>
  </conditionalFormatting>
  <conditionalFormatting sqref="G95:G104">
    <cfRule type="expression" dxfId="65" priority="235">
      <formula>IF(F95&gt;0.95,F95&lt;1.05)</formula>
    </cfRule>
    <cfRule type="expression" dxfId="64" priority="236">
      <formula>F95&gt;1.05</formula>
    </cfRule>
    <cfRule type="expression" dxfId="63" priority="237">
      <formula>F95&lt;0.95</formula>
    </cfRule>
  </conditionalFormatting>
  <conditionalFormatting sqref="I95:I104">
    <cfRule type="expression" dxfId="62" priority="232">
      <formula>IF(H95&gt;0.95,H95&lt;1.05)</formula>
    </cfRule>
    <cfRule type="expression" dxfId="61" priority="233">
      <formula>H95&gt;1.05</formula>
    </cfRule>
    <cfRule type="expression" dxfId="60" priority="234">
      <formula>H95&lt;0.95</formula>
    </cfRule>
  </conditionalFormatting>
  <conditionalFormatting sqref="G106:G115">
    <cfRule type="expression" dxfId="59" priority="217">
      <formula>IF(F106&gt;0.95,F106&lt;1.05)</formula>
    </cfRule>
    <cfRule type="expression" dxfId="58" priority="218">
      <formula>F106&gt;1.05</formula>
    </cfRule>
    <cfRule type="expression" dxfId="57" priority="219">
      <formula>F106&lt;0.95</formula>
    </cfRule>
  </conditionalFormatting>
  <conditionalFormatting sqref="I106:I115">
    <cfRule type="expression" dxfId="56" priority="214">
      <formula>IF(H106&gt;0.95,H106&lt;1.05)</formula>
    </cfRule>
    <cfRule type="expression" dxfId="55" priority="215">
      <formula>H106&gt;1.05</formula>
    </cfRule>
    <cfRule type="expression" dxfId="54" priority="216">
      <formula>H106&lt;0.95</formula>
    </cfRule>
  </conditionalFormatting>
  <conditionalFormatting sqref="E106:E115">
    <cfRule type="expression" dxfId="53" priority="211">
      <formula>IF(D106&gt;0.95,D106&lt;1.05)</formula>
    </cfRule>
    <cfRule type="expression" dxfId="52" priority="212">
      <formula>D106&gt;1.05</formula>
    </cfRule>
    <cfRule type="expression" dxfId="51" priority="213">
      <formula>D106&lt;0.95</formula>
    </cfRule>
  </conditionalFormatting>
  <conditionalFormatting sqref="E117:E125">
    <cfRule type="expression" dxfId="50" priority="208">
      <formula>IF(D117&gt;0.95,D117&lt;1.05)</formula>
    </cfRule>
    <cfRule type="expression" dxfId="49" priority="209">
      <formula>D117&gt;1.05</formula>
    </cfRule>
    <cfRule type="expression" dxfId="48" priority="210">
      <formula>D117&lt;0.95</formula>
    </cfRule>
  </conditionalFormatting>
  <conditionalFormatting sqref="G117:G125">
    <cfRule type="expression" dxfId="47" priority="205">
      <formula>IF(F117&gt;0.95,F117&lt;1.05)</formula>
    </cfRule>
    <cfRule type="expression" dxfId="46" priority="206">
      <formula>F117&gt;1.05</formula>
    </cfRule>
    <cfRule type="expression" dxfId="45" priority="207">
      <formula>F117&lt;0.95</formula>
    </cfRule>
  </conditionalFormatting>
  <conditionalFormatting sqref="I117:I125">
    <cfRule type="expression" dxfId="44" priority="202">
      <formula>IF(H117&gt;0.95,H117&lt;1.05)</formula>
    </cfRule>
    <cfRule type="expression" dxfId="43" priority="203">
      <formula>H117&gt;1.05</formula>
    </cfRule>
    <cfRule type="expression" dxfId="42" priority="204">
      <formula>H117&lt;0.95</formula>
    </cfRule>
  </conditionalFormatting>
  <conditionalFormatting sqref="E126">
    <cfRule type="expression" dxfId="41" priority="160">
      <formula>IF(D126&gt;0.95,D126&lt;1.05)</formula>
    </cfRule>
    <cfRule type="expression" dxfId="40" priority="161">
      <formula>D126&gt;1.05</formula>
    </cfRule>
    <cfRule type="expression" dxfId="39" priority="162">
      <formula>D126&lt;0.95</formula>
    </cfRule>
  </conditionalFormatting>
  <conditionalFormatting sqref="G126">
    <cfRule type="expression" dxfId="38" priority="157">
      <formula>IF(F126&gt;0.95,F126&lt;1.05)</formula>
    </cfRule>
    <cfRule type="expression" dxfId="37" priority="158">
      <formula>F126&gt;1.05</formula>
    </cfRule>
    <cfRule type="expression" dxfId="36" priority="159">
      <formula>F126&lt;0.95</formula>
    </cfRule>
  </conditionalFormatting>
  <conditionalFormatting sqref="I126">
    <cfRule type="expression" dxfId="35" priority="154">
      <formula>IF(H126&gt;0.95,H126&lt;1.05)</formula>
    </cfRule>
    <cfRule type="expression" dxfId="34" priority="155">
      <formula>H126&gt;1.05</formula>
    </cfRule>
    <cfRule type="expression" dxfId="33" priority="156">
      <formula>H126&lt;0.95</formula>
    </cfRule>
  </conditionalFormatting>
  <conditionalFormatting sqref="E17:E31 G17:G31 I15:I31">
    <cfRule type="expression" dxfId="32" priority="121">
      <formula>IF(D15&gt;0.949,D15&lt;1.051)</formula>
    </cfRule>
    <cfRule type="expression" dxfId="31" priority="122">
      <formula>D15&gt;1.05</formula>
    </cfRule>
    <cfRule type="expression" dxfId="30" priority="123">
      <formula>D15&lt;0.95</formula>
    </cfRule>
  </conditionalFormatting>
  <conditionalFormatting sqref="D6:D12">
    <cfRule type="expression" dxfId="29" priority="28">
      <formula>IF(C6&gt;0.949,C6&lt;1.051)</formula>
    </cfRule>
    <cfRule type="expression" dxfId="28" priority="29">
      <formula>C6&gt;1.05</formula>
    </cfRule>
    <cfRule type="expression" dxfId="27" priority="30">
      <formula>C6&lt;0.95</formula>
    </cfRule>
  </conditionalFormatting>
  <conditionalFormatting sqref="B12">
    <cfRule type="expression" dxfId="26" priority="22">
      <formula>IF(A12&gt;0.95,A12&lt;1.05)</formula>
    </cfRule>
    <cfRule type="expression" dxfId="25" priority="23">
      <formula>A12&gt;1.05</formula>
    </cfRule>
    <cfRule type="expression" dxfId="24" priority="24">
      <formula>A12&lt;0.95</formula>
    </cfRule>
  </conditionalFormatting>
  <conditionalFormatting sqref="D15:E15">
    <cfRule type="expression" dxfId="23" priority="19">
      <formula>IF(C15&gt;0.949,C15&lt;1.051)</formula>
    </cfRule>
    <cfRule type="expression" dxfId="22" priority="20">
      <formula>C15&gt;1.05</formula>
    </cfRule>
    <cfRule type="expression" dxfId="21" priority="21">
      <formula>C15&lt;0.95</formula>
    </cfRule>
  </conditionalFormatting>
  <conditionalFormatting sqref="A12">
    <cfRule type="expression" dxfId="20" priority="25">
      <formula>IF(XEA55&gt;0.95,XEA55&lt;1.05)</formula>
    </cfRule>
    <cfRule type="expression" dxfId="19" priority="26">
      <formula>XEA55&gt;1.05</formula>
    </cfRule>
    <cfRule type="expression" dxfId="18" priority="27">
      <formula>XEA55&lt;0.95</formula>
    </cfRule>
  </conditionalFormatting>
  <conditionalFormatting sqref="D5">
    <cfRule type="expression" dxfId="17" priority="13">
      <formula>IF(C5&gt;0.99,C5&lt;1)</formula>
    </cfRule>
    <cfRule type="expression" dxfId="16" priority="14">
      <formula>C5&gt;1</formula>
    </cfRule>
    <cfRule type="expression" dxfId="15" priority="15">
      <formula>C5&lt;0.99</formula>
    </cfRule>
  </conditionalFormatting>
  <conditionalFormatting sqref="H14:H15">
    <cfRule type="expression" dxfId="14" priority="10">
      <formula>IF(G14&gt;0.99,G14&lt;1.1)</formula>
    </cfRule>
    <cfRule type="expression" dxfId="13" priority="11">
      <formula>G14&gt;1.1</formula>
    </cfRule>
    <cfRule type="expression" dxfId="12" priority="12">
      <formula>G14&lt;0.99</formula>
    </cfRule>
  </conditionalFormatting>
  <conditionalFormatting sqref="H13">
    <cfRule type="expression" dxfId="11" priority="4">
      <formula>IF(G13&gt;0.99,G13&lt;1.1)</formula>
    </cfRule>
    <cfRule type="expression" dxfId="10" priority="5">
      <formula>G13&gt;1.1</formula>
    </cfRule>
    <cfRule type="expression" dxfId="9" priority="6">
      <formula>G13&lt;0.99</formula>
    </cfRule>
  </conditionalFormatting>
  <conditionalFormatting sqref="A126">
    <cfRule type="expression" dxfId="8" priority="895">
      <formula>IF(XEW126&gt;0.95,XEW126&lt;1.05)</formula>
    </cfRule>
    <cfRule type="expression" dxfId="7" priority="896">
      <formula>XEW126&gt;1.05</formula>
    </cfRule>
    <cfRule type="expression" dxfId="6" priority="897">
      <formula>XEW126&lt;0.95</formula>
    </cfRule>
  </conditionalFormatting>
  <conditionalFormatting sqref="A124">
    <cfRule type="expression" dxfId="5" priority="898">
      <formula>IF(XEW126&gt;0.95,XEW126&lt;1.05)</formula>
    </cfRule>
    <cfRule type="expression" dxfId="4" priority="899">
      <formula>XEW126&gt;1.05</formula>
    </cfRule>
    <cfRule type="expression" dxfId="3" priority="900">
      <formula>XEW126&lt;0.95</formula>
    </cfRule>
  </conditionalFormatting>
  <conditionalFormatting sqref="H5:H12">
    <cfRule type="expression" dxfId="2" priority="1">
      <formula>IF(G5&gt;0.99,G5&lt;1)</formula>
    </cfRule>
    <cfRule type="expression" dxfId="1" priority="2">
      <formula>G5&gt;1</formula>
    </cfRule>
    <cfRule type="expression" dxfId="0" priority="3">
      <formula>G5&lt;0.99</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XYZ</vt:lpstr>
    </vt:vector>
  </TitlesOfParts>
  <Company>Credit Union National Association,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Beth Soltis</dc:creator>
  <cp:lastModifiedBy>Beth Soltis</cp:lastModifiedBy>
  <cp:lastPrinted>2012-10-11T12:41:40Z</cp:lastPrinted>
  <dcterms:created xsi:type="dcterms:W3CDTF">2011-08-30T18:38:56Z</dcterms:created>
  <dcterms:modified xsi:type="dcterms:W3CDTF">2013-01-22T18:44:13Z</dcterms:modified>
</cp:coreProperties>
</file>